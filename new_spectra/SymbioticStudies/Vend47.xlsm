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BC0345B3-9255-4AD9-BD80-209371CABD44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Index" sheetId="2" r:id="rId1"/>
    <sheet name="Feuil1" sheetId="3" r:id="rId2"/>
    <sheet name="V" sheetId="13" r:id="rId3"/>
    <sheet name="Vraw" sheetId="1" r:id="rId4"/>
    <sheet name="Feuil3" sheetId="10" r:id="rId5"/>
    <sheet name="Feuil4" sheetId="11" r:id="rId6"/>
    <sheet name="Feuil5" sheetId="12" r:id="rId7"/>
    <sheet name="V_Sort" sheetId="7" r:id="rId8"/>
    <sheet name="BV" sheetId="8" r:id="rId9"/>
    <sheet name="Braw" sheetId="4" r:id="rId10"/>
    <sheet name="Feuil9" sheetId="16" r:id="rId11"/>
    <sheet name="B_Sort" sheetId="14" r:id="rId12"/>
    <sheet name="B" sheetId="15" r:id="rId13"/>
    <sheet name="M" sheetId="6" r:id="rId14"/>
  </sheets>
  <externalReferences>
    <externalReference r:id="rId15"/>
    <externalReference r:id="rId16"/>
    <externalReference r:id="rId17"/>
    <externalReference r:id="rId18"/>
  </externalReferences>
  <definedNames>
    <definedName name="_xlnm._FilterDatabase" localSheetId="9" hidden="1">Braw!$G$1:$I$726</definedName>
    <definedName name="_xlnm._FilterDatabase" localSheetId="3" hidden="1">Vraw!$A$1:$E$1222</definedName>
    <definedName name="Date0">[1]SySt_Orb!$Q$30</definedName>
    <definedName name="JD0">[1]SySt_Orb!$Q$29</definedName>
  </definedNames>
  <calcPr calcId="191029"/>
  <pivotCaches>
    <pivotCache cacheId="0" r:id="rId19"/>
    <pivotCache cacheId="1" r:id="rId20"/>
    <pivotCache cacheId="2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" i="15" l="1"/>
  <c r="D1" i="13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E32" i="16"/>
  <c r="F32" i="16"/>
  <c r="E33" i="16"/>
  <c r="F33" i="16"/>
  <c r="E34" i="16"/>
  <c r="F34" i="16"/>
  <c r="E35" i="16"/>
  <c r="F35" i="16"/>
  <c r="E36" i="16"/>
  <c r="F36" i="16"/>
  <c r="E37" i="16"/>
  <c r="F37" i="16"/>
  <c r="E38" i="16"/>
  <c r="F38" i="16"/>
  <c r="E39" i="16"/>
  <c r="F39" i="16"/>
  <c r="E40" i="16"/>
  <c r="F40" i="16"/>
  <c r="E41" i="16"/>
  <c r="F41" i="16"/>
  <c r="E42" i="16"/>
  <c r="F42" i="16"/>
  <c r="E43" i="16"/>
  <c r="F43" i="16"/>
  <c r="E44" i="16"/>
  <c r="F44" i="16"/>
  <c r="E45" i="16"/>
  <c r="F45" i="16"/>
  <c r="E46" i="16"/>
  <c r="F46" i="16"/>
  <c r="E47" i="16"/>
  <c r="F47" i="16"/>
  <c r="E48" i="16"/>
  <c r="F48" i="16"/>
  <c r="E49" i="16"/>
  <c r="F49" i="16"/>
  <c r="E50" i="16"/>
  <c r="F50" i="16"/>
  <c r="E51" i="16"/>
  <c r="F51" i="16"/>
  <c r="E52" i="16"/>
  <c r="F52" i="16"/>
  <c r="E53" i="16"/>
  <c r="F53" i="16"/>
  <c r="E54" i="16"/>
  <c r="F54" i="16"/>
  <c r="E55" i="16"/>
  <c r="F55" i="16"/>
  <c r="E56" i="16"/>
  <c r="F56" i="16"/>
  <c r="E57" i="16"/>
  <c r="F57" i="16"/>
  <c r="E58" i="16"/>
  <c r="F58" i="16"/>
  <c r="E59" i="16"/>
  <c r="F59" i="16"/>
  <c r="E60" i="16"/>
  <c r="F60" i="16"/>
  <c r="E61" i="16"/>
  <c r="F61" i="16"/>
  <c r="E62" i="16"/>
  <c r="F62" i="16"/>
  <c r="E63" i="16"/>
  <c r="F63" i="16"/>
  <c r="E64" i="16"/>
  <c r="F64" i="16"/>
  <c r="E65" i="16"/>
  <c r="F65" i="16"/>
  <c r="E66" i="16"/>
  <c r="F66" i="16"/>
  <c r="E67" i="16"/>
  <c r="F67" i="16"/>
  <c r="E68" i="16"/>
  <c r="F68" i="16"/>
  <c r="E69" i="16"/>
  <c r="F69" i="16"/>
  <c r="E70" i="16"/>
  <c r="F70" i="16"/>
  <c r="E71" i="16"/>
  <c r="F71" i="16"/>
  <c r="E72" i="16"/>
  <c r="F72" i="16"/>
  <c r="E73" i="16"/>
  <c r="F73" i="16"/>
  <c r="E74" i="16"/>
  <c r="F74" i="16"/>
  <c r="E75" i="16"/>
  <c r="F75" i="16"/>
  <c r="E76" i="16"/>
  <c r="F76" i="16"/>
  <c r="E77" i="16"/>
  <c r="F77" i="16"/>
  <c r="E78" i="16"/>
  <c r="F78" i="16"/>
  <c r="E79" i="16"/>
  <c r="F79" i="16"/>
  <c r="E80" i="16"/>
  <c r="F80" i="16"/>
  <c r="E81" i="16"/>
  <c r="F81" i="16"/>
  <c r="E82" i="16"/>
  <c r="F82" i="16"/>
  <c r="E83" i="16"/>
  <c r="F83" i="16"/>
  <c r="E84" i="16"/>
  <c r="F84" i="16"/>
  <c r="E85" i="16"/>
  <c r="F85" i="16"/>
  <c r="E86" i="16"/>
  <c r="F86" i="16"/>
  <c r="E87" i="16"/>
  <c r="F87" i="16"/>
  <c r="E88" i="16"/>
  <c r="F88" i="16"/>
  <c r="E89" i="16"/>
  <c r="F89" i="16"/>
  <c r="E90" i="16"/>
  <c r="F90" i="16"/>
  <c r="E91" i="16"/>
  <c r="F91" i="16"/>
  <c r="E92" i="16"/>
  <c r="F92" i="16"/>
  <c r="E93" i="16"/>
  <c r="F93" i="16"/>
  <c r="E94" i="16"/>
  <c r="F94" i="16"/>
  <c r="E95" i="16"/>
  <c r="F95" i="16"/>
  <c r="E96" i="16"/>
  <c r="F96" i="16"/>
  <c r="E97" i="16"/>
  <c r="F97" i="16"/>
  <c r="E98" i="16"/>
  <c r="F98" i="16"/>
  <c r="E99" i="16"/>
  <c r="F99" i="16"/>
  <c r="E100" i="16"/>
  <c r="F100" i="16"/>
  <c r="E101" i="16"/>
  <c r="F101" i="16"/>
  <c r="E102" i="16"/>
  <c r="F102" i="16"/>
  <c r="E103" i="16"/>
  <c r="F103" i="16"/>
  <c r="E104" i="16"/>
  <c r="F104" i="16"/>
  <c r="E105" i="16"/>
  <c r="F105" i="16"/>
  <c r="E106" i="16"/>
  <c r="F106" i="16"/>
  <c r="E107" i="16"/>
  <c r="F107" i="16"/>
  <c r="E108" i="16"/>
  <c r="F108" i="16"/>
  <c r="E109" i="16"/>
  <c r="F109" i="16"/>
  <c r="E110" i="16"/>
  <c r="F110" i="16"/>
  <c r="E111" i="16"/>
  <c r="F111" i="16"/>
  <c r="F4" i="16"/>
  <c r="E4" i="16"/>
  <c r="D3" i="14"/>
  <c r="F3" i="14" s="1"/>
  <c r="E3" i="14"/>
  <c r="G3" i="14"/>
  <c r="D4" i="14"/>
  <c r="E4" i="14" s="1"/>
  <c r="F4" i="14" s="1"/>
  <c r="G4" i="14"/>
  <c r="D5" i="14"/>
  <c r="F5" i="14" s="1"/>
  <c r="E5" i="14"/>
  <c r="G5" i="14"/>
  <c r="D6" i="14"/>
  <c r="E6" i="14" s="1"/>
  <c r="F6" i="14"/>
  <c r="G6" i="14"/>
  <c r="D7" i="14"/>
  <c r="E7" i="14"/>
  <c r="G7" i="14"/>
  <c r="D8" i="14"/>
  <c r="E8" i="14" s="1"/>
  <c r="F8" i="14"/>
  <c r="G8" i="14"/>
  <c r="D9" i="14"/>
  <c r="F9" i="14" s="1"/>
  <c r="E9" i="14"/>
  <c r="G9" i="14"/>
  <c r="D10" i="14"/>
  <c r="E10" i="14" s="1"/>
  <c r="F10" i="14"/>
  <c r="G10" i="14"/>
  <c r="D11" i="14"/>
  <c r="F11" i="14" s="1"/>
  <c r="E11" i="14"/>
  <c r="G11" i="14"/>
  <c r="D12" i="14"/>
  <c r="E12" i="14" s="1"/>
  <c r="F12" i="14" s="1"/>
  <c r="G12" i="14"/>
  <c r="D13" i="14"/>
  <c r="F13" i="14" s="1"/>
  <c r="E13" i="14"/>
  <c r="G13" i="14"/>
  <c r="D14" i="14"/>
  <c r="E14" i="14" s="1"/>
  <c r="F14" i="14"/>
  <c r="G14" i="14"/>
  <c r="D15" i="14"/>
  <c r="E15" i="14"/>
  <c r="G15" i="14"/>
  <c r="D16" i="14"/>
  <c r="E16" i="14" s="1"/>
  <c r="F16" i="14"/>
  <c r="G16" i="14"/>
  <c r="D17" i="14"/>
  <c r="F17" i="14" s="1"/>
  <c r="E17" i="14"/>
  <c r="G17" i="14"/>
  <c r="D18" i="14"/>
  <c r="E18" i="14" s="1"/>
  <c r="F18" i="14" s="1"/>
  <c r="G18" i="14"/>
  <c r="D19" i="14"/>
  <c r="F19" i="14" s="1"/>
  <c r="E19" i="14"/>
  <c r="G19" i="14"/>
  <c r="D20" i="14"/>
  <c r="E20" i="14" s="1"/>
  <c r="F20" i="14" s="1"/>
  <c r="G20" i="14"/>
  <c r="D21" i="14"/>
  <c r="F21" i="14" s="1"/>
  <c r="E21" i="14"/>
  <c r="G21" i="14"/>
  <c r="D22" i="14"/>
  <c r="E22" i="14" s="1"/>
  <c r="F22" i="14"/>
  <c r="G22" i="14"/>
  <c r="D23" i="14"/>
  <c r="E23" i="14"/>
  <c r="G23" i="14"/>
  <c r="D24" i="14"/>
  <c r="E24" i="14" s="1"/>
  <c r="F24" i="14"/>
  <c r="G24" i="14"/>
  <c r="D25" i="14"/>
  <c r="F25" i="14" s="1"/>
  <c r="E25" i="14"/>
  <c r="G25" i="14"/>
  <c r="D26" i="14"/>
  <c r="E26" i="14" s="1"/>
  <c r="F26" i="14"/>
  <c r="G26" i="14"/>
  <c r="D27" i="14"/>
  <c r="F27" i="14" s="1"/>
  <c r="E27" i="14"/>
  <c r="G27" i="14"/>
  <c r="D28" i="14"/>
  <c r="E28" i="14" s="1"/>
  <c r="F28" i="14" s="1"/>
  <c r="G28" i="14"/>
  <c r="D29" i="14"/>
  <c r="F29" i="14" s="1"/>
  <c r="E29" i="14"/>
  <c r="G29" i="14"/>
  <c r="D30" i="14"/>
  <c r="E30" i="14" s="1"/>
  <c r="F30" i="14"/>
  <c r="G30" i="14"/>
  <c r="D31" i="14"/>
  <c r="E31" i="14"/>
  <c r="G31" i="14"/>
  <c r="D32" i="14"/>
  <c r="E32" i="14" s="1"/>
  <c r="F32" i="14"/>
  <c r="G32" i="14"/>
  <c r="D33" i="14"/>
  <c r="G33" i="14"/>
  <c r="D34" i="14"/>
  <c r="E34" i="14" s="1"/>
  <c r="G34" i="14"/>
  <c r="D35" i="14"/>
  <c r="G35" i="14"/>
  <c r="D36" i="14"/>
  <c r="E36" i="14" s="1"/>
  <c r="G36" i="14"/>
  <c r="D37" i="14"/>
  <c r="G37" i="14"/>
  <c r="D38" i="14"/>
  <c r="E38" i="14" s="1"/>
  <c r="F38" i="14"/>
  <c r="G38" i="14"/>
  <c r="D39" i="14"/>
  <c r="E39" i="14"/>
  <c r="G39" i="14"/>
  <c r="D40" i="14"/>
  <c r="E40" i="14" s="1"/>
  <c r="F40" i="14"/>
  <c r="G40" i="14"/>
  <c r="D41" i="14"/>
  <c r="G41" i="14"/>
  <c r="D42" i="14"/>
  <c r="E42" i="14" s="1"/>
  <c r="G42" i="14"/>
  <c r="D43" i="14"/>
  <c r="G43" i="14"/>
  <c r="D44" i="14"/>
  <c r="E44" i="14" s="1"/>
  <c r="G44" i="14"/>
  <c r="D45" i="14"/>
  <c r="G45" i="14"/>
  <c r="D46" i="14"/>
  <c r="E46" i="14" s="1"/>
  <c r="F46" i="14"/>
  <c r="G46" i="14"/>
  <c r="D47" i="14"/>
  <c r="E47" i="14"/>
  <c r="G47" i="14"/>
  <c r="D48" i="14"/>
  <c r="E48" i="14" s="1"/>
  <c r="F48" i="14"/>
  <c r="G48" i="14"/>
  <c r="D49" i="14"/>
  <c r="G49" i="14"/>
  <c r="D50" i="14"/>
  <c r="E50" i="14" s="1"/>
  <c r="G50" i="14"/>
  <c r="D51" i="14"/>
  <c r="G51" i="14"/>
  <c r="D52" i="14"/>
  <c r="E52" i="14" s="1"/>
  <c r="G52" i="14"/>
  <c r="D53" i="14"/>
  <c r="G53" i="14"/>
  <c r="D54" i="14"/>
  <c r="E54" i="14" s="1"/>
  <c r="F54" i="14"/>
  <c r="G54" i="14"/>
  <c r="D55" i="14"/>
  <c r="E55" i="14"/>
  <c r="G55" i="14"/>
  <c r="D56" i="14"/>
  <c r="E56" i="14" s="1"/>
  <c r="F56" i="14"/>
  <c r="G56" i="14"/>
  <c r="D57" i="14"/>
  <c r="G57" i="14"/>
  <c r="D58" i="14"/>
  <c r="E58" i="14" s="1"/>
  <c r="G58" i="14"/>
  <c r="D59" i="14"/>
  <c r="G59" i="14"/>
  <c r="D60" i="14"/>
  <c r="E60" i="14" s="1"/>
  <c r="G60" i="14"/>
  <c r="D61" i="14"/>
  <c r="G61" i="14"/>
  <c r="D62" i="14"/>
  <c r="E62" i="14" s="1"/>
  <c r="F62" i="14"/>
  <c r="G62" i="14"/>
  <c r="D63" i="14"/>
  <c r="E63" i="14"/>
  <c r="G63" i="14"/>
  <c r="D64" i="14"/>
  <c r="E64" i="14" s="1"/>
  <c r="F64" i="14"/>
  <c r="G64" i="14"/>
  <c r="D65" i="14"/>
  <c r="G65" i="14"/>
  <c r="D66" i="14"/>
  <c r="E66" i="14" s="1"/>
  <c r="G66" i="14"/>
  <c r="D67" i="14"/>
  <c r="G67" i="14"/>
  <c r="D68" i="14"/>
  <c r="E68" i="14" s="1"/>
  <c r="G68" i="14"/>
  <c r="D69" i="14"/>
  <c r="G69" i="14"/>
  <c r="D70" i="14"/>
  <c r="E70" i="14" s="1"/>
  <c r="F70" i="14"/>
  <c r="G70" i="14"/>
  <c r="D71" i="14"/>
  <c r="E71" i="14"/>
  <c r="G71" i="14"/>
  <c r="D72" i="14"/>
  <c r="E72" i="14" s="1"/>
  <c r="F72" i="14"/>
  <c r="G72" i="14"/>
  <c r="D73" i="14"/>
  <c r="G73" i="14"/>
  <c r="D74" i="14"/>
  <c r="E74" i="14" s="1"/>
  <c r="G74" i="14"/>
  <c r="D75" i="14"/>
  <c r="G75" i="14"/>
  <c r="D76" i="14"/>
  <c r="E76" i="14" s="1"/>
  <c r="G76" i="14"/>
  <c r="D77" i="14"/>
  <c r="G77" i="14"/>
  <c r="D78" i="14"/>
  <c r="E78" i="14" s="1"/>
  <c r="F78" i="14"/>
  <c r="G78" i="14"/>
  <c r="D79" i="14"/>
  <c r="E79" i="14"/>
  <c r="G79" i="14"/>
  <c r="D80" i="14"/>
  <c r="E80" i="14" s="1"/>
  <c r="F80" i="14"/>
  <c r="G80" i="14"/>
  <c r="D81" i="14"/>
  <c r="G81" i="14"/>
  <c r="D82" i="14"/>
  <c r="E82" i="14" s="1"/>
  <c r="G82" i="14"/>
  <c r="D83" i="14"/>
  <c r="G83" i="14"/>
  <c r="D84" i="14"/>
  <c r="E84" i="14" s="1"/>
  <c r="G84" i="14"/>
  <c r="D85" i="14"/>
  <c r="G85" i="14"/>
  <c r="D86" i="14"/>
  <c r="E86" i="14" s="1"/>
  <c r="F86" i="14"/>
  <c r="G86" i="14"/>
  <c r="D87" i="14"/>
  <c r="E87" i="14"/>
  <c r="G87" i="14"/>
  <c r="D88" i="14"/>
  <c r="E88" i="14" s="1"/>
  <c r="F88" i="14"/>
  <c r="G88" i="14"/>
  <c r="D89" i="14"/>
  <c r="G89" i="14"/>
  <c r="D90" i="14"/>
  <c r="E90" i="14" s="1"/>
  <c r="G90" i="14"/>
  <c r="D91" i="14"/>
  <c r="G91" i="14"/>
  <c r="D92" i="14"/>
  <c r="E92" i="14" s="1"/>
  <c r="G92" i="14"/>
  <c r="D93" i="14"/>
  <c r="G93" i="14"/>
  <c r="D94" i="14"/>
  <c r="E94" i="14" s="1"/>
  <c r="F94" i="14"/>
  <c r="G94" i="14"/>
  <c r="D95" i="14"/>
  <c r="E95" i="14"/>
  <c r="G95" i="14"/>
  <c r="D96" i="14"/>
  <c r="E96" i="14" s="1"/>
  <c r="F96" i="14"/>
  <c r="G96" i="14"/>
  <c r="D97" i="14"/>
  <c r="G97" i="14"/>
  <c r="D98" i="14"/>
  <c r="E98" i="14" s="1"/>
  <c r="G98" i="14"/>
  <c r="D99" i="14"/>
  <c r="G99" i="14"/>
  <c r="D100" i="14"/>
  <c r="E100" i="14" s="1"/>
  <c r="G100" i="14"/>
  <c r="D101" i="14"/>
  <c r="G101" i="14"/>
  <c r="D102" i="14"/>
  <c r="E102" i="14" s="1"/>
  <c r="F102" i="14"/>
  <c r="G102" i="14"/>
  <c r="D103" i="14"/>
  <c r="E103" i="14"/>
  <c r="G103" i="14"/>
  <c r="D104" i="14"/>
  <c r="E104" i="14" s="1"/>
  <c r="F104" i="14"/>
  <c r="G104" i="14"/>
  <c r="D105" i="14"/>
  <c r="G105" i="14"/>
  <c r="D106" i="14"/>
  <c r="E106" i="14" s="1"/>
  <c r="G106" i="14"/>
  <c r="D107" i="14"/>
  <c r="G107" i="14"/>
  <c r="D108" i="14"/>
  <c r="E108" i="14" s="1"/>
  <c r="G108" i="14"/>
  <c r="D109" i="14"/>
  <c r="G109" i="14"/>
  <c r="D110" i="14"/>
  <c r="E110" i="14" s="1"/>
  <c r="F110" i="14"/>
  <c r="G110" i="14"/>
  <c r="D111" i="14"/>
  <c r="E111" i="14"/>
  <c r="G111" i="14"/>
  <c r="D112" i="14"/>
  <c r="E112" i="14" s="1"/>
  <c r="F112" i="14"/>
  <c r="G112" i="14"/>
  <c r="D113" i="14"/>
  <c r="G113" i="14"/>
  <c r="D114" i="14"/>
  <c r="E114" i="14" s="1"/>
  <c r="G114" i="14"/>
  <c r="D115" i="14"/>
  <c r="G115" i="14"/>
  <c r="D116" i="14"/>
  <c r="E116" i="14" s="1"/>
  <c r="G116" i="14"/>
  <c r="D117" i="14"/>
  <c r="G117" i="14"/>
  <c r="D118" i="14"/>
  <c r="E118" i="14" s="1"/>
  <c r="F118" i="14"/>
  <c r="G118" i="14"/>
  <c r="D119" i="14"/>
  <c r="E119" i="14"/>
  <c r="G119" i="14"/>
  <c r="D120" i="14"/>
  <c r="E120" i="14" s="1"/>
  <c r="F120" i="14"/>
  <c r="G120" i="14"/>
  <c r="D121" i="14"/>
  <c r="G121" i="14"/>
  <c r="D122" i="14"/>
  <c r="E122" i="14" s="1"/>
  <c r="G122" i="14"/>
  <c r="D123" i="14"/>
  <c r="G123" i="14"/>
  <c r="D124" i="14"/>
  <c r="E124" i="14" s="1"/>
  <c r="G124" i="14"/>
  <c r="D125" i="14"/>
  <c r="G125" i="14"/>
  <c r="D126" i="14"/>
  <c r="E126" i="14" s="1"/>
  <c r="F126" i="14"/>
  <c r="G126" i="14"/>
  <c r="D127" i="14"/>
  <c r="E127" i="14"/>
  <c r="G127" i="14"/>
  <c r="D128" i="14"/>
  <c r="E128" i="14" s="1"/>
  <c r="F128" i="14"/>
  <c r="G128" i="14"/>
  <c r="D129" i="14"/>
  <c r="G129" i="14"/>
  <c r="D130" i="14"/>
  <c r="E130" i="14" s="1"/>
  <c r="G130" i="14"/>
  <c r="D131" i="14"/>
  <c r="G131" i="14"/>
  <c r="D132" i="14"/>
  <c r="E132" i="14" s="1"/>
  <c r="G132" i="14"/>
  <c r="D133" i="14"/>
  <c r="G133" i="14"/>
  <c r="D134" i="14"/>
  <c r="E134" i="14" s="1"/>
  <c r="F134" i="14"/>
  <c r="G134" i="14"/>
  <c r="D135" i="14"/>
  <c r="E135" i="14"/>
  <c r="G135" i="14"/>
  <c r="D136" i="14"/>
  <c r="E136" i="14" s="1"/>
  <c r="F136" i="14"/>
  <c r="G136" i="14"/>
  <c r="D137" i="14"/>
  <c r="G137" i="14"/>
  <c r="D138" i="14"/>
  <c r="E138" i="14" s="1"/>
  <c r="G138" i="14"/>
  <c r="D139" i="14"/>
  <c r="G139" i="14"/>
  <c r="D140" i="14"/>
  <c r="E140" i="14" s="1"/>
  <c r="G140" i="14"/>
  <c r="D141" i="14"/>
  <c r="G141" i="14"/>
  <c r="D142" i="14"/>
  <c r="E142" i="14" s="1"/>
  <c r="F142" i="14"/>
  <c r="G142" i="14"/>
  <c r="D143" i="14"/>
  <c r="E143" i="14"/>
  <c r="G143" i="14"/>
  <c r="D144" i="14"/>
  <c r="E144" i="14" s="1"/>
  <c r="F144" i="14"/>
  <c r="G144" i="14"/>
  <c r="D145" i="14"/>
  <c r="G145" i="14"/>
  <c r="D146" i="14"/>
  <c r="E146" i="14" s="1"/>
  <c r="G146" i="14"/>
  <c r="D147" i="14"/>
  <c r="G147" i="14"/>
  <c r="D148" i="14"/>
  <c r="E148" i="14" s="1"/>
  <c r="G148" i="14"/>
  <c r="D149" i="14"/>
  <c r="G149" i="14"/>
  <c r="D150" i="14"/>
  <c r="E150" i="14" s="1"/>
  <c r="F150" i="14"/>
  <c r="G150" i="14"/>
  <c r="D151" i="14"/>
  <c r="E151" i="14"/>
  <c r="G151" i="14"/>
  <c r="D152" i="14"/>
  <c r="E152" i="14" s="1"/>
  <c r="F152" i="14"/>
  <c r="G152" i="14"/>
  <c r="D153" i="14"/>
  <c r="G153" i="14"/>
  <c r="D154" i="14"/>
  <c r="E154" i="14" s="1"/>
  <c r="G154" i="14"/>
  <c r="D155" i="14"/>
  <c r="G155" i="14"/>
  <c r="D156" i="14"/>
  <c r="E156" i="14" s="1"/>
  <c r="G156" i="14"/>
  <c r="D157" i="14"/>
  <c r="G157" i="14"/>
  <c r="D158" i="14"/>
  <c r="E158" i="14" s="1"/>
  <c r="F158" i="14"/>
  <c r="G158" i="14"/>
  <c r="D159" i="14"/>
  <c r="E159" i="14"/>
  <c r="G159" i="14"/>
  <c r="D160" i="14"/>
  <c r="E160" i="14" s="1"/>
  <c r="F160" i="14"/>
  <c r="G160" i="14"/>
  <c r="D161" i="14"/>
  <c r="G161" i="14"/>
  <c r="D162" i="14"/>
  <c r="E162" i="14" s="1"/>
  <c r="G162" i="14"/>
  <c r="D163" i="14"/>
  <c r="G163" i="14"/>
  <c r="D164" i="14"/>
  <c r="E164" i="14" s="1"/>
  <c r="G164" i="14"/>
  <c r="D165" i="14"/>
  <c r="G165" i="14"/>
  <c r="D166" i="14"/>
  <c r="E166" i="14" s="1"/>
  <c r="F166" i="14"/>
  <c r="G166" i="14"/>
  <c r="D167" i="14"/>
  <c r="E167" i="14"/>
  <c r="G167" i="14"/>
  <c r="D168" i="14"/>
  <c r="E168" i="14" s="1"/>
  <c r="F168" i="14"/>
  <c r="G168" i="14"/>
  <c r="D169" i="14"/>
  <c r="G169" i="14"/>
  <c r="D170" i="14"/>
  <c r="E170" i="14" s="1"/>
  <c r="G170" i="14"/>
  <c r="D171" i="14"/>
  <c r="G171" i="14"/>
  <c r="D172" i="14"/>
  <c r="E172" i="14" s="1"/>
  <c r="G172" i="14"/>
  <c r="D173" i="14"/>
  <c r="E173" i="14" s="1"/>
  <c r="G173" i="14"/>
  <c r="D174" i="14"/>
  <c r="G174" i="14"/>
  <c r="D175" i="14"/>
  <c r="E175" i="14" s="1"/>
  <c r="F175" i="14"/>
  <c r="G175" i="14"/>
  <c r="D176" i="14"/>
  <c r="G176" i="14"/>
  <c r="D177" i="14"/>
  <c r="E177" i="14" s="1"/>
  <c r="F177" i="14"/>
  <c r="G177" i="14"/>
  <c r="D178" i="14"/>
  <c r="G178" i="14"/>
  <c r="D179" i="14"/>
  <c r="E179" i="14" s="1"/>
  <c r="G179" i="14"/>
  <c r="D180" i="14"/>
  <c r="G180" i="14"/>
  <c r="D181" i="14"/>
  <c r="E181" i="14" s="1"/>
  <c r="G181" i="14"/>
  <c r="D182" i="14"/>
  <c r="G182" i="14"/>
  <c r="D183" i="14"/>
  <c r="E183" i="14" s="1"/>
  <c r="F183" i="14"/>
  <c r="G183" i="14"/>
  <c r="D184" i="14"/>
  <c r="G184" i="14"/>
  <c r="D185" i="14"/>
  <c r="E185" i="14" s="1"/>
  <c r="F185" i="14"/>
  <c r="G185" i="14"/>
  <c r="D186" i="14"/>
  <c r="G186" i="14"/>
  <c r="D187" i="14"/>
  <c r="E187" i="14" s="1"/>
  <c r="G187" i="14"/>
  <c r="D188" i="14"/>
  <c r="G188" i="14"/>
  <c r="D189" i="14"/>
  <c r="E189" i="14" s="1"/>
  <c r="G189" i="14"/>
  <c r="D190" i="14"/>
  <c r="G190" i="14"/>
  <c r="D191" i="14"/>
  <c r="E191" i="14" s="1"/>
  <c r="F191" i="14"/>
  <c r="G191" i="14"/>
  <c r="D192" i="14"/>
  <c r="G192" i="14"/>
  <c r="D193" i="14"/>
  <c r="E193" i="14" s="1"/>
  <c r="F193" i="14"/>
  <c r="G193" i="14"/>
  <c r="D194" i="14"/>
  <c r="G194" i="14"/>
  <c r="D195" i="14"/>
  <c r="E195" i="14" s="1"/>
  <c r="G195" i="14"/>
  <c r="D196" i="14"/>
  <c r="G196" i="14"/>
  <c r="D197" i="14"/>
  <c r="E197" i="14" s="1"/>
  <c r="G197" i="14"/>
  <c r="D198" i="14"/>
  <c r="G198" i="14"/>
  <c r="D199" i="14"/>
  <c r="E199" i="14" s="1"/>
  <c r="F199" i="14"/>
  <c r="G199" i="14"/>
  <c r="D200" i="14"/>
  <c r="G200" i="14"/>
  <c r="D201" i="14"/>
  <c r="E201" i="14" s="1"/>
  <c r="F201" i="14"/>
  <c r="G201" i="14"/>
  <c r="D202" i="14"/>
  <c r="G202" i="14"/>
  <c r="D203" i="14"/>
  <c r="E203" i="14" s="1"/>
  <c r="G203" i="14"/>
  <c r="D204" i="14"/>
  <c r="G204" i="14"/>
  <c r="D205" i="14"/>
  <c r="E205" i="14" s="1"/>
  <c r="G205" i="14"/>
  <c r="D206" i="14"/>
  <c r="G206" i="14"/>
  <c r="D207" i="14"/>
  <c r="E207" i="14" s="1"/>
  <c r="F207" i="14"/>
  <c r="G207" i="14"/>
  <c r="D208" i="14"/>
  <c r="G208" i="14"/>
  <c r="D209" i="14"/>
  <c r="E209" i="14" s="1"/>
  <c r="F209" i="14"/>
  <c r="G209" i="14"/>
  <c r="D210" i="14"/>
  <c r="E210" i="14"/>
  <c r="G210" i="14"/>
  <c r="D211" i="14"/>
  <c r="E211" i="14" s="1"/>
  <c r="F211" i="14" s="1"/>
  <c r="G211" i="14"/>
  <c r="D212" i="14"/>
  <c r="E212" i="14" s="1"/>
  <c r="G212" i="14"/>
  <c r="D213" i="14"/>
  <c r="E213" i="14" s="1"/>
  <c r="G213" i="14"/>
  <c r="D214" i="14"/>
  <c r="G214" i="14"/>
  <c r="D215" i="14"/>
  <c r="E215" i="14"/>
  <c r="F215" i="14" s="1"/>
  <c r="G215" i="14"/>
  <c r="D216" i="14"/>
  <c r="E216" i="14"/>
  <c r="G216" i="14"/>
  <c r="D217" i="14"/>
  <c r="E217" i="14"/>
  <c r="F217" i="14"/>
  <c r="G217" i="14"/>
  <c r="D218" i="14"/>
  <c r="E218" i="14"/>
  <c r="G218" i="14"/>
  <c r="D219" i="14"/>
  <c r="E219" i="14" s="1"/>
  <c r="G219" i="14"/>
  <c r="D220" i="14"/>
  <c r="E220" i="14" s="1"/>
  <c r="G220" i="14"/>
  <c r="D221" i="14"/>
  <c r="E221" i="14" s="1"/>
  <c r="G221" i="14"/>
  <c r="D222" i="14"/>
  <c r="E222" i="14" s="1"/>
  <c r="G222" i="14"/>
  <c r="D223" i="14"/>
  <c r="F223" i="14" s="1"/>
  <c r="E223" i="14"/>
  <c r="G223" i="14"/>
  <c r="D224" i="14"/>
  <c r="E224" i="14"/>
  <c r="G224" i="14"/>
  <c r="D225" i="14"/>
  <c r="E225" i="14"/>
  <c r="F225" i="14"/>
  <c r="G225" i="14"/>
  <c r="D226" i="14"/>
  <c r="E226" i="14"/>
  <c r="G226" i="14"/>
  <c r="D227" i="14"/>
  <c r="E227" i="14" s="1"/>
  <c r="F227" i="14" s="1"/>
  <c r="G227" i="14"/>
  <c r="D228" i="14"/>
  <c r="E228" i="14" s="1"/>
  <c r="G228" i="14"/>
  <c r="D229" i="14"/>
  <c r="E229" i="14" s="1"/>
  <c r="G229" i="14"/>
  <c r="D230" i="14"/>
  <c r="G230" i="14"/>
  <c r="D231" i="14"/>
  <c r="E231" i="14"/>
  <c r="F231" i="14" s="1"/>
  <c r="G231" i="14"/>
  <c r="D232" i="14"/>
  <c r="E232" i="14"/>
  <c r="G232" i="14"/>
  <c r="D233" i="14"/>
  <c r="E233" i="14"/>
  <c r="F233" i="14"/>
  <c r="G233" i="14"/>
  <c r="D234" i="14"/>
  <c r="E234" i="14"/>
  <c r="G234" i="14"/>
  <c r="D235" i="14"/>
  <c r="E235" i="14" s="1"/>
  <c r="G235" i="14"/>
  <c r="D236" i="14"/>
  <c r="E236" i="14" s="1"/>
  <c r="G236" i="14"/>
  <c r="D237" i="14"/>
  <c r="E237" i="14" s="1"/>
  <c r="G237" i="14"/>
  <c r="D238" i="14"/>
  <c r="E238" i="14" s="1"/>
  <c r="G238" i="14"/>
  <c r="D239" i="14"/>
  <c r="F239" i="14" s="1"/>
  <c r="E239" i="14"/>
  <c r="G239" i="14"/>
  <c r="D240" i="14"/>
  <c r="E240" i="14"/>
  <c r="G240" i="14"/>
  <c r="D241" i="14"/>
  <c r="E241" i="14"/>
  <c r="F241" i="14"/>
  <c r="G241" i="14"/>
  <c r="D242" i="14"/>
  <c r="E242" i="14"/>
  <c r="G242" i="14"/>
  <c r="D243" i="14"/>
  <c r="E243" i="14" s="1"/>
  <c r="F243" i="14" s="1"/>
  <c r="G243" i="14"/>
  <c r="D244" i="14"/>
  <c r="E244" i="14" s="1"/>
  <c r="G244" i="14"/>
  <c r="D245" i="14"/>
  <c r="E245" i="14" s="1"/>
  <c r="G245" i="14"/>
  <c r="D246" i="14"/>
  <c r="G246" i="14"/>
  <c r="D247" i="14"/>
  <c r="E247" i="14"/>
  <c r="F247" i="14" s="1"/>
  <c r="G247" i="14"/>
  <c r="D248" i="14"/>
  <c r="E248" i="14"/>
  <c r="G248" i="14"/>
  <c r="D249" i="14"/>
  <c r="E249" i="14"/>
  <c r="F249" i="14"/>
  <c r="G249" i="14"/>
  <c r="D250" i="14"/>
  <c r="E250" i="14"/>
  <c r="G250" i="14"/>
  <c r="D251" i="14"/>
  <c r="E251" i="14" s="1"/>
  <c r="G251" i="14"/>
  <c r="D252" i="14"/>
  <c r="E252" i="14" s="1"/>
  <c r="G252" i="14"/>
  <c r="D253" i="14"/>
  <c r="E253" i="14" s="1"/>
  <c r="G253" i="14"/>
  <c r="D254" i="14"/>
  <c r="E254" i="14" s="1"/>
  <c r="G254" i="14"/>
  <c r="D255" i="14"/>
  <c r="F255" i="14" s="1"/>
  <c r="E255" i="14"/>
  <c r="G255" i="14"/>
  <c r="D256" i="14"/>
  <c r="E256" i="14"/>
  <c r="G256" i="14"/>
  <c r="D257" i="14"/>
  <c r="E257" i="14"/>
  <c r="F257" i="14"/>
  <c r="G257" i="14"/>
  <c r="D258" i="14"/>
  <c r="E258" i="14"/>
  <c r="F258" i="14"/>
  <c r="G258" i="14"/>
  <c r="D259" i="14"/>
  <c r="E259" i="14"/>
  <c r="F259" i="14"/>
  <c r="G259" i="14"/>
  <c r="D260" i="14"/>
  <c r="E260" i="14"/>
  <c r="F260" i="14"/>
  <c r="G260" i="14"/>
  <c r="D261" i="14"/>
  <c r="E261" i="14"/>
  <c r="F261" i="14"/>
  <c r="G261" i="14"/>
  <c r="D262" i="14"/>
  <c r="E262" i="14"/>
  <c r="F262" i="14"/>
  <c r="G262" i="14"/>
  <c r="D263" i="14"/>
  <c r="E263" i="14"/>
  <c r="F263" i="14"/>
  <c r="G263" i="14"/>
  <c r="D264" i="14"/>
  <c r="E264" i="14"/>
  <c r="F264" i="14"/>
  <c r="G264" i="14"/>
  <c r="D265" i="14"/>
  <c r="E265" i="14"/>
  <c r="F265" i="14"/>
  <c r="G265" i="14"/>
  <c r="D266" i="14"/>
  <c r="E266" i="14"/>
  <c r="F266" i="14"/>
  <c r="G266" i="14"/>
  <c r="D267" i="14"/>
  <c r="E267" i="14"/>
  <c r="F267" i="14"/>
  <c r="G267" i="14"/>
  <c r="D268" i="14"/>
  <c r="E268" i="14"/>
  <c r="F268" i="14"/>
  <c r="G268" i="14"/>
  <c r="D269" i="14"/>
  <c r="E269" i="14"/>
  <c r="F269" i="14"/>
  <c r="G269" i="14"/>
  <c r="D270" i="14"/>
  <c r="E270" i="14"/>
  <c r="F270" i="14"/>
  <c r="G270" i="14"/>
  <c r="D271" i="14"/>
  <c r="E271" i="14"/>
  <c r="F271" i="14"/>
  <c r="G271" i="14"/>
  <c r="D272" i="14"/>
  <c r="E272" i="14"/>
  <c r="F272" i="14"/>
  <c r="G272" i="14"/>
  <c r="D273" i="14"/>
  <c r="E273" i="14"/>
  <c r="F273" i="14"/>
  <c r="G273" i="14"/>
  <c r="D274" i="14"/>
  <c r="E274" i="14"/>
  <c r="F274" i="14"/>
  <c r="G274" i="14"/>
  <c r="D275" i="14"/>
  <c r="E275" i="14"/>
  <c r="F275" i="14"/>
  <c r="G275" i="14"/>
  <c r="D276" i="14"/>
  <c r="E276" i="14"/>
  <c r="F276" i="14"/>
  <c r="G276" i="14"/>
  <c r="D277" i="14"/>
  <c r="E277" i="14"/>
  <c r="F277" i="14"/>
  <c r="G277" i="14"/>
  <c r="D278" i="14"/>
  <c r="E278" i="14"/>
  <c r="F278" i="14"/>
  <c r="G278" i="14"/>
  <c r="D279" i="14"/>
  <c r="E279" i="14"/>
  <c r="F279" i="14"/>
  <c r="G279" i="14"/>
  <c r="D280" i="14"/>
  <c r="E280" i="14"/>
  <c r="F280" i="14"/>
  <c r="G280" i="14"/>
  <c r="D281" i="14"/>
  <c r="E281" i="14"/>
  <c r="F281" i="14"/>
  <c r="G281" i="14"/>
  <c r="D282" i="14"/>
  <c r="E282" i="14"/>
  <c r="F282" i="14"/>
  <c r="G282" i="14"/>
  <c r="D283" i="14"/>
  <c r="E283" i="14"/>
  <c r="F283" i="14"/>
  <c r="G283" i="14"/>
  <c r="D284" i="14"/>
  <c r="E284" i="14"/>
  <c r="F284" i="14"/>
  <c r="G284" i="14"/>
  <c r="D285" i="14"/>
  <c r="E285" i="14"/>
  <c r="F285" i="14"/>
  <c r="G285" i="14"/>
  <c r="D286" i="14"/>
  <c r="E286" i="14"/>
  <c r="F286" i="14"/>
  <c r="G286" i="14"/>
  <c r="D287" i="14"/>
  <c r="E287" i="14"/>
  <c r="F287" i="14"/>
  <c r="G287" i="14"/>
  <c r="D288" i="14"/>
  <c r="E288" i="14"/>
  <c r="F288" i="14"/>
  <c r="G288" i="14"/>
  <c r="D289" i="14"/>
  <c r="E289" i="14"/>
  <c r="F289" i="14"/>
  <c r="G289" i="14"/>
  <c r="D290" i="14"/>
  <c r="E290" i="14"/>
  <c r="F290" i="14"/>
  <c r="G290" i="14"/>
  <c r="D291" i="14"/>
  <c r="E291" i="14"/>
  <c r="F291" i="14"/>
  <c r="G291" i="14"/>
  <c r="D292" i="14"/>
  <c r="E292" i="14"/>
  <c r="F292" i="14"/>
  <c r="G292" i="14"/>
  <c r="D293" i="14"/>
  <c r="E293" i="14"/>
  <c r="F293" i="14"/>
  <c r="G293" i="14"/>
  <c r="D294" i="14"/>
  <c r="E294" i="14"/>
  <c r="F294" i="14"/>
  <c r="G294" i="14"/>
  <c r="D295" i="14"/>
  <c r="E295" i="14"/>
  <c r="F295" i="14"/>
  <c r="G295" i="14"/>
  <c r="D296" i="14"/>
  <c r="E296" i="14"/>
  <c r="F296" i="14"/>
  <c r="G296" i="14"/>
  <c r="D297" i="14"/>
  <c r="E297" i="14"/>
  <c r="F297" i="14"/>
  <c r="G297" i="14"/>
  <c r="D298" i="14"/>
  <c r="E298" i="14"/>
  <c r="F298" i="14"/>
  <c r="G298" i="14"/>
  <c r="D299" i="14"/>
  <c r="E299" i="14"/>
  <c r="F299" i="14"/>
  <c r="G299" i="14"/>
  <c r="D300" i="14"/>
  <c r="E300" i="14"/>
  <c r="F300" i="14"/>
  <c r="G300" i="14"/>
  <c r="D301" i="14"/>
  <c r="E301" i="14"/>
  <c r="F301" i="14"/>
  <c r="G301" i="14"/>
  <c r="D302" i="14"/>
  <c r="E302" i="14"/>
  <c r="F302" i="14"/>
  <c r="G302" i="14"/>
  <c r="D303" i="14"/>
  <c r="E303" i="14"/>
  <c r="F303" i="14"/>
  <c r="G303" i="14"/>
  <c r="D304" i="14"/>
  <c r="E304" i="14"/>
  <c r="F304" i="14"/>
  <c r="G304" i="14"/>
  <c r="D305" i="14"/>
  <c r="E305" i="14"/>
  <c r="F305" i="14"/>
  <c r="G305" i="14"/>
  <c r="D306" i="14"/>
  <c r="E306" i="14"/>
  <c r="F306" i="14"/>
  <c r="G306" i="14"/>
  <c r="D307" i="14"/>
  <c r="E307" i="14"/>
  <c r="F307" i="14"/>
  <c r="G307" i="14"/>
  <c r="D308" i="14"/>
  <c r="E308" i="14"/>
  <c r="F308" i="14"/>
  <c r="G308" i="14"/>
  <c r="D309" i="14"/>
  <c r="E309" i="14"/>
  <c r="F309" i="14"/>
  <c r="G309" i="14"/>
  <c r="D310" i="14"/>
  <c r="E310" i="14"/>
  <c r="F310" i="14"/>
  <c r="G310" i="14"/>
  <c r="D311" i="14"/>
  <c r="E311" i="14"/>
  <c r="F311" i="14"/>
  <c r="G311" i="14"/>
  <c r="D312" i="14"/>
  <c r="E312" i="14"/>
  <c r="F312" i="14"/>
  <c r="G312" i="14"/>
  <c r="D313" i="14"/>
  <c r="E313" i="14"/>
  <c r="F313" i="14"/>
  <c r="G313" i="14"/>
  <c r="D314" i="14"/>
  <c r="E314" i="14"/>
  <c r="F314" i="14"/>
  <c r="G314" i="14"/>
  <c r="D315" i="14"/>
  <c r="E315" i="14"/>
  <c r="F315" i="14"/>
  <c r="G315" i="14"/>
  <c r="D316" i="14"/>
  <c r="E316" i="14"/>
  <c r="F316" i="14"/>
  <c r="G316" i="14"/>
  <c r="D317" i="14"/>
  <c r="E317" i="14"/>
  <c r="F317" i="14"/>
  <c r="G317" i="14"/>
  <c r="D318" i="14"/>
  <c r="E318" i="14"/>
  <c r="F318" i="14"/>
  <c r="G318" i="14"/>
  <c r="D319" i="14"/>
  <c r="E319" i="14"/>
  <c r="F319" i="14"/>
  <c r="G319" i="14"/>
  <c r="D320" i="14"/>
  <c r="E320" i="14"/>
  <c r="F320" i="14"/>
  <c r="G320" i="14"/>
  <c r="D321" i="14"/>
  <c r="E321" i="14"/>
  <c r="F321" i="14"/>
  <c r="G321" i="14"/>
  <c r="D322" i="14"/>
  <c r="E322" i="14"/>
  <c r="F322" i="14"/>
  <c r="G322" i="14"/>
  <c r="D323" i="14"/>
  <c r="E323" i="14"/>
  <c r="F323" i="14"/>
  <c r="G323" i="14"/>
  <c r="D324" i="14"/>
  <c r="E324" i="14"/>
  <c r="F324" i="14"/>
  <c r="G324" i="14"/>
  <c r="D325" i="14"/>
  <c r="E325" i="14"/>
  <c r="F325" i="14"/>
  <c r="G325" i="14"/>
  <c r="D326" i="14"/>
  <c r="E326" i="14"/>
  <c r="F326" i="14"/>
  <c r="G326" i="14"/>
  <c r="D327" i="14"/>
  <c r="E327" i="14"/>
  <c r="F327" i="14"/>
  <c r="G327" i="14"/>
  <c r="D328" i="14"/>
  <c r="E328" i="14"/>
  <c r="F328" i="14"/>
  <c r="G328" i="14"/>
  <c r="D329" i="14"/>
  <c r="E329" i="14"/>
  <c r="F329" i="14"/>
  <c r="G329" i="14"/>
  <c r="D330" i="14"/>
  <c r="E330" i="14"/>
  <c r="F330" i="14"/>
  <c r="G330" i="14"/>
  <c r="D331" i="14"/>
  <c r="E331" i="14"/>
  <c r="F331" i="14"/>
  <c r="G331" i="14"/>
  <c r="D332" i="14"/>
  <c r="E332" i="14"/>
  <c r="F332" i="14"/>
  <c r="G332" i="14"/>
  <c r="D333" i="14"/>
  <c r="E333" i="14"/>
  <c r="F333" i="14"/>
  <c r="G333" i="14"/>
  <c r="D334" i="14"/>
  <c r="E334" i="14"/>
  <c r="F334" i="14"/>
  <c r="G334" i="14"/>
  <c r="D335" i="14"/>
  <c r="E335" i="14"/>
  <c r="F335" i="14"/>
  <c r="G335" i="14"/>
  <c r="D336" i="14"/>
  <c r="E336" i="14"/>
  <c r="F336" i="14"/>
  <c r="G336" i="14"/>
  <c r="D337" i="14"/>
  <c r="E337" i="14"/>
  <c r="F337" i="14"/>
  <c r="G337" i="14"/>
  <c r="D338" i="14"/>
  <c r="E338" i="14"/>
  <c r="F338" i="14"/>
  <c r="G338" i="14"/>
  <c r="D339" i="14"/>
  <c r="E339" i="14"/>
  <c r="F339" i="14"/>
  <c r="G339" i="14"/>
  <c r="D340" i="14"/>
  <c r="E340" i="14"/>
  <c r="F340" i="14"/>
  <c r="G340" i="14"/>
  <c r="D341" i="14"/>
  <c r="E341" i="14"/>
  <c r="F341" i="14"/>
  <c r="G341" i="14"/>
  <c r="D342" i="14"/>
  <c r="E342" i="14"/>
  <c r="F342" i="14"/>
  <c r="G342" i="14"/>
  <c r="D343" i="14"/>
  <c r="E343" i="14"/>
  <c r="F343" i="14"/>
  <c r="G343" i="14"/>
  <c r="D344" i="14"/>
  <c r="E344" i="14"/>
  <c r="F344" i="14"/>
  <c r="G344" i="14"/>
  <c r="D345" i="14"/>
  <c r="E345" i="14"/>
  <c r="F345" i="14"/>
  <c r="G345" i="14"/>
  <c r="D346" i="14"/>
  <c r="E346" i="14"/>
  <c r="F346" i="14"/>
  <c r="G346" i="14"/>
  <c r="D347" i="14"/>
  <c r="E347" i="14"/>
  <c r="F347" i="14"/>
  <c r="G347" i="14"/>
  <c r="D348" i="14"/>
  <c r="E348" i="14"/>
  <c r="F348" i="14"/>
  <c r="G348" i="14"/>
  <c r="D349" i="14"/>
  <c r="E349" i="14"/>
  <c r="F349" i="14"/>
  <c r="G349" i="14"/>
  <c r="D350" i="14"/>
  <c r="E350" i="14"/>
  <c r="F350" i="14"/>
  <c r="G350" i="14"/>
  <c r="D351" i="14"/>
  <c r="E351" i="14"/>
  <c r="F351" i="14"/>
  <c r="G351" i="14"/>
  <c r="D352" i="14"/>
  <c r="E352" i="14"/>
  <c r="F352" i="14"/>
  <c r="G352" i="14"/>
  <c r="D353" i="14"/>
  <c r="E353" i="14"/>
  <c r="F353" i="14"/>
  <c r="G353" i="14"/>
  <c r="D354" i="14"/>
  <c r="E354" i="14"/>
  <c r="F354" i="14"/>
  <c r="G354" i="14"/>
  <c r="D355" i="14"/>
  <c r="E355" i="14"/>
  <c r="F355" i="14"/>
  <c r="G355" i="14"/>
  <c r="D356" i="14"/>
  <c r="E356" i="14"/>
  <c r="F356" i="14"/>
  <c r="G356" i="14"/>
  <c r="D357" i="14"/>
  <c r="E357" i="14"/>
  <c r="F357" i="14"/>
  <c r="G357" i="14"/>
  <c r="D358" i="14"/>
  <c r="E358" i="14"/>
  <c r="F358" i="14"/>
  <c r="G358" i="14"/>
  <c r="D359" i="14"/>
  <c r="E359" i="14"/>
  <c r="F359" i="14"/>
  <c r="G359" i="14"/>
  <c r="D360" i="14"/>
  <c r="E360" i="14"/>
  <c r="F360" i="14"/>
  <c r="G360" i="14"/>
  <c r="D361" i="14"/>
  <c r="E361" i="14"/>
  <c r="F361" i="14"/>
  <c r="G361" i="14"/>
  <c r="D362" i="14"/>
  <c r="E362" i="14"/>
  <c r="F362" i="14"/>
  <c r="G362" i="14"/>
  <c r="G2" i="14"/>
  <c r="E2" i="14"/>
  <c r="F2" i="14" s="1"/>
  <c r="D2" i="1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2" i="4"/>
  <c r="G3" i="4"/>
  <c r="H3" i="4"/>
  <c r="G4" i="4"/>
  <c r="H4" i="4"/>
  <c r="G5" i="4"/>
  <c r="H5" i="4"/>
  <c r="G6" i="4"/>
  <c r="H6" i="4"/>
  <c r="G7" i="4"/>
  <c r="H7" i="4"/>
  <c r="G8" i="4"/>
  <c r="H8" i="4"/>
  <c r="G9" i="4"/>
  <c r="H9" i="4"/>
  <c r="G10" i="4"/>
  <c r="H10" i="4"/>
  <c r="G11" i="4"/>
  <c r="H11" i="4"/>
  <c r="G12" i="4"/>
  <c r="H12" i="4"/>
  <c r="G13" i="4"/>
  <c r="H13" i="4"/>
  <c r="G14" i="4"/>
  <c r="H14" i="4"/>
  <c r="G15" i="4"/>
  <c r="H15" i="4"/>
  <c r="G16" i="4"/>
  <c r="H16" i="4"/>
  <c r="G17" i="4"/>
  <c r="H17" i="4"/>
  <c r="G18" i="4"/>
  <c r="H18" i="4"/>
  <c r="G19" i="4"/>
  <c r="H19" i="4"/>
  <c r="G20" i="4"/>
  <c r="H20" i="4"/>
  <c r="G21" i="4"/>
  <c r="H21" i="4"/>
  <c r="G22" i="4"/>
  <c r="H22" i="4"/>
  <c r="G23" i="4"/>
  <c r="H23" i="4"/>
  <c r="G24" i="4"/>
  <c r="H24" i="4"/>
  <c r="G25" i="4"/>
  <c r="H25" i="4"/>
  <c r="G26" i="4"/>
  <c r="H26" i="4"/>
  <c r="G27" i="4"/>
  <c r="H27" i="4"/>
  <c r="G28" i="4"/>
  <c r="H28" i="4"/>
  <c r="G29" i="4"/>
  <c r="H29" i="4"/>
  <c r="G30" i="4"/>
  <c r="H30" i="4"/>
  <c r="G31" i="4"/>
  <c r="H31" i="4"/>
  <c r="G32" i="4"/>
  <c r="H32" i="4"/>
  <c r="G33" i="4"/>
  <c r="H33" i="4"/>
  <c r="G34" i="4"/>
  <c r="H34" i="4"/>
  <c r="G35" i="4"/>
  <c r="H35" i="4"/>
  <c r="G36" i="4"/>
  <c r="H36" i="4"/>
  <c r="G37" i="4"/>
  <c r="H37" i="4"/>
  <c r="G38" i="4"/>
  <c r="H38" i="4"/>
  <c r="G39" i="4"/>
  <c r="H39" i="4"/>
  <c r="G40" i="4"/>
  <c r="H40" i="4"/>
  <c r="G41" i="4"/>
  <c r="H41" i="4"/>
  <c r="G42" i="4"/>
  <c r="H42" i="4"/>
  <c r="G43" i="4"/>
  <c r="H43" i="4"/>
  <c r="G44" i="4"/>
  <c r="H44" i="4"/>
  <c r="G45" i="4"/>
  <c r="H45" i="4"/>
  <c r="G46" i="4"/>
  <c r="H46" i="4"/>
  <c r="G47" i="4"/>
  <c r="H47" i="4"/>
  <c r="G48" i="4"/>
  <c r="H48" i="4"/>
  <c r="G49" i="4"/>
  <c r="H49" i="4"/>
  <c r="G50" i="4"/>
  <c r="H50" i="4"/>
  <c r="G51" i="4"/>
  <c r="H51" i="4"/>
  <c r="G52" i="4"/>
  <c r="H52" i="4"/>
  <c r="G53" i="4"/>
  <c r="H53" i="4"/>
  <c r="G54" i="4"/>
  <c r="H54" i="4"/>
  <c r="G55" i="4"/>
  <c r="H55" i="4"/>
  <c r="G56" i="4"/>
  <c r="H56" i="4"/>
  <c r="G57" i="4"/>
  <c r="H57" i="4"/>
  <c r="G58" i="4"/>
  <c r="H58" i="4"/>
  <c r="G59" i="4"/>
  <c r="H59" i="4"/>
  <c r="G60" i="4"/>
  <c r="H60" i="4"/>
  <c r="G61" i="4"/>
  <c r="H61" i="4"/>
  <c r="G62" i="4"/>
  <c r="H62" i="4"/>
  <c r="G63" i="4"/>
  <c r="H63" i="4"/>
  <c r="G64" i="4"/>
  <c r="H64" i="4"/>
  <c r="G65" i="4"/>
  <c r="H65" i="4"/>
  <c r="G66" i="4"/>
  <c r="H66" i="4"/>
  <c r="G67" i="4"/>
  <c r="H67" i="4"/>
  <c r="G68" i="4"/>
  <c r="H68" i="4"/>
  <c r="G69" i="4"/>
  <c r="H69" i="4"/>
  <c r="G70" i="4"/>
  <c r="H70" i="4"/>
  <c r="G71" i="4"/>
  <c r="H71" i="4"/>
  <c r="G72" i="4"/>
  <c r="H72" i="4"/>
  <c r="G73" i="4"/>
  <c r="H73" i="4"/>
  <c r="G74" i="4"/>
  <c r="H74" i="4"/>
  <c r="G75" i="4"/>
  <c r="H75" i="4"/>
  <c r="G76" i="4"/>
  <c r="H76" i="4"/>
  <c r="G77" i="4"/>
  <c r="H77" i="4"/>
  <c r="G78" i="4"/>
  <c r="H78" i="4"/>
  <c r="G79" i="4"/>
  <c r="H79" i="4"/>
  <c r="G80" i="4"/>
  <c r="H80" i="4"/>
  <c r="G81" i="4"/>
  <c r="H81" i="4"/>
  <c r="G82" i="4"/>
  <c r="H82" i="4"/>
  <c r="G83" i="4"/>
  <c r="H83" i="4"/>
  <c r="G84" i="4"/>
  <c r="H84" i="4"/>
  <c r="G85" i="4"/>
  <c r="H85" i="4"/>
  <c r="G86" i="4"/>
  <c r="H86" i="4"/>
  <c r="G87" i="4"/>
  <c r="H87" i="4"/>
  <c r="G88" i="4"/>
  <c r="H88" i="4"/>
  <c r="G89" i="4"/>
  <c r="H89" i="4"/>
  <c r="G90" i="4"/>
  <c r="H90" i="4"/>
  <c r="G91" i="4"/>
  <c r="H91" i="4"/>
  <c r="G92" i="4"/>
  <c r="H92" i="4"/>
  <c r="G93" i="4"/>
  <c r="H93" i="4"/>
  <c r="G94" i="4"/>
  <c r="H94" i="4"/>
  <c r="G95" i="4"/>
  <c r="H95" i="4"/>
  <c r="G96" i="4"/>
  <c r="H96" i="4"/>
  <c r="G97" i="4"/>
  <c r="H97" i="4"/>
  <c r="G98" i="4"/>
  <c r="H98" i="4"/>
  <c r="G99" i="4"/>
  <c r="H99" i="4"/>
  <c r="G100" i="4"/>
  <c r="H100" i="4"/>
  <c r="G101" i="4"/>
  <c r="H101" i="4"/>
  <c r="G102" i="4"/>
  <c r="H102" i="4"/>
  <c r="G103" i="4"/>
  <c r="H103" i="4"/>
  <c r="G104" i="4"/>
  <c r="H104" i="4"/>
  <c r="G105" i="4"/>
  <c r="H105" i="4"/>
  <c r="G106" i="4"/>
  <c r="H106" i="4"/>
  <c r="G107" i="4"/>
  <c r="H107" i="4"/>
  <c r="G108" i="4"/>
  <c r="H108" i="4"/>
  <c r="G109" i="4"/>
  <c r="H109" i="4"/>
  <c r="G110" i="4"/>
  <c r="H110" i="4"/>
  <c r="G111" i="4"/>
  <c r="H111" i="4"/>
  <c r="G112" i="4"/>
  <c r="H112" i="4"/>
  <c r="G113" i="4"/>
  <c r="H113" i="4"/>
  <c r="G114" i="4"/>
  <c r="H114" i="4"/>
  <c r="G115" i="4"/>
  <c r="H115" i="4"/>
  <c r="G116" i="4"/>
  <c r="H116" i="4"/>
  <c r="G117" i="4"/>
  <c r="H117" i="4"/>
  <c r="G118" i="4"/>
  <c r="H118" i="4"/>
  <c r="G119" i="4"/>
  <c r="H119" i="4"/>
  <c r="G120" i="4"/>
  <c r="H120" i="4"/>
  <c r="G121" i="4"/>
  <c r="H121" i="4"/>
  <c r="G122" i="4"/>
  <c r="H122" i="4"/>
  <c r="G123" i="4"/>
  <c r="H123" i="4"/>
  <c r="G124" i="4"/>
  <c r="H124" i="4"/>
  <c r="G125" i="4"/>
  <c r="H125" i="4"/>
  <c r="G126" i="4"/>
  <c r="H126" i="4"/>
  <c r="G127" i="4"/>
  <c r="H127" i="4"/>
  <c r="G128" i="4"/>
  <c r="H128" i="4"/>
  <c r="G129" i="4"/>
  <c r="H129" i="4"/>
  <c r="G130" i="4"/>
  <c r="H130" i="4"/>
  <c r="G131" i="4"/>
  <c r="H131" i="4"/>
  <c r="G132" i="4"/>
  <c r="H132" i="4"/>
  <c r="G133" i="4"/>
  <c r="H133" i="4"/>
  <c r="G134" i="4"/>
  <c r="H134" i="4"/>
  <c r="G135" i="4"/>
  <c r="H135" i="4"/>
  <c r="G136" i="4"/>
  <c r="H136" i="4"/>
  <c r="G137" i="4"/>
  <c r="H137" i="4"/>
  <c r="G138" i="4"/>
  <c r="H138" i="4"/>
  <c r="G139" i="4"/>
  <c r="H139" i="4"/>
  <c r="G140" i="4"/>
  <c r="H140" i="4"/>
  <c r="G141" i="4"/>
  <c r="H141" i="4"/>
  <c r="G142" i="4"/>
  <c r="H142" i="4"/>
  <c r="G143" i="4"/>
  <c r="H143" i="4"/>
  <c r="G144" i="4"/>
  <c r="H144" i="4"/>
  <c r="G145" i="4"/>
  <c r="H145" i="4"/>
  <c r="G146" i="4"/>
  <c r="H146" i="4"/>
  <c r="G147" i="4"/>
  <c r="H147" i="4"/>
  <c r="G148" i="4"/>
  <c r="H148" i="4"/>
  <c r="G149" i="4"/>
  <c r="H149" i="4"/>
  <c r="G150" i="4"/>
  <c r="H150" i="4"/>
  <c r="G151" i="4"/>
  <c r="H151" i="4"/>
  <c r="G152" i="4"/>
  <c r="H152" i="4"/>
  <c r="G153" i="4"/>
  <c r="H153" i="4"/>
  <c r="G154" i="4"/>
  <c r="H154" i="4"/>
  <c r="G155" i="4"/>
  <c r="H155" i="4"/>
  <c r="G156" i="4"/>
  <c r="H156" i="4"/>
  <c r="G157" i="4"/>
  <c r="H157" i="4"/>
  <c r="G158" i="4"/>
  <c r="H158" i="4"/>
  <c r="G159" i="4"/>
  <c r="H159" i="4"/>
  <c r="G160" i="4"/>
  <c r="H160" i="4"/>
  <c r="G161" i="4"/>
  <c r="H161" i="4"/>
  <c r="G162" i="4"/>
  <c r="H162" i="4"/>
  <c r="G163" i="4"/>
  <c r="H163" i="4"/>
  <c r="G164" i="4"/>
  <c r="H164" i="4"/>
  <c r="G165" i="4"/>
  <c r="H165" i="4"/>
  <c r="G166" i="4"/>
  <c r="H166" i="4"/>
  <c r="G167" i="4"/>
  <c r="H167" i="4"/>
  <c r="G168" i="4"/>
  <c r="H168" i="4"/>
  <c r="G169" i="4"/>
  <c r="H169" i="4"/>
  <c r="G170" i="4"/>
  <c r="H170" i="4"/>
  <c r="G171" i="4"/>
  <c r="H171" i="4"/>
  <c r="G172" i="4"/>
  <c r="H172" i="4"/>
  <c r="G173" i="4"/>
  <c r="H173" i="4"/>
  <c r="G174" i="4"/>
  <c r="H174" i="4"/>
  <c r="G175" i="4"/>
  <c r="H175" i="4"/>
  <c r="G176" i="4"/>
  <c r="H176" i="4"/>
  <c r="G177" i="4"/>
  <c r="H177" i="4"/>
  <c r="G178" i="4"/>
  <c r="H178" i="4"/>
  <c r="G179" i="4"/>
  <c r="H179" i="4"/>
  <c r="G180" i="4"/>
  <c r="H180" i="4"/>
  <c r="G181" i="4"/>
  <c r="H181" i="4"/>
  <c r="G182" i="4"/>
  <c r="H182" i="4"/>
  <c r="G183" i="4"/>
  <c r="H183" i="4"/>
  <c r="G184" i="4"/>
  <c r="H184" i="4"/>
  <c r="G185" i="4"/>
  <c r="H185" i="4"/>
  <c r="G186" i="4"/>
  <c r="H186" i="4"/>
  <c r="G187" i="4"/>
  <c r="H187" i="4"/>
  <c r="G188" i="4"/>
  <c r="H188" i="4"/>
  <c r="G189" i="4"/>
  <c r="H189" i="4"/>
  <c r="G190" i="4"/>
  <c r="H190" i="4"/>
  <c r="G191" i="4"/>
  <c r="H191" i="4"/>
  <c r="G192" i="4"/>
  <c r="H192" i="4"/>
  <c r="G193" i="4"/>
  <c r="H193" i="4"/>
  <c r="G194" i="4"/>
  <c r="H194" i="4"/>
  <c r="G195" i="4"/>
  <c r="H195" i="4"/>
  <c r="G196" i="4"/>
  <c r="H196" i="4"/>
  <c r="G197" i="4"/>
  <c r="H197" i="4"/>
  <c r="G198" i="4"/>
  <c r="H198" i="4"/>
  <c r="G199" i="4"/>
  <c r="H199" i="4"/>
  <c r="G200" i="4"/>
  <c r="H200" i="4"/>
  <c r="G201" i="4"/>
  <c r="H201" i="4"/>
  <c r="G202" i="4"/>
  <c r="H202" i="4"/>
  <c r="G203" i="4"/>
  <c r="H203" i="4"/>
  <c r="G204" i="4"/>
  <c r="H204" i="4"/>
  <c r="G205" i="4"/>
  <c r="H205" i="4"/>
  <c r="G206" i="4"/>
  <c r="H206" i="4"/>
  <c r="G207" i="4"/>
  <c r="H207" i="4"/>
  <c r="G208" i="4"/>
  <c r="H208" i="4"/>
  <c r="G209" i="4"/>
  <c r="H209" i="4"/>
  <c r="G210" i="4"/>
  <c r="H210" i="4"/>
  <c r="G211" i="4"/>
  <c r="H211" i="4"/>
  <c r="G212" i="4"/>
  <c r="H212" i="4"/>
  <c r="G213" i="4"/>
  <c r="H213" i="4"/>
  <c r="G214" i="4"/>
  <c r="H214" i="4"/>
  <c r="G215" i="4"/>
  <c r="H215" i="4"/>
  <c r="G216" i="4"/>
  <c r="H216" i="4"/>
  <c r="G217" i="4"/>
  <c r="H217" i="4"/>
  <c r="G218" i="4"/>
  <c r="H218" i="4"/>
  <c r="G219" i="4"/>
  <c r="H219" i="4"/>
  <c r="G220" i="4"/>
  <c r="H220" i="4"/>
  <c r="G221" i="4"/>
  <c r="H221" i="4"/>
  <c r="G222" i="4"/>
  <c r="H222" i="4"/>
  <c r="G223" i="4"/>
  <c r="H223" i="4"/>
  <c r="G224" i="4"/>
  <c r="H224" i="4"/>
  <c r="G225" i="4"/>
  <c r="H225" i="4"/>
  <c r="G226" i="4"/>
  <c r="H226" i="4"/>
  <c r="G227" i="4"/>
  <c r="H227" i="4"/>
  <c r="G228" i="4"/>
  <c r="H228" i="4"/>
  <c r="G229" i="4"/>
  <c r="H229" i="4"/>
  <c r="G230" i="4"/>
  <c r="H230" i="4"/>
  <c r="G231" i="4"/>
  <c r="H231" i="4"/>
  <c r="G232" i="4"/>
  <c r="H232" i="4"/>
  <c r="G233" i="4"/>
  <c r="H233" i="4"/>
  <c r="G234" i="4"/>
  <c r="H234" i="4"/>
  <c r="G235" i="4"/>
  <c r="H235" i="4"/>
  <c r="G236" i="4"/>
  <c r="H236" i="4"/>
  <c r="G237" i="4"/>
  <c r="H237" i="4"/>
  <c r="G238" i="4"/>
  <c r="H238" i="4"/>
  <c r="G239" i="4"/>
  <c r="H239" i="4"/>
  <c r="G240" i="4"/>
  <c r="H240" i="4"/>
  <c r="G241" i="4"/>
  <c r="H241" i="4"/>
  <c r="G242" i="4"/>
  <c r="H242" i="4"/>
  <c r="G243" i="4"/>
  <c r="H243" i="4"/>
  <c r="G244" i="4"/>
  <c r="H244" i="4"/>
  <c r="G245" i="4"/>
  <c r="H245" i="4"/>
  <c r="G246" i="4"/>
  <c r="H246" i="4"/>
  <c r="G247" i="4"/>
  <c r="H247" i="4"/>
  <c r="G248" i="4"/>
  <c r="H248" i="4"/>
  <c r="G249" i="4"/>
  <c r="H249" i="4"/>
  <c r="G250" i="4"/>
  <c r="H250" i="4"/>
  <c r="G251" i="4"/>
  <c r="H251" i="4"/>
  <c r="G252" i="4"/>
  <c r="H252" i="4"/>
  <c r="G253" i="4"/>
  <c r="H253" i="4"/>
  <c r="G254" i="4"/>
  <c r="H254" i="4"/>
  <c r="G255" i="4"/>
  <c r="H255" i="4"/>
  <c r="G256" i="4"/>
  <c r="H256" i="4"/>
  <c r="G257" i="4"/>
  <c r="H257" i="4"/>
  <c r="G258" i="4"/>
  <c r="H258" i="4"/>
  <c r="G259" i="4"/>
  <c r="H259" i="4"/>
  <c r="G260" i="4"/>
  <c r="H260" i="4"/>
  <c r="G261" i="4"/>
  <c r="H261" i="4"/>
  <c r="G262" i="4"/>
  <c r="H262" i="4"/>
  <c r="G263" i="4"/>
  <c r="H263" i="4"/>
  <c r="G264" i="4"/>
  <c r="H264" i="4"/>
  <c r="G265" i="4"/>
  <c r="H265" i="4"/>
  <c r="G266" i="4"/>
  <c r="H266" i="4"/>
  <c r="G267" i="4"/>
  <c r="H267" i="4"/>
  <c r="G268" i="4"/>
  <c r="H268" i="4"/>
  <c r="G269" i="4"/>
  <c r="H269" i="4"/>
  <c r="G270" i="4"/>
  <c r="H270" i="4"/>
  <c r="G271" i="4"/>
  <c r="H271" i="4"/>
  <c r="G272" i="4"/>
  <c r="H272" i="4"/>
  <c r="G273" i="4"/>
  <c r="H273" i="4"/>
  <c r="G274" i="4"/>
  <c r="H274" i="4"/>
  <c r="G275" i="4"/>
  <c r="H275" i="4"/>
  <c r="G276" i="4"/>
  <c r="H276" i="4"/>
  <c r="G277" i="4"/>
  <c r="H277" i="4"/>
  <c r="G278" i="4"/>
  <c r="H278" i="4"/>
  <c r="G279" i="4"/>
  <c r="H279" i="4"/>
  <c r="G280" i="4"/>
  <c r="H280" i="4"/>
  <c r="G281" i="4"/>
  <c r="H281" i="4"/>
  <c r="G282" i="4"/>
  <c r="H282" i="4"/>
  <c r="G283" i="4"/>
  <c r="H283" i="4"/>
  <c r="G284" i="4"/>
  <c r="H284" i="4"/>
  <c r="G285" i="4"/>
  <c r="H285" i="4"/>
  <c r="G286" i="4"/>
  <c r="H286" i="4"/>
  <c r="G287" i="4"/>
  <c r="H287" i="4"/>
  <c r="G288" i="4"/>
  <c r="H288" i="4"/>
  <c r="G289" i="4"/>
  <c r="H289" i="4"/>
  <c r="G290" i="4"/>
  <c r="H290" i="4"/>
  <c r="G291" i="4"/>
  <c r="H291" i="4"/>
  <c r="G292" i="4"/>
  <c r="H292" i="4"/>
  <c r="G293" i="4"/>
  <c r="H293" i="4"/>
  <c r="G294" i="4"/>
  <c r="H294" i="4"/>
  <c r="G295" i="4"/>
  <c r="H295" i="4"/>
  <c r="G296" i="4"/>
  <c r="H296" i="4"/>
  <c r="G297" i="4"/>
  <c r="H297" i="4"/>
  <c r="G298" i="4"/>
  <c r="H298" i="4"/>
  <c r="G299" i="4"/>
  <c r="H299" i="4"/>
  <c r="G300" i="4"/>
  <c r="H300" i="4"/>
  <c r="G301" i="4"/>
  <c r="H301" i="4"/>
  <c r="G302" i="4"/>
  <c r="H302" i="4"/>
  <c r="G303" i="4"/>
  <c r="H303" i="4"/>
  <c r="G304" i="4"/>
  <c r="H304" i="4"/>
  <c r="G305" i="4"/>
  <c r="H305" i="4"/>
  <c r="G306" i="4"/>
  <c r="H306" i="4"/>
  <c r="G307" i="4"/>
  <c r="H307" i="4"/>
  <c r="G308" i="4"/>
  <c r="H308" i="4"/>
  <c r="G309" i="4"/>
  <c r="H309" i="4"/>
  <c r="G310" i="4"/>
  <c r="H310" i="4"/>
  <c r="G311" i="4"/>
  <c r="H311" i="4"/>
  <c r="G312" i="4"/>
  <c r="H312" i="4"/>
  <c r="G313" i="4"/>
  <c r="H313" i="4"/>
  <c r="G314" i="4"/>
  <c r="H314" i="4"/>
  <c r="G315" i="4"/>
  <c r="H315" i="4"/>
  <c r="G316" i="4"/>
  <c r="H316" i="4"/>
  <c r="G317" i="4"/>
  <c r="H317" i="4"/>
  <c r="G318" i="4"/>
  <c r="H318" i="4"/>
  <c r="G319" i="4"/>
  <c r="H319" i="4"/>
  <c r="G320" i="4"/>
  <c r="H320" i="4"/>
  <c r="G321" i="4"/>
  <c r="H321" i="4"/>
  <c r="G322" i="4"/>
  <c r="H322" i="4"/>
  <c r="G323" i="4"/>
  <c r="H323" i="4"/>
  <c r="G324" i="4"/>
  <c r="H324" i="4"/>
  <c r="G325" i="4"/>
  <c r="H325" i="4"/>
  <c r="G326" i="4"/>
  <c r="H326" i="4"/>
  <c r="G327" i="4"/>
  <c r="H327" i="4"/>
  <c r="G328" i="4"/>
  <c r="H328" i="4"/>
  <c r="G329" i="4"/>
  <c r="H329" i="4"/>
  <c r="G330" i="4"/>
  <c r="H330" i="4"/>
  <c r="G331" i="4"/>
  <c r="H331" i="4"/>
  <c r="G332" i="4"/>
  <c r="H332" i="4"/>
  <c r="G333" i="4"/>
  <c r="H333" i="4"/>
  <c r="G334" i="4"/>
  <c r="H334" i="4"/>
  <c r="G335" i="4"/>
  <c r="H335" i="4"/>
  <c r="G336" i="4"/>
  <c r="H336" i="4"/>
  <c r="G337" i="4"/>
  <c r="H337" i="4"/>
  <c r="G338" i="4"/>
  <c r="H338" i="4"/>
  <c r="G339" i="4"/>
  <c r="H339" i="4"/>
  <c r="G340" i="4"/>
  <c r="H340" i="4"/>
  <c r="G341" i="4"/>
  <c r="H341" i="4"/>
  <c r="G342" i="4"/>
  <c r="H342" i="4"/>
  <c r="G343" i="4"/>
  <c r="H343" i="4"/>
  <c r="G344" i="4"/>
  <c r="H344" i="4"/>
  <c r="G345" i="4"/>
  <c r="H345" i="4"/>
  <c r="G346" i="4"/>
  <c r="H346" i="4"/>
  <c r="G347" i="4"/>
  <c r="H347" i="4"/>
  <c r="G348" i="4"/>
  <c r="H348" i="4"/>
  <c r="G349" i="4"/>
  <c r="H349" i="4"/>
  <c r="G350" i="4"/>
  <c r="H350" i="4"/>
  <c r="G351" i="4"/>
  <c r="H351" i="4"/>
  <c r="G352" i="4"/>
  <c r="H352" i="4"/>
  <c r="G353" i="4"/>
  <c r="H353" i="4"/>
  <c r="G354" i="4"/>
  <c r="H354" i="4"/>
  <c r="G355" i="4"/>
  <c r="H355" i="4"/>
  <c r="G356" i="4"/>
  <c r="H356" i="4"/>
  <c r="G357" i="4"/>
  <c r="H357" i="4"/>
  <c r="G358" i="4"/>
  <c r="H358" i="4"/>
  <c r="G359" i="4"/>
  <c r="H359" i="4"/>
  <c r="G360" i="4"/>
  <c r="H360" i="4"/>
  <c r="G361" i="4"/>
  <c r="H361" i="4"/>
  <c r="G362" i="4"/>
  <c r="H362" i="4"/>
  <c r="G363" i="4"/>
  <c r="H363" i="4"/>
  <c r="G364" i="4"/>
  <c r="H364" i="4"/>
  <c r="G365" i="4"/>
  <c r="H365" i="4"/>
  <c r="G366" i="4"/>
  <c r="H366" i="4"/>
  <c r="G367" i="4"/>
  <c r="H367" i="4"/>
  <c r="G368" i="4"/>
  <c r="H368" i="4"/>
  <c r="G369" i="4"/>
  <c r="H369" i="4"/>
  <c r="G370" i="4"/>
  <c r="H370" i="4"/>
  <c r="G371" i="4"/>
  <c r="H371" i="4"/>
  <c r="G372" i="4"/>
  <c r="H372" i="4"/>
  <c r="G373" i="4"/>
  <c r="H373" i="4"/>
  <c r="G374" i="4"/>
  <c r="H374" i="4"/>
  <c r="G375" i="4"/>
  <c r="H375" i="4"/>
  <c r="G376" i="4"/>
  <c r="H376" i="4"/>
  <c r="G377" i="4"/>
  <c r="H377" i="4"/>
  <c r="G378" i="4"/>
  <c r="H378" i="4"/>
  <c r="G379" i="4"/>
  <c r="H379" i="4"/>
  <c r="G380" i="4"/>
  <c r="H380" i="4"/>
  <c r="G381" i="4"/>
  <c r="H381" i="4"/>
  <c r="G382" i="4"/>
  <c r="H382" i="4"/>
  <c r="G383" i="4"/>
  <c r="H383" i="4"/>
  <c r="G384" i="4"/>
  <c r="H384" i="4"/>
  <c r="G385" i="4"/>
  <c r="H385" i="4"/>
  <c r="G386" i="4"/>
  <c r="H386" i="4"/>
  <c r="G387" i="4"/>
  <c r="H387" i="4"/>
  <c r="G388" i="4"/>
  <c r="H388" i="4"/>
  <c r="G389" i="4"/>
  <c r="H389" i="4"/>
  <c r="G390" i="4"/>
  <c r="H390" i="4"/>
  <c r="G391" i="4"/>
  <c r="H391" i="4"/>
  <c r="G392" i="4"/>
  <c r="H392" i="4"/>
  <c r="G393" i="4"/>
  <c r="H393" i="4"/>
  <c r="G394" i="4"/>
  <c r="H394" i="4"/>
  <c r="G395" i="4"/>
  <c r="H395" i="4"/>
  <c r="G396" i="4"/>
  <c r="H396" i="4"/>
  <c r="G397" i="4"/>
  <c r="H397" i="4"/>
  <c r="G398" i="4"/>
  <c r="H398" i="4"/>
  <c r="G399" i="4"/>
  <c r="H399" i="4"/>
  <c r="G400" i="4"/>
  <c r="H400" i="4"/>
  <c r="G401" i="4"/>
  <c r="H401" i="4"/>
  <c r="G402" i="4"/>
  <c r="H402" i="4"/>
  <c r="G403" i="4"/>
  <c r="H403" i="4"/>
  <c r="G404" i="4"/>
  <c r="H404" i="4"/>
  <c r="G405" i="4"/>
  <c r="H405" i="4"/>
  <c r="G406" i="4"/>
  <c r="H406" i="4"/>
  <c r="G407" i="4"/>
  <c r="H407" i="4"/>
  <c r="G408" i="4"/>
  <c r="H408" i="4"/>
  <c r="G409" i="4"/>
  <c r="H409" i="4"/>
  <c r="G410" i="4"/>
  <c r="H410" i="4"/>
  <c r="G411" i="4"/>
  <c r="H411" i="4"/>
  <c r="G412" i="4"/>
  <c r="H412" i="4"/>
  <c r="G413" i="4"/>
  <c r="H413" i="4"/>
  <c r="G414" i="4"/>
  <c r="H414" i="4"/>
  <c r="G415" i="4"/>
  <c r="H415" i="4"/>
  <c r="G416" i="4"/>
  <c r="H416" i="4"/>
  <c r="G417" i="4"/>
  <c r="H417" i="4"/>
  <c r="G418" i="4"/>
  <c r="H418" i="4"/>
  <c r="G419" i="4"/>
  <c r="H419" i="4"/>
  <c r="G420" i="4"/>
  <c r="H420" i="4"/>
  <c r="G421" i="4"/>
  <c r="H421" i="4"/>
  <c r="G422" i="4"/>
  <c r="H422" i="4"/>
  <c r="G423" i="4"/>
  <c r="H423" i="4"/>
  <c r="G424" i="4"/>
  <c r="H424" i="4"/>
  <c r="G425" i="4"/>
  <c r="H425" i="4"/>
  <c r="G426" i="4"/>
  <c r="H426" i="4"/>
  <c r="G427" i="4"/>
  <c r="H427" i="4"/>
  <c r="G428" i="4"/>
  <c r="H428" i="4"/>
  <c r="G429" i="4"/>
  <c r="H429" i="4"/>
  <c r="G430" i="4"/>
  <c r="H430" i="4"/>
  <c r="G431" i="4"/>
  <c r="H431" i="4"/>
  <c r="G432" i="4"/>
  <c r="H432" i="4"/>
  <c r="G433" i="4"/>
  <c r="H433" i="4"/>
  <c r="G434" i="4"/>
  <c r="H434" i="4"/>
  <c r="G435" i="4"/>
  <c r="H435" i="4"/>
  <c r="G436" i="4"/>
  <c r="H436" i="4"/>
  <c r="G437" i="4"/>
  <c r="H437" i="4"/>
  <c r="G438" i="4"/>
  <c r="H438" i="4"/>
  <c r="G439" i="4"/>
  <c r="H439" i="4"/>
  <c r="G440" i="4"/>
  <c r="H440" i="4"/>
  <c r="G441" i="4"/>
  <c r="H441" i="4"/>
  <c r="G442" i="4"/>
  <c r="H442" i="4"/>
  <c r="G443" i="4"/>
  <c r="H443" i="4"/>
  <c r="G444" i="4"/>
  <c r="H444" i="4"/>
  <c r="G445" i="4"/>
  <c r="H445" i="4"/>
  <c r="G446" i="4"/>
  <c r="H446" i="4"/>
  <c r="G447" i="4"/>
  <c r="H447" i="4"/>
  <c r="G448" i="4"/>
  <c r="H448" i="4"/>
  <c r="G449" i="4"/>
  <c r="H449" i="4"/>
  <c r="G450" i="4"/>
  <c r="H450" i="4"/>
  <c r="G451" i="4"/>
  <c r="H451" i="4"/>
  <c r="G452" i="4"/>
  <c r="H452" i="4"/>
  <c r="G453" i="4"/>
  <c r="H453" i="4"/>
  <c r="G454" i="4"/>
  <c r="H454" i="4"/>
  <c r="G455" i="4"/>
  <c r="H455" i="4"/>
  <c r="G456" i="4"/>
  <c r="H456" i="4"/>
  <c r="G457" i="4"/>
  <c r="H457" i="4"/>
  <c r="G458" i="4"/>
  <c r="H458" i="4"/>
  <c r="G459" i="4"/>
  <c r="H459" i="4"/>
  <c r="G460" i="4"/>
  <c r="H460" i="4"/>
  <c r="G461" i="4"/>
  <c r="H461" i="4"/>
  <c r="G462" i="4"/>
  <c r="H462" i="4"/>
  <c r="G463" i="4"/>
  <c r="H463" i="4"/>
  <c r="G464" i="4"/>
  <c r="H464" i="4"/>
  <c r="G465" i="4"/>
  <c r="H465" i="4"/>
  <c r="G466" i="4"/>
  <c r="H466" i="4"/>
  <c r="G467" i="4"/>
  <c r="H467" i="4"/>
  <c r="G468" i="4"/>
  <c r="H468" i="4"/>
  <c r="G469" i="4"/>
  <c r="H469" i="4"/>
  <c r="G470" i="4"/>
  <c r="H470" i="4"/>
  <c r="G471" i="4"/>
  <c r="H471" i="4"/>
  <c r="G472" i="4"/>
  <c r="H472" i="4"/>
  <c r="G473" i="4"/>
  <c r="H473" i="4"/>
  <c r="G474" i="4"/>
  <c r="H474" i="4"/>
  <c r="G475" i="4"/>
  <c r="H475" i="4"/>
  <c r="G476" i="4"/>
  <c r="H476" i="4"/>
  <c r="G477" i="4"/>
  <c r="H477" i="4"/>
  <c r="G478" i="4"/>
  <c r="H478" i="4"/>
  <c r="G479" i="4"/>
  <c r="H479" i="4"/>
  <c r="G480" i="4"/>
  <c r="H480" i="4"/>
  <c r="G481" i="4"/>
  <c r="H481" i="4"/>
  <c r="G482" i="4"/>
  <c r="H482" i="4"/>
  <c r="G483" i="4"/>
  <c r="H483" i="4"/>
  <c r="G484" i="4"/>
  <c r="H484" i="4"/>
  <c r="G485" i="4"/>
  <c r="H485" i="4"/>
  <c r="G486" i="4"/>
  <c r="H486" i="4"/>
  <c r="G487" i="4"/>
  <c r="H487" i="4"/>
  <c r="G488" i="4"/>
  <c r="H488" i="4"/>
  <c r="G489" i="4"/>
  <c r="H489" i="4"/>
  <c r="G490" i="4"/>
  <c r="H490" i="4"/>
  <c r="G491" i="4"/>
  <c r="H491" i="4"/>
  <c r="G492" i="4"/>
  <c r="H492" i="4"/>
  <c r="G493" i="4"/>
  <c r="H493" i="4"/>
  <c r="G494" i="4"/>
  <c r="H494" i="4"/>
  <c r="G495" i="4"/>
  <c r="H495" i="4"/>
  <c r="G496" i="4"/>
  <c r="H496" i="4"/>
  <c r="G497" i="4"/>
  <c r="H497" i="4"/>
  <c r="G498" i="4"/>
  <c r="H498" i="4"/>
  <c r="G499" i="4"/>
  <c r="H499" i="4"/>
  <c r="G500" i="4"/>
  <c r="H500" i="4"/>
  <c r="G501" i="4"/>
  <c r="H501" i="4"/>
  <c r="G502" i="4"/>
  <c r="H502" i="4"/>
  <c r="G503" i="4"/>
  <c r="H503" i="4"/>
  <c r="G504" i="4"/>
  <c r="H504" i="4"/>
  <c r="G505" i="4"/>
  <c r="H505" i="4"/>
  <c r="G506" i="4"/>
  <c r="H506" i="4"/>
  <c r="G507" i="4"/>
  <c r="H507" i="4"/>
  <c r="G508" i="4"/>
  <c r="H508" i="4"/>
  <c r="G509" i="4"/>
  <c r="H509" i="4"/>
  <c r="G510" i="4"/>
  <c r="H510" i="4"/>
  <c r="G511" i="4"/>
  <c r="H511" i="4"/>
  <c r="G512" i="4"/>
  <c r="H512" i="4"/>
  <c r="G513" i="4"/>
  <c r="H513" i="4"/>
  <c r="G514" i="4"/>
  <c r="H514" i="4"/>
  <c r="G515" i="4"/>
  <c r="H515" i="4"/>
  <c r="G516" i="4"/>
  <c r="H516" i="4"/>
  <c r="G517" i="4"/>
  <c r="H517" i="4"/>
  <c r="G518" i="4"/>
  <c r="H518" i="4"/>
  <c r="G519" i="4"/>
  <c r="H519" i="4"/>
  <c r="G520" i="4"/>
  <c r="H520" i="4"/>
  <c r="G521" i="4"/>
  <c r="H521" i="4"/>
  <c r="G522" i="4"/>
  <c r="H522" i="4"/>
  <c r="G523" i="4"/>
  <c r="H523" i="4"/>
  <c r="G524" i="4"/>
  <c r="H524" i="4"/>
  <c r="G525" i="4"/>
  <c r="H525" i="4"/>
  <c r="G526" i="4"/>
  <c r="H526" i="4"/>
  <c r="G527" i="4"/>
  <c r="H527" i="4"/>
  <c r="G528" i="4"/>
  <c r="H528" i="4"/>
  <c r="G529" i="4"/>
  <c r="H529" i="4"/>
  <c r="G530" i="4"/>
  <c r="H530" i="4"/>
  <c r="G531" i="4"/>
  <c r="H531" i="4"/>
  <c r="G532" i="4"/>
  <c r="H532" i="4"/>
  <c r="G533" i="4"/>
  <c r="H533" i="4"/>
  <c r="G534" i="4"/>
  <c r="H534" i="4"/>
  <c r="G535" i="4"/>
  <c r="H535" i="4"/>
  <c r="G536" i="4"/>
  <c r="H536" i="4"/>
  <c r="G537" i="4"/>
  <c r="H537" i="4"/>
  <c r="G538" i="4"/>
  <c r="H538" i="4"/>
  <c r="G539" i="4"/>
  <c r="H539" i="4"/>
  <c r="G540" i="4"/>
  <c r="H540" i="4"/>
  <c r="G541" i="4"/>
  <c r="H541" i="4"/>
  <c r="G542" i="4"/>
  <c r="H542" i="4"/>
  <c r="G543" i="4"/>
  <c r="H543" i="4"/>
  <c r="G544" i="4"/>
  <c r="H544" i="4"/>
  <c r="G545" i="4"/>
  <c r="H545" i="4"/>
  <c r="G546" i="4"/>
  <c r="H546" i="4"/>
  <c r="G547" i="4"/>
  <c r="H547" i="4"/>
  <c r="G548" i="4"/>
  <c r="H548" i="4"/>
  <c r="G549" i="4"/>
  <c r="H549" i="4"/>
  <c r="G550" i="4"/>
  <c r="H550" i="4"/>
  <c r="G551" i="4"/>
  <c r="H551" i="4"/>
  <c r="G552" i="4"/>
  <c r="H552" i="4"/>
  <c r="G553" i="4"/>
  <c r="H553" i="4"/>
  <c r="G554" i="4"/>
  <c r="H554" i="4"/>
  <c r="G555" i="4"/>
  <c r="H555" i="4"/>
  <c r="G556" i="4"/>
  <c r="H556" i="4"/>
  <c r="G557" i="4"/>
  <c r="H557" i="4"/>
  <c r="G558" i="4"/>
  <c r="H558" i="4"/>
  <c r="G559" i="4"/>
  <c r="H559" i="4"/>
  <c r="G560" i="4"/>
  <c r="H560" i="4"/>
  <c r="G561" i="4"/>
  <c r="H561" i="4"/>
  <c r="G562" i="4"/>
  <c r="H562" i="4"/>
  <c r="G563" i="4"/>
  <c r="H563" i="4"/>
  <c r="G564" i="4"/>
  <c r="H564" i="4"/>
  <c r="G565" i="4"/>
  <c r="H565" i="4"/>
  <c r="G566" i="4"/>
  <c r="H566" i="4"/>
  <c r="G567" i="4"/>
  <c r="H567" i="4"/>
  <c r="G568" i="4"/>
  <c r="H568" i="4"/>
  <c r="G569" i="4"/>
  <c r="H569" i="4"/>
  <c r="G570" i="4"/>
  <c r="H570" i="4"/>
  <c r="G571" i="4"/>
  <c r="H571" i="4"/>
  <c r="G572" i="4"/>
  <c r="H572" i="4"/>
  <c r="G573" i="4"/>
  <c r="H573" i="4"/>
  <c r="G574" i="4"/>
  <c r="H574" i="4"/>
  <c r="G575" i="4"/>
  <c r="H575" i="4"/>
  <c r="G576" i="4"/>
  <c r="H576" i="4"/>
  <c r="G577" i="4"/>
  <c r="H577" i="4"/>
  <c r="G578" i="4"/>
  <c r="H578" i="4"/>
  <c r="G579" i="4"/>
  <c r="H579" i="4"/>
  <c r="G580" i="4"/>
  <c r="H580" i="4"/>
  <c r="G581" i="4"/>
  <c r="H581" i="4"/>
  <c r="G582" i="4"/>
  <c r="H582" i="4"/>
  <c r="G583" i="4"/>
  <c r="H583" i="4"/>
  <c r="G584" i="4"/>
  <c r="H584" i="4"/>
  <c r="G585" i="4"/>
  <c r="H585" i="4"/>
  <c r="G586" i="4"/>
  <c r="H586" i="4"/>
  <c r="G587" i="4"/>
  <c r="H587" i="4"/>
  <c r="G588" i="4"/>
  <c r="H588" i="4"/>
  <c r="G589" i="4"/>
  <c r="H589" i="4"/>
  <c r="G590" i="4"/>
  <c r="H590" i="4"/>
  <c r="G591" i="4"/>
  <c r="H591" i="4"/>
  <c r="G592" i="4"/>
  <c r="H592" i="4"/>
  <c r="G593" i="4"/>
  <c r="H593" i="4"/>
  <c r="G594" i="4"/>
  <c r="H594" i="4"/>
  <c r="G595" i="4"/>
  <c r="H595" i="4"/>
  <c r="G596" i="4"/>
  <c r="H596" i="4"/>
  <c r="G597" i="4"/>
  <c r="H597" i="4"/>
  <c r="G598" i="4"/>
  <c r="H598" i="4"/>
  <c r="G599" i="4"/>
  <c r="H599" i="4"/>
  <c r="G600" i="4"/>
  <c r="H600" i="4"/>
  <c r="G601" i="4"/>
  <c r="H601" i="4"/>
  <c r="G602" i="4"/>
  <c r="H602" i="4"/>
  <c r="G603" i="4"/>
  <c r="H603" i="4"/>
  <c r="G604" i="4"/>
  <c r="H604" i="4"/>
  <c r="G605" i="4"/>
  <c r="H605" i="4"/>
  <c r="G606" i="4"/>
  <c r="H606" i="4"/>
  <c r="G607" i="4"/>
  <c r="H607" i="4"/>
  <c r="G608" i="4"/>
  <c r="H608" i="4"/>
  <c r="G609" i="4"/>
  <c r="H609" i="4"/>
  <c r="G610" i="4"/>
  <c r="H610" i="4"/>
  <c r="G611" i="4"/>
  <c r="H611" i="4"/>
  <c r="G612" i="4"/>
  <c r="H612" i="4"/>
  <c r="G613" i="4"/>
  <c r="H613" i="4"/>
  <c r="G614" i="4"/>
  <c r="H614" i="4"/>
  <c r="G615" i="4"/>
  <c r="H615" i="4"/>
  <c r="G616" i="4"/>
  <c r="H616" i="4"/>
  <c r="G617" i="4"/>
  <c r="H617" i="4"/>
  <c r="G618" i="4"/>
  <c r="H618" i="4"/>
  <c r="G619" i="4"/>
  <c r="H619" i="4"/>
  <c r="G620" i="4"/>
  <c r="H620" i="4"/>
  <c r="G621" i="4"/>
  <c r="H621" i="4"/>
  <c r="G622" i="4"/>
  <c r="H622" i="4"/>
  <c r="G623" i="4"/>
  <c r="H623" i="4"/>
  <c r="G624" i="4"/>
  <c r="H624" i="4"/>
  <c r="G625" i="4"/>
  <c r="H625" i="4"/>
  <c r="G626" i="4"/>
  <c r="H626" i="4"/>
  <c r="G627" i="4"/>
  <c r="H627" i="4"/>
  <c r="G628" i="4"/>
  <c r="H628" i="4"/>
  <c r="G629" i="4"/>
  <c r="H629" i="4"/>
  <c r="G630" i="4"/>
  <c r="H630" i="4"/>
  <c r="G631" i="4"/>
  <c r="H631" i="4"/>
  <c r="G632" i="4"/>
  <c r="H632" i="4"/>
  <c r="G633" i="4"/>
  <c r="H633" i="4"/>
  <c r="G634" i="4"/>
  <c r="H634" i="4"/>
  <c r="G635" i="4"/>
  <c r="H635" i="4"/>
  <c r="G636" i="4"/>
  <c r="H636" i="4"/>
  <c r="G637" i="4"/>
  <c r="H637" i="4"/>
  <c r="G638" i="4"/>
  <c r="H638" i="4"/>
  <c r="G639" i="4"/>
  <c r="H639" i="4"/>
  <c r="G640" i="4"/>
  <c r="H640" i="4"/>
  <c r="G641" i="4"/>
  <c r="H641" i="4"/>
  <c r="G642" i="4"/>
  <c r="H642" i="4"/>
  <c r="G643" i="4"/>
  <c r="H643" i="4"/>
  <c r="G644" i="4"/>
  <c r="H644" i="4"/>
  <c r="G645" i="4"/>
  <c r="H645" i="4"/>
  <c r="G646" i="4"/>
  <c r="H646" i="4"/>
  <c r="G647" i="4"/>
  <c r="H647" i="4"/>
  <c r="G648" i="4"/>
  <c r="H648" i="4"/>
  <c r="G649" i="4"/>
  <c r="H649" i="4"/>
  <c r="G650" i="4"/>
  <c r="H650" i="4"/>
  <c r="G651" i="4"/>
  <c r="H651" i="4"/>
  <c r="G652" i="4"/>
  <c r="H652" i="4"/>
  <c r="G653" i="4"/>
  <c r="H653" i="4"/>
  <c r="G654" i="4"/>
  <c r="H654" i="4"/>
  <c r="G655" i="4"/>
  <c r="H655" i="4"/>
  <c r="G656" i="4"/>
  <c r="H656" i="4"/>
  <c r="G657" i="4"/>
  <c r="H657" i="4"/>
  <c r="G658" i="4"/>
  <c r="H658" i="4"/>
  <c r="G659" i="4"/>
  <c r="H659" i="4"/>
  <c r="G660" i="4"/>
  <c r="H660" i="4"/>
  <c r="G661" i="4"/>
  <c r="H661" i="4"/>
  <c r="G662" i="4"/>
  <c r="H662" i="4"/>
  <c r="G663" i="4"/>
  <c r="H663" i="4"/>
  <c r="G664" i="4"/>
  <c r="H664" i="4"/>
  <c r="G665" i="4"/>
  <c r="H665" i="4"/>
  <c r="G666" i="4"/>
  <c r="H666" i="4"/>
  <c r="G667" i="4"/>
  <c r="H667" i="4"/>
  <c r="G668" i="4"/>
  <c r="H668" i="4"/>
  <c r="G669" i="4"/>
  <c r="H669" i="4"/>
  <c r="G670" i="4"/>
  <c r="H670" i="4"/>
  <c r="G671" i="4"/>
  <c r="H671" i="4"/>
  <c r="G672" i="4"/>
  <c r="H672" i="4"/>
  <c r="G673" i="4"/>
  <c r="H673" i="4"/>
  <c r="G674" i="4"/>
  <c r="H674" i="4"/>
  <c r="G675" i="4"/>
  <c r="H675" i="4"/>
  <c r="G676" i="4"/>
  <c r="H676" i="4"/>
  <c r="G677" i="4"/>
  <c r="H677" i="4"/>
  <c r="G678" i="4"/>
  <c r="H678" i="4"/>
  <c r="G679" i="4"/>
  <c r="H679" i="4"/>
  <c r="G680" i="4"/>
  <c r="H680" i="4"/>
  <c r="G681" i="4"/>
  <c r="H681" i="4"/>
  <c r="G682" i="4"/>
  <c r="H682" i="4"/>
  <c r="G683" i="4"/>
  <c r="H683" i="4"/>
  <c r="G684" i="4"/>
  <c r="H684" i="4"/>
  <c r="G685" i="4"/>
  <c r="H685" i="4"/>
  <c r="G686" i="4"/>
  <c r="H686" i="4"/>
  <c r="G687" i="4"/>
  <c r="H687" i="4"/>
  <c r="G688" i="4"/>
  <c r="H688" i="4"/>
  <c r="G689" i="4"/>
  <c r="H689" i="4"/>
  <c r="G690" i="4"/>
  <c r="H690" i="4"/>
  <c r="G691" i="4"/>
  <c r="H691" i="4"/>
  <c r="G692" i="4"/>
  <c r="H692" i="4"/>
  <c r="G693" i="4"/>
  <c r="H693" i="4"/>
  <c r="G694" i="4"/>
  <c r="H694" i="4"/>
  <c r="G695" i="4"/>
  <c r="H695" i="4"/>
  <c r="G696" i="4"/>
  <c r="H696" i="4"/>
  <c r="G697" i="4"/>
  <c r="H697" i="4"/>
  <c r="G698" i="4"/>
  <c r="H698" i="4"/>
  <c r="G699" i="4"/>
  <c r="H699" i="4"/>
  <c r="G700" i="4"/>
  <c r="H700" i="4"/>
  <c r="G701" i="4"/>
  <c r="H701" i="4"/>
  <c r="G702" i="4"/>
  <c r="H702" i="4"/>
  <c r="G703" i="4"/>
  <c r="H703" i="4"/>
  <c r="G704" i="4"/>
  <c r="H704" i="4"/>
  <c r="G705" i="4"/>
  <c r="H705" i="4"/>
  <c r="G706" i="4"/>
  <c r="H706" i="4"/>
  <c r="G707" i="4"/>
  <c r="H707" i="4"/>
  <c r="G708" i="4"/>
  <c r="H708" i="4"/>
  <c r="G709" i="4"/>
  <c r="H709" i="4"/>
  <c r="G710" i="4"/>
  <c r="H710" i="4"/>
  <c r="G711" i="4"/>
  <c r="H711" i="4"/>
  <c r="G712" i="4"/>
  <c r="H712" i="4"/>
  <c r="G713" i="4"/>
  <c r="H713" i="4"/>
  <c r="G714" i="4"/>
  <c r="H714" i="4"/>
  <c r="G715" i="4"/>
  <c r="H715" i="4"/>
  <c r="G716" i="4"/>
  <c r="H716" i="4"/>
  <c r="G717" i="4"/>
  <c r="H717" i="4"/>
  <c r="G718" i="4"/>
  <c r="H718" i="4"/>
  <c r="G719" i="4"/>
  <c r="H719" i="4"/>
  <c r="G720" i="4"/>
  <c r="H720" i="4"/>
  <c r="G721" i="4"/>
  <c r="H721" i="4"/>
  <c r="G722" i="4"/>
  <c r="H722" i="4"/>
  <c r="G723" i="4"/>
  <c r="H723" i="4"/>
  <c r="G724" i="4"/>
  <c r="H724" i="4"/>
  <c r="G725" i="4"/>
  <c r="H725" i="4"/>
  <c r="G726" i="4"/>
  <c r="H726" i="4"/>
  <c r="H2" i="4"/>
  <c r="G2" i="4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4" i="12"/>
  <c r="G5" i="12"/>
  <c r="G7" i="12"/>
  <c r="G8" i="12"/>
  <c r="G10" i="12"/>
  <c r="G11" i="12"/>
  <c r="G12" i="12"/>
  <c r="G13" i="12"/>
  <c r="G14" i="12"/>
  <c r="G15" i="12"/>
  <c r="G16" i="12"/>
  <c r="G17" i="12"/>
  <c r="G18" i="12"/>
  <c r="G19" i="12"/>
  <c r="G21" i="12"/>
  <c r="G22" i="12"/>
  <c r="G24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40" i="12"/>
  <c r="G42" i="12"/>
  <c r="G43" i="12"/>
  <c r="G44" i="12"/>
  <c r="G45" i="12"/>
  <c r="G46" i="12"/>
  <c r="G47" i="12"/>
  <c r="G48" i="12"/>
  <c r="G49" i="12"/>
  <c r="G51" i="12"/>
  <c r="G52" i="12"/>
  <c r="G53" i="12"/>
  <c r="G54" i="12"/>
  <c r="G55" i="12"/>
  <c r="G56" i="12"/>
  <c r="G57" i="12"/>
  <c r="G59" i="12"/>
  <c r="G60" i="12"/>
  <c r="G61" i="12"/>
  <c r="G62" i="12"/>
  <c r="G63" i="12"/>
  <c r="G64" i="12"/>
  <c r="G65" i="12"/>
  <c r="G66" i="12"/>
  <c r="G67" i="12"/>
  <c r="G69" i="12"/>
  <c r="G71" i="12"/>
  <c r="G73" i="12"/>
  <c r="G74" i="12"/>
  <c r="G76" i="12"/>
  <c r="G77" i="12"/>
  <c r="G79" i="12"/>
  <c r="G80" i="12"/>
  <c r="G81" i="12"/>
  <c r="G82" i="12"/>
  <c r="G83" i="12"/>
  <c r="G84" i="12"/>
  <c r="G85" i="12"/>
  <c r="G86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4" i="12"/>
  <c r="G105" i="12"/>
  <c r="G106" i="12"/>
  <c r="G108" i="12"/>
  <c r="G109" i="12"/>
  <c r="G110" i="12"/>
  <c r="G111" i="12"/>
  <c r="G112" i="12"/>
  <c r="G113" i="12"/>
  <c r="G114" i="12"/>
  <c r="G115" i="12"/>
  <c r="G116" i="12"/>
  <c r="G118" i="12"/>
  <c r="G119" i="12"/>
  <c r="G120" i="12"/>
  <c r="G121" i="12"/>
  <c r="G122" i="12"/>
  <c r="G123" i="12"/>
  <c r="G124" i="12"/>
  <c r="G125" i="12"/>
  <c r="G126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4" i="12"/>
  <c r="G157" i="12"/>
  <c r="G159" i="12"/>
  <c r="G160" i="12"/>
  <c r="G162" i="12"/>
  <c r="G163" i="12"/>
  <c r="G165" i="12"/>
  <c r="G166" i="12"/>
  <c r="G167" i="12"/>
  <c r="G168" i="12"/>
  <c r="G169" i="12"/>
  <c r="G170" i="12"/>
  <c r="G171" i="12"/>
  <c r="G173" i="12"/>
  <c r="G174" i="12"/>
  <c r="G175" i="12"/>
  <c r="G177" i="12"/>
  <c r="G178" i="12"/>
  <c r="G180" i="12"/>
  <c r="G181" i="12"/>
  <c r="G183" i="12"/>
  <c r="G184" i="12"/>
  <c r="G187" i="12"/>
  <c r="G188" i="12"/>
  <c r="G189" i="12"/>
  <c r="G190" i="12"/>
  <c r="G194" i="12"/>
  <c r="G195" i="12"/>
  <c r="G197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4" i="12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J409" i="7"/>
  <c r="K409" i="7" s="1"/>
  <c r="J410" i="7"/>
  <c r="L410" i="7" s="1"/>
  <c r="K410" i="7"/>
  <c r="J411" i="7"/>
  <c r="K411" i="7"/>
  <c r="L411" i="7" s="1"/>
  <c r="J412" i="7"/>
  <c r="K412" i="7" s="1"/>
  <c r="J413" i="7"/>
  <c r="K413" i="7" s="1"/>
  <c r="J414" i="7"/>
  <c r="J415" i="7"/>
  <c r="K415" i="7" s="1"/>
  <c r="L415" i="7" s="1"/>
  <c r="J416" i="7"/>
  <c r="K416" i="7"/>
  <c r="L416" i="7"/>
  <c r="J417" i="7"/>
  <c r="K417" i="7" s="1"/>
  <c r="J418" i="7"/>
  <c r="L418" i="7" s="1"/>
  <c r="K418" i="7"/>
  <c r="J419" i="7"/>
  <c r="K419" i="7"/>
  <c r="L419" i="7" s="1"/>
  <c r="J420" i="7"/>
  <c r="K420" i="7" s="1"/>
  <c r="J421" i="7"/>
  <c r="K421" i="7" s="1"/>
  <c r="J422" i="7"/>
  <c r="J423" i="7"/>
  <c r="K423" i="7" s="1"/>
  <c r="L423" i="7" s="1"/>
  <c r="J424" i="7"/>
  <c r="K424" i="7"/>
  <c r="L424" i="7"/>
  <c r="J425" i="7"/>
  <c r="K425" i="7" s="1"/>
  <c r="J426" i="7"/>
  <c r="L426" i="7" s="1"/>
  <c r="K426" i="7"/>
  <c r="J427" i="7"/>
  <c r="K427" i="7"/>
  <c r="L427" i="7" s="1"/>
  <c r="J428" i="7"/>
  <c r="K428" i="7" s="1"/>
  <c r="J429" i="7"/>
  <c r="K429" i="7" s="1"/>
  <c r="J430" i="7"/>
  <c r="J431" i="7"/>
  <c r="K431" i="7" s="1"/>
  <c r="L431" i="7" s="1"/>
  <c r="J432" i="7"/>
  <c r="K432" i="7"/>
  <c r="L432" i="7"/>
  <c r="J433" i="7"/>
  <c r="K433" i="7" s="1"/>
  <c r="J434" i="7"/>
  <c r="L434" i="7" s="1"/>
  <c r="K434" i="7"/>
  <c r="J435" i="7"/>
  <c r="K435" i="7"/>
  <c r="L435" i="7" s="1"/>
  <c r="J436" i="7"/>
  <c r="K436" i="7" s="1"/>
  <c r="J437" i="7"/>
  <c r="K437" i="7" s="1"/>
  <c r="J438" i="7"/>
  <c r="J439" i="7"/>
  <c r="K439" i="7" s="1"/>
  <c r="L439" i="7" s="1"/>
  <c r="J440" i="7"/>
  <c r="K440" i="7"/>
  <c r="L440" i="7"/>
  <c r="J441" i="7"/>
  <c r="K441" i="7" s="1"/>
  <c r="J442" i="7"/>
  <c r="L442" i="7" s="1"/>
  <c r="K442" i="7"/>
  <c r="J443" i="7"/>
  <c r="K443" i="7"/>
  <c r="L443" i="7" s="1"/>
  <c r="J444" i="7"/>
  <c r="K444" i="7" s="1"/>
  <c r="L444" i="7" s="1"/>
  <c r="J445" i="7"/>
  <c r="K445" i="7" s="1"/>
  <c r="J446" i="7"/>
  <c r="J447" i="7"/>
  <c r="K447" i="7"/>
  <c r="L447" i="7"/>
  <c r="J448" i="7"/>
  <c r="K448" i="7"/>
  <c r="L448" i="7"/>
  <c r="J449" i="7"/>
  <c r="K449" i="7" s="1"/>
  <c r="J450" i="7"/>
  <c r="L450" i="7" s="1"/>
  <c r="K450" i="7"/>
  <c r="J451" i="7"/>
  <c r="K451" i="7"/>
  <c r="L451" i="7" s="1"/>
  <c r="J452" i="7"/>
  <c r="K452" i="7" s="1"/>
  <c r="L452" i="7" s="1"/>
  <c r="J453" i="7"/>
  <c r="K453" i="7" s="1"/>
  <c r="J454" i="7"/>
  <c r="J455" i="7"/>
  <c r="K455" i="7"/>
  <c r="L455" i="7"/>
  <c r="J456" i="7"/>
  <c r="K456" i="7"/>
  <c r="L456" i="7"/>
  <c r="J457" i="7"/>
  <c r="K457" i="7" s="1"/>
  <c r="J458" i="7"/>
  <c r="L458" i="7" s="1"/>
  <c r="K458" i="7"/>
  <c r="J459" i="7"/>
  <c r="K459" i="7"/>
  <c r="L459" i="7" s="1"/>
  <c r="J460" i="7"/>
  <c r="K460" i="7" s="1"/>
  <c r="L460" i="7" s="1"/>
  <c r="J461" i="7"/>
  <c r="K461" i="7" s="1"/>
  <c r="J462" i="7"/>
  <c r="J463" i="7"/>
  <c r="K463" i="7"/>
  <c r="L463" i="7"/>
  <c r="J464" i="7"/>
  <c r="K464" i="7"/>
  <c r="L464" i="7"/>
  <c r="J465" i="7"/>
  <c r="K465" i="7" s="1"/>
  <c r="J466" i="7"/>
  <c r="L466" i="7" s="1"/>
  <c r="K466" i="7"/>
  <c r="J467" i="7"/>
  <c r="K467" i="7"/>
  <c r="L467" i="7" s="1"/>
  <c r="J468" i="7"/>
  <c r="K468" i="7" s="1"/>
  <c r="L468" i="7" s="1"/>
  <c r="J469" i="7"/>
  <c r="K469" i="7" s="1"/>
  <c r="J470" i="7"/>
  <c r="J471" i="7"/>
  <c r="K471" i="7"/>
  <c r="L471" i="7"/>
  <c r="J472" i="7"/>
  <c r="K472" i="7"/>
  <c r="L472" i="7"/>
  <c r="J473" i="7"/>
  <c r="K473" i="7" s="1"/>
  <c r="J474" i="7"/>
  <c r="L474" i="7" s="1"/>
  <c r="K474" i="7"/>
  <c r="J475" i="7"/>
  <c r="K475" i="7"/>
  <c r="L475" i="7" s="1"/>
  <c r="J476" i="7"/>
  <c r="K476" i="7" s="1"/>
  <c r="L476" i="7" s="1"/>
  <c r="J477" i="7"/>
  <c r="K477" i="7" s="1"/>
  <c r="J478" i="7"/>
  <c r="J479" i="7"/>
  <c r="K479" i="7"/>
  <c r="L479" i="7"/>
  <c r="J480" i="7"/>
  <c r="K480" i="7"/>
  <c r="L480" i="7"/>
  <c r="J481" i="7"/>
  <c r="K481" i="7" s="1"/>
  <c r="J482" i="7"/>
  <c r="L482" i="7" s="1"/>
  <c r="K482" i="7"/>
  <c r="J483" i="7"/>
  <c r="K483" i="7"/>
  <c r="L483" i="7" s="1"/>
  <c r="J484" i="7"/>
  <c r="K484" i="7" s="1"/>
  <c r="L484" i="7" s="1"/>
  <c r="J485" i="7"/>
  <c r="K485" i="7" s="1"/>
  <c r="J486" i="7"/>
  <c r="J487" i="7"/>
  <c r="K487" i="7"/>
  <c r="L487" i="7"/>
  <c r="J488" i="7"/>
  <c r="K488" i="7"/>
  <c r="L488" i="7"/>
  <c r="J489" i="7"/>
  <c r="K489" i="7" s="1"/>
  <c r="J490" i="7"/>
  <c r="L490" i="7" s="1"/>
  <c r="K490" i="7"/>
  <c r="J491" i="7"/>
  <c r="K491" i="7"/>
  <c r="L491" i="7" s="1"/>
  <c r="J492" i="7"/>
  <c r="K492" i="7" s="1"/>
  <c r="L492" i="7" s="1"/>
  <c r="J493" i="7"/>
  <c r="J494" i="7"/>
  <c r="J495" i="7"/>
  <c r="K495" i="7"/>
  <c r="L495" i="7"/>
  <c r="J496" i="7"/>
  <c r="K496" i="7"/>
  <c r="L496" i="7"/>
  <c r="J497" i="7"/>
  <c r="K497" i="7" s="1"/>
  <c r="J498" i="7"/>
  <c r="K498" i="7"/>
  <c r="J499" i="7"/>
  <c r="K499" i="7"/>
  <c r="L499" i="7" s="1"/>
  <c r="J500" i="7"/>
  <c r="K500" i="7" s="1"/>
  <c r="L500" i="7" s="1"/>
  <c r="J501" i="7"/>
  <c r="J502" i="7"/>
  <c r="J503" i="7"/>
  <c r="K503" i="7"/>
  <c r="L503" i="7"/>
  <c r="J504" i="7"/>
  <c r="K504" i="7"/>
  <c r="L504" i="7"/>
  <c r="J505" i="7"/>
  <c r="K505" i="7" s="1"/>
  <c r="J506" i="7"/>
  <c r="L506" i="7" s="1"/>
  <c r="K506" i="7"/>
  <c r="J507" i="7"/>
  <c r="K507" i="7"/>
  <c r="L507" i="7" s="1"/>
  <c r="J508" i="7"/>
  <c r="K508" i="7" s="1"/>
  <c r="L508" i="7" s="1"/>
  <c r="J509" i="7"/>
  <c r="J510" i="7"/>
  <c r="J511" i="7"/>
  <c r="K511" i="7"/>
  <c r="L511" i="7"/>
  <c r="J512" i="7"/>
  <c r="K512" i="7"/>
  <c r="L512" i="7"/>
  <c r="J513" i="7"/>
  <c r="K513" i="7" s="1"/>
  <c r="J514" i="7"/>
  <c r="L514" i="7" s="1"/>
  <c r="K514" i="7"/>
  <c r="J515" i="7"/>
  <c r="K515" i="7"/>
  <c r="L515" i="7" s="1"/>
  <c r="J516" i="7"/>
  <c r="K516" i="7" s="1"/>
  <c r="L516" i="7" s="1"/>
  <c r="J517" i="7"/>
  <c r="J518" i="7"/>
  <c r="J519" i="7"/>
  <c r="K519" i="7"/>
  <c r="L519" i="7"/>
  <c r="J520" i="7"/>
  <c r="K520" i="7"/>
  <c r="L520" i="7"/>
  <c r="J521" i="7"/>
  <c r="K521" i="7" s="1"/>
  <c r="J522" i="7"/>
  <c r="L522" i="7" s="1"/>
  <c r="K522" i="7"/>
  <c r="J523" i="7"/>
  <c r="K523" i="7"/>
  <c r="L523" i="7" s="1"/>
  <c r="J524" i="7"/>
  <c r="K524" i="7" s="1"/>
  <c r="L524" i="7" s="1"/>
  <c r="J525" i="7"/>
  <c r="J526" i="7"/>
  <c r="J527" i="7"/>
  <c r="K527" i="7"/>
  <c r="L527" i="7"/>
  <c r="J528" i="7"/>
  <c r="K528" i="7"/>
  <c r="L528" i="7"/>
  <c r="J529" i="7"/>
  <c r="K529" i="7" s="1"/>
  <c r="J530" i="7"/>
  <c r="K530" i="7"/>
  <c r="J531" i="7"/>
  <c r="K531" i="7"/>
  <c r="L531" i="7" s="1"/>
  <c r="J532" i="7"/>
  <c r="K532" i="7" s="1"/>
  <c r="L532" i="7" s="1"/>
  <c r="J533" i="7"/>
  <c r="J534" i="7"/>
  <c r="J535" i="7"/>
  <c r="K535" i="7"/>
  <c r="L535" i="7"/>
  <c r="J536" i="7"/>
  <c r="K536" i="7"/>
  <c r="L536" i="7"/>
  <c r="J537" i="7"/>
  <c r="K537" i="7" s="1"/>
  <c r="J538" i="7"/>
  <c r="L538" i="7" s="1"/>
  <c r="K538" i="7"/>
  <c r="J539" i="7"/>
  <c r="K539" i="7"/>
  <c r="L539" i="7" s="1"/>
  <c r="J540" i="7"/>
  <c r="K540" i="7" s="1"/>
  <c r="L540" i="7" s="1"/>
  <c r="J541" i="7"/>
  <c r="J542" i="7"/>
  <c r="J543" i="7"/>
  <c r="K543" i="7"/>
  <c r="L543" i="7"/>
  <c r="J544" i="7"/>
  <c r="K544" i="7"/>
  <c r="L544" i="7"/>
  <c r="J545" i="7"/>
  <c r="K545" i="7" s="1"/>
  <c r="J546" i="7"/>
  <c r="L546" i="7" s="1"/>
  <c r="K546" i="7"/>
  <c r="J547" i="7"/>
  <c r="K547" i="7"/>
  <c r="L547" i="7" s="1"/>
  <c r="J548" i="7"/>
  <c r="K548" i="7" s="1"/>
  <c r="L548" i="7" s="1"/>
  <c r="J549" i="7"/>
  <c r="J550" i="7"/>
  <c r="J551" i="7"/>
  <c r="K551" i="7"/>
  <c r="L551" i="7"/>
  <c r="J552" i="7"/>
  <c r="K552" i="7"/>
  <c r="L552" i="7"/>
  <c r="J553" i="7"/>
  <c r="K553" i="7" s="1"/>
  <c r="J554" i="7"/>
  <c r="L554" i="7" s="1"/>
  <c r="K554" i="7"/>
  <c r="J555" i="7"/>
  <c r="K555" i="7"/>
  <c r="L555" i="7" s="1"/>
  <c r="J556" i="7"/>
  <c r="K556" i="7" s="1"/>
  <c r="L556" i="7" s="1"/>
  <c r="J557" i="7"/>
  <c r="J558" i="7"/>
  <c r="J559" i="7"/>
  <c r="K559" i="7"/>
  <c r="L559" i="7"/>
  <c r="J560" i="7"/>
  <c r="K560" i="7"/>
  <c r="L560" i="7"/>
  <c r="J561" i="7"/>
  <c r="K561" i="7" s="1"/>
  <c r="J562" i="7"/>
  <c r="K562" i="7"/>
  <c r="J563" i="7"/>
  <c r="K563" i="7"/>
  <c r="L563" i="7" s="1"/>
  <c r="J564" i="7"/>
  <c r="K564" i="7"/>
  <c r="L564" i="7"/>
  <c r="J565" i="7"/>
  <c r="J566" i="7"/>
  <c r="J567" i="7"/>
  <c r="K567" i="7"/>
  <c r="L567" i="7"/>
  <c r="J568" i="7"/>
  <c r="K568" i="7"/>
  <c r="L568" i="7"/>
  <c r="J569" i="7"/>
  <c r="K569" i="7" s="1"/>
  <c r="J570" i="7"/>
  <c r="K570" i="7"/>
  <c r="J571" i="7"/>
  <c r="K571" i="7"/>
  <c r="L571" i="7"/>
  <c r="J572" i="7"/>
  <c r="K572" i="7"/>
  <c r="L572" i="7"/>
  <c r="J573" i="7"/>
  <c r="J574" i="7"/>
  <c r="K574" i="7"/>
  <c r="J575" i="7"/>
  <c r="K575" i="7"/>
  <c r="L575" i="7"/>
  <c r="J576" i="7"/>
  <c r="K576" i="7"/>
  <c r="L576" i="7"/>
  <c r="J577" i="7"/>
  <c r="J578" i="7"/>
  <c r="L578" i="7" s="1"/>
  <c r="K578" i="7"/>
  <c r="J579" i="7"/>
  <c r="K579" i="7"/>
  <c r="L579" i="7"/>
  <c r="J580" i="7"/>
  <c r="K580" i="7"/>
  <c r="L580" i="7"/>
  <c r="J581" i="7"/>
  <c r="J582" i="7"/>
  <c r="K582" i="7"/>
  <c r="J583" i="7"/>
  <c r="K583" i="7"/>
  <c r="L583" i="7"/>
  <c r="J584" i="7"/>
  <c r="K584" i="7"/>
  <c r="L584" i="7"/>
  <c r="J585" i="7"/>
  <c r="J586" i="7"/>
  <c r="L586" i="7" s="1"/>
  <c r="K586" i="7"/>
  <c r="J587" i="7"/>
  <c r="K587" i="7"/>
  <c r="L587" i="7"/>
  <c r="J588" i="7"/>
  <c r="K588" i="7"/>
  <c r="L588" i="7"/>
  <c r="J589" i="7"/>
  <c r="J590" i="7"/>
  <c r="K590" i="7"/>
  <c r="J591" i="7"/>
  <c r="K591" i="7"/>
  <c r="L591" i="7"/>
  <c r="J592" i="7"/>
  <c r="K592" i="7"/>
  <c r="L592" i="7"/>
  <c r="J593" i="7"/>
  <c r="J594" i="7"/>
  <c r="L594" i="7" s="1"/>
  <c r="K594" i="7"/>
  <c r="J595" i="7"/>
  <c r="K595" i="7"/>
  <c r="L595" i="7"/>
  <c r="J596" i="7"/>
  <c r="K596" i="7"/>
  <c r="L596" i="7"/>
  <c r="J597" i="7"/>
  <c r="J598" i="7"/>
  <c r="K598" i="7"/>
  <c r="J599" i="7"/>
  <c r="K599" i="7"/>
  <c r="L599" i="7"/>
  <c r="J600" i="7"/>
  <c r="K600" i="7"/>
  <c r="L600" i="7"/>
  <c r="J601" i="7"/>
  <c r="J602" i="7"/>
  <c r="K602" i="7"/>
  <c r="J603" i="7"/>
  <c r="K603" i="7"/>
  <c r="L603" i="7"/>
  <c r="J604" i="7"/>
  <c r="K604" i="7"/>
  <c r="L604" i="7"/>
  <c r="J605" i="7"/>
  <c r="J606" i="7"/>
  <c r="K606" i="7"/>
  <c r="J607" i="7"/>
  <c r="K607" i="7"/>
  <c r="L607" i="7" s="1"/>
  <c r="J608" i="7"/>
  <c r="K608" i="7"/>
  <c r="L608" i="7"/>
  <c r="J609" i="7"/>
  <c r="J610" i="7"/>
  <c r="K610" i="7" s="1"/>
  <c r="J611" i="7"/>
  <c r="K611" i="7"/>
  <c r="L611" i="7"/>
  <c r="J612" i="7"/>
  <c r="K612" i="7"/>
  <c r="L612" i="7"/>
  <c r="J613" i="7"/>
  <c r="J614" i="7"/>
  <c r="K614" i="7"/>
  <c r="J615" i="7"/>
  <c r="K615" i="7"/>
  <c r="L615" i="7" s="1"/>
  <c r="J616" i="7"/>
  <c r="K616" i="7"/>
  <c r="L616" i="7"/>
  <c r="J617" i="7"/>
  <c r="J618" i="7"/>
  <c r="J619" i="7"/>
  <c r="K619" i="7"/>
  <c r="L619" i="7"/>
  <c r="J620" i="7"/>
  <c r="K620" i="7"/>
  <c r="L620" i="7"/>
  <c r="J621" i="7"/>
  <c r="J622" i="7"/>
  <c r="K622" i="7"/>
  <c r="J623" i="7"/>
  <c r="K623" i="7"/>
  <c r="L623" i="7"/>
  <c r="J624" i="7"/>
  <c r="K624" i="7"/>
  <c r="L624" i="7"/>
  <c r="J625" i="7"/>
  <c r="J626" i="7"/>
  <c r="K626" i="7" s="1"/>
  <c r="J627" i="7"/>
  <c r="K627" i="7"/>
  <c r="L627" i="7"/>
  <c r="J628" i="7"/>
  <c r="K628" i="7"/>
  <c r="L628" i="7"/>
  <c r="J629" i="7"/>
  <c r="J630" i="7"/>
  <c r="K630" i="7"/>
  <c r="J631" i="7"/>
  <c r="K631" i="7"/>
  <c r="L631" i="7" s="1"/>
  <c r="J632" i="7"/>
  <c r="K632" i="7"/>
  <c r="L632" i="7"/>
  <c r="J633" i="7"/>
  <c r="J634" i="7"/>
  <c r="K634" i="7"/>
  <c r="J635" i="7"/>
  <c r="K635" i="7"/>
  <c r="L635" i="7"/>
  <c r="J636" i="7"/>
  <c r="K636" i="7"/>
  <c r="L636" i="7"/>
  <c r="J637" i="7"/>
  <c r="J638" i="7"/>
  <c r="K638" i="7"/>
  <c r="J639" i="7"/>
  <c r="K639" i="7"/>
  <c r="L639" i="7" s="1"/>
  <c r="J640" i="7"/>
  <c r="K640" i="7"/>
  <c r="L640" i="7"/>
  <c r="J641" i="7"/>
  <c r="J642" i="7"/>
  <c r="K642" i="7" s="1"/>
  <c r="J643" i="7"/>
  <c r="K643" i="7"/>
  <c r="L643" i="7"/>
  <c r="J644" i="7"/>
  <c r="K644" i="7"/>
  <c r="L644" i="7"/>
  <c r="J645" i="7"/>
  <c r="J646" i="7"/>
  <c r="K646" i="7"/>
  <c r="J647" i="7"/>
  <c r="K647" i="7"/>
  <c r="L647" i="7" s="1"/>
  <c r="J648" i="7"/>
  <c r="K648" i="7" s="1"/>
  <c r="L648" i="7"/>
  <c r="J649" i="7"/>
  <c r="J650" i="7"/>
  <c r="K650" i="7"/>
  <c r="J651" i="7"/>
  <c r="K651" i="7"/>
  <c r="L651" i="7" s="1"/>
  <c r="J652" i="7"/>
  <c r="K652" i="7"/>
  <c r="L652" i="7"/>
  <c r="J653" i="7"/>
  <c r="J654" i="7"/>
  <c r="J655" i="7"/>
  <c r="K655" i="7"/>
  <c r="L655" i="7"/>
  <c r="J656" i="7"/>
  <c r="K656" i="7" s="1"/>
  <c r="L656" i="7"/>
  <c r="J657" i="7"/>
  <c r="J658" i="7"/>
  <c r="J659" i="7"/>
  <c r="K659" i="7"/>
  <c r="L659" i="7"/>
  <c r="J660" i="7"/>
  <c r="K660" i="7"/>
  <c r="L660" i="7"/>
  <c r="J661" i="7"/>
  <c r="J662" i="7"/>
  <c r="K662" i="7"/>
  <c r="J663" i="7"/>
  <c r="K663" i="7"/>
  <c r="L663" i="7"/>
  <c r="J664" i="7"/>
  <c r="K664" i="7" s="1"/>
  <c r="L664" i="7" s="1"/>
  <c r="J665" i="7"/>
  <c r="J666" i="7"/>
  <c r="K666" i="7"/>
  <c r="J667" i="7"/>
  <c r="K667" i="7"/>
  <c r="L667" i="7"/>
  <c r="J668" i="7"/>
  <c r="K668" i="7"/>
  <c r="L668" i="7"/>
  <c r="J669" i="7"/>
  <c r="J670" i="7"/>
  <c r="K670" i="7" s="1"/>
  <c r="J671" i="7"/>
  <c r="K671" i="7"/>
  <c r="L671" i="7"/>
  <c r="J672" i="7"/>
  <c r="K672" i="7" s="1"/>
  <c r="L672" i="7"/>
  <c r="J673" i="7"/>
  <c r="K673" i="7" s="1"/>
  <c r="L673" i="7"/>
  <c r="J674" i="7"/>
  <c r="K674" i="7"/>
  <c r="J675" i="7"/>
  <c r="K675" i="7"/>
  <c r="L675" i="7" s="1"/>
  <c r="J676" i="7"/>
  <c r="K676" i="7"/>
  <c r="L676" i="7"/>
  <c r="J677" i="7"/>
  <c r="J678" i="7"/>
  <c r="K678" i="7"/>
  <c r="J679" i="7"/>
  <c r="K679" i="7" s="1"/>
  <c r="L679" i="7" s="1"/>
  <c r="J680" i="7"/>
  <c r="K680" i="7" s="1"/>
  <c r="L680" i="7"/>
  <c r="J681" i="7"/>
  <c r="K681" i="7" s="1"/>
  <c r="L681" i="7"/>
  <c r="J682" i="7"/>
  <c r="K682" i="7"/>
  <c r="J683" i="7"/>
  <c r="K683" i="7"/>
  <c r="L683" i="7" s="1"/>
  <c r="J684" i="7"/>
  <c r="K684" i="7"/>
  <c r="L684" i="7"/>
  <c r="J685" i="7"/>
  <c r="J686" i="7"/>
  <c r="K686" i="7" s="1"/>
  <c r="J687" i="7"/>
  <c r="J688" i="7"/>
  <c r="K688" i="7" s="1"/>
  <c r="L688" i="7"/>
  <c r="J689" i="7"/>
  <c r="K689" i="7" s="1"/>
  <c r="L689" i="7"/>
  <c r="J690" i="7"/>
  <c r="K690" i="7"/>
  <c r="J691" i="7"/>
  <c r="K691" i="7"/>
  <c r="L691" i="7" s="1"/>
  <c r="J692" i="7"/>
  <c r="K692" i="7"/>
  <c r="L692" i="7"/>
  <c r="J693" i="7"/>
  <c r="J694" i="7"/>
  <c r="J695" i="7"/>
  <c r="J696" i="7"/>
  <c r="K696" i="7" s="1"/>
  <c r="L696" i="7"/>
  <c r="J697" i="7"/>
  <c r="K697" i="7" s="1"/>
  <c r="L697" i="7"/>
  <c r="J698" i="7"/>
  <c r="K698" i="7"/>
  <c r="J699" i="7"/>
  <c r="K699" i="7"/>
  <c r="L699" i="7"/>
  <c r="J700" i="7"/>
  <c r="K700" i="7"/>
  <c r="L700" i="7"/>
  <c r="J701" i="7"/>
  <c r="J702" i="7"/>
  <c r="J703" i="7"/>
  <c r="K703" i="7"/>
  <c r="L703" i="7"/>
  <c r="J704" i="7"/>
  <c r="K704" i="7" s="1"/>
  <c r="L704" i="7"/>
  <c r="J705" i="7"/>
  <c r="K705" i="7" s="1"/>
  <c r="L705" i="7"/>
  <c r="J706" i="7"/>
  <c r="K706" i="7"/>
  <c r="J707" i="7"/>
  <c r="K707" i="7"/>
  <c r="L707" i="7" s="1"/>
  <c r="J708" i="7"/>
  <c r="K708" i="7"/>
  <c r="L708" i="7"/>
  <c r="J709" i="7"/>
  <c r="J710" i="7"/>
  <c r="K710" i="7"/>
  <c r="J711" i="7"/>
  <c r="K711" i="7" s="1"/>
  <c r="L711" i="7"/>
  <c r="J712" i="7"/>
  <c r="K712" i="7" s="1"/>
  <c r="L712" i="7"/>
  <c r="J713" i="7"/>
  <c r="K713" i="7" s="1"/>
  <c r="L713" i="7"/>
  <c r="J714" i="7"/>
  <c r="K714" i="7"/>
  <c r="J715" i="7"/>
  <c r="K715" i="7"/>
  <c r="L715" i="7" s="1"/>
  <c r="J716" i="7"/>
  <c r="K716" i="7"/>
  <c r="L716" i="7"/>
  <c r="J717" i="7"/>
  <c r="J718" i="7"/>
  <c r="J719" i="7"/>
  <c r="K719" i="7" s="1"/>
  <c r="J720" i="7"/>
  <c r="K720" i="7"/>
  <c r="L720" i="7"/>
  <c r="J721" i="7"/>
  <c r="K721" i="7" s="1"/>
  <c r="L721" i="7"/>
  <c r="J722" i="7"/>
  <c r="K722" i="7"/>
  <c r="J723" i="7"/>
  <c r="K723" i="7"/>
  <c r="L723" i="7"/>
  <c r="J724" i="7"/>
  <c r="K724" i="7" s="1"/>
  <c r="J725" i="7"/>
  <c r="J726" i="7"/>
  <c r="J727" i="7"/>
  <c r="L727" i="7" s="1"/>
  <c r="K727" i="7"/>
  <c r="J728" i="7"/>
  <c r="K728" i="7" s="1"/>
  <c r="L728" i="7" s="1"/>
  <c r="J729" i="7"/>
  <c r="J730" i="7"/>
  <c r="K730" i="7"/>
  <c r="J731" i="7"/>
  <c r="K731" i="7"/>
  <c r="L731" i="7" s="1"/>
  <c r="J732" i="7"/>
  <c r="J733" i="7"/>
  <c r="J734" i="7"/>
  <c r="K734" i="7" s="1"/>
  <c r="L734" i="7"/>
  <c r="J735" i="7"/>
  <c r="L735" i="7" s="1"/>
  <c r="K735" i="7"/>
  <c r="J736" i="7"/>
  <c r="K736" i="7" s="1"/>
  <c r="L736" i="7"/>
  <c r="J737" i="7"/>
  <c r="K737" i="7" s="1"/>
  <c r="J738" i="7"/>
  <c r="K738" i="7"/>
  <c r="J739" i="7"/>
  <c r="K739" i="7"/>
  <c r="L739" i="7"/>
  <c r="J740" i="7"/>
  <c r="K740" i="7" s="1"/>
  <c r="J741" i="7"/>
  <c r="J742" i="7"/>
  <c r="J743" i="7"/>
  <c r="K743" i="7"/>
  <c r="J744" i="7"/>
  <c r="K744" i="7" s="1"/>
  <c r="L744" i="7" s="1"/>
  <c r="J745" i="7"/>
  <c r="J746" i="7"/>
  <c r="K746" i="7"/>
  <c r="J747" i="7"/>
  <c r="K747" i="7"/>
  <c r="L747" i="7" s="1"/>
  <c r="J748" i="7"/>
  <c r="J749" i="7"/>
  <c r="K749" i="7" s="1"/>
  <c r="J750" i="7"/>
  <c r="K750" i="7" s="1"/>
  <c r="J751" i="7"/>
  <c r="K751" i="7"/>
  <c r="L751" i="7"/>
  <c r="J752" i="7"/>
  <c r="K752" i="7" s="1"/>
  <c r="L752" i="7"/>
  <c r="J753" i="7"/>
  <c r="K753" i="7"/>
  <c r="J754" i="7"/>
  <c r="K754" i="7"/>
  <c r="L754" i="7" s="1"/>
  <c r="J755" i="7"/>
  <c r="K755" i="7"/>
  <c r="L755" i="7" s="1"/>
  <c r="J756" i="7"/>
  <c r="J757" i="7"/>
  <c r="K757" i="7"/>
  <c r="J758" i="7"/>
  <c r="K758" i="7" s="1"/>
  <c r="J759" i="7"/>
  <c r="K759" i="7"/>
  <c r="L759" i="7"/>
  <c r="J760" i="7"/>
  <c r="K760" i="7" s="1"/>
  <c r="J761" i="7"/>
  <c r="L761" i="7" s="1"/>
  <c r="K761" i="7"/>
  <c r="J762" i="7"/>
  <c r="K762" i="7"/>
  <c r="L762" i="7"/>
  <c r="J763" i="7"/>
  <c r="K763" i="7"/>
  <c r="L763" i="7" s="1"/>
  <c r="J764" i="7"/>
  <c r="J765" i="7"/>
  <c r="K765" i="7" s="1"/>
  <c r="J766" i="7"/>
  <c r="K766" i="7" s="1"/>
  <c r="J767" i="7"/>
  <c r="K767" i="7"/>
  <c r="L767" i="7"/>
  <c r="J768" i="7"/>
  <c r="K768" i="7" s="1"/>
  <c r="L768" i="7"/>
  <c r="J769" i="7"/>
  <c r="L769" i="7" s="1"/>
  <c r="K769" i="7"/>
  <c r="J770" i="7"/>
  <c r="K770" i="7"/>
  <c r="L770" i="7"/>
  <c r="J771" i="7"/>
  <c r="K771" i="7"/>
  <c r="L771" i="7" s="1"/>
  <c r="J772" i="7"/>
  <c r="J773" i="7"/>
  <c r="K773" i="7" s="1"/>
  <c r="J774" i="7"/>
  <c r="K774" i="7"/>
  <c r="L774" i="7"/>
  <c r="J775" i="7"/>
  <c r="K775" i="7"/>
  <c r="L775" i="7"/>
  <c r="J776" i="7"/>
  <c r="K776" i="7" s="1"/>
  <c r="J777" i="7"/>
  <c r="K777" i="7"/>
  <c r="J778" i="7"/>
  <c r="K778" i="7"/>
  <c r="L778" i="7" s="1"/>
  <c r="J779" i="7"/>
  <c r="K779" i="7"/>
  <c r="L779" i="7" s="1"/>
  <c r="J780" i="7"/>
  <c r="J781" i="7"/>
  <c r="K781" i="7"/>
  <c r="J782" i="7"/>
  <c r="J783" i="7"/>
  <c r="K783" i="7"/>
  <c r="L783" i="7"/>
  <c r="J784" i="7"/>
  <c r="K784" i="7" s="1"/>
  <c r="L784" i="7"/>
  <c r="J785" i="7"/>
  <c r="K785" i="7" s="1"/>
  <c r="J786" i="7"/>
  <c r="K786" i="7"/>
  <c r="L786" i="7" s="1"/>
  <c r="J787" i="7"/>
  <c r="K787" i="7"/>
  <c r="L787" i="7"/>
  <c r="J788" i="7"/>
  <c r="J789" i="7"/>
  <c r="K789" i="7"/>
  <c r="J790" i="7"/>
  <c r="K790" i="7" s="1"/>
  <c r="J791" i="7"/>
  <c r="K791" i="7"/>
  <c r="L791" i="7"/>
  <c r="J792" i="7"/>
  <c r="K792" i="7" s="1"/>
  <c r="L792" i="7"/>
  <c r="J793" i="7"/>
  <c r="K793" i="7" s="1"/>
  <c r="J794" i="7"/>
  <c r="K794" i="7"/>
  <c r="L794" i="7"/>
  <c r="J795" i="7"/>
  <c r="K795" i="7"/>
  <c r="L795" i="7"/>
  <c r="J796" i="7"/>
  <c r="J797" i="7"/>
  <c r="K797" i="7" s="1"/>
  <c r="J798" i="7"/>
  <c r="K798" i="7"/>
  <c r="L798" i="7"/>
  <c r="J799" i="7"/>
  <c r="K799" i="7"/>
  <c r="L799" i="7"/>
  <c r="J800" i="7"/>
  <c r="K800" i="7" s="1"/>
  <c r="J801" i="7"/>
  <c r="K801" i="7"/>
  <c r="J802" i="7"/>
  <c r="K802" i="7"/>
  <c r="L802" i="7"/>
  <c r="J803" i="7"/>
  <c r="K803" i="7"/>
  <c r="L803" i="7" s="1"/>
  <c r="J804" i="7"/>
  <c r="J805" i="7"/>
  <c r="K805" i="7"/>
  <c r="J806" i="7"/>
  <c r="K806" i="7"/>
  <c r="L806" i="7" s="1"/>
  <c r="J807" i="7"/>
  <c r="K807" i="7"/>
  <c r="L807" i="7"/>
  <c r="J808" i="7"/>
  <c r="K808" i="7" s="1"/>
  <c r="L808" i="7"/>
  <c r="J809" i="7"/>
  <c r="K809" i="7"/>
  <c r="J810" i="7"/>
  <c r="K810" i="7"/>
  <c r="L810" i="7" s="1"/>
  <c r="J811" i="7"/>
  <c r="K811" i="7"/>
  <c r="L811" i="7"/>
  <c r="J812" i="7"/>
  <c r="J813" i="7"/>
  <c r="K813" i="7" s="1"/>
  <c r="J814" i="7"/>
  <c r="K814" i="7" s="1"/>
  <c r="J815" i="7"/>
  <c r="K815" i="7"/>
  <c r="L815" i="7"/>
  <c r="J816" i="7"/>
  <c r="K816" i="7" s="1"/>
  <c r="J817" i="7"/>
  <c r="K817" i="7" s="1"/>
  <c r="J818" i="7"/>
  <c r="K818" i="7"/>
  <c r="L818" i="7"/>
  <c r="J819" i="7"/>
  <c r="K819" i="7"/>
  <c r="L819" i="7" s="1"/>
  <c r="J820" i="7"/>
  <c r="J821" i="7"/>
  <c r="K821" i="7"/>
  <c r="J822" i="7"/>
  <c r="L822" i="7" s="1"/>
  <c r="K822" i="7"/>
  <c r="J823" i="7"/>
  <c r="K823" i="7"/>
  <c r="L823" i="7"/>
  <c r="J824" i="7"/>
  <c r="K824" i="7" s="1"/>
  <c r="L824" i="7"/>
  <c r="J825" i="7"/>
  <c r="K825" i="7"/>
  <c r="J826" i="7"/>
  <c r="K826" i="7"/>
  <c r="L826" i="7" s="1"/>
  <c r="J827" i="7"/>
  <c r="K827" i="7"/>
  <c r="L827" i="7"/>
  <c r="J828" i="7"/>
  <c r="J829" i="7"/>
  <c r="K829" i="7" s="1"/>
  <c r="J830" i="7"/>
  <c r="K830" i="7" s="1"/>
  <c r="J831" i="7"/>
  <c r="K831" i="7"/>
  <c r="L831" i="7"/>
  <c r="J832" i="7"/>
  <c r="K832" i="7" s="1"/>
  <c r="J833" i="7"/>
  <c r="K833" i="7" s="1"/>
  <c r="J834" i="7"/>
  <c r="K834" i="7"/>
  <c r="L834" i="7"/>
  <c r="J835" i="7"/>
  <c r="K835" i="7"/>
  <c r="L835" i="7" s="1"/>
  <c r="J836" i="7"/>
  <c r="J837" i="7"/>
  <c r="K837" i="7" s="1"/>
  <c r="J838" i="7"/>
  <c r="K838" i="7"/>
  <c r="L838" i="7"/>
  <c r="J839" i="7"/>
  <c r="K839" i="7"/>
  <c r="L839" i="7"/>
  <c r="J840" i="7"/>
  <c r="K840" i="7" s="1"/>
  <c r="J841" i="7"/>
  <c r="K841" i="7"/>
  <c r="J842" i="7"/>
  <c r="K842" i="7"/>
  <c r="L842" i="7" s="1"/>
  <c r="J843" i="7"/>
  <c r="K843" i="7"/>
  <c r="L843" i="7" s="1"/>
  <c r="J844" i="7"/>
  <c r="J845" i="7"/>
  <c r="K845" i="7"/>
  <c r="J846" i="7"/>
  <c r="J847" i="7"/>
  <c r="K847" i="7"/>
  <c r="L847" i="7"/>
  <c r="J848" i="7"/>
  <c r="K848" i="7" s="1"/>
  <c r="L848" i="7"/>
  <c r="J849" i="7"/>
  <c r="K849" i="7" s="1"/>
  <c r="J850" i="7"/>
  <c r="K850" i="7"/>
  <c r="L850" i="7" s="1"/>
  <c r="J851" i="7"/>
  <c r="K851" i="7"/>
  <c r="L851" i="7"/>
  <c r="J852" i="7"/>
  <c r="J853" i="7"/>
  <c r="K853" i="7"/>
  <c r="J854" i="7"/>
  <c r="K854" i="7" s="1"/>
  <c r="J855" i="7"/>
  <c r="K855" i="7"/>
  <c r="L855" i="7"/>
  <c r="J856" i="7"/>
  <c r="K856" i="7" s="1"/>
  <c r="L856" i="7"/>
  <c r="J857" i="7"/>
  <c r="K857" i="7" s="1"/>
  <c r="J858" i="7"/>
  <c r="K858" i="7"/>
  <c r="L858" i="7"/>
  <c r="J859" i="7"/>
  <c r="K859" i="7"/>
  <c r="L859" i="7"/>
  <c r="J860" i="7"/>
  <c r="J861" i="7"/>
  <c r="K861" i="7" s="1"/>
  <c r="J862" i="7"/>
  <c r="K862" i="7"/>
  <c r="L862" i="7"/>
  <c r="J863" i="7"/>
  <c r="K863" i="7"/>
  <c r="L863" i="7"/>
  <c r="J864" i="7"/>
  <c r="K864" i="7" s="1"/>
  <c r="J865" i="7"/>
  <c r="K865" i="7"/>
  <c r="J866" i="7"/>
  <c r="K866" i="7"/>
  <c r="L866" i="7"/>
  <c r="J867" i="7"/>
  <c r="K867" i="7"/>
  <c r="L867" i="7" s="1"/>
  <c r="J868" i="7"/>
  <c r="J869" i="7"/>
  <c r="K869" i="7"/>
  <c r="J870" i="7"/>
  <c r="K870" i="7"/>
  <c r="L870" i="7" s="1"/>
  <c r="J871" i="7"/>
  <c r="K871" i="7"/>
  <c r="L871" i="7"/>
  <c r="J872" i="7"/>
  <c r="K872" i="7" s="1"/>
  <c r="L872" i="7"/>
  <c r="J873" i="7"/>
  <c r="K873" i="7"/>
  <c r="J874" i="7"/>
  <c r="K874" i="7"/>
  <c r="L874" i="7" s="1"/>
  <c r="J875" i="7"/>
  <c r="K875" i="7"/>
  <c r="L875" i="7"/>
  <c r="J876" i="7"/>
  <c r="J877" i="7"/>
  <c r="K877" i="7" s="1"/>
  <c r="J878" i="7"/>
  <c r="K878" i="7" s="1"/>
  <c r="J879" i="7"/>
  <c r="K879" i="7"/>
  <c r="L879" i="7"/>
  <c r="J880" i="7"/>
  <c r="K880" i="7" s="1"/>
  <c r="J881" i="7"/>
  <c r="K881" i="7" s="1"/>
  <c r="J882" i="7"/>
  <c r="K882" i="7"/>
  <c r="L882" i="7"/>
  <c r="J883" i="7"/>
  <c r="K883" i="7"/>
  <c r="L883" i="7" s="1"/>
  <c r="J884" i="7"/>
  <c r="J885" i="7"/>
  <c r="K885" i="7"/>
  <c r="J886" i="7"/>
  <c r="L886" i="7" s="1"/>
  <c r="K886" i="7"/>
  <c r="J887" i="7"/>
  <c r="K887" i="7"/>
  <c r="L887" i="7"/>
  <c r="J888" i="7"/>
  <c r="K888" i="7" s="1"/>
  <c r="L888" i="7"/>
  <c r="J889" i="7"/>
  <c r="K889" i="7"/>
  <c r="J890" i="7"/>
  <c r="K890" i="7"/>
  <c r="L890" i="7" s="1"/>
  <c r="J891" i="7"/>
  <c r="K891" i="7"/>
  <c r="L891" i="7"/>
  <c r="J892" i="7"/>
  <c r="K892" i="7" s="1"/>
  <c r="L892" i="7"/>
  <c r="J893" i="7"/>
  <c r="K893" i="7"/>
  <c r="J894" i="7"/>
  <c r="L894" i="7" s="1"/>
  <c r="K894" i="7"/>
  <c r="J895" i="7"/>
  <c r="K895" i="7"/>
  <c r="L895" i="7"/>
  <c r="J896" i="7"/>
  <c r="K896" i="7" s="1"/>
  <c r="L896" i="7"/>
  <c r="J897" i="7"/>
  <c r="K897" i="7"/>
  <c r="J898" i="7"/>
  <c r="K898" i="7"/>
  <c r="L898" i="7"/>
  <c r="J899" i="7"/>
  <c r="K899" i="7"/>
  <c r="L899" i="7"/>
  <c r="J900" i="7"/>
  <c r="K900" i="7" s="1"/>
  <c r="L900" i="7"/>
  <c r="J901" i="7"/>
  <c r="K901" i="7"/>
  <c r="J902" i="7"/>
  <c r="L902" i="7" s="1"/>
  <c r="K902" i="7"/>
  <c r="J903" i="7"/>
  <c r="K903" i="7"/>
  <c r="L903" i="7"/>
  <c r="J904" i="7"/>
  <c r="K904" i="7" s="1"/>
  <c r="L904" i="7"/>
  <c r="J905" i="7"/>
  <c r="K905" i="7"/>
  <c r="J906" i="7"/>
  <c r="K906" i="7"/>
  <c r="L906" i="7" s="1"/>
  <c r="J907" i="7"/>
  <c r="K907" i="7"/>
  <c r="L907" i="7"/>
  <c r="J908" i="7"/>
  <c r="K908" i="7" s="1"/>
  <c r="L908" i="7"/>
  <c r="J909" i="7"/>
  <c r="K909" i="7"/>
  <c r="J910" i="7"/>
  <c r="L910" i="7" s="1"/>
  <c r="K910" i="7"/>
  <c r="J911" i="7"/>
  <c r="K911" i="7"/>
  <c r="L911" i="7"/>
  <c r="J912" i="7"/>
  <c r="K912" i="7" s="1"/>
  <c r="L912" i="7"/>
  <c r="J913" i="7"/>
  <c r="K913" i="7"/>
  <c r="J914" i="7"/>
  <c r="K914" i="7"/>
  <c r="L914" i="7"/>
  <c r="J915" i="7"/>
  <c r="K915" i="7"/>
  <c r="L915" i="7"/>
  <c r="J916" i="7"/>
  <c r="K916" i="7" s="1"/>
  <c r="L916" i="7"/>
  <c r="J917" i="7"/>
  <c r="K917" i="7"/>
  <c r="J918" i="7"/>
  <c r="L918" i="7" s="1"/>
  <c r="K918" i="7"/>
  <c r="J919" i="7"/>
  <c r="K919" i="7"/>
  <c r="L919" i="7"/>
  <c r="J920" i="7"/>
  <c r="K920" i="7" s="1"/>
  <c r="L920" i="7"/>
  <c r="J921" i="7"/>
  <c r="K921" i="7"/>
  <c r="J922" i="7"/>
  <c r="K922" i="7" s="1"/>
  <c r="J923" i="7"/>
  <c r="K923" i="7"/>
  <c r="L923" i="7"/>
  <c r="J924" i="7"/>
  <c r="K924" i="7" s="1"/>
  <c r="L924" i="7"/>
  <c r="J925" i="7"/>
  <c r="J926" i="7"/>
  <c r="L926" i="7" s="1"/>
  <c r="K926" i="7"/>
  <c r="J927" i="7"/>
  <c r="K927" i="7"/>
  <c r="L927" i="7"/>
  <c r="J928" i="7"/>
  <c r="K928" i="7" s="1"/>
  <c r="J929" i="7"/>
  <c r="K929" i="7"/>
  <c r="J930" i="7"/>
  <c r="K930" i="7"/>
  <c r="L930" i="7"/>
  <c r="J931" i="7"/>
  <c r="K931" i="7"/>
  <c r="L931" i="7" s="1"/>
  <c r="J932" i="7"/>
  <c r="K932" i="7" s="1"/>
  <c r="L932" i="7"/>
  <c r="J933" i="7"/>
  <c r="K933" i="7"/>
  <c r="J934" i="7"/>
  <c r="K934" i="7"/>
  <c r="L934" i="7" s="1"/>
  <c r="J935" i="7"/>
  <c r="K935" i="7"/>
  <c r="L935" i="7"/>
  <c r="J936" i="7"/>
  <c r="K936" i="7" s="1"/>
  <c r="L936" i="7"/>
  <c r="J937" i="7"/>
  <c r="K937" i="7"/>
  <c r="J938" i="7"/>
  <c r="K938" i="7" s="1"/>
  <c r="J939" i="7"/>
  <c r="K939" i="7"/>
  <c r="L939" i="7"/>
  <c r="J940" i="7"/>
  <c r="K940" i="7" s="1"/>
  <c r="L940" i="7"/>
  <c r="J941" i="7"/>
  <c r="J942" i="7"/>
  <c r="L942" i="7" s="1"/>
  <c r="K942" i="7"/>
  <c r="J943" i="7"/>
  <c r="K943" i="7"/>
  <c r="L943" i="7"/>
  <c r="J944" i="7"/>
  <c r="K944" i="7" s="1"/>
  <c r="J945" i="7"/>
  <c r="K945" i="7"/>
  <c r="J946" i="7"/>
  <c r="K946" i="7"/>
  <c r="L946" i="7"/>
  <c r="J947" i="7"/>
  <c r="K947" i="7"/>
  <c r="L947" i="7" s="1"/>
  <c r="J948" i="7"/>
  <c r="K948" i="7" s="1"/>
  <c r="L948" i="7"/>
  <c r="J949" i="7"/>
  <c r="K949" i="7"/>
  <c r="J950" i="7"/>
  <c r="K950" i="7"/>
  <c r="L950" i="7" s="1"/>
  <c r="J951" i="7"/>
  <c r="K951" i="7"/>
  <c r="L951" i="7"/>
  <c r="J952" i="7"/>
  <c r="K952" i="7" s="1"/>
  <c r="L952" i="7"/>
  <c r="J953" i="7"/>
  <c r="K953" i="7"/>
  <c r="J954" i="7"/>
  <c r="K954" i="7" s="1"/>
  <c r="J955" i="7"/>
  <c r="K955" i="7"/>
  <c r="L955" i="7"/>
  <c r="J956" i="7"/>
  <c r="K956" i="7" s="1"/>
  <c r="L956" i="7"/>
  <c r="J957" i="7"/>
  <c r="J958" i="7"/>
  <c r="L958" i="7" s="1"/>
  <c r="K958" i="7"/>
  <c r="J959" i="7"/>
  <c r="K959" i="7"/>
  <c r="L959" i="7"/>
  <c r="J960" i="7"/>
  <c r="K960" i="7" s="1"/>
  <c r="J961" i="7"/>
  <c r="K961" i="7"/>
  <c r="J962" i="7"/>
  <c r="K962" i="7"/>
  <c r="L962" i="7"/>
  <c r="J963" i="7"/>
  <c r="K963" i="7"/>
  <c r="L963" i="7" s="1"/>
  <c r="J964" i="7"/>
  <c r="K964" i="7" s="1"/>
  <c r="L964" i="7"/>
  <c r="J965" i="7"/>
  <c r="K965" i="7"/>
  <c r="J966" i="7"/>
  <c r="K966" i="7"/>
  <c r="L966" i="7" s="1"/>
  <c r="J967" i="7"/>
  <c r="K967" i="7"/>
  <c r="L967" i="7"/>
  <c r="J968" i="7"/>
  <c r="K968" i="7" s="1"/>
  <c r="L968" i="7"/>
  <c r="J969" i="7"/>
  <c r="K969" i="7"/>
  <c r="J970" i="7"/>
  <c r="K970" i="7" s="1"/>
  <c r="J971" i="7"/>
  <c r="K971" i="7"/>
  <c r="L971" i="7"/>
  <c r="J972" i="7"/>
  <c r="K972" i="7" s="1"/>
  <c r="L972" i="7"/>
  <c r="J973" i="7"/>
  <c r="J974" i="7"/>
  <c r="L974" i="7" s="1"/>
  <c r="K974" i="7"/>
  <c r="J975" i="7"/>
  <c r="K975" i="7"/>
  <c r="L975" i="7"/>
  <c r="J976" i="7"/>
  <c r="K976" i="7" s="1"/>
  <c r="J977" i="7"/>
  <c r="K977" i="7"/>
  <c r="J978" i="7"/>
  <c r="K978" i="7"/>
  <c r="L978" i="7"/>
  <c r="J979" i="7"/>
  <c r="K979" i="7"/>
  <c r="L979" i="7" s="1"/>
  <c r="J980" i="7"/>
  <c r="K980" i="7" s="1"/>
  <c r="L980" i="7"/>
  <c r="J981" i="7"/>
  <c r="K981" i="7"/>
  <c r="J982" i="7"/>
  <c r="K982" i="7"/>
  <c r="L982" i="7" s="1"/>
  <c r="J983" i="7"/>
  <c r="K983" i="7"/>
  <c r="L983" i="7"/>
  <c r="J984" i="7"/>
  <c r="K984" i="7" s="1"/>
  <c r="L984" i="7"/>
  <c r="J985" i="7"/>
  <c r="K985" i="7"/>
  <c r="L985" i="7" s="1"/>
  <c r="J986" i="7"/>
  <c r="K986" i="7" s="1"/>
  <c r="J987" i="7"/>
  <c r="K987" i="7"/>
  <c r="L987" i="7"/>
  <c r="J988" i="7"/>
  <c r="J989" i="7"/>
  <c r="K989" i="7"/>
  <c r="J990" i="7"/>
  <c r="K990" i="7"/>
  <c r="L990" i="7"/>
  <c r="J991" i="7"/>
  <c r="J992" i="7"/>
  <c r="L992" i="7" s="1"/>
  <c r="K992" i="7"/>
  <c r="J993" i="7"/>
  <c r="K993" i="7"/>
  <c r="L993" i="7"/>
  <c r="J994" i="7"/>
  <c r="K994" i="7" s="1"/>
  <c r="J995" i="7"/>
  <c r="K995" i="7" s="1"/>
  <c r="J996" i="7"/>
  <c r="K996" i="7"/>
  <c r="L996" i="7" s="1"/>
  <c r="J997" i="7"/>
  <c r="K997" i="7" s="1"/>
  <c r="J998" i="7"/>
  <c r="K998" i="7"/>
  <c r="L998" i="7"/>
  <c r="J999" i="7"/>
  <c r="J1000" i="7"/>
  <c r="L1000" i="7" s="1"/>
  <c r="K1000" i="7"/>
  <c r="L403" i="7"/>
  <c r="L404" i="7"/>
  <c r="L405" i="7"/>
  <c r="L406" i="7"/>
  <c r="L407" i="7"/>
  <c r="L408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2" i="7"/>
  <c r="J254" i="7"/>
  <c r="J255" i="7"/>
  <c r="J256" i="7"/>
  <c r="J257" i="7"/>
  <c r="J258" i="7"/>
  <c r="J259" i="7"/>
  <c r="J260" i="7"/>
  <c r="J261" i="7"/>
  <c r="K261" i="7" s="1"/>
  <c r="J262" i="7"/>
  <c r="J263" i="7"/>
  <c r="J264" i="7"/>
  <c r="J265" i="7"/>
  <c r="J266" i="7"/>
  <c r="J267" i="7"/>
  <c r="J268" i="7"/>
  <c r="J269" i="7"/>
  <c r="K269" i="7" s="1"/>
  <c r="J270" i="7"/>
  <c r="J271" i="7"/>
  <c r="J272" i="7"/>
  <c r="J273" i="7"/>
  <c r="J274" i="7"/>
  <c r="J275" i="7"/>
  <c r="J276" i="7"/>
  <c r="J277" i="7"/>
  <c r="K277" i="7" s="1"/>
  <c r="J278" i="7"/>
  <c r="J279" i="7"/>
  <c r="J280" i="7"/>
  <c r="J281" i="7"/>
  <c r="J282" i="7"/>
  <c r="J283" i="7"/>
  <c r="J284" i="7"/>
  <c r="J285" i="7"/>
  <c r="K285" i="7" s="1"/>
  <c r="J286" i="7"/>
  <c r="J287" i="7"/>
  <c r="J288" i="7"/>
  <c r="J289" i="7"/>
  <c r="J290" i="7"/>
  <c r="J291" i="7"/>
  <c r="J292" i="7"/>
  <c r="J293" i="7"/>
  <c r="K293" i="7" s="1"/>
  <c r="J294" i="7"/>
  <c r="J295" i="7"/>
  <c r="J296" i="7"/>
  <c r="J297" i="7"/>
  <c r="J298" i="7"/>
  <c r="J299" i="7"/>
  <c r="J300" i="7"/>
  <c r="J301" i="7"/>
  <c r="K301" i="7" s="1"/>
  <c r="J302" i="7"/>
  <c r="J303" i="7"/>
  <c r="J304" i="7"/>
  <c r="J305" i="7"/>
  <c r="J306" i="7"/>
  <c r="J307" i="7"/>
  <c r="J308" i="7"/>
  <c r="J309" i="7"/>
  <c r="K309" i="7" s="1"/>
  <c r="J310" i="7"/>
  <c r="J311" i="7"/>
  <c r="J312" i="7"/>
  <c r="J313" i="7"/>
  <c r="J314" i="7"/>
  <c r="J315" i="7"/>
  <c r="J316" i="7"/>
  <c r="J317" i="7"/>
  <c r="K317" i="7" s="1"/>
  <c r="J318" i="7"/>
  <c r="J319" i="7"/>
  <c r="J320" i="7"/>
  <c r="J321" i="7"/>
  <c r="J322" i="7"/>
  <c r="J323" i="7"/>
  <c r="J324" i="7"/>
  <c r="J325" i="7"/>
  <c r="K325" i="7" s="1"/>
  <c r="J326" i="7"/>
  <c r="J327" i="7"/>
  <c r="J328" i="7"/>
  <c r="J329" i="7"/>
  <c r="J330" i="7"/>
  <c r="J331" i="7"/>
  <c r="J332" i="7"/>
  <c r="J333" i="7"/>
  <c r="K333" i="7" s="1"/>
  <c r="J334" i="7"/>
  <c r="J335" i="7"/>
  <c r="J336" i="7"/>
  <c r="J337" i="7"/>
  <c r="J338" i="7"/>
  <c r="J339" i="7"/>
  <c r="J340" i="7"/>
  <c r="J341" i="7"/>
  <c r="K341" i="7" s="1"/>
  <c r="J342" i="7"/>
  <c r="J343" i="7"/>
  <c r="J344" i="7"/>
  <c r="J345" i="7"/>
  <c r="J346" i="7"/>
  <c r="J347" i="7"/>
  <c r="J348" i="7"/>
  <c r="J349" i="7"/>
  <c r="K349" i="7" s="1"/>
  <c r="J350" i="7"/>
  <c r="J351" i="7"/>
  <c r="J352" i="7"/>
  <c r="J353" i="7"/>
  <c r="J354" i="7"/>
  <c r="J355" i="7"/>
  <c r="J356" i="7"/>
  <c r="J357" i="7"/>
  <c r="K357" i="7" s="1"/>
  <c r="J358" i="7"/>
  <c r="J359" i="7"/>
  <c r="J360" i="7"/>
  <c r="J361" i="7"/>
  <c r="J362" i="7"/>
  <c r="J363" i="7"/>
  <c r="J364" i="7"/>
  <c r="J365" i="7"/>
  <c r="K365" i="7" s="1"/>
  <c r="J366" i="7"/>
  <c r="J367" i="7"/>
  <c r="J368" i="7"/>
  <c r="J369" i="7"/>
  <c r="J370" i="7"/>
  <c r="J371" i="7"/>
  <c r="J372" i="7"/>
  <c r="J373" i="7"/>
  <c r="K373" i="7" s="1"/>
  <c r="J374" i="7"/>
  <c r="J375" i="7"/>
  <c r="J376" i="7"/>
  <c r="J377" i="7"/>
  <c r="J378" i="7"/>
  <c r="J379" i="7"/>
  <c r="J380" i="7"/>
  <c r="J381" i="7"/>
  <c r="K381" i="7" s="1"/>
  <c r="J382" i="7"/>
  <c r="J383" i="7"/>
  <c r="J384" i="7"/>
  <c r="J385" i="7"/>
  <c r="J386" i="7"/>
  <c r="J387" i="7"/>
  <c r="J388" i="7"/>
  <c r="J389" i="7"/>
  <c r="K389" i="7" s="1"/>
  <c r="J390" i="7"/>
  <c r="J391" i="7"/>
  <c r="J392" i="7"/>
  <c r="J393" i="7"/>
  <c r="J394" i="7"/>
  <c r="J395" i="7"/>
  <c r="J396" i="7"/>
  <c r="J397" i="7"/>
  <c r="K397" i="7" s="1"/>
  <c r="J398" i="7"/>
  <c r="J399" i="7"/>
  <c r="J400" i="7"/>
  <c r="J401" i="7"/>
  <c r="J402" i="7"/>
  <c r="J403" i="7"/>
  <c r="J404" i="7"/>
  <c r="J405" i="7"/>
  <c r="K405" i="7" s="1"/>
  <c r="J406" i="7"/>
  <c r="J407" i="7"/>
  <c r="J408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2" i="7"/>
  <c r="K263" i="7"/>
  <c r="K264" i="7"/>
  <c r="K265" i="7"/>
  <c r="K266" i="7"/>
  <c r="K267" i="7"/>
  <c r="K268" i="7"/>
  <c r="K270" i="7"/>
  <c r="K271" i="7"/>
  <c r="K272" i="7"/>
  <c r="K273" i="7"/>
  <c r="K274" i="7"/>
  <c r="K275" i="7"/>
  <c r="K276" i="7"/>
  <c r="K278" i="7"/>
  <c r="K279" i="7"/>
  <c r="K280" i="7"/>
  <c r="K281" i="7"/>
  <c r="K282" i="7"/>
  <c r="K283" i="7"/>
  <c r="K284" i="7"/>
  <c r="K286" i="7"/>
  <c r="K287" i="7"/>
  <c r="K288" i="7"/>
  <c r="K289" i="7"/>
  <c r="K290" i="7"/>
  <c r="K291" i="7"/>
  <c r="K292" i="7"/>
  <c r="K294" i="7"/>
  <c r="K295" i="7"/>
  <c r="K296" i="7"/>
  <c r="K297" i="7"/>
  <c r="K298" i="7"/>
  <c r="K299" i="7"/>
  <c r="K300" i="7"/>
  <c r="K302" i="7"/>
  <c r="K303" i="7"/>
  <c r="K304" i="7"/>
  <c r="K305" i="7"/>
  <c r="K306" i="7"/>
  <c r="K307" i="7"/>
  <c r="K308" i="7"/>
  <c r="K310" i="7"/>
  <c r="K311" i="7"/>
  <c r="K312" i="7"/>
  <c r="K313" i="7"/>
  <c r="K314" i="7"/>
  <c r="K315" i="7"/>
  <c r="K316" i="7"/>
  <c r="K318" i="7"/>
  <c r="K319" i="7"/>
  <c r="K320" i="7"/>
  <c r="K321" i="7"/>
  <c r="K322" i="7"/>
  <c r="K323" i="7"/>
  <c r="K324" i="7"/>
  <c r="K326" i="7"/>
  <c r="K327" i="7"/>
  <c r="K328" i="7"/>
  <c r="K329" i="7"/>
  <c r="K330" i="7"/>
  <c r="K331" i="7"/>
  <c r="K332" i="7"/>
  <c r="K334" i="7"/>
  <c r="K335" i="7"/>
  <c r="K336" i="7"/>
  <c r="K337" i="7"/>
  <c r="K338" i="7"/>
  <c r="K339" i="7"/>
  <c r="K340" i="7"/>
  <c r="K342" i="7"/>
  <c r="K343" i="7"/>
  <c r="K344" i="7"/>
  <c r="K345" i="7"/>
  <c r="K346" i="7"/>
  <c r="K347" i="7"/>
  <c r="K348" i="7"/>
  <c r="K350" i="7"/>
  <c r="K351" i="7"/>
  <c r="K352" i="7"/>
  <c r="K353" i="7"/>
  <c r="K354" i="7"/>
  <c r="K355" i="7"/>
  <c r="K356" i="7"/>
  <c r="K358" i="7"/>
  <c r="K359" i="7"/>
  <c r="K360" i="7"/>
  <c r="K361" i="7"/>
  <c r="K362" i="7"/>
  <c r="K363" i="7"/>
  <c r="K364" i="7"/>
  <c r="K366" i="7"/>
  <c r="K367" i="7"/>
  <c r="K368" i="7"/>
  <c r="K369" i="7"/>
  <c r="K370" i="7"/>
  <c r="K371" i="7"/>
  <c r="K372" i="7"/>
  <c r="K374" i="7"/>
  <c r="K375" i="7"/>
  <c r="K376" i="7"/>
  <c r="K377" i="7"/>
  <c r="K378" i="7"/>
  <c r="K379" i="7"/>
  <c r="K380" i="7"/>
  <c r="K382" i="7"/>
  <c r="K383" i="7"/>
  <c r="K384" i="7"/>
  <c r="K385" i="7"/>
  <c r="K386" i="7"/>
  <c r="K387" i="7"/>
  <c r="K388" i="7"/>
  <c r="K390" i="7"/>
  <c r="K391" i="7"/>
  <c r="K392" i="7"/>
  <c r="K393" i="7"/>
  <c r="K394" i="7"/>
  <c r="K395" i="7"/>
  <c r="K396" i="7"/>
  <c r="K398" i="7"/>
  <c r="K399" i="7"/>
  <c r="K400" i="7"/>
  <c r="K401" i="7"/>
  <c r="K402" i="7"/>
  <c r="K403" i="7"/>
  <c r="K404" i="7"/>
  <c r="K406" i="7"/>
  <c r="K407" i="7"/>
  <c r="K408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2" i="7"/>
  <c r="Q12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3" i="7"/>
  <c r="J4" i="7"/>
  <c r="J5" i="7"/>
  <c r="J6" i="7"/>
  <c r="J7" i="7"/>
  <c r="J8" i="7"/>
  <c r="J9" i="7"/>
  <c r="J10" i="7"/>
  <c r="J11" i="7"/>
  <c r="G2" i="7"/>
  <c r="M2" i="7"/>
  <c r="J2" i="7"/>
  <c r="D5" i="10"/>
  <c r="E5" i="10"/>
  <c r="D6" i="10"/>
  <c r="E6" i="10"/>
  <c r="D7" i="10"/>
  <c r="E7" i="10"/>
  <c r="D8" i="10"/>
  <c r="E8" i="10"/>
  <c r="D9" i="10"/>
  <c r="E9" i="10"/>
  <c r="D10" i="10"/>
  <c r="E10" i="10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/>
  <c r="D18" i="10"/>
  <c r="E18" i="10"/>
  <c r="D19" i="10"/>
  <c r="E19" i="10"/>
  <c r="D20" i="10"/>
  <c r="E20" i="10"/>
  <c r="D21" i="10"/>
  <c r="E21" i="10"/>
  <c r="D22" i="10"/>
  <c r="E22" i="10"/>
  <c r="D23" i="10"/>
  <c r="E23" i="10"/>
  <c r="D24" i="10"/>
  <c r="E24" i="10"/>
  <c r="D25" i="10"/>
  <c r="E25" i="10"/>
  <c r="D26" i="10"/>
  <c r="E26" i="10"/>
  <c r="D27" i="10"/>
  <c r="E27" i="10"/>
  <c r="D28" i="10"/>
  <c r="E28" i="10"/>
  <c r="D29" i="10"/>
  <c r="E29" i="10"/>
  <c r="D30" i="10"/>
  <c r="E30" i="10"/>
  <c r="D31" i="10"/>
  <c r="E31" i="10"/>
  <c r="D32" i="10"/>
  <c r="E32" i="10"/>
  <c r="D33" i="10"/>
  <c r="E33" i="10"/>
  <c r="D34" i="10"/>
  <c r="E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D44" i="10"/>
  <c r="E44" i="10"/>
  <c r="D45" i="10"/>
  <c r="E45" i="10"/>
  <c r="D46" i="10"/>
  <c r="E46" i="10"/>
  <c r="D47" i="10"/>
  <c r="E47" i="10"/>
  <c r="D48" i="10"/>
  <c r="E48" i="10"/>
  <c r="D49" i="10"/>
  <c r="E49" i="10"/>
  <c r="D50" i="10"/>
  <c r="E50" i="10"/>
  <c r="D51" i="10"/>
  <c r="E51" i="10"/>
  <c r="D52" i="10"/>
  <c r="E52" i="10"/>
  <c r="D53" i="10"/>
  <c r="E53" i="10"/>
  <c r="D54" i="10"/>
  <c r="E54" i="10"/>
  <c r="D55" i="10"/>
  <c r="E55" i="10"/>
  <c r="D56" i="10"/>
  <c r="E56" i="10"/>
  <c r="D57" i="10"/>
  <c r="E57" i="10"/>
  <c r="D58" i="10"/>
  <c r="E58" i="10"/>
  <c r="D59" i="10"/>
  <c r="E59" i="10"/>
  <c r="D60" i="10"/>
  <c r="E60" i="10"/>
  <c r="D61" i="10"/>
  <c r="E61" i="10"/>
  <c r="D62" i="10"/>
  <c r="E62" i="10"/>
  <c r="D63" i="10"/>
  <c r="E63" i="10"/>
  <c r="D64" i="10"/>
  <c r="E64" i="10"/>
  <c r="D65" i="10"/>
  <c r="E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D72" i="10"/>
  <c r="E72" i="10"/>
  <c r="D73" i="10"/>
  <c r="E73" i="10"/>
  <c r="D74" i="10"/>
  <c r="E74" i="10"/>
  <c r="D75" i="10"/>
  <c r="E75" i="10"/>
  <c r="D76" i="10"/>
  <c r="E76" i="10"/>
  <c r="D77" i="10"/>
  <c r="E77" i="10"/>
  <c r="D78" i="10"/>
  <c r="E78" i="10"/>
  <c r="D79" i="10"/>
  <c r="E79" i="10"/>
  <c r="D80" i="10"/>
  <c r="E80" i="10"/>
  <c r="D81" i="10"/>
  <c r="E81" i="10"/>
  <c r="D82" i="10"/>
  <c r="E82" i="10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/>
  <c r="D90" i="10"/>
  <c r="E90" i="10"/>
  <c r="D91" i="10"/>
  <c r="E91" i="10"/>
  <c r="D92" i="10"/>
  <c r="E92" i="10"/>
  <c r="D93" i="10"/>
  <c r="E93" i="10"/>
  <c r="D94" i="10"/>
  <c r="E94" i="10"/>
  <c r="D95" i="10"/>
  <c r="E95" i="10"/>
  <c r="D96" i="10"/>
  <c r="E96" i="10"/>
  <c r="D97" i="10"/>
  <c r="E97" i="10"/>
  <c r="D98" i="10"/>
  <c r="E98" i="10"/>
  <c r="D99" i="10"/>
  <c r="E99" i="10"/>
  <c r="D100" i="10"/>
  <c r="E100" i="10"/>
  <c r="D101" i="10"/>
  <c r="E101" i="10"/>
  <c r="D102" i="10"/>
  <c r="E102" i="10"/>
  <c r="D103" i="10"/>
  <c r="E103" i="10"/>
  <c r="D104" i="10"/>
  <c r="E104" i="10"/>
  <c r="D105" i="10"/>
  <c r="E105" i="10"/>
  <c r="D106" i="10"/>
  <c r="E106" i="10"/>
  <c r="D107" i="10"/>
  <c r="E107" i="10"/>
  <c r="D108" i="10"/>
  <c r="E108" i="10"/>
  <c r="D109" i="10"/>
  <c r="E109" i="10"/>
  <c r="D110" i="10"/>
  <c r="E110" i="10"/>
  <c r="D111" i="10"/>
  <c r="E111" i="10"/>
  <c r="D112" i="10"/>
  <c r="E112" i="10"/>
  <c r="D113" i="10"/>
  <c r="E113" i="10"/>
  <c r="D114" i="10"/>
  <c r="E114" i="10"/>
  <c r="D115" i="10"/>
  <c r="E115" i="10"/>
  <c r="D116" i="10"/>
  <c r="E116" i="10"/>
  <c r="D117" i="10"/>
  <c r="E117" i="10"/>
  <c r="D118" i="10"/>
  <c r="E118" i="10"/>
  <c r="D119" i="10"/>
  <c r="E119" i="10"/>
  <c r="D120" i="10"/>
  <c r="E120" i="10"/>
  <c r="D121" i="10"/>
  <c r="E121" i="10"/>
  <c r="D122" i="10"/>
  <c r="E122" i="10"/>
  <c r="D123" i="10"/>
  <c r="E123" i="10"/>
  <c r="D124" i="10"/>
  <c r="E124" i="10"/>
  <c r="D125" i="10"/>
  <c r="E125" i="10"/>
  <c r="D126" i="10"/>
  <c r="E126" i="10"/>
  <c r="D127" i="10"/>
  <c r="E127" i="10"/>
  <c r="D128" i="10"/>
  <c r="E128" i="10"/>
  <c r="D129" i="10"/>
  <c r="E129" i="10"/>
  <c r="D130" i="10"/>
  <c r="E130" i="10"/>
  <c r="D131" i="10"/>
  <c r="E131" i="10"/>
  <c r="D132" i="10"/>
  <c r="E132" i="10"/>
  <c r="D133" i="10"/>
  <c r="E133" i="10"/>
  <c r="D134" i="10"/>
  <c r="E134" i="10"/>
  <c r="D135" i="10"/>
  <c r="E135" i="10"/>
  <c r="D136" i="10"/>
  <c r="E136" i="10"/>
  <c r="D137" i="10"/>
  <c r="E137" i="10"/>
  <c r="D138" i="10"/>
  <c r="E138" i="10"/>
  <c r="D139" i="10"/>
  <c r="E139" i="10"/>
  <c r="D140" i="10"/>
  <c r="E140" i="10"/>
  <c r="D141" i="10"/>
  <c r="E141" i="10"/>
  <c r="D142" i="10"/>
  <c r="E142" i="10"/>
  <c r="D143" i="10"/>
  <c r="E143" i="10"/>
  <c r="D144" i="10"/>
  <c r="E144" i="10"/>
  <c r="D145" i="10"/>
  <c r="E145" i="10"/>
  <c r="D146" i="10"/>
  <c r="E146" i="10"/>
  <c r="D147" i="10"/>
  <c r="E147" i="10"/>
  <c r="D148" i="10"/>
  <c r="E148" i="10"/>
  <c r="D149" i="10"/>
  <c r="E149" i="10"/>
  <c r="D150" i="10"/>
  <c r="E150" i="10"/>
  <c r="D151" i="10"/>
  <c r="E151" i="10"/>
  <c r="D152" i="10"/>
  <c r="E152" i="10"/>
  <c r="D153" i="10"/>
  <c r="E153" i="10"/>
  <c r="D154" i="10"/>
  <c r="E154" i="10"/>
  <c r="D155" i="10"/>
  <c r="E155" i="10"/>
  <c r="D156" i="10"/>
  <c r="E156" i="10"/>
  <c r="D157" i="10"/>
  <c r="E157" i="10"/>
  <c r="D158" i="10"/>
  <c r="E158" i="10"/>
  <c r="D159" i="10"/>
  <c r="E159" i="10"/>
  <c r="D160" i="10"/>
  <c r="E160" i="10"/>
  <c r="D161" i="10"/>
  <c r="E161" i="10"/>
  <c r="D162" i="10"/>
  <c r="E162" i="10"/>
  <c r="D163" i="10"/>
  <c r="E163" i="10"/>
  <c r="D164" i="10"/>
  <c r="E164" i="10"/>
  <c r="D165" i="10"/>
  <c r="E165" i="10"/>
  <c r="D166" i="10"/>
  <c r="E166" i="10"/>
  <c r="D167" i="10"/>
  <c r="E167" i="10"/>
  <c r="D168" i="10"/>
  <c r="E168" i="10"/>
  <c r="D169" i="10"/>
  <c r="E169" i="10"/>
  <c r="D170" i="10"/>
  <c r="E170" i="10"/>
  <c r="D171" i="10"/>
  <c r="E171" i="10"/>
  <c r="D172" i="10"/>
  <c r="E172" i="10"/>
  <c r="D173" i="10"/>
  <c r="E173" i="10"/>
  <c r="D174" i="10"/>
  <c r="E174" i="10"/>
  <c r="D175" i="10"/>
  <c r="E175" i="10"/>
  <c r="D176" i="10"/>
  <c r="E176" i="10"/>
  <c r="D177" i="10"/>
  <c r="E177" i="10"/>
  <c r="D178" i="10"/>
  <c r="E178" i="10"/>
  <c r="D179" i="10"/>
  <c r="E179" i="10"/>
  <c r="D180" i="10"/>
  <c r="E180" i="10"/>
  <c r="D181" i="10"/>
  <c r="E181" i="10"/>
  <c r="D182" i="10"/>
  <c r="E182" i="10"/>
  <c r="D183" i="10"/>
  <c r="E183" i="10"/>
  <c r="D184" i="10"/>
  <c r="E184" i="10"/>
  <c r="D185" i="10"/>
  <c r="E185" i="10"/>
  <c r="D186" i="10"/>
  <c r="E186" i="10"/>
  <c r="D187" i="10"/>
  <c r="E187" i="10"/>
  <c r="D188" i="10"/>
  <c r="E188" i="10"/>
  <c r="D189" i="10"/>
  <c r="E189" i="10"/>
  <c r="D190" i="10"/>
  <c r="E190" i="10"/>
  <c r="D191" i="10"/>
  <c r="E191" i="10"/>
  <c r="D192" i="10"/>
  <c r="E192" i="10"/>
  <c r="D193" i="10"/>
  <c r="E193" i="10"/>
  <c r="D194" i="10"/>
  <c r="E194" i="10"/>
  <c r="D195" i="10"/>
  <c r="E195" i="10"/>
  <c r="D196" i="10"/>
  <c r="E196" i="10"/>
  <c r="D197" i="10"/>
  <c r="E197" i="10"/>
  <c r="D198" i="10"/>
  <c r="E198" i="10"/>
  <c r="D199" i="10"/>
  <c r="E199" i="10"/>
  <c r="D200" i="10"/>
  <c r="E200" i="10"/>
  <c r="D201" i="10"/>
  <c r="E201" i="10"/>
  <c r="D202" i="10"/>
  <c r="E202" i="10"/>
  <c r="D203" i="10"/>
  <c r="E203" i="10"/>
  <c r="D204" i="10"/>
  <c r="E204" i="10"/>
  <c r="D205" i="10"/>
  <c r="E205" i="10"/>
  <c r="D206" i="10"/>
  <c r="E206" i="10"/>
  <c r="D207" i="10"/>
  <c r="E207" i="10"/>
  <c r="D208" i="10"/>
  <c r="E208" i="10"/>
  <c r="D209" i="10"/>
  <c r="E209" i="10"/>
  <c r="D210" i="10"/>
  <c r="E210" i="10"/>
  <c r="D211" i="10"/>
  <c r="E211" i="10"/>
  <c r="D212" i="10"/>
  <c r="E212" i="10"/>
  <c r="D213" i="10"/>
  <c r="E213" i="10"/>
  <c r="D214" i="10"/>
  <c r="E214" i="10"/>
  <c r="D215" i="10"/>
  <c r="E215" i="10"/>
  <c r="D216" i="10"/>
  <c r="E216" i="10"/>
  <c r="D217" i="10"/>
  <c r="E217" i="10"/>
  <c r="D218" i="10"/>
  <c r="E218" i="10"/>
  <c r="D219" i="10"/>
  <c r="E219" i="10"/>
  <c r="D220" i="10"/>
  <c r="E220" i="10"/>
  <c r="D221" i="10"/>
  <c r="E221" i="10"/>
  <c r="D222" i="10"/>
  <c r="E222" i="10"/>
  <c r="D223" i="10"/>
  <c r="E223" i="10"/>
  <c r="D224" i="10"/>
  <c r="E224" i="10"/>
  <c r="D225" i="10"/>
  <c r="E225" i="10"/>
  <c r="E4" i="10"/>
  <c r="D4" i="10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33" i="7"/>
  <c r="G34" i="7"/>
  <c r="G35" i="7"/>
  <c r="G36" i="7"/>
  <c r="G37" i="7"/>
  <c r="G38" i="7"/>
  <c r="G39" i="7"/>
  <c r="G40" i="7"/>
  <c r="G41" i="7"/>
  <c r="G42" i="7"/>
  <c r="G43" i="7"/>
  <c r="G4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2" i="7"/>
  <c r="F230" i="14" l="1"/>
  <c r="E206" i="14"/>
  <c r="F206" i="14" s="1"/>
  <c r="F133" i="14"/>
  <c r="E133" i="14"/>
  <c r="F101" i="14"/>
  <c r="E101" i="14"/>
  <c r="F85" i="14"/>
  <c r="E85" i="14"/>
  <c r="F69" i="14"/>
  <c r="E69" i="14"/>
  <c r="F53" i="14"/>
  <c r="E53" i="14"/>
  <c r="F43" i="14"/>
  <c r="E43" i="14"/>
  <c r="F37" i="14"/>
  <c r="E37" i="14"/>
  <c r="F248" i="14"/>
  <c r="F232" i="14"/>
  <c r="F216" i="14"/>
  <c r="E196" i="14"/>
  <c r="F196" i="14"/>
  <c r="E180" i="14"/>
  <c r="F180" i="14"/>
  <c r="E161" i="14"/>
  <c r="F161" i="14" s="1"/>
  <c r="E145" i="14"/>
  <c r="F145" i="14" s="1"/>
  <c r="E129" i="14"/>
  <c r="F129" i="14" s="1"/>
  <c r="E113" i="14"/>
  <c r="F113" i="14" s="1"/>
  <c r="E97" i="14"/>
  <c r="F97" i="14" s="1"/>
  <c r="E81" i="14"/>
  <c r="F81" i="14" s="1"/>
  <c r="E65" i="14"/>
  <c r="F65" i="14" s="1"/>
  <c r="E49" i="14"/>
  <c r="F49" i="14" s="1"/>
  <c r="E33" i="14"/>
  <c r="F33" i="14" s="1"/>
  <c r="F107" i="14"/>
  <c r="E107" i="14"/>
  <c r="F250" i="14"/>
  <c r="F245" i="14"/>
  <c r="F234" i="14"/>
  <c r="F229" i="14"/>
  <c r="F218" i="14"/>
  <c r="F213" i="14"/>
  <c r="F205" i="14"/>
  <c r="E202" i="14"/>
  <c r="F202" i="14"/>
  <c r="F189" i="14"/>
  <c r="E186" i="14"/>
  <c r="F186" i="14" s="1"/>
  <c r="F173" i="14"/>
  <c r="F170" i="14"/>
  <c r="F154" i="14"/>
  <c r="F138" i="14"/>
  <c r="F122" i="14"/>
  <c r="F106" i="14"/>
  <c r="F90" i="14"/>
  <c r="F74" i="14"/>
  <c r="F58" i="14"/>
  <c r="F42" i="14"/>
  <c r="F252" i="14"/>
  <c r="F236" i="14"/>
  <c r="F220" i="14"/>
  <c r="E208" i="14"/>
  <c r="F208" i="14"/>
  <c r="F195" i="14"/>
  <c r="E192" i="14"/>
  <c r="F192" i="14" s="1"/>
  <c r="F179" i="14"/>
  <c r="E176" i="14"/>
  <c r="F176" i="14"/>
  <c r="E149" i="14"/>
  <c r="F149" i="14" s="1"/>
  <c r="F254" i="14"/>
  <c r="F238" i="14"/>
  <c r="F222" i="14"/>
  <c r="E198" i="14"/>
  <c r="F198" i="14" s="1"/>
  <c r="E182" i="14"/>
  <c r="F182" i="14" s="1"/>
  <c r="F163" i="14"/>
  <c r="E163" i="14"/>
  <c r="F157" i="14"/>
  <c r="E157" i="14"/>
  <c r="F147" i="14"/>
  <c r="E147" i="14"/>
  <c r="F141" i="14"/>
  <c r="E141" i="14"/>
  <c r="F131" i="14"/>
  <c r="E131" i="14"/>
  <c r="F125" i="14"/>
  <c r="E125" i="14"/>
  <c r="F115" i="14"/>
  <c r="E115" i="14"/>
  <c r="F109" i="14"/>
  <c r="E109" i="14"/>
  <c r="F99" i="14"/>
  <c r="E99" i="14"/>
  <c r="F93" i="14"/>
  <c r="E93" i="14"/>
  <c r="F83" i="14"/>
  <c r="E83" i="14"/>
  <c r="F77" i="14"/>
  <c r="E77" i="14"/>
  <c r="F67" i="14"/>
  <c r="E67" i="14"/>
  <c r="F61" i="14"/>
  <c r="E61" i="14"/>
  <c r="F51" i="14"/>
  <c r="E51" i="14"/>
  <c r="F45" i="14"/>
  <c r="E45" i="14"/>
  <c r="F35" i="14"/>
  <c r="E35" i="14"/>
  <c r="F165" i="14"/>
  <c r="E165" i="14"/>
  <c r="F256" i="14"/>
  <c r="F251" i="14"/>
  <c r="F240" i="14"/>
  <c r="F235" i="14"/>
  <c r="F224" i="14"/>
  <c r="F219" i="14"/>
  <c r="E204" i="14"/>
  <c r="F204" i="14" s="1"/>
  <c r="E188" i="14"/>
  <c r="F188" i="14" s="1"/>
  <c r="F169" i="14"/>
  <c r="E169" i="14"/>
  <c r="F153" i="14"/>
  <c r="E153" i="14"/>
  <c r="F137" i="14"/>
  <c r="E137" i="14"/>
  <c r="F121" i="14"/>
  <c r="E121" i="14"/>
  <c r="F105" i="14"/>
  <c r="E105" i="14"/>
  <c r="F89" i="14"/>
  <c r="E89" i="14"/>
  <c r="F73" i="14"/>
  <c r="E73" i="14"/>
  <c r="F57" i="14"/>
  <c r="E57" i="14"/>
  <c r="F41" i="14"/>
  <c r="E41" i="14"/>
  <c r="F246" i="14"/>
  <c r="E190" i="14"/>
  <c r="F190" i="14"/>
  <c r="E174" i="14"/>
  <c r="F174" i="14"/>
  <c r="E155" i="14"/>
  <c r="F155" i="14" s="1"/>
  <c r="E139" i="14"/>
  <c r="F139" i="14" s="1"/>
  <c r="E123" i="14"/>
  <c r="F123" i="14" s="1"/>
  <c r="E91" i="14"/>
  <c r="F91" i="14" s="1"/>
  <c r="E75" i="14"/>
  <c r="F75" i="14" s="1"/>
  <c r="E59" i="14"/>
  <c r="F59" i="14" s="1"/>
  <c r="F253" i="14"/>
  <c r="F242" i="14"/>
  <c r="F237" i="14"/>
  <c r="F226" i="14"/>
  <c r="F221" i="14"/>
  <c r="F210" i="14"/>
  <c r="F197" i="14"/>
  <c r="E194" i="14"/>
  <c r="F194" i="14" s="1"/>
  <c r="F181" i="14"/>
  <c r="E178" i="14"/>
  <c r="F178" i="14"/>
  <c r="F162" i="14"/>
  <c r="F146" i="14"/>
  <c r="F130" i="14"/>
  <c r="F114" i="14"/>
  <c r="F98" i="14"/>
  <c r="F82" i="14"/>
  <c r="F66" i="14"/>
  <c r="F50" i="14"/>
  <c r="F34" i="14"/>
  <c r="F214" i="14"/>
  <c r="E117" i="14"/>
  <c r="F117" i="14" s="1"/>
  <c r="E246" i="14"/>
  <c r="F244" i="14"/>
  <c r="E230" i="14"/>
  <c r="F228" i="14"/>
  <c r="E214" i="14"/>
  <c r="F212" i="14"/>
  <c r="F203" i="14"/>
  <c r="E200" i="14"/>
  <c r="F200" i="14" s="1"/>
  <c r="F187" i="14"/>
  <c r="E184" i="14"/>
  <c r="F184" i="14"/>
  <c r="E171" i="14"/>
  <c r="F171" i="14" s="1"/>
  <c r="F172" i="14"/>
  <c r="F167" i="14"/>
  <c r="F164" i="14"/>
  <c r="F159" i="14"/>
  <c r="F156" i="14"/>
  <c r="F151" i="14"/>
  <c r="F148" i="14"/>
  <c r="F143" i="14"/>
  <c r="F140" i="14"/>
  <c r="F135" i="14"/>
  <c r="F132" i="14"/>
  <c r="F127" i="14"/>
  <c r="F124" i="14"/>
  <c r="F119" i="14"/>
  <c r="F116" i="14"/>
  <c r="F111" i="14"/>
  <c r="F108" i="14"/>
  <c r="F103" i="14"/>
  <c r="F100" i="14"/>
  <c r="F95" i="14"/>
  <c r="F92" i="14"/>
  <c r="F87" i="14"/>
  <c r="F84" i="14"/>
  <c r="F79" i="14"/>
  <c r="F76" i="14"/>
  <c r="F71" i="14"/>
  <c r="F68" i="14"/>
  <c r="F63" i="14"/>
  <c r="F60" i="14"/>
  <c r="F55" i="14"/>
  <c r="F52" i="14"/>
  <c r="F47" i="14"/>
  <c r="F44" i="14"/>
  <c r="F39" i="14"/>
  <c r="F36" i="14"/>
  <c r="F31" i="14"/>
  <c r="F23" i="14"/>
  <c r="F15" i="14"/>
  <c r="F7" i="14"/>
  <c r="L846" i="7"/>
  <c r="K999" i="7"/>
  <c r="L999" i="7" s="1"/>
  <c r="K991" i="7"/>
  <c r="L991" i="7" s="1"/>
  <c r="K988" i="7"/>
  <c r="L988" i="7" s="1"/>
  <c r="L973" i="7"/>
  <c r="L909" i="7"/>
  <c r="L893" i="7"/>
  <c r="K876" i="7"/>
  <c r="L876" i="7"/>
  <c r="L873" i="7"/>
  <c r="L853" i="7"/>
  <c r="K846" i="7"/>
  <c r="L832" i="7"/>
  <c r="K812" i="7"/>
  <c r="L812" i="7"/>
  <c r="L809" i="7"/>
  <c r="L789" i="7"/>
  <c r="K782" i="7"/>
  <c r="L782" i="7" s="1"/>
  <c r="K764" i="7"/>
  <c r="L764" i="7" s="1"/>
  <c r="L760" i="7"/>
  <c r="L757" i="7"/>
  <c r="L753" i="7"/>
  <c r="L724" i="7"/>
  <c r="K589" i="7"/>
  <c r="L589" i="7" s="1"/>
  <c r="K542" i="7"/>
  <c r="L542" i="7" s="1"/>
  <c r="K510" i="7"/>
  <c r="L510" i="7"/>
  <c r="K478" i="7"/>
  <c r="L478" i="7" s="1"/>
  <c r="K446" i="7"/>
  <c r="L446" i="7" s="1"/>
  <c r="K430" i="7"/>
  <c r="L430" i="7" s="1"/>
  <c r="K414" i="7"/>
  <c r="L414" i="7"/>
  <c r="L849" i="7"/>
  <c r="K788" i="7"/>
  <c r="L788" i="7"/>
  <c r="K756" i="7"/>
  <c r="L756" i="7"/>
  <c r="L749" i="7"/>
  <c r="L969" i="7"/>
  <c r="L953" i="7"/>
  <c r="L937" i="7"/>
  <c r="L921" i="7"/>
  <c r="L905" i="7"/>
  <c r="L889" i="7"/>
  <c r="L869" i="7"/>
  <c r="K828" i="7"/>
  <c r="L828" i="7"/>
  <c r="L825" i="7"/>
  <c r="L805" i="7"/>
  <c r="K748" i="7"/>
  <c r="L748" i="7"/>
  <c r="L743" i="7"/>
  <c r="K729" i="7"/>
  <c r="L729" i="7" s="1"/>
  <c r="K687" i="7"/>
  <c r="L687" i="7"/>
  <c r="L654" i="7"/>
  <c r="K654" i="7"/>
  <c r="K852" i="7"/>
  <c r="L852" i="7" s="1"/>
  <c r="L829" i="7"/>
  <c r="L785" i="7"/>
  <c r="L995" i="7"/>
  <c r="L878" i="7"/>
  <c r="K868" i="7"/>
  <c r="L868" i="7" s="1"/>
  <c r="L865" i="7"/>
  <c r="L845" i="7"/>
  <c r="L814" i="7"/>
  <c r="K804" i="7"/>
  <c r="L804" i="7"/>
  <c r="L801" i="7"/>
  <c r="L781" i="7"/>
  <c r="K742" i="7"/>
  <c r="L742" i="7"/>
  <c r="K658" i="7"/>
  <c r="L658" i="7" s="1"/>
  <c r="K618" i="7"/>
  <c r="L618" i="7" s="1"/>
  <c r="L981" i="7"/>
  <c r="L965" i="7"/>
  <c r="L949" i="7"/>
  <c r="L933" i="7"/>
  <c r="L917" i="7"/>
  <c r="L901" i="7"/>
  <c r="L885" i="7"/>
  <c r="L864" i="7"/>
  <c r="L854" i="7"/>
  <c r="K844" i="7"/>
  <c r="L844" i="7" s="1"/>
  <c r="L841" i="7"/>
  <c r="L821" i="7"/>
  <c r="L800" i="7"/>
  <c r="L790" i="7"/>
  <c r="K780" i="7"/>
  <c r="L780" i="7"/>
  <c r="L777" i="7"/>
  <c r="L766" i="7"/>
  <c r="L737" i="7"/>
  <c r="L719" i="7"/>
  <c r="K695" i="7"/>
  <c r="L695" i="7" s="1"/>
  <c r="K661" i="7"/>
  <c r="L661" i="7"/>
  <c r="K621" i="7"/>
  <c r="L621" i="7" s="1"/>
  <c r="L997" i="7"/>
  <c r="L986" i="7"/>
  <c r="K884" i="7"/>
  <c r="L884" i="7" s="1"/>
  <c r="L881" i="7"/>
  <c r="L861" i="7"/>
  <c r="L840" i="7"/>
  <c r="L830" i="7"/>
  <c r="K820" i="7"/>
  <c r="L820" i="7" s="1"/>
  <c r="L817" i="7"/>
  <c r="L797" i="7"/>
  <c r="L776" i="7"/>
  <c r="L758" i="7"/>
  <c r="L740" i="7"/>
  <c r="K732" i="7"/>
  <c r="L732" i="7"/>
  <c r="K694" i="7"/>
  <c r="L694" i="7" s="1"/>
  <c r="K665" i="7"/>
  <c r="L665" i="7"/>
  <c r="L994" i="7"/>
  <c r="L989" i="7"/>
  <c r="L977" i="7"/>
  <c r="L970" i="7"/>
  <c r="L961" i="7"/>
  <c r="L954" i="7"/>
  <c r="L945" i="7"/>
  <c r="L938" i="7"/>
  <c r="L929" i="7"/>
  <c r="L922" i="7"/>
  <c r="L913" i="7"/>
  <c r="L897" i="7"/>
  <c r="L880" i="7"/>
  <c r="K860" i="7"/>
  <c r="L860" i="7" s="1"/>
  <c r="L857" i="7"/>
  <c r="L837" i="7"/>
  <c r="L816" i="7"/>
  <c r="K796" i="7"/>
  <c r="L796" i="7"/>
  <c r="L793" i="7"/>
  <c r="L773" i="7"/>
  <c r="L750" i="7"/>
  <c r="K726" i="7"/>
  <c r="L726" i="7"/>
  <c r="L718" i="7"/>
  <c r="K718" i="7"/>
  <c r="L702" i="7"/>
  <c r="K702" i="7"/>
  <c r="L976" i="7"/>
  <c r="K973" i="7"/>
  <c r="L960" i="7"/>
  <c r="K957" i="7"/>
  <c r="L957" i="7" s="1"/>
  <c r="L944" i="7"/>
  <c r="K941" i="7"/>
  <c r="L941" i="7" s="1"/>
  <c r="L928" i="7"/>
  <c r="K925" i="7"/>
  <c r="L925" i="7" s="1"/>
  <c r="L877" i="7"/>
  <c r="K836" i="7"/>
  <c r="L836" i="7"/>
  <c r="L833" i="7"/>
  <c r="L813" i="7"/>
  <c r="K772" i="7"/>
  <c r="L772" i="7"/>
  <c r="L765" i="7"/>
  <c r="K745" i="7"/>
  <c r="L745" i="7" s="1"/>
  <c r="K693" i="7"/>
  <c r="L693" i="7"/>
  <c r="L690" i="7"/>
  <c r="K657" i="7"/>
  <c r="L657" i="7"/>
  <c r="K653" i="7"/>
  <c r="L653" i="7"/>
  <c r="L650" i="7"/>
  <c r="L646" i="7"/>
  <c r="K617" i="7"/>
  <c r="L617" i="7"/>
  <c r="L614" i="7"/>
  <c r="K585" i="7"/>
  <c r="L585" i="7" s="1"/>
  <c r="L582" i="7"/>
  <c r="K541" i="7"/>
  <c r="L541" i="7"/>
  <c r="K509" i="7"/>
  <c r="L509" i="7"/>
  <c r="L686" i="7"/>
  <c r="K649" i="7"/>
  <c r="L649" i="7" s="1"/>
  <c r="K645" i="7"/>
  <c r="L645" i="7" s="1"/>
  <c r="L642" i="7"/>
  <c r="K613" i="7"/>
  <c r="L613" i="7"/>
  <c r="L610" i="7"/>
  <c r="K581" i="7"/>
  <c r="L581" i="7" s="1"/>
  <c r="K550" i="7"/>
  <c r="L550" i="7" s="1"/>
  <c r="K518" i="7"/>
  <c r="L518" i="7"/>
  <c r="K486" i="7"/>
  <c r="L486" i="7" s="1"/>
  <c r="K454" i="7"/>
  <c r="L454" i="7" s="1"/>
  <c r="L746" i="7"/>
  <c r="K733" i="7"/>
  <c r="L733" i="7"/>
  <c r="L730" i="7"/>
  <c r="K717" i="7"/>
  <c r="L717" i="7" s="1"/>
  <c r="L714" i="7"/>
  <c r="K685" i="7"/>
  <c r="L685" i="7"/>
  <c r="L682" i="7"/>
  <c r="K641" i="7"/>
  <c r="L641" i="7"/>
  <c r="L638" i="7"/>
  <c r="K609" i="7"/>
  <c r="L609" i="7"/>
  <c r="L606" i="7"/>
  <c r="K577" i="7"/>
  <c r="L577" i="7" s="1"/>
  <c r="L574" i="7"/>
  <c r="K549" i="7"/>
  <c r="L549" i="7"/>
  <c r="K517" i="7"/>
  <c r="L517" i="7"/>
  <c r="L710" i="7"/>
  <c r="L678" i="7"/>
  <c r="K637" i="7"/>
  <c r="L637" i="7"/>
  <c r="L634" i="7"/>
  <c r="K605" i="7"/>
  <c r="L605" i="7" s="1"/>
  <c r="L602" i="7"/>
  <c r="K573" i="7"/>
  <c r="L573" i="7"/>
  <c r="L570" i="7"/>
  <c r="K566" i="7"/>
  <c r="L566" i="7"/>
  <c r="L562" i="7"/>
  <c r="K558" i="7"/>
  <c r="L558" i="7"/>
  <c r="L530" i="7"/>
  <c r="K526" i="7"/>
  <c r="L526" i="7" s="1"/>
  <c r="L498" i="7"/>
  <c r="K494" i="7"/>
  <c r="L494" i="7"/>
  <c r="K462" i="7"/>
  <c r="L462" i="7"/>
  <c r="K438" i="7"/>
  <c r="L438" i="7"/>
  <c r="K422" i="7"/>
  <c r="L422" i="7"/>
  <c r="K709" i="7"/>
  <c r="L709" i="7"/>
  <c r="L706" i="7"/>
  <c r="K677" i="7"/>
  <c r="L677" i="7" s="1"/>
  <c r="L674" i="7"/>
  <c r="K633" i="7"/>
  <c r="L633" i="7"/>
  <c r="L630" i="7"/>
  <c r="K601" i="7"/>
  <c r="L601" i="7" s="1"/>
  <c r="L598" i="7"/>
  <c r="K565" i="7"/>
  <c r="L565" i="7"/>
  <c r="K557" i="7"/>
  <c r="L557" i="7"/>
  <c r="K525" i="7"/>
  <c r="L525" i="7"/>
  <c r="K493" i="7"/>
  <c r="L493" i="7"/>
  <c r="L670" i="7"/>
  <c r="K629" i="7"/>
  <c r="L629" i="7" s="1"/>
  <c r="L626" i="7"/>
  <c r="K597" i="7"/>
  <c r="L597" i="7"/>
  <c r="K534" i="7"/>
  <c r="L534" i="7"/>
  <c r="K502" i="7"/>
  <c r="L502" i="7"/>
  <c r="K470" i="7"/>
  <c r="L470" i="7"/>
  <c r="K741" i="7"/>
  <c r="L741" i="7"/>
  <c r="L738" i="7"/>
  <c r="K725" i="7"/>
  <c r="L725" i="7" s="1"/>
  <c r="L722" i="7"/>
  <c r="K701" i="7"/>
  <c r="L701" i="7"/>
  <c r="L698" i="7"/>
  <c r="K669" i="7"/>
  <c r="L669" i="7" s="1"/>
  <c r="L666" i="7"/>
  <c r="L662" i="7"/>
  <c r="K625" i="7"/>
  <c r="L625" i="7" s="1"/>
  <c r="L622" i="7"/>
  <c r="K593" i="7"/>
  <c r="L593" i="7"/>
  <c r="L590" i="7"/>
  <c r="K533" i="7"/>
  <c r="L533" i="7" s="1"/>
  <c r="K501" i="7"/>
  <c r="L501" i="7" s="1"/>
  <c r="L485" i="7"/>
  <c r="L477" i="7"/>
  <c r="L469" i="7"/>
  <c r="L461" i="7"/>
  <c r="L453" i="7"/>
  <c r="L445" i="7"/>
  <c r="L437" i="7"/>
  <c r="L429" i="7"/>
  <c r="L421" i="7"/>
  <c r="L413" i="7"/>
  <c r="L436" i="7"/>
  <c r="L428" i="7"/>
  <c r="L420" i="7"/>
  <c r="L412" i="7"/>
  <c r="L569" i="7"/>
  <c r="L561" i="7"/>
  <c r="L553" i="7"/>
  <c r="L545" i="7"/>
  <c r="L537" i="7"/>
  <c r="L529" i="7"/>
  <c r="L521" i="7"/>
  <c r="L513" i="7"/>
  <c r="L505" i="7"/>
  <c r="L497" i="7"/>
  <c r="L489" i="7"/>
  <c r="L481" i="7"/>
  <c r="L473" i="7"/>
  <c r="L465" i="7"/>
  <c r="L457" i="7"/>
  <c r="L449" i="7"/>
  <c r="L441" i="7"/>
  <c r="L433" i="7"/>
  <c r="L425" i="7"/>
  <c r="L417" i="7"/>
  <c r="L409" i="7"/>
  <c r="B81" i="2"/>
  <c r="C81" i="2"/>
  <c r="D81" i="2"/>
  <c r="E81" i="2"/>
  <c r="V81" i="2" s="1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B79" i="2"/>
  <c r="C79" i="2"/>
  <c r="D79" i="2"/>
  <c r="E79" i="2"/>
  <c r="V79" i="2" s="1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K80" i="2" l="1"/>
  <c r="L80" i="2"/>
  <c r="J80" i="2"/>
  <c r="C80" i="2"/>
  <c r="D80" i="2"/>
  <c r="E80" i="2"/>
  <c r="V80" i="2" s="1"/>
  <c r="F80" i="2"/>
  <c r="G80" i="2"/>
  <c r="H80" i="2"/>
  <c r="I80" i="2"/>
  <c r="M80" i="2"/>
  <c r="N80" i="2"/>
  <c r="O80" i="2"/>
  <c r="P80" i="2"/>
  <c r="Q80" i="2"/>
  <c r="R80" i="2"/>
  <c r="S80" i="2"/>
  <c r="T80" i="2"/>
  <c r="U80" i="2"/>
  <c r="B80" i="2"/>
  <c r="V39" i="2" l="1"/>
  <c r="V42" i="2"/>
  <c r="V43" i="2"/>
  <c r="V50" i="2"/>
  <c r="V53" i="2"/>
  <c r="V56" i="2"/>
  <c r="V58" i="2"/>
  <c r="V60" i="2"/>
  <c r="V62" i="2"/>
  <c r="V65" i="2"/>
  <c r="V67" i="2"/>
  <c r="V71" i="2"/>
  <c r="V73" i="2"/>
  <c r="V69" i="2"/>
  <c r="V24" i="2"/>
  <c r="V29" i="2"/>
  <c r="V45" i="2"/>
  <c r="V61" i="2"/>
  <c r="V72" i="2"/>
  <c r="V28" i="2"/>
  <c r="V36" i="2"/>
  <c r="V70" i="2"/>
  <c r="V25" i="2"/>
  <c r="V32" i="2"/>
  <c r="V41" i="2"/>
  <c r="V57" i="2"/>
  <c r="V74" i="2"/>
  <c r="V66" i="2"/>
  <c r="V68" i="2"/>
  <c r="V75" i="2"/>
  <c r="V34" i="2"/>
  <c r="V35" i="2"/>
  <c r="V37" i="2"/>
  <c r="V38" i="2"/>
  <c r="V40" i="2"/>
  <c r="V47" i="2"/>
  <c r="V48" i="2"/>
  <c r="V49" i="2"/>
  <c r="V51" i="2"/>
  <c r="V54" i="2"/>
  <c r="V55" i="2"/>
  <c r="V59" i="2"/>
  <c r="V64" i="2"/>
  <c r="V26" i="2"/>
  <c r="V31" i="2"/>
  <c r="V44" i="2"/>
  <c r="V46" i="2"/>
  <c r="V52" i="2"/>
  <c r="V63" i="2"/>
  <c r="V30" i="2"/>
  <c r="V27" i="2"/>
  <c r="V33" i="2"/>
  <c r="C31" i="6" l="1"/>
  <c r="D13" i="6" l="1"/>
  <c r="C34" i="6" l="1"/>
  <c r="C33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G13" i="6"/>
  <c r="G12" i="6"/>
  <c r="G10" i="6"/>
  <c r="G9" i="6"/>
  <c r="G7" i="6"/>
  <c r="E5" i="6"/>
  <c r="G14" i="6" l="1"/>
  <c r="H4" i="6"/>
  <c r="E4" i="6"/>
  <c r="J17" i="2" l="1"/>
</calcChain>
</file>

<file path=xl/sharedStrings.xml><?xml version="1.0" encoding="utf-8"?>
<sst xmlns="http://schemas.openxmlformats.org/spreadsheetml/2006/main" count="11610" uniqueCount="376">
  <si>
    <t>date</t>
  </si>
  <si>
    <t>Johnson B</t>
  </si>
  <si>
    <t>BDG</t>
  </si>
  <si>
    <t>GKA</t>
  </si>
  <si>
    <t>OCN</t>
  </si>
  <si>
    <t>TIA</t>
  </si>
  <si>
    <t>AG Peg</t>
  </si>
  <si>
    <t>NA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</si>
  <si>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</si>
  <si>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</si>
  <si>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</si>
  <si>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</si>
  <si>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</si>
  <si>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</si>
  <si>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</si>
  <si>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</si>
  <si>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</si>
  <si>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</si>
  <si>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</si>
  <si>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</si>
  <si>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</si>
  <si>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</si>
  <si>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</si>
  <si>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</si>
  <si>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</si>
  <si>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</si>
  <si>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</si>
  <si>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</si>
  <si>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</si>
  <si>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</t>
  </si>
  <si>
    <t>xdate</t>
  </si>
  <si>
    <t>Raie{6,1} = 'He I 5875';</t>
  </si>
  <si>
    <t>y</t>
  </si>
  <si>
    <t>ymax</t>
  </si>
  <si>
    <t>Raie{6,2} = 5875.65;</t>
  </si>
  <si>
    <t>couleur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</si>
  <si>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</si>
  <si>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</si>
  <si>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</si>
  <si>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</si>
  <si>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</si>
  <si>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</si>
  <si>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</si>
  <si>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</si>
  <si>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</si>
  <si>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</si>
  <si>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</si>
  <si>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</si>
  <si>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</si>
  <si>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</si>
  <si>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He I</t>
  </si>
  <si>
    <t>Raie {11,1} = '[O III 4363]';</t>
  </si>
  <si>
    <t>Raie {11,2} = 4363;</t>
  </si>
  <si>
    <t>Raie {13,1} = '[Fe VII 6087]';</t>
  </si>
  <si>
    <t>Raie {13,2} = 6087;</t>
  </si>
  <si>
    <t>He II</t>
  </si>
  <si>
    <t>Raie {14,1} = '[Fe VII 5721]';</t>
  </si>
  <si>
    <t>[O III]</t>
  </si>
  <si>
    <t>Raie {14,2} = 5721;</t>
  </si>
  <si>
    <t>Raie {15,1} = 'Raman OVI';</t>
  </si>
  <si>
    <t>Raie {15,2} = 6830;</t>
  </si>
  <si>
    <t>Fe II</t>
  </si>
  <si>
    <t>Raie {16,1} = 'Na I D';</t>
  </si>
  <si>
    <t>Raie {16,2} = 5889.95;</t>
  </si>
  <si>
    <t>Raie {17,1} = 'Fe II 4924';</t>
  </si>
  <si>
    <t>Raie {17,2} = 4923.92;</t>
  </si>
  <si>
    <t>[Fe VII]</t>
  </si>
  <si>
    <t>Raie {18,1} = 'He I 5016';</t>
  </si>
  <si>
    <t>Raie {18,2} = 5015.68;</t>
  </si>
  <si>
    <t>Raie {19,1} = 'Fe II 5018';</t>
  </si>
  <si>
    <t>Raman OVI</t>
  </si>
  <si>
    <t>Raie {19,2} = 5018.43;</t>
  </si>
  <si>
    <t>Raie {20,1} = '[N II] 5755';</t>
  </si>
  <si>
    <t>Raie {20,1} = 5755;</t>
  </si>
  <si>
    <t>\2016</t>
  </si>
  <si>
    <t>NaI D</t>
  </si>
  <si>
    <t>2018 AUG 10</t>
  </si>
  <si>
    <t>2018 AUG 13</t>
  </si>
  <si>
    <t>2018 AUG 15</t>
  </si>
  <si>
    <t>2018 AUG 16</t>
  </si>
  <si>
    <t>2018 AUG 19</t>
  </si>
  <si>
    <t>2018 AUG 20</t>
  </si>
  <si>
    <t>2018 AUG 21</t>
  </si>
  <si>
    <t>2018 AUG 22</t>
  </si>
  <si>
    <t>2018 AUG 24</t>
  </si>
  <si>
    <t>2018 AUG 25</t>
  </si>
  <si>
    <t>2018 AUG 27</t>
  </si>
  <si>
    <t>2018 AUG 28</t>
  </si>
  <si>
    <t>2018 AUG 29</t>
  </si>
  <si>
    <t>2018 AUG 30</t>
  </si>
  <si>
    <t>2018 SEP 2</t>
  </si>
  <si>
    <t>2018 SEP 3</t>
  </si>
  <si>
    <t>2018 AUG 9</t>
  </si>
  <si>
    <t>TRT</t>
  </si>
  <si>
    <t>HMB</t>
  </si>
  <si>
    <t>PXR</t>
  </si>
  <si>
    <t>2018 AUG 14</t>
  </si>
  <si>
    <t>SDM</t>
  </si>
  <si>
    <t>DFS</t>
  </si>
  <si>
    <t>LPAC</t>
  </si>
  <si>
    <t>SRIC</t>
  </si>
  <si>
    <t>DUBF</t>
  </si>
  <si>
    <t>VBPA</t>
  </si>
  <si>
    <t>2018 AUG 26</t>
  </si>
  <si>
    <t>2018 AUG 31</t>
  </si>
  <si>
    <t>ATE</t>
  </si>
  <si>
    <t>2018 SEP 4</t>
  </si>
  <si>
    <t>RZD</t>
  </si>
  <si>
    <t>2018 SEP 5</t>
  </si>
  <si>
    <t>2018 SEP 6</t>
  </si>
  <si>
    <t>2018 SEP 7</t>
  </si>
  <si>
    <t>2018 SEP 8</t>
  </si>
  <si>
    <t>2018 SEP 9</t>
  </si>
  <si>
    <t>2018 SEP 10</t>
  </si>
  <si>
    <t>2018 SEP 11</t>
  </si>
  <si>
    <t>2018 SEP 12</t>
  </si>
  <si>
    <t>2018 SEP 13</t>
  </si>
  <si>
    <t>2018 SEP 14</t>
  </si>
  <si>
    <t>2018 SEP 16</t>
  </si>
  <si>
    <t>2018 SEP 17</t>
  </si>
  <si>
    <t>LGIB</t>
  </si>
  <si>
    <t>2018 SEP 19</t>
  </si>
  <si>
    <t>2018 SEP 20</t>
  </si>
  <si>
    <t>2018 SEP 21</t>
  </si>
  <si>
    <t>2018 SEP 22</t>
  </si>
  <si>
    <t>2018 SEP 23</t>
  </si>
  <si>
    <t>2018 SEP 24</t>
  </si>
  <si>
    <t>2018 SEP 25</t>
  </si>
  <si>
    <t>2018 SEP 26</t>
  </si>
  <si>
    <t>2018 SEP 27</t>
  </si>
  <si>
    <t>2018 SEP 28</t>
  </si>
  <si>
    <t>HMH</t>
  </si>
  <si>
    <t>2018 SEP 29</t>
  </si>
  <si>
    <t>2018 OCT 1</t>
  </si>
  <si>
    <t>2018 OCT 2</t>
  </si>
  <si>
    <t>2018 OCT 3</t>
  </si>
  <si>
    <t>2018 OCT 4</t>
  </si>
  <si>
    <t>2018 OCT 5</t>
  </si>
  <si>
    <t>2018 OCT 6</t>
  </si>
  <si>
    <t>2018 OCT 9</t>
  </si>
  <si>
    <t>2018 OCT 10</t>
  </si>
  <si>
    <t>2018 OCT 11</t>
  </si>
  <si>
    <t>2018 OCT 12</t>
  </si>
  <si>
    <t>2018 OCT 13</t>
  </si>
  <si>
    <t>2018 OCT 14</t>
  </si>
  <si>
    <t>2018 OCT 15</t>
  </si>
  <si>
    <t>2018 OCT 16</t>
  </si>
  <si>
    <t>2018 OCT 17</t>
  </si>
  <si>
    <t>2018 OCT 18</t>
  </si>
  <si>
    <t>2018 OCT 19</t>
  </si>
  <si>
    <t>2018 OCT 20</t>
  </si>
  <si>
    <t>2018 OCT 22</t>
  </si>
  <si>
    <t>2018 OCT 23</t>
  </si>
  <si>
    <t>2018 OCT 24</t>
  </si>
  <si>
    <t>2018 OCT 25</t>
  </si>
  <si>
    <t>2018 OCT 26</t>
  </si>
  <si>
    <t>2018 OCT 27</t>
  </si>
  <si>
    <t>2018 OCT 28</t>
  </si>
  <si>
    <t>2018 OCT 29</t>
  </si>
  <si>
    <t>2018 OCT 30</t>
  </si>
  <si>
    <t>2018 OCT 31</t>
  </si>
  <si>
    <t>2018 NOV 1</t>
  </si>
  <si>
    <t>2018 NOV 2</t>
  </si>
  <si>
    <t>2018 NOV 3</t>
  </si>
  <si>
    <t>2018 NOV 5</t>
  </si>
  <si>
    <t>2018 NOV 6</t>
  </si>
  <si>
    <t>2018 NOV 7</t>
  </si>
  <si>
    <t>2018 NOV 8</t>
  </si>
  <si>
    <t>2018 NOV 9</t>
  </si>
  <si>
    <t>2018 NOV 10</t>
  </si>
  <si>
    <t>2018 NOV 11</t>
  </si>
  <si>
    <t>2018 NOV 12</t>
  </si>
  <si>
    <t>2018 NOV 13</t>
  </si>
  <si>
    <t>2018 NOV 14</t>
  </si>
  <si>
    <t>BER</t>
  </si>
  <si>
    <t>BVO-IT</t>
  </si>
  <si>
    <t>LHIRES3150C9SXVR</t>
  </si>
  <si>
    <t>OGA</t>
  </si>
  <si>
    <t>OTO-FR</t>
  </si>
  <si>
    <t>RC400Astrosib-Eshe</t>
  </si>
  <si>
    <t>LHIRES3C9SXVR-H69</t>
  </si>
  <si>
    <t>SOL</t>
  </si>
  <si>
    <t>AQL-IT</t>
  </si>
  <si>
    <t>Alpy600C8ST-8300</t>
  </si>
  <si>
    <t>BUI</t>
  </si>
  <si>
    <t>CAS-FR</t>
  </si>
  <si>
    <t>RC10UVEX2ASI183MM</t>
  </si>
  <si>
    <t>BAGU</t>
  </si>
  <si>
    <t>CAL-FR</t>
  </si>
  <si>
    <t>LISA2K124ATIK314L+C14</t>
  </si>
  <si>
    <t>RC400Astrosib-Eshel-ATIK460EX</t>
  </si>
  <si>
    <t>LHIRES3600C9SXVR-H694</t>
  </si>
  <si>
    <t>PSO</t>
  </si>
  <si>
    <t>TAT-HU</t>
  </si>
  <si>
    <t>30cmLH2400_35u428exm</t>
  </si>
  <si>
    <t>CBO</t>
  </si>
  <si>
    <t>OCT-FR</t>
  </si>
  <si>
    <t>N200mmF</t>
  </si>
  <si>
    <t>RC10UVEX2ASI600MM</t>
  </si>
  <si>
    <t>MAN-US</t>
  </si>
  <si>
    <t>lx20010"Alpy600Atik314L</t>
  </si>
  <si>
    <t>DBO</t>
  </si>
  <si>
    <t>WCO-UK</t>
  </si>
  <si>
    <t>C11+LISA+SXVR-H694</t>
  </si>
  <si>
    <t>LES</t>
  </si>
  <si>
    <t>MRO-CA</t>
  </si>
  <si>
    <t>31cmDK+ESSAT</t>
  </si>
  <si>
    <t>FRA</t>
  </si>
  <si>
    <t>LX200-8(F</t>
  </si>
  <si>
    <t>JGF1C9.25ST-8300</t>
  </si>
  <si>
    <t>FAS</t>
  </si>
  <si>
    <t>DCO-US</t>
  </si>
  <si>
    <t>CDK14LISAAtik414ex</t>
  </si>
  <si>
    <t>30cmLH600_35u428exm</t>
  </si>
  <si>
    <t>RC10UVEX2ATIK414EX</t>
  </si>
  <si>
    <t>asdb_tcpj19544251+1722281_20180809_840.fit</t>
  </si>
  <si>
    <t>asdb_tcpj19544251+1722281_20180810_845.fit</t>
  </si>
  <si>
    <t>asdb_tcpj19544251+1722281_20180810_877.fit</t>
  </si>
  <si>
    <t>asdb_tcpj19544251+1722281_20180810_878.fit</t>
  </si>
  <si>
    <t>asdb_tcpj19544251+1722281_20180810_932.fit</t>
  </si>
  <si>
    <t>asdb_tcpj19544251+1722281_20180810_974.fit</t>
  </si>
  <si>
    <t>asdb_tcpj19544251+1722281_20180811_826.fit</t>
  </si>
  <si>
    <t>asdb_tcpj19544251+1722281_20180811_853.fit</t>
  </si>
  <si>
    <t>asdb_tcpj19544251+1722281_20180811_897.fit</t>
  </si>
  <si>
    <t>asdb_tcpj19544251+1722281_20180811_915.fit</t>
  </si>
  <si>
    <t>asdb_tcpj19544251+1722281_20180811_946.fit</t>
  </si>
  <si>
    <t>asdb_tcpj19544251+1722281_20180811_972.fit</t>
  </si>
  <si>
    <t>asdb_tcpj19544251+1722281_20180811_989.fit</t>
  </si>
  <si>
    <t>asdb_tcpj19544251+1722281_20180812_053.fit</t>
  </si>
  <si>
    <t>asdb_tcpj19544251+1722281_20180812_117.fit</t>
  </si>
  <si>
    <t>asdb_tcpj19544251+1722281_20180812_852.fit</t>
  </si>
  <si>
    <t>asdb_tcpj19544251+1722281_20180813_819.fit</t>
  </si>
  <si>
    <t>asdb_tcpj19544251+1722281_20180813_911.fit</t>
  </si>
  <si>
    <t>asdb_tcpj19544251+1722281_20180815_852.fit</t>
  </si>
  <si>
    <t>asdb_tcpj19544251+1722281_20180815_888.fit</t>
  </si>
  <si>
    <t>asdb_tcpj19544251+1722281_20180816_875.fit</t>
  </si>
  <si>
    <t>asdb_tcpj19544251+1722281_20180817_070.fit</t>
  </si>
  <si>
    <t>asdb_tcpj19544251+1722281_20180817_856.fit</t>
  </si>
  <si>
    <t>asdb_tcpj19544251+1722281_20180818_844.fit</t>
  </si>
  <si>
    <t>asdb_tcpj19544251+1722281_20180818_896.fit</t>
  </si>
  <si>
    <t>asdb_tcpj19544251+1722281_20180818_919.fit</t>
  </si>
  <si>
    <t>asdb_tcpj19544251+1722281_20180819_893.fit</t>
  </si>
  <si>
    <t>asdb_tcpj19544251+1722281_20180820_060.fit</t>
  </si>
  <si>
    <t>asdb_tcpj19544251+1722281_20180820_109.fit</t>
  </si>
  <si>
    <t>asdb_tcpj19544251+1722281_20180820_822.fit</t>
  </si>
  <si>
    <t>asdb_tcpj19544251+1722281_20180820_872.fit</t>
  </si>
  <si>
    <t>asdb_tcpj19544251+1722281_20180825_913.fit</t>
  </si>
  <si>
    <t>asdb_tcpj19544251+1722281_20180828_795.fit</t>
  </si>
  <si>
    <t>asdb_tcpj19544251+1722281_20180828_860.fit</t>
  </si>
  <si>
    <t>asdb_tcpj19544251+1722281_20180828_879.fit</t>
  </si>
  <si>
    <t>asdb_tcpj19544251+1722281_20180901_900.fit</t>
  </si>
  <si>
    <t>asdb_tcpj19544251+1722281_20180907_178.fit</t>
  </si>
  <si>
    <t>asdb_tcpj19544251+1722281_20180907_886.fit</t>
  </si>
  <si>
    <t>asdb_tcpj19544251+1722281_20180908_885.fit</t>
  </si>
  <si>
    <t>asdb_tcpj19544251+1722281_20180910_860.fit</t>
  </si>
  <si>
    <t>asdb_tcpj19544251+1722281_20180911_903.fit</t>
  </si>
  <si>
    <t>asdb_tcpj19544251+1722281_20180912_833.fit</t>
  </si>
  <si>
    <t>asdb_tcpj19544251+1722281_20180915_911.fit</t>
  </si>
  <si>
    <t>asdb_tcpj19544251+1722281_20180916_850.fit</t>
  </si>
  <si>
    <t>asdb_tcpj19544251+1722281_20180919_827.fit</t>
  </si>
  <si>
    <t>asdb_tcpj19544251+1722281_20180922_808.fit</t>
  </si>
  <si>
    <t>asdb_tcpj19544251+1722281_20180925_912.fit</t>
  </si>
  <si>
    <t>asdb_tcpj19544251+1722281_20180926_829.fit</t>
  </si>
  <si>
    <t>asdb_tcpj19544251+1722281_20180928_911.fit</t>
  </si>
  <si>
    <t>asdb_tcpj19544251+1722281_20180929_885.fit</t>
  </si>
  <si>
    <t>asdb_tcpj19544251+1722281_20180930_873.fit</t>
  </si>
  <si>
    <t>2018 NOV 16</t>
  </si>
  <si>
    <t>2018 NOV 17</t>
  </si>
  <si>
    <t>2018 NOV 18</t>
  </si>
  <si>
    <t>2018 NOV 19</t>
  </si>
  <si>
    <t>2018 NOV 20</t>
  </si>
  <si>
    <t>2018 NOV 21</t>
  </si>
  <si>
    <t>2018 NOV 22</t>
  </si>
  <si>
    <t>BJFB</t>
  </si>
  <si>
    <t>2018 NOV 23</t>
  </si>
  <si>
    <t>2018 NOV 24</t>
  </si>
  <si>
    <t>2018 NOV 25</t>
  </si>
  <si>
    <t>2018 NOV 26</t>
  </si>
  <si>
    <t>2018 NOV 27</t>
  </si>
  <si>
    <t>2018 NOV 28</t>
  </si>
  <si>
    <t>2018 NOV 29</t>
  </si>
  <si>
    <t>2018 NOV 30</t>
  </si>
  <si>
    <t>2018 DEC 9</t>
  </si>
  <si>
    <t>2018 DEC 11</t>
  </si>
  <si>
    <t>2018 DEC 14</t>
  </si>
  <si>
    <t>VMT</t>
  </si>
  <si>
    <t>2018 DEC 17</t>
  </si>
  <si>
    <t>2018 DEC 19</t>
  </si>
  <si>
    <t>2018 DEC 22</t>
  </si>
  <si>
    <t>2018 DEC 25</t>
  </si>
  <si>
    <t>2018 DEC 26</t>
  </si>
  <si>
    <t>2019 JAN 3</t>
  </si>
  <si>
    <t>Johnson V</t>
  </si>
  <si>
    <t>2018 AUG 11</t>
  </si>
  <si>
    <t>2018 AUG 12</t>
  </si>
  <si>
    <t>HJW</t>
  </si>
  <si>
    <t>Cousins R</t>
  </si>
  <si>
    <t>RCCA</t>
  </si>
  <si>
    <t>2018 AUG 17</t>
  </si>
  <si>
    <t>2018 AUG 23</t>
  </si>
  <si>
    <t>SHS</t>
  </si>
  <si>
    <t>B</t>
  </si>
  <si>
    <t>DSLR</t>
  </si>
  <si>
    <t>2018 SEP 1</t>
  </si>
  <si>
    <t>2018 SEP 18</t>
  </si>
  <si>
    <t>2018 SEP 30</t>
  </si>
  <si>
    <t>2018 OCT 7</t>
  </si>
  <si>
    <t>2018 OCT 8</t>
  </si>
  <si>
    <t>2018 OCT 21</t>
  </si>
  <si>
    <t>2019 JAN 19</t>
  </si>
  <si>
    <t>2019 APR 4</t>
  </si>
  <si>
    <t>2019 APR 24</t>
  </si>
  <si>
    <t>2019 JUN 8</t>
  </si>
  <si>
    <t>2019 JUN 15</t>
  </si>
  <si>
    <t>2019 JUN 20</t>
  </si>
  <si>
    <t>2019 JUN 28</t>
  </si>
  <si>
    <t>2019 JUN 29</t>
  </si>
  <si>
    <t>2019 JUL 1</t>
  </si>
  <si>
    <t>2019 JUL 7</t>
  </si>
  <si>
    <t>2019 JUL 13</t>
  </si>
  <si>
    <t>2019 JUL 16</t>
  </si>
  <si>
    <t>2019 JUL 20</t>
  </si>
  <si>
    <t>2019 JUL 21</t>
  </si>
  <si>
    <t>2019 JUL 22</t>
  </si>
  <si>
    <t>2019 JUL 23</t>
  </si>
  <si>
    <t>2019 JUL 26</t>
  </si>
  <si>
    <t>2019 JUL 28</t>
  </si>
  <si>
    <t>2019 JUL 29</t>
  </si>
  <si>
    <t>2019 AUG 1</t>
  </si>
  <si>
    <t>2019 AUG 2</t>
  </si>
  <si>
    <t>2019 AUG 3</t>
  </si>
  <si>
    <t>2019 AUG 7</t>
  </si>
  <si>
    <t>2019 AUG 10</t>
  </si>
  <si>
    <t>2019 AUG 12</t>
  </si>
  <si>
    <t>2019 AUG 18</t>
  </si>
  <si>
    <t>2019 AUG 19</t>
  </si>
  <si>
    <t>2019 AUG 20</t>
  </si>
  <si>
    <t>2019 AUG 21</t>
  </si>
  <si>
    <t>2019 AUG 24</t>
  </si>
  <si>
    <t>2019 AUG 26</t>
  </si>
  <si>
    <t>2019 AUG 30</t>
  </si>
  <si>
    <t>2019 SEP 1</t>
  </si>
  <si>
    <t>2019 SEP 4</t>
  </si>
  <si>
    <t>2019 SEP 13</t>
  </si>
  <si>
    <t>KCLA</t>
  </si>
  <si>
    <t>2019 SEP 17</t>
  </si>
  <si>
    <t>2019 SEP 18</t>
  </si>
  <si>
    <t>2019 SEP 20</t>
  </si>
  <si>
    <t>2019 SEP 21</t>
  </si>
  <si>
    <t>2019 SEP 27</t>
  </si>
  <si>
    <t>2019 SEP 29</t>
  </si>
  <si>
    <t>2019 OCT 2</t>
  </si>
  <si>
    <t>2019 OCT 4</t>
  </si>
  <si>
    <t>2019 OCT 6</t>
  </si>
  <si>
    <t>2019 OCT 8</t>
  </si>
  <si>
    <t>2019 OCT 12</t>
  </si>
  <si>
    <t>2019 OCT 17</t>
  </si>
  <si>
    <t>2019 OCT 20</t>
  </si>
  <si>
    <t>2019 OCT 24</t>
  </si>
  <si>
    <t xml:space="preserve">SHS </t>
  </si>
  <si>
    <t>jd</t>
  </si>
  <si>
    <t>mag</t>
  </si>
  <si>
    <t>Étiquettes de lignes</t>
  </si>
  <si>
    <t>(vide)</t>
  </si>
  <si>
    <t>Total général</t>
  </si>
  <si>
    <t>Moyenne de mag</t>
  </si>
  <si>
    <t>Écartype de mag</t>
  </si>
  <si>
    <t>jd1</t>
  </si>
  <si>
    <t>jd2</t>
  </si>
  <si>
    <t>V</t>
  </si>
  <si>
    <t>Moyenne de V</t>
  </si>
  <si>
    <t>Écartype de V</t>
  </si>
  <si>
    <t>Obs</t>
  </si>
  <si>
    <t>b</t>
  </si>
  <si>
    <t>Moyenne de b</t>
  </si>
  <si>
    <t>Écartype de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</si>
</sst>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206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/>
    <xf numFmtId="0" fontId="0" fillId="3" borderId="0" xfId="0" applyFill="1"/>
    <xf numFmtId="0" fontId="0" fillId="2" borderId="0" xfId="0" applyFill="1" applyAlignment="1">
      <alignment horizontal="right"/>
    </xf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0" fontId="0" fillId="4" borderId="0" xfId="0" applyFill="1"/>
    <xf numFmtId="14" fontId="0" fillId="0" borderId="0" xfId="0" applyNumberFormat="1"/>
    <xf numFmtId="1" fontId="0" fillId="0" borderId="0" xfId="0" applyNumberFormat="1"/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5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" fontId="0" fillId="8" borderId="1" xfId="0" applyNumberForma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14" fontId="0" fillId="8" borderId="1" xfId="0" applyNumberFormat="1" applyFill="1" applyBorder="1" applyAlignment="1">
      <alignment horizontal="center"/>
    </xf>
    <xf numFmtId="14" fontId="0" fillId="5" borderId="1" xfId="0" applyNumberFormat="1" applyFill="1" applyBorder="1" applyAlignment="1">
      <alignment horizontal="center"/>
    </xf>
    <xf numFmtId="164" fontId="0" fillId="0" borderId="0" xfId="0" applyNumberFormat="1"/>
    <xf numFmtId="164" fontId="0" fillId="8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2" fontId="0" fillId="0" borderId="0" xfId="0" applyNumberForma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Vraw!#REF!</c:f>
            </c:numRef>
          </c:xVal>
          <c:yVal>
            <c:numRef>
              <c:f>Vraw!#REF!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33-4F9C-B4C9-20D8F312D67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Index!$V$24:$V$100</c:f>
              <c:numCache>
                <c:formatCode>0</c:formatCode>
                <c:ptCount val="77"/>
                <c:pt idx="0">
                  <c:v>2458340.3563000001</c:v>
                </c:pt>
                <c:pt idx="1">
                  <c:v>2458341.3988000001</c:v>
                </c:pt>
                <c:pt idx="2">
                  <c:v>2458341.4078000002</c:v>
                </c:pt>
                <c:pt idx="3">
                  <c:v>2458341.4161</c:v>
                </c:pt>
                <c:pt idx="4">
                  <c:v>2458341.4679</c:v>
                </c:pt>
                <c:pt idx="5">
                  <c:v>2458341.5098999999</c:v>
                </c:pt>
                <c:pt idx="6">
                  <c:v>2458342.3895</c:v>
                </c:pt>
                <c:pt idx="7">
                  <c:v>2458342.3958999999</c:v>
                </c:pt>
                <c:pt idx="8">
                  <c:v>2458342.3982000002</c:v>
                </c:pt>
                <c:pt idx="9">
                  <c:v>2458342.4374000002</c:v>
                </c:pt>
                <c:pt idx="10">
                  <c:v>2458342.4454999999</c:v>
                </c:pt>
                <c:pt idx="11">
                  <c:v>2458342.4890000001</c:v>
                </c:pt>
                <c:pt idx="12">
                  <c:v>2458342.5040000002</c:v>
                </c:pt>
                <c:pt idx="13">
                  <c:v>2458342.5386000001</c:v>
                </c:pt>
                <c:pt idx="14">
                  <c:v>2458342.5386000001</c:v>
                </c:pt>
                <c:pt idx="15">
                  <c:v>2458342.6381000001</c:v>
                </c:pt>
                <c:pt idx="16">
                  <c:v>2458343.3160999999</c:v>
                </c:pt>
                <c:pt idx="17">
                  <c:v>2458344.3700999999</c:v>
                </c:pt>
                <c:pt idx="18">
                  <c:v>2458344.4336000001</c:v>
                </c:pt>
                <c:pt idx="19">
                  <c:v>2458346.4142999998</c:v>
                </c:pt>
                <c:pt idx="20">
                  <c:v>2458346.4221000001</c:v>
                </c:pt>
                <c:pt idx="21">
                  <c:v>2458347.3977000001</c:v>
                </c:pt>
                <c:pt idx="22">
                  <c:v>2458347.6264</c:v>
                </c:pt>
                <c:pt idx="23">
                  <c:v>2458348.3627999998</c:v>
                </c:pt>
                <c:pt idx="24">
                  <c:v>2458349.3297999999</c:v>
                </c:pt>
                <c:pt idx="25">
                  <c:v>2458349.4051000001</c:v>
                </c:pt>
                <c:pt idx="26">
                  <c:v>2458349.4237000002</c:v>
                </c:pt>
                <c:pt idx="27">
                  <c:v>2458350.3783999998</c:v>
                </c:pt>
                <c:pt idx="28">
                  <c:v>2458350.6241000001</c:v>
                </c:pt>
                <c:pt idx="29">
                  <c:v>2458350.63</c:v>
                </c:pt>
                <c:pt idx="30">
                  <c:v>2458351.3292999999</c:v>
                </c:pt>
                <c:pt idx="31">
                  <c:v>2458351.372</c:v>
                </c:pt>
                <c:pt idx="32">
                  <c:v>2458356.4301</c:v>
                </c:pt>
                <c:pt idx="33">
                  <c:v>2458359.3399</c:v>
                </c:pt>
                <c:pt idx="34">
                  <c:v>2458359.3807000001</c:v>
                </c:pt>
                <c:pt idx="35">
                  <c:v>2458359.4185000001</c:v>
                </c:pt>
                <c:pt idx="36">
                  <c:v>2458363.4210000001</c:v>
                </c:pt>
                <c:pt idx="37">
                  <c:v>2458368.6951000001</c:v>
                </c:pt>
                <c:pt idx="38">
                  <c:v>2458369.4123999998</c:v>
                </c:pt>
                <c:pt idx="39">
                  <c:v>2458370.3742999998</c:v>
                </c:pt>
                <c:pt idx="40">
                  <c:v>2458372.3881999999</c:v>
                </c:pt>
                <c:pt idx="41">
                  <c:v>2458373.4235</c:v>
                </c:pt>
                <c:pt idx="42">
                  <c:v>2458374.3036000002</c:v>
                </c:pt>
                <c:pt idx="43">
                  <c:v>2458377.4319000002</c:v>
                </c:pt>
                <c:pt idx="44">
                  <c:v>2458378.3053000001</c:v>
                </c:pt>
                <c:pt idx="45">
                  <c:v>2458381.3588</c:v>
                </c:pt>
                <c:pt idx="46">
                  <c:v>2458384.3330999999</c:v>
                </c:pt>
                <c:pt idx="47">
                  <c:v>2458387.4257999999</c:v>
                </c:pt>
                <c:pt idx="48">
                  <c:v>2458388.3612000002</c:v>
                </c:pt>
                <c:pt idx="49">
                  <c:v>2458390.4230999998</c:v>
                </c:pt>
                <c:pt idx="50">
                  <c:v>2458391.3629999999</c:v>
                </c:pt>
                <c:pt idx="51">
                  <c:v>2458392.3437999999</c:v>
                </c:pt>
                <c:pt idx="52">
                  <c:v>2458396.3961999998</c:v>
                </c:pt>
                <c:pt idx="53">
                  <c:v>2458396.5484000002</c:v>
                </c:pt>
                <c:pt idx="54">
                  <c:v>2458404.2607</c:v>
                </c:pt>
                <c:pt idx="55">
                  <c:v>2458404.2906999998</c:v>
                </c:pt>
                <c:pt idx="56">
                  <c:v>2458410.3327000001</c:v>
                </c:pt>
                <c:pt idx="57">
                  <c:v>2458411.2684999998</c:v>
                </c:pt>
                <c:pt idx="58">
                  <c:v>2458423.3091000002</c:v>
                </c:pt>
              </c:numCache>
            </c:numRef>
          </c:xVal>
          <c:yVal>
            <c:numRef>
              <c:f>Index!$W$24:$W$100</c:f>
              <c:numCache>
                <c:formatCode>General</c:formatCode>
                <c:ptCount val="77"/>
                <c:pt idx="52">
                  <c:v>10.5</c:v>
                </c:pt>
                <c:pt idx="53">
                  <c:v>10.5</c:v>
                </c:pt>
                <c:pt idx="54">
                  <c:v>10.5</c:v>
                </c:pt>
                <c:pt idx="55">
                  <c:v>10.5</c:v>
                </c:pt>
                <c:pt idx="56">
                  <c:v>10.5</c:v>
                </c:pt>
                <c:pt idx="57">
                  <c:v>10.5</c:v>
                </c:pt>
                <c:pt idx="58">
                  <c:v>10.5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7F-47E5-99A8-339F14A1A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92568"/>
        <c:axId val="514192960"/>
      </c:scatterChart>
      <c:valAx>
        <c:axId val="514192568"/>
        <c:scaling>
          <c:orientation val="minMax"/>
          <c:min val="2458330"/>
        </c:scaling>
        <c:delete val="0"/>
        <c:axPos val="b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192960"/>
        <c:crosses val="max"/>
        <c:crossBetween val="midCat"/>
        <c:majorUnit val="30"/>
      </c:valAx>
      <c:valAx>
        <c:axId val="514192960"/>
        <c:scaling>
          <c:orientation val="maxMin"/>
          <c:max val="13"/>
          <c:min val="10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19256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V!$A$1:$A$197</c:f>
              <c:numCache>
                <c:formatCode>General</c:formatCode>
                <c:ptCount val="197"/>
                <c:pt idx="0">
                  <c:v>8341</c:v>
                </c:pt>
                <c:pt idx="1">
                  <c:v>8342.5</c:v>
                </c:pt>
                <c:pt idx="2">
                  <c:v>8343.25</c:v>
                </c:pt>
                <c:pt idx="3">
                  <c:v>8343.5</c:v>
                </c:pt>
                <c:pt idx="4">
                  <c:v>8344.25</c:v>
                </c:pt>
                <c:pt idx="5">
                  <c:v>8344.5</c:v>
                </c:pt>
                <c:pt idx="6">
                  <c:v>8345.25</c:v>
                </c:pt>
                <c:pt idx="7">
                  <c:v>8345.5</c:v>
                </c:pt>
                <c:pt idx="8">
                  <c:v>8345.75</c:v>
                </c:pt>
                <c:pt idx="9">
                  <c:v>8346.5</c:v>
                </c:pt>
                <c:pt idx="10">
                  <c:v>8346.75</c:v>
                </c:pt>
                <c:pt idx="11">
                  <c:v>8347.25</c:v>
                </c:pt>
                <c:pt idx="12">
                  <c:v>8349.5</c:v>
                </c:pt>
                <c:pt idx="13">
                  <c:v>8350.5</c:v>
                </c:pt>
                <c:pt idx="14">
                  <c:v>8351.5</c:v>
                </c:pt>
                <c:pt idx="15">
                  <c:v>8352.25</c:v>
                </c:pt>
                <c:pt idx="16">
                  <c:v>8353.25</c:v>
                </c:pt>
                <c:pt idx="17">
                  <c:v>8354.5</c:v>
                </c:pt>
                <c:pt idx="18">
                  <c:v>8355.5</c:v>
                </c:pt>
                <c:pt idx="19">
                  <c:v>8355.75</c:v>
                </c:pt>
                <c:pt idx="20">
                  <c:v>8356.5</c:v>
                </c:pt>
                <c:pt idx="21">
                  <c:v>8357.25</c:v>
                </c:pt>
                <c:pt idx="22">
                  <c:v>8357.5</c:v>
                </c:pt>
                <c:pt idx="23">
                  <c:v>8358.25</c:v>
                </c:pt>
                <c:pt idx="24">
                  <c:v>8359.25</c:v>
                </c:pt>
                <c:pt idx="25">
                  <c:v>8360.25</c:v>
                </c:pt>
                <c:pt idx="26">
                  <c:v>8361.25</c:v>
                </c:pt>
                <c:pt idx="27">
                  <c:v>8362.25</c:v>
                </c:pt>
                <c:pt idx="28">
                  <c:v>8363.5</c:v>
                </c:pt>
                <c:pt idx="29">
                  <c:v>8364.25</c:v>
                </c:pt>
                <c:pt idx="30">
                  <c:v>8365.25</c:v>
                </c:pt>
                <c:pt idx="31">
                  <c:v>8366.25</c:v>
                </c:pt>
                <c:pt idx="32">
                  <c:v>8367.25</c:v>
                </c:pt>
                <c:pt idx="33">
                  <c:v>8367.5</c:v>
                </c:pt>
                <c:pt idx="34">
                  <c:v>8368.25</c:v>
                </c:pt>
                <c:pt idx="35">
                  <c:v>8368.5</c:v>
                </c:pt>
                <c:pt idx="36">
                  <c:v>8369.25</c:v>
                </c:pt>
                <c:pt idx="37">
                  <c:v>8370.25</c:v>
                </c:pt>
                <c:pt idx="38">
                  <c:v>8370.5</c:v>
                </c:pt>
                <c:pt idx="39">
                  <c:v>8371.25</c:v>
                </c:pt>
                <c:pt idx="40">
                  <c:v>8372.25</c:v>
                </c:pt>
                <c:pt idx="41">
                  <c:v>8373.25</c:v>
                </c:pt>
                <c:pt idx="42">
                  <c:v>8374.25</c:v>
                </c:pt>
                <c:pt idx="43">
                  <c:v>8375.25</c:v>
                </c:pt>
                <c:pt idx="44">
                  <c:v>8376.25</c:v>
                </c:pt>
                <c:pt idx="45">
                  <c:v>8378.25</c:v>
                </c:pt>
                <c:pt idx="46">
                  <c:v>8379.25</c:v>
                </c:pt>
                <c:pt idx="47">
                  <c:v>8380.5</c:v>
                </c:pt>
                <c:pt idx="48">
                  <c:v>8381.25</c:v>
                </c:pt>
                <c:pt idx="49">
                  <c:v>8382.25</c:v>
                </c:pt>
                <c:pt idx="50">
                  <c:v>8383.25</c:v>
                </c:pt>
                <c:pt idx="51">
                  <c:v>8384.25</c:v>
                </c:pt>
                <c:pt idx="52">
                  <c:v>8385.25</c:v>
                </c:pt>
                <c:pt idx="53">
                  <c:v>8386.25</c:v>
                </c:pt>
                <c:pt idx="54">
                  <c:v>8386.5</c:v>
                </c:pt>
                <c:pt idx="55">
                  <c:v>8387.5</c:v>
                </c:pt>
                <c:pt idx="56">
                  <c:v>8388.25</c:v>
                </c:pt>
                <c:pt idx="57">
                  <c:v>8388.5</c:v>
                </c:pt>
                <c:pt idx="58">
                  <c:v>8389.25</c:v>
                </c:pt>
                <c:pt idx="59">
                  <c:v>8389.5</c:v>
                </c:pt>
                <c:pt idx="60">
                  <c:v>8390.25</c:v>
                </c:pt>
                <c:pt idx="61">
                  <c:v>8390.5</c:v>
                </c:pt>
                <c:pt idx="62">
                  <c:v>8392.5</c:v>
                </c:pt>
                <c:pt idx="63">
                  <c:v>8393.5</c:v>
                </c:pt>
                <c:pt idx="64">
                  <c:v>8394.25</c:v>
                </c:pt>
                <c:pt idx="65">
                  <c:v>8394.5</c:v>
                </c:pt>
                <c:pt idx="66">
                  <c:v>8395.25</c:v>
                </c:pt>
                <c:pt idx="67">
                  <c:v>8395.5</c:v>
                </c:pt>
                <c:pt idx="68">
                  <c:v>8396.25</c:v>
                </c:pt>
                <c:pt idx="69">
                  <c:v>8396.5</c:v>
                </c:pt>
                <c:pt idx="70">
                  <c:v>8397.5</c:v>
                </c:pt>
                <c:pt idx="71">
                  <c:v>8398.25</c:v>
                </c:pt>
                <c:pt idx="72">
                  <c:v>8400.5</c:v>
                </c:pt>
                <c:pt idx="73">
                  <c:v>8401.25</c:v>
                </c:pt>
                <c:pt idx="74">
                  <c:v>8401.5</c:v>
                </c:pt>
                <c:pt idx="75">
                  <c:v>8402.25</c:v>
                </c:pt>
                <c:pt idx="76">
                  <c:v>8402.5</c:v>
                </c:pt>
                <c:pt idx="77">
                  <c:v>8403.5</c:v>
                </c:pt>
                <c:pt idx="78">
                  <c:v>8404.25</c:v>
                </c:pt>
                <c:pt idx="79">
                  <c:v>8404.5</c:v>
                </c:pt>
                <c:pt idx="80">
                  <c:v>8405.5</c:v>
                </c:pt>
                <c:pt idx="81">
                  <c:v>8406.25</c:v>
                </c:pt>
                <c:pt idx="82">
                  <c:v>8406.5</c:v>
                </c:pt>
                <c:pt idx="83">
                  <c:v>8407.25</c:v>
                </c:pt>
                <c:pt idx="84">
                  <c:v>8407.5</c:v>
                </c:pt>
                <c:pt idx="85">
                  <c:v>8408.5</c:v>
                </c:pt>
                <c:pt idx="86">
                  <c:v>8409.25</c:v>
                </c:pt>
                <c:pt idx="87">
                  <c:v>8409.5</c:v>
                </c:pt>
                <c:pt idx="88">
                  <c:v>8410.5</c:v>
                </c:pt>
                <c:pt idx="89">
                  <c:v>8411.25</c:v>
                </c:pt>
                <c:pt idx="90">
                  <c:v>8411.5</c:v>
                </c:pt>
                <c:pt idx="91">
                  <c:v>8413.5</c:v>
                </c:pt>
                <c:pt idx="92">
                  <c:v>8414.5</c:v>
                </c:pt>
                <c:pt idx="93">
                  <c:v>8415</c:v>
                </c:pt>
                <c:pt idx="94">
                  <c:v>8415.5</c:v>
                </c:pt>
                <c:pt idx="95">
                  <c:v>8416.5</c:v>
                </c:pt>
                <c:pt idx="96">
                  <c:v>8417.5</c:v>
                </c:pt>
                <c:pt idx="97">
                  <c:v>8418.5</c:v>
                </c:pt>
                <c:pt idx="98">
                  <c:v>8419.5</c:v>
                </c:pt>
                <c:pt idx="99">
                  <c:v>8420</c:v>
                </c:pt>
                <c:pt idx="100">
                  <c:v>8420.5</c:v>
                </c:pt>
                <c:pt idx="101">
                  <c:v>8421.5</c:v>
                </c:pt>
                <c:pt idx="102">
                  <c:v>8422.5</c:v>
                </c:pt>
                <c:pt idx="103">
                  <c:v>8423</c:v>
                </c:pt>
                <c:pt idx="104">
                  <c:v>8423.5</c:v>
                </c:pt>
                <c:pt idx="105">
                  <c:v>8424.5</c:v>
                </c:pt>
                <c:pt idx="106">
                  <c:v>8425.25</c:v>
                </c:pt>
                <c:pt idx="107">
                  <c:v>8425.5</c:v>
                </c:pt>
                <c:pt idx="108">
                  <c:v>8427.5</c:v>
                </c:pt>
                <c:pt idx="109">
                  <c:v>8428.25</c:v>
                </c:pt>
                <c:pt idx="110">
                  <c:v>8428.5</c:v>
                </c:pt>
                <c:pt idx="111">
                  <c:v>8429.5</c:v>
                </c:pt>
                <c:pt idx="112">
                  <c:v>8430.5</c:v>
                </c:pt>
                <c:pt idx="113">
                  <c:v>8431</c:v>
                </c:pt>
                <c:pt idx="114">
                  <c:v>8431.5</c:v>
                </c:pt>
                <c:pt idx="115">
                  <c:v>8432.5</c:v>
                </c:pt>
                <c:pt idx="116">
                  <c:v>8433</c:v>
                </c:pt>
                <c:pt idx="117">
                  <c:v>8433.5</c:v>
                </c:pt>
                <c:pt idx="118">
                  <c:v>8434.5</c:v>
                </c:pt>
                <c:pt idx="119">
                  <c:v>8435.5</c:v>
                </c:pt>
                <c:pt idx="120">
                  <c:v>8436.5</c:v>
                </c:pt>
                <c:pt idx="121">
                  <c:v>8437.25</c:v>
                </c:pt>
                <c:pt idx="122">
                  <c:v>8438.5</c:v>
                </c:pt>
                <c:pt idx="123">
                  <c:v>8439</c:v>
                </c:pt>
                <c:pt idx="124">
                  <c:v>8439.5</c:v>
                </c:pt>
                <c:pt idx="125">
                  <c:v>8440.25</c:v>
                </c:pt>
                <c:pt idx="126">
                  <c:v>8440.5</c:v>
                </c:pt>
                <c:pt idx="127">
                  <c:v>8441.5</c:v>
                </c:pt>
                <c:pt idx="128">
                  <c:v>8442.5</c:v>
                </c:pt>
                <c:pt idx="129">
                  <c:v>8443.5</c:v>
                </c:pt>
                <c:pt idx="130">
                  <c:v>8444.5</c:v>
                </c:pt>
                <c:pt idx="131">
                  <c:v>8445.5</c:v>
                </c:pt>
                <c:pt idx="132">
                  <c:v>8446.5</c:v>
                </c:pt>
                <c:pt idx="133">
                  <c:v>8447.5</c:v>
                </c:pt>
                <c:pt idx="134">
                  <c:v>8448.5</c:v>
                </c:pt>
                <c:pt idx="135">
                  <c:v>8449.5</c:v>
                </c:pt>
                <c:pt idx="136">
                  <c:v>8450.5</c:v>
                </c:pt>
                <c:pt idx="137">
                  <c:v>8451.5</c:v>
                </c:pt>
                <c:pt idx="138">
                  <c:v>8453</c:v>
                </c:pt>
                <c:pt idx="139">
                  <c:v>8462</c:v>
                </c:pt>
                <c:pt idx="140">
                  <c:v>8464.25</c:v>
                </c:pt>
                <c:pt idx="141">
                  <c:v>8478.25</c:v>
                </c:pt>
                <c:pt idx="142">
                  <c:v>8479</c:v>
                </c:pt>
                <c:pt idx="143">
                  <c:v>8487</c:v>
                </c:pt>
                <c:pt idx="144">
                  <c:v>8503</c:v>
                </c:pt>
                <c:pt idx="145">
                  <c:v>8577.5</c:v>
                </c:pt>
                <c:pt idx="146">
                  <c:v>8597.5</c:v>
                </c:pt>
                <c:pt idx="147">
                  <c:v>8643.25</c:v>
                </c:pt>
                <c:pt idx="148">
                  <c:v>8649.75</c:v>
                </c:pt>
                <c:pt idx="149">
                  <c:v>8654.5</c:v>
                </c:pt>
                <c:pt idx="150">
                  <c:v>8663.25</c:v>
                </c:pt>
                <c:pt idx="151">
                  <c:v>8664.25</c:v>
                </c:pt>
                <c:pt idx="152">
                  <c:v>8665.75</c:v>
                </c:pt>
                <c:pt idx="153">
                  <c:v>8672.25</c:v>
                </c:pt>
                <c:pt idx="154">
                  <c:v>8677.5</c:v>
                </c:pt>
                <c:pt idx="155">
                  <c:v>8681.25</c:v>
                </c:pt>
                <c:pt idx="156">
                  <c:v>8685.25</c:v>
                </c:pt>
                <c:pt idx="157">
                  <c:v>8685.5</c:v>
                </c:pt>
                <c:pt idx="158">
                  <c:v>8687.25</c:v>
                </c:pt>
                <c:pt idx="159">
                  <c:v>8688.25</c:v>
                </c:pt>
                <c:pt idx="160">
                  <c:v>8690.5</c:v>
                </c:pt>
                <c:pt idx="161">
                  <c:v>8693.25</c:v>
                </c:pt>
                <c:pt idx="162">
                  <c:v>8694.25</c:v>
                </c:pt>
                <c:pt idx="163">
                  <c:v>8697.25</c:v>
                </c:pt>
                <c:pt idx="164">
                  <c:v>8698.25</c:v>
                </c:pt>
                <c:pt idx="165">
                  <c:v>8699.25</c:v>
                </c:pt>
                <c:pt idx="166">
                  <c:v>8703.25</c:v>
                </c:pt>
                <c:pt idx="167">
                  <c:v>8706.25</c:v>
                </c:pt>
                <c:pt idx="168">
                  <c:v>8707.5</c:v>
                </c:pt>
                <c:pt idx="169">
                  <c:v>8708.25</c:v>
                </c:pt>
                <c:pt idx="170">
                  <c:v>8714.25</c:v>
                </c:pt>
                <c:pt idx="171">
                  <c:v>8715.25</c:v>
                </c:pt>
                <c:pt idx="172">
                  <c:v>8716.25</c:v>
                </c:pt>
                <c:pt idx="173">
                  <c:v>8717.25</c:v>
                </c:pt>
                <c:pt idx="174">
                  <c:v>8720.25</c:v>
                </c:pt>
                <c:pt idx="175">
                  <c:v>8721.5</c:v>
                </c:pt>
                <c:pt idx="176">
                  <c:v>8722.25</c:v>
                </c:pt>
                <c:pt idx="177">
                  <c:v>8726.25</c:v>
                </c:pt>
                <c:pt idx="178">
                  <c:v>8727.75</c:v>
                </c:pt>
                <c:pt idx="179">
                  <c:v>8728.25</c:v>
                </c:pt>
                <c:pt idx="180">
                  <c:v>8731.25</c:v>
                </c:pt>
                <c:pt idx="181">
                  <c:v>8739.5</c:v>
                </c:pt>
                <c:pt idx="182">
                  <c:v>8739.75</c:v>
                </c:pt>
                <c:pt idx="183">
                  <c:v>8740.25</c:v>
                </c:pt>
                <c:pt idx="184">
                  <c:v>8744.25</c:v>
                </c:pt>
                <c:pt idx="185">
                  <c:v>8745.25</c:v>
                </c:pt>
                <c:pt idx="186">
                  <c:v>8747.25</c:v>
                </c:pt>
                <c:pt idx="187">
                  <c:v>8747.5</c:v>
                </c:pt>
                <c:pt idx="188">
                  <c:v>8748.25</c:v>
                </c:pt>
                <c:pt idx="189">
                  <c:v>8753.5</c:v>
                </c:pt>
                <c:pt idx="190">
                  <c:v>8759.25</c:v>
                </c:pt>
                <c:pt idx="191">
                  <c:v>8761.25</c:v>
                </c:pt>
                <c:pt idx="192">
                  <c:v>8762.5</c:v>
                </c:pt>
                <c:pt idx="193">
                  <c:v>8765.25</c:v>
                </c:pt>
                <c:pt idx="194">
                  <c:v>8768.5</c:v>
                </c:pt>
                <c:pt idx="195">
                  <c:v>8773.5</c:v>
                </c:pt>
                <c:pt idx="196">
                  <c:v>8780.5</c:v>
                </c:pt>
              </c:numCache>
            </c:numRef>
          </c:xVal>
          <c:yVal>
            <c:numRef>
              <c:f>V!$C$1:$C$197</c:f>
              <c:numCache>
                <c:formatCode>General</c:formatCode>
                <c:ptCount val="197"/>
                <c:pt idx="0">
                  <c:v>10.87</c:v>
                </c:pt>
                <c:pt idx="1">
                  <c:v>10.981661290322581</c:v>
                </c:pt>
                <c:pt idx="2">
                  <c:v>10.869</c:v>
                </c:pt>
                <c:pt idx="3">
                  <c:v>11.032744680851064</c:v>
                </c:pt>
                <c:pt idx="4">
                  <c:v>10.867532608695649</c:v>
                </c:pt>
                <c:pt idx="5">
                  <c:v>10.917999999999999</c:v>
                </c:pt>
                <c:pt idx="6">
                  <c:v>10.787819672131151</c:v>
                </c:pt>
                <c:pt idx="7">
                  <c:v>10.83640909090909</c:v>
                </c:pt>
                <c:pt idx="8">
                  <c:v>10.859499999999999</c:v>
                </c:pt>
                <c:pt idx="9">
                  <c:v>10.909647058823531</c:v>
                </c:pt>
                <c:pt idx="10">
                  <c:v>10.905208333333334</c:v>
                </c:pt>
                <c:pt idx="11">
                  <c:v>10.919</c:v>
                </c:pt>
                <c:pt idx="12">
                  <c:v>10.865500000000001</c:v>
                </c:pt>
                <c:pt idx="13">
                  <c:v>10.866</c:v>
                </c:pt>
                <c:pt idx="14">
                  <c:v>10.890499999999999</c:v>
                </c:pt>
                <c:pt idx="15">
                  <c:v>10.938500000000001</c:v>
                </c:pt>
                <c:pt idx="16">
                  <c:v>10.914999999999999</c:v>
                </c:pt>
                <c:pt idx="17">
                  <c:v>10.919499999999999</c:v>
                </c:pt>
                <c:pt idx="18">
                  <c:v>10.9175</c:v>
                </c:pt>
                <c:pt idx="19">
                  <c:v>10.933999999999999</c:v>
                </c:pt>
                <c:pt idx="20">
                  <c:v>10.917999999999999</c:v>
                </c:pt>
                <c:pt idx="21">
                  <c:v>10.961</c:v>
                </c:pt>
                <c:pt idx="22">
                  <c:v>10.959</c:v>
                </c:pt>
                <c:pt idx="23">
                  <c:v>10.981</c:v>
                </c:pt>
                <c:pt idx="24">
                  <c:v>11.016000000000002</c:v>
                </c:pt>
                <c:pt idx="25">
                  <c:v>11.0595</c:v>
                </c:pt>
                <c:pt idx="26">
                  <c:v>11.086</c:v>
                </c:pt>
                <c:pt idx="27">
                  <c:v>11.108666666666666</c:v>
                </c:pt>
                <c:pt idx="28">
                  <c:v>11.1325</c:v>
                </c:pt>
                <c:pt idx="29">
                  <c:v>11.135749003984067</c:v>
                </c:pt>
                <c:pt idx="30">
                  <c:v>11.136500000000002</c:v>
                </c:pt>
                <c:pt idx="31">
                  <c:v>11.161666666666667</c:v>
                </c:pt>
                <c:pt idx="32">
                  <c:v>11.190999999999999</c:v>
                </c:pt>
                <c:pt idx="33">
                  <c:v>11.124461538461539</c:v>
                </c:pt>
                <c:pt idx="34">
                  <c:v>11.2295</c:v>
                </c:pt>
                <c:pt idx="35">
                  <c:v>11.256</c:v>
                </c:pt>
                <c:pt idx="36">
                  <c:v>11.242750000000001</c:v>
                </c:pt>
                <c:pt idx="37">
                  <c:v>11.3</c:v>
                </c:pt>
                <c:pt idx="38">
                  <c:v>11.306999999999999</c:v>
                </c:pt>
                <c:pt idx="39">
                  <c:v>11.313500000000001</c:v>
                </c:pt>
                <c:pt idx="40">
                  <c:v>11.343499999999999</c:v>
                </c:pt>
                <c:pt idx="41">
                  <c:v>11.3705</c:v>
                </c:pt>
                <c:pt idx="42">
                  <c:v>11.39</c:v>
                </c:pt>
                <c:pt idx="43">
                  <c:v>11.366166666666667</c:v>
                </c:pt>
                <c:pt idx="44">
                  <c:v>11.370000000000001</c:v>
                </c:pt>
                <c:pt idx="45">
                  <c:v>11.368500000000001</c:v>
                </c:pt>
                <c:pt idx="46">
                  <c:v>11.41</c:v>
                </c:pt>
                <c:pt idx="47">
                  <c:v>11.423500000000001</c:v>
                </c:pt>
                <c:pt idx="48">
                  <c:v>11.429333333333332</c:v>
                </c:pt>
                <c:pt idx="49">
                  <c:v>11.438999999999998</c:v>
                </c:pt>
                <c:pt idx="50">
                  <c:v>11.429499999999999</c:v>
                </c:pt>
                <c:pt idx="51">
                  <c:v>11.478</c:v>
                </c:pt>
                <c:pt idx="52">
                  <c:v>11.472500000000002</c:v>
                </c:pt>
                <c:pt idx="53">
                  <c:v>11.45</c:v>
                </c:pt>
                <c:pt idx="54">
                  <c:v>11.504</c:v>
                </c:pt>
                <c:pt idx="55">
                  <c:v>11.531500000000001</c:v>
                </c:pt>
                <c:pt idx="56">
                  <c:v>11.495000000000001</c:v>
                </c:pt>
                <c:pt idx="57">
                  <c:v>11.5275</c:v>
                </c:pt>
                <c:pt idx="58">
                  <c:v>11.492666666666667</c:v>
                </c:pt>
                <c:pt idx="59">
                  <c:v>11.545333333333334</c:v>
                </c:pt>
                <c:pt idx="60">
                  <c:v>11.502000000000001</c:v>
                </c:pt>
                <c:pt idx="61">
                  <c:v>11.541499999999999</c:v>
                </c:pt>
                <c:pt idx="62">
                  <c:v>11.545500000000001</c:v>
                </c:pt>
                <c:pt idx="63">
                  <c:v>11.552499999999998</c:v>
                </c:pt>
                <c:pt idx="64">
                  <c:v>11.57</c:v>
                </c:pt>
                <c:pt idx="65">
                  <c:v>11.5945</c:v>
                </c:pt>
                <c:pt idx="66">
                  <c:v>11.58</c:v>
                </c:pt>
                <c:pt idx="67">
                  <c:v>11.597999999999999</c:v>
                </c:pt>
                <c:pt idx="68">
                  <c:v>11.59</c:v>
                </c:pt>
                <c:pt idx="69">
                  <c:v>11.6005</c:v>
                </c:pt>
                <c:pt idx="70">
                  <c:v>11.620000000000001</c:v>
                </c:pt>
                <c:pt idx="71">
                  <c:v>11.55</c:v>
                </c:pt>
                <c:pt idx="72">
                  <c:v>11.641999999999999</c:v>
                </c:pt>
                <c:pt idx="73">
                  <c:v>11.605499999999999</c:v>
                </c:pt>
                <c:pt idx="74">
                  <c:v>11.651</c:v>
                </c:pt>
                <c:pt idx="75">
                  <c:v>11.6205</c:v>
                </c:pt>
                <c:pt idx="76">
                  <c:v>11.6335</c:v>
                </c:pt>
                <c:pt idx="77">
                  <c:v>11.637499999999999</c:v>
                </c:pt>
                <c:pt idx="78">
                  <c:v>11.6195</c:v>
                </c:pt>
                <c:pt idx="79">
                  <c:v>11.657</c:v>
                </c:pt>
                <c:pt idx="80">
                  <c:v>11.678999999999998</c:v>
                </c:pt>
                <c:pt idx="81">
                  <c:v>11.638500000000001</c:v>
                </c:pt>
                <c:pt idx="82">
                  <c:v>11.670500000000001</c:v>
                </c:pt>
                <c:pt idx="83">
                  <c:v>11.629</c:v>
                </c:pt>
                <c:pt idx="84">
                  <c:v>11.696999999999999</c:v>
                </c:pt>
                <c:pt idx="85">
                  <c:v>11.6615</c:v>
                </c:pt>
                <c:pt idx="86">
                  <c:v>11.606999999999999</c:v>
                </c:pt>
                <c:pt idx="87">
                  <c:v>11.6745</c:v>
                </c:pt>
                <c:pt idx="88">
                  <c:v>11.684999999999999</c:v>
                </c:pt>
                <c:pt idx="89">
                  <c:v>11.640499999999999</c:v>
                </c:pt>
                <c:pt idx="90">
                  <c:v>11.668500000000002</c:v>
                </c:pt>
                <c:pt idx="91">
                  <c:v>11.669499999999999</c:v>
                </c:pt>
                <c:pt idx="92">
                  <c:v>11.714</c:v>
                </c:pt>
                <c:pt idx="93">
                  <c:v>11.660499999999999</c:v>
                </c:pt>
                <c:pt idx="94">
                  <c:v>11.7125</c:v>
                </c:pt>
                <c:pt idx="95">
                  <c:v>11.7165</c:v>
                </c:pt>
                <c:pt idx="96">
                  <c:v>11.686500000000001</c:v>
                </c:pt>
                <c:pt idx="97">
                  <c:v>11.7425</c:v>
                </c:pt>
                <c:pt idx="98">
                  <c:v>11.7295</c:v>
                </c:pt>
                <c:pt idx="99">
                  <c:v>11.7</c:v>
                </c:pt>
                <c:pt idx="100">
                  <c:v>11.731999999999999</c:v>
                </c:pt>
                <c:pt idx="101">
                  <c:v>11.734</c:v>
                </c:pt>
                <c:pt idx="102">
                  <c:v>11.736000000000001</c:v>
                </c:pt>
                <c:pt idx="103">
                  <c:v>11.66</c:v>
                </c:pt>
                <c:pt idx="104">
                  <c:v>11.7195</c:v>
                </c:pt>
                <c:pt idx="105">
                  <c:v>11.754999999999999</c:v>
                </c:pt>
                <c:pt idx="106">
                  <c:v>11.715</c:v>
                </c:pt>
                <c:pt idx="107">
                  <c:v>11.778666666666666</c:v>
                </c:pt>
                <c:pt idx="108">
                  <c:v>11.785</c:v>
                </c:pt>
                <c:pt idx="109">
                  <c:v>11.742999999999999</c:v>
                </c:pt>
                <c:pt idx="110">
                  <c:v>11.817499999999999</c:v>
                </c:pt>
                <c:pt idx="111">
                  <c:v>11.810666666666668</c:v>
                </c:pt>
                <c:pt idx="112">
                  <c:v>11.847000000000001</c:v>
                </c:pt>
                <c:pt idx="113">
                  <c:v>11.765000000000001</c:v>
                </c:pt>
                <c:pt idx="114">
                  <c:v>11.821999999999999</c:v>
                </c:pt>
                <c:pt idx="115">
                  <c:v>11.836</c:v>
                </c:pt>
                <c:pt idx="116">
                  <c:v>11.795</c:v>
                </c:pt>
                <c:pt idx="117">
                  <c:v>11.842500000000001</c:v>
                </c:pt>
                <c:pt idx="118">
                  <c:v>11.896000000000001</c:v>
                </c:pt>
                <c:pt idx="119">
                  <c:v>11.863</c:v>
                </c:pt>
                <c:pt idx="120">
                  <c:v>11.92</c:v>
                </c:pt>
                <c:pt idx="121">
                  <c:v>11.8705</c:v>
                </c:pt>
                <c:pt idx="122">
                  <c:v>11.951000000000001</c:v>
                </c:pt>
                <c:pt idx="123">
                  <c:v>11.9</c:v>
                </c:pt>
                <c:pt idx="124">
                  <c:v>11.9945</c:v>
                </c:pt>
                <c:pt idx="125">
                  <c:v>11.9495</c:v>
                </c:pt>
                <c:pt idx="126">
                  <c:v>11.994</c:v>
                </c:pt>
                <c:pt idx="127">
                  <c:v>12.0305</c:v>
                </c:pt>
                <c:pt idx="128">
                  <c:v>11.990333333333334</c:v>
                </c:pt>
                <c:pt idx="129">
                  <c:v>11.974499999999999</c:v>
                </c:pt>
                <c:pt idx="130">
                  <c:v>12.07</c:v>
                </c:pt>
                <c:pt idx="131">
                  <c:v>12.087</c:v>
                </c:pt>
                <c:pt idx="132">
                  <c:v>12.047000000000001</c:v>
                </c:pt>
                <c:pt idx="133">
                  <c:v>12.0915</c:v>
                </c:pt>
                <c:pt idx="134">
                  <c:v>12.071999999999999</c:v>
                </c:pt>
                <c:pt idx="135">
                  <c:v>12.118</c:v>
                </c:pt>
                <c:pt idx="136">
                  <c:v>12.126000000000001</c:v>
                </c:pt>
                <c:pt idx="137">
                  <c:v>12.115500000000001</c:v>
                </c:pt>
                <c:pt idx="138">
                  <c:v>12.0755</c:v>
                </c:pt>
                <c:pt idx="139">
                  <c:v>12.084</c:v>
                </c:pt>
                <c:pt idx="140">
                  <c:v>12.0815</c:v>
                </c:pt>
                <c:pt idx="141">
                  <c:v>12.170500000000001</c:v>
                </c:pt>
                <c:pt idx="142">
                  <c:v>12.1365</c:v>
                </c:pt>
                <c:pt idx="143">
                  <c:v>12.188500000000001</c:v>
                </c:pt>
                <c:pt idx="144">
                  <c:v>12.275500000000001</c:v>
                </c:pt>
                <c:pt idx="145">
                  <c:v>12.617000000000001</c:v>
                </c:pt>
                <c:pt idx="146">
                  <c:v>12.741</c:v>
                </c:pt>
                <c:pt idx="147">
                  <c:v>12.854500000000002</c:v>
                </c:pt>
                <c:pt idx="148">
                  <c:v>12.964</c:v>
                </c:pt>
                <c:pt idx="149">
                  <c:v>12.923999999999999</c:v>
                </c:pt>
                <c:pt idx="150">
                  <c:v>12.8225</c:v>
                </c:pt>
                <c:pt idx="151">
                  <c:v>12.79</c:v>
                </c:pt>
                <c:pt idx="152">
                  <c:v>12.88</c:v>
                </c:pt>
                <c:pt idx="153">
                  <c:v>12.7735</c:v>
                </c:pt>
                <c:pt idx="154">
                  <c:v>12.839</c:v>
                </c:pt>
                <c:pt idx="155">
                  <c:v>12.803000000000001</c:v>
                </c:pt>
                <c:pt idx="156">
                  <c:v>12.76</c:v>
                </c:pt>
                <c:pt idx="157">
                  <c:v>12.811999999999999</c:v>
                </c:pt>
                <c:pt idx="158">
                  <c:v>12.752500000000001</c:v>
                </c:pt>
                <c:pt idx="159">
                  <c:v>12.7575</c:v>
                </c:pt>
                <c:pt idx="160">
                  <c:v>12.7</c:v>
                </c:pt>
                <c:pt idx="161">
                  <c:v>12.701000000000001</c:v>
                </c:pt>
                <c:pt idx="162">
                  <c:v>12.704499999999999</c:v>
                </c:pt>
                <c:pt idx="163">
                  <c:v>12.693999999999999</c:v>
                </c:pt>
                <c:pt idx="164">
                  <c:v>12.6655</c:v>
                </c:pt>
                <c:pt idx="165">
                  <c:v>12.649000000000001</c:v>
                </c:pt>
                <c:pt idx="166">
                  <c:v>12.615500000000001</c:v>
                </c:pt>
                <c:pt idx="167">
                  <c:v>12.570499999999999</c:v>
                </c:pt>
                <c:pt idx="168">
                  <c:v>12.625</c:v>
                </c:pt>
                <c:pt idx="169">
                  <c:v>12.5535</c:v>
                </c:pt>
                <c:pt idx="170">
                  <c:v>12.568999999999999</c:v>
                </c:pt>
                <c:pt idx="171">
                  <c:v>12.561500000000001</c:v>
                </c:pt>
                <c:pt idx="172">
                  <c:v>12.54</c:v>
                </c:pt>
                <c:pt idx="173">
                  <c:v>12.5625</c:v>
                </c:pt>
                <c:pt idx="174">
                  <c:v>12.5465</c:v>
                </c:pt>
                <c:pt idx="175">
                  <c:v>12.622999999999999</c:v>
                </c:pt>
                <c:pt idx="176">
                  <c:v>12.576499999999999</c:v>
                </c:pt>
                <c:pt idx="177">
                  <c:v>12.542999999999999</c:v>
                </c:pt>
                <c:pt idx="178">
                  <c:v>12.584</c:v>
                </c:pt>
                <c:pt idx="179">
                  <c:v>12.5305</c:v>
                </c:pt>
                <c:pt idx="180">
                  <c:v>12.512</c:v>
                </c:pt>
                <c:pt idx="181">
                  <c:v>12.456</c:v>
                </c:pt>
                <c:pt idx="182">
                  <c:v>12.45</c:v>
                </c:pt>
                <c:pt idx="183">
                  <c:v>12.4415</c:v>
                </c:pt>
                <c:pt idx="184">
                  <c:v>12.4275</c:v>
                </c:pt>
                <c:pt idx="185">
                  <c:v>12.4245</c:v>
                </c:pt>
                <c:pt idx="186">
                  <c:v>12.3855</c:v>
                </c:pt>
                <c:pt idx="187">
                  <c:v>12.409000000000001</c:v>
                </c:pt>
                <c:pt idx="188">
                  <c:v>12.36</c:v>
                </c:pt>
                <c:pt idx="189">
                  <c:v>12.435</c:v>
                </c:pt>
                <c:pt idx="190">
                  <c:v>12.349499999999999</c:v>
                </c:pt>
                <c:pt idx="191">
                  <c:v>12.327500000000001</c:v>
                </c:pt>
                <c:pt idx="192">
                  <c:v>12.372</c:v>
                </c:pt>
                <c:pt idx="193">
                  <c:v>12.339500000000001</c:v>
                </c:pt>
                <c:pt idx="194">
                  <c:v>12.355</c:v>
                </c:pt>
                <c:pt idx="195">
                  <c:v>12.318</c:v>
                </c:pt>
                <c:pt idx="196">
                  <c:v>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C6-4001-8CB2-C0B2EA646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523264"/>
        <c:axId val="571524904"/>
      </c:scatterChart>
      <c:valAx>
        <c:axId val="571523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1524904"/>
        <c:crosses val="autoZero"/>
        <c:crossBetween val="midCat"/>
      </c:valAx>
      <c:valAx>
        <c:axId val="57152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1523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HbHa 1704-05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Vraw!$A$1:$A$1222</c:f>
              <c:numCache>
                <c:formatCode>General</c:formatCode>
                <c:ptCount val="1000"/>
                <c:pt idx="0">
                  <c:v>2458340.3100800002</c:v>
                </c:pt>
                <c:pt idx="1">
                  <c:v>2458341.1025999999</c:v>
                </c:pt>
                <c:pt idx="2">
                  <c:v>2458342.6465099999</c:v>
                </c:pt>
                <c:pt idx="3">
                  <c:v>2458342.6472499999</c:v>
                </c:pt>
                <c:pt idx="4">
                  <c:v>2458342.648</c:v>
                </c:pt>
                <c:pt idx="5">
                  <c:v>2458342.64873</c:v>
                </c:pt>
                <c:pt idx="6">
                  <c:v>2458342.6494700001</c:v>
                </c:pt>
                <c:pt idx="7">
                  <c:v>2458342.6502200002</c:v>
                </c:pt>
                <c:pt idx="8">
                  <c:v>2458342.6509600002</c:v>
                </c:pt>
                <c:pt idx="9">
                  <c:v>2458342.6516999998</c:v>
                </c:pt>
                <c:pt idx="10">
                  <c:v>2458342.6524499999</c:v>
                </c:pt>
                <c:pt idx="11">
                  <c:v>2458342.6531799999</c:v>
                </c:pt>
                <c:pt idx="12">
                  <c:v>2458342.65392</c:v>
                </c:pt>
                <c:pt idx="13">
                  <c:v>2458342.6546700001</c:v>
                </c:pt>
                <c:pt idx="14">
                  <c:v>2458342.6554100001</c:v>
                </c:pt>
                <c:pt idx="15">
                  <c:v>2458342.6561500002</c:v>
                </c:pt>
                <c:pt idx="16">
                  <c:v>2458342.6568999998</c:v>
                </c:pt>
                <c:pt idx="17">
                  <c:v>2458342.65765</c:v>
                </c:pt>
                <c:pt idx="18">
                  <c:v>2458342.65839</c:v>
                </c:pt>
                <c:pt idx="19">
                  <c:v>2458342.65913</c:v>
                </c:pt>
                <c:pt idx="20">
                  <c:v>2458342.6598700001</c:v>
                </c:pt>
                <c:pt idx="21">
                  <c:v>2458342.6606000001</c:v>
                </c:pt>
                <c:pt idx="22">
                  <c:v>2458342.6613500002</c:v>
                </c:pt>
                <c:pt idx="23">
                  <c:v>2458342.6620900002</c:v>
                </c:pt>
                <c:pt idx="24">
                  <c:v>2458342.6628299998</c:v>
                </c:pt>
                <c:pt idx="25">
                  <c:v>2458342.66359</c:v>
                </c:pt>
                <c:pt idx="26">
                  <c:v>2458342.6643300001</c:v>
                </c:pt>
                <c:pt idx="27">
                  <c:v>2458342.6650700001</c:v>
                </c:pt>
                <c:pt idx="28">
                  <c:v>2458342.6658100002</c:v>
                </c:pt>
                <c:pt idx="29">
                  <c:v>2458342.6665500002</c:v>
                </c:pt>
                <c:pt idx="30">
                  <c:v>2458342.6672800002</c:v>
                </c:pt>
                <c:pt idx="31">
                  <c:v>2458342.6680200002</c:v>
                </c:pt>
                <c:pt idx="32">
                  <c:v>2458342.6687599998</c:v>
                </c:pt>
                <c:pt idx="33">
                  <c:v>2458342.6694999998</c:v>
                </c:pt>
                <c:pt idx="34">
                  <c:v>2458342.6702399999</c:v>
                </c:pt>
                <c:pt idx="35">
                  <c:v>2458342.6709799999</c:v>
                </c:pt>
                <c:pt idx="36">
                  <c:v>2458342.67172</c:v>
                </c:pt>
                <c:pt idx="37">
                  <c:v>2458342.67246</c:v>
                </c:pt>
                <c:pt idx="38">
                  <c:v>2458342.6732000001</c:v>
                </c:pt>
                <c:pt idx="39">
                  <c:v>2458342.6739400001</c:v>
                </c:pt>
                <c:pt idx="40">
                  <c:v>2458342.6746800002</c:v>
                </c:pt>
                <c:pt idx="41">
                  <c:v>2458342.6754299998</c:v>
                </c:pt>
                <c:pt idx="42">
                  <c:v>2458342.6761699999</c:v>
                </c:pt>
                <c:pt idx="43">
                  <c:v>2458342.6769099999</c:v>
                </c:pt>
                <c:pt idx="44">
                  <c:v>2458342.67765</c:v>
                </c:pt>
                <c:pt idx="45">
                  <c:v>2458342.67839</c:v>
                </c:pt>
                <c:pt idx="46">
                  <c:v>2458342.6791300001</c:v>
                </c:pt>
                <c:pt idx="47">
                  <c:v>2458342.6798800002</c:v>
                </c:pt>
                <c:pt idx="48">
                  <c:v>2458342.6806100002</c:v>
                </c:pt>
                <c:pt idx="49">
                  <c:v>2458342.6813599998</c:v>
                </c:pt>
                <c:pt idx="50">
                  <c:v>2458342.6820899998</c:v>
                </c:pt>
                <c:pt idx="51">
                  <c:v>2458342.6828399999</c:v>
                </c:pt>
                <c:pt idx="52">
                  <c:v>2458342.68358</c:v>
                </c:pt>
                <c:pt idx="53">
                  <c:v>2458342.68432</c:v>
                </c:pt>
                <c:pt idx="54">
                  <c:v>2458342.68506</c:v>
                </c:pt>
                <c:pt idx="55">
                  <c:v>2458342.6858000001</c:v>
                </c:pt>
                <c:pt idx="56">
                  <c:v>2458342.6865400001</c:v>
                </c:pt>
                <c:pt idx="57">
                  <c:v>2458342.6872800002</c:v>
                </c:pt>
                <c:pt idx="58">
                  <c:v>2458342.6880100002</c:v>
                </c:pt>
                <c:pt idx="59">
                  <c:v>2458342.6887599998</c:v>
                </c:pt>
                <c:pt idx="60">
                  <c:v>2458342.6894999999</c:v>
                </c:pt>
                <c:pt idx="61">
                  <c:v>2458342.6902399999</c:v>
                </c:pt>
                <c:pt idx="62">
                  <c:v>2458342.69098</c:v>
                </c:pt>
                <c:pt idx="63">
                  <c:v>2458342.69172</c:v>
                </c:pt>
                <c:pt idx="64">
                  <c:v>2458343.3167099999</c:v>
                </c:pt>
                <c:pt idx="65">
                  <c:v>2458343.5097699999</c:v>
                </c:pt>
                <c:pt idx="66">
                  <c:v>2458343.51003</c:v>
                </c:pt>
                <c:pt idx="67">
                  <c:v>2458343.6608000002</c:v>
                </c:pt>
                <c:pt idx="68">
                  <c:v>2458343.6617299998</c:v>
                </c:pt>
                <c:pt idx="69">
                  <c:v>2458343.6626400002</c:v>
                </c:pt>
                <c:pt idx="70">
                  <c:v>2458343.6649099998</c:v>
                </c:pt>
                <c:pt idx="71">
                  <c:v>2458343.6658299998</c:v>
                </c:pt>
                <c:pt idx="72">
                  <c:v>2458343.6667399998</c:v>
                </c:pt>
                <c:pt idx="73">
                  <c:v>2458343.6690000002</c:v>
                </c:pt>
                <c:pt idx="74">
                  <c:v>2458343.6699100002</c:v>
                </c:pt>
                <c:pt idx="75">
                  <c:v>2458343.6708200001</c:v>
                </c:pt>
                <c:pt idx="76">
                  <c:v>2458343.6730999998</c:v>
                </c:pt>
                <c:pt idx="77">
                  <c:v>2458343.6740199998</c:v>
                </c:pt>
                <c:pt idx="78">
                  <c:v>2458343.6749399998</c:v>
                </c:pt>
                <c:pt idx="79">
                  <c:v>2458343.6771999998</c:v>
                </c:pt>
                <c:pt idx="80">
                  <c:v>2458343.6781199998</c:v>
                </c:pt>
                <c:pt idx="81">
                  <c:v>2458343.6790300002</c:v>
                </c:pt>
                <c:pt idx="82">
                  <c:v>2458343.6812999998</c:v>
                </c:pt>
                <c:pt idx="83">
                  <c:v>2458343.6822100002</c:v>
                </c:pt>
                <c:pt idx="84">
                  <c:v>2458343.6831299998</c:v>
                </c:pt>
                <c:pt idx="85">
                  <c:v>2458343.6853999998</c:v>
                </c:pt>
                <c:pt idx="86">
                  <c:v>2458343.6863099998</c:v>
                </c:pt>
                <c:pt idx="87">
                  <c:v>2458343.6872200002</c:v>
                </c:pt>
                <c:pt idx="88">
                  <c:v>2458343.6894899998</c:v>
                </c:pt>
                <c:pt idx="89">
                  <c:v>2458343.6904000002</c:v>
                </c:pt>
                <c:pt idx="90">
                  <c:v>2458343.6913200002</c:v>
                </c:pt>
                <c:pt idx="91">
                  <c:v>2458343.6935800002</c:v>
                </c:pt>
                <c:pt idx="92">
                  <c:v>2458343.6944900001</c:v>
                </c:pt>
                <c:pt idx="93">
                  <c:v>2458343.6954100002</c:v>
                </c:pt>
                <c:pt idx="94">
                  <c:v>2458343.6976700001</c:v>
                </c:pt>
                <c:pt idx="95">
                  <c:v>2458343.6985900002</c:v>
                </c:pt>
                <c:pt idx="96">
                  <c:v>2458343.6995100002</c:v>
                </c:pt>
                <c:pt idx="97">
                  <c:v>2458343.7017799998</c:v>
                </c:pt>
                <c:pt idx="98">
                  <c:v>2458343.7026900002</c:v>
                </c:pt>
                <c:pt idx="99">
                  <c:v>2458343.7036100002</c:v>
                </c:pt>
                <c:pt idx="100">
                  <c:v>2458343.7058700002</c:v>
                </c:pt>
                <c:pt idx="101">
                  <c:v>2458343.7067900002</c:v>
                </c:pt>
                <c:pt idx="102">
                  <c:v>2458343.7077100002</c:v>
                </c:pt>
                <c:pt idx="103">
                  <c:v>2458343.7099700002</c:v>
                </c:pt>
                <c:pt idx="104">
                  <c:v>2458343.7108900002</c:v>
                </c:pt>
                <c:pt idx="105">
                  <c:v>2458343.7118000002</c:v>
                </c:pt>
                <c:pt idx="106">
                  <c:v>2458343.7140700002</c:v>
                </c:pt>
                <c:pt idx="107">
                  <c:v>2458343.7149800002</c:v>
                </c:pt>
                <c:pt idx="108">
                  <c:v>2458343.7159000002</c:v>
                </c:pt>
                <c:pt idx="109">
                  <c:v>2458343.7181600002</c:v>
                </c:pt>
                <c:pt idx="110">
                  <c:v>2458343.7190700001</c:v>
                </c:pt>
                <c:pt idx="111">
                  <c:v>2458343.7199900001</c:v>
                </c:pt>
                <c:pt idx="112">
                  <c:v>2458344.3336200002</c:v>
                </c:pt>
                <c:pt idx="113">
                  <c:v>2458344.3338500001</c:v>
                </c:pt>
                <c:pt idx="114">
                  <c:v>2458344.3341000001</c:v>
                </c:pt>
                <c:pt idx="115">
                  <c:v>2458344.33433</c:v>
                </c:pt>
                <c:pt idx="116">
                  <c:v>2458344.3345699999</c:v>
                </c:pt>
                <c:pt idx="117">
                  <c:v>2458344.3348099999</c:v>
                </c:pt>
                <c:pt idx="118">
                  <c:v>2458344.3350499999</c:v>
                </c:pt>
                <c:pt idx="119">
                  <c:v>2458344.3352899998</c:v>
                </c:pt>
                <c:pt idx="120">
                  <c:v>2458344.3355200002</c:v>
                </c:pt>
                <c:pt idx="121">
                  <c:v>2458344.3357600002</c:v>
                </c:pt>
                <c:pt idx="122">
                  <c:v>2458344.3360100002</c:v>
                </c:pt>
                <c:pt idx="123">
                  <c:v>2458344.3362400001</c:v>
                </c:pt>
                <c:pt idx="124">
                  <c:v>2458344.3364800001</c:v>
                </c:pt>
                <c:pt idx="125">
                  <c:v>2458344.3367099999</c:v>
                </c:pt>
                <c:pt idx="126">
                  <c:v>2458344.33696</c:v>
                </c:pt>
                <c:pt idx="127">
                  <c:v>2458344.3372</c:v>
                </c:pt>
                <c:pt idx="128">
                  <c:v>2458344.3374299998</c:v>
                </c:pt>
                <c:pt idx="129">
                  <c:v>2458344.3376699998</c:v>
                </c:pt>
                <c:pt idx="130">
                  <c:v>2458344.3379099998</c:v>
                </c:pt>
                <c:pt idx="131">
                  <c:v>2458344.3381500002</c:v>
                </c:pt>
                <c:pt idx="132">
                  <c:v>2458344.3383900002</c:v>
                </c:pt>
                <c:pt idx="133">
                  <c:v>2458344.3386200001</c:v>
                </c:pt>
                <c:pt idx="134">
                  <c:v>2458344.3388700001</c:v>
                </c:pt>
                <c:pt idx="135">
                  <c:v>2458344.3391</c:v>
                </c:pt>
                <c:pt idx="136">
                  <c:v>2458344.3393399999</c:v>
                </c:pt>
                <c:pt idx="137">
                  <c:v>2458344.3395799999</c:v>
                </c:pt>
                <c:pt idx="138">
                  <c:v>2458344.3398099998</c:v>
                </c:pt>
                <c:pt idx="139">
                  <c:v>2458344.3400599998</c:v>
                </c:pt>
                <c:pt idx="140">
                  <c:v>2458344.3402999998</c:v>
                </c:pt>
                <c:pt idx="141">
                  <c:v>2458344.3405300002</c:v>
                </c:pt>
                <c:pt idx="142">
                  <c:v>2458344.3407800002</c:v>
                </c:pt>
                <c:pt idx="143">
                  <c:v>2458344.3410200002</c:v>
                </c:pt>
                <c:pt idx="144">
                  <c:v>2458344.3412500001</c:v>
                </c:pt>
                <c:pt idx="145">
                  <c:v>2458344.34149</c:v>
                </c:pt>
                <c:pt idx="146">
                  <c:v>2458344.3417400001</c:v>
                </c:pt>
                <c:pt idx="147">
                  <c:v>2458344.34197</c:v>
                </c:pt>
                <c:pt idx="148">
                  <c:v>2458344.3422099999</c:v>
                </c:pt>
                <c:pt idx="149">
                  <c:v>2458344.3424399998</c:v>
                </c:pt>
                <c:pt idx="150">
                  <c:v>2458344.3426899998</c:v>
                </c:pt>
                <c:pt idx="151">
                  <c:v>2458344.3429299998</c:v>
                </c:pt>
                <c:pt idx="152">
                  <c:v>2458344.3536299998</c:v>
                </c:pt>
                <c:pt idx="153">
                  <c:v>2458344.3539499999</c:v>
                </c:pt>
                <c:pt idx="154">
                  <c:v>2458344.35427</c:v>
                </c:pt>
                <c:pt idx="155">
                  <c:v>2458344.3545900001</c:v>
                </c:pt>
                <c:pt idx="156">
                  <c:v>2458344.3549000002</c:v>
                </c:pt>
                <c:pt idx="157">
                  <c:v>2458344.3552100002</c:v>
                </c:pt>
                <c:pt idx="158">
                  <c:v>2458344.3555399999</c:v>
                </c:pt>
                <c:pt idx="159">
                  <c:v>2458344.3558499999</c:v>
                </c:pt>
                <c:pt idx="160">
                  <c:v>2458344.35732</c:v>
                </c:pt>
                <c:pt idx="161">
                  <c:v>2458344.3576400001</c:v>
                </c:pt>
                <c:pt idx="162">
                  <c:v>2458344.3579600002</c:v>
                </c:pt>
                <c:pt idx="163">
                  <c:v>2458344.3582799998</c:v>
                </c:pt>
                <c:pt idx="164">
                  <c:v>2458344.36173</c:v>
                </c:pt>
                <c:pt idx="165">
                  <c:v>2458344.3623700002</c:v>
                </c:pt>
                <c:pt idx="166">
                  <c:v>2458344.3626899999</c:v>
                </c:pt>
                <c:pt idx="167">
                  <c:v>2458344.3629999999</c:v>
                </c:pt>
                <c:pt idx="168">
                  <c:v>2458344.3642799999</c:v>
                </c:pt>
                <c:pt idx="169">
                  <c:v>2458344.3645899999</c:v>
                </c:pt>
                <c:pt idx="170">
                  <c:v>2458344.3652300001</c:v>
                </c:pt>
                <c:pt idx="171">
                  <c:v>2458344.36619</c:v>
                </c:pt>
                <c:pt idx="172">
                  <c:v>2458344.3665</c:v>
                </c:pt>
                <c:pt idx="173">
                  <c:v>2458344.3668200001</c:v>
                </c:pt>
                <c:pt idx="174">
                  <c:v>2458344.3671400002</c:v>
                </c:pt>
                <c:pt idx="175">
                  <c:v>2458344.3674599999</c:v>
                </c:pt>
                <c:pt idx="176">
                  <c:v>2458344.3677699999</c:v>
                </c:pt>
                <c:pt idx="177">
                  <c:v>2458344.3681000001</c:v>
                </c:pt>
                <c:pt idx="178">
                  <c:v>2458344.3684100001</c:v>
                </c:pt>
                <c:pt idx="179">
                  <c:v>2458344.3687300002</c:v>
                </c:pt>
                <c:pt idx="180">
                  <c:v>2458344.3690499999</c:v>
                </c:pt>
                <c:pt idx="181">
                  <c:v>2458344.36937</c:v>
                </c:pt>
                <c:pt idx="182">
                  <c:v>2458344.36968</c:v>
                </c:pt>
                <c:pt idx="183">
                  <c:v>2458344.3703200002</c:v>
                </c:pt>
                <c:pt idx="184">
                  <c:v>2458344.3706399999</c:v>
                </c:pt>
                <c:pt idx="185">
                  <c:v>2458344.3709499999</c:v>
                </c:pt>
                <c:pt idx="186">
                  <c:v>2458344.37127</c:v>
                </c:pt>
                <c:pt idx="187">
                  <c:v>2458344.3856500001</c:v>
                </c:pt>
                <c:pt idx="188">
                  <c:v>2458344.3859799998</c:v>
                </c:pt>
                <c:pt idx="189">
                  <c:v>2458344.3862999999</c:v>
                </c:pt>
                <c:pt idx="190">
                  <c:v>2458344.3866099999</c:v>
                </c:pt>
                <c:pt idx="191">
                  <c:v>2458344.3869400001</c:v>
                </c:pt>
                <c:pt idx="192">
                  <c:v>2458344.3872500001</c:v>
                </c:pt>
                <c:pt idx="193">
                  <c:v>2458344.3875600002</c:v>
                </c:pt>
                <c:pt idx="194">
                  <c:v>2458344.3878899999</c:v>
                </c:pt>
                <c:pt idx="195">
                  <c:v>2458344.3881999999</c:v>
                </c:pt>
                <c:pt idx="196">
                  <c:v>2458344.38852</c:v>
                </c:pt>
                <c:pt idx="197">
                  <c:v>2458344.3888400001</c:v>
                </c:pt>
                <c:pt idx="198">
                  <c:v>2458344.3935099998</c:v>
                </c:pt>
                <c:pt idx="199">
                  <c:v>2458344.39384</c:v>
                </c:pt>
                <c:pt idx="200">
                  <c:v>2458344.3941500001</c:v>
                </c:pt>
                <c:pt idx="201">
                  <c:v>2458344.3944700002</c:v>
                </c:pt>
                <c:pt idx="202">
                  <c:v>2458344.3947899998</c:v>
                </c:pt>
                <c:pt idx="203">
                  <c:v>2458344.3951099999</c:v>
                </c:pt>
                <c:pt idx="204">
                  <c:v>2458344.6056900001</c:v>
                </c:pt>
                <c:pt idx="205">
                  <c:v>2458345.4019499999</c:v>
                </c:pt>
                <c:pt idx="206">
                  <c:v>2458345.4035399999</c:v>
                </c:pt>
                <c:pt idx="207">
                  <c:v>2458345.4051299999</c:v>
                </c:pt>
                <c:pt idx="208">
                  <c:v>2458345.4067600002</c:v>
                </c:pt>
                <c:pt idx="209">
                  <c:v>2458345.4083500002</c:v>
                </c:pt>
                <c:pt idx="210">
                  <c:v>2458345.4099300001</c:v>
                </c:pt>
                <c:pt idx="211">
                  <c:v>2458345.4115200001</c:v>
                </c:pt>
                <c:pt idx="212">
                  <c:v>2458345.4131</c:v>
                </c:pt>
                <c:pt idx="213">
                  <c:v>2458345.41469</c:v>
                </c:pt>
                <c:pt idx="214">
                  <c:v>2458345.4162699999</c:v>
                </c:pt>
                <c:pt idx="215">
                  <c:v>2458345.4178599999</c:v>
                </c:pt>
                <c:pt idx="216">
                  <c:v>2458345.4194399999</c:v>
                </c:pt>
                <c:pt idx="217">
                  <c:v>2458345.4210299999</c:v>
                </c:pt>
                <c:pt idx="218">
                  <c:v>2458345.4226299999</c:v>
                </c:pt>
                <c:pt idx="219">
                  <c:v>2458345.4242099999</c:v>
                </c:pt>
                <c:pt idx="220">
                  <c:v>2458345.4257999999</c:v>
                </c:pt>
                <c:pt idx="221">
                  <c:v>2458345.4273700002</c:v>
                </c:pt>
                <c:pt idx="222">
                  <c:v>2458345.4289699998</c:v>
                </c:pt>
                <c:pt idx="223">
                  <c:v>2458345.4305500002</c:v>
                </c:pt>
                <c:pt idx="224">
                  <c:v>2458345.4321400002</c:v>
                </c:pt>
                <c:pt idx="225">
                  <c:v>2458345.4337300002</c:v>
                </c:pt>
                <c:pt idx="226">
                  <c:v>2458345.4353100001</c:v>
                </c:pt>
                <c:pt idx="227">
                  <c:v>2458345.4369000001</c:v>
                </c:pt>
                <c:pt idx="228">
                  <c:v>2458345.43848</c:v>
                </c:pt>
                <c:pt idx="229">
                  <c:v>2458345.44007</c:v>
                </c:pt>
                <c:pt idx="230">
                  <c:v>2458345.4416499999</c:v>
                </c:pt>
                <c:pt idx="231">
                  <c:v>2458345.4432399999</c:v>
                </c:pt>
                <c:pt idx="232">
                  <c:v>2458345.4448199999</c:v>
                </c:pt>
                <c:pt idx="233">
                  <c:v>2458345.4464099999</c:v>
                </c:pt>
                <c:pt idx="234">
                  <c:v>2458345.4479999999</c:v>
                </c:pt>
                <c:pt idx="235">
                  <c:v>2458345.4495799998</c:v>
                </c:pt>
                <c:pt idx="236">
                  <c:v>2458345.4511699998</c:v>
                </c:pt>
                <c:pt idx="237">
                  <c:v>2458345.4527500002</c:v>
                </c:pt>
                <c:pt idx="238">
                  <c:v>2458345.4543499998</c:v>
                </c:pt>
                <c:pt idx="239">
                  <c:v>2458345.4559399998</c:v>
                </c:pt>
                <c:pt idx="240">
                  <c:v>2458345.4575200002</c:v>
                </c:pt>
                <c:pt idx="241">
                  <c:v>2458345.4591100002</c:v>
                </c:pt>
                <c:pt idx="242">
                  <c:v>2458345.4606900001</c:v>
                </c:pt>
                <c:pt idx="243">
                  <c:v>2458345.4622800001</c:v>
                </c:pt>
                <c:pt idx="244">
                  <c:v>2458345.46386</c:v>
                </c:pt>
                <c:pt idx="245">
                  <c:v>2458345.46545</c:v>
                </c:pt>
                <c:pt idx="246">
                  <c:v>2458345.4670299999</c:v>
                </c:pt>
                <c:pt idx="247">
                  <c:v>2458345.4686199999</c:v>
                </c:pt>
                <c:pt idx="248">
                  <c:v>2458345.4702099999</c:v>
                </c:pt>
                <c:pt idx="249">
                  <c:v>2458345.4730600002</c:v>
                </c:pt>
                <c:pt idx="250">
                  <c:v>2458345.4746599998</c:v>
                </c:pt>
                <c:pt idx="251">
                  <c:v>2458345.4762499998</c:v>
                </c:pt>
                <c:pt idx="252">
                  <c:v>2458345.4778300002</c:v>
                </c:pt>
                <c:pt idx="253">
                  <c:v>2458345.4794200002</c:v>
                </c:pt>
                <c:pt idx="254">
                  <c:v>2458345.4810000001</c:v>
                </c:pt>
                <c:pt idx="255">
                  <c:v>2458345.4825900001</c:v>
                </c:pt>
                <c:pt idx="256">
                  <c:v>2458345.4841800001</c:v>
                </c:pt>
                <c:pt idx="257">
                  <c:v>2458345.4857600001</c:v>
                </c:pt>
                <c:pt idx="258">
                  <c:v>2458345.4873500001</c:v>
                </c:pt>
                <c:pt idx="259">
                  <c:v>2458345.48893</c:v>
                </c:pt>
                <c:pt idx="260">
                  <c:v>2458345.49052</c:v>
                </c:pt>
                <c:pt idx="261">
                  <c:v>2458345.4920999999</c:v>
                </c:pt>
                <c:pt idx="262">
                  <c:v>2458345.4936899999</c:v>
                </c:pt>
                <c:pt idx="263">
                  <c:v>2458345.4952699998</c:v>
                </c:pt>
                <c:pt idx="264">
                  <c:v>2458345.4968599998</c:v>
                </c:pt>
                <c:pt idx="265">
                  <c:v>2458345.4984599999</c:v>
                </c:pt>
                <c:pt idx="266">
                  <c:v>2458345.5000399998</c:v>
                </c:pt>
                <c:pt idx="267">
                  <c:v>2458345.5016299998</c:v>
                </c:pt>
                <c:pt idx="268">
                  <c:v>2458345.5032100002</c:v>
                </c:pt>
                <c:pt idx="269">
                  <c:v>2458345.5048000002</c:v>
                </c:pt>
                <c:pt idx="270">
                  <c:v>2458345.5063900002</c:v>
                </c:pt>
                <c:pt idx="271">
                  <c:v>2458345.5079700002</c:v>
                </c:pt>
                <c:pt idx="272">
                  <c:v>2458345.5095600002</c:v>
                </c:pt>
                <c:pt idx="273">
                  <c:v>2458345.5111500002</c:v>
                </c:pt>
                <c:pt idx="274">
                  <c:v>2458345.5127400002</c:v>
                </c:pt>
                <c:pt idx="275">
                  <c:v>2458345.5143300002</c:v>
                </c:pt>
                <c:pt idx="276">
                  <c:v>2458345.5159100001</c:v>
                </c:pt>
                <c:pt idx="277">
                  <c:v>2458345.5175000001</c:v>
                </c:pt>
                <c:pt idx="278">
                  <c:v>2458345.51908</c:v>
                </c:pt>
                <c:pt idx="279">
                  <c:v>2458345.5206800001</c:v>
                </c:pt>
                <c:pt idx="280">
                  <c:v>2458345.7259399998</c:v>
                </c:pt>
                <c:pt idx="281">
                  <c:v>2458345.72633</c:v>
                </c:pt>
                <c:pt idx="282">
                  <c:v>2458345.7267399998</c:v>
                </c:pt>
                <c:pt idx="283">
                  <c:v>2458345.72713</c:v>
                </c:pt>
                <c:pt idx="284">
                  <c:v>2458345.7275200002</c:v>
                </c:pt>
                <c:pt idx="285">
                  <c:v>2458345.7279300001</c:v>
                </c:pt>
                <c:pt idx="286">
                  <c:v>2458345.7283299998</c:v>
                </c:pt>
                <c:pt idx="287">
                  <c:v>2458345.7287300001</c:v>
                </c:pt>
                <c:pt idx="288">
                  <c:v>2458345.7291199998</c:v>
                </c:pt>
                <c:pt idx="289">
                  <c:v>2458345.7295400002</c:v>
                </c:pt>
                <c:pt idx="290">
                  <c:v>2458345.72994</c:v>
                </c:pt>
                <c:pt idx="291">
                  <c:v>2458345.7303499999</c:v>
                </c:pt>
                <c:pt idx="292">
                  <c:v>2458345.73074</c:v>
                </c:pt>
                <c:pt idx="293">
                  <c:v>2458345.7311499999</c:v>
                </c:pt>
                <c:pt idx="294">
                  <c:v>2458345.7315500001</c:v>
                </c:pt>
                <c:pt idx="295">
                  <c:v>2458345.7319399999</c:v>
                </c:pt>
                <c:pt idx="296">
                  <c:v>2458345.7323500002</c:v>
                </c:pt>
                <c:pt idx="297">
                  <c:v>2458345.73275</c:v>
                </c:pt>
                <c:pt idx="298">
                  <c:v>2458345.7331500002</c:v>
                </c:pt>
                <c:pt idx="299">
                  <c:v>2458345.73355</c:v>
                </c:pt>
                <c:pt idx="300">
                  <c:v>2458345.7339499998</c:v>
                </c:pt>
                <c:pt idx="301">
                  <c:v>2458345.73435</c:v>
                </c:pt>
                <c:pt idx="302">
                  <c:v>2458345.7347599999</c:v>
                </c:pt>
                <c:pt idx="303">
                  <c:v>2458345.7351600002</c:v>
                </c:pt>
                <c:pt idx="304">
                  <c:v>2458345.7355599999</c:v>
                </c:pt>
                <c:pt idx="305">
                  <c:v>2458345.7359600002</c:v>
                </c:pt>
                <c:pt idx="306">
                  <c:v>2458345.7363499999</c:v>
                </c:pt>
                <c:pt idx="307">
                  <c:v>2458345.7367600002</c:v>
                </c:pt>
                <c:pt idx="308">
                  <c:v>2458345.7371499999</c:v>
                </c:pt>
                <c:pt idx="309">
                  <c:v>2458345.7375599998</c:v>
                </c:pt>
                <c:pt idx="310">
                  <c:v>2458345.7733700001</c:v>
                </c:pt>
                <c:pt idx="311">
                  <c:v>2458345.7737699999</c:v>
                </c:pt>
                <c:pt idx="312">
                  <c:v>2458345.7741700001</c:v>
                </c:pt>
                <c:pt idx="313">
                  <c:v>2458345.7745699999</c:v>
                </c:pt>
                <c:pt idx="314">
                  <c:v>2458345.7749800002</c:v>
                </c:pt>
                <c:pt idx="315">
                  <c:v>2458345.77538</c:v>
                </c:pt>
                <c:pt idx="316">
                  <c:v>2458345.7757899999</c:v>
                </c:pt>
                <c:pt idx="317">
                  <c:v>2458345.77618</c:v>
                </c:pt>
                <c:pt idx="318">
                  <c:v>2458345.7765700002</c:v>
                </c:pt>
                <c:pt idx="319">
                  <c:v>2458345.7769800001</c:v>
                </c:pt>
                <c:pt idx="320">
                  <c:v>2458346.6564699998</c:v>
                </c:pt>
                <c:pt idx="321">
                  <c:v>2458346.6619000002</c:v>
                </c:pt>
                <c:pt idx="322">
                  <c:v>2458346.6673099999</c:v>
                </c:pt>
                <c:pt idx="323">
                  <c:v>2458346.6727399998</c:v>
                </c:pt>
                <c:pt idx="324">
                  <c:v>2458346.6781600001</c:v>
                </c:pt>
                <c:pt idx="325">
                  <c:v>2458346.68359</c:v>
                </c:pt>
                <c:pt idx="326">
                  <c:v>2458346.6890199999</c:v>
                </c:pt>
                <c:pt idx="327">
                  <c:v>2458346.6944300001</c:v>
                </c:pt>
                <c:pt idx="328">
                  <c:v>2458346.6998600001</c:v>
                </c:pt>
                <c:pt idx="329">
                  <c:v>2458346.7053</c:v>
                </c:pt>
                <c:pt idx="330">
                  <c:v>2458346.71074</c:v>
                </c:pt>
                <c:pt idx="331">
                  <c:v>2458346.7161599998</c:v>
                </c:pt>
                <c:pt idx="332">
                  <c:v>2458346.7216099999</c:v>
                </c:pt>
                <c:pt idx="333">
                  <c:v>2458346.7270399998</c:v>
                </c:pt>
                <c:pt idx="334">
                  <c:v>2458346.7324700002</c:v>
                </c:pt>
                <c:pt idx="335">
                  <c:v>2458346.73789</c:v>
                </c:pt>
                <c:pt idx="336">
                  <c:v>2458346.7481800001</c:v>
                </c:pt>
                <c:pt idx="337">
                  <c:v>2458346.75361</c:v>
                </c:pt>
                <c:pt idx="338">
                  <c:v>2458346.7590600001</c:v>
                </c:pt>
                <c:pt idx="339">
                  <c:v>2458346.7644799999</c:v>
                </c:pt>
                <c:pt idx="340">
                  <c:v>2458346.76993</c:v>
                </c:pt>
                <c:pt idx="341">
                  <c:v>2458346.77538</c:v>
                </c:pt>
                <c:pt idx="342">
                  <c:v>2458346.7807999998</c:v>
                </c:pt>
                <c:pt idx="343">
                  <c:v>2458346.7862399998</c:v>
                </c:pt>
                <c:pt idx="344">
                  <c:v>2458346.7916899999</c:v>
                </c:pt>
                <c:pt idx="345">
                  <c:v>2458346.7971199998</c:v>
                </c:pt>
                <c:pt idx="346">
                  <c:v>2458346.80253</c:v>
                </c:pt>
                <c:pt idx="347">
                  <c:v>2458346.8079599999</c:v>
                </c:pt>
                <c:pt idx="348">
                  <c:v>2458346.8133800002</c:v>
                </c:pt>
                <c:pt idx="349">
                  <c:v>2458346.8188100001</c:v>
                </c:pt>
                <c:pt idx="350">
                  <c:v>2458346.8276999998</c:v>
                </c:pt>
                <c:pt idx="351">
                  <c:v>2458346.8331399998</c:v>
                </c:pt>
                <c:pt idx="352">
                  <c:v>2458346.8385800002</c:v>
                </c:pt>
                <c:pt idx="353">
                  <c:v>2458346.8440200002</c:v>
                </c:pt>
                <c:pt idx="354">
                  <c:v>2458346.84944</c:v>
                </c:pt>
                <c:pt idx="355">
                  <c:v>2458346.85488</c:v>
                </c:pt>
                <c:pt idx="356">
                  <c:v>2458346.8603099999</c:v>
                </c:pt>
                <c:pt idx="357">
                  <c:v>2458346.8657399998</c:v>
                </c:pt>
                <c:pt idx="358">
                  <c:v>2458346.8711799998</c:v>
                </c:pt>
                <c:pt idx="359">
                  <c:v>2458346.8766100002</c:v>
                </c:pt>
                <c:pt idx="360">
                  <c:v>2458346.8820400001</c:v>
                </c:pt>
                <c:pt idx="361">
                  <c:v>2458347.3645799998</c:v>
                </c:pt>
                <c:pt idx="362">
                  <c:v>2458347.3736200002</c:v>
                </c:pt>
                <c:pt idx="363">
                  <c:v>2458349.5223599998</c:v>
                </c:pt>
                <c:pt idx="364">
                  <c:v>2458349.5225800001</c:v>
                </c:pt>
                <c:pt idx="365">
                  <c:v>2458350.5195399998</c:v>
                </c:pt>
                <c:pt idx="366">
                  <c:v>2458350.51975</c:v>
                </c:pt>
                <c:pt idx="367">
                  <c:v>2458351.5167399999</c:v>
                </c:pt>
                <c:pt idx="368">
                  <c:v>2458351.5169600002</c:v>
                </c:pt>
                <c:pt idx="369">
                  <c:v>2458352.4991100002</c:v>
                </c:pt>
                <c:pt idx="370">
                  <c:v>2458352.4993199999</c:v>
                </c:pt>
                <c:pt idx="371">
                  <c:v>2458353.3606500002</c:v>
                </c:pt>
                <c:pt idx="372">
                  <c:v>2458354.5084099998</c:v>
                </c:pt>
                <c:pt idx="373">
                  <c:v>2458354.5086300001</c:v>
                </c:pt>
                <c:pt idx="374">
                  <c:v>2458355.5055</c:v>
                </c:pt>
                <c:pt idx="375">
                  <c:v>2458355.5057199998</c:v>
                </c:pt>
                <c:pt idx="376">
                  <c:v>2458355.7532100002</c:v>
                </c:pt>
                <c:pt idx="377">
                  <c:v>2458356.5029500001</c:v>
                </c:pt>
                <c:pt idx="378">
                  <c:v>2458356.5031699999</c:v>
                </c:pt>
                <c:pt idx="379">
                  <c:v>2458357.4999600002</c:v>
                </c:pt>
                <c:pt idx="380">
                  <c:v>2458357.5001699999</c:v>
                </c:pt>
                <c:pt idx="381">
                  <c:v>2458358.4885499999</c:v>
                </c:pt>
                <c:pt idx="382">
                  <c:v>2458358.4887600001</c:v>
                </c:pt>
                <c:pt idx="383">
                  <c:v>2458359.3707099999</c:v>
                </c:pt>
                <c:pt idx="384">
                  <c:v>2458359.3714399999</c:v>
                </c:pt>
                <c:pt idx="385">
                  <c:v>2458359.4889799999</c:v>
                </c:pt>
                <c:pt idx="386">
                  <c:v>2458359.48918</c:v>
                </c:pt>
                <c:pt idx="387">
                  <c:v>2458360.4896499999</c:v>
                </c:pt>
                <c:pt idx="388">
                  <c:v>2458360.4898700002</c:v>
                </c:pt>
                <c:pt idx="389">
                  <c:v>2458361.4898999999</c:v>
                </c:pt>
                <c:pt idx="390">
                  <c:v>2458361.4901100001</c:v>
                </c:pt>
                <c:pt idx="391">
                  <c:v>2458362.3596800002</c:v>
                </c:pt>
                <c:pt idx="392">
                  <c:v>2458362.48979</c:v>
                </c:pt>
                <c:pt idx="393">
                  <c:v>2458362.4899900001</c:v>
                </c:pt>
                <c:pt idx="394">
                  <c:v>2458363.5060200002</c:v>
                </c:pt>
                <c:pt idx="395">
                  <c:v>2458363.50624</c:v>
                </c:pt>
                <c:pt idx="396">
                  <c:v>2458364.3155499999</c:v>
                </c:pt>
                <c:pt idx="397">
                  <c:v>2458364.31598</c:v>
                </c:pt>
                <c:pt idx="398">
                  <c:v>2458364.3163800002</c:v>
                </c:pt>
                <c:pt idx="399">
                  <c:v>2458364.3167699999</c:v>
                </c:pt>
                <c:pt idx="400">
                  <c:v>2458364.3171600001</c:v>
                </c:pt>
                <c:pt idx="401">
                  <c:v>2458364.3175599999</c:v>
                </c:pt>
                <c:pt idx="402">
                  <c:v>2458364.3179600001</c:v>
                </c:pt>
                <c:pt idx="403">
                  <c:v>2458364.31837</c:v>
                </c:pt>
                <c:pt idx="404">
                  <c:v>2458364.3188100001</c:v>
                </c:pt>
                <c:pt idx="405">
                  <c:v>2458364.3192099999</c:v>
                </c:pt>
                <c:pt idx="406">
                  <c:v>2458364.3196100001</c:v>
                </c:pt>
                <c:pt idx="407">
                  <c:v>2458364.3200599998</c:v>
                </c:pt>
                <c:pt idx="408">
                  <c:v>2458364.3204600001</c:v>
                </c:pt>
                <c:pt idx="409">
                  <c:v>2458364.3208699999</c:v>
                </c:pt>
                <c:pt idx="410">
                  <c:v>2458364.3212899999</c:v>
                </c:pt>
                <c:pt idx="411">
                  <c:v>2458364.3217000002</c:v>
                </c:pt>
                <c:pt idx="412">
                  <c:v>2458364.3221399998</c:v>
                </c:pt>
                <c:pt idx="413">
                  <c:v>2458364.3225400001</c:v>
                </c:pt>
                <c:pt idx="414">
                  <c:v>2458364.3229499999</c:v>
                </c:pt>
                <c:pt idx="415">
                  <c:v>2458364.3233599998</c:v>
                </c:pt>
                <c:pt idx="416">
                  <c:v>2458364.3237600001</c:v>
                </c:pt>
                <c:pt idx="417">
                  <c:v>2458364.3241699999</c:v>
                </c:pt>
                <c:pt idx="418">
                  <c:v>2458364.3245899999</c:v>
                </c:pt>
                <c:pt idx="419">
                  <c:v>2458364.3250000002</c:v>
                </c:pt>
                <c:pt idx="420">
                  <c:v>2458364.3254</c:v>
                </c:pt>
                <c:pt idx="421">
                  <c:v>2458364.3258400001</c:v>
                </c:pt>
                <c:pt idx="422">
                  <c:v>2458364.3262399998</c:v>
                </c:pt>
                <c:pt idx="423">
                  <c:v>2458364.3266799999</c:v>
                </c:pt>
                <c:pt idx="424">
                  <c:v>2458364.3270700001</c:v>
                </c:pt>
                <c:pt idx="425">
                  <c:v>2458364.3274599998</c:v>
                </c:pt>
                <c:pt idx="426">
                  <c:v>2458364.3278600001</c:v>
                </c:pt>
                <c:pt idx="427">
                  <c:v>2458364.3282499998</c:v>
                </c:pt>
                <c:pt idx="428">
                  <c:v>2458364.3286899999</c:v>
                </c:pt>
                <c:pt idx="429">
                  <c:v>2458364.3290800001</c:v>
                </c:pt>
                <c:pt idx="430">
                  <c:v>2458364.3294799998</c:v>
                </c:pt>
                <c:pt idx="431">
                  <c:v>2458364.3299199999</c:v>
                </c:pt>
                <c:pt idx="432">
                  <c:v>2458364.3303100001</c:v>
                </c:pt>
                <c:pt idx="433">
                  <c:v>2458364.3306999998</c:v>
                </c:pt>
                <c:pt idx="434">
                  <c:v>2458364.3311000001</c:v>
                </c:pt>
                <c:pt idx="435">
                  <c:v>2458364.3314899998</c:v>
                </c:pt>
                <c:pt idx="436">
                  <c:v>2458364.33189</c:v>
                </c:pt>
                <c:pt idx="437">
                  <c:v>2458364.3322800002</c:v>
                </c:pt>
                <c:pt idx="438">
                  <c:v>2458364.3326699999</c:v>
                </c:pt>
                <c:pt idx="439">
                  <c:v>2458364.3330700002</c:v>
                </c:pt>
                <c:pt idx="440">
                  <c:v>2458364.33347</c:v>
                </c:pt>
                <c:pt idx="441">
                  <c:v>2458364.3338600001</c:v>
                </c:pt>
                <c:pt idx="442">
                  <c:v>2458364.3342599999</c:v>
                </c:pt>
                <c:pt idx="443">
                  <c:v>2458364.3346500001</c:v>
                </c:pt>
                <c:pt idx="444">
                  <c:v>2458364.3350399998</c:v>
                </c:pt>
                <c:pt idx="445">
                  <c:v>2458364.3354400001</c:v>
                </c:pt>
                <c:pt idx="446">
                  <c:v>2458364.3358700001</c:v>
                </c:pt>
                <c:pt idx="447">
                  <c:v>2458364.3362599998</c:v>
                </c:pt>
                <c:pt idx="448">
                  <c:v>2458364.3366700001</c:v>
                </c:pt>
                <c:pt idx="449">
                  <c:v>2458364.33708</c:v>
                </c:pt>
                <c:pt idx="450">
                  <c:v>2458364.3374899998</c:v>
                </c:pt>
                <c:pt idx="451">
                  <c:v>2458364.33788</c:v>
                </c:pt>
                <c:pt idx="452">
                  <c:v>2458364.3382700002</c:v>
                </c:pt>
                <c:pt idx="453">
                  <c:v>2458364.33868</c:v>
                </c:pt>
                <c:pt idx="454">
                  <c:v>2458364.3390799998</c:v>
                </c:pt>
                <c:pt idx="455">
                  <c:v>2458364.3395099998</c:v>
                </c:pt>
                <c:pt idx="456">
                  <c:v>2458364.3399200002</c:v>
                </c:pt>
                <c:pt idx="457">
                  <c:v>2458364.34032</c:v>
                </c:pt>
                <c:pt idx="458">
                  <c:v>2458364.3407299998</c:v>
                </c:pt>
                <c:pt idx="459">
                  <c:v>2458364.34112</c:v>
                </c:pt>
                <c:pt idx="460">
                  <c:v>2458364.3415700002</c:v>
                </c:pt>
                <c:pt idx="461">
                  <c:v>2458364.3420099998</c:v>
                </c:pt>
                <c:pt idx="462">
                  <c:v>2458364.34246</c:v>
                </c:pt>
                <c:pt idx="463">
                  <c:v>2458364.3428699998</c:v>
                </c:pt>
                <c:pt idx="464">
                  <c:v>2458364.3432700001</c:v>
                </c:pt>
                <c:pt idx="465">
                  <c:v>2458364.3436799999</c:v>
                </c:pt>
                <c:pt idx="466">
                  <c:v>2458364.3440800002</c:v>
                </c:pt>
                <c:pt idx="467">
                  <c:v>2458364.34449</c:v>
                </c:pt>
                <c:pt idx="468">
                  <c:v>2458364.3448899998</c:v>
                </c:pt>
                <c:pt idx="469">
                  <c:v>2458364.3452900001</c:v>
                </c:pt>
                <c:pt idx="470">
                  <c:v>2458364.3457300002</c:v>
                </c:pt>
                <c:pt idx="471">
                  <c:v>2458364.34613</c:v>
                </c:pt>
                <c:pt idx="472">
                  <c:v>2458364.3465399998</c:v>
                </c:pt>
                <c:pt idx="473">
                  <c:v>2458364.34693</c:v>
                </c:pt>
                <c:pt idx="474">
                  <c:v>2458364.34736</c:v>
                </c:pt>
                <c:pt idx="475">
                  <c:v>2458364.3477500002</c:v>
                </c:pt>
                <c:pt idx="476">
                  <c:v>2458364.34815</c:v>
                </c:pt>
                <c:pt idx="477">
                  <c:v>2458364.3485400002</c:v>
                </c:pt>
                <c:pt idx="478">
                  <c:v>2458364.3489799998</c:v>
                </c:pt>
                <c:pt idx="479">
                  <c:v>2458364.34937</c:v>
                </c:pt>
                <c:pt idx="480">
                  <c:v>2458364.3497700002</c:v>
                </c:pt>
                <c:pt idx="481">
                  <c:v>2458364.3502000002</c:v>
                </c:pt>
                <c:pt idx="482">
                  <c:v>2458364.3505899999</c:v>
                </c:pt>
                <c:pt idx="483">
                  <c:v>2458364.3509800001</c:v>
                </c:pt>
                <c:pt idx="484">
                  <c:v>2458364.35182</c:v>
                </c:pt>
                <c:pt idx="485">
                  <c:v>2458364.35244</c:v>
                </c:pt>
                <c:pt idx="486">
                  <c:v>2458364.3530000001</c:v>
                </c:pt>
                <c:pt idx="487">
                  <c:v>2458364.3531800001</c:v>
                </c:pt>
                <c:pt idx="488">
                  <c:v>2458364.3534200001</c:v>
                </c:pt>
                <c:pt idx="489">
                  <c:v>2458364.3538199998</c:v>
                </c:pt>
                <c:pt idx="490">
                  <c:v>2458364.35421</c:v>
                </c:pt>
                <c:pt idx="491">
                  <c:v>2458364.3546099998</c:v>
                </c:pt>
                <c:pt idx="492">
                  <c:v>2458364.3550300002</c:v>
                </c:pt>
                <c:pt idx="493">
                  <c:v>2458364.3558200002</c:v>
                </c:pt>
                <c:pt idx="494">
                  <c:v>2458364.35623</c:v>
                </c:pt>
                <c:pt idx="495">
                  <c:v>2458364.35665</c:v>
                </c:pt>
                <c:pt idx="496">
                  <c:v>2458364.3570500002</c:v>
                </c:pt>
                <c:pt idx="497">
                  <c:v>2458364.3574399999</c:v>
                </c:pt>
                <c:pt idx="498">
                  <c:v>2458364.3578300001</c:v>
                </c:pt>
                <c:pt idx="499">
                  <c:v>2458364.3582600001</c:v>
                </c:pt>
                <c:pt idx="500">
                  <c:v>2458364.3586599999</c:v>
                </c:pt>
                <c:pt idx="501">
                  <c:v>2458364.3590500001</c:v>
                </c:pt>
                <c:pt idx="502">
                  <c:v>2458364.3594399998</c:v>
                </c:pt>
                <c:pt idx="503">
                  <c:v>2458364.35984</c:v>
                </c:pt>
                <c:pt idx="504">
                  <c:v>2458364.3602300002</c:v>
                </c:pt>
                <c:pt idx="505">
                  <c:v>2458364.3606400001</c:v>
                </c:pt>
                <c:pt idx="506">
                  <c:v>2458364.3610299998</c:v>
                </c:pt>
                <c:pt idx="507">
                  <c:v>2458364.36142</c:v>
                </c:pt>
                <c:pt idx="508">
                  <c:v>2458364.3618299998</c:v>
                </c:pt>
                <c:pt idx="509">
                  <c:v>2458364.3622300001</c:v>
                </c:pt>
                <c:pt idx="510">
                  <c:v>2458364.3626299999</c:v>
                </c:pt>
                <c:pt idx="511">
                  <c:v>2458364.3630300001</c:v>
                </c:pt>
                <c:pt idx="512">
                  <c:v>2458364.36344</c:v>
                </c:pt>
                <c:pt idx="513">
                  <c:v>2458364.3638399998</c:v>
                </c:pt>
                <c:pt idx="514">
                  <c:v>2458364.3642500001</c:v>
                </c:pt>
                <c:pt idx="515">
                  <c:v>2458364.3646399998</c:v>
                </c:pt>
                <c:pt idx="516">
                  <c:v>2458364.3650400001</c:v>
                </c:pt>
                <c:pt idx="517">
                  <c:v>2458364.3654499999</c:v>
                </c:pt>
                <c:pt idx="518">
                  <c:v>2458364.3658599998</c:v>
                </c:pt>
                <c:pt idx="519">
                  <c:v>2458364.36626</c:v>
                </c:pt>
                <c:pt idx="520">
                  <c:v>2458364.3666699999</c:v>
                </c:pt>
                <c:pt idx="521">
                  <c:v>2458364.3670700002</c:v>
                </c:pt>
                <c:pt idx="522">
                  <c:v>2458364.3675000002</c:v>
                </c:pt>
                <c:pt idx="523">
                  <c:v>2458364.3679</c:v>
                </c:pt>
                <c:pt idx="524">
                  <c:v>2458364.3683099998</c:v>
                </c:pt>
                <c:pt idx="525">
                  <c:v>2458364.3687100001</c:v>
                </c:pt>
                <c:pt idx="526">
                  <c:v>2458364.3691199999</c:v>
                </c:pt>
                <c:pt idx="527">
                  <c:v>2458364.3695200002</c:v>
                </c:pt>
                <c:pt idx="528">
                  <c:v>2458364.36993</c:v>
                </c:pt>
                <c:pt idx="529">
                  <c:v>2458364.3703299998</c:v>
                </c:pt>
                <c:pt idx="530">
                  <c:v>2458364.3707300001</c:v>
                </c:pt>
                <c:pt idx="531">
                  <c:v>2458364.3711700002</c:v>
                </c:pt>
                <c:pt idx="532">
                  <c:v>2458364.37157</c:v>
                </c:pt>
                <c:pt idx="533">
                  <c:v>2458364.3719799998</c:v>
                </c:pt>
                <c:pt idx="534">
                  <c:v>2458364.3723800001</c:v>
                </c:pt>
                <c:pt idx="535">
                  <c:v>2458364.3727899999</c:v>
                </c:pt>
                <c:pt idx="536">
                  <c:v>2458364.3731800001</c:v>
                </c:pt>
                <c:pt idx="537">
                  <c:v>2458364.3735699998</c:v>
                </c:pt>
                <c:pt idx="538">
                  <c:v>2458364.3739700001</c:v>
                </c:pt>
                <c:pt idx="539">
                  <c:v>2458364.3744000001</c:v>
                </c:pt>
                <c:pt idx="540">
                  <c:v>2458364.3747899998</c:v>
                </c:pt>
                <c:pt idx="541">
                  <c:v>2458364.3752100002</c:v>
                </c:pt>
                <c:pt idx="542">
                  <c:v>2458364.3755999999</c:v>
                </c:pt>
                <c:pt idx="543">
                  <c:v>2458364.3760099998</c:v>
                </c:pt>
                <c:pt idx="544">
                  <c:v>2458364.37641</c:v>
                </c:pt>
                <c:pt idx="545">
                  <c:v>2458364.3768199999</c:v>
                </c:pt>
                <c:pt idx="546">
                  <c:v>2458364.3772100001</c:v>
                </c:pt>
                <c:pt idx="547">
                  <c:v>2458364.3776099999</c:v>
                </c:pt>
                <c:pt idx="548">
                  <c:v>2458364.3780200002</c:v>
                </c:pt>
                <c:pt idx="549">
                  <c:v>2458364.3784599998</c:v>
                </c:pt>
                <c:pt idx="550">
                  <c:v>2458364.3788600001</c:v>
                </c:pt>
                <c:pt idx="551">
                  <c:v>2458364.3792599998</c:v>
                </c:pt>
                <c:pt idx="552">
                  <c:v>2458364.3796600001</c:v>
                </c:pt>
                <c:pt idx="553">
                  <c:v>2458364.38051</c:v>
                </c:pt>
                <c:pt idx="554">
                  <c:v>2458364.3809099998</c:v>
                </c:pt>
                <c:pt idx="555">
                  <c:v>2458364.3813200002</c:v>
                </c:pt>
                <c:pt idx="556">
                  <c:v>2458364.3817099999</c:v>
                </c:pt>
                <c:pt idx="557">
                  <c:v>2458364.3821200002</c:v>
                </c:pt>
                <c:pt idx="558">
                  <c:v>2458364.38252</c:v>
                </c:pt>
                <c:pt idx="559">
                  <c:v>2458364.3829299998</c:v>
                </c:pt>
                <c:pt idx="560">
                  <c:v>2458364.3833599999</c:v>
                </c:pt>
                <c:pt idx="561">
                  <c:v>2458364.3837600001</c:v>
                </c:pt>
                <c:pt idx="562">
                  <c:v>2458364.3841499998</c:v>
                </c:pt>
                <c:pt idx="563">
                  <c:v>2458364.3845500001</c:v>
                </c:pt>
                <c:pt idx="564">
                  <c:v>2458364.3849399998</c:v>
                </c:pt>
                <c:pt idx="565">
                  <c:v>2458364.38533</c:v>
                </c:pt>
                <c:pt idx="566">
                  <c:v>2458364.3857300002</c:v>
                </c:pt>
                <c:pt idx="567">
                  <c:v>2458364.3861199999</c:v>
                </c:pt>
                <c:pt idx="568">
                  <c:v>2458364.3865499999</c:v>
                </c:pt>
                <c:pt idx="569">
                  <c:v>2458364.3869400001</c:v>
                </c:pt>
                <c:pt idx="570">
                  <c:v>2458364.3873399999</c:v>
                </c:pt>
                <c:pt idx="571">
                  <c:v>2458364.3877300001</c:v>
                </c:pt>
                <c:pt idx="572">
                  <c:v>2458364.3881600001</c:v>
                </c:pt>
                <c:pt idx="573">
                  <c:v>2458364.3885499998</c:v>
                </c:pt>
                <c:pt idx="574">
                  <c:v>2458364.3889500001</c:v>
                </c:pt>
                <c:pt idx="575">
                  <c:v>2458364.3893400002</c:v>
                </c:pt>
                <c:pt idx="576">
                  <c:v>2458364.38974</c:v>
                </c:pt>
                <c:pt idx="577">
                  <c:v>2458364.3901399998</c:v>
                </c:pt>
                <c:pt idx="578">
                  <c:v>2458364.39053</c:v>
                </c:pt>
                <c:pt idx="579">
                  <c:v>2458364.3909200002</c:v>
                </c:pt>
                <c:pt idx="580">
                  <c:v>2458364.3913199999</c:v>
                </c:pt>
                <c:pt idx="581">
                  <c:v>2458364.3917100001</c:v>
                </c:pt>
                <c:pt idx="582">
                  <c:v>2458364.3921400001</c:v>
                </c:pt>
                <c:pt idx="583">
                  <c:v>2458364.3925299998</c:v>
                </c:pt>
                <c:pt idx="584">
                  <c:v>2458364.3929300001</c:v>
                </c:pt>
                <c:pt idx="585">
                  <c:v>2458364.3933299999</c:v>
                </c:pt>
                <c:pt idx="586">
                  <c:v>2458364.3937300001</c:v>
                </c:pt>
                <c:pt idx="587">
                  <c:v>2458364.3941199998</c:v>
                </c:pt>
                <c:pt idx="588">
                  <c:v>2458364.39451</c:v>
                </c:pt>
                <c:pt idx="589">
                  <c:v>2458364.3949099998</c:v>
                </c:pt>
                <c:pt idx="590">
                  <c:v>2458364.3953</c:v>
                </c:pt>
                <c:pt idx="591">
                  <c:v>2458364.39573</c:v>
                </c:pt>
                <c:pt idx="592">
                  <c:v>2458364.3961200002</c:v>
                </c:pt>
                <c:pt idx="593">
                  <c:v>2458364.3965099999</c:v>
                </c:pt>
                <c:pt idx="594">
                  <c:v>2458364.3969100001</c:v>
                </c:pt>
                <c:pt idx="595">
                  <c:v>2458364.3972999998</c:v>
                </c:pt>
                <c:pt idx="596">
                  <c:v>2458364.3977000001</c:v>
                </c:pt>
                <c:pt idx="597">
                  <c:v>2458364.3980999999</c:v>
                </c:pt>
                <c:pt idx="598">
                  <c:v>2458364.3984900001</c:v>
                </c:pt>
                <c:pt idx="599">
                  <c:v>2458364.3988999999</c:v>
                </c:pt>
                <c:pt idx="600">
                  <c:v>2458364.3993299999</c:v>
                </c:pt>
                <c:pt idx="601">
                  <c:v>2458364.3997300002</c:v>
                </c:pt>
                <c:pt idx="602">
                  <c:v>2458364.40013</c:v>
                </c:pt>
                <c:pt idx="603">
                  <c:v>2458364.4005200001</c:v>
                </c:pt>
                <c:pt idx="604">
                  <c:v>2458364.4009099999</c:v>
                </c:pt>
                <c:pt idx="605">
                  <c:v>2458364.4013</c:v>
                </c:pt>
                <c:pt idx="606">
                  <c:v>2458364.4016900002</c:v>
                </c:pt>
                <c:pt idx="607">
                  <c:v>2458364.4020799999</c:v>
                </c:pt>
                <c:pt idx="608">
                  <c:v>2458364.4024800002</c:v>
                </c:pt>
                <c:pt idx="609">
                  <c:v>2458364.40288</c:v>
                </c:pt>
                <c:pt idx="610">
                  <c:v>2458364.40331</c:v>
                </c:pt>
                <c:pt idx="611">
                  <c:v>2458364.4037000001</c:v>
                </c:pt>
                <c:pt idx="612">
                  <c:v>2458364.4040999999</c:v>
                </c:pt>
                <c:pt idx="613">
                  <c:v>2458364.4044900001</c:v>
                </c:pt>
                <c:pt idx="614">
                  <c:v>2458364.4048799998</c:v>
                </c:pt>
                <c:pt idx="615">
                  <c:v>2458364.4052800001</c:v>
                </c:pt>
                <c:pt idx="616">
                  <c:v>2458364.4057100001</c:v>
                </c:pt>
                <c:pt idx="617">
                  <c:v>2458364.4060999998</c:v>
                </c:pt>
                <c:pt idx="618">
                  <c:v>2458364.40649</c:v>
                </c:pt>
                <c:pt idx="619">
                  <c:v>2458364.4069300001</c:v>
                </c:pt>
                <c:pt idx="620">
                  <c:v>2458364.4073299998</c:v>
                </c:pt>
                <c:pt idx="621">
                  <c:v>2458364.4077499998</c:v>
                </c:pt>
                <c:pt idx="622">
                  <c:v>2458364.4081799998</c:v>
                </c:pt>
                <c:pt idx="623">
                  <c:v>2458364.40858</c:v>
                </c:pt>
                <c:pt idx="624">
                  <c:v>2458364.4089799998</c:v>
                </c:pt>
                <c:pt idx="625">
                  <c:v>2458364.4093999998</c:v>
                </c:pt>
                <c:pt idx="626">
                  <c:v>2458364.4097899999</c:v>
                </c:pt>
                <c:pt idx="627">
                  <c:v>2458364.41022</c:v>
                </c:pt>
                <c:pt idx="628">
                  <c:v>2458364.41065</c:v>
                </c:pt>
                <c:pt idx="629">
                  <c:v>2458364.4110400002</c:v>
                </c:pt>
                <c:pt idx="630">
                  <c:v>2458364.4114399999</c:v>
                </c:pt>
                <c:pt idx="631">
                  <c:v>2458364.4118400002</c:v>
                </c:pt>
                <c:pt idx="632">
                  <c:v>2458364.4122299999</c:v>
                </c:pt>
                <c:pt idx="633">
                  <c:v>2458364.4126499998</c:v>
                </c:pt>
                <c:pt idx="634">
                  <c:v>2458364.4130600002</c:v>
                </c:pt>
                <c:pt idx="635">
                  <c:v>2458364.4134499999</c:v>
                </c:pt>
                <c:pt idx="636">
                  <c:v>2458364.4138799999</c:v>
                </c:pt>
                <c:pt idx="637">
                  <c:v>2458364.4142700001</c:v>
                </c:pt>
                <c:pt idx="638">
                  <c:v>2458364.4147000001</c:v>
                </c:pt>
                <c:pt idx="639">
                  <c:v>2458364.4150899998</c:v>
                </c:pt>
                <c:pt idx="640">
                  <c:v>2458364.41549</c:v>
                </c:pt>
                <c:pt idx="641">
                  <c:v>2458364.4158899998</c:v>
                </c:pt>
                <c:pt idx="642">
                  <c:v>2458364.41628</c:v>
                </c:pt>
                <c:pt idx="643">
                  <c:v>2458364.4183100001</c:v>
                </c:pt>
                <c:pt idx="644">
                  <c:v>2458364.4186999998</c:v>
                </c:pt>
                <c:pt idx="645">
                  <c:v>2458364.4901800002</c:v>
                </c:pt>
                <c:pt idx="646">
                  <c:v>2458364.4904</c:v>
                </c:pt>
                <c:pt idx="647">
                  <c:v>2458365.4907300002</c:v>
                </c:pt>
                <c:pt idx="648">
                  <c:v>2458365.49095</c:v>
                </c:pt>
                <c:pt idx="649">
                  <c:v>2458366.3880400001</c:v>
                </c:pt>
                <c:pt idx="650">
                  <c:v>2458366.4938400001</c:v>
                </c:pt>
                <c:pt idx="651">
                  <c:v>2458366.4940499999</c:v>
                </c:pt>
                <c:pt idx="652">
                  <c:v>2458367.4917000001</c:v>
                </c:pt>
                <c:pt idx="653">
                  <c:v>2458367.4918999998</c:v>
                </c:pt>
                <c:pt idx="654">
                  <c:v>2458367.5932300002</c:v>
                </c:pt>
                <c:pt idx="655">
                  <c:v>2458367.59552</c:v>
                </c:pt>
                <c:pt idx="656">
                  <c:v>2458367.5978199998</c:v>
                </c:pt>
                <c:pt idx="657">
                  <c:v>2458367.6001200001</c:v>
                </c:pt>
                <c:pt idx="658">
                  <c:v>2458367.6024099998</c:v>
                </c:pt>
                <c:pt idx="659">
                  <c:v>2458367.6047</c:v>
                </c:pt>
                <c:pt idx="660">
                  <c:v>2458367.6069999998</c:v>
                </c:pt>
                <c:pt idx="661">
                  <c:v>2458367.6092900001</c:v>
                </c:pt>
                <c:pt idx="662">
                  <c:v>2458367.6115999999</c:v>
                </c:pt>
                <c:pt idx="663">
                  <c:v>2458367.6138900002</c:v>
                </c:pt>
                <c:pt idx="664">
                  <c:v>2458367.6161799999</c:v>
                </c:pt>
                <c:pt idx="665">
                  <c:v>2458367.6184700001</c:v>
                </c:pt>
                <c:pt idx="666">
                  <c:v>2458367.6209</c:v>
                </c:pt>
                <c:pt idx="667">
                  <c:v>2458367.6231900002</c:v>
                </c:pt>
                <c:pt idx="668">
                  <c:v>2458367.6255000001</c:v>
                </c:pt>
                <c:pt idx="669">
                  <c:v>2458367.6277899998</c:v>
                </c:pt>
                <c:pt idx="670">
                  <c:v>2458367.63008</c:v>
                </c:pt>
                <c:pt idx="671">
                  <c:v>2458367.6323799998</c:v>
                </c:pt>
                <c:pt idx="672">
                  <c:v>2458367.6346800001</c:v>
                </c:pt>
                <c:pt idx="673">
                  <c:v>2458367.63698</c:v>
                </c:pt>
                <c:pt idx="674">
                  <c:v>2458367.6392700002</c:v>
                </c:pt>
                <c:pt idx="675">
                  <c:v>2458367.6415599999</c:v>
                </c:pt>
                <c:pt idx="676">
                  <c:v>2458367.6438699998</c:v>
                </c:pt>
                <c:pt idx="677">
                  <c:v>2458367.64616</c:v>
                </c:pt>
                <c:pt idx="678">
                  <c:v>2458367.6484500002</c:v>
                </c:pt>
                <c:pt idx="679">
                  <c:v>2458367.65075</c:v>
                </c:pt>
                <c:pt idx="680">
                  <c:v>2458368.4934299998</c:v>
                </c:pt>
                <c:pt idx="681">
                  <c:v>2458368.49364</c:v>
                </c:pt>
                <c:pt idx="682">
                  <c:v>2458368.5691200001</c:v>
                </c:pt>
                <c:pt idx="683">
                  <c:v>2458369.31586</c:v>
                </c:pt>
                <c:pt idx="684">
                  <c:v>2458369.3161800001</c:v>
                </c:pt>
                <c:pt idx="685">
                  <c:v>2458369.4948999998</c:v>
                </c:pt>
                <c:pt idx="686">
                  <c:v>2458369.49511</c:v>
                </c:pt>
                <c:pt idx="687">
                  <c:v>2458370.3423600001</c:v>
                </c:pt>
                <c:pt idx="688">
                  <c:v>2458370.5057000001</c:v>
                </c:pt>
                <c:pt idx="689">
                  <c:v>2458370.5059099998</c:v>
                </c:pt>
                <c:pt idx="690">
                  <c:v>2458371.4945800002</c:v>
                </c:pt>
                <c:pt idx="691">
                  <c:v>2458371.4948</c:v>
                </c:pt>
                <c:pt idx="692">
                  <c:v>2458372.4944000002</c:v>
                </c:pt>
                <c:pt idx="693">
                  <c:v>2458372.49462</c:v>
                </c:pt>
                <c:pt idx="694">
                  <c:v>2458373.4962300002</c:v>
                </c:pt>
                <c:pt idx="695">
                  <c:v>2458373.49645</c:v>
                </c:pt>
                <c:pt idx="696">
                  <c:v>2458374.4963600002</c:v>
                </c:pt>
                <c:pt idx="697">
                  <c:v>2458374.49658</c:v>
                </c:pt>
                <c:pt idx="698">
                  <c:v>2458375.3075600001</c:v>
                </c:pt>
                <c:pt idx="699">
                  <c:v>2458375.3075600001</c:v>
                </c:pt>
                <c:pt idx="700">
                  <c:v>2458375.3078700001</c:v>
                </c:pt>
                <c:pt idx="701">
                  <c:v>2458375.3078700001</c:v>
                </c:pt>
                <c:pt idx="702">
                  <c:v>2458375.4983600001</c:v>
                </c:pt>
                <c:pt idx="703">
                  <c:v>2458375.4985699998</c:v>
                </c:pt>
                <c:pt idx="704">
                  <c:v>2458376.3046400002</c:v>
                </c:pt>
                <c:pt idx="705">
                  <c:v>2458376.3049499998</c:v>
                </c:pt>
                <c:pt idx="706">
                  <c:v>2458378.301</c:v>
                </c:pt>
                <c:pt idx="707">
                  <c:v>2458378.3013300002</c:v>
                </c:pt>
                <c:pt idx="708">
                  <c:v>2458379.3897799999</c:v>
                </c:pt>
                <c:pt idx="709">
                  <c:v>2458380.5132599999</c:v>
                </c:pt>
                <c:pt idx="710">
                  <c:v>2458380.5134700001</c:v>
                </c:pt>
                <c:pt idx="711">
                  <c:v>2458381.3846900002</c:v>
                </c:pt>
                <c:pt idx="712">
                  <c:v>2458381.4966000002</c:v>
                </c:pt>
                <c:pt idx="713">
                  <c:v>2458381.49682</c:v>
                </c:pt>
                <c:pt idx="714">
                  <c:v>2458382.3648100002</c:v>
                </c:pt>
                <c:pt idx="715">
                  <c:v>2458382.4913699999</c:v>
                </c:pt>
                <c:pt idx="716">
                  <c:v>2458382.4915800001</c:v>
                </c:pt>
                <c:pt idx="717">
                  <c:v>2458383.3724099998</c:v>
                </c:pt>
                <c:pt idx="718">
                  <c:v>2458383.3727199999</c:v>
                </c:pt>
                <c:pt idx="719">
                  <c:v>2458383.4951999998</c:v>
                </c:pt>
                <c:pt idx="720">
                  <c:v>2458383.4954200001</c:v>
                </c:pt>
                <c:pt idx="721">
                  <c:v>2458384.4955799999</c:v>
                </c:pt>
                <c:pt idx="722">
                  <c:v>2458384.4957900001</c:v>
                </c:pt>
                <c:pt idx="723">
                  <c:v>2458385.3724099998</c:v>
                </c:pt>
                <c:pt idx="724">
                  <c:v>2458385.37335</c:v>
                </c:pt>
                <c:pt idx="725">
                  <c:v>2458385.49547</c:v>
                </c:pt>
                <c:pt idx="726">
                  <c:v>2458385.4956800002</c:v>
                </c:pt>
                <c:pt idx="727">
                  <c:v>2458386.2860500002</c:v>
                </c:pt>
                <c:pt idx="728">
                  <c:v>2458386.2863699999</c:v>
                </c:pt>
                <c:pt idx="729">
                  <c:v>2458386.5143300002</c:v>
                </c:pt>
                <c:pt idx="730">
                  <c:v>2458386.5145399999</c:v>
                </c:pt>
                <c:pt idx="731">
                  <c:v>2458387.5057600001</c:v>
                </c:pt>
                <c:pt idx="732">
                  <c:v>2458387.5059699998</c:v>
                </c:pt>
                <c:pt idx="733">
                  <c:v>2458388.2853399999</c:v>
                </c:pt>
                <c:pt idx="734">
                  <c:v>2458388.28565</c:v>
                </c:pt>
                <c:pt idx="735">
                  <c:v>2458388.3413300002</c:v>
                </c:pt>
                <c:pt idx="736">
                  <c:v>2458388.3536700001</c:v>
                </c:pt>
                <c:pt idx="737">
                  <c:v>2458388.51388</c:v>
                </c:pt>
                <c:pt idx="738">
                  <c:v>2458388.5140900002</c:v>
                </c:pt>
                <c:pt idx="739">
                  <c:v>2458389.2865900001</c:v>
                </c:pt>
                <c:pt idx="740">
                  <c:v>2458389.2869000002</c:v>
                </c:pt>
                <c:pt idx="741">
                  <c:v>2458389.3335600002</c:v>
                </c:pt>
                <c:pt idx="742">
                  <c:v>2458389.51443</c:v>
                </c:pt>
                <c:pt idx="743">
                  <c:v>2458389.5146400002</c:v>
                </c:pt>
                <c:pt idx="744">
                  <c:v>2458389.6833700002</c:v>
                </c:pt>
                <c:pt idx="745">
                  <c:v>2458390.3020799998</c:v>
                </c:pt>
                <c:pt idx="746">
                  <c:v>2458390.3023999999</c:v>
                </c:pt>
                <c:pt idx="747">
                  <c:v>2458390.3675799998</c:v>
                </c:pt>
                <c:pt idx="748">
                  <c:v>2458390.5189399999</c:v>
                </c:pt>
                <c:pt idx="749">
                  <c:v>2458390.5191500001</c:v>
                </c:pt>
                <c:pt idx="750">
                  <c:v>2458392.5086099999</c:v>
                </c:pt>
                <c:pt idx="751">
                  <c:v>2458392.50881</c:v>
                </c:pt>
                <c:pt idx="752">
                  <c:v>2458393.5122400001</c:v>
                </c:pt>
                <c:pt idx="753">
                  <c:v>2458393.5124499998</c:v>
                </c:pt>
                <c:pt idx="754">
                  <c:v>2458394.3505199999</c:v>
                </c:pt>
                <c:pt idx="755">
                  <c:v>2458394.5167999999</c:v>
                </c:pt>
                <c:pt idx="756">
                  <c:v>2458394.5170100001</c:v>
                </c:pt>
                <c:pt idx="757">
                  <c:v>2458395.3368199999</c:v>
                </c:pt>
                <c:pt idx="758">
                  <c:v>2458395.5095299999</c:v>
                </c:pt>
                <c:pt idx="759">
                  <c:v>2458395.5097400001</c:v>
                </c:pt>
                <c:pt idx="760">
                  <c:v>2458395.62659</c:v>
                </c:pt>
                <c:pt idx="761">
                  <c:v>2458396.41298</c:v>
                </c:pt>
                <c:pt idx="762">
                  <c:v>2458396.5133400001</c:v>
                </c:pt>
                <c:pt idx="763">
                  <c:v>2458396.5135599999</c:v>
                </c:pt>
                <c:pt idx="764">
                  <c:v>2458397.5133400001</c:v>
                </c:pt>
                <c:pt idx="765">
                  <c:v>2458397.5135499998</c:v>
                </c:pt>
                <c:pt idx="766">
                  <c:v>2458398.2902799998</c:v>
                </c:pt>
                <c:pt idx="767">
                  <c:v>2458400.5726299998</c:v>
                </c:pt>
                <c:pt idx="768">
                  <c:v>2458400.57284</c:v>
                </c:pt>
                <c:pt idx="769">
                  <c:v>2458401.27183</c:v>
                </c:pt>
                <c:pt idx="770">
                  <c:v>2458401.2721500001</c:v>
                </c:pt>
                <c:pt idx="771">
                  <c:v>2458401.5538699999</c:v>
                </c:pt>
                <c:pt idx="772">
                  <c:v>2458401.5540800001</c:v>
                </c:pt>
                <c:pt idx="773">
                  <c:v>2458402.2620600001</c:v>
                </c:pt>
                <c:pt idx="774">
                  <c:v>2458402.2623700001</c:v>
                </c:pt>
                <c:pt idx="775">
                  <c:v>2458402.5707999999</c:v>
                </c:pt>
                <c:pt idx="776">
                  <c:v>2458402.5710200001</c:v>
                </c:pt>
                <c:pt idx="777">
                  <c:v>2458403.5682000001</c:v>
                </c:pt>
                <c:pt idx="778">
                  <c:v>2458403.5684099998</c:v>
                </c:pt>
                <c:pt idx="779">
                  <c:v>2458404.34516</c:v>
                </c:pt>
                <c:pt idx="780">
                  <c:v>2458404.3454999998</c:v>
                </c:pt>
                <c:pt idx="781">
                  <c:v>2458404.5653300001</c:v>
                </c:pt>
                <c:pt idx="782">
                  <c:v>2458404.5655399999</c:v>
                </c:pt>
                <c:pt idx="783">
                  <c:v>2458405.5625399998</c:v>
                </c:pt>
                <c:pt idx="784">
                  <c:v>2458405.56275</c:v>
                </c:pt>
                <c:pt idx="785">
                  <c:v>2458406.2601299998</c:v>
                </c:pt>
                <c:pt idx="786">
                  <c:v>2458406.2604399999</c:v>
                </c:pt>
                <c:pt idx="787">
                  <c:v>2458406.5597999999</c:v>
                </c:pt>
                <c:pt idx="788">
                  <c:v>2458406.5600100001</c:v>
                </c:pt>
                <c:pt idx="789">
                  <c:v>2458407.29575</c:v>
                </c:pt>
                <c:pt idx="790">
                  <c:v>2458407.2960600001</c:v>
                </c:pt>
                <c:pt idx="791">
                  <c:v>2458407.5570200002</c:v>
                </c:pt>
                <c:pt idx="792">
                  <c:v>2458407.5572299999</c:v>
                </c:pt>
                <c:pt idx="793">
                  <c:v>2458408.5541500002</c:v>
                </c:pt>
                <c:pt idx="794">
                  <c:v>2458408.55437</c:v>
                </c:pt>
                <c:pt idx="795">
                  <c:v>2458409.2542400002</c:v>
                </c:pt>
                <c:pt idx="796">
                  <c:v>2458409.2545500002</c:v>
                </c:pt>
                <c:pt idx="797">
                  <c:v>2458409.5513800001</c:v>
                </c:pt>
                <c:pt idx="798">
                  <c:v>2458409.5515899998</c:v>
                </c:pt>
                <c:pt idx="799">
                  <c:v>2458410.5486499998</c:v>
                </c:pt>
                <c:pt idx="800">
                  <c:v>2458410.54886</c:v>
                </c:pt>
                <c:pt idx="801">
                  <c:v>2458411.3205300001</c:v>
                </c:pt>
                <c:pt idx="802">
                  <c:v>2458411.3208400002</c:v>
                </c:pt>
                <c:pt idx="803">
                  <c:v>2458411.5458200001</c:v>
                </c:pt>
                <c:pt idx="804">
                  <c:v>2458411.5460199998</c:v>
                </c:pt>
                <c:pt idx="805">
                  <c:v>2458413.5409200001</c:v>
                </c:pt>
                <c:pt idx="806">
                  <c:v>2458413.5411399999</c:v>
                </c:pt>
                <c:pt idx="807">
                  <c:v>2458414.5381700001</c:v>
                </c:pt>
                <c:pt idx="808">
                  <c:v>2458414.5383700002</c:v>
                </c:pt>
                <c:pt idx="809">
                  <c:v>2458415.2420299998</c:v>
                </c:pt>
                <c:pt idx="810">
                  <c:v>2458415.2423399999</c:v>
                </c:pt>
                <c:pt idx="811">
                  <c:v>2458415.53541</c:v>
                </c:pt>
                <c:pt idx="812">
                  <c:v>2458415.5356299998</c:v>
                </c:pt>
                <c:pt idx="813">
                  <c:v>2458416.5326</c:v>
                </c:pt>
                <c:pt idx="814">
                  <c:v>2458416.5328199998</c:v>
                </c:pt>
                <c:pt idx="815">
                  <c:v>2458417.5334100001</c:v>
                </c:pt>
                <c:pt idx="816">
                  <c:v>2458417.53363</c:v>
                </c:pt>
                <c:pt idx="817">
                  <c:v>2458418.52795</c:v>
                </c:pt>
                <c:pt idx="818">
                  <c:v>2458418.5281699998</c:v>
                </c:pt>
                <c:pt idx="819">
                  <c:v>2458419.52788</c:v>
                </c:pt>
                <c:pt idx="820">
                  <c:v>2458419.5280800001</c:v>
                </c:pt>
                <c:pt idx="821">
                  <c:v>2458420.2450999999</c:v>
                </c:pt>
                <c:pt idx="822">
                  <c:v>2458420.2454200001</c:v>
                </c:pt>
                <c:pt idx="823">
                  <c:v>2458420.5251799999</c:v>
                </c:pt>
                <c:pt idx="824">
                  <c:v>2458420.5253900001</c:v>
                </c:pt>
                <c:pt idx="825">
                  <c:v>2458420.6235400001</c:v>
                </c:pt>
                <c:pt idx="826">
                  <c:v>2458421.5222700001</c:v>
                </c:pt>
                <c:pt idx="827">
                  <c:v>2458421.5224899999</c:v>
                </c:pt>
                <c:pt idx="828">
                  <c:v>2458422.5196099998</c:v>
                </c:pt>
                <c:pt idx="829">
                  <c:v>2458422.51982</c:v>
                </c:pt>
                <c:pt idx="830">
                  <c:v>2458423.21667</c:v>
                </c:pt>
                <c:pt idx="831">
                  <c:v>2458423.5200499999</c:v>
                </c:pt>
                <c:pt idx="832">
                  <c:v>2458423.5202700002</c:v>
                </c:pt>
                <c:pt idx="833">
                  <c:v>2458424.5139899999</c:v>
                </c:pt>
                <c:pt idx="834">
                  <c:v>2458424.5142000001</c:v>
                </c:pt>
                <c:pt idx="835">
                  <c:v>2458425.4286699998</c:v>
                </c:pt>
                <c:pt idx="836">
                  <c:v>2458425.4289899999</c:v>
                </c:pt>
                <c:pt idx="837">
                  <c:v>2458425.51144</c:v>
                </c:pt>
                <c:pt idx="838">
                  <c:v>2458425.5116599998</c:v>
                </c:pt>
                <c:pt idx="839">
                  <c:v>2458425.6217</c:v>
                </c:pt>
                <c:pt idx="840">
                  <c:v>2458427.5127099999</c:v>
                </c:pt>
                <c:pt idx="841">
                  <c:v>2458427.5129300002</c:v>
                </c:pt>
                <c:pt idx="842">
                  <c:v>2458428.2588900002</c:v>
                </c:pt>
                <c:pt idx="843">
                  <c:v>2458428.2592099998</c:v>
                </c:pt>
                <c:pt idx="844">
                  <c:v>2458428.5131399999</c:v>
                </c:pt>
                <c:pt idx="845">
                  <c:v>2458428.5133500001</c:v>
                </c:pt>
                <c:pt idx="846">
                  <c:v>2458429.5136099998</c:v>
                </c:pt>
                <c:pt idx="847">
                  <c:v>2458429.5138300001</c:v>
                </c:pt>
                <c:pt idx="848">
                  <c:v>2458429.5971599999</c:v>
                </c:pt>
                <c:pt idx="849">
                  <c:v>2458430.5139100002</c:v>
                </c:pt>
                <c:pt idx="850">
                  <c:v>2458430.5141099999</c:v>
                </c:pt>
                <c:pt idx="851">
                  <c:v>2458431.22523</c:v>
                </c:pt>
                <c:pt idx="852">
                  <c:v>2458431.5044800001</c:v>
                </c:pt>
                <c:pt idx="853">
                  <c:v>2458431.5046999999</c:v>
                </c:pt>
                <c:pt idx="854">
                  <c:v>2458432.5039300001</c:v>
                </c:pt>
                <c:pt idx="855">
                  <c:v>2458432.5041399999</c:v>
                </c:pt>
                <c:pt idx="856">
                  <c:v>2458433.2361099999</c:v>
                </c:pt>
                <c:pt idx="857">
                  <c:v>2458433.23642</c:v>
                </c:pt>
                <c:pt idx="858">
                  <c:v>2458433.5043100002</c:v>
                </c:pt>
                <c:pt idx="859">
                  <c:v>2458433.50453</c:v>
                </c:pt>
                <c:pt idx="860">
                  <c:v>2458434.5046600001</c:v>
                </c:pt>
                <c:pt idx="861">
                  <c:v>2458434.5048799999</c:v>
                </c:pt>
                <c:pt idx="862">
                  <c:v>2458435.5055200001</c:v>
                </c:pt>
                <c:pt idx="863">
                  <c:v>2458435.5057299999</c:v>
                </c:pt>
                <c:pt idx="864">
                  <c:v>2458436.5058900001</c:v>
                </c:pt>
                <c:pt idx="865">
                  <c:v>2458436.5060899998</c:v>
                </c:pt>
                <c:pt idx="866">
                  <c:v>2458436.6137899999</c:v>
                </c:pt>
                <c:pt idx="867">
                  <c:v>2458437.273</c:v>
                </c:pt>
                <c:pt idx="868">
                  <c:v>2458437.2733100001</c:v>
                </c:pt>
                <c:pt idx="869">
                  <c:v>2458438.5065100002</c:v>
                </c:pt>
                <c:pt idx="870">
                  <c:v>2458438.50673</c:v>
                </c:pt>
                <c:pt idx="871">
                  <c:v>2458439.1979200002</c:v>
                </c:pt>
                <c:pt idx="872">
                  <c:v>2458439.5072300001</c:v>
                </c:pt>
                <c:pt idx="873">
                  <c:v>2458439.5074399998</c:v>
                </c:pt>
                <c:pt idx="874">
                  <c:v>2458440.3501900001</c:v>
                </c:pt>
                <c:pt idx="875">
                  <c:v>2458440.3505000002</c:v>
                </c:pt>
                <c:pt idx="876">
                  <c:v>2458440.5079899998</c:v>
                </c:pt>
                <c:pt idx="877">
                  <c:v>2458440.5082100001</c:v>
                </c:pt>
                <c:pt idx="878">
                  <c:v>2458441.5113599999</c:v>
                </c:pt>
                <c:pt idx="879">
                  <c:v>2458441.5115800002</c:v>
                </c:pt>
                <c:pt idx="880">
                  <c:v>2458442.5114500001</c:v>
                </c:pt>
                <c:pt idx="881">
                  <c:v>2458442.5116699999</c:v>
                </c:pt>
                <c:pt idx="882">
                  <c:v>2458442.64567</c:v>
                </c:pt>
                <c:pt idx="883">
                  <c:v>2458443.5118900002</c:v>
                </c:pt>
                <c:pt idx="884">
                  <c:v>2458443.5120999999</c:v>
                </c:pt>
                <c:pt idx="885">
                  <c:v>2458444.5128299999</c:v>
                </c:pt>
                <c:pt idx="886">
                  <c:v>2458444.5130500002</c:v>
                </c:pt>
                <c:pt idx="887">
                  <c:v>2458445.5045099999</c:v>
                </c:pt>
                <c:pt idx="888">
                  <c:v>2458445.5047200001</c:v>
                </c:pt>
                <c:pt idx="889">
                  <c:v>2458446.5050599999</c:v>
                </c:pt>
                <c:pt idx="890">
                  <c:v>2458446.5052800002</c:v>
                </c:pt>
                <c:pt idx="891">
                  <c:v>2458447.5054600001</c:v>
                </c:pt>
                <c:pt idx="892">
                  <c:v>2458447.5056799999</c:v>
                </c:pt>
                <c:pt idx="893">
                  <c:v>2458448.5062099998</c:v>
                </c:pt>
                <c:pt idx="894">
                  <c:v>2458448.50642</c:v>
                </c:pt>
                <c:pt idx="895">
                  <c:v>2458449.5063499999</c:v>
                </c:pt>
                <c:pt idx="896">
                  <c:v>2458449.5065700002</c:v>
                </c:pt>
                <c:pt idx="897">
                  <c:v>2458450.50416</c:v>
                </c:pt>
                <c:pt idx="898">
                  <c:v>2458450.5043799998</c:v>
                </c:pt>
                <c:pt idx="899">
                  <c:v>2458451.5046999999</c:v>
                </c:pt>
                <c:pt idx="900">
                  <c:v>2458451.5049200002</c:v>
                </c:pt>
                <c:pt idx="901">
                  <c:v>2458453.2179899998</c:v>
                </c:pt>
                <c:pt idx="902">
                  <c:v>2458453.2183099999</c:v>
                </c:pt>
                <c:pt idx="903">
                  <c:v>2458462.21257</c:v>
                </c:pt>
                <c:pt idx="904">
                  <c:v>2458462.21288</c:v>
                </c:pt>
                <c:pt idx="905">
                  <c:v>2458464.25801</c:v>
                </c:pt>
                <c:pt idx="906">
                  <c:v>2458464.2583300001</c:v>
                </c:pt>
                <c:pt idx="907">
                  <c:v>2458478.30235</c:v>
                </c:pt>
                <c:pt idx="908">
                  <c:v>2458478.30266</c:v>
                </c:pt>
                <c:pt idx="909">
                  <c:v>2458479.21</c:v>
                </c:pt>
                <c:pt idx="910">
                  <c:v>2458479.2103200001</c:v>
                </c:pt>
                <c:pt idx="911">
                  <c:v>2458487.2123400001</c:v>
                </c:pt>
                <c:pt idx="912">
                  <c:v>2458487.2126500001</c:v>
                </c:pt>
                <c:pt idx="913">
                  <c:v>2458503.2306400002</c:v>
                </c:pt>
                <c:pt idx="914">
                  <c:v>2458503.23098</c:v>
                </c:pt>
                <c:pt idx="915">
                  <c:v>2458577.6209</c:v>
                </c:pt>
                <c:pt idx="916">
                  <c:v>2458577.6212200001</c:v>
                </c:pt>
                <c:pt idx="917">
                  <c:v>2458597.6397000002</c:v>
                </c:pt>
                <c:pt idx="918">
                  <c:v>2458597.6400100002</c:v>
                </c:pt>
                <c:pt idx="919">
                  <c:v>2458643.4489899999</c:v>
                </c:pt>
                <c:pt idx="920">
                  <c:v>2458643.4493200001</c:v>
                </c:pt>
                <c:pt idx="921">
                  <c:v>2458649.7807800001</c:v>
                </c:pt>
                <c:pt idx="922">
                  <c:v>2458654.7340000002</c:v>
                </c:pt>
                <c:pt idx="923">
                  <c:v>2458663.4413800002</c:v>
                </c:pt>
                <c:pt idx="924">
                  <c:v>2458663.4416999999</c:v>
                </c:pt>
                <c:pt idx="925">
                  <c:v>2458664.4152799998</c:v>
                </c:pt>
                <c:pt idx="926">
                  <c:v>2458665.75238</c:v>
                </c:pt>
                <c:pt idx="927">
                  <c:v>2458672.4233900001</c:v>
                </c:pt>
                <c:pt idx="928">
                  <c:v>2458672.4237199998</c:v>
                </c:pt>
                <c:pt idx="929">
                  <c:v>2458677.7299100002</c:v>
                </c:pt>
                <c:pt idx="930">
                  <c:v>2458681.3980800002</c:v>
                </c:pt>
                <c:pt idx="931">
                  <c:v>2458681.3983900002</c:v>
                </c:pt>
                <c:pt idx="932">
                  <c:v>2458685.43126</c:v>
                </c:pt>
                <c:pt idx="933">
                  <c:v>2458685.43157</c:v>
                </c:pt>
                <c:pt idx="934">
                  <c:v>2458685.7128499998</c:v>
                </c:pt>
                <c:pt idx="935">
                  <c:v>2458687.3997999998</c:v>
                </c:pt>
                <c:pt idx="936">
                  <c:v>2458687.4001199999</c:v>
                </c:pt>
                <c:pt idx="937">
                  <c:v>2458688.3939999999</c:v>
                </c:pt>
                <c:pt idx="938">
                  <c:v>2458688.39433</c:v>
                </c:pt>
                <c:pt idx="939">
                  <c:v>2458690.5090299998</c:v>
                </c:pt>
                <c:pt idx="940">
                  <c:v>2458693.39353</c:v>
                </c:pt>
                <c:pt idx="941">
                  <c:v>2458693.39384</c:v>
                </c:pt>
                <c:pt idx="942">
                  <c:v>2458694.3860399998</c:v>
                </c:pt>
                <c:pt idx="943">
                  <c:v>2458694.3863499998</c:v>
                </c:pt>
                <c:pt idx="944">
                  <c:v>2458697.3930000002</c:v>
                </c:pt>
                <c:pt idx="945">
                  <c:v>2458697.3933199998</c:v>
                </c:pt>
                <c:pt idx="946">
                  <c:v>2458698.3816999998</c:v>
                </c:pt>
                <c:pt idx="947">
                  <c:v>2458698.3820099998</c:v>
                </c:pt>
                <c:pt idx="948">
                  <c:v>2458699.3993500001</c:v>
                </c:pt>
                <c:pt idx="949">
                  <c:v>2458699.3996799998</c:v>
                </c:pt>
                <c:pt idx="950">
                  <c:v>2458703.37402</c:v>
                </c:pt>
                <c:pt idx="951">
                  <c:v>2458703.3743400001</c:v>
                </c:pt>
                <c:pt idx="952">
                  <c:v>2458706.3749299999</c:v>
                </c:pt>
                <c:pt idx="953">
                  <c:v>2458706.37525</c:v>
                </c:pt>
                <c:pt idx="954">
                  <c:v>2458707.6997099998</c:v>
                </c:pt>
                <c:pt idx="955">
                  <c:v>2458708.3743099999</c:v>
                </c:pt>
                <c:pt idx="956">
                  <c:v>2458708.3746500001</c:v>
                </c:pt>
                <c:pt idx="957">
                  <c:v>2458714.3632499999</c:v>
                </c:pt>
                <c:pt idx="958">
                  <c:v>2458714.3636099999</c:v>
                </c:pt>
                <c:pt idx="959">
                  <c:v>2458715.3665900002</c:v>
                </c:pt>
                <c:pt idx="960">
                  <c:v>2458715.36693</c:v>
                </c:pt>
                <c:pt idx="961">
                  <c:v>2458716.3479200001</c:v>
                </c:pt>
                <c:pt idx="962">
                  <c:v>2458717.3635499999</c:v>
                </c:pt>
                <c:pt idx="963">
                  <c:v>2458717.36387</c:v>
                </c:pt>
                <c:pt idx="964">
                  <c:v>2458720.3362500002</c:v>
                </c:pt>
                <c:pt idx="965">
                  <c:v>2458720.3365699998</c:v>
                </c:pt>
                <c:pt idx="966">
                  <c:v>2458721.6703599999</c:v>
                </c:pt>
                <c:pt idx="967">
                  <c:v>2458722.3391900002</c:v>
                </c:pt>
                <c:pt idx="968">
                  <c:v>2458722.3394999998</c:v>
                </c:pt>
                <c:pt idx="969">
                  <c:v>2458726.3361200001</c:v>
                </c:pt>
                <c:pt idx="970">
                  <c:v>2458726.3364400002</c:v>
                </c:pt>
                <c:pt idx="971">
                  <c:v>2458727.7845299998</c:v>
                </c:pt>
                <c:pt idx="972">
                  <c:v>2458728.3474499998</c:v>
                </c:pt>
                <c:pt idx="973">
                  <c:v>2458728.3478000001</c:v>
                </c:pt>
                <c:pt idx="974">
                  <c:v>2458731.3208400002</c:v>
                </c:pt>
                <c:pt idx="975">
                  <c:v>2458731.3211699999</c:v>
                </c:pt>
                <c:pt idx="976">
                  <c:v>2458739.6613099999</c:v>
                </c:pt>
                <c:pt idx="977">
                  <c:v>2458739.7137000002</c:v>
                </c:pt>
                <c:pt idx="978">
                  <c:v>2458739.76957</c:v>
                </c:pt>
                <c:pt idx="979">
                  <c:v>2458740.3055599998</c:v>
                </c:pt>
                <c:pt idx="980">
                  <c:v>2458740.3058699998</c:v>
                </c:pt>
                <c:pt idx="981">
                  <c:v>2458744.3232900002</c:v>
                </c:pt>
                <c:pt idx="982">
                  <c:v>2458744.3235999998</c:v>
                </c:pt>
                <c:pt idx="983">
                  <c:v>2458745.3116100002</c:v>
                </c:pt>
                <c:pt idx="984">
                  <c:v>2458745.3119199998</c:v>
                </c:pt>
                <c:pt idx="985">
                  <c:v>2458747.2899000002</c:v>
                </c:pt>
                <c:pt idx="986">
                  <c:v>2458747.2902099998</c:v>
                </c:pt>
                <c:pt idx="987">
                  <c:v>2458747.7045800001</c:v>
                </c:pt>
                <c:pt idx="988">
                  <c:v>2458748.2513899999</c:v>
                </c:pt>
                <c:pt idx="989">
                  <c:v>2458753.63582</c:v>
                </c:pt>
                <c:pt idx="990">
                  <c:v>2458759.31183</c:v>
                </c:pt>
                <c:pt idx="991">
                  <c:v>2458759.3121500001</c:v>
                </c:pt>
                <c:pt idx="992">
                  <c:v>2458761.2950599999</c:v>
                </c:pt>
                <c:pt idx="993">
                  <c:v>2458761.2953699999</c:v>
                </c:pt>
                <c:pt idx="994">
                  <c:v>2458762.64475</c:v>
                </c:pt>
                <c:pt idx="995">
                  <c:v>2458765.2626999998</c:v>
                </c:pt>
                <c:pt idx="996">
                  <c:v>2458765.2630099999</c:v>
                </c:pt>
                <c:pt idx="997">
                  <c:v>2458768.69416</c:v>
                </c:pt>
                <c:pt idx="998">
                  <c:v>2458773.62249</c:v>
                </c:pt>
                <c:pt idx="999">
                  <c:v>2458780.5840699999</c:v>
                </c:pt>
              </c:numCache>
            </c:numRef>
          </c:xVal>
          <c:yVal>
            <c:numRef>
              <c:f>Vraw!$C$1:$C$1222</c:f>
              <c:numCache>
                <c:formatCode>General</c:formatCode>
                <c:ptCount val="1000"/>
                <c:pt idx="0">
                  <c:v>10.869</c:v>
                </c:pt>
                <c:pt idx="1">
                  <c:v>10.87</c:v>
                </c:pt>
                <c:pt idx="2">
                  <c:v>10.952999999999999</c:v>
                </c:pt>
                <c:pt idx="3">
                  <c:v>10.944000000000001</c:v>
                </c:pt>
                <c:pt idx="4">
                  <c:v>10.919</c:v>
                </c:pt>
                <c:pt idx="5">
                  <c:v>10.952999999999999</c:v>
                </c:pt>
                <c:pt idx="6">
                  <c:v>10.978999999999999</c:v>
                </c:pt>
                <c:pt idx="7">
                  <c:v>10.955</c:v>
                </c:pt>
                <c:pt idx="8">
                  <c:v>10.944000000000001</c:v>
                </c:pt>
                <c:pt idx="9">
                  <c:v>10.955</c:v>
                </c:pt>
                <c:pt idx="10">
                  <c:v>10.945</c:v>
                </c:pt>
                <c:pt idx="11">
                  <c:v>10.997999999999999</c:v>
                </c:pt>
                <c:pt idx="12">
                  <c:v>10.988</c:v>
                </c:pt>
                <c:pt idx="13">
                  <c:v>10.968999999999999</c:v>
                </c:pt>
                <c:pt idx="14">
                  <c:v>10.944000000000001</c:v>
                </c:pt>
                <c:pt idx="15">
                  <c:v>10.914999999999999</c:v>
                </c:pt>
                <c:pt idx="16">
                  <c:v>10.925000000000001</c:v>
                </c:pt>
                <c:pt idx="17">
                  <c:v>10.983000000000001</c:v>
                </c:pt>
                <c:pt idx="18">
                  <c:v>10.952</c:v>
                </c:pt>
                <c:pt idx="19">
                  <c:v>10.949</c:v>
                </c:pt>
                <c:pt idx="20">
                  <c:v>10.975</c:v>
                </c:pt>
                <c:pt idx="21">
                  <c:v>10.951000000000001</c:v>
                </c:pt>
                <c:pt idx="22">
                  <c:v>10.911</c:v>
                </c:pt>
                <c:pt idx="23">
                  <c:v>10.991</c:v>
                </c:pt>
                <c:pt idx="24">
                  <c:v>10.933</c:v>
                </c:pt>
                <c:pt idx="25">
                  <c:v>11.015000000000001</c:v>
                </c:pt>
                <c:pt idx="26">
                  <c:v>10.981999999999999</c:v>
                </c:pt>
                <c:pt idx="27">
                  <c:v>10.95</c:v>
                </c:pt>
                <c:pt idx="28">
                  <c:v>10.968</c:v>
                </c:pt>
                <c:pt idx="29">
                  <c:v>11.045</c:v>
                </c:pt>
                <c:pt idx="30">
                  <c:v>11.02</c:v>
                </c:pt>
                <c:pt idx="31">
                  <c:v>11.000999999999999</c:v>
                </c:pt>
                <c:pt idx="32">
                  <c:v>11.032999999999999</c:v>
                </c:pt>
                <c:pt idx="33">
                  <c:v>10.973000000000001</c:v>
                </c:pt>
                <c:pt idx="34">
                  <c:v>10.967000000000001</c:v>
                </c:pt>
                <c:pt idx="35">
                  <c:v>11.009</c:v>
                </c:pt>
                <c:pt idx="36">
                  <c:v>11.002000000000001</c:v>
                </c:pt>
                <c:pt idx="37">
                  <c:v>11.012</c:v>
                </c:pt>
                <c:pt idx="38">
                  <c:v>11.021000000000001</c:v>
                </c:pt>
                <c:pt idx="39">
                  <c:v>11.023</c:v>
                </c:pt>
                <c:pt idx="40">
                  <c:v>10.975</c:v>
                </c:pt>
                <c:pt idx="41">
                  <c:v>11.005000000000001</c:v>
                </c:pt>
                <c:pt idx="42">
                  <c:v>11.007</c:v>
                </c:pt>
                <c:pt idx="43">
                  <c:v>10.991</c:v>
                </c:pt>
                <c:pt idx="44">
                  <c:v>11.039</c:v>
                </c:pt>
                <c:pt idx="45">
                  <c:v>10.992000000000001</c:v>
                </c:pt>
                <c:pt idx="46">
                  <c:v>10.961</c:v>
                </c:pt>
                <c:pt idx="47">
                  <c:v>11.02</c:v>
                </c:pt>
                <c:pt idx="48">
                  <c:v>11.013999999999999</c:v>
                </c:pt>
                <c:pt idx="49">
                  <c:v>11.013</c:v>
                </c:pt>
                <c:pt idx="50">
                  <c:v>11.026</c:v>
                </c:pt>
                <c:pt idx="51">
                  <c:v>10.977</c:v>
                </c:pt>
                <c:pt idx="52">
                  <c:v>10.961</c:v>
                </c:pt>
                <c:pt idx="53">
                  <c:v>11.015000000000001</c:v>
                </c:pt>
                <c:pt idx="54">
                  <c:v>11.025</c:v>
                </c:pt>
                <c:pt idx="55">
                  <c:v>10.994999999999999</c:v>
                </c:pt>
                <c:pt idx="56">
                  <c:v>10.997999999999999</c:v>
                </c:pt>
                <c:pt idx="57">
                  <c:v>10.975</c:v>
                </c:pt>
                <c:pt idx="58">
                  <c:v>10.952999999999999</c:v>
                </c:pt>
                <c:pt idx="59">
                  <c:v>10.98</c:v>
                </c:pt>
                <c:pt idx="60">
                  <c:v>11.003</c:v>
                </c:pt>
                <c:pt idx="61">
                  <c:v>10.986000000000001</c:v>
                </c:pt>
                <c:pt idx="62">
                  <c:v>11.015000000000001</c:v>
                </c:pt>
                <c:pt idx="63">
                  <c:v>10.984999999999999</c:v>
                </c:pt>
                <c:pt idx="64">
                  <c:v>10.869</c:v>
                </c:pt>
                <c:pt idx="65">
                  <c:v>10.895</c:v>
                </c:pt>
                <c:pt idx="66">
                  <c:v>10.884</c:v>
                </c:pt>
                <c:pt idx="67">
                  <c:v>11.057</c:v>
                </c:pt>
                <c:pt idx="68">
                  <c:v>11.077999999999999</c:v>
                </c:pt>
                <c:pt idx="69">
                  <c:v>11.071999999999999</c:v>
                </c:pt>
                <c:pt idx="70">
                  <c:v>10.996</c:v>
                </c:pt>
                <c:pt idx="71">
                  <c:v>11.061</c:v>
                </c:pt>
                <c:pt idx="72">
                  <c:v>11.045</c:v>
                </c:pt>
                <c:pt idx="73">
                  <c:v>11.01</c:v>
                </c:pt>
                <c:pt idx="74">
                  <c:v>11.063000000000001</c:v>
                </c:pt>
                <c:pt idx="75">
                  <c:v>11.06</c:v>
                </c:pt>
                <c:pt idx="76">
                  <c:v>11.029</c:v>
                </c:pt>
                <c:pt idx="77">
                  <c:v>11.041</c:v>
                </c:pt>
                <c:pt idx="78">
                  <c:v>11.06</c:v>
                </c:pt>
                <c:pt idx="79">
                  <c:v>11.002000000000001</c:v>
                </c:pt>
                <c:pt idx="80">
                  <c:v>11.048999999999999</c:v>
                </c:pt>
                <c:pt idx="81">
                  <c:v>11.095000000000001</c:v>
                </c:pt>
                <c:pt idx="82">
                  <c:v>11.045999999999999</c:v>
                </c:pt>
                <c:pt idx="83">
                  <c:v>11.045999999999999</c:v>
                </c:pt>
                <c:pt idx="84">
                  <c:v>11.102</c:v>
                </c:pt>
                <c:pt idx="85">
                  <c:v>11.074</c:v>
                </c:pt>
                <c:pt idx="86">
                  <c:v>11.031000000000001</c:v>
                </c:pt>
                <c:pt idx="87">
                  <c:v>11.07</c:v>
                </c:pt>
                <c:pt idx="88">
                  <c:v>11.068</c:v>
                </c:pt>
                <c:pt idx="89">
                  <c:v>11.026999999999999</c:v>
                </c:pt>
                <c:pt idx="90">
                  <c:v>11.018000000000001</c:v>
                </c:pt>
                <c:pt idx="91">
                  <c:v>11.057</c:v>
                </c:pt>
                <c:pt idx="92">
                  <c:v>11.045</c:v>
                </c:pt>
                <c:pt idx="93">
                  <c:v>11.012</c:v>
                </c:pt>
                <c:pt idx="94">
                  <c:v>11.031000000000001</c:v>
                </c:pt>
                <c:pt idx="95">
                  <c:v>11.05</c:v>
                </c:pt>
                <c:pt idx="96">
                  <c:v>11.048999999999999</c:v>
                </c:pt>
                <c:pt idx="97">
                  <c:v>11.028</c:v>
                </c:pt>
                <c:pt idx="98">
                  <c:v>11.025</c:v>
                </c:pt>
                <c:pt idx="99">
                  <c:v>11.003</c:v>
                </c:pt>
                <c:pt idx="100">
                  <c:v>11.051</c:v>
                </c:pt>
                <c:pt idx="101">
                  <c:v>11.069000000000001</c:v>
                </c:pt>
                <c:pt idx="102">
                  <c:v>11.042</c:v>
                </c:pt>
                <c:pt idx="103">
                  <c:v>11.044</c:v>
                </c:pt>
                <c:pt idx="104">
                  <c:v>11.032</c:v>
                </c:pt>
                <c:pt idx="105">
                  <c:v>11.025</c:v>
                </c:pt>
                <c:pt idx="106">
                  <c:v>11.025</c:v>
                </c:pt>
                <c:pt idx="107">
                  <c:v>11.012</c:v>
                </c:pt>
                <c:pt idx="108">
                  <c:v>11.007</c:v>
                </c:pt>
                <c:pt idx="109">
                  <c:v>10.988</c:v>
                </c:pt>
                <c:pt idx="110">
                  <c:v>10.964</c:v>
                </c:pt>
                <c:pt idx="111">
                  <c:v>11.000999999999999</c:v>
                </c:pt>
                <c:pt idx="112">
                  <c:v>10.91</c:v>
                </c:pt>
                <c:pt idx="113">
                  <c:v>10.917999999999999</c:v>
                </c:pt>
                <c:pt idx="114">
                  <c:v>10.916</c:v>
                </c:pt>
                <c:pt idx="115">
                  <c:v>10.896000000000001</c:v>
                </c:pt>
                <c:pt idx="116">
                  <c:v>10.914</c:v>
                </c:pt>
                <c:pt idx="117">
                  <c:v>10.920999999999999</c:v>
                </c:pt>
                <c:pt idx="118">
                  <c:v>10.927</c:v>
                </c:pt>
                <c:pt idx="119">
                  <c:v>10.92</c:v>
                </c:pt>
                <c:pt idx="120">
                  <c:v>10.923</c:v>
                </c:pt>
                <c:pt idx="121">
                  <c:v>10.914999999999999</c:v>
                </c:pt>
                <c:pt idx="122">
                  <c:v>10.917999999999999</c:v>
                </c:pt>
                <c:pt idx="123">
                  <c:v>10.914999999999999</c:v>
                </c:pt>
                <c:pt idx="124">
                  <c:v>10.925000000000001</c:v>
                </c:pt>
                <c:pt idx="125">
                  <c:v>10.914999999999999</c:v>
                </c:pt>
                <c:pt idx="126">
                  <c:v>10.909000000000001</c:v>
                </c:pt>
                <c:pt idx="127">
                  <c:v>10.91</c:v>
                </c:pt>
                <c:pt idx="128">
                  <c:v>10.917</c:v>
                </c:pt>
                <c:pt idx="129">
                  <c:v>10.913</c:v>
                </c:pt>
                <c:pt idx="130">
                  <c:v>10.906000000000001</c:v>
                </c:pt>
                <c:pt idx="131">
                  <c:v>10.911</c:v>
                </c:pt>
                <c:pt idx="132">
                  <c:v>10.907</c:v>
                </c:pt>
                <c:pt idx="133">
                  <c:v>10.917</c:v>
                </c:pt>
                <c:pt idx="134">
                  <c:v>10.893000000000001</c:v>
                </c:pt>
                <c:pt idx="135">
                  <c:v>10.917</c:v>
                </c:pt>
                <c:pt idx="136">
                  <c:v>10.891</c:v>
                </c:pt>
                <c:pt idx="137">
                  <c:v>10.914999999999999</c:v>
                </c:pt>
                <c:pt idx="138">
                  <c:v>10.916</c:v>
                </c:pt>
                <c:pt idx="139">
                  <c:v>10.903</c:v>
                </c:pt>
                <c:pt idx="140">
                  <c:v>10.901</c:v>
                </c:pt>
                <c:pt idx="141">
                  <c:v>10.911</c:v>
                </c:pt>
                <c:pt idx="142">
                  <c:v>10.913</c:v>
                </c:pt>
                <c:pt idx="143">
                  <c:v>10.904</c:v>
                </c:pt>
                <c:pt idx="144">
                  <c:v>10.906000000000001</c:v>
                </c:pt>
                <c:pt idx="145">
                  <c:v>10.907999999999999</c:v>
                </c:pt>
                <c:pt idx="146">
                  <c:v>10.897</c:v>
                </c:pt>
                <c:pt idx="147">
                  <c:v>10.922000000000001</c:v>
                </c:pt>
                <c:pt idx="148">
                  <c:v>10.916</c:v>
                </c:pt>
                <c:pt idx="149">
                  <c:v>10.917</c:v>
                </c:pt>
                <c:pt idx="150">
                  <c:v>10.903</c:v>
                </c:pt>
                <c:pt idx="151">
                  <c:v>10.891999999999999</c:v>
                </c:pt>
                <c:pt idx="152">
                  <c:v>10.794</c:v>
                </c:pt>
                <c:pt idx="153">
                  <c:v>10.843999999999999</c:v>
                </c:pt>
                <c:pt idx="154">
                  <c:v>10.78</c:v>
                </c:pt>
                <c:pt idx="155">
                  <c:v>10.763</c:v>
                </c:pt>
                <c:pt idx="156">
                  <c:v>10.782999999999999</c:v>
                </c:pt>
                <c:pt idx="157">
                  <c:v>10.849</c:v>
                </c:pt>
                <c:pt idx="158">
                  <c:v>10.782</c:v>
                </c:pt>
                <c:pt idx="159">
                  <c:v>10.807</c:v>
                </c:pt>
                <c:pt idx="160">
                  <c:v>10.81</c:v>
                </c:pt>
                <c:pt idx="161">
                  <c:v>10.763</c:v>
                </c:pt>
                <c:pt idx="162">
                  <c:v>10.858000000000001</c:v>
                </c:pt>
                <c:pt idx="163">
                  <c:v>10.816000000000001</c:v>
                </c:pt>
                <c:pt idx="164">
                  <c:v>10.839</c:v>
                </c:pt>
                <c:pt idx="165">
                  <c:v>10.86</c:v>
                </c:pt>
                <c:pt idx="166">
                  <c:v>10.849</c:v>
                </c:pt>
                <c:pt idx="167">
                  <c:v>10.849</c:v>
                </c:pt>
                <c:pt idx="168">
                  <c:v>10.833</c:v>
                </c:pt>
                <c:pt idx="169">
                  <c:v>10.842000000000001</c:v>
                </c:pt>
                <c:pt idx="170">
                  <c:v>10.827</c:v>
                </c:pt>
                <c:pt idx="171">
                  <c:v>10.847</c:v>
                </c:pt>
                <c:pt idx="172">
                  <c:v>10.824</c:v>
                </c:pt>
                <c:pt idx="173">
                  <c:v>10.817</c:v>
                </c:pt>
                <c:pt idx="174">
                  <c:v>10.824999999999999</c:v>
                </c:pt>
                <c:pt idx="175">
                  <c:v>10.81</c:v>
                </c:pt>
                <c:pt idx="176">
                  <c:v>10.837999999999999</c:v>
                </c:pt>
                <c:pt idx="177">
                  <c:v>10.795</c:v>
                </c:pt>
                <c:pt idx="178">
                  <c:v>10.82</c:v>
                </c:pt>
                <c:pt idx="179">
                  <c:v>10.832000000000001</c:v>
                </c:pt>
                <c:pt idx="180">
                  <c:v>10.881</c:v>
                </c:pt>
                <c:pt idx="181">
                  <c:v>10.872</c:v>
                </c:pt>
                <c:pt idx="182">
                  <c:v>10.878</c:v>
                </c:pt>
                <c:pt idx="183">
                  <c:v>10.879</c:v>
                </c:pt>
                <c:pt idx="184">
                  <c:v>10.816000000000001</c:v>
                </c:pt>
                <c:pt idx="185">
                  <c:v>10.867000000000001</c:v>
                </c:pt>
                <c:pt idx="186">
                  <c:v>10.818</c:v>
                </c:pt>
                <c:pt idx="187">
                  <c:v>10.877000000000001</c:v>
                </c:pt>
                <c:pt idx="188">
                  <c:v>10.882</c:v>
                </c:pt>
                <c:pt idx="189">
                  <c:v>10.868</c:v>
                </c:pt>
                <c:pt idx="190">
                  <c:v>10.871</c:v>
                </c:pt>
                <c:pt idx="191">
                  <c:v>10.829000000000001</c:v>
                </c:pt>
                <c:pt idx="192">
                  <c:v>10.827999999999999</c:v>
                </c:pt>
                <c:pt idx="193">
                  <c:v>10.851000000000001</c:v>
                </c:pt>
                <c:pt idx="194">
                  <c:v>10.837</c:v>
                </c:pt>
                <c:pt idx="195">
                  <c:v>10.855</c:v>
                </c:pt>
                <c:pt idx="196">
                  <c:v>10.852</c:v>
                </c:pt>
                <c:pt idx="197">
                  <c:v>10.846</c:v>
                </c:pt>
                <c:pt idx="198">
                  <c:v>10.821999999999999</c:v>
                </c:pt>
                <c:pt idx="199">
                  <c:v>10.86</c:v>
                </c:pt>
                <c:pt idx="200">
                  <c:v>10.856</c:v>
                </c:pt>
                <c:pt idx="201">
                  <c:v>10.808</c:v>
                </c:pt>
                <c:pt idx="202">
                  <c:v>10.789</c:v>
                </c:pt>
                <c:pt idx="203">
                  <c:v>10.867000000000001</c:v>
                </c:pt>
                <c:pt idx="204">
                  <c:v>10.917999999999999</c:v>
                </c:pt>
                <c:pt idx="205">
                  <c:v>10.757999999999999</c:v>
                </c:pt>
                <c:pt idx="206">
                  <c:v>10.771000000000001</c:v>
                </c:pt>
                <c:pt idx="207">
                  <c:v>10.808</c:v>
                </c:pt>
                <c:pt idx="208">
                  <c:v>10.794</c:v>
                </c:pt>
                <c:pt idx="209">
                  <c:v>10.771000000000001</c:v>
                </c:pt>
                <c:pt idx="210">
                  <c:v>10.768000000000001</c:v>
                </c:pt>
                <c:pt idx="211">
                  <c:v>10.741</c:v>
                </c:pt>
                <c:pt idx="212">
                  <c:v>10.746</c:v>
                </c:pt>
                <c:pt idx="213">
                  <c:v>10.733000000000001</c:v>
                </c:pt>
                <c:pt idx="214">
                  <c:v>10.747</c:v>
                </c:pt>
                <c:pt idx="215">
                  <c:v>10.776</c:v>
                </c:pt>
                <c:pt idx="216">
                  <c:v>10.801</c:v>
                </c:pt>
                <c:pt idx="217">
                  <c:v>10.811</c:v>
                </c:pt>
                <c:pt idx="218">
                  <c:v>10.781000000000001</c:v>
                </c:pt>
                <c:pt idx="219">
                  <c:v>10.785</c:v>
                </c:pt>
                <c:pt idx="220">
                  <c:v>10.801</c:v>
                </c:pt>
                <c:pt idx="221">
                  <c:v>10.805999999999999</c:v>
                </c:pt>
                <c:pt idx="222">
                  <c:v>10.798</c:v>
                </c:pt>
                <c:pt idx="223">
                  <c:v>10.795999999999999</c:v>
                </c:pt>
                <c:pt idx="224">
                  <c:v>10.79</c:v>
                </c:pt>
                <c:pt idx="225">
                  <c:v>10.795</c:v>
                </c:pt>
                <c:pt idx="226">
                  <c:v>10.794</c:v>
                </c:pt>
                <c:pt idx="227">
                  <c:v>10.805999999999999</c:v>
                </c:pt>
                <c:pt idx="228">
                  <c:v>10.779</c:v>
                </c:pt>
                <c:pt idx="229">
                  <c:v>10.786</c:v>
                </c:pt>
                <c:pt idx="230">
                  <c:v>10.776</c:v>
                </c:pt>
                <c:pt idx="231">
                  <c:v>10.778</c:v>
                </c:pt>
                <c:pt idx="232">
                  <c:v>10.768000000000001</c:v>
                </c:pt>
                <c:pt idx="233">
                  <c:v>10.771000000000001</c:v>
                </c:pt>
                <c:pt idx="234">
                  <c:v>10.781000000000001</c:v>
                </c:pt>
                <c:pt idx="235">
                  <c:v>10.775</c:v>
                </c:pt>
                <c:pt idx="236">
                  <c:v>10.782999999999999</c:v>
                </c:pt>
                <c:pt idx="237">
                  <c:v>10.776999999999999</c:v>
                </c:pt>
                <c:pt idx="238">
                  <c:v>10.789</c:v>
                </c:pt>
                <c:pt idx="239">
                  <c:v>10.784000000000001</c:v>
                </c:pt>
                <c:pt idx="240">
                  <c:v>10.769</c:v>
                </c:pt>
                <c:pt idx="241">
                  <c:v>10.771000000000001</c:v>
                </c:pt>
                <c:pt idx="242">
                  <c:v>10.757999999999999</c:v>
                </c:pt>
                <c:pt idx="243">
                  <c:v>10.773</c:v>
                </c:pt>
                <c:pt idx="244">
                  <c:v>10.75</c:v>
                </c:pt>
                <c:pt idx="245">
                  <c:v>10.766</c:v>
                </c:pt>
                <c:pt idx="246">
                  <c:v>10.744</c:v>
                </c:pt>
                <c:pt idx="247">
                  <c:v>10.766999999999999</c:v>
                </c:pt>
                <c:pt idx="248">
                  <c:v>10.778</c:v>
                </c:pt>
                <c:pt idx="249">
                  <c:v>10.827</c:v>
                </c:pt>
                <c:pt idx="250">
                  <c:v>10.813000000000001</c:v>
                </c:pt>
                <c:pt idx="251">
                  <c:v>10.823</c:v>
                </c:pt>
                <c:pt idx="252">
                  <c:v>10.817</c:v>
                </c:pt>
                <c:pt idx="253">
                  <c:v>10.821</c:v>
                </c:pt>
                <c:pt idx="254">
                  <c:v>10.811999999999999</c:v>
                </c:pt>
                <c:pt idx="255">
                  <c:v>10.813000000000001</c:v>
                </c:pt>
                <c:pt idx="256">
                  <c:v>10.798</c:v>
                </c:pt>
                <c:pt idx="257">
                  <c:v>10.811</c:v>
                </c:pt>
                <c:pt idx="258">
                  <c:v>10.795999999999999</c:v>
                </c:pt>
                <c:pt idx="259">
                  <c:v>10.81</c:v>
                </c:pt>
                <c:pt idx="260">
                  <c:v>10.815</c:v>
                </c:pt>
                <c:pt idx="261">
                  <c:v>10.821</c:v>
                </c:pt>
                <c:pt idx="262">
                  <c:v>10.82</c:v>
                </c:pt>
                <c:pt idx="263">
                  <c:v>10.818</c:v>
                </c:pt>
                <c:pt idx="264">
                  <c:v>10.82</c:v>
                </c:pt>
                <c:pt idx="265">
                  <c:v>10.821999999999999</c:v>
                </c:pt>
                <c:pt idx="266">
                  <c:v>10.823</c:v>
                </c:pt>
                <c:pt idx="267">
                  <c:v>10.814</c:v>
                </c:pt>
                <c:pt idx="268">
                  <c:v>10.816000000000001</c:v>
                </c:pt>
                <c:pt idx="269">
                  <c:v>10.805999999999999</c:v>
                </c:pt>
                <c:pt idx="270">
                  <c:v>10.824</c:v>
                </c:pt>
                <c:pt idx="271">
                  <c:v>10.814</c:v>
                </c:pt>
                <c:pt idx="272">
                  <c:v>10.817</c:v>
                </c:pt>
                <c:pt idx="273">
                  <c:v>10.814</c:v>
                </c:pt>
                <c:pt idx="274">
                  <c:v>10.816000000000001</c:v>
                </c:pt>
                <c:pt idx="275">
                  <c:v>10.818</c:v>
                </c:pt>
                <c:pt idx="276">
                  <c:v>10.801</c:v>
                </c:pt>
                <c:pt idx="277">
                  <c:v>10.797000000000001</c:v>
                </c:pt>
                <c:pt idx="278">
                  <c:v>10.815</c:v>
                </c:pt>
                <c:pt idx="279">
                  <c:v>10.81</c:v>
                </c:pt>
                <c:pt idx="280">
                  <c:v>10.833</c:v>
                </c:pt>
                <c:pt idx="281">
                  <c:v>10.867000000000001</c:v>
                </c:pt>
                <c:pt idx="282">
                  <c:v>10.866</c:v>
                </c:pt>
                <c:pt idx="283">
                  <c:v>10.827999999999999</c:v>
                </c:pt>
                <c:pt idx="284">
                  <c:v>10.837999999999999</c:v>
                </c:pt>
                <c:pt idx="285">
                  <c:v>10.847</c:v>
                </c:pt>
                <c:pt idx="286">
                  <c:v>10.839</c:v>
                </c:pt>
                <c:pt idx="287">
                  <c:v>10.859</c:v>
                </c:pt>
                <c:pt idx="288">
                  <c:v>10.875</c:v>
                </c:pt>
                <c:pt idx="289">
                  <c:v>10.863</c:v>
                </c:pt>
                <c:pt idx="290">
                  <c:v>10.835000000000001</c:v>
                </c:pt>
                <c:pt idx="291">
                  <c:v>10.867000000000001</c:v>
                </c:pt>
                <c:pt idx="292">
                  <c:v>10.840999999999999</c:v>
                </c:pt>
                <c:pt idx="293">
                  <c:v>10.837</c:v>
                </c:pt>
                <c:pt idx="294">
                  <c:v>10.861000000000001</c:v>
                </c:pt>
                <c:pt idx="295">
                  <c:v>10.851000000000001</c:v>
                </c:pt>
                <c:pt idx="296">
                  <c:v>10.839</c:v>
                </c:pt>
                <c:pt idx="297">
                  <c:v>10.845000000000001</c:v>
                </c:pt>
                <c:pt idx="298">
                  <c:v>10.837</c:v>
                </c:pt>
                <c:pt idx="299">
                  <c:v>10.834</c:v>
                </c:pt>
                <c:pt idx="300">
                  <c:v>10.853</c:v>
                </c:pt>
                <c:pt idx="301">
                  <c:v>10.856999999999999</c:v>
                </c:pt>
                <c:pt idx="302">
                  <c:v>10.852</c:v>
                </c:pt>
                <c:pt idx="303">
                  <c:v>10.842000000000001</c:v>
                </c:pt>
                <c:pt idx="304">
                  <c:v>10.829000000000001</c:v>
                </c:pt>
                <c:pt idx="305">
                  <c:v>10.842000000000001</c:v>
                </c:pt>
                <c:pt idx="306">
                  <c:v>10.852</c:v>
                </c:pt>
                <c:pt idx="307">
                  <c:v>10.833</c:v>
                </c:pt>
                <c:pt idx="308">
                  <c:v>10.848000000000001</c:v>
                </c:pt>
                <c:pt idx="309">
                  <c:v>10.847</c:v>
                </c:pt>
                <c:pt idx="310">
                  <c:v>10.861000000000001</c:v>
                </c:pt>
                <c:pt idx="311">
                  <c:v>10.856</c:v>
                </c:pt>
                <c:pt idx="312">
                  <c:v>10.859</c:v>
                </c:pt>
                <c:pt idx="313">
                  <c:v>10.847</c:v>
                </c:pt>
                <c:pt idx="314">
                  <c:v>10.862</c:v>
                </c:pt>
                <c:pt idx="315">
                  <c:v>10.84</c:v>
                </c:pt>
                <c:pt idx="316">
                  <c:v>10.865</c:v>
                </c:pt>
                <c:pt idx="317">
                  <c:v>10.884</c:v>
                </c:pt>
                <c:pt idx="318">
                  <c:v>10.862</c:v>
                </c:pt>
                <c:pt idx="319">
                  <c:v>10.859</c:v>
                </c:pt>
                <c:pt idx="320">
                  <c:v>10.914999999999999</c:v>
                </c:pt>
                <c:pt idx="321">
                  <c:v>10.914</c:v>
                </c:pt>
                <c:pt idx="322">
                  <c:v>10.92</c:v>
                </c:pt>
                <c:pt idx="323">
                  <c:v>10.916</c:v>
                </c:pt>
                <c:pt idx="324">
                  <c:v>10.909000000000001</c:v>
                </c:pt>
                <c:pt idx="325">
                  <c:v>10.912000000000001</c:v>
                </c:pt>
                <c:pt idx="326">
                  <c:v>10.92</c:v>
                </c:pt>
                <c:pt idx="327">
                  <c:v>10.904</c:v>
                </c:pt>
                <c:pt idx="328">
                  <c:v>10.92</c:v>
                </c:pt>
                <c:pt idx="329">
                  <c:v>10.906000000000001</c:v>
                </c:pt>
                <c:pt idx="330">
                  <c:v>10.906000000000001</c:v>
                </c:pt>
                <c:pt idx="331">
                  <c:v>10.903</c:v>
                </c:pt>
                <c:pt idx="332">
                  <c:v>10.903</c:v>
                </c:pt>
                <c:pt idx="333">
                  <c:v>10.901</c:v>
                </c:pt>
                <c:pt idx="334">
                  <c:v>10.895</c:v>
                </c:pt>
                <c:pt idx="335">
                  <c:v>10.901999999999999</c:v>
                </c:pt>
                <c:pt idx="336">
                  <c:v>10.917999999999999</c:v>
                </c:pt>
                <c:pt idx="337">
                  <c:v>10.914999999999999</c:v>
                </c:pt>
                <c:pt idx="338">
                  <c:v>10.913</c:v>
                </c:pt>
                <c:pt idx="339">
                  <c:v>10.916</c:v>
                </c:pt>
                <c:pt idx="340">
                  <c:v>10.919</c:v>
                </c:pt>
                <c:pt idx="341">
                  <c:v>10.894</c:v>
                </c:pt>
                <c:pt idx="342">
                  <c:v>10.896000000000001</c:v>
                </c:pt>
                <c:pt idx="343">
                  <c:v>10.904999999999999</c:v>
                </c:pt>
                <c:pt idx="344">
                  <c:v>10.9</c:v>
                </c:pt>
                <c:pt idx="345">
                  <c:v>10.9</c:v>
                </c:pt>
                <c:pt idx="346">
                  <c:v>10.903</c:v>
                </c:pt>
                <c:pt idx="347">
                  <c:v>10.907</c:v>
                </c:pt>
                <c:pt idx="348">
                  <c:v>10.898999999999999</c:v>
                </c:pt>
                <c:pt idx="349">
                  <c:v>10.913</c:v>
                </c:pt>
                <c:pt idx="350">
                  <c:v>10.92</c:v>
                </c:pt>
                <c:pt idx="351">
                  <c:v>10.917999999999999</c:v>
                </c:pt>
                <c:pt idx="352">
                  <c:v>10.917</c:v>
                </c:pt>
                <c:pt idx="353">
                  <c:v>10.919</c:v>
                </c:pt>
                <c:pt idx="354">
                  <c:v>10.917</c:v>
                </c:pt>
                <c:pt idx="355">
                  <c:v>10.923</c:v>
                </c:pt>
                <c:pt idx="356">
                  <c:v>10.9</c:v>
                </c:pt>
                <c:pt idx="357">
                  <c:v>10.914999999999999</c:v>
                </c:pt>
                <c:pt idx="358">
                  <c:v>10.917999999999999</c:v>
                </c:pt>
                <c:pt idx="359">
                  <c:v>10.875</c:v>
                </c:pt>
                <c:pt idx="360">
                  <c:v>10.823</c:v>
                </c:pt>
                <c:pt idx="361">
                  <c:v>10.99</c:v>
                </c:pt>
                <c:pt idx="362">
                  <c:v>10.848000000000001</c:v>
                </c:pt>
                <c:pt idx="363">
                  <c:v>10.864000000000001</c:v>
                </c:pt>
                <c:pt idx="364">
                  <c:v>10.867000000000001</c:v>
                </c:pt>
                <c:pt idx="365">
                  <c:v>10.86</c:v>
                </c:pt>
                <c:pt idx="366">
                  <c:v>10.872</c:v>
                </c:pt>
                <c:pt idx="367">
                  <c:v>10.904</c:v>
                </c:pt>
                <c:pt idx="368">
                  <c:v>10.877000000000001</c:v>
                </c:pt>
                <c:pt idx="369">
                  <c:v>10.942</c:v>
                </c:pt>
                <c:pt idx="370">
                  <c:v>10.935</c:v>
                </c:pt>
                <c:pt idx="371">
                  <c:v>10.914999999999999</c:v>
                </c:pt>
                <c:pt idx="372">
                  <c:v>10.929</c:v>
                </c:pt>
                <c:pt idx="373">
                  <c:v>10.91</c:v>
                </c:pt>
                <c:pt idx="374">
                  <c:v>10.932</c:v>
                </c:pt>
                <c:pt idx="375">
                  <c:v>10.903</c:v>
                </c:pt>
                <c:pt idx="376">
                  <c:v>10.933999999999999</c:v>
                </c:pt>
                <c:pt idx="377">
                  <c:v>10.923</c:v>
                </c:pt>
                <c:pt idx="378">
                  <c:v>10.913</c:v>
                </c:pt>
                <c:pt idx="379">
                  <c:v>10.961</c:v>
                </c:pt>
                <c:pt idx="380">
                  <c:v>10.959</c:v>
                </c:pt>
                <c:pt idx="381">
                  <c:v>10.964</c:v>
                </c:pt>
                <c:pt idx="382">
                  <c:v>10.997999999999999</c:v>
                </c:pt>
                <c:pt idx="383">
                  <c:v>11.002000000000001</c:v>
                </c:pt>
                <c:pt idx="384">
                  <c:v>11</c:v>
                </c:pt>
                <c:pt idx="385">
                  <c:v>11.013999999999999</c:v>
                </c:pt>
                <c:pt idx="386">
                  <c:v>11.048</c:v>
                </c:pt>
                <c:pt idx="387">
                  <c:v>11.061</c:v>
                </c:pt>
                <c:pt idx="388">
                  <c:v>11.058</c:v>
                </c:pt>
                <c:pt idx="389">
                  <c:v>11.071</c:v>
                </c:pt>
                <c:pt idx="390">
                  <c:v>11.101000000000001</c:v>
                </c:pt>
                <c:pt idx="391">
                  <c:v>11.096</c:v>
                </c:pt>
                <c:pt idx="392">
                  <c:v>11.116</c:v>
                </c:pt>
                <c:pt idx="393">
                  <c:v>11.114000000000001</c:v>
                </c:pt>
                <c:pt idx="394">
                  <c:v>11.134</c:v>
                </c:pt>
                <c:pt idx="395">
                  <c:v>11.131</c:v>
                </c:pt>
                <c:pt idx="396">
                  <c:v>11.128</c:v>
                </c:pt>
                <c:pt idx="397">
                  <c:v>11.122</c:v>
                </c:pt>
                <c:pt idx="398">
                  <c:v>11.129</c:v>
                </c:pt>
                <c:pt idx="399">
                  <c:v>11.148</c:v>
                </c:pt>
                <c:pt idx="400">
                  <c:v>11.14</c:v>
                </c:pt>
                <c:pt idx="401">
                  <c:v>11.121</c:v>
                </c:pt>
                <c:pt idx="402">
                  <c:v>11.161</c:v>
                </c:pt>
                <c:pt idx="403">
                  <c:v>11.129</c:v>
                </c:pt>
                <c:pt idx="404">
                  <c:v>11.134</c:v>
                </c:pt>
                <c:pt idx="405">
                  <c:v>11.119</c:v>
                </c:pt>
                <c:pt idx="406">
                  <c:v>11.14</c:v>
                </c:pt>
                <c:pt idx="407">
                  <c:v>11.138</c:v>
                </c:pt>
                <c:pt idx="408">
                  <c:v>11.122999999999999</c:v>
                </c:pt>
                <c:pt idx="409">
                  <c:v>11.156000000000001</c:v>
                </c:pt>
                <c:pt idx="410">
                  <c:v>11.166</c:v>
                </c:pt>
                <c:pt idx="411">
                  <c:v>11.127000000000001</c:v>
                </c:pt>
                <c:pt idx="412">
                  <c:v>11.135999999999999</c:v>
                </c:pt>
                <c:pt idx="413">
                  <c:v>11.141</c:v>
                </c:pt>
                <c:pt idx="414">
                  <c:v>11.141</c:v>
                </c:pt>
                <c:pt idx="415">
                  <c:v>11.131</c:v>
                </c:pt>
                <c:pt idx="416">
                  <c:v>11.141</c:v>
                </c:pt>
                <c:pt idx="417">
                  <c:v>11.135</c:v>
                </c:pt>
                <c:pt idx="418">
                  <c:v>11.143000000000001</c:v>
                </c:pt>
                <c:pt idx="419">
                  <c:v>11.124000000000001</c:v>
                </c:pt>
                <c:pt idx="420">
                  <c:v>11.134</c:v>
                </c:pt>
                <c:pt idx="421">
                  <c:v>11.148999999999999</c:v>
                </c:pt>
                <c:pt idx="422">
                  <c:v>11.135</c:v>
                </c:pt>
                <c:pt idx="423">
                  <c:v>11.132999999999999</c:v>
                </c:pt>
                <c:pt idx="424">
                  <c:v>11.14</c:v>
                </c:pt>
                <c:pt idx="425">
                  <c:v>11.141999999999999</c:v>
                </c:pt>
                <c:pt idx="426">
                  <c:v>11.134</c:v>
                </c:pt>
                <c:pt idx="427">
                  <c:v>11.115</c:v>
                </c:pt>
                <c:pt idx="428">
                  <c:v>11.132999999999999</c:v>
                </c:pt>
                <c:pt idx="429">
                  <c:v>11.144</c:v>
                </c:pt>
                <c:pt idx="430">
                  <c:v>11.129</c:v>
                </c:pt>
                <c:pt idx="431">
                  <c:v>11.128</c:v>
                </c:pt>
                <c:pt idx="432">
                  <c:v>11.132</c:v>
                </c:pt>
                <c:pt idx="433">
                  <c:v>11.141</c:v>
                </c:pt>
                <c:pt idx="434">
                  <c:v>11.138</c:v>
                </c:pt>
                <c:pt idx="435">
                  <c:v>11.138999999999999</c:v>
                </c:pt>
                <c:pt idx="436">
                  <c:v>11.134</c:v>
                </c:pt>
                <c:pt idx="437">
                  <c:v>11.134</c:v>
                </c:pt>
                <c:pt idx="438">
                  <c:v>11.141</c:v>
                </c:pt>
                <c:pt idx="439">
                  <c:v>11.132999999999999</c:v>
                </c:pt>
                <c:pt idx="440">
                  <c:v>11.153</c:v>
                </c:pt>
                <c:pt idx="441">
                  <c:v>11.137</c:v>
                </c:pt>
                <c:pt idx="442">
                  <c:v>11.14</c:v>
                </c:pt>
                <c:pt idx="443">
                  <c:v>11.141999999999999</c:v>
                </c:pt>
                <c:pt idx="444">
                  <c:v>11.137</c:v>
                </c:pt>
                <c:pt idx="445">
                  <c:v>11.119</c:v>
                </c:pt>
                <c:pt idx="446">
                  <c:v>11.132999999999999</c:v>
                </c:pt>
                <c:pt idx="447">
                  <c:v>11.125</c:v>
                </c:pt>
                <c:pt idx="448">
                  <c:v>11.125</c:v>
                </c:pt>
                <c:pt idx="449">
                  <c:v>11.124000000000001</c:v>
                </c:pt>
                <c:pt idx="450">
                  <c:v>11.163</c:v>
                </c:pt>
                <c:pt idx="451">
                  <c:v>11.129</c:v>
                </c:pt>
                <c:pt idx="452">
                  <c:v>11.129</c:v>
                </c:pt>
                <c:pt idx="453">
                  <c:v>11.132999999999999</c:v>
                </c:pt>
                <c:pt idx="454">
                  <c:v>11.118</c:v>
                </c:pt>
                <c:pt idx="455">
                  <c:v>11.131</c:v>
                </c:pt>
                <c:pt idx="456">
                  <c:v>11.128</c:v>
                </c:pt>
                <c:pt idx="457">
                  <c:v>11.137</c:v>
                </c:pt>
                <c:pt idx="458">
                  <c:v>11.143000000000001</c:v>
                </c:pt>
                <c:pt idx="459">
                  <c:v>11.125</c:v>
                </c:pt>
                <c:pt idx="460">
                  <c:v>11.145</c:v>
                </c:pt>
                <c:pt idx="461">
                  <c:v>11.147</c:v>
                </c:pt>
                <c:pt idx="462">
                  <c:v>11.138</c:v>
                </c:pt>
                <c:pt idx="463">
                  <c:v>11.137</c:v>
                </c:pt>
                <c:pt idx="464">
                  <c:v>11.12</c:v>
                </c:pt>
                <c:pt idx="465">
                  <c:v>11.135</c:v>
                </c:pt>
                <c:pt idx="466">
                  <c:v>11.129</c:v>
                </c:pt>
                <c:pt idx="467">
                  <c:v>11.138999999999999</c:v>
                </c:pt>
                <c:pt idx="468">
                  <c:v>11.144</c:v>
                </c:pt>
                <c:pt idx="469">
                  <c:v>11.147</c:v>
                </c:pt>
                <c:pt idx="470">
                  <c:v>11.116</c:v>
                </c:pt>
                <c:pt idx="471">
                  <c:v>11.144</c:v>
                </c:pt>
                <c:pt idx="472">
                  <c:v>11.146000000000001</c:v>
                </c:pt>
                <c:pt idx="473">
                  <c:v>11.14</c:v>
                </c:pt>
                <c:pt idx="474">
                  <c:v>11.114000000000001</c:v>
                </c:pt>
                <c:pt idx="475">
                  <c:v>11.135999999999999</c:v>
                </c:pt>
                <c:pt idx="476">
                  <c:v>11.151</c:v>
                </c:pt>
                <c:pt idx="477">
                  <c:v>11.143000000000001</c:v>
                </c:pt>
                <c:pt idx="478">
                  <c:v>11.147</c:v>
                </c:pt>
                <c:pt idx="479">
                  <c:v>11.141</c:v>
                </c:pt>
                <c:pt idx="480">
                  <c:v>11.143000000000001</c:v>
                </c:pt>
                <c:pt idx="481">
                  <c:v>11.111000000000001</c:v>
                </c:pt>
                <c:pt idx="482">
                  <c:v>11.134</c:v>
                </c:pt>
                <c:pt idx="483">
                  <c:v>11.116</c:v>
                </c:pt>
                <c:pt idx="484">
                  <c:v>11.145</c:v>
                </c:pt>
                <c:pt idx="485">
                  <c:v>11.121</c:v>
                </c:pt>
                <c:pt idx="486">
                  <c:v>11.159000000000001</c:v>
                </c:pt>
                <c:pt idx="487">
                  <c:v>11.116</c:v>
                </c:pt>
                <c:pt idx="488">
                  <c:v>11.147</c:v>
                </c:pt>
                <c:pt idx="489">
                  <c:v>11.167</c:v>
                </c:pt>
                <c:pt idx="490">
                  <c:v>11.134</c:v>
                </c:pt>
                <c:pt idx="491">
                  <c:v>11.137</c:v>
                </c:pt>
                <c:pt idx="492">
                  <c:v>11.148</c:v>
                </c:pt>
                <c:pt idx="493">
                  <c:v>11.132</c:v>
                </c:pt>
                <c:pt idx="494">
                  <c:v>11.137</c:v>
                </c:pt>
                <c:pt idx="495">
                  <c:v>11.137</c:v>
                </c:pt>
                <c:pt idx="496">
                  <c:v>11.15</c:v>
                </c:pt>
                <c:pt idx="497">
                  <c:v>11.129</c:v>
                </c:pt>
                <c:pt idx="498">
                  <c:v>11.164999999999999</c:v>
                </c:pt>
                <c:pt idx="499">
                  <c:v>11.116</c:v>
                </c:pt>
                <c:pt idx="500">
                  <c:v>11.135</c:v>
                </c:pt>
                <c:pt idx="501">
                  <c:v>11.146000000000001</c:v>
                </c:pt>
                <c:pt idx="502">
                  <c:v>11.122</c:v>
                </c:pt>
                <c:pt idx="503">
                  <c:v>11.134</c:v>
                </c:pt>
                <c:pt idx="504">
                  <c:v>11.137</c:v>
                </c:pt>
                <c:pt idx="505">
                  <c:v>11.161</c:v>
                </c:pt>
                <c:pt idx="506">
                  <c:v>11.132999999999999</c:v>
                </c:pt>
                <c:pt idx="507">
                  <c:v>11.14</c:v>
                </c:pt>
                <c:pt idx="508">
                  <c:v>11.138999999999999</c:v>
                </c:pt>
                <c:pt idx="509">
                  <c:v>11.134</c:v>
                </c:pt>
                <c:pt idx="510">
                  <c:v>11.119</c:v>
                </c:pt>
                <c:pt idx="511">
                  <c:v>11.121</c:v>
                </c:pt>
                <c:pt idx="512">
                  <c:v>11.141</c:v>
                </c:pt>
                <c:pt idx="513">
                  <c:v>11.116</c:v>
                </c:pt>
                <c:pt idx="514">
                  <c:v>11.137</c:v>
                </c:pt>
                <c:pt idx="515">
                  <c:v>11.141</c:v>
                </c:pt>
                <c:pt idx="516">
                  <c:v>11.135999999999999</c:v>
                </c:pt>
                <c:pt idx="517">
                  <c:v>11.131</c:v>
                </c:pt>
                <c:pt idx="518">
                  <c:v>11.153</c:v>
                </c:pt>
                <c:pt idx="519">
                  <c:v>11.14</c:v>
                </c:pt>
                <c:pt idx="520">
                  <c:v>11.138</c:v>
                </c:pt>
                <c:pt idx="521">
                  <c:v>11.13</c:v>
                </c:pt>
                <c:pt idx="522">
                  <c:v>11.144</c:v>
                </c:pt>
                <c:pt idx="523">
                  <c:v>11.138999999999999</c:v>
                </c:pt>
                <c:pt idx="524">
                  <c:v>11.143000000000001</c:v>
                </c:pt>
                <c:pt idx="525">
                  <c:v>11.135999999999999</c:v>
                </c:pt>
                <c:pt idx="526">
                  <c:v>11.138999999999999</c:v>
                </c:pt>
                <c:pt idx="527">
                  <c:v>11.141999999999999</c:v>
                </c:pt>
                <c:pt idx="528">
                  <c:v>11.137</c:v>
                </c:pt>
                <c:pt idx="529">
                  <c:v>11.12</c:v>
                </c:pt>
                <c:pt idx="530">
                  <c:v>11.147</c:v>
                </c:pt>
                <c:pt idx="531">
                  <c:v>11.125</c:v>
                </c:pt>
                <c:pt idx="532">
                  <c:v>11.144</c:v>
                </c:pt>
                <c:pt idx="533">
                  <c:v>11.138999999999999</c:v>
                </c:pt>
                <c:pt idx="534">
                  <c:v>11.148999999999999</c:v>
                </c:pt>
                <c:pt idx="535">
                  <c:v>11.14</c:v>
                </c:pt>
                <c:pt idx="536">
                  <c:v>11.125999999999999</c:v>
                </c:pt>
                <c:pt idx="537">
                  <c:v>11.148999999999999</c:v>
                </c:pt>
                <c:pt idx="538">
                  <c:v>11.138999999999999</c:v>
                </c:pt>
                <c:pt idx="539">
                  <c:v>11.15</c:v>
                </c:pt>
                <c:pt idx="540">
                  <c:v>11.122</c:v>
                </c:pt>
                <c:pt idx="541">
                  <c:v>11.147</c:v>
                </c:pt>
                <c:pt idx="542">
                  <c:v>11.163</c:v>
                </c:pt>
                <c:pt idx="543">
                  <c:v>11.135</c:v>
                </c:pt>
                <c:pt idx="544">
                  <c:v>11.143000000000001</c:v>
                </c:pt>
                <c:pt idx="545">
                  <c:v>11.141</c:v>
                </c:pt>
                <c:pt idx="546">
                  <c:v>11.135</c:v>
                </c:pt>
                <c:pt idx="547">
                  <c:v>11.143000000000001</c:v>
                </c:pt>
                <c:pt idx="548">
                  <c:v>11.151</c:v>
                </c:pt>
                <c:pt idx="549">
                  <c:v>11.141</c:v>
                </c:pt>
                <c:pt idx="550">
                  <c:v>11.138</c:v>
                </c:pt>
                <c:pt idx="551">
                  <c:v>11.146000000000001</c:v>
                </c:pt>
                <c:pt idx="552">
                  <c:v>11.138999999999999</c:v>
                </c:pt>
                <c:pt idx="553">
                  <c:v>11.151</c:v>
                </c:pt>
                <c:pt idx="554">
                  <c:v>11.135</c:v>
                </c:pt>
                <c:pt idx="555">
                  <c:v>11.151999999999999</c:v>
                </c:pt>
                <c:pt idx="556">
                  <c:v>11.135</c:v>
                </c:pt>
                <c:pt idx="557">
                  <c:v>11.137</c:v>
                </c:pt>
                <c:pt idx="558">
                  <c:v>11.135999999999999</c:v>
                </c:pt>
                <c:pt idx="559">
                  <c:v>11.134</c:v>
                </c:pt>
                <c:pt idx="560">
                  <c:v>11.132999999999999</c:v>
                </c:pt>
                <c:pt idx="561">
                  <c:v>11.137</c:v>
                </c:pt>
                <c:pt idx="562">
                  <c:v>11.151</c:v>
                </c:pt>
                <c:pt idx="563">
                  <c:v>11.127000000000001</c:v>
                </c:pt>
                <c:pt idx="564">
                  <c:v>11.14</c:v>
                </c:pt>
                <c:pt idx="565">
                  <c:v>11.14</c:v>
                </c:pt>
                <c:pt idx="566">
                  <c:v>11.132999999999999</c:v>
                </c:pt>
                <c:pt idx="567">
                  <c:v>11.135</c:v>
                </c:pt>
                <c:pt idx="568">
                  <c:v>11.138</c:v>
                </c:pt>
                <c:pt idx="569">
                  <c:v>11.134</c:v>
                </c:pt>
                <c:pt idx="570">
                  <c:v>11.144</c:v>
                </c:pt>
                <c:pt idx="571">
                  <c:v>11.122999999999999</c:v>
                </c:pt>
                <c:pt idx="572">
                  <c:v>11.141999999999999</c:v>
                </c:pt>
                <c:pt idx="573">
                  <c:v>11.137</c:v>
                </c:pt>
                <c:pt idx="574">
                  <c:v>11.135</c:v>
                </c:pt>
                <c:pt idx="575">
                  <c:v>11.15</c:v>
                </c:pt>
                <c:pt idx="576">
                  <c:v>11.121</c:v>
                </c:pt>
                <c:pt idx="577">
                  <c:v>11.138</c:v>
                </c:pt>
                <c:pt idx="578">
                  <c:v>11.135999999999999</c:v>
                </c:pt>
                <c:pt idx="579">
                  <c:v>11.132999999999999</c:v>
                </c:pt>
                <c:pt idx="580">
                  <c:v>11.128</c:v>
                </c:pt>
                <c:pt idx="581">
                  <c:v>11.11</c:v>
                </c:pt>
                <c:pt idx="582">
                  <c:v>11.163</c:v>
                </c:pt>
                <c:pt idx="583">
                  <c:v>11.132999999999999</c:v>
                </c:pt>
                <c:pt idx="584">
                  <c:v>11.151999999999999</c:v>
                </c:pt>
                <c:pt idx="585">
                  <c:v>11.138999999999999</c:v>
                </c:pt>
                <c:pt idx="586">
                  <c:v>11.134</c:v>
                </c:pt>
                <c:pt idx="587">
                  <c:v>11.112</c:v>
                </c:pt>
                <c:pt idx="588">
                  <c:v>11.131</c:v>
                </c:pt>
                <c:pt idx="589">
                  <c:v>11.163</c:v>
                </c:pt>
                <c:pt idx="590">
                  <c:v>11.117000000000001</c:v>
                </c:pt>
                <c:pt idx="591">
                  <c:v>11.125999999999999</c:v>
                </c:pt>
                <c:pt idx="592">
                  <c:v>11.135999999999999</c:v>
                </c:pt>
                <c:pt idx="593">
                  <c:v>11.132999999999999</c:v>
                </c:pt>
                <c:pt idx="594">
                  <c:v>11.135</c:v>
                </c:pt>
                <c:pt idx="595">
                  <c:v>11.135999999999999</c:v>
                </c:pt>
                <c:pt idx="596">
                  <c:v>11.117000000000001</c:v>
                </c:pt>
                <c:pt idx="597">
                  <c:v>11.138</c:v>
                </c:pt>
                <c:pt idx="598">
                  <c:v>11.148</c:v>
                </c:pt>
                <c:pt idx="599">
                  <c:v>11.129</c:v>
                </c:pt>
                <c:pt idx="600">
                  <c:v>11.122999999999999</c:v>
                </c:pt>
                <c:pt idx="601">
                  <c:v>11.125999999999999</c:v>
                </c:pt>
                <c:pt idx="602">
                  <c:v>11.135</c:v>
                </c:pt>
                <c:pt idx="603">
                  <c:v>11.13</c:v>
                </c:pt>
                <c:pt idx="604">
                  <c:v>11.13</c:v>
                </c:pt>
                <c:pt idx="605">
                  <c:v>11.14</c:v>
                </c:pt>
                <c:pt idx="606">
                  <c:v>11.135999999999999</c:v>
                </c:pt>
                <c:pt idx="607">
                  <c:v>11.129</c:v>
                </c:pt>
                <c:pt idx="608">
                  <c:v>11.138</c:v>
                </c:pt>
                <c:pt idx="609">
                  <c:v>11.128</c:v>
                </c:pt>
                <c:pt idx="610">
                  <c:v>11.135</c:v>
                </c:pt>
                <c:pt idx="611">
                  <c:v>11.132999999999999</c:v>
                </c:pt>
                <c:pt idx="612">
                  <c:v>11.144</c:v>
                </c:pt>
                <c:pt idx="613">
                  <c:v>11.132999999999999</c:v>
                </c:pt>
                <c:pt idx="614">
                  <c:v>11.134</c:v>
                </c:pt>
                <c:pt idx="615">
                  <c:v>11.146000000000001</c:v>
                </c:pt>
                <c:pt idx="616">
                  <c:v>11.131</c:v>
                </c:pt>
                <c:pt idx="617">
                  <c:v>11.124000000000001</c:v>
                </c:pt>
                <c:pt idx="618">
                  <c:v>11.128</c:v>
                </c:pt>
                <c:pt idx="619">
                  <c:v>11.11</c:v>
                </c:pt>
                <c:pt idx="620">
                  <c:v>11.135</c:v>
                </c:pt>
                <c:pt idx="621">
                  <c:v>11.137</c:v>
                </c:pt>
                <c:pt idx="622">
                  <c:v>11.135</c:v>
                </c:pt>
                <c:pt idx="623">
                  <c:v>11.132999999999999</c:v>
                </c:pt>
                <c:pt idx="624">
                  <c:v>11.132</c:v>
                </c:pt>
                <c:pt idx="625">
                  <c:v>11.131</c:v>
                </c:pt>
                <c:pt idx="626">
                  <c:v>11.115</c:v>
                </c:pt>
                <c:pt idx="627">
                  <c:v>11.143000000000001</c:v>
                </c:pt>
                <c:pt idx="628">
                  <c:v>11.127000000000001</c:v>
                </c:pt>
                <c:pt idx="629">
                  <c:v>11.116</c:v>
                </c:pt>
                <c:pt idx="630">
                  <c:v>11.125999999999999</c:v>
                </c:pt>
                <c:pt idx="631">
                  <c:v>11.122</c:v>
                </c:pt>
                <c:pt idx="632">
                  <c:v>11.132999999999999</c:v>
                </c:pt>
                <c:pt idx="633">
                  <c:v>11.125999999999999</c:v>
                </c:pt>
                <c:pt idx="634">
                  <c:v>11.144</c:v>
                </c:pt>
                <c:pt idx="635">
                  <c:v>11.141</c:v>
                </c:pt>
                <c:pt idx="636">
                  <c:v>11.114000000000001</c:v>
                </c:pt>
                <c:pt idx="637">
                  <c:v>11.159000000000001</c:v>
                </c:pt>
                <c:pt idx="638">
                  <c:v>11.131</c:v>
                </c:pt>
                <c:pt idx="639">
                  <c:v>11.135</c:v>
                </c:pt>
                <c:pt idx="640">
                  <c:v>11.117000000000001</c:v>
                </c:pt>
                <c:pt idx="641">
                  <c:v>11.131</c:v>
                </c:pt>
                <c:pt idx="642">
                  <c:v>11.124000000000001</c:v>
                </c:pt>
                <c:pt idx="643">
                  <c:v>11.159000000000001</c:v>
                </c:pt>
                <c:pt idx="644">
                  <c:v>11.113</c:v>
                </c:pt>
                <c:pt idx="645">
                  <c:v>11.144</c:v>
                </c:pt>
                <c:pt idx="646">
                  <c:v>11.138999999999999</c:v>
                </c:pt>
                <c:pt idx="647">
                  <c:v>11.13</c:v>
                </c:pt>
                <c:pt idx="648">
                  <c:v>11.143000000000001</c:v>
                </c:pt>
                <c:pt idx="649">
                  <c:v>11.12</c:v>
                </c:pt>
                <c:pt idx="650">
                  <c:v>11.173999999999999</c:v>
                </c:pt>
                <c:pt idx="651">
                  <c:v>11.191000000000001</c:v>
                </c:pt>
                <c:pt idx="652">
                  <c:v>11.186999999999999</c:v>
                </c:pt>
                <c:pt idx="653">
                  <c:v>11.195</c:v>
                </c:pt>
                <c:pt idx="654">
                  <c:v>11.125999999999999</c:v>
                </c:pt>
                <c:pt idx="655">
                  <c:v>11.125999999999999</c:v>
                </c:pt>
                <c:pt idx="656">
                  <c:v>11.113</c:v>
                </c:pt>
                <c:pt idx="657">
                  <c:v>11.115</c:v>
                </c:pt>
                <c:pt idx="658">
                  <c:v>11.132</c:v>
                </c:pt>
                <c:pt idx="659">
                  <c:v>11.125999999999999</c:v>
                </c:pt>
                <c:pt idx="660">
                  <c:v>11.122999999999999</c:v>
                </c:pt>
                <c:pt idx="661">
                  <c:v>11.124000000000001</c:v>
                </c:pt>
                <c:pt idx="662">
                  <c:v>11.125</c:v>
                </c:pt>
                <c:pt idx="663">
                  <c:v>11.125999999999999</c:v>
                </c:pt>
                <c:pt idx="664">
                  <c:v>11.118</c:v>
                </c:pt>
                <c:pt idx="665">
                  <c:v>11.12</c:v>
                </c:pt>
                <c:pt idx="666">
                  <c:v>11.122</c:v>
                </c:pt>
                <c:pt idx="667">
                  <c:v>11.118</c:v>
                </c:pt>
                <c:pt idx="668">
                  <c:v>11.132999999999999</c:v>
                </c:pt>
                <c:pt idx="669">
                  <c:v>11.128</c:v>
                </c:pt>
                <c:pt idx="670">
                  <c:v>11.124000000000001</c:v>
                </c:pt>
                <c:pt idx="671">
                  <c:v>11.132999999999999</c:v>
                </c:pt>
                <c:pt idx="672">
                  <c:v>11.13</c:v>
                </c:pt>
                <c:pt idx="673">
                  <c:v>11.122999999999999</c:v>
                </c:pt>
                <c:pt idx="674">
                  <c:v>11.128</c:v>
                </c:pt>
                <c:pt idx="675">
                  <c:v>11.125</c:v>
                </c:pt>
                <c:pt idx="676">
                  <c:v>11.131</c:v>
                </c:pt>
                <c:pt idx="677">
                  <c:v>11.124000000000001</c:v>
                </c:pt>
                <c:pt idx="678">
                  <c:v>11.122</c:v>
                </c:pt>
                <c:pt idx="679">
                  <c:v>11.121</c:v>
                </c:pt>
                <c:pt idx="680">
                  <c:v>11.237</c:v>
                </c:pt>
                <c:pt idx="681">
                  <c:v>11.222</c:v>
                </c:pt>
                <c:pt idx="682">
                  <c:v>11.256</c:v>
                </c:pt>
                <c:pt idx="683">
                  <c:v>11.231</c:v>
                </c:pt>
                <c:pt idx="684">
                  <c:v>11.228999999999999</c:v>
                </c:pt>
                <c:pt idx="685">
                  <c:v>11.249000000000001</c:v>
                </c:pt>
                <c:pt idx="686">
                  <c:v>11.262</c:v>
                </c:pt>
                <c:pt idx="687">
                  <c:v>11.3</c:v>
                </c:pt>
                <c:pt idx="688">
                  <c:v>11.308</c:v>
                </c:pt>
                <c:pt idx="689">
                  <c:v>11.305999999999999</c:v>
                </c:pt>
                <c:pt idx="690">
                  <c:v>11.304</c:v>
                </c:pt>
                <c:pt idx="691">
                  <c:v>11.323</c:v>
                </c:pt>
                <c:pt idx="692">
                  <c:v>11.337</c:v>
                </c:pt>
                <c:pt idx="693">
                  <c:v>11.35</c:v>
                </c:pt>
                <c:pt idx="694">
                  <c:v>11.377000000000001</c:v>
                </c:pt>
                <c:pt idx="695">
                  <c:v>11.364000000000001</c:v>
                </c:pt>
                <c:pt idx="696">
                  <c:v>11.393000000000001</c:v>
                </c:pt>
                <c:pt idx="697">
                  <c:v>11.387</c:v>
                </c:pt>
                <c:pt idx="698">
                  <c:v>11.347</c:v>
                </c:pt>
                <c:pt idx="699">
                  <c:v>11.343999999999999</c:v>
                </c:pt>
                <c:pt idx="700">
                  <c:v>11.358000000000001</c:v>
                </c:pt>
                <c:pt idx="701">
                  <c:v>11.356</c:v>
                </c:pt>
                <c:pt idx="702">
                  <c:v>11.388999999999999</c:v>
                </c:pt>
                <c:pt idx="703">
                  <c:v>11.403</c:v>
                </c:pt>
                <c:pt idx="704">
                  <c:v>11.367000000000001</c:v>
                </c:pt>
                <c:pt idx="705">
                  <c:v>11.372999999999999</c:v>
                </c:pt>
                <c:pt idx="706">
                  <c:v>11.368</c:v>
                </c:pt>
                <c:pt idx="707">
                  <c:v>11.369</c:v>
                </c:pt>
                <c:pt idx="708">
                  <c:v>11.41</c:v>
                </c:pt>
                <c:pt idx="709">
                  <c:v>11.43</c:v>
                </c:pt>
                <c:pt idx="710">
                  <c:v>11.417</c:v>
                </c:pt>
                <c:pt idx="711">
                  <c:v>11.43</c:v>
                </c:pt>
                <c:pt idx="712">
                  <c:v>11.427</c:v>
                </c:pt>
                <c:pt idx="713">
                  <c:v>11.430999999999999</c:v>
                </c:pt>
                <c:pt idx="714">
                  <c:v>11.44</c:v>
                </c:pt>
                <c:pt idx="715">
                  <c:v>11.417999999999999</c:v>
                </c:pt>
                <c:pt idx="716">
                  <c:v>11.459</c:v>
                </c:pt>
                <c:pt idx="717">
                  <c:v>11.413</c:v>
                </c:pt>
                <c:pt idx="718">
                  <c:v>11.414999999999999</c:v>
                </c:pt>
                <c:pt idx="719">
                  <c:v>11.444000000000001</c:v>
                </c:pt>
                <c:pt idx="720">
                  <c:v>11.446</c:v>
                </c:pt>
                <c:pt idx="721">
                  <c:v>11.475</c:v>
                </c:pt>
                <c:pt idx="722">
                  <c:v>11.481</c:v>
                </c:pt>
                <c:pt idx="723">
                  <c:v>11.449</c:v>
                </c:pt>
                <c:pt idx="724">
                  <c:v>11.48</c:v>
                </c:pt>
                <c:pt idx="725">
                  <c:v>11.48</c:v>
                </c:pt>
                <c:pt idx="726">
                  <c:v>11.481</c:v>
                </c:pt>
                <c:pt idx="727">
                  <c:v>11.451000000000001</c:v>
                </c:pt>
                <c:pt idx="728">
                  <c:v>11.449</c:v>
                </c:pt>
                <c:pt idx="729">
                  <c:v>11.504</c:v>
                </c:pt>
                <c:pt idx="730">
                  <c:v>11.504</c:v>
                </c:pt>
                <c:pt idx="731">
                  <c:v>11.526</c:v>
                </c:pt>
                <c:pt idx="732">
                  <c:v>11.537000000000001</c:v>
                </c:pt>
                <c:pt idx="733">
                  <c:v>11.478999999999999</c:v>
                </c:pt>
                <c:pt idx="734">
                  <c:v>11.484</c:v>
                </c:pt>
                <c:pt idx="735">
                  <c:v>11.516999999999999</c:v>
                </c:pt>
                <c:pt idx="736">
                  <c:v>11.5</c:v>
                </c:pt>
                <c:pt idx="737">
                  <c:v>11.526999999999999</c:v>
                </c:pt>
                <c:pt idx="738">
                  <c:v>11.528</c:v>
                </c:pt>
                <c:pt idx="739">
                  <c:v>11.484</c:v>
                </c:pt>
                <c:pt idx="740">
                  <c:v>11.484</c:v>
                </c:pt>
                <c:pt idx="741">
                  <c:v>11.51</c:v>
                </c:pt>
                <c:pt idx="742">
                  <c:v>11.54</c:v>
                </c:pt>
                <c:pt idx="743">
                  <c:v>11.557</c:v>
                </c:pt>
                <c:pt idx="744">
                  <c:v>11.539</c:v>
                </c:pt>
                <c:pt idx="745">
                  <c:v>11.494999999999999</c:v>
                </c:pt>
                <c:pt idx="746">
                  <c:v>11.491</c:v>
                </c:pt>
                <c:pt idx="747">
                  <c:v>11.52</c:v>
                </c:pt>
                <c:pt idx="748">
                  <c:v>11.54</c:v>
                </c:pt>
                <c:pt idx="749">
                  <c:v>11.542999999999999</c:v>
                </c:pt>
                <c:pt idx="750">
                  <c:v>11.554</c:v>
                </c:pt>
                <c:pt idx="751">
                  <c:v>11.537000000000001</c:v>
                </c:pt>
                <c:pt idx="752">
                  <c:v>11.555999999999999</c:v>
                </c:pt>
                <c:pt idx="753">
                  <c:v>11.548999999999999</c:v>
                </c:pt>
                <c:pt idx="754">
                  <c:v>11.57</c:v>
                </c:pt>
                <c:pt idx="755">
                  <c:v>11.587</c:v>
                </c:pt>
                <c:pt idx="756">
                  <c:v>11.602</c:v>
                </c:pt>
                <c:pt idx="757">
                  <c:v>11.58</c:v>
                </c:pt>
                <c:pt idx="758">
                  <c:v>11.597</c:v>
                </c:pt>
                <c:pt idx="759">
                  <c:v>11.590999999999999</c:v>
                </c:pt>
                <c:pt idx="760">
                  <c:v>11.606</c:v>
                </c:pt>
                <c:pt idx="761">
                  <c:v>11.59</c:v>
                </c:pt>
                <c:pt idx="762">
                  <c:v>11.583</c:v>
                </c:pt>
                <c:pt idx="763">
                  <c:v>11.618</c:v>
                </c:pt>
                <c:pt idx="764">
                  <c:v>11.627000000000001</c:v>
                </c:pt>
                <c:pt idx="765">
                  <c:v>11.613</c:v>
                </c:pt>
                <c:pt idx="766">
                  <c:v>11.55</c:v>
                </c:pt>
                <c:pt idx="767">
                  <c:v>11.638999999999999</c:v>
                </c:pt>
                <c:pt idx="768">
                  <c:v>11.645</c:v>
                </c:pt>
                <c:pt idx="769">
                  <c:v>11.602</c:v>
                </c:pt>
                <c:pt idx="770">
                  <c:v>11.609</c:v>
                </c:pt>
                <c:pt idx="771">
                  <c:v>11.651</c:v>
                </c:pt>
                <c:pt idx="772">
                  <c:v>11.651</c:v>
                </c:pt>
                <c:pt idx="773">
                  <c:v>11.627000000000001</c:v>
                </c:pt>
                <c:pt idx="774">
                  <c:v>11.614000000000001</c:v>
                </c:pt>
                <c:pt idx="775">
                  <c:v>11.638999999999999</c:v>
                </c:pt>
                <c:pt idx="776">
                  <c:v>11.628</c:v>
                </c:pt>
                <c:pt idx="777">
                  <c:v>11.645</c:v>
                </c:pt>
                <c:pt idx="778">
                  <c:v>11.63</c:v>
                </c:pt>
                <c:pt idx="779">
                  <c:v>11.611000000000001</c:v>
                </c:pt>
                <c:pt idx="780">
                  <c:v>11.628</c:v>
                </c:pt>
                <c:pt idx="781">
                  <c:v>11.653</c:v>
                </c:pt>
                <c:pt idx="782">
                  <c:v>11.661</c:v>
                </c:pt>
                <c:pt idx="783">
                  <c:v>11.667999999999999</c:v>
                </c:pt>
                <c:pt idx="784">
                  <c:v>11.69</c:v>
                </c:pt>
                <c:pt idx="785">
                  <c:v>11.641</c:v>
                </c:pt>
                <c:pt idx="786">
                  <c:v>11.635999999999999</c:v>
                </c:pt>
                <c:pt idx="787">
                  <c:v>11.69</c:v>
                </c:pt>
                <c:pt idx="788">
                  <c:v>11.651</c:v>
                </c:pt>
                <c:pt idx="789">
                  <c:v>11.629</c:v>
                </c:pt>
                <c:pt idx="790">
                  <c:v>11.629</c:v>
                </c:pt>
                <c:pt idx="791">
                  <c:v>11.696</c:v>
                </c:pt>
                <c:pt idx="792">
                  <c:v>11.698</c:v>
                </c:pt>
                <c:pt idx="793">
                  <c:v>11.641</c:v>
                </c:pt>
                <c:pt idx="794">
                  <c:v>11.682</c:v>
                </c:pt>
                <c:pt idx="795">
                  <c:v>11.601000000000001</c:v>
                </c:pt>
                <c:pt idx="796">
                  <c:v>11.613</c:v>
                </c:pt>
                <c:pt idx="797">
                  <c:v>11.686999999999999</c:v>
                </c:pt>
                <c:pt idx="798">
                  <c:v>11.662000000000001</c:v>
                </c:pt>
                <c:pt idx="799">
                  <c:v>11.683</c:v>
                </c:pt>
                <c:pt idx="800">
                  <c:v>11.686999999999999</c:v>
                </c:pt>
                <c:pt idx="801">
                  <c:v>11.645</c:v>
                </c:pt>
                <c:pt idx="802">
                  <c:v>11.635999999999999</c:v>
                </c:pt>
                <c:pt idx="803">
                  <c:v>11.659000000000001</c:v>
                </c:pt>
                <c:pt idx="804">
                  <c:v>11.678000000000001</c:v>
                </c:pt>
                <c:pt idx="805">
                  <c:v>11.691000000000001</c:v>
                </c:pt>
                <c:pt idx="806">
                  <c:v>11.648</c:v>
                </c:pt>
                <c:pt idx="807">
                  <c:v>11.711</c:v>
                </c:pt>
                <c:pt idx="808">
                  <c:v>11.717000000000001</c:v>
                </c:pt>
                <c:pt idx="809">
                  <c:v>11.657999999999999</c:v>
                </c:pt>
                <c:pt idx="810">
                  <c:v>11.663</c:v>
                </c:pt>
                <c:pt idx="811">
                  <c:v>11.715</c:v>
                </c:pt>
                <c:pt idx="812">
                  <c:v>11.71</c:v>
                </c:pt>
                <c:pt idx="813">
                  <c:v>11.714</c:v>
                </c:pt>
                <c:pt idx="814">
                  <c:v>11.718999999999999</c:v>
                </c:pt>
                <c:pt idx="815">
                  <c:v>11.685</c:v>
                </c:pt>
                <c:pt idx="816">
                  <c:v>11.688000000000001</c:v>
                </c:pt>
                <c:pt idx="817">
                  <c:v>11.754</c:v>
                </c:pt>
                <c:pt idx="818">
                  <c:v>11.731</c:v>
                </c:pt>
                <c:pt idx="819">
                  <c:v>11.73</c:v>
                </c:pt>
                <c:pt idx="820">
                  <c:v>11.728999999999999</c:v>
                </c:pt>
                <c:pt idx="821">
                  <c:v>11.7</c:v>
                </c:pt>
                <c:pt idx="822">
                  <c:v>11.7</c:v>
                </c:pt>
                <c:pt idx="823">
                  <c:v>11.715</c:v>
                </c:pt>
                <c:pt idx="824">
                  <c:v>11.722</c:v>
                </c:pt>
                <c:pt idx="825">
                  <c:v>11.759</c:v>
                </c:pt>
                <c:pt idx="826">
                  <c:v>11.74</c:v>
                </c:pt>
                <c:pt idx="827">
                  <c:v>11.728</c:v>
                </c:pt>
                <c:pt idx="828">
                  <c:v>11.741</c:v>
                </c:pt>
                <c:pt idx="829">
                  <c:v>11.731</c:v>
                </c:pt>
                <c:pt idx="830">
                  <c:v>11.66</c:v>
                </c:pt>
                <c:pt idx="831">
                  <c:v>11.727</c:v>
                </c:pt>
                <c:pt idx="832">
                  <c:v>11.712</c:v>
                </c:pt>
                <c:pt idx="833">
                  <c:v>11.757</c:v>
                </c:pt>
                <c:pt idx="834">
                  <c:v>11.753</c:v>
                </c:pt>
                <c:pt idx="835">
                  <c:v>11.712</c:v>
                </c:pt>
                <c:pt idx="836">
                  <c:v>11.718</c:v>
                </c:pt>
                <c:pt idx="837">
                  <c:v>11.779</c:v>
                </c:pt>
                <c:pt idx="838">
                  <c:v>11.789</c:v>
                </c:pt>
                <c:pt idx="839">
                  <c:v>11.768000000000001</c:v>
                </c:pt>
                <c:pt idx="840">
                  <c:v>11.787000000000001</c:v>
                </c:pt>
                <c:pt idx="841">
                  <c:v>11.782999999999999</c:v>
                </c:pt>
                <c:pt idx="842">
                  <c:v>11.744999999999999</c:v>
                </c:pt>
                <c:pt idx="843">
                  <c:v>11.741</c:v>
                </c:pt>
                <c:pt idx="844">
                  <c:v>11.826000000000001</c:v>
                </c:pt>
                <c:pt idx="845">
                  <c:v>11.808999999999999</c:v>
                </c:pt>
                <c:pt idx="846">
                  <c:v>11.817</c:v>
                </c:pt>
                <c:pt idx="847">
                  <c:v>11.805</c:v>
                </c:pt>
                <c:pt idx="848">
                  <c:v>11.81</c:v>
                </c:pt>
                <c:pt idx="849">
                  <c:v>11.849</c:v>
                </c:pt>
                <c:pt idx="850">
                  <c:v>11.845000000000001</c:v>
                </c:pt>
                <c:pt idx="851">
                  <c:v>11.765000000000001</c:v>
                </c:pt>
                <c:pt idx="852">
                  <c:v>11.853</c:v>
                </c:pt>
                <c:pt idx="853">
                  <c:v>11.791</c:v>
                </c:pt>
                <c:pt idx="854">
                  <c:v>11.839</c:v>
                </c:pt>
                <c:pt idx="855">
                  <c:v>11.833</c:v>
                </c:pt>
                <c:pt idx="856">
                  <c:v>11.795999999999999</c:v>
                </c:pt>
                <c:pt idx="857">
                  <c:v>11.794</c:v>
                </c:pt>
                <c:pt idx="858">
                  <c:v>11.829000000000001</c:v>
                </c:pt>
                <c:pt idx="859">
                  <c:v>11.856</c:v>
                </c:pt>
                <c:pt idx="860">
                  <c:v>11.911</c:v>
                </c:pt>
                <c:pt idx="861">
                  <c:v>11.881</c:v>
                </c:pt>
                <c:pt idx="862">
                  <c:v>11.858000000000001</c:v>
                </c:pt>
                <c:pt idx="863">
                  <c:v>11.868</c:v>
                </c:pt>
                <c:pt idx="864">
                  <c:v>11.930999999999999</c:v>
                </c:pt>
                <c:pt idx="865">
                  <c:v>11.914</c:v>
                </c:pt>
                <c:pt idx="866">
                  <c:v>11.914999999999999</c:v>
                </c:pt>
                <c:pt idx="867">
                  <c:v>11.867000000000001</c:v>
                </c:pt>
                <c:pt idx="868">
                  <c:v>11.874000000000001</c:v>
                </c:pt>
                <c:pt idx="869">
                  <c:v>11.962</c:v>
                </c:pt>
                <c:pt idx="870">
                  <c:v>11.94</c:v>
                </c:pt>
                <c:pt idx="871">
                  <c:v>11.9</c:v>
                </c:pt>
                <c:pt idx="872">
                  <c:v>12.003</c:v>
                </c:pt>
                <c:pt idx="873">
                  <c:v>11.986000000000001</c:v>
                </c:pt>
                <c:pt idx="874">
                  <c:v>11.95</c:v>
                </c:pt>
                <c:pt idx="875">
                  <c:v>11.949</c:v>
                </c:pt>
                <c:pt idx="876">
                  <c:v>11.99</c:v>
                </c:pt>
                <c:pt idx="877">
                  <c:v>11.997999999999999</c:v>
                </c:pt>
                <c:pt idx="878">
                  <c:v>12.05</c:v>
                </c:pt>
                <c:pt idx="879">
                  <c:v>12.010999999999999</c:v>
                </c:pt>
                <c:pt idx="880">
                  <c:v>11.997999999999999</c:v>
                </c:pt>
                <c:pt idx="881">
                  <c:v>12.013999999999999</c:v>
                </c:pt>
                <c:pt idx="882">
                  <c:v>11.959</c:v>
                </c:pt>
                <c:pt idx="883">
                  <c:v>11.964</c:v>
                </c:pt>
                <c:pt idx="884">
                  <c:v>11.984999999999999</c:v>
                </c:pt>
                <c:pt idx="885">
                  <c:v>12.074999999999999</c:v>
                </c:pt>
                <c:pt idx="886">
                  <c:v>12.065</c:v>
                </c:pt>
                <c:pt idx="887">
                  <c:v>12.079000000000001</c:v>
                </c:pt>
                <c:pt idx="888">
                  <c:v>12.095000000000001</c:v>
                </c:pt>
                <c:pt idx="889">
                  <c:v>12.045</c:v>
                </c:pt>
                <c:pt idx="890">
                  <c:v>12.048999999999999</c:v>
                </c:pt>
                <c:pt idx="891">
                  <c:v>12.077</c:v>
                </c:pt>
                <c:pt idx="892">
                  <c:v>12.106</c:v>
                </c:pt>
                <c:pt idx="893">
                  <c:v>12.054</c:v>
                </c:pt>
                <c:pt idx="894">
                  <c:v>12.09</c:v>
                </c:pt>
                <c:pt idx="895">
                  <c:v>12.106</c:v>
                </c:pt>
                <c:pt idx="896">
                  <c:v>12.13</c:v>
                </c:pt>
                <c:pt idx="897">
                  <c:v>12.144</c:v>
                </c:pt>
                <c:pt idx="898">
                  <c:v>12.108000000000001</c:v>
                </c:pt>
                <c:pt idx="899">
                  <c:v>12.109</c:v>
                </c:pt>
                <c:pt idx="900">
                  <c:v>12.122</c:v>
                </c:pt>
                <c:pt idx="901">
                  <c:v>12.074999999999999</c:v>
                </c:pt>
                <c:pt idx="902">
                  <c:v>12.076000000000001</c:v>
                </c:pt>
                <c:pt idx="903">
                  <c:v>12.086</c:v>
                </c:pt>
                <c:pt idx="904">
                  <c:v>12.082000000000001</c:v>
                </c:pt>
                <c:pt idx="905">
                  <c:v>12.093</c:v>
                </c:pt>
                <c:pt idx="906">
                  <c:v>12.07</c:v>
                </c:pt>
                <c:pt idx="907">
                  <c:v>12.179</c:v>
                </c:pt>
                <c:pt idx="908">
                  <c:v>12.162000000000001</c:v>
                </c:pt>
                <c:pt idx="909">
                  <c:v>12.151999999999999</c:v>
                </c:pt>
                <c:pt idx="910">
                  <c:v>12.121</c:v>
                </c:pt>
                <c:pt idx="911">
                  <c:v>12.211</c:v>
                </c:pt>
                <c:pt idx="912">
                  <c:v>12.166</c:v>
                </c:pt>
                <c:pt idx="913">
                  <c:v>12.366</c:v>
                </c:pt>
                <c:pt idx="914">
                  <c:v>12.185</c:v>
                </c:pt>
                <c:pt idx="915">
                  <c:v>12.61</c:v>
                </c:pt>
                <c:pt idx="916">
                  <c:v>12.624000000000001</c:v>
                </c:pt>
                <c:pt idx="917">
                  <c:v>12.718999999999999</c:v>
                </c:pt>
                <c:pt idx="918">
                  <c:v>12.763</c:v>
                </c:pt>
                <c:pt idx="919">
                  <c:v>12.858000000000001</c:v>
                </c:pt>
                <c:pt idx="920">
                  <c:v>12.851000000000001</c:v>
                </c:pt>
                <c:pt idx="921">
                  <c:v>12.964</c:v>
                </c:pt>
                <c:pt idx="922">
                  <c:v>12.923999999999999</c:v>
                </c:pt>
                <c:pt idx="923">
                  <c:v>12.824999999999999</c:v>
                </c:pt>
                <c:pt idx="924">
                  <c:v>12.82</c:v>
                </c:pt>
                <c:pt idx="925">
                  <c:v>12.79</c:v>
                </c:pt>
                <c:pt idx="926">
                  <c:v>12.88</c:v>
                </c:pt>
                <c:pt idx="927">
                  <c:v>12.791</c:v>
                </c:pt>
                <c:pt idx="928">
                  <c:v>12.756</c:v>
                </c:pt>
                <c:pt idx="929">
                  <c:v>12.839</c:v>
                </c:pt>
                <c:pt idx="930">
                  <c:v>12.821</c:v>
                </c:pt>
                <c:pt idx="931">
                  <c:v>12.785</c:v>
                </c:pt>
                <c:pt idx="932">
                  <c:v>12.756</c:v>
                </c:pt>
                <c:pt idx="933">
                  <c:v>12.763999999999999</c:v>
                </c:pt>
                <c:pt idx="934">
                  <c:v>12.811999999999999</c:v>
                </c:pt>
                <c:pt idx="935">
                  <c:v>12.742000000000001</c:v>
                </c:pt>
                <c:pt idx="936">
                  <c:v>12.763</c:v>
                </c:pt>
                <c:pt idx="937">
                  <c:v>12.768000000000001</c:v>
                </c:pt>
                <c:pt idx="938">
                  <c:v>12.747</c:v>
                </c:pt>
                <c:pt idx="939">
                  <c:v>12.7</c:v>
                </c:pt>
                <c:pt idx="940">
                  <c:v>12.715999999999999</c:v>
                </c:pt>
                <c:pt idx="941">
                  <c:v>12.686</c:v>
                </c:pt>
                <c:pt idx="942">
                  <c:v>12.695</c:v>
                </c:pt>
                <c:pt idx="943">
                  <c:v>12.714</c:v>
                </c:pt>
                <c:pt idx="944">
                  <c:v>12.685</c:v>
                </c:pt>
                <c:pt idx="945">
                  <c:v>12.702999999999999</c:v>
                </c:pt>
                <c:pt idx="946">
                  <c:v>12.657</c:v>
                </c:pt>
                <c:pt idx="947">
                  <c:v>12.673999999999999</c:v>
                </c:pt>
                <c:pt idx="948">
                  <c:v>12.644</c:v>
                </c:pt>
                <c:pt idx="949">
                  <c:v>12.654</c:v>
                </c:pt>
                <c:pt idx="950">
                  <c:v>12.625999999999999</c:v>
                </c:pt>
                <c:pt idx="951">
                  <c:v>12.605</c:v>
                </c:pt>
                <c:pt idx="952">
                  <c:v>12.573</c:v>
                </c:pt>
                <c:pt idx="953">
                  <c:v>12.568</c:v>
                </c:pt>
                <c:pt idx="954">
                  <c:v>12.625</c:v>
                </c:pt>
                <c:pt idx="955">
                  <c:v>12.579000000000001</c:v>
                </c:pt>
                <c:pt idx="956">
                  <c:v>12.528</c:v>
                </c:pt>
                <c:pt idx="957">
                  <c:v>12.555999999999999</c:v>
                </c:pt>
                <c:pt idx="958">
                  <c:v>12.582000000000001</c:v>
                </c:pt>
                <c:pt idx="959">
                  <c:v>12.56</c:v>
                </c:pt>
                <c:pt idx="960">
                  <c:v>12.563000000000001</c:v>
                </c:pt>
                <c:pt idx="961">
                  <c:v>12.54</c:v>
                </c:pt>
                <c:pt idx="962">
                  <c:v>12.564</c:v>
                </c:pt>
                <c:pt idx="963">
                  <c:v>12.561</c:v>
                </c:pt>
                <c:pt idx="964">
                  <c:v>12.552</c:v>
                </c:pt>
                <c:pt idx="965">
                  <c:v>12.541</c:v>
                </c:pt>
                <c:pt idx="966">
                  <c:v>12.622999999999999</c:v>
                </c:pt>
                <c:pt idx="967">
                  <c:v>12.586</c:v>
                </c:pt>
                <c:pt idx="968">
                  <c:v>12.567</c:v>
                </c:pt>
                <c:pt idx="969">
                  <c:v>12.555</c:v>
                </c:pt>
                <c:pt idx="970">
                  <c:v>12.531000000000001</c:v>
                </c:pt>
                <c:pt idx="971">
                  <c:v>12.584</c:v>
                </c:pt>
                <c:pt idx="972">
                  <c:v>12.531000000000001</c:v>
                </c:pt>
                <c:pt idx="973">
                  <c:v>12.53</c:v>
                </c:pt>
                <c:pt idx="974">
                  <c:v>12.507</c:v>
                </c:pt>
                <c:pt idx="975">
                  <c:v>12.516999999999999</c:v>
                </c:pt>
                <c:pt idx="976">
                  <c:v>12.456</c:v>
                </c:pt>
                <c:pt idx="977">
                  <c:v>12.456</c:v>
                </c:pt>
                <c:pt idx="978">
                  <c:v>12.45</c:v>
                </c:pt>
                <c:pt idx="979">
                  <c:v>12.433</c:v>
                </c:pt>
                <c:pt idx="980">
                  <c:v>12.45</c:v>
                </c:pt>
                <c:pt idx="981">
                  <c:v>12.423</c:v>
                </c:pt>
                <c:pt idx="982">
                  <c:v>12.432</c:v>
                </c:pt>
                <c:pt idx="983">
                  <c:v>12.428000000000001</c:v>
                </c:pt>
                <c:pt idx="984">
                  <c:v>12.420999999999999</c:v>
                </c:pt>
                <c:pt idx="985">
                  <c:v>12.412000000000001</c:v>
                </c:pt>
                <c:pt idx="986">
                  <c:v>12.359</c:v>
                </c:pt>
                <c:pt idx="987">
                  <c:v>12.409000000000001</c:v>
                </c:pt>
                <c:pt idx="988">
                  <c:v>12.36</c:v>
                </c:pt>
                <c:pt idx="989">
                  <c:v>12.435</c:v>
                </c:pt>
                <c:pt idx="990">
                  <c:v>12.342000000000001</c:v>
                </c:pt>
                <c:pt idx="991">
                  <c:v>12.356999999999999</c:v>
                </c:pt>
                <c:pt idx="992">
                  <c:v>12.337999999999999</c:v>
                </c:pt>
                <c:pt idx="993">
                  <c:v>12.317</c:v>
                </c:pt>
                <c:pt idx="994">
                  <c:v>12.372</c:v>
                </c:pt>
                <c:pt idx="995">
                  <c:v>12.346</c:v>
                </c:pt>
                <c:pt idx="996">
                  <c:v>12.333</c:v>
                </c:pt>
                <c:pt idx="997">
                  <c:v>12.355</c:v>
                </c:pt>
                <c:pt idx="998">
                  <c:v>12.318</c:v>
                </c:pt>
                <c:pt idx="999">
                  <c:v>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4-4B26-99CC-40D1D40F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08824"/>
        <c:axId val="672709480"/>
      </c:scatterChart>
      <c:valAx>
        <c:axId val="672708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2709480"/>
        <c:crosses val="max"/>
        <c:crossBetween val="midCat"/>
      </c:valAx>
      <c:valAx>
        <c:axId val="672709480"/>
        <c:scaling>
          <c:orientation val="maxMin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2708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HbHa 1704-05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Vraw!$A$1:$A$1222</c:f>
              <c:numCache>
                <c:formatCode>General</c:formatCode>
                <c:ptCount val="1000"/>
                <c:pt idx="0">
                  <c:v>2458340.3100800002</c:v>
                </c:pt>
                <c:pt idx="1">
                  <c:v>2458341.1025999999</c:v>
                </c:pt>
                <c:pt idx="2">
                  <c:v>2458342.6465099999</c:v>
                </c:pt>
                <c:pt idx="3">
                  <c:v>2458342.6472499999</c:v>
                </c:pt>
                <c:pt idx="4">
                  <c:v>2458342.648</c:v>
                </c:pt>
                <c:pt idx="5">
                  <c:v>2458342.64873</c:v>
                </c:pt>
                <c:pt idx="6">
                  <c:v>2458342.6494700001</c:v>
                </c:pt>
                <c:pt idx="7">
                  <c:v>2458342.6502200002</c:v>
                </c:pt>
                <c:pt idx="8">
                  <c:v>2458342.6509600002</c:v>
                </c:pt>
                <c:pt idx="9">
                  <c:v>2458342.6516999998</c:v>
                </c:pt>
                <c:pt idx="10">
                  <c:v>2458342.6524499999</c:v>
                </c:pt>
                <c:pt idx="11">
                  <c:v>2458342.6531799999</c:v>
                </c:pt>
                <c:pt idx="12">
                  <c:v>2458342.65392</c:v>
                </c:pt>
                <c:pt idx="13">
                  <c:v>2458342.6546700001</c:v>
                </c:pt>
                <c:pt idx="14">
                  <c:v>2458342.6554100001</c:v>
                </c:pt>
                <c:pt idx="15">
                  <c:v>2458342.6561500002</c:v>
                </c:pt>
                <c:pt idx="16">
                  <c:v>2458342.6568999998</c:v>
                </c:pt>
                <c:pt idx="17">
                  <c:v>2458342.65765</c:v>
                </c:pt>
                <c:pt idx="18">
                  <c:v>2458342.65839</c:v>
                </c:pt>
                <c:pt idx="19">
                  <c:v>2458342.65913</c:v>
                </c:pt>
                <c:pt idx="20">
                  <c:v>2458342.6598700001</c:v>
                </c:pt>
                <c:pt idx="21">
                  <c:v>2458342.6606000001</c:v>
                </c:pt>
                <c:pt idx="22">
                  <c:v>2458342.6613500002</c:v>
                </c:pt>
                <c:pt idx="23">
                  <c:v>2458342.6620900002</c:v>
                </c:pt>
                <c:pt idx="24">
                  <c:v>2458342.6628299998</c:v>
                </c:pt>
                <c:pt idx="25">
                  <c:v>2458342.66359</c:v>
                </c:pt>
                <c:pt idx="26">
                  <c:v>2458342.6643300001</c:v>
                </c:pt>
                <c:pt idx="27">
                  <c:v>2458342.6650700001</c:v>
                </c:pt>
                <c:pt idx="28">
                  <c:v>2458342.6658100002</c:v>
                </c:pt>
                <c:pt idx="29">
                  <c:v>2458342.6665500002</c:v>
                </c:pt>
                <c:pt idx="30">
                  <c:v>2458342.6672800002</c:v>
                </c:pt>
                <c:pt idx="31">
                  <c:v>2458342.6680200002</c:v>
                </c:pt>
                <c:pt idx="32">
                  <c:v>2458342.6687599998</c:v>
                </c:pt>
                <c:pt idx="33">
                  <c:v>2458342.6694999998</c:v>
                </c:pt>
                <c:pt idx="34">
                  <c:v>2458342.6702399999</c:v>
                </c:pt>
                <c:pt idx="35">
                  <c:v>2458342.6709799999</c:v>
                </c:pt>
                <c:pt idx="36">
                  <c:v>2458342.67172</c:v>
                </c:pt>
                <c:pt idx="37">
                  <c:v>2458342.67246</c:v>
                </c:pt>
                <c:pt idx="38">
                  <c:v>2458342.6732000001</c:v>
                </c:pt>
                <c:pt idx="39">
                  <c:v>2458342.6739400001</c:v>
                </c:pt>
                <c:pt idx="40">
                  <c:v>2458342.6746800002</c:v>
                </c:pt>
                <c:pt idx="41">
                  <c:v>2458342.6754299998</c:v>
                </c:pt>
                <c:pt idx="42">
                  <c:v>2458342.6761699999</c:v>
                </c:pt>
                <c:pt idx="43">
                  <c:v>2458342.6769099999</c:v>
                </c:pt>
                <c:pt idx="44">
                  <c:v>2458342.67765</c:v>
                </c:pt>
                <c:pt idx="45">
                  <c:v>2458342.67839</c:v>
                </c:pt>
                <c:pt idx="46">
                  <c:v>2458342.6791300001</c:v>
                </c:pt>
                <c:pt idx="47">
                  <c:v>2458342.6798800002</c:v>
                </c:pt>
                <c:pt idx="48">
                  <c:v>2458342.6806100002</c:v>
                </c:pt>
                <c:pt idx="49">
                  <c:v>2458342.6813599998</c:v>
                </c:pt>
                <c:pt idx="50">
                  <c:v>2458342.6820899998</c:v>
                </c:pt>
                <c:pt idx="51">
                  <c:v>2458342.6828399999</c:v>
                </c:pt>
                <c:pt idx="52">
                  <c:v>2458342.68358</c:v>
                </c:pt>
                <c:pt idx="53">
                  <c:v>2458342.68432</c:v>
                </c:pt>
                <c:pt idx="54">
                  <c:v>2458342.68506</c:v>
                </c:pt>
                <c:pt idx="55">
                  <c:v>2458342.6858000001</c:v>
                </c:pt>
                <c:pt idx="56">
                  <c:v>2458342.6865400001</c:v>
                </c:pt>
                <c:pt idx="57">
                  <c:v>2458342.6872800002</c:v>
                </c:pt>
                <c:pt idx="58">
                  <c:v>2458342.6880100002</c:v>
                </c:pt>
                <c:pt idx="59">
                  <c:v>2458342.6887599998</c:v>
                </c:pt>
                <c:pt idx="60">
                  <c:v>2458342.6894999999</c:v>
                </c:pt>
                <c:pt idx="61">
                  <c:v>2458342.6902399999</c:v>
                </c:pt>
                <c:pt idx="62">
                  <c:v>2458342.69098</c:v>
                </c:pt>
                <c:pt idx="63">
                  <c:v>2458342.69172</c:v>
                </c:pt>
                <c:pt idx="64">
                  <c:v>2458343.3167099999</c:v>
                </c:pt>
                <c:pt idx="65">
                  <c:v>2458343.5097699999</c:v>
                </c:pt>
                <c:pt idx="66">
                  <c:v>2458343.51003</c:v>
                </c:pt>
                <c:pt idx="67">
                  <c:v>2458343.6608000002</c:v>
                </c:pt>
                <c:pt idx="68">
                  <c:v>2458343.6617299998</c:v>
                </c:pt>
                <c:pt idx="69">
                  <c:v>2458343.6626400002</c:v>
                </c:pt>
                <c:pt idx="70">
                  <c:v>2458343.6649099998</c:v>
                </c:pt>
                <c:pt idx="71">
                  <c:v>2458343.6658299998</c:v>
                </c:pt>
                <c:pt idx="72">
                  <c:v>2458343.6667399998</c:v>
                </c:pt>
                <c:pt idx="73">
                  <c:v>2458343.6690000002</c:v>
                </c:pt>
                <c:pt idx="74">
                  <c:v>2458343.6699100002</c:v>
                </c:pt>
                <c:pt idx="75">
                  <c:v>2458343.6708200001</c:v>
                </c:pt>
                <c:pt idx="76">
                  <c:v>2458343.6730999998</c:v>
                </c:pt>
                <c:pt idx="77">
                  <c:v>2458343.6740199998</c:v>
                </c:pt>
                <c:pt idx="78">
                  <c:v>2458343.6749399998</c:v>
                </c:pt>
                <c:pt idx="79">
                  <c:v>2458343.6771999998</c:v>
                </c:pt>
                <c:pt idx="80">
                  <c:v>2458343.6781199998</c:v>
                </c:pt>
                <c:pt idx="81">
                  <c:v>2458343.6790300002</c:v>
                </c:pt>
                <c:pt idx="82">
                  <c:v>2458343.6812999998</c:v>
                </c:pt>
                <c:pt idx="83">
                  <c:v>2458343.6822100002</c:v>
                </c:pt>
                <c:pt idx="84">
                  <c:v>2458343.6831299998</c:v>
                </c:pt>
                <c:pt idx="85">
                  <c:v>2458343.6853999998</c:v>
                </c:pt>
                <c:pt idx="86">
                  <c:v>2458343.6863099998</c:v>
                </c:pt>
                <c:pt idx="87">
                  <c:v>2458343.6872200002</c:v>
                </c:pt>
                <c:pt idx="88">
                  <c:v>2458343.6894899998</c:v>
                </c:pt>
                <c:pt idx="89">
                  <c:v>2458343.6904000002</c:v>
                </c:pt>
                <c:pt idx="90">
                  <c:v>2458343.6913200002</c:v>
                </c:pt>
                <c:pt idx="91">
                  <c:v>2458343.6935800002</c:v>
                </c:pt>
                <c:pt idx="92">
                  <c:v>2458343.6944900001</c:v>
                </c:pt>
                <c:pt idx="93">
                  <c:v>2458343.6954100002</c:v>
                </c:pt>
                <c:pt idx="94">
                  <c:v>2458343.6976700001</c:v>
                </c:pt>
                <c:pt idx="95">
                  <c:v>2458343.6985900002</c:v>
                </c:pt>
                <c:pt idx="96">
                  <c:v>2458343.6995100002</c:v>
                </c:pt>
                <c:pt idx="97">
                  <c:v>2458343.7017799998</c:v>
                </c:pt>
                <c:pt idx="98">
                  <c:v>2458343.7026900002</c:v>
                </c:pt>
                <c:pt idx="99">
                  <c:v>2458343.7036100002</c:v>
                </c:pt>
                <c:pt idx="100">
                  <c:v>2458343.7058700002</c:v>
                </c:pt>
                <c:pt idx="101">
                  <c:v>2458343.7067900002</c:v>
                </c:pt>
                <c:pt idx="102">
                  <c:v>2458343.7077100002</c:v>
                </c:pt>
                <c:pt idx="103">
                  <c:v>2458343.7099700002</c:v>
                </c:pt>
                <c:pt idx="104">
                  <c:v>2458343.7108900002</c:v>
                </c:pt>
                <c:pt idx="105">
                  <c:v>2458343.7118000002</c:v>
                </c:pt>
                <c:pt idx="106">
                  <c:v>2458343.7140700002</c:v>
                </c:pt>
                <c:pt idx="107">
                  <c:v>2458343.7149800002</c:v>
                </c:pt>
                <c:pt idx="108">
                  <c:v>2458343.7159000002</c:v>
                </c:pt>
                <c:pt idx="109">
                  <c:v>2458343.7181600002</c:v>
                </c:pt>
                <c:pt idx="110">
                  <c:v>2458343.7190700001</c:v>
                </c:pt>
                <c:pt idx="111">
                  <c:v>2458343.7199900001</c:v>
                </c:pt>
                <c:pt idx="112">
                  <c:v>2458344.3336200002</c:v>
                </c:pt>
                <c:pt idx="113">
                  <c:v>2458344.3338500001</c:v>
                </c:pt>
                <c:pt idx="114">
                  <c:v>2458344.3341000001</c:v>
                </c:pt>
                <c:pt idx="115">
                  <c:v>2458344.33433</c:v>
                </c:pt>
                <c:pt idx="116">
                  <c:v>2458344.3345699999</c:v>
                </c:pt>
                <c:pt idx="117">
                  <c:v>2458344.3348099999</c:v>
                </c:pt>
                <c:pt idx="118">
                  <c:v>2458344.3350499999</c:v>
                </c:pt>
                <c:pt idx="119">
                  <c:v>2458344.3352899998</c:v>
                </c:pt>
                <c:pt idx="120">
                  <c:v>2458344.3355200002</c:v>
                </c:pt>
                <c:pt idx="121">
                  <c:v>2458344.3357600002</c:v>
                </c:pt>
                <c:pt idx="122">
                  <c:v>2458344.3360100002</c:v>
                </c:pt>
                <c:pt idx="123">
                  <c:v>2458344.3362400001</c:v>
                </c:pt>
                <c:pt idx="124">
                  <c:v>2458344.3364800001</c:v>
                </c:pt>
                <c:pt idx="125">
                  <c:v>2458344.3367099999</c:v>
                </c:pt>
                <c:pt idx="126">
                  <c:v>2458344.33696</c:v>
                </c:pt>
                <c:pt idx="127">
                  <c:v>2458344.3372</c:v>
                </c:pt>
                <c:pt idx="128">
                  <c:v>2458344.3374299998</c:v>
                </c:pt>
                <c:pt idx="129">
                  <c:v>2458344.3376699998</c:v>
                </c:pt>
                <c:pt idx="130">
                  <c:v>2458344.3379099998</c:v>
                </c:pt>
                <c:pt idx="131">
                  <c:v>2458344.3381500002</c:v>
                </c:pt>
                <c:pt idx="132">
                  <c:v>2458344.3383900002</c:v>
                </c:pt>
                <c:pt idx="133">
                  <c:v>2458344.3386200001</c:v>
                </c:pt>
                <c:pt idx="134">
                  <c:v>2458344.3388700001</c:v>
                </c:pt>
                <c:pt idx="135">
                  <c:v>2458344.3391</c:v>
                </c:pt>
                <c:pt idx="136">
                  <c:v>2458344.3393399999</c:v>
                </c:pt>
                <c:pt idx="137">
                  <c:v>2458344.3395799999</c:v>
                </c:pt>
                <c:pt idx="138">
                  <c:v>2458344.3398099998</c:v>
                </c:pt>
                <c:pt idx="139">
                  <c:v>2458344.3400599998</c:v>
                </c:pt>
                <c:pt idx="140">
                  <c:v>2458344.3402999998</c:v>
                </c:pt>
                <c:pt idx="141">
                  <c:v>2458344.3405300002</c:v>
                </c:pt>
                <c:pt idx="142">
                  <c:v>2458344.3407800002</c:v>
                </c:pt>
                <c:pt idx="143">
                  <c:v>2458344.3410200002</c:v>
                </c:pt>
                <c:pt idx="144">
                  <c:v>2458344.3412500001</c:v>
                </c:pt>
                <c:pt idx="145">
                  <c:v>2458344.34149</c:v>
                </c:pt>
                <c:pt idx="146">
                  <c:v>2458344.3417400001</c:v>
                </c:pt>
                <c:pt idx="147">
                  <c:v>2458344.34197</c:v>
                </c:pt>
                <c:pt idx="148">
                  <c:v>2458344.3422099999</c:v>
                </c:pt>
                <c:pt idx="149">
                  <c:v>2458344.3424399998</c:v>
                </c:pt>
                <c:pt idx="150">
                  <c:v>2458344.3426899998</c:v>
                </c:pt>
                <c:pt idx="151">
                  <c:v>2458344.3429299998</c:v>
                </c:pt>
                <c:pt idx="152">
                  <c:v>2458344.3536299998</c:v>
                </c:pt>
                <c:pt idx="153">
                  <c:v>2458344.3539499999</c:v>
                </c:pt>
                <c:pt idx="154">
                  <c:v>2458344.35427</c:v>
                </c:pt>
                <c:pt idx="155">
                  <c:v>2458344.3545900001</c:v>
                </c:pt>
                <c:pt idx="156">
                  <c:v>2458344.3549000002</c:v>
                </c:pt>
                <c:pt idx="157">
                  <c:v>2458344.3552100002</c:v>
                </c:pt>
                <c:pt idx="158">
                  <c:v>2458344.3555399999</c:v>
                </c:pt>
                <c:pt idx="159">
                  <c:v>2458344.3558499999</c:v>
                </c:pt>
                <c:pt idx="160">
                  <c:v>2458344.35732</c:v>
                </c:pt>
                <c:pt idx="161">
                  <c:v>2458344.3576400001</c:v>
                </c:pt>
                <c:pt idx="162">
                  <c:v>2458344.3579600002</c:v>
                </c:pt>
                <c:pt idx="163">
                  <c:v>2458344.3582799998</c:v>
                </c:pt>
                <c:pt idx="164">
                  <c:v>2458344.36173</c:v>
                </c:pt>
                <c:pt idx="165">
                  <c:v>2458344.3623700002</c:v>
                </c:pt>
                <c:pt idx="166">
                  <c:v>2458344.3626899999</c:v>
                </c:pt>
                <c:pt idx="167">
                  <c:v>2458344.3629999999</c:v>
                </c:pt>
                <c:pt idx="168">
                  <c:v>2458344.3642799999</c:v>
                </c:pt>
                <c:pt idx="169">
                  <c:v>2458344.3645899999</c:v>
                </c:pt>
                <c:pt idx="170">
                  <c:v>2458344.3652300001</c:v>
                </c:pt>
                <c:pt idx="171">
                  <c:v>2458344.36619</c:v>
                </c:pt>
                <c:pt idx="172">
                  <c:v>2458344.3665</c:v>
                </c:pt>
                <c:pt idx="173">
                  <c:v>2458344.3668200001</c:v>
                </c:pt>
                <c:pt idx="174">
                  <c:v>2458344.3671400002</c:v>
                </c:pt>
                <c:pt idx="175">
                  <c:v>2458344.3674599999</c:v>
                </c:pt>
                <c:pt idx="176">
                  <c:v>2458344.3677699999</c:v>
                </c:pt>
                <c:pt idx="177">
                  <c:v>2458344.3681000001</c:v>
                </c:pt>
                <c:pt idx="178">
                  <c:v>2458344.3684100001</c:v>
                </c:pt>
                <c:pt idx="179">
                  <c:v>2458344.3687300002</c:v>
                </c:pt>
                <c:pt idx="180">
                  <c:v>2458344.3690499999</c:v>
                </c:pt>
                <c:pt idx="181">
                  <c:v>2458344.36937</c:v>
                </c:pt>
                <c:pt idx="182">
                  <c:v>2458344.36968</c:v>
                </c:pt>
                <c:pt idx="183">
                  <c:v>2458344.3703200002</c:v>
                </c:pt>
                <c:pt idx="184">
                  <c:v>2458344.3706399999</c:v>
                </c:pt>
                <c:pt idx="185">
                  <c:v>2458344.3709499999</c:v>
                </c:pt>
                <c:pt idx="186">
                  <c:v>2458344.37127</c:v>
                </c:pt>
                <c:pt idx="187">
                  <c:v>2458344.3856500001</c:v>
                </c:pt>
                <c:pt idx="188">
                  <c:v>2458344.3859799998</c:v>
                </c:pt>
                <c:pt idx="189">
                  <c:v>2458344.3862999999</c:v>
                </c:pt>
                <c:pt idx="190">
                  <c:v>2458344.3866099999</c:v>
                </c:pt>
                <c:pt idx="191">
                  <c:v>2458344.3869400001</c:v>
                </c:pt>
                <c:pt idx="192">
                  <c:v>2458344.3872500001</c:v>
                </c:pt>
                <c:pt idx="193">
                  <c:v>2458344.3875600002</c:v>
                </c:pt>
                <c:pt idx="194">
                  <c:v>2458344.3878899999</c:v>
                </c:pt>
                <c:pt idx="195">
                  <c:v>2458344.3881999999</c:v>
                </c:pt>
                <c:pt idx="196">
                  <c:v>2458344.38852</c:v>
                </c:pt>
                <c:pt idx="197">
                  <c:v>2458344.3888400001</c:v>
                </c:pt>
                <c:pt idx="198">
                  <c:v>2458344.3935099998</c:v>
                </c:pt>
                <c:pt idx="199">
                  <c:v>2458344.39384</c:v>
                </c:pt>
                <c:pt idx="200">
                  <c:v>2458344.3941500001</c:v>
                </c:pt>
                <c:pt idx="201">
                  <c:v>2458344.3944700002</c:v>
                </c:pt>
                <c:pt idx="202">
                  <c:v>2458344.3947899998</c:v>
                </c:pt>
                <c:pt idx="203">
                  <c:v>2458344.3951099999</c:v>
                </c:pt>
                <c:pt idx="204">
                  <c:v>2458344.6056900001</c:v>
                </c:pt>
                <c:pt idx="205">
                  <c:v>2458345.4019499999</c:v>
                </c:pt>
                <c:pt idx="206">
                  <c:v>2458345.4035399999</c:v>
                </c:pt>
                <c:pt idx="207">
                  <c:v>2458345.4051299999</c:v>
                </c:pt>
                <c:pt idx="208">
                  <c:v>2458345.4067600002</c:v>
                </c:pt>
                <c:pt idx="209">
                  <c:v>2458345.4083500002</c:v>
                </c:pt>
                <c:pt idx="210">
                  <c:v>2458345.4099300001</c:v>
                </c:pt>
                <c:pt idx="211">
                  <c:v>2458345.4115200001</c:v>
                </c:pt>
                <c:pt idx="212">
                  <c:v>2458345.4131</c:v>
                </c:pt>
                <c:pt idx="213">
                  <c:v>2458345.41469</c:v>
                </c:pt>
                <c:pt idx="214">
                  <c:v>2458345.4162699999</c:v>
                </c:pt>
                <c:pt idx="215">
                  <c:v>2458345.4178599999</c:v>
                </c:pt>
                <c:pt idx="216">
                  <c:v>2458345.4194399999</c:v>
                </c:pt>
                <c:pt idx="217">
                  <c:v>2458345.4210299999</c:v>
                </c:pt>
                <c:pt idx="218">
                  <c:v>2458345.4226299999</c:v>
                </c:pt>
                <c:pt idx="219">
                  <c:v>2458345.4242099999</c:v>
                </c:pt>
                <c:pt idx="220">
                  <c:v>2458345.4257999999</c:v>
                </c:pt>
                <c:pt idx="221">
                  <c:v>2458345.4273700002</c:v>
                </c:pt>
                <c:pt idx="222">
                  <c:v>2458345.4289699998</c:v>
                </c:pt>
                <c:pt idx="223">
                  <c:v>2458345.4305500002</c:v>
                </c:pt>
                <c:pt idx="224">
                  <c:v>2458345.4321400002</c:v>
                </c:pt>
                <c:pt idx="225">
                  <c:v>2458345.4337300002</c:v>
                </c:pt>
                <c:pt idx="226">
                  <c:v>2458345.4353100001</c:v>
                </c:pt>
                <c:pt idx="227">
                  <c:v>2458345.4369000001</c:v>
                </c:pt>
                <c:pt idx="228">
                  <c:v>2458345.43848</c:v>
                </c:pt>
                <c:pt idx="229">
                  <c:v>2458345.44007</c:v>
                </c:pt>
                <c:pt idx="230">
                  <c:v>2458345.4416499999</c:v>
                </c:pt>
                <c:pt idx="231">
                  <c:v>2458345.4432399999</c:v>
                </c:pt>
                <c:pt idx="232">
                  <c:v>2458345.4448199999</c:v>
                </c:pt>
                <c:pt idx="233">
                  <c:v>2458345.4464099999</c:v>
                </c:pt>
                <c:pt idx="234">
                  <c:v>2458345.4479999999</c:v>
                </c:pt>
                <c:pt idx="235">
                  <c:v>2458345.4495799998</c:v>
                </c:pt>
                <c:pt idx="236">
                  <c:v>2458345.4511699998</c:v>
                </c:pt>
                <c:pt idx="237">
                  <c:v>2458345.4527500002</c:v>
                </c:pt>
                <c:pt idx="238">
                  <c:v>2458345.4543499998</c:v>
                </c:pt>
                <c:pt idx="239">
                  <c:v>2458345.4559399998</c:v>
                </c:pt>
                <c:pt idx="240">
                  <c:v>2458345.4575200002</c:v>
                </c:pt>
                <c:pt idx="241">
                  <c:v>2458345.4591100002</c:v>
                </c:pt>
                <c:pt idx="242">
                  <c:v>2458345.4606900001</c:v>
                </c:pt>
                <c:pt idx="243">
                  <c:v>2458345.4622800001</c:v>
                </c:pt>
                <c:pt idx="244">
                  <c:v>2458345.46386</c:v>
                </c:pt>
                <c:pt idx="245">
                  <c:v>2458345.46545</c:v>
                </c:pt>
                <c:pt idx="246">
                  <c:v>2458345.4670299999</c:v>
                </c:pt>
                <c:pt idx="247">
                  <c:v>2458345.4686199999</c:v>
                </c:pt>
                <c:pt idx="248">
                  <c:v>2458345.4702099999</c:v>
                </c:pt>
                <c:pt idx="249">
                  <c:v>2458345.4730600002</c:v>
                </c:pt>
                <c:pt idx="250">
                  <c:v>2458345.4746599998</c:v>
                </c:pt>
                <c:pt idx="251">
                  <c:v>2458345.4762499998</c:v>
                </c:pt>
                <c:pt idx="252">
                  <c:v>2458345.4778300002</c:v>
                </c:pt>
                <c:pt idx="253">
                  <c:v>2458345.4794200002</c:v>
                </c:pt>
                <c:pt idx="254">
                  <c:v>2458345.4810000001</c:v>
                </c:pt>
                <c:pt idx="255">
                  <c:v>2458345.4825900001</c:v>
                </c:pt>
                <c:pt idx="256">
                  <c:v>2458345.4841800001</c:v>
                </c:pt>
                <c:pt idx="257">
                  <c:v>2458345.4857600001</c:v>
                </c:pt>
                <c:pt idx="258">
                  <c:v>2458345.4873500001</c:v>
                </c:pt>
                <c:pt idx="259">
                  <c:v>2458345.48893</c:v>
                </c:pt>
                <c:pt idx="260">
                  <c:v>2458345.49052</c:v>
                </c:pt>
                <c:pt idx="261">
                  <c:v>2458345.4920999999</c:v>
                </c:pt>
                <c:pt idx="262">
                  <c:v>2458345.4936899999</c:v>
                </c:pt>
                <c:pt idx="263">
                  <c:v>2458345.4952699998</c:v>
                </c:pt>
                <c:pt idx="264">
                  <c:v>2458345.4968599998</c:v>
                </c:pt>
                <c:pt idx="265">
                  <c:v>2458345.4984599999</c:v>
                </c:pt>
                <c:pt idx="266">
                  <c:v>2458345.5000399998</c:v>
                </c:pt>
                <c:pt idx="267">
                  <c:v>2458345.5016299998</c:v>
                </c:pt>
                <c:pt idx="268">
                  <c:v>2458345.5032100002</c:v>
                </c:pt>
                <c:pt idx="269">
                  <c:v>2458345.5048000002</c:v>
                </c:pt>
                <c:pt idx="270">
                  <c:v>2458345.5063900002</c:v>
                </c:pt>
                <c:pt idx="271">
                  <c:v>2458345.5079700002</c:v>
                </c:pt>
                <c:pt idx="272">
                  <c:v>2458345.5095600002</c:v>
                </c:pt>
                <c:pt idx="273">
                  <c:v>2458345.5111500002</c:v>
                </c:pt>
                <c:pt idx="274">
                  <c:v>2458345.5127400002</c:v>
                </c:pt>
                <c:pt idx="275">
                  <c:v>2458345.5143300002</c:v>
                </c:pt>
                <c:pt idx="276">
                  <c:v>2458345.5159100001</c:v>
                </c:pt>
                <c:pt idx="277">
                  <c:v>2458345.5175000001</c:v>
                </c:pt>
                <c:pt idx="278">
                  <c:v>2458345.51908</c:v>
                </c:pt>
                <c:pt idx="279">
                  <c:v>2458345.5206800001</c:v>
                </c:pt>
                <c:pt idx="280">
                  <c:v>2458345.7259399998</c:v>
                </c:pt>
                <c:pt idx="281">
                  <c:v>2458345.72633</c:v>
                </c:pt>
                <c:pt idx="282">
                  <c:v>2458345.7267399998</c:v>
                </c:pt>
                <c:pt idx="283">
                  <c:v>2458345.72713</c:v>
                </c:pt>
                <c:pt idx="284">
                  <c:v>2458345.7275200002</c:v>
                </c:pt>
                <c:pt idx="285">
                  <c:v>2458345.7279300001</c:v>
                </c:pt>
                <c:pt idx="286">
                  <c:v>2458345.7283299998</c:v>
                </c:pt>
                <c:pt idx="287">
                  <c:v>2458345.7287300001</c:v>
                </c:pt>
                <c:pt idx="288">
                  <c:v>2458345.7291199998</c:v>
                </c:pt>
                <c:pt idx="289">
                  <c:v>2458345.7295400002</c:v>
                </c:pt>
                <c:pt idx="290">
                  <c:v>2458345.72994</c:v>
                </c:pt>
                <c:pt idx="291">
                  <c:v>2458345.7303499999</c:v>
                </c:pt>
                <c:pt idx="292">
                  <c:v>2458345.73074</c:v>
                </c:pt>
                <c:pt idx="293">
                  <c:v>2458345.7311499999</c:v>
                </c:pt>
                <c:pt idx="294">
                  <c:v>2458345.7315500001</c:v>
                </c:pt>
                <c:pt idx="295">
                  <c:v>2458345.7319399999</c:v>
                </c:pt>
                <c:pt idx="296">
                  <c:v>2458345.7323500002</c:v>
                </c:pt>
                <c:pt idx="297">
                  <c:v>2458345.73275</c:v>
                </c:pt>
                <c:pt idx="298">
                  <c:v>2458345.7331500002</c:v>
                </c:pt>
                <c:pt idx="299">
                  <c:v>2458345.73355</c:v>
                </c:pt>
                <c:pt idx="300">
                  <c:v>2458345.7339499998</c:v>
                </c:pt>
                <c:pt idx="301">
                  <c:v>2458345.73435</c:v>
                </c:pt>
                <c:pt idx="302">
                  <c:v>2458345.7347599999</c:v>
                </c:pt>
                <c:pt idx="303">
                  <c:v>2458345.7351600002</c:v>
                </c:pt>
                <c:pt idx="304">
                  <c:v>2458345.7355599999</c:v>
                </c:pt>
                <c:pt idx="305">
                  <c:v>2458345.7359600002</c:v>
                </c:pt>
                <c:pt idx="306">
                  <c:v>2458345.7363499999</c:v>
                </c:pt>
                <c:pt idx="307">
                  <c:v>2458345.7367600002</c:v>
                </c:pt>
                <c:pt idx="308">
                  <c:v>2458345.7371499999</c:v>
                </c:pt>
                <c:pt idx="309">
                  <c:v>2458345.7375599998</c:v>
                </c:pt>
                <c:pt idx="310">
                  <c:v>2458345.7733700001</c:v>
                </c:pt>
                <c:pt idx="311">
                  <c:v>2458345.7737699999</c:v>
                </c:pt>
                <c:pt idx="312">
                  <c:v>2458345.7741700001</c:v>
                </c:pt>
                <c:pt idx="313">
                  <c:v>2458345.7745699999</c:v>
                </c:pt>
                <c:pt idx="314">
                  <c:v>2458345.7749800002</c:v>
                </c:pt>
                <c:pt idx="315">
                  <c:v>2458345.77538</c:v>
                </c:pt>
                <c:pt idx="316">
                  <c:v>2458345.7757899999</c:v>
                </c:pt>
                <c:pt idx="317">
                  <c:v>2458345.77618</c:v>
                </c:pt>
                <c:pt idx="318">
                  <c:v>2458345.7765700002</c:v>
                </c:pt>
                <c:pt idx="319">
                  <c:v>2458345.7769800001</c:v>
                </c:pt>
                <c:pt idx="320">
                  <c:v>2458346.6564699998</c:v>
                </c:pt>
                <c:pt idx="321">
                  <c:v>2458346.6619000002</c:v>
                </c:pt>
                <c:pt idx="322">
                  <c:v>2458346.6673099999</c:v>
                </c:pt>
                <c:pt idx="323">
                  <c:v>2458346.6727399998</c:v>
                </c:pt>
                <c:pt idx="324">
                  <c:v>2458346.6781600001</c:v>
                </c:pt>
                <c:pt idx="325">
                  <c:v>2458346.68359</c:v>
                </c:pt>
                <c:pt idx="326">
                  <c:v>2458346.6890199999</c:v>
                </c:pt>
                <c:pt idx="327">
                  <c:v>2458346.6944300001</c:v>
                </c:pt>
                <c:pt idx="328">
                  <c:v>2458346.6998600001</c:v>
                </c:pt>
                <c:pt idx="329">
                  <c:v>2458346.7053</c:v>
                </c:pt>
                <c:pt idx="330">
                  <c:v>2458346.71074</c:v>
                </c:pt>
                <c:pt idx="331">
                  <c:v>2458346.7161599998</c:v>
                </c:pt>
                <c:pt idx="332">
                  <c:v>2458346.7216099999</c:v>
                </c:pt>
                <c:pt idx="333">
                  <c:v>2458346.7270399998</c:v>
                </c:pt>
                <c:pt idx="334">
                  <c:v>2458346.7324700002</c:v>
                </c:pt>
                <c:pt idx="335">
                  <c:v>2458346.73789</c:v>
                </c:pt>
                <c:pt idx="336">
                  <c:v>2458346.7481800001</c:v>
                </c:pt>
                <c:pt idx="337">
                  <c:v>2458346.75361</c:v>
                </c:pt>
                <c:pt idx="338">
                  <c:v>2458346.7590600001</c:v>
                </c:pt>
                <c:pt idx="339">
                  <c:v>2458346.7644799999</c:v>
                </c:pt>
                <c:pt idx="340">
                  <c:v>2458346.76993</c:v>
                </c:pt>
                <c:pt idx="341">
                  <c:v>2458346.77538</c:v>
                </c:pt>
                <c:pt idx="342">
                  <c:v>2458346.7807999998</c:v>
                </c:pt>
                <c:pt idx="343">
                  <c:v>2458346.7862399998</c:v>
                </c:pt>
                <c:pt idx="344">
                  <c:v>2458346.7916899999</c:v>
                </c:pt>
                <c:pt idx="345">
                  <c:v>2458346.7971199998</c:v>
                </c:pt>
                <c:pt idx="346">
                  <c:v>2458346.80253</c:v>
                </c:pt>
                <c:pt idx="347">
                  <c:v>2458346.8079599999</c:v>
                </c:pt>
                <c:pt idx="348">
                  <c:v>2458346.8133800002</c:v>
                </c:pt>
                <c:pt idx="349">
                  <c:v>2458346.8188100001</c:v>
                </c:pt>
                <c:pt idx="350">
                  <c:v>2458346.8276999998</c:v>
                </c:pt>
                <c:pt idx="351">
                  <c:v>2458346.8331399998</c:v>
                </c:pt>
                <c:pt idx="352">
                  <c:v>2458346.8385800002</c:v>
                </c:pt>
                <c:pt idx="353">
                  <c:v>2458346.8440200002</c:v>
                </c:pt>
                <c:pt idx="354">
                  <c:v>2458346.84944</c:v>
                </c:pt>
                <c:pt idx="355">
                  <c:v>2458346.85488</c:v>
                </c:pt>
                <c:pt idx="356">
                  <c:v>2458346.8603099999</c:v>
                </c:pt>
                <c:pt idx="357">
                  <c:v>2458346.8657399998</c:v>
                </c:pt>
                <c:pt idx="358">
                  <c:v>2458346.8711799998</c:v>
                </c:pt>
                <c:pt idx="359">
                  <c:v>2458346.8766100002</c:v>
                </c:pt>
                <c:pt idx="360">
                  <c:v>2458346.8820400001</c:v>
                </c:pt>
                <c:pt idx="361">
                  <c:v>2458347.3645799998</c:v>
                </c:pt>
                <c:pt idx="362">
                  <c:v>2458347.3736200002</c:v>
                </c:pt>
                <c:pt idx="363">
                  <c:v>2458349.5223599998</c:v>
                </c:pt>
                <c:pt idx="364">
                  <c:v>2458349.5225800001</c:v>
                </c:pt>
                <c:pt idx="365">
                  <c:v>2458350.5195399998</c:v>
                </c:pt>
                <c:pt idx="366">
                  <c:v>2458350.51975</c:v>
                </c:pt>
                <c:pt idx="367">
                  <c:v>2458351.5167399999</c:v>
                </c:pt>
                <c:pt idx="368">
                  <c:v>2458351.5169600002</c:v>
                </c:pt>
                <c:pt idx="369">
                  <c:v>2458352.4991100002</c:v>
                </c:pt>
                <c:pt idx="370">
                  <c:v>2458352.4993199999</c:v>
                </c:pt>
                <c:pt idx="371">
                  <c:v>2458353.3606500002</c:v>
                </c:pt>
                <c:pt idx="372">
                  <c:v>2458354.5084099998</c:v>
                </c:pt>
                <c:pt idx="373">
                  <c:v>2458354.5086300001</c:v>
                </c:pt>
                <c:pt idx="374">
                  <c:v>2458355.5055</c:v>
                </c:pt>
                <c:pt idx="375">
                  <c:v>2458355.5057199998</c:v>
                </c:pt>
                <c:pt idx="376">
                  <c:v>2458355.7532100002</c:v>
                </c:pt>
                <c:pt idx="377">
                  <c:v>2458356.5029500001</c:v>
                </c:pt>
                <c:pt idx="378">
                  <c:v>2458356.5031699999</c:v>
                </c:pt>
                <c:pt idx="379">
                  <c:v>2458357.4999600002</c:v>
                </c:pt>
                <c:pt idx="380">
                  <c:v>2458357.5001699999</c:v>
                </c:pt>
                <c:pt idx="381">
                  <c:v>2458358.4885499999</c:v>
                </c:pt>
                <c:pt idx="382">
                  <c:v>2458358.4887600001</c:v>
                </c:pt>
                <c:pt idx="383">
                  <c:v>2458359.3707099999</c:v>
                </c:pt>
                <c:pt idx="384">
                  <c:v>2458359.3714399999</c:v>
                </c:pt>
                <c:pt idx="385">
                  <c:v>2458359.4889799999</c:v>
                </c:pt>
                <c:pt idx="386">
                  <c:v>2458359.48918</c:v>
                </c:pt>
                <c:pt idx="387">
                  <c:v>2458360.4896499999</c:v>
                </c:pt>
                <c:pt idx="388">
                  <c:v>2458360.4898700002</c:v>
                </c:pt>
                <c:pt idx="389">
                  <c:v>2458361.4898999999</c:v>
                </c:pt>
                <c:pt idx="390">
                  <c:v>2458361.4901100001</c:v>
                </c:pt>
                <c:pt idx="391">
                  <c:v>2458362.3596800002</c:v>
                </c:pt>
                <c:pt idx="392">
                  <c:v>2458362.48979</c:v>
                </c:pt>
                <c:pt idx="393">
                  <c:v>2458362.4899900001</c:v>
                </c:pt>
                <c:pt idx="394">
                  <c:v>2458363.5060200002</c:v>
                </c:pt>
                <c:pt idx="395">
                  <c:v>2458363.50624</c:v>
                </c:pt>
                <c:pt idx="396">
                  <c:v>2458364.3155499999</c:v>
                </c:pt>
                <c:pt idx="397">
                  <c:v>2458364.31598</c:v>
                </c:pt>
                <c:pt idx="398">
                  <c:v>2458364.3163800002</c:v>
                </c:pt>
                <c:pt idx="399">
                  <c:v>2458364.3167699999</c:v>
                </c:pt>
                <c:pt idx="400">
                  <c:v>2458364.3171600001</c:v>
                </c:pt>
                <c:pt idx="401">
                  <c:v>2458364.3175599999</c:v>
                </c:pt>
                <c:pt idx="402">
                  <c:v>2458364.3179600001</c:v>
                </c:pt>
                <c:pt idx="403">
                  <c:v>2458364.31837</c:v>
                </c:pt>
                <c:pt idx="404">
                  <c:v>2458364.3188100001</c:v>
                </c:pt>
                <c:pt idx="405">
                  <c:v>2458364.3192099999</c:v>
                </c:pt>
                <c:pt idx="406">
                  <c:v>2458364.3196100001</c:v>
                </c:pt>
                <c:pt idx="407">
                  <c:v>2458364.3200599998</c:v>
                </c:pt>
                <c:pt idx="408">
                  <c:v>2458364.3204600001</c:v>
                </c:pt>
                <c:pt idx="409">
                  <c:v>2458364.3208699999</c:v>
                </c:pt>
                <c:pt idx="410">
                  <c:v>2458364.3212899999</c:v>
                </c:pt>
                <c:pt idx="411">
                  <c:v>2458364.3217000002</c:v>
                </c:pt>
                <c:pt idx="412">
                  <c:v>2458364.3221399998</c:v>
                </c:pt>
                <c:pt idx="413">
                  <c:v>2458364.3225400001</c:v>
                </c:pt>
                <c:pt idx="414">
                  <c:v>2458364.3229499999</c:v>
                </c:pt>
                <c:pt idx="415">
                  <c:v>2458364.3233599998</c:v>
                </c:pt>
                <c:pt idx="416">
                  <c:v>2458364.3237600001</c:v>
                </c:pt>
                <c:pt idx="417">
                  <c:v>2458364.3241699999</c:v>
                </c:pt>
                <c:pt idx="418">
                  <c:v>2458364.3245899999</c:v>
                </c:pt>
                <c:pt idx="419">
                  <c:v>2458364.3250000002</c:v>
                </c:pt>
                <c:pt idx="420">
                  <c:v>2458364.3254</c:v>
                </c:pt>
                <c:pt idx="421">
                  <c:v>2458364.3258400001</c:v>
                </c:pt>
                <c:pt idx="422">
                  <c:v>2458364.3262399998</c:v>
                </c:pt>
                <c:pt idx="423">
                  <c:v>2458364.3266799999</c:v>
                </c:pt>
                <c:pt idx="424">
                  <c:v>2458364.3270700001</c:v>
                </c:pt>
                <c:pt idx="425">
                  <c:v>2458364.3274599998</c:v>
                </c:pt>
                <c:pt idx="426">
                  <c:v>2458364.3278600001</c:v>
                </c:pt>
                <c:pt idx="427">
                  <c:v>2458364.3282499998</c:v>
                </c:pt>
                <c:pt idx="428">
                  <c:v>2458364.3286899999</c:v>
                </c:pt>
                <c:pt idx="429">
                  <c:v>2458364.3290800001</c:v>
                </c:pt>
                <c:pt idx="430">
                  <c:v>2458364.3294799998</c:v>
                </c:pt>
                <c:pt idx="431">
                  <c:v>2458364.3299199999</c:v>
                </c:pt>
                <c:pt idx="432">
                  <c:v>2458364.3303100001</c:v>
                </c:pt>
                <c:pt idx="433">
                  <c:v>2458364.3306999998</c:v>
                </c:pt>
                <c:pt idx="434">
                  <c:v>2458364.3311000001</c:v>
                </c:pt>
                <c:pt idx="435">
                  <c:v>2458364.3314899998</c:v>
                </c:pt>
                <c:pt idx="436">
                  <c:v>2458364.33189</c:v>
                </c:pt>
                <c:pt idx="437">
                  <c:v>2458364.3322800002</c:v>
                </c:pt>
                <c:pt idx="438">
                  <c:v>2458364.3326699999</c:v>
                </c:pt>
                <c:pt idx="439">
                  <c:v>2458364.3330700002</c:v>
                </c:pt>
                <c:pt idx="440">
                  <c:v>2458364.33347</c:v>
                </c:pt>
                <c:pt idx="441">
                  <c:v>2458364.3338600001</c:v>
                </c:pt>
                <c:pt idx="442">
                  <c:v>2458364.3342599999</c:v>
                </c:pt>
                <c:pt idx="443">
                  <c:v>2458364.3346500001</c:v>
                </c:pt>
                <c:pt idx="444">
                  <c:v>2458364.3350399998</c:v>
                </c:pt>
                <c:pt idx="445">
                  <c:v>2458364.3354400001</c:v>
                </c:pt>
                <c:pt idx="446">
                  <c:v>2458364.3358700001</c:v>
                </c:pt>
                <c:pt idx="447">
                  <c:v>2458364.3362599998</c:v>
                </c:pt>
                <c:pt idx="448">
                  <c:v>2458364.3366700001</c:v>
                </c:pt>
                <c:pt idx="449">
                  <c:v>2458364.33708</c:v>
                </c:pt>
                <c:pt idx="450">
                  <c:v>2458364.3374899998</c:v>
                </c:pt>
                <c:pt idx="451">
                  <c:v>2458364.33788</c:v>
                </c:pt>
                <c:pt idx="452">
                  <c:v>2458364.3382700002</c:v>
                </c:pt>
                <c:pt idx="453">
                  <c:v>2458364.33868</c:v>
                </c:pt>
                <c:pt idx="454">
                  <c:v>2458364.3390799998</c:v>
                </c:pt>
                <c:pt idx="455">
                  <c:v>2458364.3395099998</c:v>
                </c:pt>
                <c:pt idx="456">
                  <c:v>2458364.3399200002</c:v>
                </c:pt>
                <c:pt idx="457">
                  <c:v>2458364.34032</c:v>
                </c:pt>
                <c:pt idx="458">
                  <c:v>2458364.3407299998</c:v>
                </c:pt>
                <c:pt idx="459">
                  <c:v>2458364.34112</c:v>
                </c:pt>
                <c:pt idx="460">
                  <c:v>2458364.3415700002</c:v>
                </c:pt>
                <c:pt idx="461">
                  <c:v>2458364.3420099998</c:v>
                </c:pt>
                <c:pt idx="462">
                  <c:v>2458364.34246</c:v>
                </c:pt>
                <c:pt idx="463">
                  <c:v>2458364.3428699998</c:v>
                </c:pt>
                <c:pt idx="464">
                  <c:v>2458364.3432700001</c:v>
                </c:pt>
                <c:pt idx="465">
                  <c:v>2458364.3436799999</c:v>
                </c:pt>
                <c:pt idx="466">
                  <c:v>2458364.3440800002</c:v>
                </c:pt>
                <c:pt idx="467">
                  <c:v>2458364.34449</c:v>
                </c:pt>
                <c:pt idx="468">
                  <c:v>2458364.3448899998</c:v>
                </c:pt>
                <c:pt idx="469">
                  <c:v>2458364.3452900001</c:v>
                </c:pt>
                <c:pt idx="470">
                  <c:v>2458364.3457300002</c:v>
                </c:pt>
                <c:pt idx="471">
                  <c:v>2458364.34613</c:v>
                </c:pt>
                <c:pt idx="472">
                  <c:v>2458364.3465399998</c:v>
                </c:pt>
                <c:pt idx="473">
                  <c:v>2458364.34693</c:v>
                </c:pt>
                <c:pt idx="474">
                  <c:v>2458364.34736</c:v>
                </c:pt>
                <c:pt idx="475">
                  <c:v>2458364.3477500002</c:v>
                </c:pt>
                <c:pt idx="476">
                  <c:v>2458364.34815</c:v>
                </c:pt>
                <c:pt idx="477">
                  <c:v>2458364.3485400002</c:v>
                </c:pt>
                <c:pt idx="478">
                  <c:v>2458364.3489799998</c:v>
                </c:pt>
                <c:pt idx="479">
                  <c:v>2458364.34937</c:v>
                </c:pt>
                <c:pt idx="480">
                  <c:v>2458364.3497700002</c:v>
                </c:pt>
                <c:pt idx="481">
                  <c:v>2458364.3502000002</c:v>
                </c:pt>
                <c:pt idx="482">
                  <c:v>2458364.3505899999</c:v>
                </c:pt>
                <c:pt idx="483">
                  <c:v>2458364.3509800001</c:v>
                </c:pt>
                <c:pt idx="484">
                  <c:v>2458364.35182</c:v>
                </c:pt>
                <c:pt idx="485">
                  <c:v>2458364.35244</c:v>
                </c:pt>
                <c:pt idx="486">
                  <c:v>2458364.3530000001</c:v>
                </c:pt>
                <c:pt idx="487">
                  <c:v>2458364.3531800001</c:v>
                </c:pt>
                <c:pt idx="488">
                  <c:v>2458364.3534200001</c:v>
                </c:pt>
                <c:pt idx="489">
                  <c:v>2458364.3538199998</c:v>
                </c:pt>
                <c:pt idx="490">
                  <c:v>2458364.35421</c:v>
                </c:pt>
                <c:pt idx="491">
                  <c:v>2458364.3546099998</c:v>
                </c:pt>
                <c:pt idx="492">
                  <c:v>2458364.3550300002</c:v>
                </c:pt>
                <c:pt idx="493">
                  <c:v>2458364.3558200002</c:v>
                </c:pt>
                <c:pt idx="494">
                  <c:v>2458364.35623</c:v>
                </c:pt>
                <c:pt idx="495">
                  <c:v>2458364.35665</c:v>
                </c:pt>
                <c:pt idx="496">
                  <c:v>2458364.3570500002</c:v>
                </c:pt>
                <c:pt idx="497">
                  <c:v>2458364.3574399999</c:v>
                </c:pt>
                <c:pt idx="498">
                  <c:v>2458364.3578300001</c:v>
                </c:pt>
                <c:pt idx="499">
                  <c:v>2458364.3582600001</c:v>
                </c:pt>
                <c:pt idx="500">
                  <c:v>2458364.3586599999</c:v>
                </c:pt>
                <c:pt idx="501">
                  <c:v>2458364.3590500001</c:v>
                </c:pt>
                <c:pt idx="502">
                  <c:v>2458364.3594399998</c:v>
                </c:pt>
                <c:pt idx="503">
                  <c:v>2458364.35984</c:v>
                </c:pt>
                <c:pt idx="504">
                  <c:v>2458364.3602300002</c:v>
                </c:pt>
                <c:pt idx="505">
                  <c:v>2458364.3606400001</c:v>
                </c:pt>
                <c:pt idx="506">
                  <c:v>2458364.3610299998</c:v>
                </c:pt>
                <c:pt idx="507">
                  <c:v>2458364.36142</c:v>
                </c:pt>
                <c:pt idx="508">
                  <c:v>2458364.3618299998</c:v>
                </c:pt>
                <c:pt idx="509">
                  <c:v>2458364.3622300001</c:v>
                </c:pt>
                <c:pt idx="510">
                  <c:v>2458364.3626299999</c:v>
                </c:pt>
                <c:pt idx="511">
                  <c:v>2458364.3630300001</c:v>
                </c:pt>
                <c:pt idx="512">
                  <c:v>2458364.36344</c:v>
                </c:pt>
                <c:pt idx="513">
                  <c:v>2458364.3638399998</c:v>
                </c:pt>
                <c:pt idx="514">
                  <c:v>2458364.3642500001</c:v>
                </c:pt>
                <c:pt idx="515">
                  <c:v>2458364.3646399998</c:v>
                </c:pt>
                <c:pt idx="516">
                  <c:v>2458364.3650400001</c:v>
                </c:pt>
                <c:pt idx="517">
                  <c:v>2458364.3654499999</c:v>
                </c:pt>
                <c:pt idx="518">
                  <c:v>2458364.3658599998</c:v>
                </c:pt>
                <c:pt idx="519">
                  <c:v>2458364.36626</c:v>
                </c:pt>
                <c:pt idx="520">
                  <c:v>2458364.3666699999</c:v>
                </c:pt>
                <c:pt idx="521">
                  <c:v>2458364.3670700002</c:v>
                </c:pt>
                <c:pt idx="522">
                  <c:v>2458364.3675000002</c:v>
                </c:pt>
                <c:pt idx="523">
                  <c:v>2458364.3679</c:v>
                </c:pt>
                <c:pt idx="524">
                  <c:v>2458364.3683099998</c:v>
                </c:pt>
                <c:pt idx="525">
                  <c:v>2458364.3687100001</c:v>
                </c:pt>
                <c:pt idx="526">
                  <c:v>2458364.3691199999</c:v>
                </c:pt>
                <c:pt idx="527">
                  <c:v>2458364.3695200002</c:v>
                </c:pt>
                <c:pt idx="528">
                  <c:v>2458364.36993</c:v>
                </c:pt>
                <c:pt idx="529">
                  <c:v>2458364.3703299998</c:v>
                </c:pt>
                <c:pt idx="530">
                  <c:v>2458364.3707300001</c:v>
                </c:pt>
                <c:pt idx="531">
                  <c:v>2458364.3711700002</c:v>
                </c:pt>
                <c:pt idx="532">
                  <c:v>2458364.37157</c:v>
                </c:pt>
                <c:pt idx="533">
                  <c:v>2458364.3719799998</c:v>
                </c:pt>
                <c:pt idx="534">
                  <c:v>2458364.3723800001</c:v>
                </c:pt>
                <c:pt idx="535">
                  <c:v>2458364.3727899999</c:v>
                </c:pt>
                <c:pt idx="536">
                  <c:v>2458364.3731800001</c:v>
                </c:pt>
                <c:pt idx="537">
                  <c:v>2458364.3735699998</c:v>
                </c:pt>
                <c:pt idx="538">
                  <c:v>2458364.3739700001</c:v>
                </c:pt>
                <c:pt idx="539">
                  <c:v>2458364.3744000001</c:v>
                </c:pt>
                <c:pt idx="540">
                  <c:v>2458364.3747899998</c:v>
                </c:pt>
                <c:pt idx="541">
                  <c:v>2458364.3752100002</c:v>
                </c:pt>
                <c:pt idx="542">
                  <c:v>2458364.3755999999</c:v>
                </c:pt>
                <c:pt idx="543">
                  <c:v>2458364.3760099998</c:v>
                </c:pt>
                <c:pt idx="544">
                  <c:v>2458364.37641</c:v>
                </c:pt>
                <c:pt idx="545">
                  <c:v>2458364.3768199999</c:v>
                </c:pt>
                <c:pt idx="546">
                  <c:v>2458364.3772100001</c:v>
                </c:pt>
                <c:pt idx="547">
                  <c:v>2458364.3776099999</c:v>
                </c:pt>
                <c:pt idx="548">
                  <c:v>2458364.3780200002</c:v>
                </c:pt>
                <c:pt idx="549">
                  <c:v>2458364.3784599998</c:v>
                </c:pt>
                <c:pt idx="550">
                  <c:v>2458364.3788600001</c:v>
                </c:pt>
                <c:pt idx="551">
                  <c:v>2458364.3792599998</c:v>
                </c:pt>
                <c:pt idx="552">
                  <c:v>2458364.3796600001</c:v>
                </c:pt>
                <c:pt idx="553">
                  <c:v>2458364.38051</c:v>
                </c:pt>
                <c:pt idx="554">
                  <c:v>2458364.3809099998</c:v>
                </c:pt>
                <c:pt idx="555">
                  <c:v>2458364.3813200002</c:v>
                </c:pt>
                <c:pt idx="556">
                  <c:v>2458364.3817099999</c:v>
                </c:pt>
                <c:pt idx="557">
                  <c:v>2458364.3821200002</c:v>
                </c:pt>
                <c:pt idx="558">
                  <c:v>2458364.38252</c:v>
                </c:pt>
                <c:pt idx="559">
                  <c:v>2458364.3829299998</c:v>
                </c:pt>
                <c:pt idx="560">
                  <c:v>2458364.3833599999</c:v>
                </c:pt>
                <c:pt idx="561">
                  <c:v>2458364.3837600001</c:v>
                </c:pt>
                <c:pt idx="562">
                  <c:v>2458364.3841499998</c:v>
                </c:pt>
                <c:pt idx="563">
                  <c:v>2458364.3845500001</c:v>
                </c:pt>
                <c:pt idx="564">
                  <c:v>2458364.3849399998</c:v>
                </c:pt>
                <c:pt idx="565">
                  <c:v>2458364.38533</c:v>
                </c:pt>
                <c:pt idx="566">
                  <c:v>2458364.3857300002</c:v>
                </c:pt>
                <c:pt idx="567">
                  <c:v>2458364.3861199999</c:v>
                </c:pt>
                <c:pt idx="568">
                  <c:v>2458364.3865499999</c:v>
                </c:pt>
                <c:pt idx="569">
                  <c:v>2458364.3869400001</c:v>
                </c:pt>
                <c:pt idx="570">
                  <c:v>2458364.3873399999</c:v>
                </c:pt>
                <c:pt idx="571">
                  <c:v>2458364.3877300001</c:v>
                </c:pt>
                <c:pt idx="572">
                  <c:v>2458364.3881600001</c:v>
                </c:pt>
                <c:pt idx="573">
                  <c:v>2458364.3885499998</c:v>
                </c:pt>
                <c:pt idx="574">
                  <c:v>2458364.3889500001</c:v>
                </c:pt>
                <c:pt idx="575">
                  <c:v>2458364.3893400002</c:v>
                </c:pt>
                <c:pt idx="576">
                  <c:v>2458364.38974</c:v>
                </c:pt>
                <c:pt idx="577">
                  <c:v>2458364.3901399998</c:v>
                </c:pt>
                <c:pt idx="578">
                  <c:v>2458364.39053</c:v>
                </c:pt>
                <c:pt idx="579">
                  <c:v>2458364.3909200002</c:v>
                </c:pt>
                <c:pt idx="580">
                  <c:v>2458364.3913199999</c:v>
                </c:pt>
                <c:pt idx="581">
                  <c:v>2458364.3917100001</c:v>
                </c:pt>
                <c:pt idx="582">
                  <c:v>2458364.3921400001</c:v>
                </c:pt>
                <c:pt idx="583">
                  <c:v>2458364.3925299998</c:v>
                </c:pt>
                <c:pt idx="584">
                  <c:v>2458364.3929300001</c:v>
                </c:pt>
                <c:pt idx="585">
                  <c:v>2458364.3933299999</c:v>
                </c:pt>
                <c:pt idx="586">
                  <c:v>2458364.3937300001</c:v>
                </c:pt>
                <c:pt idx="587">
                  <c:v>2458364.3941199998</c:v>
                </c:pt>
                <c:pt idx="588">
                  <c:v>2458364.39451</c:v>
                </c:pt>
                <c:pt idx="589">
                  <c:v>2458364.3949099998</c:v>
                </c:pt>
                <c:pt idx="590">
                  <c:v>2458364.3953</c:v>
                </c:pt>
                <c:pt idx="591">
                  <c:v>2458364.39573</c:v>
                </c:pt>
                <c:pt idx="592">
                  <c:v>2458364.3961200002</c:v>
                </c:pt>
                <c:pt idx="593">
                  <c:v>2458364.3965099999</c:v>
                </c:pt>
                <c:pt idx="594">
                  <c:v>2458364.3969100001</c:v>
                </c:pt>
                <c:pt idx="595">
                  <c:v>2458364.3972999998</c:v>
                </c:pt>
                <c:pt idx="596">
                  <c:v>2458364.3977000001</c:v>
                </c:pt>
                <c:pt idx="597">
                  <c:v>2458364.3980999999</c:v>
                </c:pt>
                <c:pt idx="598">
                  <c:v>2458364.3984900001</c:v>
                </c:pt>
                <c:pt idx="599">
                  <c:v>2458364.3988999999</c:v>
                </c:pt>
                <c:pt idx="600">
                  <c:v>2458364.3993299999</c:v>
                </c:pt>
                <c:pt idx="601">
                  <c:v>2458364.3997300002</c:v>
                </c:pt>
                <c:pt idx="602">
                  <c:v>2458364.40013</c:v>
                </c:pt>
                <c:pt idx="603">
                  <c:v>2458364.4005200001</c:v>
                </c:pt>
                <c:pt idx="604">
                  <c:v>2458364.4009099999</c:v>
                </c:pt>
                <c:pt idx="605">
                  <c:v>2458364.4013</c:v>
                </c:pt>
                <c:pt idx="606">
                  <c:v>2458364.4016900002</c:v>
                </c:pt>
                <c:pt idx="607">
                  <c:v>2458364.4020799999</c:v>
                </c:pt>
                <c:pt idx="608">
                  <c:v>2458364.4024800002</c:v>
                </c:pt>
                <c:pt idx="609">
                  <c:v>2458364.40288</c:v>
                </c:pt>
                <c:pt idx="610">
                  <c:v>2458364.40331</c:v>
                </c:pt>
                <c:pt idx="611">
                  <c:v>2458364.4037000001</c:v>
                </c:pt>
                <c:pt idx="612">
                  <c:v>2458364.4040999999</c:v>
                </c:pt>
                <c:pt idx="613">
                  <c:v>2458364.4044900001</c:v>
                </c:pt>
                <c:pt idx="614">
                  <c:v>2458364.4048799998</c:v>
                </c:pt>
                <c:pt idx="615">
                  <c:v>2458364.4052800001</c:v>
                </c:pt>
                <c:pt idx="616">
                  <c:v>2458364.4057100001</c:v>
                </c:pt>
                <c:pt idx="617">
                  <c:v>2458364.4060999998</c:v>
                </c:pt>
                <c:pt idx="618">
                  <c:v>2458364.40649</c:v>
                </c:pt>
                <c:pt idx="619">
                  <c:v>2458364.4069300001</c:v>
                </c:pt>
                <c:pt idx="620">
                  <c:v>2458364.4073299998</c:v>
                </c:pt>
                <c:pt idx="621">
                  <c:v>2458364.4077499998</c:v>
                </c:pt>
                <c:pt idx="622">
                  <c:v>2458364.4081799998</c:v>
                </c:pt>
                <c:pt idx="623">
                  <c:v>2458364.40858</c:v>
                </c:pt>
                <c:pt idx="624">
                  <c:v>2458364.4089799998</c:v>
                </c:pt>
                <c:pt idx="625">
                  <c:v>2458364.4093999998</c:v>
                </c:pt>
                <c:pt idx="626">
                  <c:v>2458364.4097899999</c:v>
                </c:pt>
                <c:pt idx="627">
                  <c:v>2458364.41022</c:v>
                </c:pt>
                <c:pt idx="628">
                  <c:v>2458364.41065</c:v>
                </c:pt>
                <c:pt idx="629">
                  <c:v>2458364.4110400002</c:v>
                </c:pt>
                <c:pt idx="630">
                  <c:v>2458364.4114399999</c:v>
                </c:pt>
                <c:pt idx="631">
                  <c:v>2458364.4118400002</c:v>
                </c:pt>
                <c:pt idx="632">
                  <c:v>2458364.4122299999</c:v>
                </c:pt>
                <c:pt idx="633">
                  <c:v>2458364.4126499998</c:v>
                </c:pt>
                <c:pt idx="634">
                  <c:v>2458364.4130600002</c:v>
                </c:pt>
                <c:pt idx="635">
                  <c:v>2458364.4134499999</c:v>
                </c:pt>
                <c:pt idx="636">
                  <c:v>2458364.4138799999</c:v>
                </c:pt>
                <c:pt idx="637">
                  <c:v>2458364.4142700001</c:v>
                </c:pt>
                <c:pt idx="638">
                  <c:v>2458364.4147000001</c:v>
                </c:pt>
                <c:pt idx="639">
                  <c:v>2458364.4150899998</c:v>
                </c:pt>
                <c:pt idx="640">
                  <c:v>2458364.41549</c:v>
                </c:pt>
                <c:pt idx="641">
                  <c:v>2458364.4158899998</c:v>
                </c:pt>
                <c:pt idx="642">
                  <c:v>2458364.41628</c:v>
                </c:pt>
                <c:pt idx="643">
                  <c:v>2458364.4183100001</c:v>
                </c:pt>
                <c:pt idx="644">
                  <c:v>2458364.4186999998</c:v>
                </c:pt>
                <c:pt idx="645">
                  <c:v>2458364.4901800002</c:v>
                </c:pt>
                <c:pt idx="646">
                  <c:v>2458364.4904</c:v>
                </c:pt>
                <c:pt idx="647">
                  <c:v>2458365.4907300002</c:v>
                </c:pt>
                <c:pt idx="648">
                  <c:v>2458365.49095</c:v>
                </c:pt>
                <c:pt idx="649">
                  <c:v>2458366.3880400001</c:v>
                </c:pt>
                <c:pt idx="650">
                  <c:v>2458366.4938400001</c:v>
                </c:pt>
                <c:pt idx="651">
                  <c:v>2458366.4940499999</c:v>
                </c:pt>
                <c:pt idx="652">
                  <c:v>2458367.4917000001</c:v>
                </c:pt>
                <c:pt idx="653">
                  <c:v>2458367.4918999998</c:v>
                </c:pt>
                <c:pt idx="654">
                  <c:v>2458367.5932300002</c:v>
                </c:pt>
                <c:pt idx="655">
                  <c:v>2458367.59552</c:v>
                </c:pt>
                <c:pt idx="656">
                  <c:v>2458367.5978199998</c:v>
                </c:pt>
                <c:pt idx="657">
                  <c:v>2458367.6001200001</c:v>
                </c:pt>
                <c:pt idx="658">
                  <c:v>2458367.6024099998</c:v>
                </c:pt>
                <c:pt idx="659">
                  <c:v>2458367.6047</c:v>
                </c:pt>
                <c:pt idx="660">
                  <c:v>2458367.6069999998</c:v>
                </c:pt>
                <c:pt idx="661">
                  <c:v>2458367.6092900001</c:v>
                </c:pt>
                <c:pt idx="662">
                  <c:v>2458367.6115999999</c:v>
                </c:pt>
                <c:pt idx="663">
                  <c:v>2458367.6138900002</c:v>
                </c:pt>
                <c:pt idx="664">
                  <c:v>2458367.6161799999</c:v>
                </c:pt>
                <c:pt idx="665">
                  <c:v>2458367.6184700001</c:v>
                </c:pt>
                <c:pt idx="666">
                  <c:v>2458367.6209</c:v>
                </c:pt>
                <c:pt idx="667">
                  <c:v>2458367.6231900002</c:v>
                </c:pt>
                <c:pt idx="668">
                  <c:v>2458367.6255000001</c:v>
                </c:pt>
                <c:pt idx="669">
                  <c:v>2458367.6277899998</c:v>
                </c:pt>
                <c:pt idx="670">
                  <c:v>2458367.63008</c:v>
                </c:pt>
                <c:pt idx="671">
                  <c:v>2458367.6323799998</c:v>
                </c:pt>
                <c:pt idx="672">
                  <c:v>2458367.6346800001</c:v>
                </c:pt>
                <c:pt idx="673">
                  <c:v>2458367.63698</c:v>
                </c:pt>
                <c:pt idx="674">
                  <c:v>2458367.6392700002</c:v>
                </c:pt>
                <c:pt idx="675">
                  <c:v>2458367.6415599999</c:v>
                </c:pt>
                <c:pt idx="676">
                  <c:v>2458367.6438699998</c:v>
                </c:pt>
                <c:pt idx="677">
                  <c:v>2458367.64616</c:v>
                </c:pt>
                <c:pt idx="678">
                  <c:v>2458367.6484500002</c:v>
                </c:pt>
                <c:pt idx="679">
                  <c:v>2458367.65075</c:v>
                </c:pt>
                <c:pt idx="680">
                  <c:v>2458368.4934299998</c:v>
                </c:pt>
                <c:pt idx="681">
                  <c:v>2458368.49364</c:v>
                </c:pt>
                <c:pt idx="682">
                  <c:v>2458368.5691200001</c:v>
                </c:pt>
                <c:pt idx="683">
                  <c:v>2458369.31586</c:v>
                </c:pt>
                <c:pt idx="684">
                  <c:v>2458369.3161800001</c:v>
                </c:pt>
                <c:pt idx="685">
                  <c:v>2458369.4948999998</c:v>
                </c:pt>
                <c:pt idx="686">
                  <c:v>2458369.49511</c:v>
                </c:pt>
                <c:pt idx="687">
                  <c:v>2458370.3423600001</c:v>
                </c:pt>
                <c:pt idx="688">
                  <c:v>2458370.5057000001</c:v>
                </c:pt>
                <c:pt idx="689">
                  <c:v>2458370.5059099998</c:v>
                </c:pt>
                <c:pt idx="690">
                  <c:v>2458371.4945800002</c:v>
                </c:pt>
                <c:pt idx="691">
                  <c:v>2458371.4948</c:v>
                </c:pt>
                <c:pt idx="692">
                  <c:v>2458372.4944000002</c:v>
                </c:pt>
                <c:pt idx="693">
                  <c:v>2458372.49462</c:v>
                </c:pt>
                <c:pt idx="694">
                  <c:v>2458373.4962300002</c:v>
                </c:pt>
                <c:pt idx="695">
                  <c:v>2458373.49645</c:v>
                </c:pt>
                <c:pt idx="696">
                  <c:v>2458374.4963600002</c:v>
                </c:pt>
                <c:pt idx="697">
                  <c:v>2458374.49658</c:v>
                </c:pt>
                <c:pt idx="698">
                  <c:v>2458375.3075600001</c:v>
                </c:pt>
                <c:pt idx="699">
                  <c:v>2458375.3075600001</c:v>
                </c:pt>
                <c:pt idx="700">
                  <c:v>2458375.3078700001</c:v>
                </c:pt>
                <c:pt idx="701">
                  <c:v>2458375.3078700001</c:v>
                </c:pt>
                <c:pt idx="702">
                  <c:v>2458375.4983600001</c:v>
                </c:pt>
                <c:pt idx="703">
                  <c:v>2458375.4985699998</c:v>
                </c:pt>
                <c:pt idx="704">
                  <c:v>2458376.3046400002</c:v>
                </c:pt>
                <c:pt idx="705">
                  <c:v>2458376.3049499998</c:v>
                </c:pt>
                <c:pt idx="706">
                  <c:v>2458378.301</c:v>
                </c:pt>
                <c:pt idx="707">
                  <c:v>2458378.3013300002</c:v>
                </c:pt>
                <c:pt idx="708">
                  <c:v>2458379.3897799999</c:v>
                </c:pt>
                <c:pt idx="709">
                  <c:v>2458380.5132599999</c:v>
                </c:pt>
                <c:pt idx="710">
                  <c:v>2458380.5134700001</c:v>
                </c:pt>
                <c:pt idx="711">
                  <c:v>2458381.3846900002</c:v>
                </c:pt>
                <c:pt idx="712">
                  <c:v>2458381.4966000002</c:v>
                </c:pt>
                <c:pt idx="713">
                  <c:v>2458381.49682</c:v>
                </c:pt>
                <c:pt idx="714">
                  <c:v>2458382.3648100002</c:v>
                </c:pt>
                <c:pt idx="715">
                  <c:v>2458382.4913699999</c:v>
                </c:pt>
                <c:pt idx="716">
                  <c:v>2458382.4915800001</c:v>
                </c:pt>
                <c:pt idx="717">
                  <c:v>2458383.3724099998</c:v>
                </c:pt>
                <c:pt idx="718">
                  <c:v>2458383.3727199999</c:v>
                </c:pt>
                <c:pt idx="719">
                  <c:v>2458383.4951999998</c:v>
                </c:pt>
                <c:pt idx="720">
                  <c:v>2458383.4954200001</c:v>
                </c:pt>
                <c:pt idx="721">
                  <c:v>2458384.4955799999</c:v>
                </c:pt>
                <c:pt idx="722">
                  <c:v>2458384.4957900001</c:v>
                </c:pt>
                <c:pt idx="723">
                  <c:v>2458385.3724099998</c:v>
                </c:pt>
                <c:pt idx="724">
                  <c:v>2458385.37335</c:v>
                </c:pt>
                <c:pt idx="725">
                  <c:v>2458385.49547</c:v>
                </c:pt>
                <c:pt idx="726">
                  <c:v>2458385.4956800002</c:v>
                </c:pt>
                <c:pt idx="727">
                  <c:v>2458386.2860500002</c:v>
                </c:pt>
                <c:pt idx="728">
                  <c:v>2458386.2863699999</c:v>
                </c:pt>
                <c:pt idx="729">
                  <c:v>2458386.5143300002</c:v>
                </c:pt>
                <c:pt idx="730">
                  <c:v>2458386.5145399999</c:v>
                </c:pt>
                <c:pt idx="731">
                  <c:v>2458387.5057600001</c:v>
                </c:pt>
                <c:pt idx="732">
                  <c:v>2458387.5059699998</c:v>
                </c:pt>
                <c:pt idx="733">
                  <c:v>2458388.2853399999</c:v>
                </c:pt>
                <c:pt idx="734">
                  <c:v>2458388.28565</c:v>
                </c:pt>
                <c:pt idx="735">
                  <c:v>2458388.3413300002</c:v>
                </c:pt>
                <c:pt idx="736">
                  <c:v>2458388.3536700001</c:v>
                </c:pt>
                <c:pt idx="737">
                  <c:v>2458388.51388</c:v>
                </c:pt>
                <c:pt idx="738">
                  <c:v>2458388.5140900002</c:v>
                </c:pt>
                <c:pt idx="739">
                  <c:v>2458389.2865900001</c:v>
                </c:pt>
                <c:pt idx="740">
                  <c:v>2458389.2869000002</c:v>
                </c:pt>
                <c:pt idx="741">
                  <c:v>2458389.3335600002</c:v>
                </c:pt>
                <c:pt idx="742">
                  <c:v>2458389.51443</c:v>
                </c:pt>
                <c:pt idx="743">
                  <c:v>2458389.5146400002</c:v>
                </c:pt>
                <c:pt idx="744">
                  <c:v>2458389.6833700002</c:v>
                </c:pt>
                <c:pt idx="745">
                  <c:v>2458390.3020799998</c:v>
                </c:pt>
                <c:pt idx="746">
                  <c:v>2458390.3023999999</c:v>
                </c:pt>
                <c:pt idx="747">
                  <c:v>2458390.3675799998</c:v>
                </c:pt>
                <c:pt idx="748">
                  <c:v>2458390.5189399999</c:v>
                </c:pt>
                <c:pt idx="749">
                  <c:v>2458390.5191500001</c:v>
                </c:pt>
                <c:pt idx="750">
                  <c:v>2458392.5086099999</c:v>
                </c:pt>
                <c:pt idx="751">
                  <c:v>2458392.50881</c:v>
                </c:pt>
                <c:pt idx="752">
                  <c:v>2458393.5122400001</c:v>
                </c:pt>
                <c:pt idx="753">
                  <c:v>2458393.5124499998</c:v>
                </c:pt>
                <c:pt idx="754">
                  <c:v>2458394.3505199999</c:v>
                </c:pt>
                <c:pt idx="755">
                  <c:v>2458394.5167999999</c:v>
                </c:pt>
                <c:pt idx="756">
                  <c:v>2458394.5170100001</c:v>
                </c:pt>
                <c:pt idx="757">
                  <c:v>2458395.3368199999</c:v>
                </c:pt>
                <c:pt idx="758">
                  <c:v>2458395.5095299999</c:v>
                </c:pt>
                <c:pt idx="759">
                  <c:v>2458395.5097400001</c:v>
                </c:pt>
                <c:pt idx="760">
                  <c:v>2458395.62659</c:v>
                </c:pt>
                <c:pt idx="761">
                  <c:v>2458396.41298</c:v>
                </c:pt>
                <c:pt idx="762">
                  <c:v>2458396.5133400001</c:v>
                </c:pt>
                <c:pt idx="763">
                  <c:v>2458396.5135599999</c:v>
                </c:pt>
                <c:pt idx="764">
                  <c:v>2458397.5133400001</c:v>
                </c:pt>
                <c:pt idx="765">
                  <c:v>2458397.5135499998</c:v>
                </c:pt>
                <c:pt idx="766">
                  <c:v>2458398.2902799998</c:v>
                </c:pt>
                <c:pt idx="767">
                  <c:v>2458400.5726299998</c:v>
                </c:pt>
                <c:pt idx="768">
                  <c:v>2458400.57284</c:v>
                </c:pt>
                <c:pt idx="769">
                  <c:v>2458401.27183</c:v>
                </c:pt>
                <c:pt idx="770">
                  <c:v>2458401.2721500001</c:v>
                </c:pt>
                <c:pt idx="771">
                  <c:v>2458401.5538699999</c:v>
                </c:pt>
                <c:pt idx="772">
                  <c:v>2458401.5540800001</c:v>
                </c:pt>
                <c:pt idx="773">
                  <c:v>2458402.2620600001</c:v>
                </c:pt>
                <c:pt idx="774">
                  <c:v>2458402.2623700001</c:v>
                </c:pt>
                <c:pt idx="775">
                  <c:v>2458402.5707999999</c:v>
                </c:pt>
                <c:pt idx="776">
                  <c:v>2458402.5710200001</c:v>
                </c:pt>
                <c:pt idx="777">
                  <c:v>2458403.5682000001</c:v>
                </c:pt>
                <c:pt idx="778">
                  <c:v>2458403.5684099998</c:v>
                </c:pt>
                <c:pt idx="779">
                  <c:v>2458404.34516</c:v>
                </c:pt>
                <c:pt idx="780">
                  <c:v>2458404.3454999998</c:v>
                </c:pt>
                <c:pt idx="781">
                  <c:v>2458404.5653300001</c:v>
                </c:pt>
                <c:pt idx="782">
                  <c:v>2458404.5655399999</c:v>
                </c:pt>
                <c:pt idx="783">
                  <c:v>2458405.5625399998</c:v>
                </c:pt>
                <c:pt idx="784">
                  <c:v>2458405.56275</c:v>
                </c:pt>
                <c:pt idx="785">
                  <c:v>2458406.2601299998</c:v>
                </c:pt>
                <c:pt idx="786">
                  <c:v>2458406.2604399999</c:v>
                </c:pt>
                <c:pt idx="787">
                  <c:v>2458406.5597999999</c:v>
                </c:pt>
                <c:pt idx="788">
                  <c:v>2458406.5600100001</c:v>
                </c:pt>
                <c:pt idx="789">
                  <c:v>2458407.29575</c:v>
                </c:pt>
                <c:pt idx="790">
                  <c:v>2458407.2960600001</c:v>
                </c:pt>
                <c:pt idx="791">
                  <c:v>2458407.5570200002</c:v>
                </c:pt>
                <c:pt idx="792">
                  <c:v>2458407.5572299999</c:v>
                </c:pt>
                <c:pt idx="793">
                  <c:v>2458408.5541500002</c:v>
                </c:pt>
                <c:pt idx="794">
                  <c:v>2458408.55437</c:v>
                </c:pt>
                <c:pt idx="795">
                  <c:v>2458409.2542400002</c:v>
                </c:pt>
                <c:pt idx="796">
                  <c:v>2458409.2545500002</c:v>
                </c:pt>
                <c:pt idx="797">
                  <c:v>2458409.5513800001</c:v>
                </c:pt>
                <c:pt idx="798">
                  <c:v>2458409.5515899998</c:v>
                </c:pt>
                <c:pt idx="799">
                  <c:v>2458410.5486499998</c:v>
                </c:pt>
                <c:pt idx="800">
                  <c:v>2458410.54886</c:v>
                </c:pt>
                <c:pt idx="801">
                  <c:v>2458411.3205300001</c:v>
                </c:pt>
                <c:pt idx="802">
                  <c:v>2458411.3208400002</c:v>
                </c:pt>
                <c:pt idx="803">
                  <c:v>2458411.5458200001</c:v>
                </c:pt>
                <c:pt idx="804">
                  <c:v>2458411.5460199998</c:v>
                </c:pt>
                <c:pt idx="805">
                  <c:v>2458413.5409200001</c:v>
                </c:pt>
                <c:pt idx="806">
                  <c:v>2458413.5411399999</c:v>
                </c:pt>
                <c:pt idx="807">
                  <c:v>2458414.5381700001</c:v>
                </c:pt>
                <c:pt idx="808">
                  <c:v>2458414.5383700002</c:v>
                </c:pt>
                <c:pt idx="809">
                  <c:v>2458415.2420299998</c:v>
                </c:pt>
                <c:pt idx="810">
                  <c:v>2458415.2423399999</c:v>
                </c:pt>
                <c:pt idx="811">
                  <c:v>2458415.53541</c:v>
                </c:pt>
                <c:pt idx="812">
                  <c:v>2458415.5356299998</c:v>
                </c:pt>
                <c:pt idx="813">
                  <c:v>2458416.5326</c:v>
                </c:pt>
                <c:pt idx="814">
                  <c:v>2458416.5328199998</c:v>
                </c:pt>
                <c:pt idx="815">
                  <c:v>2458417.5334100001</c:v>
                </c:pt>
                <c:pt idx="816">
                  <c:v>2458417.53363</c:v>
                </c:pt>
                <c:pt idx="817">
                  <c:v>2458418.52795</c:v>
                </c:pt>
                <c:pt idx="818">
                  <c:v>2458418.5281699998</c:v>
                </c:pt>
                <c:pt idx="819">
                  <c:v>2458419.52788</c:v>
                </c:pt>
                <c:pt idx="820">
                  <c:v>2458419.5280800001</c:v>
                </c:pt>
                <c:pt idx="821">
                  <c:v>2458420.2450999999</c:v>
                </c:pt>
                <c:pt idx="822">
                  <c:v>2458420.2454200001</c:v>
                </c:pt>
                <c:pt idx="823">
                  <c:v>2458420.5251799999</c:v>
                </c:pt>
                <c:pt idx="824">
                  <c:v>2458420.5253900001</c:v>
                </c:pt>
                <c:pt idx="825">
                  <c:v>2458420.6235400001</c:v>
                </c:pt>
                <c:pt idx="826">
                  <c:v>2458421.5222700001</c:v>
                </c:pt>
                <c:pt idx="827">
                  <c:v>2458421.5224899999</c:v>
                </c:pt>
                <c:pt idx="828">
                  <c:v>2458422.5196099998</c:v>
                </c:pt>
                <c:pt idx="829">
                  <c:v>2458422.51982</c:v>
                </c:pt>
                <c:pt idx="830">
                  <c:v>2458423.21667</c:v>
                </c:pt>
                <c:pt idx="831">
                  <c:v>2458423.5200499999</c:v>
                </c:pt>
                <c:pt idx="832">
                  <c:v>2458423.5202700002</c:v>
                </c:pt>
                <c:pt idx="833">
                  <c:v>2458424.5139899999</c:v>
                </c:pt>
                <c:pt idx="834">
                  <c:v>2458424.5142000001</c:v>
                </c:pt>
                <c:pt idx="835">
                  <c:v>2458425.4286699998</c:v>
                </c:pt>
                <c:pt idx="836">
                  <c:v>2458425.4289899999</c:v>
                </c:pt>
                <c:pt idx="837">
                  <c:v>2458425.51144</c:v>
                </c:pt>
                <c:pt idx="838">
                  <c:v>2458425.5116599998</c:v>
                </c:pt>
                <c:pt idx="839">
                  <c:v>2458425.6217</c:v>
                </c:pt>
                <c:pt idx="840">
                  <c:v>2458427.5127099999</c:v>
                </c:pt>
                <c:pt idx="841">
                  <c:v>2458427.5129300002</c:v>
                </c:pt>
                <c:pt idx="842">
                  <c:v>2458428.2588900002</c:v>
                </c:pt>
                <c:pt idx="843">
                  <c:v>2458428.2592099998</c:v>
                </c:pt>
                <c:pt idx="844">
                  <c:v>2458428.5131399999</c:v>
                </c:pt>
                <c:pt idx="845">
                  <c:v>2458428.5133500001</c:v>
                </c:pt>
                <c:pt idx="846">
                  <c:v>2458429.5136099998</c:v>
                </c:pt>
                <c:pt idx="847">
                  <c:v>2458429.5138300001</c:v>
                </c:pt>
                <c:pt idx="848">
                  <c:v>2458429.5971599999</c:v>
                </c:pt>
                <c:pt idx="849">
                  <c:v>2458430.5139100002</c:v>
                </c:pt>
                <c:pt idx="850">
                  <c:v>2458430.5141099999</c:v>
                </c:pt>
                <c:pt idx="851">
                  <c:v>2458431.22523</c:v>
                </c:pt>
                <c:pt idx="852">
                  <c:v>2458431.5044800001</c:v>
                </c:pt>
                <c:pt idx="853">
                  <c:v>2458431.5046999999</c:v>
                </c:pt>
                <c:pt idx="854">
                  <c:v>2458432.5039300001</c:v>
                </c:pt>
                <c:pt idx="855">
                  <c:v>2458432.5041399999</c:v>
                </c:pt>
                <c:pt idx="856">
                  <c:v>2458433.2361099999</c:v>
                </c:pt>
                <c:pt idx="857">
                  <c:v>2458433.23642</c:v>
                </c:pt>
                <c:pt idx="858">
                  <c:v>2458433.5043100002</c:v>
                </c:pt>
                <c:pt idx="859">
                  <c:v>2458433.50453</c:v>
                </c:pt>
                <c:pt idx="860">
                  <c:v>2458434.5046600001</c:v>
                </c:pt>
                <c:pt idx="861">
                  <c:v>2458434.5048799999</c:v>
                </c:pt>
                <c:pt idx="862">
                  <c:v>2458435.5055200001</c:v>
                </c:pt>
                <c:pt idx="863">
                  <c:v>2458435.5057299999</c:v>
                </c:pt>
                <c:pt idx="864">
                  <c:v>2458436.5058900001</c:v>
                </c:pt>
                <c:pt idx="865">
                  <c:v>2458436.5060899998</c:v>
                </c:pt>
                <c:pt idx="866">
                  <c:v>2458436.6137899999</c:v>
                </c:pt>
                <c:pt idx="867">
                  <c:v>2458437.273</c:v>
                </c:pt>
                <c:pt idx="868">
                  <c:v>2458437.2733100001</c:v>
                </c:pt>
                <c:pt idx="869">
                  <c:v>2458438.5065100002</c:v>
                </c:pt>
                <c:pt idx="870">
                  <c:v>2458438.50673</c:v>
                </c:pt>
                <c:pt idx="871">
                  <c:v>2458439.1979200002</c:v>
                </c:pt>
                <c:pt idx="872">
                  <c:v>2458439.5072300001</c:v>
                </c:pt>
                <c:pt idx="873">
                  <c:v>2458439.5074399998</c:v>
                </c:pt>
                <c:pt idx="874">
                  <c:v>2458440.3501900001</c:v>
                </c:pt>
                <c:pt idx="875">
                  <c:v>2458440.3505000002</c:v>
                </c:pt>
                <c:pt idx="876">
                  <c:v>2458440.5079899998</c:v>
                </c:pt>
                <c:pt idx="877">
                  <c:v>2458440.5082100001</c:v>
                </c:pt>
                <c:pt idx="878">
                  <c:v>2458441.5113599999</c:v>
                </c:pt>
                <c:pt idx="879">
                  <c:v>2458441.5115800002</c:v>
                </c:pt>
                <c:pt idx="880">
                  <c:v>2458442.5114500001</c:v>
                </c:pt>
                <c:pt idx="881">
                  <c:v>2458442.5116699999</c:v>
                </c:pt>
                <c:pt idx="882">
                  <c:v>2458442.64567</c:v>
                </c:pt>
                <c:pt idx="883">
                  <c:v>2458443.5118900002</c:v>
                </c:pt>
                <c:pt idx="884">
                  <c:v>2458443.5120999999</c:v>
                </c:pt>
                <c:pt idx="885">
                  <c:v>2458444.5128299999</c:v>
                </c:pt>
                <c:pt idx="886">
                  <c:v>2458444.5130500002</c:v>
                </c:pt>
                <c:pt idx="887">
                  <c:v>2458445.5045099999</c:v>
                </c:pt>
                <c:pt idx="888">
                  <c:v>2458445.5047200001</c:v>
                </c:pt>
                <c:pt idx="889">
                  <c:v>2458446.5050599999</c:v>
                </c:pt>
                <c:pt idx="890">
                  <c:v>2458446.5052800002</c:v>
                </c:pt>
                <c:pt idx="891">
                  <c:v>2458447.5054600001</c:v>
                </c:pt>
                <c:pt idx="892">
                  <c:v>2458447.5056799999</c:v>
                </c:pt>
                <c:pt idx="893">
                  <c:v>2458448.5062099998</c:v>
                </c:pt>
                <c:pt idx="894">
                  <c:v>2458448.50642</c:v>
                </c:pt>
                <c:pt idx="895">
                  <c:v>2458449.5063499999</c:v>
                </c:pt>
                <c:pt idx="896">
                  <c:v>2458449.5065700002</c:v>
                </c:pt>
                <c:pt idx="897">
                  <c:v>2458450.50416</c:v>
                </c:pt>
                <c:pt idx="898">
                  <c:v>2458450.5043799998</c:v>
                </c:pt>
                <c:pt idx="899">
                  <c:v>2458451.5046999999</c:v>
                </c:pt>
                <c:pt idx="900">
                  <c:v>2458451.5049200002</c:v>
                </c:pt>
                <c:pt idx="901">
                  <c:v>2458453.2179899998</c:v>
                </c:pt>
                <c:pt idx="902">
                  <c:v>2458453.2183099999</c:v>
                </c:pt>
                <c:pt idx="903">
                  <c:v>2458462.21257</c:v>
                </c:pt>
                <c:pt idx="904">
                  <c:v>2458462.21288</c:v>
                </c:pt>
                <c:pt idx="905">
                  <c:v>2458464.25801</c:v>
                </c:pt>
                <c:pt idx="906">
                  <c:v>2458464.2583300001</c:v>
                </c:pt>
                <c:pt idx="907">
                  <c:v>2458478.30235</c:v>
                </c:pt>
                <c:pt idx="908">
                  <c:v>2458478.30266</c:v>
                </c:pt>
                <c:pt idx="909">
                  <c:v>2458479.21</c:v>
                </c:pt>
                <c:pt idx="910">
                  <c:v>2458479.2103200001</c:v>
                </c:pt>
                <c:pt idx="911">
                  <c:v>2458487.2123400001</c:v>
                </c:pt>
                <c:pt idx="912">
                  <c:v>2458487.2126500001</c:v>
                </c:pt>
                <c:pt idx="913">
                  <c:v>2458503.2306400002</c:v>
                </c:pt>
                <c:pt idx="914">
                  <c:v>2458503.23098</c:v>
                </c:pt>
                <c:pt idx="915">
                  <c:v>2458577.6209</c:v>
                </c:pt>
                <c:pt idx="916">
                  <c:v>2458577.6212200001</c:v>
                </c:pt>
                <c:pt idx="917">
                  <c:v>2458597.6397000002</c:v>
                </c:pt>
                <c:pt idx="918">
                  <c:v>2458597.6400100002</c:v>
                </c:pt>
                <c:pt idx="919">
                  <c:v>2458643.4489899999</c:v>
                </c:pt>
                <c:pt idx="920">
                  <c:v>2458643.4493200001</c:v>
                </c:pt>
                <c:pt idx="921">
                  <c:v>2458649.7807800001</c:v>
                </c:pt>
                <c:pt idx="922">
                  <c:v>2458654.7340000002</c:v>
                </c:pt>
                <c:pt idx="923">
                  <c:v>2458663.4413800002</c:v>
                </c:pt>
                <c:pt idx="924">
                  <c:v>2458663.4416999999</c:v>
                </c:pt>
                <c:pt idx="925">
                  <c:v>2458664.4152799998</c:v>
                </c:pt>
                <c:pt idx="926">
                  <c:v>2458665.75238</c:v>
                </c:pt>
                <c:pt idx="927">
                  <c:v>2458672.4233900001</c:v>
                </c:pt>
                <c:pt idx="928">
                  <c:v>2458672.4237199998</c:v>
                </c:pt>
                <c:pt idx="929">
                  <c:v>2458677.7299100002</c:v>
                </c:pt>
                <c:pt idx="930">
                  <c:v>2458681.3980800002</c:v>
                </c:pt>
                <c:pt idx="931">
                  <c:v>2458681.3983900002</c:v>
                </c:pt>
                <c:pt idx="932">
                  <c:v>2458685.43126</c:v>
                </c:pt>
                <c:pt idx="933">
                  <c:v>2458685.43157</c:v>
                </c:pt>
                <c:pt idx="934">
                  <c:v>2458685.7128499998</c:v>
                </c:pt>
                <c:pt idx="935">
                  <c:v>2458687.3997999998</c:v>
                </c:pt>
                <c:pt idx="936">
                  <c:v>2458687.4001199999</c:v>
                </c:pt>
                <c:pt idx="937">
                  <c:v>2458688.3939999999</c:v>
                </c:pt>
                <c:pt idx="938">
                  <c:v>2458688.39433</c:v>
                </c:pt>
                <c:pt idx="939">
                  <c:v>2458690.5090299998</c:v>
                </c:pt>
                <c:pt idx="940">
                  <c:v>2458693.39353</c:v>
                </c:pt>
                <c:pt idx="941">
                  <c:v>2458693.39384</c:v>
                </c:pt>
                <c:pt idx="942">
                  <c:v>2458694.3860399998</c:v>
                </c:pt>
                <c:pt idx="943">
                  <c:v>2458694.3863499998</c:v>
                </c:pt>
                <c:pt idx="944">
                  <c:v>2458697.3930000002</c:v>
                </c:pt>
                <c:pt idx="945">
                  <c:v>2458697.3933199998</c:v>
                </c:pt>
                <c:pt idx="946">
                  <c:v>2458698.3816999998</c:v>
                </c:pt>
                <c:pt idx="947">
                  <c:v>2458698.3820099998</c:v>
                </c:pt>
                <c:pt idx="948">
                  <c:v>2458699.3993500001</c:v>
                </c:pt>
                <c:pt idx="949">
                  <c:v>2458699.3996799998</c:v>
                </c:pt>
                <c:pt idx="950">
                  <c:v>2458703.37402</c:v>
                </c:pt>
                <c:pt idx="951">
                  <c:v>2458703.3743400001</c:v>
                </c:pt>
                <c:pt idx="952">
                  <c:v>2458706.3749299999</c:v>
                </c:pt>
                <c:pt idx="953">
                  <c:v>2458706.37525</c:v>
                </c:pt>
                <c:pt idx="954">
                  <c:v>2458707.6997099998</c:v>
                </c:pt>
                <c:pt idx="955">
                  <c:v>2458708.3743099999</c:v>
                </c:pt>
                <c:pt idx="956">
                  <c:v>2458708.3746500001</c:v>
                </c:pt>
                <c:pt idx="957">
                  <c:v>2458714.3632499999</c:v>
                </c:pt>
                <c:pt idx="958">
                  <c:v>2458714.3636099999</c:v>
                </c:pt>
                <c:pt idx="959">
                  <c:v>2458715.3665900002</c:v>
                </c:pt>
                <c:pt idx="960">
                  <c:v>2458715.36693</c:v>
                </c:pt>
                <c:pt idx="961">
                  <c:v>2458716.3479200001</c:v>
                </c:pt>
                <c:pt idx="962">
                  <c:v>2458717.3635499999</c:v>
                </c:pt>
                <c:pt idx="963">
                  <c:v>2458717.36387</c:v>
                </c:pt>
                <c:pt idx="964">
                  <c:v>2458720.3362500002</c:v>
                </c:pt>
                <c:pt idx="965">
                  <c:v>2458720.3365699998</c:v>
                </c:pt>
                <c:pt idx="966">
                  <c:v>2458721.6703599999</c:v>
                </c:pt>
                <c:pt idx="967">
                  <c:v>2458722.3391900002</c:v>
                </c:pt>
                <c:pt idx="968">
                  <c:v>2458722.3394999998</c:v>
                </c:pt>
                <c:pt idx="969">
                  <c:v>2458726.3361200001</c:v>
                </c:pt>
                <c:pt idx="970">
                  <c:v>2458726.3364400002</c:v>
                </c:pt>
                <c:pt idx="971">
                  <c:v>2458727.7845299998</c:v>
                </c:pt>
                <c:pt idx="972">
                  <c:v>2458728.3474499998</c:v>
                </c:pt>
                <c:pt idx="973">
                  <c:v>2458728.3478000001</c:v>
                </c:pt>
                <c:pt idx="974">
                  <c:v>2458731.3208400002</c:v>
                </c:pt>
                <c:pt idx="975">
                  <c:v>2458731.3211699999</c:v>
                </c:pt>
                <c:pt idx="976">
                  <c:v>2458739.6613099999</c:v>
                </c:pt>
                <c:pt idx="977">
                  <c:v>2458739.7137000002</c:v>
                </c:pt>
                <c:pt idx="978">
                  <c:v>2458739.76957</c:v>
                </c:pt>
                <c:pt idx="979">
                  <c:v>2458740.3055599998</c:v>
                </c:pt>
                <c:pt idx="980">
                  <c:v>2458740.3058699998</c:v>
                </c:pt>
                <c:pt idx="981">
                  <c:v>2458744.3232900002</c:v>
                </c:pt>
                <c:pt idx="982">
                  <c:v>2458744.3235999998</c:v>
                </c:pt>
                <c:pt idx="983">
                  <c:v>2458745.3116100002</c:v>
                </c:pt>
                <c:pt idx="984">
                  <c:v>2458745.3119199998</c:v>
                </c:pt>
                <c:pt idx="985">
                  <c:v>2458747.2899000002</c:v>
                </c:pt>
                <c:pt idx="986">
                  <c:v>2458747.2902099998</c:v>
                </c:pt>
                <c:pt idx="987">
                  <c:v>2458747.7045800001</c:v>
                </c:pt>
                <c:pt idx="988">
                  <c:v>2458748.2513899999</c:v>
                </c:pt>
                <c:pt idx="989">
                  <c:v>2458753.63582</c:v>
                </c:pt>
                <c:pt idx="990">
                  <c:v>2458759.31183</c:v>
                </c:pt>
                <c:pt idx="991">
                  <c:v>2458759.3121500001</c:v>
                </c:pt>
                <c:pt idx="992">
                  <c:v>2458761.2950599999</c:v>
                </c:pt>
                <c:pt idx="993">
                  <c:v>2458761.2953699999</c:v>
                </c:pt>
                <c:pt idx="994">
                  <c:v>2458762.64475</c:v>
                </c:pt>
                <c:pt idx="995">
                  <c:v>2458765.2626999998</c:v>
                </c:pt>
                <c:pt idx="996">
                  <c:v>2458765.2630099999</c:v>
                </c:pt>
                <c:pt idx="997">
                  <c:v>2458768.69416</c:v>
                </c:pt>
                <c:pt idx="998">
                  <c:v>2458773.62249</c:v>
                </c:pt>
                <c:pt idx="999">
                  <c:v>2458780.5840699999</c:v>
                </c:pt>
              </c:numCache>
            </c:numRef>
          </c:xVal>
          <c:yVal>
            <c:numRef>
              <c:f>Vraw!$C$1:$C$1222</c:f>
              <c:numCache>
                <c:formatCode>General</c:formatCode>
                <c:ptCount val="1000"/>
                <c:pt idx="0">
                  <c:v>10.869</c:v>
                </c:pt>
                <c:pt idx="1">
                  <c:v>10.87</c:v>
                </c:pt>
                <c:pt idx="2">
                  <c:v>10.952999999999999</c:v>
                </c:pt>
                <c:pt idx="3">
                  <c:v>10.944000000000001</c:v>
                </c:pt>
                <c:pt idx="4">
                  <c:v>10.919</c:v>
                </c:pt>
                <c:pt idx="5">
                  <c:v>10.952999999999999</c:v>
                </c:pt>
                <c:pt idx="6">
                  <c:v>10.978999999999999</c:v>
                </c:pt>
                <c:pt idx="7">
                  <c:v>10.955</c:v>
                </c:pt>
                <c:pt idx="8">
                  <c:v>10.944000000000001</c:v>
                </c:pt>
                <c:pt idx="9">
                  <c:v>10.955</c:v>
                </c:pt>
                <c:pt idx="10">
                  <c:v>10.945</c:v>
                </c:pt>
                <c:pt idx="11">
                  <c:v>10.997999999999999</c:v>
                </c:pt>
                <c:pt idx="12">
                  <c:v>10.988</c:v>
                </c:pt>
                <c:pt idx="13">
                  <c:v>10.968999999999999</c:v>
                </c:pt>
                <c:pt idx="14">
                  <c:v>10.944000000000001</c:v>
                </c:pt>
                <c:pt idx="15">
                  <c:v>10.914999999999999</c:v>
                </c:pt>
                <c:pt idx="16">
                  <c:v>10.925000000000001</c:v>
                </c:pt>
                <c:pt idx="17">
                  <c:v>10.983000000000001</c:v>
                </c:pt>
                <c:pt idx="18">
                  <c:v>10.952</c:v>
                </c:pt>
                <c:pt idx="19">
                  <c:v>10.949</c:v>
                </c:pt>
                <c:pt idx="20">
                  <c:v>10.975</c:v>
                </c:pt>
                <c:pt idx="21">
                  <c:v>10.951000000000001</c:v>
                </c:pt>
                <c:pt idx="22">
                  <c:v>10.911</c:v>
                </c:pt>
                <c:pt idx="23">
                  <c:v>10.991</c:v>
                </c:pt>
                <c:pt idx="24">
                  <c:v>10.933</c:v>
                </c:pt>
                <c:pt idx="25">
                  <c:v>11.015000000000001</c:v>
                </c:pt>
                <c:pt idx="26">
                  <c:v>10.981999999999999</c:v>
                </c:pt>
                <c:pt idx="27">
                  <c:v>10.95</c:v>
                </c:pt>
                <c:pt idx="28">
                  <c:v>10.968</c:v>
                </c:pt>
                <c:pt idx="29">
                  <c:v>11.045</c:v>
                </c:pt>
                <c:pt idx="30">
                  <c:v>11.02</c:v>
                </c:pt>
                <c:pt idx="31">
                  <c:v>11.000999999999999</c:v>
                </c:pt>
                <c:pt idx="32">
                  <c:v>11.032999999999999</c:v>
                </c:pt>
                <c:pt idx="33">
                  <c:v>10.973000000000001</c:v>
                </c:pt>
                <c:pt idx="34">
                  <c:v>10.967000000000001</c:v>
                </c:pt>
                <c:pt idx="35">
                  <c:v>11.009</c:v>
                </c:pt>
                <c:pt idx="36">
                  <c:v>11.002000000000001</c:v>
                </c:pt>
                <c:pt idx="37">
                  <c:v>11.012</c:v>
                </c:pt>
                <c:pt idx="38">
                  <c:v>11.021000000000001</c:v>
                </c:pt>
                <c:pt idx="39">
                  <c:v>11.023</c:v>
                </c:pt>
                <c:pt idx="40">
                  <c:v>10.975</c:v>
                </c:pt>
                <c:pt idx="41">
                  <c:v>11.005000000000001</c:v>
                </c:pt>
                <c:pt idx="42">
                  <c:v>11.007</c:v>
                </c:pt>
                <c:pt idx="43">
                  <c:v>10.991</c:v>
                </c:pt>
                <c:pt idx="44">
                  <c:v>11.039</c:v>
                </c:pt>
                <c:pt idx="45">
                  <c:v>10.992000000000001</c:v>
                </c:pt>
                <c:pt idx="46">
                  <c:v>10.961</c:v>
                </c:pt>
                <c:pt idx="47">
                  <c:v>11.02</c:v>
                </c:pt>
                <c:pt idx="48">
                  <c:v>11.013999999999999</c:v>
                </c:pt>
                <c:pt idx="49">
                  <c:v>11.013</c:v>
                </c:pt>
                <c:pt idx="50">
                  <c:v>11.026</c:v>
                </c:pt>
                <c:pt idx="51">
                  <c:v>10.977</c:v>
                </c:pt>
                <c:pt idx="52">
                  <c:v>10.961</c:v>
                </c:pt>
                <c:pt idx="53">
                  <c:v>11.015000000000001</c:v>
                </c:pt>
                <c:pt idx="54">
                  <c:v>11.025</c:v>
                </c:pt>
                <c:pt idx="55">
                  <c:v>10.994999999999999</c:v>
                </c:pt>
                <c:pt idx="56">
                  <c:v>10.997999999999999</c:v>
                </c:pt>
                <c:pt idx="57">
                  <c:v>10.975</c:v>
                </c:pt>
                <c:pt idx="58">
                  <c:v>10.952999999999999</c:v>
                </c:pt>
                <c:pt idx="59">
                  <c:v>10.98</c:v>
                </c:pt>
                <c:pt idx="60">
                  <c:v>11.003</c:v>
                </c:pt>
                <c:pt idx="61">
                  <c:v>10.986000000000001</c:v>
                </c:pt>
                <c:pt idx="62">
                  <c:v>11.015000000000001</c:v>
                </c:pt>
                <c:pt idx="63">
                  <c:v>10.984999999999999</c:v>
                </c:pt>
                <c:pt idx="64">
                  <c:v>10.869</c:v>
                </c:pt>
                <c:pt idx="65">
                  <c:v>10.895</c:v>
                </c:pt>
                <c:pt idx="66">
                  <c:v>10.884</c:v>
                </c:pt>
                <c:pt idx="67">
                  <c:v>11.057</c:v>
                </c:pt>
                <c:pt idx="68">
                  <c:v>11.077999999999999</c:v>
                </c:pt>
                <c:pt idx="69">
                  <c:v>11.071999999999999</c:v>
                </c:pt>
                <c:pt idx="70">
                  <c:v>10.996</c:v>
                </c:pt>
                <c:pt idx="71">
                  <c:v>11.061</c:v>
                </c:pt>
                <c:pt idx="72">
                  <c:v>11.045</c:v>
                </c:pt>
                <c:pt idx="73">
                  <c:v>11.01</c:v>
                </c:pt>
                <c:pt idx="74">
                  <c:v>11.063000000000001</c:v>
                </c:pt>
                <c:pt idx="75">
                  <c:v>11.06</c:v>
                </c:pt>
                <c:pt idx="76">
                  <c:v>11.029</c:v>
                </c:pt>
                <c:pt idx="77">
                  <c:v>11.041</c:v>
                </c:pt>
                <c:pt idx="78">
                  <c:v>11.06</c:v>
                </c:pt>
                <c:pt idx="79">
                  <c:v>11.002000000000001</c:v>
                </c:pt>
                <c:pt idx="80">
                  <c:v>11.048999999999999</c:v>
                </c:pt>
                <c:pt idx="81">
                  <c:v>11.095000000000001</c:v>
                </c:pt>
                <c:pt idx="82">
                  <c:v>11.045999999999999</c:v>
                </c:pt>
                <c:pt idx="83">
                  <c:v>11.045999999999999</c:v>
                </c:pt>
                <c:pt idx="84">
                  <c:v>11.102</c:v>
                </c:pt>
                <c:pt idx="85">
                  <c:v>11.074</c:v>
                </c:pt>
                <c:pt idx="86">
                  <c:v>11.031000000000001</c:v>
                </c:pt>
                <c:pt idx="87">
                  <c:v>11.07</c:v>
                </c:pt>
                <c:pt idx="88">
                  <c:v>11.068</c:v>
                </c:pt>
                <c:pt idx="89">
                  <c:v>11.026999999999999</c:v>
                </c:pt>
                <c:pt idx="90">
                  <c:v>11.018000000000001</c:v>
                </c:pt>
                <c:pt idx="91">
                  <c:v>11.057</c:v>
                </c:pt>
                <c:pt idx="92">
                  <c:v>11.045</c:v>
                </c:pt>
                <c:pt idx="93">
                  <c:v>11.012</c:v>
                </c:pt>
                <c:pt idx="94">
                  <c:v>11.031000000000001</c:v>
                </c:pt>
                <c:pt idx="95">
                  <c:v>11.05</c:v>
                </c:pt>
                <c:pt idx="96">
                  <c:v>11.048999999999999</c:v>
                </c:pt>
                <c:pt idx="97">
                  <c:v>11.028</c:v>
                </c:pt>
                <c:pt idx="98">
                  <c:v>11.025</c:v>
                </c:pt>
                <c:pt idx="99">
                  <c:v>11.003</c:v>
                </c:pt>
                <c:pt idx="100">
                  <c:v>11.051</c:v>
                </c:pt>
                <c:pt idx="101">
                  <c:v>11.069000000000001</c:v>
                </c:pt>
                <c:pt idx="102">
                  <c:v>11.042</c:v>
                </c:pt>
                <c:pt idx="103">
                  <c:v>11.044</c:v>
                </c:pt>
                <c:pt idx="104">
                  <c:v>11.032</c:v>
                </c:pt>
                <c:pt idx="105">
                  <c:v>11.025</c:v>
                </c:pt>
                <c:pt idx="106">
                  <c:v>11.025</c:v>
                </c:pt>
                <c:pt idx="107">
                  <c:v>11.012</c:v>
                </c:pt>
                <c:pt idx="108">
                  <c:v>11.007</c:v>
                </c:pt>
                <c:pt idx="109">
                  <c:v>10.988</c:v>
                </c:pt>
                <c:pt idx="110">
                  <c:v>10.964</c:v>
                </c:pt>
                <c:pt idx="111">
                  <c:v>11.000999999999999</c:v>
                </c:pt>
                <c:pt idx="112">
                  <c:v>10.91</c:v>
                </c:pt>
                <c:pt idx="113">
                  <c:v>10.917999999999999</c:v>
                </c:pt>
                <c:pt idx="114">
                  <c:v>10.916</c:v>
                </c:pt>
                <c:pt idx="115">
                  <c:v>10.896000000000001</c:v>
                </c:pt>
                <c:pt idx="116">
                  <c:v>10.914</c:v>
                </c:pt>
                <c:pt idx="117">
                  <c:v>10.920999999999999</c:v>
                </c:pt>
                <c:pt idx="118">
                  <c:v>10.927</c:v>
                </c:pt>
                <c:pt idx="119">
                  <c:v>10.92</c:v>
                </c:pt>
                <c:pt idx="120">
                  <c:v>10.923</c:v>
                </c:pt>
                <c:pt idx="121">
                  <c:v>10.914999999999999</c:v>
                </c:pt>
                <c:pt idx="122">
                  <c:v>10.917999999999999</c:v>
                </c:pt>
                <c:pt idx="123">
                  <c:v>10.914999999999999</c:v>
                </c:pt>
                <c:pt idx="124">
                  <c:v>10.925000000000001</c:v>
                </c:pt>
                <c:pt idx="125">
                  <c:v>10.914999999999999</c:v>
                </c:pt>
                <c:pt idx="126">
                  <c:v>10.909000000000001</c:v>
                </c:pt>
                <c:pt idx="127">
                  <c:v>10.91</c:v>
                </c:pt>
                <c:pt idx="128">
                  <c:v>10.917</c:v>
                </c:pt>
                <c:pt idx="129">
                  <c:v>10.913</c:v>
                </c:pt>
                <c:pt idx="130">
                  <c:v>10.906000000000001</c:v>
                </c:pt>
                <c:pt idx="131">
                  <c:v>10.911</c:v>
                </c:pt>
                <c:pt idx="132">
                  <c:v>10.907</c:v>
                </c:pt>
                <c:pt idx="133">
                  <c:v>10.917</c:v>
                </c:pt>
                <c:pt idx="134">
                  <c:v>10.893000000000001</c:v>
                </c:pt>
                <c:pt idx="135">
                  <c:v>10.917</c:v>
                </c:pt>
                <c:pt idx="136">
                  <c:v>10.891</c:v>
                </c:pt>
                <c:pt idx="137">
                  <c:v>10.914999999999999</c:v>
                </c:pt>
                <c:pt idx="138">
                  <c:v>10.916</c:v>
                </c:pt>
                <c:pt idx="139">
                  <c:v>10.903</c:v>
                </c:pt>
                <c:pt idx="140">
                  <c:v>10.901</c:v>
                </c:pt>
                <c:pt idx="141">
                  <c:v>10.911</c:v>
                </c:pt>
                <c:pt idx="142">
                  <c:v>10.913</c:v>
                </c:pt>
                <c:pt idx="143">
                  <c:v>10.904</c:v>
                </c:pt>
                <c:pt idx="144">
                  <c:v>10.906000000000001</c:v>
                </c:pt>
                <c:pt idx="145">
                  <c:v>10.907999999999999</c:v>
                </c:pt>
                <c:pt idx="146">
                  <c:v>10.897</c:v>
                </c:pt>
                <c:pt idx="147">
                  <c:v>10.922000000000001</c:v>
                </c:pt>
                <c:pt idx="148">
                  <c:v>10.916</c:v>
                </c:pt>
                <c:pt idx="149">
                  <c:v>10.917</c:v>
                </c:pt>
                <c:pt idx="150">
                  <c:v>10.903</c:v>
                </c:pt>
                <c:pt idx="151">
                  <c:v>10.891999999999999</c:v>
                </c:pt>
                <c:pt idx="152">
                  <c:v>10.794</c:v>
                </c:pt>
                <c:pt idx="153">
                  <c:v>10.843999999999999</c:v>
                </c:pt>
                <c:pt idx="154">
                  <c:v>10.78</c:v>
                </c:pt>
                <c:pt idx="155">
                  <c:v>10.763</c:v>
                </c:pt>
                <c:pt idx="156">
                  <c:v>10.782999999999999</c:v>
                </c:pt>
                <c:pt idx="157">
                  <c:v>10.849</c:v>
                </c:pt>
                <c:pt idx="158">
                  <c:v>10.782</c:v>
                </c:pt>
                <c:pt idx="159">
                  <c:v>10.807</c:v>
                </c:pt>
                <c:pt idx="160">
                  <c:v>10.81</c:v>
                </c:pt>
                <c:pt idx="161">
                  <c:v>10.763</c:v>
                </c:pt>
                <c:pt idx="162">
                  <c:v>10.858000000000001</c:v>
                </c:pt>
                <c:pt idx="163">
                  <c:v>10.816000000000001</c:v>
                </c:pt>
                <c:pt idx="164">
                  <c:v>10.839</c:v>
                </c:pt>
                <c:pt idx="165">
                  <c:v>10.86</c:v>
                </c:pt>
                <c:pt idx="166">
                  <c:v>10.849</c:v>
                </c:pt>
                <c:pt idx="167">
                  <c:v>10.849</c:v>
                </c:pt>
                <c:pt idx="168">
                  <c:v>10.833</c:v>
                </c:pt>
                <c:pt idx="169">
                  <c:v>10.842000000000001</c:v>
                </c:pt>
                <c:pt idx="170">
                  <c:v>10.827</c:v>
                </c:pt>
                <c:pt idx="171">
                  <c:v>10.847</c:v>
                </c:pt>
                <c:pt idx="172">
                  <c:v>10.824</c:v>
                </c:pt>
                <c:pt idx="173">
                  <c:v>10.817</c:v>
                </c:pt>
                <c:pt idx="174">
                  <c:v>10.824999999999999</c:v>
                </c:pt>
                <c:pt idx="175">
                  <c:v>10.81</c:v>
                </c:pt>
                <c:pt idx="176">
                  <c:v>10.837999999999999</c:v>
                </c:pt>
                <c:pt idx="177">
                  <c:v>10.795</c:v>
                </c:pt>
                <c:pt idx="178">
                  <c:v>10.82</c:v>
                </c:pt>
                <c:pt idx="179">
                  <c:v>10.832000000000001</c:v>
                </c:pt>
                <c:pt idx="180">
                  <c:v>10.881</c:v>
                </c:pt>
                <c:pt idx="181">
                  <c:v>10.872</c:v>
                </c:pt>
                <c:pt idx="182">
                  <c:v>10.878</c:v>
                </c:pt>
                <c:pt idx="183">
                  <c:v>10.879</c:v>
                </c:pt>
                <c:pt idx="184">
                  <c:v>10.816000000000001</c:v>
                </c:pt>
                <c:pt idx="185">
                  <c:v>10.867000000000001</c:v>
                </c:pt>
                <c:pt idx="186">
                  <c:v>10.818</c:v>
                </c:pt>
                <c:pt idx="187">
                  <c:v>10.877000000000001</c:v>
                </c:pt>
                <c:pt idx="188">
                  <c:v>10.882</c:v>
                </c:pt>
                <c:pt idx="189">
                  <c:v>10.868</c:v>
                </c:pt>
                <c:pt idx="190">
                  <c:v>10.871</c:v>
                </c:pt>
                <c:pt idx="191">
                  <c:v>10.829000000000001</c:v>
                </c:pt>
                <c:pt idx="192">
                  <c:v>10.827999999999999</c:v>
                </c:pt>
                <c:pt idx="193">
                  <c:v>10.851000000000001</c:v>
                </c:pt>
                <c:pt idx="194">
                  <c:v>10.837</c:v>
                </c:pt>
                <c:pt idx="195">
                  <c:v>10.855</c:v>
                </c:pt>
                <c:pt idx="196">
                  <c:v>10.852</c:v>
                </c:pt>
                <c:pt idx="197">
                  <c:v>10.846</c:v>
                </c:pt>
                <c:pt idx="198">
                  <c:v>10.821999999999999</c:v>
                </c:pt>
                <c:pt idx="199">
                  <c:v>10.86</c:v>
                </c:pt>
                <c:pt idx="200">
                  <c:v>10.856</c:v>
                </c:pt>
                <c:pt idx="201">
                  <c:v>10.808</c:v>
                </c:pt>
                <c:pt idx="202">
                  <c:v>10.789</c:v>
                </c:pt>
                <c:pt idx="203">
                  <c:v>10.867000000000001</c:v>
                </c:pt>
                <c:pt idx="204">
                  <c:v>10.917999999999999</c:v>
                </c:pt>
                <c:pt idx="205">
                  <c:v>10.757999999999999</c:v>
                </c:pt>
                <c:pt idx="206">
                  <c:v>10.771000000000001</c:v>
                </c:pt>
                <c:pt idx="207">
                  <c:v>10.808</c:v>
                </c:pt>
                <c:pt idx="208">
                  <c:v>10.794</c:v>
                </c:pt>
                <c:pt idx="209">
                  <c:v>10.771000000000001</c:v>
                </c:pt>
                <c:pt idx="210">
                  <c:v>10.768000000000001</c:v>
                </c:pt>
                <c:pt idx="211">
                  <c:v>10.741</c:v>
                </c:pt>
                <c:pt idx="212">
                  <c:v>10.746</c:v>
                </c:pt>
                <c:pt idx="213">
                  <c:v>10.733000000000001</c:v>
                </c:pt>
                <c:pt idx="214">
                  <c:v>10.747</c:v>
                </c:pt>
                <c:pt idx="215">
                  <c:v>10.776</c:v>
                </c:pt>
                <c:pt idx="216">
                  <c:v>10.801</c:v>
                </c:pt>
                <c:pt idx="217">
                  <c:v>10.811</c:v>
                </c:pt>
                <c:pt idx="218">
                  <c:v>10.781000000000001</c:v>
                </c:pt>
                <c:pt idx="219">
                  <c:v>10.785</c:v>
                </c:pt>
                <c:pt idx="220">
                  <c:v>10.801</c:v>
                </c:pt>
                <c:pt idx="221">
                  <c:v>10.805999999999999</c:v>
                </c:pt>
                <c:pt idx="222">
                  <c:v>10.798</c:v>
                </c:pt>
                <c:pt idx="223">
                  <c:v>10.795999999999999</c:v>
                </c:pt>
                <c:pt idx="224">
                  <c:v>10.79</c:v>
                </c:pt>
                <c:pt idx="225">
                  <c:v>10.795</c:v>
                </c:pt>
                <c:pt idx="226">
                  <c:v>10.794</c:v>
                </c:pt>
                <c:pt idx="227">
                  <c:v>10.805999999999999</c:v>
                </c:pt>
                <c:pt idx="228">
                  <c:v>10.779</c:v>
                </c:pt>
                <c:pt idx="229">
                  <c:v>10.786</c:v>
                </c:pt>
                <c:pt idx="230">
                  <c:v>10.776</c:v>
                </c:pt>
                <c:pt idx="231">
                  <c:v>10.778</c:v>
                </c:pt>
                <c:pt idx="232">
                  <c:v>10.768000000000001</c:v>
                </c:pt>
                <c:pt idx="233">
                  <c:v>10.771000000000001</c:v>
                </c:pt>
                <c:pt idx="234">
                  <c:v>10.781000000000001</c:v>
                </c:pt>
                <c:pt idx="235">
                  <c:v>10.775</c:v>
                </c:pt>
                <c:pt idx="236">
                  <c:v>10.782999999999999</c:v>
                </c:pt>
                <c:pt idx="237">
                  <c:v>10.776999999999999</c:v>
                </c:pt>
                <c:pt idx="238">
                  <c:v>10.789</c:v>
                </c:pt>
                <c:pt idx="239">
                  <c:v>10.784000000000001</c:v>
                </c:pt>
                <c:pt idx="240">
                  <c:v>10.769</c:v>
                </c:pt>
                <c:pt idx="241">
                  <c:v>10.771000000000001</c:v>
                </c:pt>
                <c:pt idx="242">
                  <c:v>10.757999999999999</c:v>
                </c:pt>
                <c:pt idx="243">
                  <c:v>10.773</c:v>
                </c:pt>
                <c:pt idx="244">
                  <c:v>10.75</c:v>
                </c:pt>
                <c:pt idx="245">
                  <c:v>10.766</c:v>
                </c:pt>
                <c:pt idx="246">
                  <c:v>10.744</c:v>
                </c:pt>
                <c:pt idx="247">
                  <c:v>10.766999999999999</c:v>
                </c:pt>
                <c:pt idx="248">
                  <c:v>10.778</c:v>
                </c:pt>
                <c:pt idx="249">
                  <c:v>10.827</c:v>
                </c:pt>
                <c:pt idx="250">
                  <c:v>10.813000000000001</c:v>
                </c:pt>
                <c:pt idx="251">
                  <c:v>10.823</c:v>
                </c:pt>
                <c:pt idx="252">
                  <c:v>10.817</c:v>
                </c:pt>
                <c:pt idx="253">
                  <c:v>10.821</c:v>
                </c:pt>
                <c:pt idx="254">
                  <c:v>10.811999999999999</c:v>
                </c:pt>
                <c:pt idx="255">
                  <c:v>10.813000000000001</c:v>
                </c:pt>
                <c:pt idx="256">
                  <c:v>10.798</c:v>
                </c:pt>
                <c:pt idx="257">
                  <c:v>10.811</c:v>
                </c:pt>
                <c:pt idx="258">
                  <c:v>10.795999999999999</c:v>
                </c:pt>
                <c:pt idx="259">
                  <c:v>10.81</c:v>
                </c:pt>
                <c:pt idx="260">
                  <c:v>10.815</c:v>
                </c:pt>
                <c:pt idx="261">
                  <c:v>10.821</c:v>
                </c:pt>
                <c:pt idx="262">
                  <c:v>10.82</c:v>
                </c:pt>
                <c:pt idx="263">
                  <c:v>10.818</c:v>
                </c:pt>
                <c:pt idx="264">
                  <c:v>10.82</c:v>
                </c:pt>
                <c:pt idx="265">
                  <c:v>10.821999999999999</c:v>
                </c:pt>
                <c:pt idx="266">
                  <c:v>10.823</c:v>
                </c:pt>
                <c:pt idx="267">
                  <c:v>10.814</c:v>
                </c:pt>
                <c:pt idx="268">
                  <c:v>10.816000000000001</c:v>
                </c:pt>
                <c:pt idx="269">
                  <c:v>10.805999999999999</c:v>
                </c:pt>
                <c:pt idx="270">
                  <c:v>10.824</c:v>
                </c:pt>
                <c:pt idx="271">
                  <c:v>10.814</c:v>
                </c:pt>
                <c:pt idx="272">
                  <c:v>10.817</c:v>
                </c:pt>
                <c:pt idx="273">
                  <c:v>10.814</c:v>
                </c:pt>
                <c:pt idx="274">
                  <c:v>10.816000000000001</c:v>
                </c:pt>
                <c:pt idx="275">
                  <c:v>10.818</c:v>
                </c:pt>
                <c:pt idx="276">
                  <c:v>10.801</c:v>
                </c:pt>
                <c:pt idx="277">
                  <c:v>10.797000000000001</c:v>
                </c:pt>
                <c:pt idx="278">
                  <c:v>10.815</c:v>
                </c:pt>
                <c:pt idx="279">
                  <c:v>10.81</c:v>
                </c:pt>
                <c:pt idx="280">
                  <c:v>10.833</c:v>
                </c:pt>
                <c:pt idx="281">
                  <c:v>10.867000000000001</c:v>
                </c:pt>
                <c:pt idx="282">
                  <c:v>10.866</c:v>
                </c:pt>
                <c:pt idx="283">
                  <c:v>10.827999999999999</c:v>
                </c:pt>
                <c:pt idx="284">
                  <c:v>10.837999999999999</c:v>
                </c:pt>
                <c:pt idx="285">
                  <c:v>10.847</c:v>
                </c:pt>
                <c:pt idx="286">
                  <c:v>10.839</c:v>
                </c:pt>
                <c:pt idx="287">
                  <c:v>10.859</c:v>
                </c:pt>
                <c:pt idx="288">
                  <c:v>10.875</c:v>
                </c:pt>
                <c:pt idx="289">
                  <c:v>10.863</c:v>
                </c:pt>
                <c:pt idx="290">
                  <c:v>10.835000000000001</c:v>
                </c:pt>
                <c:pt idx="291">
                  <c:v>10.867000000000001</c:v>
                </c:pt>
                <c:pt idx="292">
                  <c:v>10.840999999999999</c:v>
                </c:pt>
                <c:pt idx="293">
                  <c:v>10.837</c:v>
                </c:pt>
                <c:pt idx="294">
                  <c:v>10.861000000000001</c:v>
                </c:pt>
                <c:pt idx="295">
                  <c:v>10.851000000000001</c:v>
                </c:pt>
                <c:pt idx="296">
                  <c:v>10.839</c:v>
                </c:pt>
                <c:pt idx="297">
                  <c:v>10.845000000000001</c:v>
                </c:pt>
                <c:pt idx="298">
                  <c:v>10.837</c:v>
                </c:pt>
                <c:pt idx="299">
                  <c:v>10.834</c:v>
                </c:pt>
                <c:pt idx="300">
                  <c:v>10.853</c:v>
                </c:pt>
                <c:pt idx="301">
                  <c:v>10.856999999999999</c:v>
                </c:pt>
                <c:pt idx="302">
                  <c:v>10.852</c:v>
                </c:pt>
                <c:pt idx="303">
                  <c:v>10.842000000000001</c:v>
                </c:pt>
                <c:pt idx="304">
                  <c:v>10.829000000000001</c:v>
                </c:pt>
                <c:pt idx="305">
                  <c:v>10.842000000000001</c:v>
                </c:pt>
                <c:pt idx="306">
                  <c:v>10.852</c:v>
                </c:pt>
                <c:pt idx="307">
                  <c:v>10.833</c:v>
                </c:pt>
                <c:pt idx="308">
                  <c:v>10.848000000000001</c:v>
                </c:pt>
                <c:pt idx="309">
                  <c:v>10.847</c:v>
                </c:pt>
                <c:pt idx="310">
                  <c:v>10.861000000000001</c:v>
                </c:pt>
                <c:pt idx="311">
                  <c:v>10.856</c:v>
                </c:pt>
                <c:pt idx="312">
                  <c:v>10.859</c:v>
                </c:pt>
                <c:pt idx="313">
                  <c:v>10.847</c:v>
                </c:pt>
                <c:pt idx="314">
                  <c:v>10.862</c:v>
                </c:pt>
                <c:pt idx="315">
                  <c:v>10.84</c:v>
                </c:pt>
                <c:pt idx="316">
                  <c:v>10.865</c:v>
                </c:pt>
                <c:pt idx="317">
                  <c:v>10.884</c:v>
                </c:pt>
                <c:pt idx="318">
                  <c:v>10.862</c:v>
                </c:pt>
                <c:pt idx="319">
                  <c:v>10.859</c:v>
                </c:pt>
                <c:pt idx="320">
                  <c:v>10.914999999999999</c:v>
                </c:pt>
                <c:pt idx="321">
                  <c:v>10.914</c:v>
                </c:pt>
                <c:pt idx="322">
                  <c:v>10.92</c:v>
                </c:pt>
                <c:pt idx="323">
                  <c:v>10.916</c:v>
                </c:pt>
                <c:pt idx="324">
                  <c:v>10.909000000000001</c:v>
                </c:pt>
                <c:pt idx="325">
                  <c:v>10.912000000000001</c:v>
                </c:pt>
                <c:pt idx="326">
                  <c:v>10.92</c:v>
                </c:pt>
                <c:pt idx="327">
                  <c:v>10.904</c:v>
                </c:pt>
                <c:pt idx="328">
                  <c:v>10.92</c:v>
                </c:pt>
                <c:pt idx="329">
                  <c:v>10.906000000000001</c:v>
                </c:pt>
                <c:pt idx="330">
                  <c:v>10.906000000000001</c:v>
                </c:pt>
                <c:pt idx="331">
                  <c:v>10.903</c:v>
                </c:pt>
                <c:pt idx="332">
                  <c:v>10.903</c:v>
                </c:pt>
                <c:pt idx="333">
                  <c:v>10.901</c:v>
                </c:pt>
                <c:pt idx="334">
                  <c:v>10.895</c:v>
                </c:pt>
                <c:pt idx="335">
                  <c:v>10.901999999999999</c:v>
                </c:pt>
                <c:pt idx="336">
                  <c:v>10.917999999999999</c:v>
                </c:pt>
                <c:pt idx="337">
                  <c:v>10.914999999999999</c:v>
                </c:pt>
                <c:pt idx="338">
                  <c:v>10.913</c:v>
                </c:pt>
                <c:pt idx="339">
                  <c:v>10.916</c:v>
                </c:pt>
                <c:pt idx="340">
                  <c:v>10.919</c:v>
                </c:pt>
                <c:pt idx="341">
                  <c:v>10.894</c:v>
                </c:pt>
                <c:pt idx="342">
                  <c:v>10.896000000000001</c:v>
                </c:pt>
                <c:pt idx="343">
                  <c:v>10.904999999999999</c:v>
                </c:pt>
                <c:pt idx="344">
                  <c:v>10.9</c:v>
                </c:pt>
                <c:pt idx="345">
                  <c:v>10.9</c:v>
                </c:pt>
                <c:pt idx="346">
                  <c:v>10.903</c:v>
                </c:pt>
                <c:pt idx="347">
                  <c:v>10.907</c:v>
                </c:pt>
                <c:pt idx="348">
                  <c:v>10.898999999999999</c:v>
                </c:pt>
                <c:pt idx="349">
                  <c:v>10.913</c:v>
                </c:pt>
                <c:pt idx="350">
                  <c:v>10.92</c:v>
                </c:pt>
                <c:pt idx="351">
                  <c:v>10.917999999999999</c:v>
                </c:pt>
                <c:pt idx="352">
                  <c:v>10.917</c:v>
                </c:pt>
                <c:pt idx="353">
                  <c:v>10.919</c:v>
                </c:pt>
                <c:pt idx="354">
                  <c:v>10.917</c:v>
                </c:pt>
                <c:pt idx="355">
                  <c:v>10.923</c:v>
                </c:pt>
                <c:pt idx="356">
                  <c:v>10.9</c:v>
                </c:pt>
                <c:pt idx="357">
                  <c:v>10.914999999999999</c:v>
                </c:pt>
                <c:pt idx="358">
                  <c:v>10.917999999999999</c:v>
                </c:pt>
                <c:pt idx="359">
                  <c:v>10.875</c:v>
                </c:pt>
                <c:pt idx="360">
                  <c:v>10.823</c:v>
                </c:pt>
                <c:pt idx="361">
                  <c:v>10.99</c:v>
                </c:pt>
                <c:pt idx="362">
                  <c:v>10.848000000000001</c:v>
                </c:pt>
                <c:pt idx="363">
                  <c:v>10.864000000000001</c:v>
                </c:pt>
                <c:pt idx="364">
                  <c:v>10.867000000000001</c:v>
                </c:pt>
                <c:pt idx="365">
                  <c:v>10.86</c:v>
                </c:pt>
                <c:pt idx="366">
                  <c:v>10.872</c:v>
                </c:pt>
                <c:pt idx="367">
                  <c:v>10.904</c:v>
                </c:pt>
                <c:pt idx="368">
                  <c:v>10.877000000000001</c:v>
                </c:pt>
                <c:pt idx="369">
                  <c:v>10.942</c:v>
                </c:pt>
                <c:pt idx="370">
                  <c:v>10.935</c:v>
                </c:pt>
                <c:pt idx="371">
                  <c:v>10.914999999999999</c:v>
                </c:pt>
                <c:pt idx="372">
                  <c:v>10.929</c:v>
                </c:pt>
                <c:pt idx="373">
                  <c:v>10.91</c:v>
                </c:pt>
                <c:pt idx="374">
                  <c:v>10.932</c:v>
                </c:pt>
                <c:pt idx="375">
                  <c:v>10.903</c:v>
                </c:pt>
                <c:pt idx="376">
                  <c:v>10.933999999999999</c:v>
                </c:pt>
                <c:pt idx="377">
                  <c:v>10.923</c:v>
                </c:pt>
                <c:pt idx="378">
                  <c:v>10.913</c:v>
                </c:pt>
                <c:pt idx="379">
                  <c:v>10.961</c:v>
                </c:pt>
                <c:pt idx="380">
                  <c:v>10.959</c:v>
                </c:pt>
                <c:pt idx="381">
                  <c:v>10.964</c:v>
                </c:pt>
                <c:pt idx="382">
                  <c:v>10.997999999999999</c:v>
                </c:pt>
                <c:pt idx="383">
                  <c:v>11.002000000000001</c:v>
                </c:pt>
                <c:pt idx="384">
                  <c:v>11</c:v>
                </c:pt>
                <c:pt idx="385">
                  <c:v>11.013999999999999</c:v>
                </c:pt>
                <c:pt idx="386">
                  <c:v>11.048</c:v>
                </c:pt>
                <c:pt idx="387">
                  <c:v>11.061</c:v>
                </c:pt>
                <c:pt idx="388">
                  <c:v>11.058</c:v>
                </c:pt>
                <c:pt idx="389">
                  <c:v>11.071</c:v>
                </c:pt>
                <c:pt idx="390">
                  <c:v>11.101000000000001</c:v>
                </c:pt>
                <c:pt idx="391">
                  <c:v>11.096</c:v>
                </c:pt>
                <c:pt idx="392">
                  <c:v>11.116</c:v>
                </c:pt>
                <c:pt idx="393">
                  <c:v>11.114000000000001</c:v>
                </c:pt>
                <c:pt idx="394">
                  <c:v>11.134</c:v>
                </c:pt>
                <c:pt idx="395">
                  <c:v>11.131</c:v>
                </c:pt>
                <c:pt idx="396">
                  <c:v>11.128</c:v>
                </c:pt>
                <c:pt idx="397">
                  <c:v>11.122</c:v>
                </c:pt>
                <c:pt idx="398">
                  <c:v>11.129</c:v>
                </c:pt>
                <c:pt idx="399">
                  <c:v>11.148</c:v>
                </c:pt>
                <c:pt idx="400">
                  <c:v>11.14</c:v>
                </c:pt>
                <c:pt idx="401">
                  <c:v>11.121</c:v>
                </c:pt>
                <c:pt idx="402">
                  <c:v>11.161</c:v>
                </c:pt>
                <c:pt idx="403">
                  <c:v>11.129</c:v>
                </c:pt>
                <c:pt idx="404">
                  <c:v>11.134</c:v>
                </c:pt>
                <c:pt idx="405">
                  <c:v>11.119</c:v>
                </c:pt>
                <c:pt idx="406">
                  <c:v>11.14</c:v>
                </c:pt>
                <c:pt idx="407">
                  <c:v>11.138</c:v>
                </c:pt>
                <c:pt idx="408">
                  <c:v>11.122999999999999</c:v>
                </c:pt>
                <c:pt idx="409">
                  <c:v>11.156000000000001</c:v>
                </c:pt>
                <c:pt idx="410">
                  <c:v>11.166</c:v>
                </c:pt>
                <c:pt idx="411">
                  <c:v>11.127000000000001</c:v>
                </c:pt>
                <c:pt idx="412">
                  <c:v>11.135999999999999</c:v>
                </c:pt>
                <c:pt idx="413">
                  <c:v>11.141</c:v>
                </c:pt>
                <c:pt idx="414">
                  <c:v>11.141</c:v>
                </c:pt>
                <c:pt idx="415">
                  <c:v>11.131</c:v>
                </c:pt>
                <c:pt idx="416">
                  <c:v>11.141</c:v>
                </c:pt>
                <c:pt idx="417">
                  <c:v>11.135</c:v>
                </c:pt>
                <c:pt idx="418">
                  <c:v>11.143000000000001</c:v>
                </c:pt>
                <c:pt idx="419">
                  <c:v>11.124000000000001</c:v>
                </c:pt>
                <c:pt idx="420">
                  <c:v>11.134</c:v>
                </c:pt>
                <c:pt idx="421">
                  <c:v>11.148999999999999</c:v>
                </c:pt>
                <c:pt idx="422">
                  <c:v>11.135</c:v>
                </c:pt>
                <c:pt idx="423">
                  <c:v>11.132999999999999</c:v>
                </c:pt>
                <c:pt idx="424">
                  <c:v>11.14</c:v>
                </c:pt>
                <c:pt idx="425">
                  <c:v>11.141999999999999</c:v>
                </c:pt>
                <c:pt idx="426">
                  <c:v>11.134</c:v>
                </c:pt>
                <c:pt idx="427">
                  <c:v>11.115</c:v>
                </c:pt>
                <c:pt idx="428">
                  <c:v>11.132999999999999</c:v>
                </c:pt>
                <c:pt idx="429">
                  <c:v>11.144</c:v>
                </c:pt>
                <c:pt idx="430">
                  <c:v>11.129</c:v>
                </c:pt>
                <c:pt idx="431">
                  <c:v>11.128</c:v>
                </c:pt>
                <c:pt idx="432">
                  <c:v>11.132</c:v>
                </c:pt>
                <c:pt idx="433">
                  <c:v>11.141</c:v>
                </c:pt>
                <c:pt idx="434">
                  <c:v>11.138</c:v>
                </c:pt>
                <c:pt idx="435">
                  <c:v>11.138999999999999</c:v>
                </c:pt>
                <c:pt idx="436">
                  <c:v>11.134</c:v>
                </c:pt>
                <c:pt idx="437">
                  <c:v>11.134</c:v>
                </c:pt>
                <c:pt idx="438">
                  <c:v>11.141</c:v>
                </c:pt>
                <c:pt idx="439">
                  <c:v>11.132999999999999</c:v>
                </c:pt>
                <c:pt idx="440">
                  <c:v>11.153</c:v>
                </c:pt>
                <c:pt idx="441">
                  <c:v>11.137</c:v>
                </c:pt>
                <c:pt idx="442">
                  <c:v>11.14</c:v>
                </c:pt>
                <c:pt idx="443">
                  <c:v>11.141999999999999</c:v>
                </c:pt>
                <c:pt idx="444">
                  <c:v>11.137</c:v>
                </c:pt>
                <c:pt idx="445">
                  <c:v>11.119</c:v>
                </c:pt>
                <c:pt idx="446">
                  <c:v>11.132999999999999</c:v>
                </c:pt>
                <c:pt idx="447">
                  <c:v>11.125</c:v>
                </c:pt>
                <c:pt idx="448">
                  <c:v>11.125</c:v>
                </c:pt>
                <c:pt idx="449">
                  <c:v>11.124000000000001</c:v>
                </c:pt>
                <c:pt idx="450">
                  <c:v>11.163</c:v>
                </c:pt>
                <c:pt idx="451">
                  <c:v>11.129</c:v>
                </c:pt>
                <c:pt idx="452">
                  <c:v>11.129</c:v>
                </c:pt>
                <c:pt idx="453">
                  <c:v>11.132999999999999</c:v>
                </c:pt>
                <c:pt idx="454">
                  <c:v>11.118</c:v>
                </c:pt>
                <c:pt idx="455">
                  <c:v>11.131</c:v>
                </c:pt>
                <c:pt idx="456">
                  <c:v>11.128</c:v>
                </c:pt>
                <c:pt idx="457">
                  <c:v>11.137</c:v>
                </c:pt>
                <c:pt idx="458">
                  <c:v>11.143000000000001</c:v>
                </c:pt>
                <c:pt idx="459">
                  <c:v>11.125</c:v>
                </c:pt>
                <c:pt idx="460">
                  <c:v>11.145</c:v>
                </c:pt>
                <c:pt idx="461">
                  <c:v>11.147</c:v>
                </c:pt>
                <c:pt idx="462">
                  <c:v>11.138</c:v>
                </c:pt>
                <c:pt idx="463">
                  <c:v>11.137</c:v>
                </c:pt>
                <c:pt idx="464">
                  <c:v>11.12</c:v>
                </c:pt>
                <c:pt idx="465">
                  <c:v>11.135</c:v>
                </c:pt>
                <c:pt idx="466">
                  <c:v>11.129</c:v>
                </c:pt>
                <c:pt idx="467">
                  <c:v>11.138999999999999</c:v>
                </c:pt>
                <c:pt idx="468">
                  <c:v>11.144</c:v>
                </c:pt>
                <c:pt idx="469">
                  <c:v>11.147</c:v>
                </c:pt>
                <c:pt idx="470">
                  <c:v>11.116</c:v>
                </c:pt>
                <c:pt idx="471">
                  <c:v>11.144</c:v>
                </c:pt>
                <c:pt idx="472">
                  <c:v>11.146000000000001</c:v>
                </c:pt>
                <c:pt idx="473">
                  <c:v>11.14</c:v>
                </c:pt>
                <c:pt idx="474">
                  <c:v>11.114000000000001</c:v>
                </c:pt>
                <c:pt idx="475">
                  <c:v>11.135999999999999</c:v>
                </c:pt>
                <c:pt idx="476">
                  <c:v>11.151</c:v>
                </c:pt>
                <c:pt idx="477">
                  <c:v>11.143000000000001</c:v>
                </c:pt>
                <c:pt idx="478">
                  <c:v>11.147</c:v>
                </c:pt>
                <c:pt idx="479">
                  <c:v>11.141</c:v>
                </c:pt>
                <c:pt idx="480">
                  <c:v>11.143000000000001</c:v>
                </c:pt>
                <c:pt idx="481">
                  <c:v>11.111000000000001</c:v>
                </c:pt>
                <c:pt idx="482">
                  <c:v>11.134</c:v>
                </c:pt>
                <c:pt idx="483">
                  <c:v>11.116</c:v>
                </c:pt>
                <c:pt idx="484">
                  <c:v>11.145</c:v>
                </c:pt>
                <c:pt idx="485">
                  <c:v>11.121</c:v>
                </c:pt>
                <c:pt idx="486">
                  <c:v>11.159000000000001</c:v>
                </c:pt>
                <c:pt idx="487">
                  <c:v>11.116</c:v>
                </c:pt>
                <c:pt idx="488">
                  <c:v>11.147</c:v>
                </c:pt>
                <c:pt idx="489">
                  <c:v>11.167</c:v>
                </c:pt>
                <c:pt idx="490">
                  <c:v>11.134</c:v>
                </c:pt>
                <c:pt idx="491">
                  <c:v>11.137</c:v>
                </c:pt>
                <c:pt idx="492">
                  <c:v>11.148</c:v>
                </c:pt>
                <c:pt idx="493">
                  <c:v>11.132</c:v>
                </c:pt>
                <c:pt idx="494">
                  <c:v>11.137</c:v>
                </c:pt>
                <c:pt idx="495">
                  <c:v>11.137</c:v>
                </c:pt>
                <c:pt idx="496">
                  <c:v>11.15</c:v>
                </c:pt>
                <c:pt idx="497">
                  <c:v>11.129</c:v>
                </c:pt>
                <c:pt idx="498">
                  <c:v>11.164999999999999</c:v>
                </c:pt>
                <c:pt idx="499">
                  <c:v>11.116</c:v>
                </c:pt>
                <c:pt idx="500">
                  <c:v>11.135</c:v>
                </c:pt>
                <c:pt idx="501">
                  <c:v>11.146000000000001</c:v>
                </c:pt>
                <c:pt idx="502">
                  <c:v>11.122</c:v>
                </c:pt>
                <c:pt idx="503">
                  <c:v>11.134</c:v>
                </c:pt>
                <c:pt idx="504">
                  <c:v>11.137</c:v>
                </c:pt>
                <c:pt idx="505">
                  <c:v>11.161</c:v>
                </c:pt>
                <c:pt idx="506">
                  <c:v>11.132999999999999</c:v>
                </c:pt>
                <c:pt idx="507">
                  <c:v>11.14</c:v>
                </c:pt>
                <c:pt idx="508">
                  <c:v>11.138999999999999</c:v>
                </c:pt>
                <c:pt idx="509">
                  <c:v>11.134</c:v>
                </c:pt>
                <c:pt idx="510">
                  <c:v>11.119</c:v>
                </c:pt>
                <c:pt idx="511">
                  <c:v>11.121</c:v>
                </c:pt>
                <c:pt idx="512">
                  <c:v>11.141</c:v>
                </c:pt>
                <c:pt idx="513">
                  <c:v>11.116</c:v>
                </c:pt>
                <c:pt idx="514">
                  <c:v>11.137</c:v>
                </c:pt>
                <c:pt idx="515">
                  <c:v>11.141</c:v>
                </c:pt>
                <c:pt idx="516">
                  <c:v>11.135999999999999</c:v>
                </c:pt>
                <c:pt idx="517">
                  <c:v>11.131</c:v>
                </c:pt>
                <c:pt idx="518">
                  <c:v>11.153</c:v>
                </c:pt>
                <c:pt idx="519">
                  <c:v>11.14</c:v>
                </c:pt>
                <c:pt idx="520">
                  <c:v>11.138</c:v>
                </c:pt>
                <c:pt idx="521">
                  <c:v>11.13</c:v>
                </c:pt>
                <c:pt idx="522">
                  <c:v>11.144</c:v>
                </c:pt>
                <c:pt idx="523">
                  <c:v>11.138999999999999</c:v>
                </c:pt>
                <c:pt idx="524">
                  <c:v>11.143000000000001</c:v>
                </c:pt>
                <c:pt idx="525">
                  <c:v>11.135999999999999</c:v>
                </c:pt>
                <c:pt idx="526">
                  <c:v>11.138999999999999</c:v>
                </c:pt>
                <c:pt idx="527">
                  <c:v>11.141999999999999</c:v>
                </c:pt>
                <c:pt idx="528">
                  <c:v>11.137</c:v>
                </c:pt>
                <c:pt idx="529">
                  <c:v>11.12</c:v>
                </c:pt>
                <c:pt idx="530">
                  <c:v>11.147</c:v>
                </c:pt>
                <c:pt idx="531">
                  <c:v>11.125</c:v>
                </c:pt>
                <c:pt idx="532">
                  <c:v>11.144</c:v>
                </c:pt>
                <c:pt idx="533">
                  <c:v>11.138999999999999</c:v>
                </c:pt>
                <c:pt idx="534">
                  <c:v>11.148999999999999</c:v>
                </c:pt>
                <c:pt idx="535">
                  <c:v>11.14</c:v>
                </c:pt>
                <c:pt idx="536">
                  <c:v>11.125999999999999</c:v>
                </c:pt>
                <c:pt idx="537">
                  <c:v>11.148999999999999</c:v>
                </c:pt>
                <c:pt idx="538">
                  <c:v>11.138999999999999</c:v>
                </c:pt>
                <c:pt idx="539">
                  <c:v>11.15</c:v>
                </c:pt>
                <c:pt idx="540">
                  <c:v>11.122</c:v>
                </c:pt>
                <c:pt idx="541">
                  <c:v>11.147</c:v>
                </c:pt>
                <c:pt idx="542">
                  <c:v>11.163</c:v>
                </c:pt>
                <c:pt idx="543">
                  <c:v>11.135</c:v>
                </c:pt>
                <c:pt idx="544">
                  <c:v>11.143000000000001</c:v>
                </c:pt>
                <c:pt idx="545">
                  <c:v>11.141</c:v>
                </c:pt>
                <c:pt idx="546">
                  <c:v>11.135</c:v>
                </c:pt>
                <c:pt idx="547">
                  <c:v>11.143000000000001</c:v>
                </c:pt>
                <c:pt idx="548">
                  <c:v>11.151</c:v>
                </c:pt>
                <c:pt idx="549">
                  <c:v>11.141</c:v>
                </c:pt>
                <c:pt idx="550">
                  <c:v>11.138</c:v>
                </c:pt>
                <c:pt idx="551">
                  <c:v>11.146000000000001</c:v>
                </c:pt>
                <c:pt idx="552">
                  <c:v>11.138999999999999</c:v>
                </c:pt>
                <c:pt idx="553">
                  <c:v>11.151</c:v>
                </c:pt>
                <c:pt idx="554">
                  <c:v>11.135</c:v>
                </c:pt>
                <c:pt idx="555">
                  <c:v>11.151999999999999</c:v>
                </c:pt>
                <c:pt idx="556">
                  <c:v>11.135</c:v>
                </c:pt>
                <c:pt idx="557">
                  <c:v>11.137</c:v>
                </c:pt>
                <c:pt idx="558">
                  <c:v>11.135999999999999</c:v>
                </c:pt>
                <c:pt idx="559">
                  <c:v>11.134</c:v>
                </c:pt>
                <c:pt idx="560">
                  <c:v>11.132999999999999</c:v>
                </c:pt>
                <c:pt idx="561">
                  <c:v>11.137</c:v>
                </c:pt>
                <c:pt idx="562">
                  <c:v>11.151</c:v>
                </c:pt>
                <c:pt idx="563">
                  <c:v>11.127000000000001</c:v>
                </c:pt>
                <c:pt idx="564">
                  <c:v>11.14</c:v>
                </c:pt>
                <c:pt idx="565">
                  <c:v>11.14</c:v>
                </c:pt>
                <c:pt idx="566">
                  <c:v>11.132999999999999</c:v>
                </c:pt>
                <c:pt idx="567">
                  <c:v>11.135</c:v>
                </c:pt>
                <c:pt idx="568">
                  <c:v>11.138</c:v>
                </c:pt>
                <c:pt idx="569">
                  <c:v>11.134</c:v>
                </c:pt>
                <c:pt idx="570">
                  <c:v>11.144</c:v>
                </c:pt>
                <c:pt idx="571">
                  <c:v>11.122999999999999</c:v>
                </c:pt>
                <c:pt idx="572">
                  <c:v>11.141999999999999</c:v>
                </c:pt>
                <c:pt idx="573">
                  <c:v>11.137</c:v>
                </c:pt>
                <c:pt idx="574">
                  <c:v>11.135</c:v>
                </c:pt>
                <c:pt idx="575">
                  <c:v>11.15</c:v>
                </c:pt>
                <c:pt idx="576">
                  <c:v>11.121</c:v>
                </c:pt>
                <c:pt idx="577">
                  <c:v>11.138</c:v>
                </c:pt>
                <c:pt idx="578">
                  <c:v>11.135999999999999</c:v>
                </c:pt>
                <c:pt idx="579">
                  <c:v>11.132999999999999</c:v>
                </c:pt>
                <c:pt idx="580">
                  <c:v>11.128</c:v>
                </c:pt>
                <c:pt idx="581">
                  <c:v>11.11</c:v>
                </c:pt>
                <c:pt idx="582">
                  <c:v>11.163</c:v>
                </c:pt>
                <c:pt idx="583">
                  <c:v>11.132999999999999</c:v>
                </c:pt>
                <c:pt idx="584">
                  <c:v>11.151999999999999</c:v>
                </c:pt>
                <c:pt idx="585">
                  <c:v>11.138999999999999</c:v>
                </c:pt>
                <c:pt idx="586">
                  <c:v>11.134</c:v>
                </c:pt>
                <c:pt idx="587">
                  <c:v>11.112</c:v>
                </c:pt>
                <c:pt idx="588">
                  <c:v>11.131</c:v>
                </c:pt>
                <c:pt idx="589">
                  <c:v>11.163</c:v>
                </c:pt>
                <c:pt idx="590">
                  <c:v>11.117000000000001</c:v>
                </c:pt>
                <c:pt idx="591">
                  <c:v>11.125999999999999</c:v>
                </c:pt>
                <c:pt idx="592">
                  <c:v>11.135999999999999</c:v>
                </c:pt>
                <c:pt idx="593">
                  <c:v>11.132999999999999</c:v>
                </c:pt>
                <c:pt idx="594">
                  <c:v>11.135</c:v>
                </c:pt>
                <c:pt idx="595">
                  <c:v>11.135999999999999</c:v>
                </c:pt>
                <c:pt idx="596">
                  <c:v>11.117000000000001</c:v>
                </c:pt>
                <c:pt idx="597">
                  <c:v>11.138</c:v>
                </c:pt>
                <c:pt idx="598">
                  <c:v>11.148</c:v>
                </c:pt>
                <c:pt idx="599">
                  <c:v>11.129</c:v>
                </c:pt>
                <c:pt idx="600">
                  <c:v>11.122999999999999</c:v>
                </c:pt>
                <c:pt idx="601">
                  <c:v>11.125999999999999</c:v>
                </c:pt>
                <c:pt idx="602">
                  <c:v>11.135</c:v>
                </c:pt>
                <c:pt idx="603">
                  <c:v>11.13</c:v>
                </c:pt>
                <c:pt idx="604">
                  <c:v>11.13</c:v>
                </c:pt>
                <c:pt idx="605">
                  <c:v>11.14</c:v>
                </c:pt>
                <c:pt idx="606">
                  <c:v>11.135999999999999</c:v>
                </c:pt>
                <c:pt idx="607">
                  <c:v>11.129</c:v>
                </c:pt>
                <c:pt idx="608">
                  <c:v>11.138</c:v>
                </c:pt>
                <c:pt idx="609">
                  <c:v>11.128</c:v>
                </c:pt>
                <c:pt idx="610">
                  <c:v>11.135</c:v>
                </c:pt>
                <c:pt idx="611">
                  <c:v>11.132999999999999</c:v>
                </c:pt>
                <c:pt idx="612">
                  <c:v>11.144</c:v>
                </c:pt>
                <c:pt idx="613">
                  <c:v>11.132999999999999</c:v>
                </c:pt>
                <c:pt idx="614">
                  <c:v>11.134</c:v>
                </c:pt>
                <c:pt idx="615">
                  <c:v>11.146000000000001</c:v>
                </c:pt>
                <c:pt idx="616">
                  <c:v>11.131</c:v>
                </c:pt>
                <c:pt idx="617">
                  <c:v>11.124000000000001</c:v>
                </c:pt>
                <c:pt idx="618">
                  <c:v>11.128</c:v>
                </c:pt>
                <c:pt idx="619">
                  <c:v>11.11</c:v>
                </c:pt>
                <c:pt idx="620">
                  <c:v>11.135</c:v>
                </c:pt>
                <c:pt idx="621">
                  <c:v>11.137</c:v>
                </c:pt>
                <c:pt idx="622">
                  <c:v>11.135</c:v>
                </c:pt>
                <c:pt idx="623">
                  <c:v>11.132999999999999</c:v>
                </c:pt>
                <c:pt idx="624">
                  <c:v>11.132</c:v>
                </c:pt>
                <c:pt idx="625">
                  <c:v>11.131</c:v>
                </c:pt>
                <c:pt idx="626">
                  <c:v>11.115</c:v>
                </c:pt>
                <c:pt idx="627">
                  <c:v>11.143000000000001</c:v>
                </c:pt>
                <c:pt idx="628">
                  <c:v>11.127000000000001</c:v>
                </c:pt>
                <c:pt idx="629">
                  <c:v>11.116</c:v>
                </c:pt>
                <c:pt idx="630">
                  <c:v>11.125999999999999</c:v>
                </c:pt>
                <c:pt idx="631">
                  <c:v>11.122</c:v>
                </c:pt>
                <c:pt idx="632">
                  <c:v>11.132999999999999</c:v>
                </c:pt>
                <c:pt idx="633">
                  <c:v>11.125999999999999</c:v>
                </c:pt>
                <c:pt idx="634">
                  <c:v>11.144</c:v>
                </c:pt>
                <c:pt idx="635">
                  <c:v>11.141</c:v>
                </c:pt>
                <c:pt idx="636">
                  <c:v>11.114000000000001</c:v>
                </c:pt>
                <c:pt idx="637">
                  <c:v>11.159000000000001</c:v>
                </c:pt>
                <c:pt idx="638">
                  <c:v>11.131</c:v>
                </c:pt>
                <c:pt idx="639">
                  <c:v>11.135</c:v>
                </c:pt>
                <c:pt idx="640">
                  <c:v>11.117000000000001</c:v>
                </c:pt>
                <c:pt idx="641">
                  <c:v>11.131</c:v>
                </c:pt>
                <c:pt idx="642">
                  <c:v>11.124000000000001</c:v>
                </c:pt>
                <c:pt idx="643">
                  <c:v>11.159000000000001</c:v>
                </c:pt>
                <c:pt idx="644">
                  <c:v>11.113</c:v>
                </c:pt>
                <c:pt idx="645">
                  <c:v>11.144</c:v>
                </c:pt>
                <c:pt idx="646">
                  <c:v>11.138999999999999</c:v>
                </c:pt>
                <c:pt idx="647">
                  <c:v>11.13</c:v>
                </c:pt>
                <c:pt idx="648">
                  <c:v>11.143000000000001</c:v>
                </c:pt>
                <c:pt idx="649">
                  <c:v>11.12</c:v>
                </c:pt>
                <c:pt idx="650">
                  <c:v>11.173999999999999</c:v>
                </c:pt>
                <c:pt idx="651">
                  <c:v>11.191000000000001</c:v>
                </c:pt>
                <c:pt idx="652">
                  <c:v>11.186999999999999</c:v>
                </c:pt>
                <c:pt idx="653">
                  <c:v>11.195</c:v>
                </c:pt>
                <c:pt idx="654">
                  <c:v>11.125999999999999</c:v>
                </c:pt>
                <c:pt idx="655">
                  <c:v>11.125999999999999</c:v>
                </c:pt>
                <c:pt idx="656">
                  <c:v>11.113</c:v>
                </c:pt>
                <c:pt idx="657">
                  <c:v>11.115</c:v>
                </c:pt>
                <c:pt idx="658">
                  <c:v>11.132</c:v>
                </c:pt>
                <c:pt idx="659">
                  <c:v>11.125999999999999</c:v>
                </c:pt>
                <c:pt idx="660">
                  <c:v>11.122999999999999</c:v>
                </c:pt>
                <c:pt idx="661">
                  <c:v>11.124000000000001</c:v>
                </c:pt>
                <c:pt idx="662">
                  <c:v>11.125</c:v>
                </c:pt>
                <c:pt idx="663">
                  <c:v>11.125999999999999</c:v>
                </c:pt>
                <c:pt idx="664">
                  <c:v>11.118</c:v>
                </c:pt>
                <c:pt idx="665">
                  <c:v>11.12</c:v>
                </c:pt>
                <c:pt idx="666">
                  <c:v>11.122</c:v>
                </c:pt>
                <c:pt idx="667">
                  <c:v>11.118</c:v>
                </c:pt>
                <c:pt idx="668">
                  <c:v>11.132999999999999</c:v>
                </c:pt>
                <c:pt idx="669">
                  <c:v>11.128</c:v>
                </c:pt>
                <c:pt idx="670">
                  <c:v>11.124000000000001</c:v>
                </c:pt>
                <c:pt idx="671">
                  <c:v>11.132999999999999</c:v>
                </c:pt>
                <c:pt idx="672">
                  <c:v>11.13</c:v>
                </c:pt>
                <c:pt idx="673">
                  <c:v>11.122999999999999</c:v>
                </c:pt>
                <c:pt idx="674">
                  <c:v>11.128</c:v>
                </c:pt>
                <c:pt idx="675">
                  <c:v>11.125</c:v>
                </c:pt>
                <c:pt idx="676">
                  <c:v>11.131</c:v>
                </c:pt>
                <c:pt idx="677">
                  <c:v>11.124000000000001</c:v>
                </c:pt>
                <c:pt idx="678">
                  <c:v>11.122</c:v>
                </c:pt>
                <c:pt idx="679">
                  <c:v>11.121</c:v>
                </c:pt>
                <c:pt idx="680">
                  <c:v>11.237</c:v>
                </c:pt>
                <c:pt idx="681">
                  <c:v>11.222</c:v>
                </c:pt>
                <c:pt idx="682">
                  <c:v>11.256</c:v>
                </c:pt>
                <c:pt idx="683">
                  <c:v>11.231</c:v>
                </c:pt>
                <c:pt idx="684">
                  <c:v>11.228999999999999</c:v>
                </c:pt>
                <c:pt idx="685">
                  <c:v>11.249000000000001</c:v>
                </c:pt>
                <c:pt idx="686">
                  <c:v>11.262</c:v>
                </c:pt>
                <c:pt idx="687">
                  <c:v>11.3</c:v>
                </c:pt>
                <c:pt idx="688">
                  <c:v>11.308</c:v>
                </c:pt>
                <c:pt idx="689">
                  <c:v>11.305999999999999</c:v>
                </c:pt>
                <c:pt idx="690">
                  <c:v>11.304</c:v>
                </c:pt>
                <c:pt idx="691">
                  <c:v>11.323</c:v>
                </c:pt>
                <c:pt idx="692">
                  <c:v>11.337</c:v>
                </c:pt>
                <c:pt idx="693">
                  <c:v>11.35</c:v>
                </c:pt>
                <c:pt idx="694">
                  <c:v>11.377000000000001</c:v>
                </c:pt>
                <c:pt idx="695">
                  <c:v>11.364000000000001</c:v>
                </c:pt>
                <c:pt idx="696">
                  <c:v>11.393000000000001</c:v>
                </c:pt>
                <c:pt idx="697">
                  <c:v>11.387</c:v>
                </c:pt>
                <c:pt idx="698">
                  <c:v>11.347</c:v>
                </c:pt>
                <c:pt idx="699">
                  <c:v>11.343999999999999</c:v>
                </c:pt>
                <c:pt idx="700">
                  <c:v>11.358000000000001</c:v>
                </c:pt>
                <c:pt idx="701">
                  <c:v>11.356</c:v>
                </c:pt>
                <c:pt idx="702">
                  <c:v>11.388999999999999</c:v>
                </c:pt>
                <c:pt idx="703">
                  <c:v>11.403</c:v>
                </c:pt>
                <c:pt idx="704">
                  <c:v>11.367000000000001</c:v>
                </c:pt>
                <c:pt idx="705">
                  <c:v>11.372999999999999</c:v>
                </c:pt>
                <c:pt idx="706">
                  <c:v>11.368</c:v>
                </c:pt>
                <c:pt idx="707">
                  <c:v>11.369</c:v>
                </c:pt>
                <c:pt idx="708">
                  <c:v>11.41</c:v>
                </c:pt>
                <c:pt idx="709">
                  <c:v>11.43</c:v>
                </c:pt>
                <c:pt idx="710">
                  <c:v>11.417</c:v>
                </c:pt>
                <c:pt idx="711">
                  <c:v>11.43</c:v>
                </c:pt>
                <c:pt idx="712">
                  <c:v>11.427</c:v>
                </c:pt>
                <c:pt idx="713">
                  <c:v>11.430999999999999</c:v>
                </c:pt>
                <c:pt idx="714">
                  <c:v>11.44</c:v>
                </c:pt>
                <c:pt idx="715">
                  <c:v>11.417999999999999</c:v>
                </c:pt>
                <c:pt idx="716">
                  <c:v>11.459</c:v>
                </c:pt>
                <c:pt idx="717">
                  <c:v>11.413</c:v>
                </c:pt>
                <c:pt idx="718">
                  <c:v>11.414999999999999</c:v>
                </c:pt>
                <c:pt idx="719">
                  <c:v>11.444000000000001</c:v>
                </c:pt>
                <c:pt idx="720">
                  <c:v>11.446</c:v>
                </c:pt>
                <c:pt idx="721">
                  <c:v>11.475</c:v>
                </c:pt>
                <c:pt idx="722">
                  <c:v>11.481</c:v>
                </c:pt>
                <c:pt idx="723">
                  <c:v>11.449</c:v>
                </c:pt>
                <c:pt idx="724">
                  <c:v>11.48</c:v>
                </c:pt>
                <c:pt idx="725">
                  <c:v>11.48</c:v>
                </c:pt>
                <c:pt idx="726">
                  <c:v>11.481</c:v>
                </c:pt>
                <c:pt idx="727">
                  <c:v>11.451000000000001</c:v>
                </c:pt>
                <c:pt idx="728">
                  <c:v>11.449</c:v>
                </c:pt>
                <c:pt idx="729">
                  <c:v>11.504</c:v>
                </c:pt>
                <c:pt idx="730">
                  <c:v>11.504</c:v>
                </c:pt>
                <c:pt idx="731">
                  <c:v>11.526</c:v>
                </c:pt>
                <c:pt idx="732">
                  <c:v>11.537000000000001</c:v>
                </c:pt>
                <c:pt idx="733">
                  <c:v>11.478999999999999</c:v>
                </c:pt>
                <c:pt idx="734">
                  <c:v>11.484</c:v>
                </c:pt>
                <c:pt idx="735">
                  <c:v>11.516999999999999</c:v>
                </c:pt>
                <c:pt idx="736">
                  <c:v>11.5</c:v>
                </c:pt>
                <c:pt idx="737">
                  <c:v>11.526999999999999</c:v>
                </c:pt>
                <c:pt idx="738">
                  <c:v>11.528</c:v>
                </c:pt>
                <c:pt idx="739">
                  <c:v>11.484</c:v>
                </c:pt>
                <c:pt idx="740">
                  <c:v>11.484</c:v>
                </c:pt>
                <c:pt idx="741">
                  <c:v>11.51</c:v>
                </c:pt>
                <c:pt idx="742">
                  <c:v>11.54</c:v>
                </c:pt>
                <c:pt idx="743">
                  <c:v>11.557</c:v>
                </c:pt>
                <c:pt idx="744">
                  <c:v>11.539</c:v>
                </c:pt>
                <c:pt idx="745">
                  <c:v>11.494999999999999</c:v>
                </c:pt>
                <c:pt idx="746">
                  <c:v>11.491</c:v>
                </c:pt>
                <c:pt idx="747">
                  <c:v>11.52</c:v>
                </c:pt>
                <c:pt idx="748">
                  <c:v>11.54</c:v>
                </c:pt>
                <c:pt idx="749">
                  <c:v>11.542999999999999</c:v>
                </c:pt>
                <c:pt idx="750">
                  <c:v>11.554</c:v>
                </c:pt>
                <c:pt idx="751">
                  <c:v>11.537000000000001</c:v>
                </c:pt>
                <c:pt idx="752">
                  <c:v>11.555999999999999</c:v>
                </c:pt>
                <c:pt idx="753">
                  <c:v>11.548999999999999</c:v>
                </c:pt>
                <c:pt idx="754">
                  <c:v>11.57</c:v>
                </c:pt>
                <c:pt idx="755">
                  <c:v>11.587</c:v>
                </c:pt>
                <c:pt idx="756">
                  <c:v>11.602</c:v>
                </c:pt>
                <c:pt idx="757">
                  <c:v>11.58</c:v>
                </c:pt>
                <c:pt idx="758">
                  <c:v>11.597</c:v>
                </c:pt>
                <c:pt idx="759">
                  <c:v>11.590999999999999</c:v>
                </c:pt>
                <c:pt idx="760">
                  <c:v>11.606</c:v>
                </c:pt>
                <c:pt idx="761">
                  <c:v>11.59</c:v>
                </c:pt>
                <c:pt idx="762">
                  <c:v>11.583</c:v>
                </c:pt>
                <c:pt idx="763">
                  <c:v>11.618</c:v>
                </c:pt>
                <c:pt idx="764">
                  <c:v>11.627000000000001</c:v>
                </c:pt>
                <c:pt idx="765">
                  <c:v>11.613</c:v>
                </c:pt>
                <c:pt idx="766">
                  <c:v>11.55</c:v>
                </c:pt>
                <c:pt idx="767">
                  <c:v>11.638999999999999</c:v>
                </c:pt>
                <c:pt idx="768">
                  <c:v>11.645</c:v>
                </c:pt>
                <c:pt idx="769">
                  <c:v>11.602</c:v>
                </c:pt>
                <c:pt idx="770">
                  <c:v>11.609</c:v>
                </c:pt>
                <c:pt idx="771">
                  <c:v>11.651</c:v>
                </c:pt>
                <c:pt idx="772">
                  <c:v>11.651</c:v>
                </c:pt>
                <c:pt idx="773">
                  <c:v>11.627000000000001</c:v>
                </c:pt>
                <c:pt idx="774">
                  <c:v>11.614000000000001</c:v>
                </c:pt>
                <c:pt idx="775">
                  <c:v>11.638999999999999</c:v>
                </c:pt>
                <c:pt idx="776">
                  <c:v>11.628</c:v>
                </c:pt>
                <c:pt idx="777">
                  <c:v>11.645</c:v>
                </c:pt>
                <c:pt idx="778">
                  <c:v>11.63</c:v>
                </c:pt>
                <c:pt idx="779">
                  <c:v>11.611000000000001</c:v>
                </c:pt>
                <c:pt idx="780">
                  <c:v>11.628</c:v>
                </c:pt>
                <c:pt idx="781">
                  <c:v>11.653</c:v>
                </c:pt>
                <c:pt idx="782">
                  <c:v>11.661</c:v>
                </c:pt>
                <c:pt idx="783">
                  <c:v>11.667999999999999</c:v>
                </c:pt>
                <c:pt idx="784">
                  <c:v>11.69</c:v>
                </c:pt>
                <c:pt idx="785">
                  <c:v>11.641</c:v>
                </c:pt>
                <c:pt idx="786">
                  <c:v>11.635999999999999</c:v>
                </c:pt>
                <c:pt idx="787">
                  <c:v>11.69</c:v>
                </c:pt>
                <c:pt idx="788">
                  <c:v>11.651</c:v>
                </c:pt>
                <c:pt idx="789">
                  <c:v>11.629</c:v>
                </c:pt>
                <c:pt idx="790">
                  <c:v>11.629</c:v>
                </c:pt>
                <c:pt idx="791">
                  <c:v>11.696</c:v>
                </c:pt>
                <c:pt idx="792">
                  <c:v>11.698</c:v>
                </c:pt>
                <c:pt idx="793">
                  <c:v>11.641</c:v>
                </c:pt>
                <c:pt idx="794">
                  <c:v>11.682</c:v>
                </c:pt>
                <c:pt idx="795">
                  <c:v>11.601000000000001</c:v>
                </c:pt>
                <c:pt idx="796">
                  <c:v>11.613</c:v>
                </c:pt>
                <c:pt idx="797">
                  <c:v>11.686999999999999</c:v>
                </c:pt>
                <c:pt idx="798">
                  <c:v>11.662000000000001</c:v>
                </c:pt>
                <c:pt idx="799">
                  <c:v>11.683</c:v>
                </c:pt>
                <c:pt idx="800">
                  <c:v>11.686999999999999</c:v>
                </c:pt>
                <c:pt idx="801">
                  <c:v>11.645</c:v>
                </c:pt>
                <c:pt idx="802">
                  <c:v>11.635999999999999</c:v>
                </c:pt>
                <c:pt idx="803">
                  <c:v>11.659000000000001</c:v>
                </c:pt>
                <c:pt idx="804">
                  <c:v>11.678000000000001</c:v>
                </c:pt>
                <c:pt idx="805">
                  <c:v>11.691000000000001</c:v>
                </c:pt>
                <c:pt idx="806">
                  <c:v>11.648</c:v>
                </c:pt>
                <c:pt idx="807">
                  <c:v>11.711</c:v>
                </c:pt>
                <c:pt idx="808">
                  <c:v>11.717000000000001</c:v>
                </c:pt>
                <c:pt idx="809">
                  <c:v>11.657999999999999</c:v>
                </c:pt>
                <c:pt idx="810">
                  <c:v>11.663</c:v>
                </c:pt>
                <c:pt idx="811">
                  <c:v>11.715</c:v>
                </c:pt>
                <c:pt idx="812">
                  <c:v>11.71</c:v>
                </c:pt>
                <c:pt idx="813">
                  <c:v>11.714</c:v>
                </c:pt>
                <c:pt idx="814">
                  <c:v>11.718999999999999</c:v>
                </c:pt>
                <c:pt idx="815">
                  <c:v>11.685</c:v>
                </c:pt>
                <c:pt idx="816">
                  <c:v>11.688000000000001</c:v>
                </c:pt>
                <c:pt idx="817">
                  <c:v>11.754</c:v>
                </c:pt>
                <c:pt idx="818">
                  <c:v>11.731</c:v>
                </c:pt>
                <c:pt idx="819">
                  <c:v>11.73</c:v>
                </c:pt>
                <c:pt idx="820">
                  <c:v>11.728999999999999</c:v>
                </c:pt>
                <c:pt idx="821">
                  <c:v>11.7</c:v>
                </c:pt>
                <c:pt idx="822">
                  <c:v>11.7</c:v>
                </c:pt>
                <c:pt idx="823">
                  <c:v>11.715</c:v>
                </c:pt>
                <c:pt idx="824">
                  <c:v>11.722</c:v>
                </c:pt>
                <c:pt idx="825">
                  <c:v>11.759</c:v>
                </c:pt>
                <c:pt idx="826">
                  <c:v>11.74</c:v>
                </c:pt>
                <c:pt idx="827">
                  <c:v>11.728</c:v>
                </c:pt>
                <c:pt idx="828">
                  <c:v>11.741</c:v>
                </c:pt>
                <c:pt idx="829">
                  <c:v>11.731</c:v>
                </c:pt>
                <c:pt idx="830">
                  <c:v>11.66</c:v>
                </c:pt>
                <c:pt idx="831">
                  <c:v>11.727</c:v>
                </c:pt>
                <c:pt idx="832">
                  <c:v>11.712</c:v>
                </c:pt>
                <c:pt idx="833">
                  <c:v>11.757</c:v>
                </c:pt>
                <c:pt idx="834">
                  <c:v>11.753</c:v>
                </c:pt>
                <c:pt idx="835">
                  <c:v>11.712</c:v>
                </c:pt>
                <c:pt idx="836">
                  <c:v>11.718</c:v>
                </c:pt>
                <c:pt idx="837">
                  <c:v>11.779</c:v>
                </c:pt>
                <c:pt idx="838">
                  <c:v>11.789</c:v>
                </c:pt>
                <c:pt idx="839">
                  <c:v>11.768000000000001</c:v>
                </c:pt>
                <c:pt idx="840">
                  <c:v>11.787000000000001</c:v>
                </c:pt>
                <c:pt idx="841">
                  <c:v>11.782999999999999</c:v>
                </c:pt>
                <c:pt idx="842">
                  <c:v>11.744999999999999</c:v>
                </c:pt>
                <c:pt idx="843">
                  <c:v>11.741</c:v>
                </c:pt>
                <c:pt idx="844">
                  <c:v>11.826000000000001</c:v>
                </c:pt>
                <c:pt idx="845">
                  <c:v>11.808999999999999</c:v>
                </c:pt>
                <c:pt idx="846">
                  <c:v>11.817</c:v>
                </c:pt>
                <c:pt idx="847">
                  <c:v>11.805</c:v>
                </c:pt>
                <c:pt idx="848">
                  <c:v>11.81</c:v>
                </c:pt>
                <c:pt idx="849">
                  <c:v>11.849</c:v>
                </c:pt>
                <c:pt idx="850">
                  <c:v>11.845000000000001</c:v>
                </c:pt>
                <c:pt idx="851">
                  <c:v>11.765000000000001</c:v>
                </c:pt>
                <c:pt idx="852">
                  <c:v>11.853</c:v>
                </c:pt>
                <c:pt idx="853">
                  <c:v>11.791</c:v>
                </c:pt>
                <c:pt idx="854">
                  <c:v>11.839</c:v>
                </c:pt>
                <c:pt idx="855">
                  <c:v>11.833</c:v>
                </c:pt>
                <c:pt idx="856">
                  <c:v>11.795999999999999</c:v>
                </c:pt>
                <c:pt idx="857">
                  <c:v>11.794</c:v>
                </c:pt>
                <c:pt idx="858">
                  <c:v>11.829000000000001</c:v>
                </c:pt>
                <c:pt idx="859">
                  <c:v>11.856</c:v>
                </c:pt>
                <c:pt idx="860">
                  <c:v>11.911</c:v>
                </c:pt>
                <c:pt idx="861">
                  <c:v>11.881</c:v>
                </c:pt>
                <c:pt idx="862">
                  <c:v>11.858000000000001</c:v>
                </c:pt>
                <c:pt idx="863">
                  <c:v>11.868</c:v>
                </c:pt>
                <c:pt idx="864">
                  <c:v>11.930999999999999</c:v>
                </c:pt>
                <c:pt idx="865">
                  <c:v>11.914</c:v>
                </c:pt>
                <c:pt idx="866">
                  <c:v>11.914999999999999</c:v>
                </c:pt>
                <c:pt idx="867">
                  <c:v>11.867000000000001</c:v>
                </c:pt>
                <c:pt idx="868">
                  <c:v>11.874000000000001</c:v>
                </c:pt>
                <c:pt idx="869">
                  <c:v>11.962</c:v>
                </c:pt>
                <c:pt idx="870">
                  <c:v>11.94</c:v>
                </c:pt>
                <c:pt idx="871">
                  <c:v>11.9</c:v>
                </c:pt>
                <c:pt idx="872">
                  <c:v>12.003</c:v>
                </c:pt>
                <c:pt idx="873">
                  <c:v>11.986000000000001</c:v>
                </c:pt>
                <c:pt idx="874">
                  <c:v>11.95</c:v>
                </c:pt>
                <c:pt idx="875">
                  <c:v>11.949</c:v>
                </c:pt>
                <c:pt idx="876">
                  <c:v>11.99</c:v>
                </c:pt>
                <c:pt idx="877">
                  <c:v>11.997999999999999</c:v>
                </c:pt>
                <c:pt idx="878">
                  <c:v>12.05</c:v>
                </c:pt>
                <c:pt idx="879">
                  <c:v>12.010999999999999</c:v>
                </c:pt>
                <c:pt idx="880">
                  <c:v>11.997999999999999</c:v>
                </c:pt>
                <c:pt idx="881">
                  <c:v>12.013999999999999</c:v>
                </c:pt>
                <c:pt idx="882">
                  <c:v>11.959</c:v>
                </c:pt>
                <c:pt idx="883">
                  <c:v>11.964</c:v>
                </c:pt>
                <c:pt idx="884">
                  <c:v>11.984999999999999</c:v>
                </c:pt>
                <c:pt idx="885">
                  <c:v>12.074999999999999</c:v>
                </c:pt>
                <c:pt idx="886">
                  <c:v>12.065</c:v>
                </c:pt>
                <c:pt idx="887">
                  <c:v>12.079000000000001</c:v>
                </c:pt>
                <c:pt idx="888">
                  <c:v>12.095000000000001</c:v>
                </c:pt>
                <c:pt idx="889">
                  <c:v>12.045</c:v>
                </c:pt>
                <c:pt idx="890">
                  <c:v>12.048999999999999</c:v>
                </c:pt>
                <c:pt idx="891">
                  <c:v>12.077</c:v>
                </c:pt>
                <c:pt idx="892">
                  <c:v>12.106</c:v>
                </c:pt>
                <c:pt idx="893">
                  <c:v>12.054</c:v>
                </c:pt>
                <c:pt idx="894">
                  <c:v>12.09</c:v>
                </c:pt>
                <c:pt idx="895">
                  <c:v>12.106</c:v>
                </c:pt>
                <c:pt idx="896">
                  <c:v>12.13</c:v>
                </c:pt>
                <c:pt idx="897">
                  <c:v>12.144</c:v>
                </c:pt>
                <c:pt idx="898">
                  <c:v>12.108000000000001</c:v>
                </c:pt>
                <c:pt idx="899">
                  <c:v>12.109</c:v>
                </c:pt>
                <c:pt idx="900">
                  <c:v>12.122</c:v>
                </c:pt>
                <c:pt idx="901">
                  <c:v>12.074999999999999</c:v>
                </c:pt>
                <c:pt idx="902">
                  <c:v>12.076000000000001</c:v>
                </c:pt>
                <c:pt idx="903">
                  <c:v>12.086</c:v>
                </c:pt>
                <c:pt idx="904">
                  <c:v>12.082000000000001</c:v>
                </c:pt>
                <c:pt idx="905">
                  <c:v>12.093</c:v>
                </c:pt>
                <c:pt idx="906">
                  <c:v>12.07</c:v>
                </c:pt>
                <c:pt idx="907">
                  <c:v>12.179</c:v>
                </c:pt>
                <c:pt idx="908">
                  <c:v>12.162000000000001</c:v>
                </c:pt>
                <c:pt idx="909">
                  <c:v>12.151999999999999</c:v>
                </c:pt>
                <c:pt idx="910">
                  <c:v>12.121</c:v>
                </c:pt>
                <c:pt idx="911">
                  <c:v>12.211</c:v>
                </c:pt>
                <c:pt idx="912">
                  <c:v>12.166</c:v>
                </c:pt>
                <c:pt idx="913">
                  <c:v>12.366</c:v>
                </c:pt>
                <c:pt idx="914">
                  <c:v>12.185</c:v>
                </c:pt>
                <c:pt idx="915">
                  <c:v>12.61</c:v>
                </c:pt>
                <c:pt idx="916">
                  <c:v>12.624000000000001</c:v>
                </c:pt>
                <c:pt idx="917">
                  <c:v>12.718999999999999</c:v>
                </c:pt>
                <c:pt idx="918">
                  <c:v>12.763</c:v>
                </c:pt>
                <c:pt idx="919">
                  <c:v>12.858000000000001</c:v>
                </c:pt>
                <c:pt idx="920">
                  <c:v>12.851000000000001</c:v>
                </c:pt>
                <c:pt idx="921">
                  <c:v>12.964</c:v>
                </c:pt>
                <c:pt idx="922">
                  <c:v>12.923999999999999</c:v>
                </c:pt>
                <c:pt idx="923">
                  <c:v>12.824999999999999</c:v>
                </c:pt>
                <c:pt idx="924">
                  <c:v>12.82</c:v>
                </c:pt>
                <c:pt idx="925">
                  <c:v>12.79</c:v>
                </c:pt>
                <c:pt idx="926">
                  <c:v>12.88</c:v>
                </c:pt>
                <c:pt idx="927">
                  <c:v>12.791</c:v>
                </c:pt>
                <c:pt idx="928">
                  <c:v>12.756</c:v>
                </c:pt>
                <c:pt idx="929">
                  <c:v>12.839</c:v>
                </c:pt>
                <c:pt idx="930">
                  <c:v>12.821</c:v>
                </c:pt>
                <c:pt idx="931">
                  <c:v>12.785</c:v>
                </c:pt>
                <c:pt idx="932">
                  <c:v>12.756</c:v>
                </c:pt>
                <c:pt idx="933">
                  <c:v>12.763999999999999</c:v>
                </c:pt>
                <c:pt idx="934">
                  <c:v>12.811999999999999</c:v>
                </c:pt>
                <c:pt idx="935">
                  <c:v>12.742000000000001</c:v>
                </c:pt>
                <c:pt idx="936">
                  <c:v>12.763</c:v>
                </c:pt>
                <c:pt idx="937">
                  <c:v>12.768000000000001</c:v>
                </c:pt>
                <c:pt idx="938">
                  <c:v>12.747</c:v>
                </c:pt>
                <c:pt idx="939">
                  <c:v>12.7</c:v>
                </c:pt>
                <c:pt idx="940">
                  <c:v>12.715999999999999</c:v>
                </c:pt>
                <c:pt idx="941">
                  <c:v>12.686</c:v>
                </c:pt>
                <c:pt idx="942">
                  <c:v>12.695</c:v>
                </c:pt>
                <c:pt idx="943">
                  <c:v>12.714</c:v>
                </c:pt>
                <c:pt idx="944">
                  <c:v>12.685</c:v>
                </c:pt>
                <c:pt idx="945">
                  <c:v>12.702999999999999</c:v>
                </c:pt>
                <c:pt idx="946">
                  <c:v>12.657</c:v>
                </c:pt>
                <c:pt idx="947">
                  <c:v>12.673999999999999</c:v>
                </c:pt>
                <c:pt idx="948">
                  <c:v>12.644</c:v>
                </c:pt>
                <c:pt idx="949">
                  <c:v>12.654</c:v>
                </c:pt>
                <c:pt idx="950">
                  <c:v>12.625999999999999</c:v>
                </c:pt>
                <c:pt idx="951">
                  <c:v>12.605</c:v>
                </c:pt>
                <c:pt idx="952">
                  <c:v>12.573</c:v>
                </c:pt>
                <c:pt idx="953">
                  <c:v>12.568</c:v>
                </c:pt>
                <c:pt idx="954">
                  <c:v>12.625</c:v>
                </c:pt>
                <c:pt idx="955">
                  <c:v>12.579000000000001</c:v>
                </c:pt>
                <c:pt idx="956">
                  <c:v>12.528</c:v>
                </c:pt>
                <c:pt idx="957">
                  <c:v>12.555999999999999</c:v>
                </c:pt>
                <c:pt idx="958">
                  <c:v>12.582000000000001</c:v>
                </c:pt>
                <c:pt idx="959">
                  <c:v>12.56</c:v>
                </c:pt>
                <c:pt idx="960">
                  <c:v>12.563000000000001</c:v>
                </c:pt>
                <c:pt idx="961">
                  <c:v>12.54</c:v>
                </c:pt>
                <c:pt idx="962">
                  <c:v>12.564</c:v>
                </c:pt>
                <c:pt idx="963">
                  <c:v>12.561</c:v>
                </c:pt>
                <c:pt idx="964">
                  <c:v>12.552</c:v>
                </c:pt>
                <c:pt idx="965">
                  <c:v>12.541</c:v>
                </c:pt>
                <c:pt idx="966">
                  <c:v>12.622999999999999</c:v>
                </c:pt>
                <c:pt idx="967">
                  <c:v>12.586</c:v>
                </c:pt>
                <c:pt idx="968">
                  <c:v>12.567</c:v>
                </c:pt>
                <c:pt idx="969">
                  <c:v>12.555</c:v>
                </c:pt>
                <c:pt idx="970">
                  <c:v>12.531000000000001</c:v>
                </c:pt>
                <c:pt idx="971">
                  <c:v>12.584</c:v>
                </c:pt>
                <c:pt idx="972">
                  <c:v>12.531000000000001</c:v>
                </c:pt>
                <c:pt idx="973">
                  <c:v>12.53</c:v>
                </c:pt>
                <c:pt idx="974">
                  <c:v>12.507</c:v>
                </c:pt>
                <c:pt idx="975">
                  <c:v>12.516999999999999</c:v>
                </c:pt>
                <c:pt idx="976">
                  <c:v>12.456</c:v>
                </c:pt>
                <c:pt idx="977">
                  <c:v>12.456</c:v>
                </c:pt>
                <c:pt idx="978">
                  <c:v>12.45</c:v>
                </c:pt>
                <c:pt idx="979">
                  <c:v>12.433</c:v>
                </c:pt>
                <c:pt idx="980">
                  <c:v>12.45</c:v>
                </c:pt>
                <c:pt idx="981">
                  <c:v>12.423</c:v>
                </c:pt>
                <c:pt idx="982">
                  <c:v>12.432</c:v>
                </c:pt>
                <c:pt idx="983">
                  <c:v>12.428000000000001</c:v>
                </c:pt>
                <c:pt idx="984">
                  <c:v>12.420999999999999</c:v>
                </c:pt>
                <c:pt idx="985">
                  <c:v>12.412000000000001</c:v>
                </c:pt>
                <c:pt idx="986">
                  <c:v>12.359</c:v>
                </c:pt>
                <c:pt idx="987">
                  <c:v>12.409000000000001</c:v>
                </c:pt>
                <c:pt idx="988">
                  <c:v>12.36</c:v>
                </c:pt>
                <c:pt idx="989">
                  <c:v>12.435</c:v>
                </c:pt>
                <c:pt idx="990">
                  <c:v>12.342000000000001</c:v>
                </c:pt>
                <c:pt idx="991">
                  <c:v>12.356999999999999</c:v>
                </c:pt>
                <c:pt idx="992">
                  <c:v>12.337999999999999</c:v>
                </c:pt>
                <c:pt idx="993">
                  <c:v>12.317</c:v>
                </c:pt>
                <c:pt idx="994">
                  <c:v>12.372</c:v>
                </c:pt>
                <c:pt idx="995">
                  <c:v>12.346</c:v>
                </c:pt>
                <c:pt idx="996">
                  <c:v>12.333</c:v>
                </c:pt>
                <c:pt idx="997">
                  <c:v>12.355</c:v>
                </c:pt>
                <c:pt idx="998">
                  <c:v>12.318</c:v>
                </c:pt>
                <c:pt idx="999">
                  <c:v>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28-4441-BF47-61F8E20AB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08824"/>
        <c:axId val="672709480"/>
      </c:scatterChart>
      <c:valAx>
        <c:axId val="672708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2709480"/>
        <c:crosses val="max"/>
        <c:crossBetween val="midCat"/>
      </c:valAx>
      <c:valAx>
        <c:axId val="672709480"/>
        <c:scaling>
          <c:orientation val="maxMin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2708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Feuil3!$D$4:$D$225</c:f>
              <c:numCache>
                <c:formatCode>General</c:formatCode>
                <c:ptCount val="222"/>
                <c:pt idx="0">
                  <c:v>8341.1</c:v>
                </c:pt>
                <c:pt idx="1">
                  <c:v>8342.6</c:v>
                </c:pt>
                <c:pt idx="2">
                  <c:v>8342.7000000000007</c:v>
                </c:pt>
                <c:pt idx="3">
                  <c:v>8343.2999999999993</c:v>
                </c:pt>
                <c:pt idx="4">
                  <c:v>8343.5</c:v>
                </c:pt>
                <c:pt idx="5">
                  <c:v>8343.7000000000007</c:v>
                </c:pt>
                <c:pt idx="6">
                  <c:v>8344.2999999999993</c:v>
                </c:pt>
                <c:pt idx="7">
                  <c:v>8344.4</c:v>
                </c:pt>
                <c:pt idx="8">
                  <c:v>8344.6</c:v>
                </c:pt>
                <c:pt idx="9">
                  <c:v>8345.4</c:v>
                </c:pt>
                <c:pt idx="10">
                  <c:v>8345.5</c:v>
                </c:pt>
                <c:pt idx="11">
                  <c:v>8345.7000000000007</c:v>
                </c:pt>
                <c:pt idx="12">
                  <c:v>8345.7999999999993</c:v>
                </c:pt>
                <c:pt idx="13">
                  <c:v>8346.7000000000007</c:v>
                </c:pt>
                <c:pt idx="14">
                  <c:v>8346.7999999999993</c:v>
                </c:pt>
                <c:pt idx="15">
                  <c:v>8346.9</c:v>
                </c:pt>
                <c:pt idx="16">
                  <c:v>8347.4</c:v>
                </c:pt>
                <c:pt idx="17">
                  <c:v>8349.5</c:v>
                </c:pt>
                <c:pt idx="18">
                  <c:v>8350.5</c:v>
                </c:pt>
                <c:pt idx="19">
                  <c:v>8351.5</c:v>
                </c:pt>
                <c:pt idx="20">
                  <c:v>8352.5</c:v>
                </c:pt>
                <c:pt idx="21">
                  <c:v>8353.4</c:v>
                </c:pt>
                <c:pt idx="22">
                  <c:v>8354.5</c:v>
                </c:pt>
                <c:pt idx="23">
                  <c:v>8355.5</c:v>
                </c:pt>
                <c:pt idx="24">
                  <c:v>8355.7999999999993</c:v>
                </c:pt>
                <c:pt idx="25">
                  <c:v>8356.5</c:v>
                </c:pt>
                <c:pt idx="26">
                  <c:v>8357.5</c:v>
                </c:pt>
                <c:pt idx="27">
                  <c:v>8358.5</c:v>
                </c:pt>
                <c:pt idx="28">
                  <c:v>8359.4</c:v>
                </c:pt>
                <c:pt idx="29">
                  <c:v>8359.5</c:v>
                </c:pt>
                <c:pt idx="30">
                  <c:v>8360.5</c:v>
                </c:pt>
                <c:pt idx="31">
                  <c:v>8361.5</c:v>
                </c:pt>
                <c:pt idx="32">
                  <c:v>8362.4</c:v>
                </c:pt>
                <c:pt idx="33">
                  <c:v>8362.5</c:v>
                </c:pt>
                <c:pt idx="34">
                  <c:v>8363.5</c:v>
                </c:pt>
                <c:pt idx="35">
                  <c:v>8364.2999999999993</c:v>
                </c:pt>
                <c:pt idx="36">
                  <c:v>8364.4</c:v>
                </c:pt>
                <c:pt idx="37">
                  <c:v>8364.5</c:v>
                </c:pt>
                <c:pt idx="38">
                  <c:v>8365.5</c:v>
                </c:pt>
                <c:pt idx="39">
                  <c:v>8366.4</c:v>
                </c:pt>
                <c:pt idx="40">
                  <c:v>8366.5</c:v>
                </c:pt>
                <c:pt idx="41">
                  <c:v>8367.5</c:v>
                </c:pt>
                <c:pt idx="42">
                  <c:v>8367.6</c:v>
                </c:pt>
                <c:pt idx="43">
                  <c:v>8367.7000000000007</c:v>
                </c:pt>
                <c:pt idx="44">
                  <c:v>8368.5</c:v>
                </c:pt>
                <c:pt idx="45">
                  <c:v>8368.6</c:v>
                </c:pt>
                <c:pt idx="46">
                  <c:v>8369.2999999999993</c:v>
                </c:pt>
                <c:pt idx="47">
                  <c:v>8369.5</c:v>
                </c:pt>
                <c:pt idx="48">
                  <c:v>8370.2999999999993</c:v>
                </c:pt>
                <c:pt idx="49">
                  <c:v>8370.5</c:v>
                </c:pt>
                <c:pt idx="50">
                  <c:v>8371.5</c:v>
                </c:pt>
                <c:pt idx="51">
                  <c:v>8372.5</c:v>
                </c:pt>
                <c:pt idx="52">
                  <c:v>8373.5</c:v>
                </c:pt>
                <c:pt idx="53">
                  <c:v>8374.5</c:v>
                </c:pt>
                <c:pt idx="54">
                  <c:v>8375.2999999999993</c:v>
                </c:pt>
                <c:pt idx="55">
                  <c:v>8375.5</c:v>
                </c:pt>
                <c:pt idx="56">
                  <c:v>8376.2999999999993</c:v>
                </c:pt>
                <c:pt idx="57">
                  <c:v>8378.2999999999993</c:v>
                </c:pt>
                <c:pt idx="58">
                  <c:v>8379.4</c:v>
                </c:pt>
                <c:pt idx="59">
                  <c:v>8380.5</c:v>
                </c:pt>
                <c:pt idx="60">
                  <c:v>8381.4</c:v>
                </c:pt>
                <c:pt idx="61">
                  <c:v>8381.5</c:v>
                </c:pt>
                <c:pt idx="62">
                  <c:v>8382.4</c:v>
                </c:pt>
                <c:pt idx="63">
                  <c:v>8382.5</c:v>
                </c:pt>
                <c:pt idx="64">
                  <c:v>8383.4</c:v>
                </c:pt>
                <c:pt idx="65">
                  <c:v>8383.5</c:v>
                </c:pt>
                <c:pt idx="66">
                  <c:v>8384.5</c:v>
                </c:pt>
                <c:pt idx="67">
                  <c:v>8385.4</c:v>
                </c:pt>
                <c:pt idx="68">
                  <c:v>8385.5</c:v>
                </c:pt>
                <c:pt idx="69">
                  <c:v>8386.2999999999993</c:v>
                </c:pt>
                <c:pt idx="70">
                  <c:v>8386.5</c:v>
                </c:pt>
                <c:pt idx="71">
                  <c:v>8387.5</c:v>
                </c:pt>
                <c:pt idx="72">
                  <c:v>8388.2999999999993</c:v>
                </c:pt>
                <c:pt idx="73">
                  <c:v>8388.4</c:v>
                </c:pt>
                <c:pt idx="74">
                  <c:v>8388.5</c:v>
                </c:pt>
                <c:pt idx="75">
                  <c:v>8389.2999999999993</c:v>
                </c:pt>
                <c:pt idx="76">
                  <c:v>8389.5</c:v>
                </c:pt>
                <c:pt idx="77">
                  <c:v>8389.7000000000007</c:v>
                </c:pt>
                <c:pt idx="78">
                  <c:v>8390.2999999999993</c:v>
                </c:pt>
                <c:pt idx="79">
                  <c:v>8390.4</c:v>
                </c:pt>
                <c:pt idx="80">
                  <c:v>8390.5</c:v>
                </c:pt>
                <c:pt idx="81">
                  <c:v>8392.5</c:v>
                </c:pt>
                <c:pt idx="82">
                  <c:v>8393.5</c:v>
                </c:pt>
                <c:pt idx="83">
                  <c:v>8394.4</c:v>
                </c:pt>
                <c:pt idx="84">
                  <c:v>8394.5</c:v>
                </c:pt>
                <c:pt idx="85">
                  <c:v>8395.2999999999993</c:v>
                </c:pt>
                <c:pt idx="86">
                  <c:v>8395.5</c:v>
                </c:pt>
                <c:pt idx="87">
                  <c:v>8395.6</c:v>
                </c:pt>
                <c:pt idx="88">
                  <c:v>8396.4</c:v>
                </c:pt>
                <c:pt idx="89">
                  <c:v>8396.5</c:v>
                </c:pt>
                <c:pt idx="90">
                  <c:v>8397.5</c:v>
                </c:pt>
                <c:pt idx="91">
                  <c:v>8398.2999999999993</c:v>
                </c:pt>
                <c:pt idx="92">
                  <c:v>8400.6</c:v>
                </c:pt>
                <c:pt idx="93">
                  <c:v>8401.2999999999993</c:v>
                </c:pt>
                <c:pt idx="94">
                  <c:v>8401.6</c:v>
                </c:pt>
                <c:pt idx="95">
                  <c:v>8402.2999999999993</c:v>
                </c:pt>
                <c:pt idx="96">
                  <c:v>8402.6</c:v>
                </c:pt>
                <c:pt idx="97">
                  <c:v>8403.6</c:v>
                </c:pt>
                <c:pt idx="98">
                  <c:v>8404.2999999999993</c:v>
                </c:pt>
                <c:pt idx="99">
                  <c:v>8404.6</c:v>
                </c:pt>
                <c:pt idx="100">
                  <c:v>8405.6</c:v>
                </c:pt>
                <c:pt idx="101">
                  <c:v>8406.2999999999993</c:v>
                </c:pt>
                <c:pt idx="102">
                  <c:v>8406.6</c:v>
                </c:pt>
                <c:pt idx="103">
                  <c:v>8407.2999999999993</c:v>
                </c:pt>
                <c:pt idx="104">
                  <c:v>8407.6</c:v>
                </c:pt>
                <c:pt idx="105">
                  <c:v>8408.6</c:v>
                </c:pt>
                <c:pt idx="106">
                  <c:v>8409.2999999999993</c:v>
                </c:pt>
                <c:pt idx="107">
                  <c:v>8409.6</c:v>
                </c:pt>
                <c:pt idx="108">
                  <c:v>8410.5</c:v>
                </c:pt>
                <c:pt idx="109">
                  <c:v>8411.2999999999993</c:v>
                </c:pt>
                <c:pt idx="110">
                  <c:v>8411.5</c:v>
                </c:pt>
                <c:pt idx="111">
                  <c:v>8413.5</c:v>
                </c:pt>
                <c:pt idx="112">
                  <c:v>8414.5</c:v>
                </c:pt>
                <c:pt idx="113">
                  <c:v>8415.2000000000007</c:v>
                </c:pt>
                <c:pt idx="114">
                  <c:v>8415.5</c:v>
                </c:pt>
                <c:pt idx="115">
                  <c:v>8416.5</c:v>
                </c:pt>
                <c:pt idx="116">
                  <c:v>8417.5</c:v>
                </c:pt>
                <c:pt idx="117">
                  <c:v>8418.5</c:v>
                </c:pt>
                <c:pt idx="118">
                  <c:v>8419.5</c:v>
                </c:pt>
                <c:pt idx="119">
                  <c:v>8420.2000000000007</c:v>
                </c:pt>
                <c:pt idx="120">
                  <c:v>8420.5</c:v>
                </c:pt>
                <c:pt idx="121">
                  <c:v>8420.6</c:v>
                </c:pt>
                <c:pt idx="122">
                  <c:v>8421.5</c:v>
                </c:pt>
                <c:pt idx="123">
                  <c:v>8422.5</c:v>
                </c:pt>
                <c:pt idx="124">
                  <c:v>8423.2000000000007</c:v>
                </c:pt>
                <c:pt idx="125">
                  <c:v>8423.5</c:v>
                </c:pt>
                <c:pt idx="126">
                  <c:v>8424.5</c:v>
                </c:pt>
                <c:pt idx="127">
                  <c:v>8425.4</c:v>
                </c:pt>
                <c:pt idx="128">
                  <c:v>8425.5</c:v>
                </c:pt>
                <c:pt idx="129">
                  <c:v>8425.6</c:v>
                </c:pt>
                <c:pt idx="130">
                  <c:v>8427.5</c:v>
                </c:pt>
                <c:pt idx="131">
                  <c:v>8428.2999999999993</c:v>
                </c:pt>
                <c:pt idx="132">
                  <c:v>8428.5</c:v>
                </c:pt>
                <c:pt idx="133">
                  <c:v>8429.5</c:v>
                </c:pt>
                <c:pt idx="134">
                  <c:v>8429.6</c:v>
                </c:pt>
                <c:pt idx="135">
                  <c:v>8430.5</c:v>
                </c:pt>
                <c:pt idx="136">
                  <c:v>8431.2000000000007</c:v>
                </c:pt>
                <c:pt idx="137">
                  <c:v>8431.5</c:v>
                </c:pt>
                <c:pt idx="138">
                  <c:v>8432.5</c:v>
                </c:pt>
                <c:pt idx="139">
                  <c:v>8433.2000000000007</c:v>
                </c:pt>
                <c:pt idx="140">
                  <c:v>8433.5</c:v>
                </c:pt>
                <c:pt idx="141">
                  <c:v>8434.5</c:v>
                </c:pt>
                <c:pt idx="142">
                  <c:v>8435.5</c:v>
                </c:pt>
                <c:pt idx="143">
                  <c:v>8436.5</c:v>
                </c:pt>
                <c:pt idx="144">
                  <c:v>8436.6</c:v>
                </c:pt>
                <c:pt idx="145">
                  <c:v>8437.2999999999993</c:v>
                </c:pt>
                <c:pt idx="146">
                  <c:v>8438.5</c:v>
                </c:pt>
                <c:pt idx="147">
                  <c:v>8439.2000000000007</c:v>
                </c:pt>
                <c:pt idx="148">
                  <c:v>8439.5</c:v>
                </c:pt>
                <c:pt idx="149">
                  <c:v>8440.4</c:v>
                </c:pt>
                <c:pt idx="150">
                  <c:v>8440.5</c:v>
                </c:pt>
                <c:pt idx="151">
                  <c:v>8441.5</c:v>
                </c:pt>
                <c:pt idx="152">
                  <c:v>8442.5</c:v>
                </c:pt>
                <c:pt idx="153">
                  <c:v>8442.6</c:v>
                </c:pt>
                <c:pt idx="154">
                  <c:v>8443.5</c:v>
                </c:pt>
                <c:pt idx="155">
                  <c:v>8444.5</c:v>
                </c:pt>
                <c:pt idx="156">
                  <c:v>8445.5</c:v>
                </c:pt>
                <c:pt idx="157">
                  <c:v>8446.5</c:v>
                </c:pt>
                <c:pt idx="158">
                  <c:v>8447.5</c:v>
                </c:pt>
                <c:pt idx="159">
                  <c:v>8448.5</c:v>
                </c:pt>
                <c:pt idx="160">
                  <c:v>8449.5</c:v>
                </c:pt>
                <c:pt idx="161">
                  <c:v>8450.5</c:v>
                </c:pt>
                <c:pt idx="162">
                  <c:v>8451.5</c:v>
                </c:pt>
                <c:pt idx="163">
                  <c:v>8453.2000000000007</c:v>
                </c:pt>
                <c:pt idx="164">
                  <c:v>8462.2000000000007</c:v>
                </c:pt>
                <c:pt idx="165">
                  <c:v>8464.2999999999993</c:v>
                </c:pt>
                <c:pt idx="166">
                  <c:v>8478.2999999999993</c:v>
                </c:pt>
                <c:pt idx="167">
                  <c:v>8479.2000000000007</c:v>
                </c:pt>
                <c:pt idx="168">
                  <c:v>8487.2000000000007</c:v>
                </c:pt>
                <c:pt idx="169">
                  <c:v>8503.2000000000007</c:v>
                </c:pt>
                <c:pt idx="170">
                  <c:v>8577.6</c:v>
                </c:pt>
                <c:pt idx="171">
                  <c:v>8597.6</c:v>
                </c:pt>
                <c:pt idx="172">
                  <c:v>8643.4</c:v>
                </c:pt>
                <c:pt idx="173">
                  <c:v>8649.7999999999993</c:v>
                </c:pt>
                <c:pt idx="174">
                  <c:v>8654.7000000000007</c:v>
                </c:pt>
                <c:pt idx="175">
                  <c:v>8663.4</c:v>
                </c:pt>
                <c:pt idx="176">
                  <c:v>8664.4</c:v>
                </c:pt>
                <c:pt idx="177">
                  <c:v>8665.7999999999993</c:v>
                </c:pt>
                <c:pt idx="178">
                  <c:v>8672.4</c:v>
                </c:pt>
                <c:pt idx="179">
                  <c:v>8677.7000000000007</c:v>
                </c:pt>
                <c:pt idx="180">
                  <c:v>8681.4</c:v>
                </c:pt>
                <c:pt idx="181">
                  <c:v>8685.4</c:v>
                </c:pt>
                <c:pt idx="182">
                  <c:v>8685.7000000000007</c:v>
                </c:pt>
                <c:pt idx="183">
                  <c:v>8687.4</c:v>
                </c:pt>
                <c:pt idx="184">
                  <c:v>8688.4</c:v>
                </c:pt>
                <c:pt idx="185">
                  <c:v>8690.5</c:v>
                </c:pt>
                <c:pt idx="186">
                  <c:v>8693.4</c:v>
                </c:pt>
                <c:pt idx="187">
                  <c:v>8694.4</c:v>
                </c:pt>
                <c:pt idx="188">
                  <c:v>8697.4</c:v>
                </c:pt>
                <c:pt idx="189">
                  <c:v>8698.4</c:v>
                </c:pt>
                <c:pt idx="190">
                  <c:v>8699.4</c:v>
                </c:pt>
                <c:pt idx="191">
                  <c:v>8703.4</c:v>
                </c:pt>
                <c:pt idx="192">
                  <c:v>8706.4</c:v>
                </c:pt>
                <c:pt idx="193">
                  <c:v>8707.7000000000007</c:v>
                </c:pt>
                <c:pt idx="194">
                  <c:v>8708.4</c:v>
                </c:pt>
                <c:pt idx="195">
                  <c:v>8714.4</c:v>
                </c:pt>
                <c:pt idx="196">
                  <c:v>8715.4</c:v>
                </c:pt>
                <c:pt idx="197">
                  <c:v>8716.2999999999993</c:v>
                </c:pt>
                <c:pt idx="198">
                  <c:v>8717.4</c:v>
                </c:pt>
                <c:pt idx="199">
                  <c:v>8720.2999999999993</c:v>
                </c:pt>
                <c:pt idx="200">
                  <c:v>8721.7000000000007</c:v>
                </c:pt>
                <c:pt idx="201">
                  <c:v>8722.2999999999993</c:v>
                </c:pt>
                <c:pt idx="202">
                  <c:v>8726.2999999999993</c:v>
                </c:pt>
                <c:pt idx="203">
                  <c:v>8727.7999999999993</c:v>
                </c:pt>
                <c:pt idx="204">
                  <c:v>8728.2999999999993</c:v>
                </c:pt>
                <c:pt idx="205">
                  <c:v>8731.2999999999993</c:v>
                </c:pt>
                <c:pt idx="206">
                  <c:v>8739.7000000000007</c:v>
                </c:pt>
                <c:pt idx="207">
                  <c:v>8739.7999999999993</c:v>
                </c:pt>
                <c:pt idx="208">
                  <c:v>8740.2999999999993</c:v>
                </c:pt>
                <c:pt idx="209">
                  <c:v>8744.2999999999993</c:v>
                </c:pt>
                <c:pt idx="210">
                  <c:v>8745.2999999999993</c:v>
                </c:pt>
                <c:pt idx="211">
                  <c:v>8747.2999999999993</c:v>
                </c:pt>
                <c:pt idx="212">
                  <c:v>8747.7000000000007</c:v>
                </c:pt>
                <c:pt idx="213">
                  <c:v>8748.2999999999993</c:v>
                </c:pt>
                <c:pt idx="214">
                  <c:v>8753.6</c:v>
                </c:pt>
                <c:pt idx="215">
                  <c:v>8759.2999999999993</c:v>
                </c:pt>
                <c:pt idx="216">
                  <c:v>8761.2999999999993</c:v>
                </c:pt>
                <c:pt idx="217">
                  <c:v>8762.6</c:v>
                </c:pt>
                <c:pt idx="218">
                  <c:v>8765.2999999999993</c:v>
                </c:pt>
                <c:pt idx="219">
                  <c:v>8768.7000000000007</c:v>
                </c:pt>
                <c:pt idx="220">
                  <c:v>8773.6</c:v>
                </c:pt>
                <c:pt idx="221">
                  <c:v>8780.6</c:v>
                </c:pt>
              </c:numCache>
            </c:numRef>
          </c:xVal>
          <c:yVal>
            <c:numRef>
              <c:f>Feuil3!$E$4:$E$225</c:f>
              <c:numCache>
                <c:formatCode>General</c:formatCode>
                <c:ptCount val="222"/>
                <c:pt idx="0">
                  <c:v>10.87</c:v>
                </c:pt>
                <c:pt idx="1">
                  <c:v>10.9496</c:v>
                </c:pt>
                <c:pt idx="2">
                  <c:v>10.984473684210528</c:v>
                </c:pt>
                <c:pt idx="3">
                  <c:v>10.869</c:v>
                </c:pt>
                <c:pt idx="4">
                  <c:v>10.8895</c:v>
                </c:pt>
                <c:pt idx="5">
                  <c:v>11.03911111111111</c:v>
                </c:pt>
                <c:pt idx="6">
                  <c:v>10.911200000000003</c:v>
                </c:pt>
                <c:pt idx="7">
                  <c:v>10.833942307692306</c:v>
                </c:pt>
                <c:pt idx="8">
                  <c:v>10.917999999999999</c:v>
                </c:pt>
                <c:pt idx="9">
                  <c:v>10.780354838709679</c:v>
                </c:pt>
                <c:pt idx="10">
                  <c:v>10.80115909090909</c:v>
                </c:pt>
                <c:pt idx="11">
                  <c:v>10.847233333333332</c:v>
                </c:pt>
                <c:pt idx="12">
                  <c:v>10.859499999999999</c:v>
                </c:pt>
                <c:pt idx="13">
                  <c:v>10.909647058823531</c:v>
                </c:pt>
                <c:pt idx="14">
                  <c:v>10.909500000000001</c:v>
                </c:pt>
                <c:pt idx="15">
                  <c:v>10.892333333333333</c:v>
                </c:pt>
                <c:pt idx="16">
                  <c:v>10.919</c:v>
                </c:pt>
                <c:pt idx="17">
                  <c:v>10.865500000000001</c:v>
                </c:pt>
                <c:pt idx="18">
                  <c:v>10.866</c:v>
                </c:pt>
                <c:pt idx="19">
                  <c:v>10.890499999999999</c:v>
                </c:pt>
                <c:pt idx="20">
                  <c:v>10.938500000000001</c:v>
                </c:pt>
                <c:pt idx="21">
                  <c:v>10.914999999999999</c:v>
                </c:pt>
                <c:pt idx="22">
                  <c:v>10.919499999999999</c:v>
                </c:pt>
                <c:pt idx="23">
                  <c:v>10.9175</c:v>
                </c:pt>
                <c:pt idx="24">
                  <c:v>10.933999999999999</c:v>
                </c:pt>
                <c:pt idx="25">
                  <c:v>10.917999999999999</c:v>
                </c:pt>
                <c:pt idx="26">
                  <c:v>10.96</c:v>
                </c:pt>
                <c:pt idx="27">
                  <c:v>10.981</c:v>
                </c:pt>
                <c:pt idx="28">
                  <c:v>11.001000000000001</c:v>
                </c:pt>
                <c:pt idx="29">
                  <c:v>11.030999999999999</c:v>
                </c:pt>
                <c:pt idx="30">
                  <c:v>11.0595</c:v>
                </c:pt>
                <c:pt idx="31">
                  <c:v>11.086</c:v>
                </c:pt>
                <c:pt idx="32">
                  <c:v>11.096</c:v>
                </c:pt>
                <c:pt idx="33">
                  <c:v>11.115</c:v>
                </c:pt>
                <c:pt idx="34">
                  <c:v>11.1325</c:v>
                </c:pt>
                <c:pt idx="35">
                  <c:v>11.13592941176471</c:v>
                </c:pt>
                <c:pt idx="36">
                  <c:v>11.135585365853661</c:v>
                </c:pt>
                <c:pt idx="37">
                  <c:v>11.141500000000001</c:v>
                </c:pt>
                <c:pt idx="38">
                  <c:v>11.136500000000002</c:v>
                </c:pt>
                <c:pt idx="39">
                  <c:v>11.12</c:v>
                </c:pt>
                <c:pt idx="40">
                  <c:v>11.182500000000001</c:v>
                </c:pt>
                <c:pt idx="41">
                  <c:v>11.190999999999999</c:v>
                </c:pt>
                <c:pt idx="42">
                  <c:v>11.124600000000001</c:v>
                </c:pt>
                <c:pt idx="43">
                  <c:v>11.121</c:v>
                </c:pt>
                <c:pt idx="44">
                  <c:v>11.2295</c:v>
                </c:pt>
                <c:pt idx="45">
                  <c:v>11.256</c:v>
                </c:pt>
                <c:pt idx="46">
                  <c:v>11.23</c:v>
                </c:pt>
                <c:pt idx="47">
                  <c:v>11.255500000000001</c:v>
                </c:pt>
                <c:pt idx="48">
                  <c:v>11.3</c:v>
                </c:pt>
                <c:pt idx="49">
                  <c:v>11.306999999999999</c:v>
                </c:pt>
                <c:pt idx="50">
                  <c:v>11.313500000000001</c:v>
                </c:pt>
                <c:pt idx="51">
                  <c:v>11.343499999999999</c:v>
                </c:pt>
                <c:pt idx="52">
                  <c:v>11.3705</c:v>
                </c:pt>
                <c:pt idx="53">
                  <c:v>11.39</c:v>
                </c:pt>
                <c:pt idx="54">
                  <c:v>11.35125</c:v>
                </c:pt>
                <c:pt idx="55">
                  <c:v>11.396000000000001</c:v>
                </c:pt>
                <c:pt idx="56">
                  <c:v>11.370000000000001</c:v>
                </c:pt>
                <c:pt idx="57">
                  <c:v>11.368500000000001</c:v>
                </c:pt>
                <c:pt idx="58">
                  <c:v>11.41</c:v>
                </c:pt>
                <c:pt idx="59">
                  <c:v>11.423500000000001</c:v>
                </c:pt>
                <c:pt idx="60">
                  <c:v>11.43</c:v>
                </c:pt>
                <c:pt idx="61">
                  <c:v>11.428999999999998</c:v>
                </c:pt>
                <c:pt idx="62">
                  <c:v>11.44</c:v>
                </c:pt>
                <c:pt idx="63">
                  <c:v>11.438499999999999</c:v>
                </c:pt>
                <c:pt idx="64">
                  <c:v>11.414</c:v>
                </c:pt>
                <c:pt idx="65">
                  <c:v>11.445</c:v>
                </c:pt>
                <c:pt idx="66">
                  <c:v>11.478</c:v>
                </c:pt>
                <c:pt idx="67">
                  <c:v>11.464500000000001</c:v>
                </c:pt>
                <c:pt idx="68">
                  <c:v>11.480499999999999</c:v>
                </c:pt>
                <c:pt idx="69">
                  <c:v>11.45</c:v>
                </c:pt>
                <c:pt idx="70">
                  <c:v>11.504</c:v>
                </c:pt>
                <c:pt idx="71">
                  <c:v>11.531500000000001</c:v>
                </c:pt>
                <c:pt idx="72">
                  <c:v>11.493333333333334</c:v>
                </c:pt>
                <c:pt idx="73">
                  <c:v>11.5</c:v>
                </c:pt>
                <c:pt idx="74">
                  <c:v>11.5275</c:v>
                </c:pt>
                <c:pt idx="75">
                  <c:v>11.492666666666667</c:v>
                </c:pt>
                <c:pt idx="76">
                  <c:v>11.548500000000001</c:v>
                </c:pt>
                <c:pt idx="77">
                  <c:v>11.539</c:v>
                </c:pt>
                <c:pt idx="78">
                  <c:v>11.492999999999999</c:v>
                </c:pt>
                <c:pt idx="79">
                  <c:v>11.52</c:v>
                </c:pt>
                <c:pt idx="80">
                  <c:v>11.541499999999999</c:v>
                </c:pt>
                <c:pt idx="81">
                  <c:v>11.545500000000001</c:v>
                </c:pt>
                <c:pt idx="82">
                  <c:v>11.552499999999998</c:v>
                </c:pt>
                <c:pt idx="83">
                  <c:v>11.57</c:v>
                </c:pt>
                <c:pt idx="84">
                  <c:v>11.5945</c:v>
                </c:pt>
                <c:pt idx="85">
                  <c:v>11.58</c:v>
                </c:pt>
                <c:pt idx="86">
                  <c:v>11.593999999999999</c:v>
                </c:pt>
                <c:pt idx="87">
                  <c:v>11.606</c:v>
                </c:pt>
                <c:pt idx="88">
                  <c:v>11.59</c:v>
                </c:pt>
                <c:pt idx="89">
                  <c:v>11.6005</c:v>
                </c:pt>
                <c:pt idx="90">
                  <c:v>11.620000000000001</c:v>
                </c:pt>
                <c:pt idx="91">
                  <c:v>11.55</c:v>
                </c:pt>
                <c:pt idx="92">
                  <c:v>11.641999999999999</c:v>
                </c:pt>
                <c:pt idx="93">
                  <c:v>11.605499999999999</c:v>
                </c:pt>
                <c:pt idx="94">
                  <c:v>11.651</c:v>
                </c:pt>
                <c:pt idx="95">
                  <c:v>11.6205</c:v>
                </c:pt>
                <c:pt idx="96">
                  <c:v>11.6335</c:v>
                </c:pt>
                <c:pt idx="97">
                  <c:v>11.637499999999999</c:v>
                </c:pt>
                <c:pt idx="98">
                  <c:v>11.6195</c:v>
                </c:pt>
                <c:pt idx="99">
                  <c:v>11.657</c:v>
                </c:pt>
                <c:pt idx="100">
                  <c:v>11.678999999999998</c:v>
                </c:pt>
                <c:pt idx="101">
                  <c:v>11.638500000000001</c:v>
                </c:pt>
                <c:pt idx="102">
                  <c:v>11.670500000000001</c:v>
                </c:pt>
                <c:pt idx="103">
                  <c:v>11.629</c:v>
                </c:pt>
                <c:pt idx="104">
                  <c:v>11.696999999999999</c:v>
                </c:pt>
                <c:pt idx="105">
                  <c:v>11.6615</c:v>
                </c:pt>
                <c:pt idx="106">
                  <c:v>11.606999999999999</c:v>
                </c:pt>
                <c:pt idx="107">
                  <c:v>11.6745</c:v>
                </c:pt>
                <c:pt idx="108">
                  <c:v>11.684999999999999</c:v>
                </c:pt>
                <c:pt idx="109">
                  <c:v>11.640499999999999</c:v>
                </c:pt>
                <c:pt idx="110">
                  <c:v>11.668500000000002</c:v>
                </c:pt>
                <c:pt idx="111">
                  <c:v>11.669499999999999</c:v>
                </c:pt>
                <c:pt idx="112">
                  <c:v>11.714</c:v>
                </c:pt>
                <c:pt idx="113">
                  <c:v>11.660499999999999</c:v>
                </c:pt>
                <c:pt idx="114">
                  <c:v>11.7125</c:v>
                </c:pt>
                <c:pt idx="115">
                  <c:v>11.7165</c:v>
                </c:pt>
                <c:pt idx="116">
                  <c:v>11.686500000000001</c:v>
                </c:pt>
                <c:pt idx="117">
                  <c:v>11.7425</c:v>
                </c:pt>
                <c:pt idx="118">
                  <c:v>11.7295</c:v>
                </c:pt>
                <c:pt idx="119">
                  <c:v>11.7</c:v>
                </c:pt>
                <c:pt idx="120">
                  <c:v>11.718499999999999</c:v>
                </c:pt>
                <c:pt idx="121">
                  <c:v>11.759</c:v>
                </c:pt>
                <c:pt idx="122">
                  <c:v>11.734</c:v>
                </c:pt>
                <c:pt idx="123">
                  <c:v>11.736000000000001</c:v>
                </c:pt>
                <c:pt idx="124">
                  <c:v>11.66</c:v>
                </c:pt>
                <c:pt idx="125">
                  <c:v>11.7195</c:v>
                </c:pt>
                <c:pt idx="126">
                  <c:v>11.754999999999999</c:v>
                </c:pt>
                <c:pt idx="127">
                  <c:v>11.715</c:v>
                </c:pt>
                <c:pt idx="128">
                  <c:v>11.783999999999999</c:v>
                </c:pt>
                <c:pt idx="129">
                  <c:v>11.768000000000001</c:v>
                </c:pt>
                <c:pt idx="130">
                  <c:v>11.785</c:v>
                </c:pt>
                <c:pt idx="131">
                  <c:v>11.742999999999999</c:v>
                </c:pt>
                <c:pt idx="132">
                  <c:v>11.817499999999999</c:v>
                </c:pt>
                <c:pt idx="133">
                  <c:v>11.811</c:v>
                </c:pt>
                <c:pt idx="134">
                  <c:v>11.81</c:v>
                </c:pt>
                <c:pt idx="135">
                  <c:v>11.847000000000001</c:v>
                </c:pt>
                <c:pt idx="136">
                  <c:v>11.765000000000001</c:v>
                </c:pt>
                <c:pt idx="137">
                  <c:v>11.821999999999999</c:v>
                </c:pt>
                <c:pt idx="138">
                  <c:v>11.836</c:v>
                </c:pt>
                <c:pt idx="139">
                  <c:v>11.795</c:v>
                </c:pt>
                <c:pt idx="140">
                  <c:v>11.842500000000001</c:v>
                </c:pt>
                <c:pt idx="141">
                  <c:v>11.896000000000001</c:v>
                </c:pt>
                <c:pt idx="142">
                  <c:v>11.863</c:v>
                </c:pt>
                <c:pt idx="143">
                  <c:v>11.922499999999999</c:v>
                </c:pt>
                <c:pt idx="144">
                  <c:v>11.914999999999999</c:v>
                </c:pt>
                <c:pt idx="145">
                  <c:v>11.8705</c:v>
                </c:pt>
                <c:pt idx="146">
                  <c:v>11.951000000000001</c:v>
                </c:pt>
                <c:pt idx="147">
                  <c:v>11.9</c:v>
                </c:pt>
                <c:pt idx="148">
                  <c:v>11.9945</c:v>
                </c:pt>
                <c:pt idx="149">
                  <c:v>11.9495</c:v>
                </c:pt>
                <c:pt idx="150">
                  <c:v>11.994</c:v>
                </c:pt>
                <c:pt idx="151">
                  <c:v>12.0305</c:v>
                </c:pt>
                <c:pt idx="152">
                  <c:v>12.006</c:v>
                </c:pt>
                <c:pt idx="153">
                  <c:v>11.959</c:v>
                </c:pt>
                <c:pt idx="154">
                  <c:v>11.974499999999999</c:v>
                </c:pt>
                <c:pt idx="155">
                  <c:v>12.07</c:v>
                </c:pt>
                <c:pt idx="156">
                  <c:v>12.087</c:v>
                </c:pt>
                <c:pt idx="157">
                  <c:v>12.047000000000001</c:v>
                </c:pt>
                <c:pt idx="158">
                  <c:v>12.0915</c:v>
                </c:pt>
                <c:pt idx="159">
                  <c:v>12.071999999999999</c:v>
                </c:pt>
                <c:pt idx="160">
                  <c:v>12.118</c:v>
                </c:pt>
                <c:pt idx="161">
                  <c:v>12.126000000000001</c:v>
                </c:pt>
                <c:pt idx="162">
                  <c:v>12.115500000000001</c:v>
                </c:pt>
                <c:pt idx="163">
                  <c:v>12.0755</c:v>
                </c:pt>
                <c:pt idx="164">
                  <c:v>12.084</c:v>
                </c:pt>
                <c:pt idx="165">
                  <c:v>12.0815</c:v>
                </c:pt>
                <c:pt idx="166">
                  <c:v>12.170500000000001</c:v>
                </c:pt>
                <c:pt idx="167">
                  <c:v>12.1365</c:v>
                </c:pt>
                <c:pt idx="168">
                  <c:v>12.188500000000001</c:v>
                </c:pt>
                <c:pt idx="169">
                  <c:v>12.275500000000001</c:v>
                </c:pt>
                <c:pt idx="170">
                  <c:v>12.617000000000001</c:v>
                </c:pt>
                <c:pt idx="171">
                  <c:v>12.741</c:v>
                </c:pt>
                <c:pt idx="172">
                  <c:v>12.854500000000002</c:v>
                </c:pt>
                <c:pt idx="173">
                  <c:v>12.964</c:v>
                </c:pt>
                <c:pt idx="174">
                  <c:v>12.923999999999999</c:v>
                </c:pt>
                <c:pt idx="175">
                  <c:v>12.8225</c:v>
                </c:pt>
                <c:pt idx="176">
                  <c:v>12.79</c:v>
                </c:pt>
                <c:pt idx="177">
                  <c:v>12.88</c:v>
                </c:pt>
                <c:pt idx="178">
                  <c:v>12.7735</c:v>
                </c:pt>
                <c:pt idx="179">
                  <c:v>12.839</c:v>
                </c:pt>
                <c:pt idx="180">
                  <c:v>12.803000000000001</c:v>
                </c:pt>
                <c:pt idx="181">
                  <c:v>12.76</c:v>
                </c:pt>
                <c:pt idx="182">
                  <c:v>12.811999999999999</c:v>
                </c:pt>
                <c:pt idx="183">
                  <c:v>12.752500000000001</c:v>
                </c:pt>
                <c:pt idx="184">
                  <c:v>12.7575</c:v>
                </c:pt>
                <c:pt idx="185">
                  <c:v>12.7</c:v>
                </c:pt>
                <c:pt idx="186">
                  <c:v>12.701000000000001</c:v>
                </c:pt>
                <c:pt idx="187">
                  <c:v>12.704499999999999</c:v>
                </c:pt>
                <c:pt idx="188">
                  <c:v>12.693999999999999</c:v>
                </c:pt>
                <c:pt idx="189">
                  <c:v>12.6655</c:v>
                </c:pt>
                <c:pt idx="190">
                  <c:v>12.649000000000001</c:v>
                </c:pt>
                <c:pt idx="191">
                  <c:v>12.615500000000001</c:v>
                </c:pt>
                <c:pt idx="192">
                  <c:v>12.570499999999999</c:v>
                </c:pt>
                <c:pt idx="193">
                  <c:v>12.625</c:v>
                </c:pt>
                <c:pt idx="194">
                  <c:v>12.5535</c:v>
                </c:pt>
                <c:pt idx="195">
                  <c:v>12.568999999999999</c:v>
                </c:pt>
                <c:pt idx="196">
                  <c:v>12.561500000000001</c:v>
                </c:pt>
                <c:pt idx="197">
                  <c:v>12.54</c:v>
                </c:pt>
                <c:pt idx="198">
                  <c:v>12.5625</c:v>
                </c:pt>
                <c:pt idx="199">
                  <c:v>12.5465</c:v>
                </c:pt>
                <c:pt idx="200">
                  <c:v>12.622999999999999</c:v>
                </c:pt>
                <c:pt idx="201">
                  <c:v>12.576499999999999</c:v>
                </c:pt>
                <c:pt idx="202">
                  <c:v>12.542999999999999</c:v>
                </c:pt>
                <c:pt idx="203">
                  <c:v>12.584</c:v>
                </c:pt>
                <c:pt idx="204">
                  <c:v>12.5305</c:v>
                </c:pt>
                <c:pt idx="205">
                  <c:v>12.512</c:v>
                </c:pt>
                <c:pt idx="206">
                  <c:v>12.456</c:v>
                </c:pt>
                <c:pt idx="207">
                  <c:v>12.45</c:v>
                </c:pt>
                <c:pt idx="208">
                  <c:v>12.4415</c:v>
                </c:pt>
                <c:pt idx="209">
                  <c:v>12.4275</c:v>
                </c:pt>
                <c:pt idx="210">
                  <c:v>12.4245</c:v>
                </c:pt>
                <c:pt idx="211">
                  <c:v>12.3855</c:v>
                </c:pt>
                <c:pt idx="212">
                  <c:v>12.409000000000001</c:v>
                </c:pt>
                <c:pt idx="213">
                  <c:v>12.36</c:v>
                </c:pt>
                <c:pt idx="214">
                  <c:v>12.435</c:v>
                </c:pt>
                <c:pt idx="215">
                  <c:v>12.349499999999999</c:v>
                </c:pt>
                <c:pt idx="216">
                  <c:v>12.327500000000001</c:v>
                </c:pt>
                <c:pt idx="217">
                  <c:v>12.372</c:v>
                </c:pt>
                <c:pt idx="218">
                  <c:v>12.339500000000001</c:v>
                </c:pt>
                <c:pt idx="219">
                  <c:v>12.355</c:v>
                </c:pt>
                <c:pt idx="220">
                  <c:v>12.318</c:v>
                </c:pt>
                <c:pt idx="221">
                  <c:v>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56-4CAC-8160-E3A000E1C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907512"/>
        <c:axId val="804905544"/>
      </c:scatterChart>
      <c:valAx>
        <c:axId val="80490751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4905544"/>
        <c:crosses val="autoZero"/>
        <c:crossBetween val="midCat"/>
      </c:valAx>
      <c:valAx>
        <c:axId val="804905544"/>
        <c:scaling>
          <c:orientation val="maxMin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4907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Feuil5!$F$3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Feuil5!$E$4:$E$202</c:f>
              <c:numCache>
                <c:formatCode>General</c:formatCode>
                <c:ptCount val="199"/>
                <c:pt idx="0">
                  <c:v>8341</c:v>
                </c:pt>
                <c:pt idx="1">
                  <c:v>8342.5</c:v>
                </c:pt>
                <c:pt idx="2">
                  <c:v>8343.25</c:v>
                </c:pt>
                <c:pt idx="3">
                  <c:v>8343.5</c:v>
                </c:pt>
                <c:pt idx="4">
                  <c:v>8344.25</c:v>
                </c:pt>
                <c:pt idx="5">
                  <c:v>8344.5</c:v>
                </c:pt>
                <c:pt idx="6">
                  <c:v>8345.25</c:v>
                </c:pt>
                <c:pt idx="7">
                  <c:v>8345.5</c:v>
                </c:pt>
                <c:pt idx="8">
                  <c:v>8345.75</c:v>
                </c:pt>
                <c:pt idx="9">
                  <c:v>8346.5</c:v>
                </c:pt>
                <c:pt idx="10">
                  <c:v>8346.75</c:v>
                </c:pt>
                <c:pt idx="11">
                  <c:v>8347.25</c:v>
                </c:pt>
                <c:pt idx="12">
                  <c:v>8349.5</c:v>
                </c:pt>
                <c:pt idx="13">
                  <c:v>8350.5</c:v>
                </c:pt>
                <c:pt idx="14">
                  <c:v>8351.5</c:v>
                </c:pt>
                <c:pt idx="15">
                  <c:v>8352.25</c:v>
                </c:pt>
                <c:pt idx="16">
                  <c:v>8353.25</c:v>
                </c:pt>
                <c:pt idx="17">
                  <c:v>8354.5</c:v>
                </c:pt>
                <c:pt idx="18">
                  <c:v>8355.5</c:v>
                </c:pt>
                <c:pt idx="19">
                  <c:v>8355.75</c:v>
                </c:pt>
                <c:pt idx="20">
                  <c:v>8356.5</c:v>
                </c:pt>
                <c:pt idx="21">
                  <c:v>8357.25</c:v>
                </c:pt>
                <c:pt idx="22">
                  <c:v>8357.5</c:v>
                </c:pt>
                <c:pt idx="23">
                  <c:v>8358.25</c:v>
                </c:pt>
                <c:pt idx="24">
                  <c:v>8359.25</c:v>
                </c:pt>
                <c:pt idx="25">
                  <c:v>8360.25</c:v>
                </c:pt>
                <c:pt idx="26">
                  <c:v>8361.25</c:v>
                </c:pt>
                <c:pt idx="27">
                  <c:v>8362.25</c:v>
                </c:pt>
                <c:pt idx="28">
                  <c:v>8363.5</c:v>
                </c:pt>
                <c:pt idx="29">
                  <c:v>8364.25</c:v>
                </c:pt>
                <c:pt idx="30">
                  <c:v>8365.25</c:v>
                </c:pt>
                <c:pt idx="31">
                  <c:v>8366.25</c:v>
                </c:pt>
                <c:pt idx="32">
                  <c:v>8367.25</c:v>
                </c:pt>
                <c:pt idx="33">
                  <c:v>8367.5</c:v>
                </c:pt>
                <c:pt idx="34">
                  <c:v>8368.25</c:v>
                </c:pt>
                <c:pt idx="35">
                  <c:v>8368.5</c:v>
                </c:pt>
                <c:pt idx="36">
                  <c:v>8369.25</c:v>
                </c:pt>
                <c:pt idx="37">
                  <c:v>8370.25</c:v>
                </c:pt>
                <c:pt idx="38">
                  <c:v>8370.5</c:v>
                </c:pt>
                <c:pt idx="39">
                  <c:v>8371.25</c:v>
                </c:pt>
                <c:pt idx="40">
                  <c:v>8372.25</c:v>
                </c:pt>
                <c:pt idx="41">
                  <c:v>8373.25</c:v>
                </c:pt>
                <c:pt idx="42">
                  <c:v>8374.25</c:v>
                </c:pt>
                <c:pt idx="43">
                  <c:v>8375.25</c:v>
                </c:pt>
                <c:pt idx="44">
                  <c:v>8376.25</c:v>
                </c:pt>
                <c:pt idx="45">
                  <c:v>8378.25</c:v>
                </c:pt>
                <c:pt idx="46">
                  <c:v>8379.25</c:v>
                </c:pt>
                <c:pt idx="47">
                  <c:v>8380.5</c:v>
                </c:pt>
                <c:pt idx="48">
                  <c:v>8381.25</c:v>
                </c:pt>
                <c:pt idx="49">
                  <c:v>8382.25</c:v>
                </c:pt>
                <c:pt idx="50">
                  <c:v>8383.25</c:v>
                </c:pt>
                <c:pt idx="51">
                  <c:v>8384.25</c:v>
                </c:pt>
                <c:pt idx="52">
                  <c:v>8385.25</c:v>
                </c:pt>
                <c:pt idx="53">
                  <c:v>8386.25</c:v>
                </c:pt>
                <c:pt idx="54">
                  <c:v>8386.5</c:v>
                </c:pt>
                <c:pt idx="55">
                  <c:v>8387.5</c:v>
                </c:pt>
                <c:pt idx="56">
                  <c:v>8388.25</c:v>
                </c:pt>
                <c:pt idx="57">
                  <c:v>8388.5</c:v>
                </c:pt>
                <c:pt idx="58">
                  <c:v>8389.25</c:v>
                </c:pt>
                <c:pt idx="59">
                  <c:v>8389.5</c:v>
                </c:pt>
                <c:pt idx="60">
                  <c:v>8390.25</c:v>
                </c:pt>
                <c:pt idx="61">
                  <c:v>8390.5</c:v>
                </c:pt>
                <c:pt idx="62">
                  <c:v>8392.5</c:v>
                </c:pt>
                <c:pt idx="63">
                  <c:v>8393.5</c:v>
                </c:pt>
                <c:pt idx="64">
                  <c:v>8394.25</c:v>
                </c:pt>
                <c:pt idx="65">
                  <c:v>8394.5</c:v>
                </c:pt>
                <c:pt idx="66">
                  <c:v>8395.25</c:v>
                </c:pt>
                <c:pt idx="67">
                  <c:v>8395.5</c:v>
                </c:pt>
                <c:pt idx="68">
                  <c:v>8396.25</c:v>
                </c:pt>
                <c:pt idx="69">
                  <c:v>8396.5</c:v>
                </c:pt>
                <c:pt idx="70">
                  <c:v>8397.5</c:v>
                </c:pt>
                <c:pt idx="71">
                  <c:v>8398.25</c:v>
                </c:pt>
                <c:pt idx="72">
                  <c:v>8400.5</c:v>
                </c:pt>
                <c:pt idx="73">
                  <c:v>8401.25</c:v>
                </c:pt>
                <c:pt idx="74">
                  <c:v>8401.5</c:v>
                </c:pt>
                <c:pt idx="75">
                  <c:v>8402.25</c:v>
                </c:pt>
                <c:pt idx="76">
                  <c:v>8402.5</c:v>
                </c:pt>
                <c:pt idx="77">
                  <c:v>8403.5</c:v>
                </c:pt>
                <c:pt idx="78">
                  <c:v>8404.25</c:v>
                </c:pt>
                <c:pt idx="79">
                  <c:v>8404.5</c:v>
                </c:pt>
                <c:pt idx="80">
                  <c:v>8405.5</c:v>
                </c:pt>
                <c:pt idx="81">
                  <c:v>8406.25</c:v>
                </c:pt>
                <c:pt idx="82">
                  <c:v>8406.5</c:v>
                </c:pt>
                <c:pt idx="83">
                  <c:v>8407.25</c:v>
                </c:pt>
                <c:pt idx="84">
                  <c:v>8407.5</c:v>
                </c:pt>
                <c:pt idx="85">
                  <c:v>8408.5</c:v>
                </c:pt>
                <c:pt idx="86">
                  <c:v>8409.25</c:v>
                </c:pt>
                <c:pt idx="87">
                  <c:v>8409.5</c:v>
                </c:pt>
                <c:pt idx="88">
                  <c:v>8410.5</c:v>
                </c:pt>
                <c:pt idx="89">
                  <c:v>8411.25</c:v>
                </c:pt>
                <c:pt idx="90">
                  <c:v>8411.5</c:v>
                </c:pt>
                <c:pt idx="91">
                  <c:v>8413.5</c:v>
                </c:pt>
                <c:pt idx="92">
                  <c:v>8414.5</c:v>
                </c:pt>
                <c:pt idx="93">
                  <c:v>8415</c:v>
                </c:pt>
                <c:pt idx="94">
                  <c:v>8415.5</c:v>
                </c:pt>
                <c:pt idx="95">
                  <c:v>8416.5</c:v>
                </c:pt>
                <c:pt idx="96">
                  <c:v>8417.5</c:v>
                </c:pt>
                <c:pt idx="97">
                  <c:v>8418.5</c:v>
                </c:pt>
                <c:pt idx="98">
                  <c:v>8419.5</c:v>
                </c:pt>
                <c:pt idx="99">
                  <c:v>8420</c:v>
                </c:pt>
                <c:pt idx="100">
                  <c:v>8420.5</c:v>
                </c:pt>
                <c:pt idx="101">
                  <c:v>8421.5</c:v>
                </c:pt>
                <c:pt idx="102">
                  <c:v>8422.5</c:v>
                </c:pt>
                <c:pt idx="103">
                  <c:v>8423</c:v>
                </c:pt>
                <c:pt idx="104">
                  <c:v>8423.5</c:v>
                </c:pt>
                <c:pt idx="105">
                  <c:v>8424.5</c:v>
                </c:pt>
                <c:pt idx="106">
                  <c:v>8425.25</c:v>
                </c:pt>
                <c:pt idx="107">
                  <c:v>8425.5</c:v>
                </c:pt>
                <c:pt idx="108">
                  <c:v>8427.5</c:v>
                </c:pt>
                <c:pt idx="109">
                  <c:v>8428.25</c:v>
                </c:pt>
                <c:pt idx="110">
                  <c:v>8428.5</c:v>
                </c:pt>
                <c:pt idx="111">
                  <c:v>8429.5</c:v>
                </c:pt>
                <c:pt idx="112">
                  <c:v>8430.5</c:v>
                </c:pt>
                <c:pt idx="113">
                  <c:v>8431</c:v>
                </c:pt>
                <c:pt idx="114">
                  <c:v>8431.5</c:v>
                </c:pt>
                <c:pt idx="115">
                  <c:v>8432.5</c:v>
                </c:pt>
                <c:pt idx="116">
                  <c:v>8433</c:v>
                </c:pt>
                <c:pt idx="117">
                  <c:v>8433.5</c:v>
                </c:pt>
                <c:pt idx="118">
                  <c:v>8434.5</c:v>
                </c:pt>
                <c:pt idx="119">
                  <c:v>8435.5</c:v>
                </c:pt>
                <c:pt idx="120">
                  <c:v>8436.5</c:v>
                </c:pt>
                <c:pt idx="121">
                  <c:v>8437.25</c:v>
                </c:pt>
                <c:pt idx="122">
                  <c:v>8438.5</c:v>
                </c:pt>
                <c:pt idx="123">
                  <c:v>8439</c:v>
                </c:pt>
                <c:pt idx="124">
                  <c:v>8439.5</c:v>
                </c:pt>
                <c:pt idx="125">
                  <c:v>8440.25</c:v>
                </c:pt>
                <c:pt idx="126">
                  <c:v>8440.5</c:v>
                </c:pt>
                <c:pt idx="127">
                  <c:v>8441.5</c:v>
                </c:pt>
                <c:pt idx="128">
                  <c:v>8442.5</c:v>
                </c:pt>
                <c:pt idx="129">
                  <c:v>8443.5</c:v>
                </c:pt>
                <c:pt idx="130">
                  <c:v>8444.5</c:v>
                </c:pt>
                <c:pt idx="131">
                  <c:v>8445.5</c:v>
                </c:pt>
                <c:pt idx="132">
                  <c:v>8446.5</c:v>
                </c:pt>
                <c:pt idx="133">
                  <c:v>8447.5</c:v>
                </c:pt>
                <c:pt idx="134">
                  <c:v>8448.5</c:v>
                </c:pt>
                <c:pt idx="135">
                  <c:v>8449.5</c:v>
                </c:pt>
                <c:pt idx="136">
                  <c:v>8450.5</c:v>
                </c:pt>
                <c:pt idx="137">
                  <c:v>8451.5</c:v>
                </c:pt>
                <c:pt idx="138">
                  <c:v>8453</c:v>
                </c:pt>
                <c:pt idx="139">
                  <c:v>8462</c:v>
                </c:pt>
                <c:pt idx="140">
                  <c:v>8464.25</c:v>
                </c:pt>
                <c:pt idx="141">
                  <c:v>8478.25</c:v>
                </c:pt>
                <c:pt idx="142">
                  <c:v>8479</c:v>
                </c:pt>
                <c:pt idx="143">
                  <c:v>8487</c:v>
                </c:pt>
                <c:pt idx="144">
                  <c:v>8503</c:v>
                </c:pt>
                <c:pt idx="145">
                  <c:v>8577.5</c:v>
                </c:pt>
                <c:pt idx="146">
                  <c:v>8597.5</c:v>
                </c:pt>
                <c:pt idx="147">
                  <c:v>8643.25</c:v>
                </c:pt>
                <c:pt idx="148">
                  <c:v>8649.75</c:v>
                </c:pt>
                <c:pt idx="149">
                  <c:v>8654.5</c:v>
                </c:pt>
                <c:pt idx="150">
                  <c:v>8663.25</c:v>
                </c:pt>
                <c:pt idx="151">
                  <c:v>8664.25</c:v>
                </c:pt>
                <c:pt idx="152">
                  <c:v>8665.75</c:v>
                </c:pt>
                <c:pt idx="153">
                  <c:v>8672.25</c:v>
                </c:pt>
                <c:pt idx="154">
                  <c:v>8677.5</c:v>
                </c:pt>
                <c:pt idx="155">
                  <c:v>8681.25</c:v>
                </c:pt>
                <c:pt idx="156">
                  <c:v>8685.25</c:v>
                </c:pt>
                <c:pt idx="157">
                  <c:v>8685.5</c:v>
                </c:pt>
                <c:pt idx="158">
                  <c:v>8687.25</c:v>
                </c:pt>
                <c:pt idx="159">
                  <c:v>8688.25</c:v>
                </c:pt>
                <c:pt idx="160">
                  <c:v>8690.5</c:v>
                </c:pt>
                <c:pt idx="161">
                  <c:v>8693.25</c:v>
                </c:pt>
                <c:pt idx="162">
                  <c:v>8694.25</c:v>
                </c:pt>
                <c:pt idx="163">
                  <c:v>8697.25</c:v>
                </c:pt>
                <c:pt idx="164">
                  <c:v>8698.25</c:v>
                </c:pt>
                <c:pt idx="165">
                  <c:v>8699.25</c:v>
                </c:pt>
                <c:pt idx="166">
                  <c:v>8703.25</c:v>
                </c:pt>
                <c:pt idx="167">
                  <c:v>8706.25</c:v>
                </c:pt>
                <c:pt idx="168">
                  <c:v>8707.5</c:v>
                </c:pt>
                <c:pt idx="169">
                  <c:v>8708.25</c:v>
                </c:pt>
                <c:pt idx="170">
                  <c:v>8714.25</c:v>
                </c:pt>
                <c:pt idx="171">
                  <c:v>8715.25</c:v>
                </c:pt>
                <c:pt idx="172">
                  <c:v>8716.25</c:v>
                </c:pt>
                <c:pt idx="173">
                  <c:v>8717.25</c:v>
                </c:pt>
                <c:pt idx="174">
                  <c:v>8720.25</c:v>
                </c:pt>
                <c:pt idx="175">
                  <c:v>8721.5</c:v>
                </c:pt>
                <c:pt idx="176">
                  <c:v>8722.25</c:v>
                </c:pt>
                <c:pt idx="177">
                  <c:v>8726.25</c:v>
                </c:pt>
                <c:pt idx="178">
                  <c:v>8727.75</c:v>
                </c:pt>
                <c:pt idx="179">
                  <c:v>8728.25</c:v>
                </c:pt>
                <c:pt idx="180">
                  <c:v>8731.25</c:v>
                </c:pt>
                <c:pt idx="181">
                  <c:v>8739.5</c:v>
                </c:pt>
                <c:pt idx="182">
                  <c:v>8739.75</c:v>
                </c:pt>
                <c:pt idx="183">
                  <c:v>8740.25</c:v>
                </c:pt>
                <c:pt idx="184">
                  <c:v>8744.25</c:v>
                </c:pt>
                <c:pt idx="185">
                  <c:v>8745.25</c:v>
                </c:pt>
                <c:pt idx="186">
                  <c:v>8747.25</c:v>
                </c:pt>
                <c:pt idx="187">
                  <c:v>8747.5</c:v>
                </c:pt>
                <c:pt idx="188">
                  <c:v>8748.25</c:v>
                </c:pt>
                <c:pt idx="189">
                  <c:v>8753.5</c:v>
                </c:pt>
                <c:pt idx="190">
                  <c:v>8759.25</c:v>
                </c:pt>
                <c:pt idx="191">
                  <c:v>8761.25</c:v>
                </c:pt>
                <c:pt idx="192">
                  <c:v>8762.5</c:v>
                </c:pt>
                <c:pt idx="193">
                  <c:v>8765.25</c:v>
                </c:pt>
                <c:pt idx="194">
                  <c:v>8768.5</c:v>
                </c:pt>
                <c:pt idx="195">
                  <c:v>8773.5</c:v>
                </c:pt>
                <c:pt idx="196">
                  <c:v>8780.5</c:v>
                </c:pt>
              </c:numCache>
            </c:numRef>
          </c:xVal>
          <c:yVal>
            <c:numRef>
              <c:f>Feuil5!$F$4:$F$202</c:f>
              <c:numCache>
                <c:formatCode>General</c:formatCode>
                <c:ptCount val="199"/>
                <c:pt idx="0">
                  <c:v>10.87</c:v>
                </c:pt>
                <c:pt idx="1">
                  <c:v>10.981661290322581</c:v>
                </c:pt>
                <c:pt idx="2">
                  <c:v>10.869</c:v>
                </c:pt>
                <c:pt idx="3">
                  <c:v>11.032744680851064</c:v>
                </c:pt>
                <c:pt idx="4">
                  <c:v>10.867532608695649</c:v>
                </c:pt>
                <c:pt idx="5">
                  <c:v>10.917999999999999</c:v>
                </c:pt>
                <c:pt idx="6">
                  <c:v>10.787819672131151</c:v>
                </c:pt>
                <c:pt idx="7">
                  <c:v>10.83640909090909</c:v>
                </c:pt>
                <c:pt idx="8">
                  <c:v>10.859499999999999</c:v>
                </c:pt>
                <c:pt idx="9">
                  <c:v>10.909647058823531</c:v>
                </c:pt>
                <c:pt idx="10">
                  <c:v>10.905208333333334</c:v>
                </c:pt>
                <c:pt idx="11">
                  <c:v>10.919</c:v>
                </c:pt>
                <c:pt idx="12">
                  <c:v>10.865500000000001</c:v>
                </c:pt>
                <c:pt idx="13">
                  <c:v>10.866</c:v>
                </c:pt>
                <c:pt idx="14">
                  <c:v>10.890499999999999</c:v>
                </c:pt>
                <c:pt idx="15">
                  <c:v>10.938500000000001</c:v>
                </c:pt>
                <c:pt idx="16">
                  <c:v>10.914999999999999</c:v>
                </c:pt>
                <c:pt idx="17">
                  <c:v>10.919499999999999</c:v>
                </c:pt>
                <c:pt idx="18">
                  <c:v>10.9175</c:v>
                </c:pt>
                <c:pt idx="19">
                  <c:v>10.933999999999999</c:v>
                </c:pt>
                <c:pt idx="20">
                  <c:v>10.917999999999999</c:v>
                </c:pt>
                <c:pt idx="21">
                  <c:v>10.961</c:v>
                </c:pt>
                <c:pt idx="22">
                  <c:v>10.959</c:v>
                </c:pt>
                <c:pt idx="23">
                  <c:v>10.981</c:v>
                </c:pt>
                <c:pt idx="24">
                  <c:v>11.016000000000002</c:v>
                </c:pt>
                <c:pt idx="25">
                  <c:v>11.0595</c:v>
                </c:pt>
                <c:pt idx="26">
                  <c:v>11.086</c:v>
                </c:pt>
                <c:pt idx="27">
                  <c:v>11.108666666666666</c:v>
                </c:pt>
                <c:pt idx="28">
                  <c:v>11.1325</c:v>
                </c:pt>
                <c:pt idx="29">
                  <c:v>11.135749003984067</c:v>
                </c:pt>
                <c:pt idx="30">
                  <c:v>11.136500000000002</c:v>
                </c:pt>
                <c:pt idx="31">
                  <c:v>11.161666666666667</c:v>
                </c:pt>
                <c:pt idx="32">
                  <c:v>11.190999999999999</c:v>
                </c:pt>
                <c:pt idx="33">
                  <c:v>11.124461538461539</c:v>
                </c:pt>
                <c:pt idx="34">
                  <c:v>11.2295</c:v>
                </c:pt>
                <c:pt idx="35">
                  <c:v>11.256</c:v>
                </c:pt>
                <c:pt idx="36">
                  <c:v>11.242750000000001</c:v>
                </c:pt>
                <c:pt idx="37">
                  <c:v>11.3</c:v>
                </c:pt>
                <c:pt idx="38">
                  <c:v>11.306999999999999</c:v>
                </c:pt>
                <c:pt idx="39">
                  <c:v>11.313500000000001</c:v>
                </c:pt>
                <c:pt idx="40">
                  <c:v>11.343499999999999</c:v>
                </c:pt>
                <c:pt idx="41">
                  <c:v>11.3705</c:v>
                </c:pt>
                <c:pt idx="42">
                  <c:v>11.39</c:v>
                </c:pt>
                <c:pt idx="43">
                  <c:v>11.366166666666667</c:v>
                </c:pt>
                <c:pt idx="44">
                  <c:v>11.370000000000001</c:v>
                </c:pt>
                <c:pt idx="45">
                  <c:v>11.368500000000001</c:v>
                </c:pt>
                <c:pt idx="46">
                  <c:v>11.41</c:v>
                </c:pt>
                <c:pt idx="47">
                  <c:v>11.423500000000001</c:v>
                </c:pt>
                <c:pt idx="48">
                  <c:v>11.429333333333332</c:v>
                </c:pt>
                <c:pt idx="49">
                  <c:v>11.438999999999998</c:v>
                </c:pt>
                <c:pt idx="50">
                  <c:v>11.429499999999999</c:v>
                </c:pt>
                <c:pt idx="51">
                  <c:v>11.478</c:v>
                </c:pt>
                <c:pt idx="52">
                  <c:v>11.472500000000002</c:v>
                </c:pt>
                <c:pt idx="53">
                  <c:v>11.45</c:v>
                </c:pt>
                <c:pt idx="54">
                  <c:v>11.504</c:v>
                </c:pt>
                <c:pt idx="55">
                  <c:v>11.531500000000001</c:v>
                </c:pt>
                <c:pt idx="56">
                  <c:v>11.495000000000001</c:v>
                </c:pt>
                <c:pt idx="57">
                  <c:v>11.5275</c:v>
                </c:pt>
                <c:pt idx="58">
                  <c:v>11.492666666666667</c:v>
                </c:pt>
                <c:pt idx="59">
                  <c:v>11.545333333333334</c:v>
                </c:pt>
                <c:pt idx="60">
                  <c:v>11.502000000000001</c:v>
                </c:pt>
                <c:pt idx="61">
                  <c:v>11.541499999999999</c:v>
                </c:pt>
                <c:pt idx="62">
                  <c:v>11.545500000000001</c:v>
                </c:pt>
                <c:pt idx="63">
                  <c:v>11.552499999999998</c:v>
                </c:pt>
                <c:pt idx="64">
                  <c:v>11.57</c:v>
                </c:pt>
                <c:pt idx="65">
                  <c:v>11.5945</c:v>
                </c:pt>
                <c:pt idx="66">
                  <c:v>11.58</c:v>
                </c:pt>
                <c:pt idx="67">
                  <c:v>11.597999999999999</c:v>
                </c:pt>
                <c:pt idx="68">
                  <c:v>11.59</c:v>
                </c:pt>
                <c:pt idx="69">
                  <c:v>11.6005</c:v>
                </c:pt>
                <c:pt idx="70">
                  <c:v>11.620000000000001</c:v>
                </c:pt>
                <c:pt idx="71">
                  <c:v>11.55</c:v>
                </c:pt>
                <c:pt idx="72">
                  <c:v>11.641999999999999</c:v>
                </c:pt>
                <c:pt idx="73">
                  <c:v>11.605499999999999</c:v>
                </c:pt>
                <c:pt idx="74">
                  <c:v>11.651</c:v>
                </c:pt>
                <c:pt idx="75">
                  <c:v>11.6205</c:v>
                </c:pt>
                <c:pt idx="76">
                  <c:v>11.6335</c:v>
                </c:pt>
                <c:pt idx="77">
                  <c:v>11.637499999999999</c:v>
                </c:pt>
                <c:pt idx="78">
                  <c:v>11.6195</c:v>
                </c:pt>
                <c:pt idx="79">
                  <c:v>11.657</c:v>
                </c:pt>
                <c:pt idx="80">
                  <c:v>11.678999999999998</c:v>
                </c:pt>
                <c:pt idx="81">
                  <c:v>11.638500000000001</c:v>
                </c:pt>
                <c:pt idx="82">
                  <c:v>11.670500000000001</c:v>
                </c:pt>
                <c:pt idx="83">
                  <c:v>11.629</c:v>
                </c:pt>
                <c:pt idx="84">
                  <c:v>11.696999999999999</c:v>
                </c:pt>
                <c:pt idx="85">
                  <c:v>11.6615</c:v>
                </c:pt>
                <c:pt idx="86">
                  <c:v>11.606999999999999</c:v>
                </c:pt>
                <c:pt idx="87">
                  <c:v>11.6745</c:v>
                </c:pt>
                <c:pt idx="88">
                  <c:v>11.684999999999999</c:v>
                </c:pt>
                <c:pt idx="89">
                  <c:v>11.640499999999999</c:v>
                </c:pt>
                <c:pt idx="90">
                  <c:v>11.668500000000002</c:v>
                </c:pt>
                <c:pt idx="91">
                  <c:v>11.669499999999999</c:v>
                </c:pt>
                <c:pt idx="92">
                  <c:v>11.714</c:v>
                </c:pt>
                <c:pt idx="93">
                  <c:v>11.660499999999999</c:v>
                </c:pt>
                <c:pt idx="94">
                  <c:v>11.7125</c:v>
                </c:pt>
                <c:pt idx="95">
                  <c:v>11.7165</c:v>
                </c:pt>
                <c:pt idx="96">
                  <c:v>11.686500000000001</c:v>
                </c:pt>
                <c:pt idx="97">
                  <c:v>11.7425</c:v>
                </c:pt>
                <c:pt idx="98">
                  <c:v>11.7295</c:v>
                </c:pt>
                <c:pt idx="99">
                  <c:v>11.7</c:v>
                </c:pt>
                <c:pt idx="100">
                  <c:v>11.731999999999999</c:v>
                </c:pt>
                <c:pt idx="101">
                  <c:v>11.734</c:v>
                </c:pt>
                <c:pt idx="102">
                  <c:v>11.736000000000001</c:v>
                </c:pt>
                <c:pt idx="103">
                  <c:v>11.66</c:v>
                </c:pt>
                <c:pt idx="104">
                  <c:v>11.7195</c:v>
                </c:pt>
                <c:pt idx="105">
                  <c:v>11.754999999999999</c:v>
                </c:pt>
                <c:pt idx="106">
                  <c:v>11.715</c:v>
                </c:pt>
                <c:pt idx="107">
                  <c:v>11.778666666666666</c:v>
                </c:pt>
                <c:pt idx="108">
                  <c:v>11.785</c:v>
                </c:pt>
                <c:pt idx="109">
                  <c:v>11.742999999999999</c:v>
                </c:pt>
                <c:pt idx="110">
                  <c:v>11.817499999999999</c:v>
                </c:pt>
                <c:pt idx="111">
                  <c:v>11.810666666666668</c:v>
                </c:pt>
                <c:pt idx="112">
                  <c:v>11.847000000000001</c:v>
                </c:pt>
                <c:pt idx="113">
                  <c:v>11.765000000000001</c:v>
                </c:pt>
                <c:pt idx="114">
                  <c:v>11.821999999999999</c:v>
                </c:pt>
                <c:pt idx="115">
                  <c:v>11.836</c:v>
                </c:pt>
                <c:pt idx="116">
                  <c:v>11.795</c:v>
                </c:pt>
                <c:pt idx="117">
                  <c:v>11.842500000000001</c:v>
                </c:pt>
                <c:pt idx="118">
                  <c:v>11.896000000000001</c:v>
                </c:pt>
                <c:pt idx="119">
                  <c:v>11.863</c:v>
                </c:pt>
                <c:pt idx="120">
                  <c:v>11.92</c:v>
                </c:pt>
                <c:pt idx="121">
                  <c:v>11.8705</c:v>
                </c:pt>
                <c:pt idx="122">
                  <c:v>11.951000000000001</c:v>
                </c:pt>
                <c:pt idx="123">
                  <c:v>11.9</c:v>
                </c:pt>
                <c:pt idx="124">
                  <c:v>11.9945</c:v>
                </c:pt>
                <c:pt idx="125">
                  <c:v>11.9495</c:v>
                </c:pt>
                <c:pt idx="126">
                  <c:v>11.994</c:v>
                </c:pt>
                <c:pt idx="127">
                  <c:v>12.0305</c:v>
                </c:pt>
                <c:pt idx="128">
                  <c:v>11.990333333333334</c:v>
                </c:pt>
                <c:pt idx="129">
                  <c:v>11.974499999999999</c:v>
                </c:pt>
                <c:pt idx="130">
                  <c:v>12.07</c:v>
                </c:pt>
                <c:pt idx="131">
                  <c:v>12.087</c:v>
                </c:pt>
                <c:pt idx="132">
                  <c:v>12.047000000000001</c:v>
                </c:pt>
                <c:pt idx="133">
                  <c:v>12.0915</c:v>
                </c:pt>
                <c:pt idx="134">
                  <c:v>12.071999999999999</c:v>
                </c:pt>
                <c:pt idx="135">
                  <c:v>12.118</c:v>
                </c:pt>
                <c:pt idx="136">
                  <c:v>12.126000000000001</c:v>
                </c:pt>
                <c:pt idx="137">
                  <c:v>12.115500000000001</c:v>
                </c:pt>
                <c:pt idx="138">
                  <c:v>12.0755</c:v>
                </c:pt>
                <c:pt idx="139">
                  <c:v>12.084</c:v>
                </c:pt>
                <c:pt idx="140">
                  <c:v>12.0815</c:v>
                </c:pt>
                <c:pt idx="141">
                  <c:v>12.170500000000001</c:v>
                </c:pt>
                <c:pt idx="142">
                  <c:v>12.1365</c:v>
                </c:pt>
                <c:pt idx="143">
                  <c:v>12.188500000000001</c:v>
                </c:pt>
                <c:pt idx="144">
                  <c:v>12.275500000000001</c:v>
                </c:pt>
                <c:pt idx="145">
                  <c:v>12.617000000000001</c:v>
                </c:pt>
                <c:pt idx="146">
                  <c:v>12.741</c:v>
                </c:pt>
                <c:pt idx="147">
                  <c:v>12.854500000000002</c:v>
                </c:pt>
                <c:pt idx="148">
                  <c:v>12.964</c:v>
                </c:pt>
                <c:pt idx="149">
                  <c:v>12.923999999999999</c:v>
                </c:pt>
                <c:pt idx="150">
                  <c:v>12.8225</c:v>
                </c:pt>
                <c:pt idx="151">
                  <c:v>12.79</c:v>
                </c:pt>
                <c:pt idx="152">
                  <c:v>12.88</c:v>
                </c:pt>
                <c:pt idx="153">
                  <c:v>12.7735</c:v>
                </c:pt>
                <c:pt idx="154">
                  <c:v>12.839</c:v>
                </c:pt>
                <c:pt idx="155">
                  <c:v>12.803000000000001</c:v>
                </c:pt>
                <c:pt idx="156">
                  <c:v>12.76</c:v>
                </c:pt>
                <c:pt idx="157">
                  <c:v>12.811999999999999</c:v>
                </c:pt>
                <c:pt idx="158">
                  <c:v>12.752500000000001</c:v>
                </c:pt>
                <c:pt idx="159">
                  <c:v>12.7575</c:v>
                </c:pt>
                <c:pt idx="160">
                  <c:v>12.7</c:v>
                </c:pt>
                <c:pt idx="161">
                  <c:v>12.701000000000001</c:v>
                </c:pt>
                <c:pt idx="162">
                  <c:v>12.704499999999999</c:v>
                </c:pt>
                <c:pt idx="163">
                  <c:v>12.693999999999999</c:v>
                </c:pt>
                <c:pt idx="164">
                  <c:v>12.6655</c:v>
                </c:pt>
                <c:pt idx="165">
                  <c:v>12.649000000000001</c:v>
                </c:pt>
                <c:pt idx="166">
                  <c:v>12.615500000000001</c:v>
                </c:pt>
                <c:pt idx="167">
                  <c:v>12.570499999999999</c:v>
                </c:pt>
                <c:pt idx="168">
                  <c:v>12.625</c:v>
                </c:pt>
                <c:pt idx="169">
                  <c:v>12.5535</c:v>
                </c:pt>
                <c:pt idx="170">
                  <c:v>12.568999999999999</c:v>
                </c:pt>
                <c:pt idx="171">
                  <c:v>12.561500000000001</c:v>
                </c:pt>
                <c:pt idx="172">
                  <c:v>12.54</c:v>
                </c:pt>
                <c:pt idx="173">
                  <c:v>12.5625</c:v>
                </c:pt>
                <c:pt idx="174">
                  <c:v>12.5465</c:v>
                </c:pt>
                <c:pt idx="175">
                  <c:v>12.622999999999999</c:v>
                </c:pt>
                <c:pt idx="176">
                  <c:v>12.576499999999999</c:v>
                </c:pt>
                <c:pt idx="177">
                  <c:v>12.542999999999999</c:v>
                </c:pt>
                <c:pt idx="178">
                  <c:v>12.584</c:v>
                </c:pt>
                <c:pt idx="179">
                  <c:v>12.5305</c:v>
                </c:pt>
                <c:pt idx="180">
                  <c:v>12.512</c:v>
                </c:pt>
                <c:pt idx="181">
                  <c:v>12.456</c:v>
                </c:pt>
                <c:pt idx="182">
                  <c:v>12.45</c:v>
                </c:pt>
                <c:pt idx="183">
                  <c:v>12.4415</c:v>
                </c:pt>
                <c:pt idx="184">
                  <c:v>12.4275</c:v>
                </c:pt>
                <c:pt idx="185">
                  <c:v>12.4245</c:v>
                </c:pt>
                <c:pt idx="186">
                  <c:v>12.3855</c:v>
                </c:pt>
                <c:pt idx="187">
                  <c:v>12.409000000000001</c:v>
                </c:pt>
                <c:pt idx="188">
                  <c:v>12.36</c:v>
                </c:pt>
                <c:pt idx="189">
                  <c:v>12.435</c:v>
                </c:pt>
                <c:pt idx="190">
                  <c:v>12.349499999999999</c:v>
                </c:pt>
                <c:pt idx="191">
                  <c:v>12.327500000000001</c:v>
                </c:pt>
                <c:pt idx="192">
                  <c:v>12.372</c:v>
                </c:pt>
                <c:pt idx="193">
                  <c:v>12.339500000000001</c:v>
                </c:pt>
                <c:pt idx="194">
                  <c:v>12.355</c:v>
                </c:pt>
                <c:pt idx="195">
                  <c:v>12.318</c:v>
                </c:pt>
                <c:pt idx="196">
                  <c:v>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25-4D1D-BE16-2D38CBE04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134600"/>
        <c:axId val="836134928"/>
      </c:scatterChart>
      <c:scatterChart>
        <c:scatterStyle val="lineMarker"/>
        <c:varyColors val="0"/>
        <c:ser>
          <c:idx val="1"/>
          <c:order val="1"/>
          <c:tx>
            <c:strRef>
              <c:f>Feuil5!$G$3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Feuil5!$E$4:$E$202</c:f>
              <c:numCache>
                <c:formatCode>General</c:formatCode>
                <c:ptCount val="199"/>
                <c:pt idx="0">
                  <c:v>8341</c:v>
                </c:pt>
                <c:pt idx="1">
                  <c:v>8342.5</c:v>
                </c:pt>
                <c:pt idx="2">
                  <c:v>8343.25</c:v>
                </c:pt>
                <c:pt idx="3">
                  <c:v>8343.5</c:v>
                </c:pt>
                <c:pt idx="4">
                  <c:v>8344.25</c:v>
                </c:pt>
                <c:pt idx="5">
                  <c:v>8344.5</c:v>
                </c:pt>
                <c:pt idx="6">
                  <c:v>8345.25</c:v>
                </c:pt>
                <c:pt idx="7">
                  <c:v>8345.5</c:v>
                </c:pt>
                <c:pt idx="8">
                  <c:v>8345.75</c:v>
                </c:pt>
                <c:pt idx="9">
                  <c:v>8346.5</c:v>
                </c:pt>
                <c:pt idx="10">
                  <c:v>8346.75</c:v>
                </c:pt>
                <c:pt idx="11">
                  <c:v>8347.25</c:v>
                </c:pt>
                <c:pt idx="12">
                  <c:v>8349.5</c:v>
                </c:pt>
                <c:pt idx="13">
                  <c:v>8350.5</c:v>
                </c:pt>
                <c:pt idx="14">
                  <c:v>8351.5</c:v>
                </c:pt>
                <c:pt idx="15">
                  <c:v>8352.25</c:v>
                </c:pt>
                <c:pt idx="16">
                  <c:v>8353.25</c:v>
                </c:pt>
                <c:pt idx="17">
                  <c:v>8354.5</c:v>
                </c:pt>
                <c:pt idx="18">
                  <c:v>8355.5</c:v>
                </c:pt>
                <c:pt idx="19">
                  <c:v>8355.75</c:v>
                </c:pt>
                <c:pt idx="20">
                  <c:v>8356.5</c:v>
                </c:pt>
                <c:pt idx="21">
                  <c:v>8357.25</c:v>
                </c:pt>
                <c:pt idx="22">
                  <c:v>8357.5</c:v>
                </c:pt>
                <c:pt idx="23">
                  <c:v>8358.25</c:v>
                </c:pt>
                <c:pt idx="24">
                  <c:v>8359.25</c:v>
                </c:pt>
                <c:pt idx="25">
                  <c:v>8360.25</c:v>
                </c:pt>
                <c:pt idx="26">
                  <c:v>8361.25</c:v>
                </c:pt>
                <c:pt idx="27">
                  <c:v>8362.25</c:v>
                </c:pt>
                <c:pt idx="28">
                  <c:v>8363.5</c:v>
                </c:pt>
                <c:pt idx="29">
                  <c:v>8364.25</c:v>
                </c:pt>
                <c:pt idx="30">
                  <c:v>8365.25</c:v>
                </c:pt>
                <c:pt idx="31">
                  <c:v>8366.25</c:v>
                </c:pt>
                <c:pt idx="32">
                  <c:v>8367.25</c:v>
                </c:pt>
                <c:pt idx="33">
                  <c:v>8367.5</c:v>
                </c:pt>
                <c:pt idx="34">
                  <c:v>8368.25</c:v>
                </c:pt>
                <c:pt idx="35">
                  <c:v>8368.5</c:v>
                </c:pt>
                <c:pt idx="36">
                  <c:v>8369.25</c:v>
                </c:pt>
                <c:pt idx="37">
                  <c:v>8370.25</c:v>
                </c:pt>
                <c:pt idx="38">
                  <c:v>8370.5</c:v>
                </c:pt>
                <c:pt idx="39">
                  <c:v>8371.25</c:v>
                </c:pt>
                <c:pt idx="40">
                  <c:v>8372.25</c:v>
                </c:pt>
                <c:pt idx="41">
                  <c:v>8373.25</c:v>
                </c:pt>
                <c:pt idx="42">
                  <c:v>8374.25</c:v>
                </c:pt>
                <c:pt idx="43">
                  <c:v>8375.25</c:v>
                </c:pt>
                <c:pt idx="44">
                  <c:v>8376.25</c:v>
                </c:pt>
                <c:pt idx="45">
                  <c:v>8378.25</c:v>
                </c:pt>
                <c:pt idx="46">
                  <c:v>8379.25</c:v>
                </c:pt>
                <c:pt idx="47">
                  <c:v>8380.5</c:v>
                </c:pt>
                <c:pt idx="48">
                  <c:v>8381.25</c:v>
                </c:pt>
                <c:pt idx="49">
                  <c:v>8382.25</c:v>
                </c:pt>
                <c:pt idx="50">
                  <c:v>8383.25</c:v>
                </c:pt>
                <c:pt idx="51">
                  <c:v>8384.25</c:v>
                </c:pt>
                <c:pt idx="52">
                  <c:v>8385.25</c:v>
                </c:pt>
                <c:pt idx="53">
                  <c:v>8386.25</c:v>
                </c:pt>
                <c:pt idx="54">
                  <c:v>8386.5</c:v>
                </c:pt>
                <c:pt idx="55">
                  <c:v>8387.5</c:v>
                </c:pt>
                <c:pt idx="56">
                  <c:v>8388.25</c:v>
                </c:pt>
                <c:pt idx="57">
                  <c:v>8388.5</c:v>
                </c:pt>
                <c:pt idx="58">
                  <c:v>8389.25</c:v>
                </c:pt>
                <c:pt idx="59">
                  <c:v>8389.5</c:v>
                </c:pt>
                <c:pt idx="60">
                  <c:v>8390.25</c:v>
                </c:pt>
                <c:pt idx="61">
                  <c:v>8390.5</c:v>
                </c:pt>
                <c:pt idx="62">
                  <c:v>8392.5</c:v>
                </c:pt>
                <c:pt idx="63">
                  <c:v>8393.5</c:v>
                </c:pt>
                <c:pt idx="64">
                  <c:v>8394.25</c:v>
                </c:pt>
                <c:pt idx="65">
                  <c:v>8394.5</c:v>
                </c:pt>
                <c:pt idx="66">
                  <c:v>8395.25</c:v>
                </c:pt>
                <c:pt idx="67">
                  <c:v>8395.5</c:v>
                </c:pt>
                <c:pt idx="68">
                  <c:v>8396.25</c:v>
                </c:pt>
                <c:pt idx="69">
                  <c:v>8396.5</c:v>
                </c:pt>
                <c:pt idx="70">
                  <c:v>8397.5</c:v>
                </c:pt>
                <c:pt idx="71">
                  <c:v>8398.25</c:v>
                </c:pt>
                <c:pt idx="72">
                  <c:v>8400.5</c:v>
                </c:pt>
                <c:pt idx="73">
                  <c:v>8401.25</c:v>
                </c:pt>
                <c:pt idx="74">
                  <c:v>8401.5</c:v>
                </c:pt>
                <c:pt idx="75">
                  <c:v>8402.25</c:v>
                </c:pt>
                <c:pt idx="76">
                  <c:v>8402.5</c:v>
                </c:pt>
                <c:pt idx="77">
                  <c:v>8403.5</c:v>
                </c:pt>
                <c:pt idx="78">
                  <c:v>8404.25</c:v>
                </c:pt>
                <c:pt idx="79">
                  <c:v>8404.5</c:v>
                </c:pt>
                <c:pt idx="80">
                  <c:v>8405.5</c:v>
                </c:pt>
                <c:pt idx="81">
                  <c:v>8406.25</c:v>
                </c:pt>
                <c:pt idx="82">
                  <c:v>8406.5</c:v>
                </c:pt>
                <c:pt idx="83">
                  <c:v>8407.25</c:v>
                </c:pt>
                <c:pt idx="84">
                  <c:v>8407.5</c:v>
                </c:pt>
                <c:pt idx="85">
                  <c:v>8408.5</c:v>
                </c:pt>
                <c:pt idx="86">
                  <c:v>8409.25</c:v>
                </c:pt>
                <c:pt idx="87">
                  <c:v>8409.5</c:v>
                </c:pt>
                <c:pt idx="88">
                  <c:v>8410.5</c:v>
                </c:pt>
                <c:pt idx="89">
                  <c:v>8411.25</c:v>
                </c:pt>
                <c:pt idx="90">
                  <c:v>8411.5</c:v>
                </c:pt>
                <c:pt idx="91">
                  <c:v>8413.5</c:v>
                </c:pt>
                <c:pt idx="92">
                  <c:v>8414.5</c:v>
                </c:pt>
                <c:pt idx="93">
                  <c:v>8415</c:v>
                </c:pt>
                <c:pt idx="94">
                  <c:v>8415.5</c:v>
                </c:pt>
                <c:pt idx="95">
                  <c:v>8416.5</c:v>
                </c:pt>
                <c:pt idx="96">
                  <c:v>8417.5</c:v>
                </c:pt>
                <c:pt idx="97">
                  <c:v>8418.5</c:v>
                </c:pt>
                <c:pt idx="98">
                  <c:v>8419.5</c:v>
                </c:pt>
                <c:pt idx="99">
                  <c:v>8420</c:v>
                </c:pt>
                <c:pt idx="100">
                  <c:v>8420.5</c:v>
                </c:pt>
                <c:pt idx="101">
                  <c:v>8421.5</c:v>
                </c:pt>
                <c:pt idx="102">
                  <c:v>8422.5</c:v>
                </c:pt>
                <c:pt idx="103">
                  <c:v>8423</c:v>
                </c:pt>
                <c:pt idx="104">
                  <c:v>8423.5</c:v>
                </c:pt>
                <c:pt idx="105">
                  <c:v>8424.5</c:v>
                </c:pt>
                <c:pt idx="106">
                  <c:v>8425.25</c:v>
                </c:pt>
                <c:pt idx="107">
                  <c:v>8425.5</c:v>
                </c:pt>
                <c:pt idx="108">
                  <c:v>8427.5</c:v>
                </c:pt>
                <c:pt idx="109">
                  <c:v>8428.25</c:v>
                </c:pt>
                <c:pt idx="110">
                  <c:v>8428.5</c:v>
                </c:pt>
                <c:pt idx="111">
                  <c:v>8429.5</c:v>
                </c:pt>
                <c:pt idx="112">
                  <c:v>8430.5</c:v>
                </c:pt>
                <c:pt idx="113">
                  <c:v>8431</c:v>
                </c:pt>
                <c:pt idx="114">
                  <c:v>8431.5</c:v>
                </c:pt>
                <c:pt idx="115">
                  <c:v>8432.5</c:v>
                </c:pt>
                <c:pt idx="116">
                  <c:v>8433</c:v>
                </c:pt>
                <c:pt idx="117">
                  <c:v>8433.5</c:v>
                </c:pt>
                <c:pt idx="118">
                  <c:v>8434.5</c:v>
                </c:pt>
                <c:pt idx="119">
                  <c:v>8435.5</c:v>
                </c:pt>
                <c:pt idx="120">
                  <c:v>8436.5</c:v>
                </c:pt>
                <c:pt idx="121">
                  <c:v>8437.25</c:v>
                </c:pt>
                <c:pt idx="122">
                  <c:v>8438.5</c:v>
                </c:pt>
                <c:pt idx="123">
                  <c:v>8439</c:v>
                </c:pt>
                <c:pt idx="124">
                  <c:v>8439.5</c:v>
                </c:pt>
                <c:pt idx="125">
                  <c:v>8440.25</c:v>
                </c:pt>
                <c:pt idx="126">
                  <c:v>8440.5</c:v>
                </c:pt>
                <c:pt idx="127">
                  <c:v>8441.5</c:v>
                </c:pt>
                <c:pt idx="128">
                  <c:v>8442.5</c:v>
                </c:pt>
                <c:pt idx="129">
                  <c:v>8443.5</c:v>
                </c:pt>
                <c:pt idx="130">
                  <c:v>8444.5</c:v>
                </c:pt>
                <c:pt idx="131">
                  <c:v>8445.5</c:v>
                </c:pt>
                <c:pt idx="132">
                  <c:v>8446.5</c:v>
                </c:pt>
                <c:pt idx="133">
                  <c:v>8447.5</c:v>
                </c:pt>
                <c:pt idx="134">
                  <c:v>8448.5</c:v>
                </c:pt>
                <c:pt idx="135">
                  <c:v>8449.5</c:v>
                </c:pt>
                <c:pt idx="136">
                  <c:v>8450.5</c:v>
                </c:pt>
                <c:pt idx="137">
                  <c:v>8451.5</c:v>
                </c:pt>
                <c:pt idx="138">
                  <c:v>8453</c:v>
                </c:pt>
                <c:pt idx="139">
                  <c:v>8462</c:v>
                </c:pt>
                <c:pt idx="140">
                  <c:v>8464.25</c:v>
                </c:pt>
                <c:pt idx="141">
                  <c:v>8478.25</c:v>
                </c:pt>
                <c:pt idx="142">
                  <c:v>8479</c:v>
                </c:pt>
                <c:pt idx="143">
                  <c:v>8487</c:v>
                </c:pt>
                <c:pt idx="144">
                  <c:v>8503</c:v>
                </c:pt>
                <c:pt idx="145">
                  <c:v>8577.5</c:v>
                </c:pt>
                <c:pt idx="146">
                  <c:v>8597.5</c:v>
                </c:pt>
                <c:pt idx="147">
                  <c:v>8643.25</c:v>
                </c:pt>
                <c:pt idx="148">
                  <c:v>8649.75</c:v>
                </c:pt>
                <c:pt idx="149">
                  <c:v>8654.5</c:v>
                </c:pt>
                <c:pt idx="150">
                  <c:v>8663.25</c:v>
                </c:pt>
                <c:pt idx="151">
                  <c:v>8664.25</c:v>
                </c:pt>
                <c:pt idx="152">
                  <c:v>8665.75</c:v>
                </c:pt>
                <c:pt idx="153">
                  <c:v>8672.25</c:v>
                </c:pt>
                <c:pt idx="154">
                  <c:v>8677.5</c:v>
                </c:pt>
                <c:pt idx="155">
                  <c:v>8681.25</c:v>
                </c:pt>
                <c:pt idx="156">
                  <c:v>8685.25</c:v>
                </c:pt>
                <c:pt idx="157">
                  <c:v>8685.5</c:v>
                </c:pt>
                <c:pt idx="158">
                  <c:v>8687.25</c:v>
                </c:pt>
                <c:pt idx="159">
                  <c:v>8688.25</c:v>
                </c:pt>
                <c:pt idx="160">
                  <c:v>8690.5</c:v>
                </c:pt>
                <c:pt idx="161">
                  <c:v>8693.25</c:v>
                </c:pt>
                <c:pt idx="162">
                  <c:v>8694.25</c:v>
                </c:pt>
                <c:pt idx="163">
                  <c:v>8697.25</c:v>
                </c:pt>
                <c:pt idx="164">
                  <c:v>8698.25</c:v>
                </c:pt>
                <c:pt idx="165">
                  <c:v>8699.25</c:v>
                </c:pt>
                <c:pt idx="166">
                  <c:v>8703.25</c:v>
                </c:pt>
                <c:pt idx="167">
                  <c:v>8706.25</c:v>
                </c:pt>
                <c:pt idx="168">
                  <c:v>8707.5</c:v>
                </c:pt>
                <c:pt idx="169">
                  <c:v>8708.25</c:v>
                </c:pt>
                <c:pt idx="170">
                  <c:v>8714.25</c:v>
                </c:pt>
                <c:pt idx="171">
                  <c:v>8715.25</c:v>
                </c:pt>
                <c:pt idx="172">
                  <c:v>8716.25</c:v>
                </c:pt>
                <c:pt idx="173">
                  <c:v>8717.25</c:v>
                </c:pt>
                <c:pt idx="174">
                  <c:v>8720.25</c:v>
                </c:pt>
                <c:pt idx="175">
                  <c:v>8721.5</c:v>
                </c:pt>
                <c:pt idx="176">
                  <c:v>8722.25</c:v>
                </c:pt>
                <c:pt idx="177">
                  <c:v>8726.25</c:v>
                </c:pt>
                <c:pt idx="178">
                  <c:v>8727.75</c:v>
                </c:pt>
                <c:pt idx="179">
                  <c:v>8728.25</c:v>
                </c:pt>
                <c:pt idx="180">
                  <c:v>8731.25</c:v>
                </c:pt>
                <c:pt idx="181">
                  <c:v>8739.5</c:v>
                </c:pt>
                <c:pt idx="182">
                  <c:v>8739.75</c:v>
                </c:pt>
                <c:pt idx="183">
                  <c:v>8740.25</c:v>
                </c:pt>
                <c:pt idx="184">
                  <c:v>8744.25</c:v>
                </c:pt>
                <c:pt idx="185">
                  <c:v>8745.25</c:v>
                </c:pt>
                <c:pt idx="186">
                  <c:v>8747.25</c:v>
                </c:pt>
                <c:pt idx="187">
                  <c:v>8747.5</c:v>
                </c:pt>
                <c:pt idx="188">
                  <c:v>8748.25</c:v>
                </c:pt>
                <c:pt idx="189">
                  <c:v>8753.5</c:v>
                </c:pt>
                <c:pt idx="190">
                  <c:v>8759.25</c:v>
                </c:pt>
                <c:pt idx="191">
                  <c:v>8761.25</c:v>
                </c:pt>
                <c:pt idx="192">
                  <c:v>8762.5</c:v>
                </c:pt>
                <c:pt idx="193">
                  <c:v>8765.25</c:v>
                </c:pt>
                <c:pt idx="194">
                  <c:v>8768.5</c:v>
                </c:pt>
                <c:pt idx="195">
                  <c:v>8773.5</c:v>
                </c:pt>
                <c:pt idx="196">
                  <c:v>8780.5</c:v>
                </c:pt>
              </c:numCache>
            </c:numRef>
          </c:xVal>
          <c:yVal>
            <c:numRef>
              <c:f>Feuil5!$G$4:$G$202</c:f>
              <c:numCache>
                <c:formatCode>General</c:formatCode>
                <c:ptCount val="199"/>
                <c:pt idx="1">
                  <c:v>3.2510247336204355E-2</c:v>
                </c:pt>
                <c:pt idx="3">
                  <c:v>4.1416478596701431E-2</c:v>
                </c:pt>
                <c:pt idx="4">
                  <c:v>4.5340821936020605E-2</c:v>
                </c:pt>
                <c:pt idx="6">
                  <c:v>2.3854075957568239E-2</c:v>
                </c:pt>
                <c:pt idx="7">
                  <c:v>1.9542819036330917E-2</c:v>
                </c:pt>
                <c:pt idx="8">
                  <c:v>1.152051310748662E-2</c:v>
                </c:pt>
                <c:pt idx="9">
                  <c:v>7.8257681434758929E-3</c:v>
                </c:pt>
                <c:pt idx="10">
                  <c:v>2.0809653209026203E-2</c:v>
                </c:pt>
                <c:pt idx="11">
                  <c:v>0.10040916292840424</c:v>
                </c:pt>
                <c:pt idx="12">
                  <c:v>2.1213203475807943E-3</c:v>
                </c:pt>
                <c:pt idx="13">
                  <c:v>8.4852813735755237E-3</c:v>
                </c:pt>
                <c:pt idx="14">
                  <c:v>1.9091883092498822E-2</c:v>
                </c:pt>
                <c:pt idx="15">
                  <c:v>4.9497474677994294E-3</c:v>
                </c:pt>
                <c:pt idx="17">
                  <c:v>1.3435028844623746E-2</c:v>
                </c:pt>
                <c:pt idx="18">
                  <c:v>2.0506096654164654E-2</c:v>
                </c:pt>
                <c:pt idx="20">
                  <c:v>7.0710678149974206E-3</c:v>
                </c:pt>
                <c:pt idx="23">
                  <c:v>2.4041630560729842E-2</c:v>
                </c:pt>
                <c:pt idx="24">
                  <c:v>2.2211108331203242E-2</c:v>
                </c:pt>
                <c:pt idx="25">
                  <c:v>2.1213203475807943E-3</c:v>
                </c:pt>
                <c:pt idx="26">
                  <c:v>2.1213203434943668E-2</c:v>
                </c:pt>
                <c:pt idx="27">
                  <c:v>1.1015141094858245E-2</c:v>
                </c:pt>
                <c:pt idx="28">
                  <c:v>2.1213203408817329E-3</c:v>
                </c:pt>
                <c:pt idx="29">
                  <c:v>1.1107328617539736E-2</c:v>
                </c:pt>
                <c:pt idx="30">
                  <c:v>9.192388153096467E-3</c:v>
                </c:pt>
                <c:pt idx="31">
                  <c:v>3.7072002014066137E-2</c:v>
                </c:pt>
                <c:pt idx="32">
                  <c:v>5.6568542523998799E-3</c:v>
                </c:pt>
                <c:pt idx="33">
                  <c:v>5.1554302952736266E-3</c:v>
                </c:pt>
                <c:pt idx="34">
                  <c:v>1.0606601716466976E-2</c:v>
                </c:pt>
                <c:pt idx="36">
                  <c:v>1.5671098663149016E-2</c:v>
                </c:pt>
                <c:pt idx="38">
                  <c:v>1.4142135706364137E-3</c:v>
                </c:pt>
                <c:pt idx="39">
                  <c:v>1.343502884039276E-2</c:v>
                </c:pt>
                <c:pt idx="40">
                  <c:v>9.192388156188341E-3</c:v>
                </c:pt>
                <c:pt idx="41">
                  <c:v>9.192388159280215E-3</c:v>
                </c:pt>
                <c:pt idx="42">
                  <c:v>4.2426406884625272E-3</c:v>
                </c:pt>
                <c:pt idx="43">
                  <c:v>2.4111546334540216E-2</c:v>
                </c:pt>
                <c:pt idx="44">
                  <c:v>4.2426406817634658E-3</c:v>
                </c:pt>
                <c:pt idx="45">
                  <c:v>7.0710678029391107E-4</c:v>
                </c:pt>
                <c:pt idx="47">
                  <c:v>9.192388156188341E-3</c:v>
                </c:pt>
                <c:pt idx="48">
                  <c:v>2.0816660036649557E-3</c:v>
                </c:pt>
                <c:pt idx="49">
                  <c:v>2.0518284530485133E-2</c:v>
                </c:pt>
                <c:pt idx="50">
                  <c:v>1.7935068070354231E-2</c:v>
                </c:pt>
                <c:pt idx="51">
                  <c:v>4.2426406817634658E-3</c:v>
                </c:pt>
                <c:pt idx="52">
                  <c:v>1.5673757259025423E-2</c:v>
                </c:pt>
                <c:pt idx="53">
                  <c:v>1.4142135806850054E-3</c:v>
                </c:pt>
                <c:pt idx="55">
                  <c:v>7.7781745905410879E-3</c:v>
                </c:pt>
                <c:pt idx="56">
                  <c:v>1.7185265005454673E-2</c:v>
                </c:pt>
                <c:pt idx="57">
                  <c:v>7.0710682048827692E-4</c:v>
                </c:pt>
                <c:pt idx="58">
                  <c:v>1.5011106998914356E-2</c:v>
                </c:pt>
                <c:pt idx="59">
                  <c:v>1.011599393546379E-2</c:v>
                </c:pt>
                <c:pt idx="60">
                  <c:v>1.5716233643746174E-2</c:v>
                </c:pt>
                <c:pt idx="61">
                  <c:v>2.1213203408817329E-3</c:v>
                </c:pt>
                <c:pt idx="62">
                  <c:v>1.2020815281547109E-2</c:v>
                </c:pt>
                <c:pt idx="63">
                  <c:v>4.9497474735414821E-3</c:v>
                </c:pt>
                <c:pt idx="65">
                  <c:v>1.0606601715127163E-2</c:v>
                </c:pt>
                <c:pt idx="67">
                  <c:v>7.5498344351513681E-3</c:v>
                </c:pt>
                <c:pt idx="69">
                  <c:v>2.4748737341293969E-2</c:v>
                </c:pt>
                <c:pt idx="70">
                  <c:v>9.8994949355988588E-3</c:v>
                </c:pt>
                <c:pt idx="72">
                  <c:v>4.2426406884625272E-3</c:v>
                </c:pt>
                <c:pt idx="73">
                  <c:v>4.9497474677994294E-3</c:v>
                </c:pt>
                <c:pt idx="75">
                  <c:v>9.192388156188341E-3</c:v>
                </c:pt>
                <c:pt idx="76">
                  <c:v>7.7781745905410879E-3</c:v>
                </c:pt>
                <c:pt idx="77">
                  <c:v>1.0606601720486412E-2</c:v>
                </c:pt>
                <c:pt idx="78">
                  <c:v>1.2020815279182735E-2</c:v>
                </c:pt>
                <c:pt idx="79">
                  <c:v>5.6568542523998799E-3</c:v>
                </c:pt>
                <c:pt idx="80">
                  <c:v>1.5556349188390243E-2</c:v>
                </c:pt>
                <c:pt idx="81">
                  <c:v>3.5355338934306819E-3</c:v>
                </c:pt>
                <c:pt idx="82">
                  <c:v>2.7577164465473147E-2</c:v>
                </c:pt>
                <c:pt idx="84">
                  <c:v>1.4142135806850054E-3</c:v>
                </c:pt>
                <c:pt idx="85">
                  <c:v>2.8991378028323318E-2</c:v>
                </c:pt>
                <c:pt idx="86">
                  <c:v>8.4852813769250544E-3</c:v>
                </c:pt>
                <c:pt idx="87">
                  <c:v>1.767766952985662E-2</c:v>
                </c:pt>
                <c:pt idx="88">
                  <c:v>2.828427131224236E-3</c:v>
                </c:pt>
                <c:pt idx="89">
                  <c:v>6.3639610315772812E-3</c:v>
                </c:pt>
                <c:pt idx="90">
                  <c:v>1.343502884039276E-2</c:v>
                </c:pt>
                <c:pt idx="91">
                  <c:v>3.0405591591897787E-2</c:v>
                </c:pt>
                <c:pt idx="92">
                  <c:v>4.2426406817634658E-3</c:v>
                </c:pt>
                <c:pt idx="93">
                  <c:v>3.5355339095084286E-3</c:v>
                </c:pt>
                <c:pt idx="94">
                  <c:v>3.5355339014695552E-3</c:v>
                </c:pt>
                <c:pt idx="95">
                  <c:v>3.5355339095084286E-3</c:v>
                </c:pt>
                <c:pt idx="96">
                  <c:v>2.1213203542798553E-3</c:v>
                </c:pt>
                <c:pt idx="97">
                  <c:v>1.6263455967730926E-2</c:v>
                </c:pt>
                <c:pt idx="98">
                  <c:v>7.0710678029391107E-4</c:v>
                </c:pt>
                <c:pt idx="100">
                  <c:v>2.3643180834678833E-2</c:v>
                </c:pt>
                <c:pt idx="101">
                  <c:v>8.4852813769250544E-3</c:v>
                </c:pt>
                <c:pt idx="102">
                  <c:v>7.0710678109779839E-3</c:v>
                </c:pt>
                <c:pt idx="104">
                  <c:v>1.0606601720486412E-2</c:v>
                </c:pt>
                <c:pt idx="105">
                  <c:v>2.828427131224236E-3</c:v>
                </c:pt>
                <c:pt idx="106">
                  <c:v>4.2426406884625272E-3</c:v>
                </c:pt>
                <c:pt idx="107">
                  <c:v>1.0503967506014442E-2</c:v>
                </c:pt>
                <c:pt idx="108">
                  <c:v>2.828427131224236E-3</c:v>
                </c:pt>
                <c:pt idx="109">
                  <c:v>2.8284271412728273E-3</c:v>
                </c:pt>
                <c:pt idx="110">
                  <c:v>1.2020815279182735E-2</c:v>
                </c:pt>
                <c:pt idx="111">
                  <c:v>6.0277137680900374E-3</c:v>
                </c:pt>
                <c:pt idx="112">
                  <c:v>2.8284271211756443E-3</c:v>
                </c:pt>
                <c:pt idx="114">
                  <c:v>4.3840620433975963E-2</c:v>
                </c:pt>
                <c:pt idx="115">
                  <c:v>4.2426406884625272E-3</c:v>
                </c:pt>
                <c:pt idx="116">
                  <c:v>1.4142135605878221E-3</c:v>
                </c:pt>
                <c:pt idx="117">
                  <c:v>1.9091883091754483E-2</c:v>
                </c:pt>
                <c:pt idx="118">
                  <c:v>2.1213203434273763E-2</c:v>
                </c:pt>
                <c:pt idx="119">
                  <c:v>7.0710678149974206E-3</c:v>
                </c:pt>
                <c:pt idx="120">
                  <c:v>9.5393920140447504E-3</c:v>
                </c:pt>
                <c:pt idx="121">
                  <c:v>4.9497474735414821E-3</c:v>
                </c:pt>
                <c:pt idx="122">
                  <c:v>1.555634918473621E-2</c:v>
                </c:pt>
                <c:pt idx="124">
                  <c:v>1.2020815281547109E-2</c:v>
                </c:pt>
                <c:pt idx="125">
                  <c:v>7.0710674009954284E-4</c:v>
                </c:pt>
                <c:pt idx="126">
                  <c:v>5.6568542473755838E-3</c:v>
                </c:pt>
                <c:pt idx="127">
                  <c:v>2.7577164466503774E-2</c:v>
                </c:pt>
                <c:pt idx="128">
                  <c:v>2.829016318873686E-2</c:v>
                </c:pt>
                <c:pt idx="129">
                  <c:v>1.4849242405312307E-2</c:v>
                </c:pt>
                <c:pt idx="130">
                  <c:v>7.0710678109779839E-3</c:v>
                </c:pt>
                <c:pt idx="131">
                  <c:v>1.1313708502287611E-2</c:v>
                </c:pt>
                <c:pt idx="132">
                  <c:v>2.8284271111270521E-3</c:v>
                </c:pt>
                <c:pt idx="133">
                  <c:v>2.0506096654857659E-2</c:v>
                </c:pt>
                <c:pt idx="134">
                  <c:v>2.5455844124076102E-2</c:v>
                </c:pt>
                <c:pt idx="135">
                  <c:v>1.6970562748825812E-2</c:v>
                </c:pt>
                <c:pt idx="136">
                  <c:v>2.5455844122959592E-2</c:v>
                </c:pt>
                <c:pt idx="137">
                  <c:v>9.192388153096467E-3</c:v>
                </c:pt>
                <c:pt idx="138">
                  <c:v>7.0710678029391107E-4</c:v>
                </c:pt>
                <c:pt idx="139">
                  <c:v>2.828427131224236E-3</c:v>
                </c:pt>
                <c:pt idx="140">
                  <c:v>1.6263455965983345E-2</c:v>
                </c:pt>
                <c:pt idx="141">
                  <c:v>1.2020815281547109E-2</c:v>
                </c:pt>
                <c:pt idx="142">
                  <c:v>2.1920310216339684E-2</c:v>
                </c:pt>
                <c:pt idx="143">
                  <c:v>3.1819805153420366E-2</c:v>
                </c:pt>
                <c:pt idx="144">
                  <c:v>0.12798632739486362</c:v>
                </c:pt>
                <c:pt idx="145">
                  <c:v>9.8994949355988588E-3</c:v>
                </c:pt>
                <c:pt idx="146">
                  <c:v>3.1112698372212942E-2</c:v>
                </c:pt>
                <c:pt idx="147">
                  <c:v>4.9497474620573767E-3</c:v>
                </c:pt>
                <c:pt idx="150">
                  <c:v>3.5355339095084286E-3</c:v>
                </c:pt>
                <c:pt idx="153">
                  <c:v>2.474873734244238E-2</c:v>
                </c:pt>
                <c:pt idx="155">
                  <c:v>2.5455844121843083E-2</c:v>
                </c:pt>
                <c:pt idx="156">
                  <c:v>5.6568542473755838E-3</c:v>
                </c:pt>
                <c:pt idx="158">
                  <c:v>1.4849242403398289E-2</c:v>
                </c:pt>
                <c:pt idx="159">
                  <c:v>1.4849242405312307E-2</c:v>
                </c:pt>
                <c:pt idx="161">
                  <c:v>2.1213203435613576E-2</c:v>
                </c:pt>
                <c:pt idx="162">
                  <c:v>1.3435028844623746E-2</c:v>
                </c:pt>
                <c:pt idx="163">
                  <c:v>1.2727922063154562E-2</c:v>
                </c:pt>
                <c:pt idx="164">
                  <c:v>1.2020815281547109E-2</c:v>
                </c:pt>
                <c:pt idx="165">
                  <c:v>7.0710678109779839E-3</c:v>
                </c:pt>
                <c:pt idx="166">
                  <c:v>1.4849242405312307E-2</c:v>
                </c:pt>
                <c:pt idx="167">
                  <c:v>3.5355339095084286E-3</c:v>
                </c:pt>
                <c:pt idx="169">
                  <c:v>3.6062445840700702E-2</c:v>
                </c:pt>
                <c:pt idx="170">
                  <c:v>1.8384776313922619E-2</c:v>
                </c:pt>
                <c:pt idx="171">
                  <c:v>2.1213203408817329E-3</c:v>
                </c:pt>
                <c:pt idx="173">
                  <c:v>2.1213203408817329E-3</c:v>
                </c:pt>
                <c:pt idx="174">
                  <c:v>7.7781745941951216E-3</c:v>
                </c:pt>
                <c:pt idx="176">
                  <c:v>1.3435028846739239E-2</c:v>
                </c:pt>
                <c:pt idx="177">
                  <c:v>1.697056275050058E-2</c:v>
                </c:pt>
                <c:pt idx="179">
                  <c:v>7.0710678029391107E-4</c:v>
                </c:pt>
                <c:pt idx="180">
                  <c:v>7.0710678069585472E-3</c:v>
                </c:pt>
                <c:pt idx="183">
                  <c:v>1.2020815279182735E-2</c:v>
                </c:pt>
                <c:pt idx="184">
                  <c:v>6.3639610315772812E-3</c:v>
                </c:pt>
                <c:pt idx="185">
                  <c:v>4.9497474735414821E-3</c:v>
                </c:pt>
                <c:pt idx="186">
                  <c:v>3.7476659403355497E-2</c:v>
                </c:pt>
                <c:pt idx="190">
                  <c:v>1.0606601720486412E-2</c:v>
                </c:pt>
                <c:pt idx="191">
                  <c:v>1.4849242403398289E-2</c:v>
                </c:pt>
                <c:pt idx="193">
                  <c:v>9.192388153096467E-3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25-4D1D-BE16-2D38CBE04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759344"/>
        <c:axId val="668759016"/>
      </c:scatterChart>
      <c:valAx>
        <c:axId val="836134600"/>
        <c:scaling>
          <c:orientation val="minMax"/>
          <c:max val="8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6134928"/>
        <c:crosses val="max"/>
        <c:crossBetween val="midCat"/>
      </c:valAx>
      <c:valAx>
        <c:axId val="836134928"/>
        <c:scaling>
          <c:orientation val="maxMin"/>
          <c:min val="1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6134600"/>
        <c:crosses val="autoZero"/>
        <c:crossBetween val="midCat"/>
      </c:valAx>
      <c:valAx>
        <c:axId val="668759016"/>
        <c:scaling>
          <c:orientation val="minMax"/>
          <c:max val="0.2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8759344"/>
        <c:crosses val="max"/>
        <c:crossBetween val="midCat"/>
      </c:valAx>
      <c:valAx>
        <c:axId val="668759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8759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BV!$A$1:$A$380</c:f>
              <c:numCache>
                <c:formatCode>0.00</c:formatCode>
                <c:ptCount val="380"/>
                <c:pt idx="0">
                  <c:v>8341</c:v>
                </c:pt>
                <c:pt idx="1">
                  <c:v>8343.5</c:v>
                </c:pt>
                <c:pt idx="2">
                  <c:v>8344.5</c:v>
                </c:pt>
                <c:pt idx="3">
                  <c:v>8345.25</c:v>
                </c:pt>
                <c:pt idx="4">
                  <c:v>8345.5</c:v>
                </c:pt>
                <c:pt idx="5">
                  <c:v>8345.75</c:v>
                </c:pt>
                <c:pt idx="6">
                  <c:v>8346.5</c:v>
                </c:pt>
                <c:pt idx="7">
                  <c:v>8346.75</c:v>
                </c:pt>
                <c:pt idx="8">
                  <c:v>8347.25</c:v>
                </c:pt>
                <c:pt idx="9">
                  <c:v>8353.25</c:v>
                </c:pt>
                <c:pt idx="10">
                  <c:v>8355.75</c:v>
                </c:pt>
                <c:pt idx="11">
                  <c:v>8359.25</c:v>
                </c:pt>
                <c:pt idx="12">
                  <c:v>8362.25</c:v>
                </c:pt>
                <c:pt idx="13">
                  <c:v>8364.25</c:v>
                </c:pt>
                <c:pt idx="14">
                  <c:v>8367.5</c:v>
                </c:pt>
                <c:pt idx="15">
                  <c:v>8368.5</c:v>
                </c:pt>
                <c:pt idx="16">
                  <c:v>8369.25</c:v>
                </c:pt>
                <c:pt idx="17">
                  <c:v>8370.25</c:v>
                </c:pt>
                <c:pt idx="18">
                  <c:v>8375.25</c:v>
                </c:pt>
                <c:pt idx="19">
                  <c:v>8376.25</c:v>
                </c:pt>
                <c:pt idx="20">
                  <c:v>8378.25</c:v>
                </c:pt>
                <c:pt idx="21">
                  <c:v>8383.25</c:v>
                </c:pt>
                <c:pt idx="22">
                  <c:v>8386.25</c:v>
                </c:pt>
                <c:pt idx="23">
                  <c:v>8388.25</c:v>
                </c:pt>
                <c:pt idx="24">
                  <c:v>8389.25</c:v>
                </c:pt>
                <c:pt idx="25">
                  <c:v>8389.5</c:v>
                </c:pt>
                <c:pt idx="26">
                  <c:v>8390.25</c:v>
                </c:pt>
                <c:pt idx="27">
                  <c:v>8395.5</c:v>
                </c:pt>
                <c:pt idx="28">
                  <c:v>8401.25</c:v>
                </c:pt>
                <c:pt idx="29">
                  <c:v>8402.25</c:v>
                </c:pt>
                <c:pt idx="30">
                  <c:v>8404.25</c:v>
                </c:pt>
                <c:pt idx="31">
                  <c:v>8406.25</c:v>
                </c:pt>
                <c:pt idx="32">
                  <c:v>8407.25</c:v>
                </c:pt>
                <c:pt idx="33">
                  <c:v>8409.25</c:v>
                </c:pt>
                <c:pt idx="34">
                  <c:v>8411.25</c:v>
                </c:pt>
                <c:pt idx="35">
                  <c:v>8415</c:v>
                </c:pt>
                <c:pt idx="36">
                  <c:v>8420</c:v>
                </c:pt>
                <c:pt idx="37">
                  <c:v>8420.5</c:v>
                </c:pt>
                <c:pt idx="38">
                  <c:v>8423</c:v>
                </c:pt>
                <c:pt idx="39">
                  <c:v>8425.25</c:v>
                </c:pt>
                <c:pt idx="40">
                  <c:v>8425.5</c:v>
                </c:pt>
                <c:pt idx="41">
                  <c:v>8428.25</c:v>
                </c:pt>
                <c:pt idx="42">
                  <c:v>8429.5</c:v>
                </c:pt>
                <c:pt idx="43">
                  <c:v>8431</c:v>
                </c:pt>
                <c:pt idx="44">
                  <c:v>8433</c:v>
                </c:pt>
                <c:pt idx="45">
                  <c:v>8436.5</c:v>
                </c:pt>
                <c:pt idx="46">
                  <c:v>8437.25</c:v>
                </c:pt>
                <c:pt idx="47">
                  <c:v>8439</c:v>
                </c:pt>
                <c:pt idx="48">
                  <c:v>8440.25</c:v>
                </c:pt>
                <c:pt idx="49">
                  <c:v>8442.5</c:v>
                </c:pt>
                <c:pt idx="50">
                  <c:v>8453</c:v>
                </c:pt>
                <c:pt idx="51">
                  <c:v>8462</c:v>
                </c:pt>
                <c:pt idx="52">
                  <c:v>8464.25</c:v>
                </c:pt>
                <c:pt idx="53">
                  <c:v>8478.25</c:v>
                </c:pt>
                <c:pt idx="54">
                  <c:v>8479</c:v>
                </c:pt>
                <c:pt idx="55">
                  <c:v>8487</c:v>
                </c:pt>
                <c:pt idx="56">
                  <c:v>8577.5</c:v>
                </c:pt>
                <c:pt idx="57">
                  <c:v>8597.5</c:v>
                </c:pt>
                <c:pt idx="58">
                  <c:v>8643.25</c:v>
                </c:pt>
                <c:pt idx="59">
                  <c:v>8649.75</c:v>
                </c:pt>
                <c:pt idx="60">
                  <c:v>8654.5</c:v>
                </c:pt>
                <c:pt idx="61">
                  <c:v>8663.25</c:v>
                </c:pt>
                <c:pt idx="62">
                  <c:v>8664.25</c:v>
                </c:pt>
                <c:pt idx="63">
                  <c:v>8665.75</c:v>
                </c:pt>
                <c:pt idx="64">
                  <c:v>8672.25</c:v>
                </c:pt>
                <c:pt idx="65">
                  <c:v>8677.5</c:v>
                </c:pt>
                <c:pt idx="66">
                  <c:v>8681.25</c:v>
                </c:pt>
                <c:pt idx="67">
                  <c:v>8685.25</c:v>
                </c:pt>
                <c:pt idx="68">
                  <c:v>8685.5</c:v>
                </c:pt>
                <c:pt idx="69">
                  <c:v>8687.25</c:v>
                </c:pt>
                <c:pt idx="70">
                  <c:v>8688.25</c:v>
                </c:pt>
                <c:pt idx="71">
                  <c:v>8690.5</c:v>
                </c:pt>
                <c:pt idx="72">
                  <c:v>8693.25</c:v>
                </c:pt>
                <c:pt idx="73">
                  <c:v>8694.25</c:v>
                </c:pt>
                <c:pt idx="74">
                  <c:v>8697.25</c:v>
                </c:pt>
                <c:pt idx="75">
                  <c:v>8698.25</c:v>
                </c:pt>
                <c:pt idx="76">
                  <c:v>8699.25</c:v>
                </c:pt>
                <c:pt idx="77">
                  <c:v>8703.25</c:v>
                </c:pt>
                <c:pt idx="78">
                  <c:v>8706.25</c:v>
                </c:pt>
                <c:pt idx="79">
                  <c:v>8707.5</c:v>
                </c:pt>
                <c:pt idx="80">
                  <c:v>8708.25</c:v>
                </c:pt>
                <c:pt idx="81">
                  <c:v>8714.25</c:v>
                </c:pt>
                <c:pt idx="82">
                  <c:v>8715.25</c:v>
                </c:pt>
                <c:pt idx="83">
                  <c:v>8716.25</c:v>
                </c:pt>
                <c:pt idx="84">
                  <c:v>8717.25</c:v>
                </c:pt>
                <c:pt idx="85">
                  <c:v>8720.25</c:v>
                </c:pt>
                <c:pt idx="86">
                  <c:v>8721.5</c:v>
                </c:pt>
                <c:pt idx="87">
                  <c:v>8722.25</c:v>
                </c:pt>
                <c:pt idx="88">
                  <c:v>8726.25</c:v>
                </c:pt>
                <c:pt idx="89">
                  <c:v>8727.75</c:v>
                </c:pt>
                <c:pt idx="90">
                  <c:v>8728.25</c:v>
                </c:pt>
                <c:pt idx="91">
                  <c:v>8731.25</c:v>
                </c:pt>
                <c:pt idx="92">
                  <c:v>8739.5</c:v>
                </c:pt>
                <c:pt idx="93">
                  <c:v>8739.75</c:v>
                </c:pt>
                <c:pt idx="94">
                  <c:v>8740.25</c:v>
                </c:pt>
                <c:pt idx="95">
                  <c:v>8744.25</c:v>
                </c:pt>
                <c:pt idx="96">
                  <c:v>8745.25</c:v>
                </c:pt>
                <c:pt idx="97">
                  <c:v>8747.25</c:v>
                </c:pt>
                <c:pt idx="98">
                  <c:v>8747.5</c:v>
                </c:pt>
                <c:pt idx="99">
                  <c:v>8748.25</c:v>
                </c:pt>
                <c:pt idx="100">
                  <c:v>8759.25</c:v>
                </c:pt>
                <c:pt idx="101">
                  <c:v>8761.25</c:v>
                </c:pt>
                <c:pt idx="102">
                  <c:v>8762.5</c:v>
                </c:pt>
                <c:pt idx="103">
                  <c:v>8765.25</c:v>
                </c:pt>
                <c:pt idx="104">
                  <c:v>8768.5</c:v>
                </c:pt>
                <c:pt idx="105">
                  <c:v>8773.5</c:v>
                </c:pt>
                <c:pt idx="106">
                  <c:v>8780.5</c:v>
                </c:pt>
              </c:numCache>
            </c:numRef>
          </c:xVal>
          <c:yVal>
            <c:numRef>
              <c:f>BV!$B$1:$B$380</c:f>
              <c:numCache>
                <c:formatCode>0.00</c:formatCode>
                <c:ptCount val="380"/>
                <c:pt idx="0">
                  <c:v>0.58000000000000007</c:v>
                </c:pt>
                <c:pt idx="1">
                  <c:v>0.50845531914893627</c:v>
                </c:pt>
                <c:pt idx="2">
                  <c:v>0.62400000000000055</c:v>
                </c:pt>
                <c:pt idx="3">
                  <c:v>0.6419222633527184</c:v>
                </c:pt>
                <c:pt idx="4">
                  <c:v>0.61966783216783305</c:v>
                </c:pt>
                <c:pt idx="5">
                  <c:v>0.64521794871794924</c:v>
                </c:pt>
                <c:pt idx="6">
                  <c:v>0.62782352941176356</c:v>
                </c:pt>
                <c:pt idx="7">
                  <c:v>0.64740036231883913</c:v>
                </c:pt>
                <c:pt idx="8">
                  <c:v>0.58399999999999963</c:v>
                </c:pt>
                <c:pt idx="9">
                  <c:v>0.64900000000000091</c:v>
                </c:pt>
                <c:pt idx="10">
                  <c:v>0.67500000000000071</c:v>
                </c:pt>
                <c:pt idx="11">
                  <c:v>0.67599999999999838</c:v>
                </c:pt>
                <c:pt idx="12">
                  <c:v>0.68833333333333435</c:v>
                </c:pt>
                <c:pt idx="13">
                  <c:v>0.68475099601593215</c:v>
                </c:pt>
                <c:pt idx="14">
                  <c:v>0.7043076923076903</c:v>
                </c:pt>
                <c:pt idx="15">
                  <c:v>0.71700000000000053</c:v>
                </c:pt>
                <c:pt idx="16">
                  <c:v>0.68874999999999886</c:v>
                </c:pt>
                <c:pt idx="17">
                  <c:v>0.67999999999999972</c:v>
                </c:pt>
                <c:pt idx="18">
                  <c:v>0.70350000000000179</c:v>
                </c:pt>
                <c:pt idx="19">
                  <c:v>0.72449999999999903</c:v>
                </c:pt>
                <c:pt idx="20">
                  <c:v>0.71950000000000003</c:v>
                </c:pt>
                <c:pt idx="21">
                  <c:v>0.70800000000000018</c:v>
                </c:pt>
                <c:pt idx="22">
                  <c:v>0.72550000000000026</c:v>
                </c:pt>
                <c:pt idx="23">
                  <c:v>0.74733333333333185</c:v>
                </c:pt>
                <c:pt idx="24">
                  <c:v>0.7333333333333325</c:v>
                </c:pt>
                <c:pt idx="25">
                  <c:v>0.61666666666666714</c:v>
                </c:pt>
                <c:pt idx="26">
                  <c:v>0.75300000000000011</c:v>
                </c:pt>
                <c:pt idx="27">
                  <c:v>0.65100000000000158</c:v>
                </c:pt>
                <c:pt idx="28">
                  <c:v>0.74800000000000111</c:v>
                </c:pt>
                <c:pt idx="29">
                  <c:v>0.75850000000000151</c:v>
                </c:pt>
                <c:pt idx="30">
                  <c:v>0.76449999999999996</c:v>
                </c:pt>
                <c:pt idx="31">
                  <c:v>0.75549999999999962</c:v>
                </c:pt>
                <c:pt idx="32">
                  <c:v>0.77999999999999936</c:v>
                </c:pt>
                <c:pt idx="33">
                  <c:v>0.72450000000000081</c:v>
                </c:pt>
                <c:pt idx="34">
                  <c:v>0.77250000000000085</c:v>
                </c:pt>
                <c:pt idx="35">
                  <c:v>0.78400000000000247</c:v>
                </c:pt>
                <c:pt idx="36">
                  <c:v>0.80049999999999955</c:v>
                </c:pt>
                <c:pt idx="37">
                  <c:v>0.6980000000000004</c:v>
                </c:pt>
                <c:pt idx="38">
                  <c:v>0.9399999999999995</c:v>
                </c:pt>
                <c:pt idx="39">
                  <c:v>0.8514999999999997</c:v>
                </c:pt>
                <c:pt idx="40">
                  <c:v>0.65633333333333432</c:v>
                </c:pt>
                <c:pt idx="41">
                  <c:v>0.83100000000000129</c:v>
                </c:pt>
                <c:pt idx="42">
                  <c:v>0.70433333333333259</c:v>
                </c:pt>
                <c:pt idx="43">
                  <c:v>0.85699999999999932</c:v>
                </c:pt>
                <c:pt idx="44">
                  <c:v>0.81799999999999962</c:v>
                </c:pt>
                <c:pt idx="45">
                  <c:v>0.65700000000000003</c:v>
                </c:pt>
                <c:pt idx="46">
                  <c:v>0.86149999999999949</c:v>
                </c:pt>
                <c:pt idx="47">
                  <c:v>0.84999999999999964</c:v>
                </c:pt>
                <c:pt idx="48">
                  <c:v>0.87150000000000105</c:v>
                </c:pt>
                <c:pt idx="49">
                  <c:v>0.59266666666666623</c:v>
                </c:pt>
                <c:pt idx="50">
                  <c:v>0.86800000000000033</c:v>
                </c:pt>
                <c:pt idx="51">
                  <c:v>0.90850000000000009</c:v>
                </c:pt>
                <c:pt idx="52">
                  <c:v>0.90700000000000003</c:v>
                </c:pt>
                <c:pt idx="53">
                  <c:v>1.0329999999999995</c:v>
                </c:pt>
                <c:pt idx="54">
                  <c:v>1.0089999999999986</c:v>
                </c:pt>
                <c:pt idx="55">
                  <c:v>1.0174999999999983</c:v>
                </c:pt>
                <c:pt idx="56">
                  <c:v>1.0964999999999989</c:v>
                </c:pt>
                <c:pt idx="57">
                  <c:v>1.1880000000000006</c:v>
                </c:pt>
                <c:pt idx="58">
                  <c:v>1.1994999999999987</c:v>
                </c:pt>
                <c:pt idx="59">
                  <c:v>0.95099999999999874</c:v>
                </c:pt>
                <c:pt idx="60">
                  <c:v>0.92800000000000082</c:v>
                </c:pt>
                <c:pt idx="61">
                  <c:v>1.0314999999999994</c:v>
                </c:pt>
                <c:pt idx="62">
                  <c:v>1.08</c:v>
                </c:pt>
                <c:pt idx="63">
                  <c:v>0.95500000000000007</c:v>
                </c:pt>
                <c:pt idx="64">
                  <c:v>1.109</c:v>
                </c:pt>
                <c:pt idx="65">
                  <c:v>0.98899999999999899</c:v>
                </c:pt>
                <c:pt idx="66">
                  <c:v>1.099499999999999</c:v>
                </c:pt>
                <c:pt idx="67">
                  <c:v>1.0845000000000002</c:v>
                </c:pt>
                <c:pt idx="68">
                  <c:v>0.95500000000000007</c:v>
                </c:pt>
                <c:pt idx="69">
                  <c:v>1.0344999999999978</c:v>
                </c:pt>
                <c:pt idx="70">
                  <c:v>1.0910000000000011</c:v>
                </c:pt>
                <c:pt idx="71">
                  <c:v>1.1000000000000014</c:v>
                </c:pt>
                <c:pt idx="72">
                  <c:v>1.0599999999999987</c:v>
                </c:pt>
                <c:pt idx="73">
                  <c:v>1.0405000000000015</c:v>
                </c:pt>
                <c:pt idx="74">
                  <c:v>1.0335000000000001</c:v>
                </c:pt>
                <c:pt idx="75">
                  <c:v>1.1145000000000014</c:v>
                </c:pt>
                <c:pt idx="76">
                  <c:v>1.1385000000000005</c:v>
                </c:pt>
                <c:pt idx="77">
                  <c:v>1.0990000000000002</c:v>
                </c:pt>
                <c:pt idx="78">
                  <c:v>1.1305000000000014</c:v>
                </c:pt>
                <c:pt idx="79">
                  <c:v>0.97600000000000087</c:v>
                </c:pt>
                <c:pt idx="80">
                  <c:v>1.1195000000000004</c:v>
                </c:pt>
                <c:pt idx="81">
                  <c:v>1.1070000000000011</c:v>
                </c:pt>
                <c:pt idx="82">
                  <c:v>1.1169999999999991</c:v>
                </c:pt>
                <c:pt idx="83">
                  <c:v>1.120000000000001</c:v>
                </c:pt>
                <c:pt idx="84">
                  <c:v>1.0884999999999998</c:v>
                </c:pt>
                <c:pt idx="85">
                  <c:v>1.1259999999999994</c:v>
                </c:pt>
                <c:pt idx="86">
                  <c:v>0.98099999999999987</c:v>
                </c:pt>
                <c:pt idx="87">
                  <c:v>1.0635000000000012</c:v>
                </c:pt>
                <c:pt idx="88">
                  <c:v>1.0700000000000003</c:v>
                </c:pt>
                <c:pt idx="89">
                  <c:v>1.0190000000000001</c:v>
                </c:pt>
                <c:pt idx="90">
                  <c:v>1.1550000000000011</c:v>
                </c:pt>
                <c:pt idx="91">
                  <c:v>1.067499999999999</c:v>
                </c:pt>
                <c:pt idx="92">
                  <c:v>1.1550000000000011</c:v>
                </c:pt>
                <c:pt idx="93">
                  <c:v>1.1650000000000009</c:v>
                </c:pt>
                <c:pt idx="94">
                  <c:v>1.0604999999999993</c:v>
                </c:pt>
                <c:pt idx="95">
                  <c:v>1.1219999999999999</c:v>
                </c:pt>
                <c:pt idx="96">
                  <c:v>1.0849999999999991</c:v>
                </c:pt>
                <c:pt idx="97">
                  <c:v>1.1334999999999997</c:v>
                </c:pt>
                <c:pt idx="98">
                  <c:v>1.1809999999999992</c:v>
                </c:pt>
                <c:pt idx="99">
                  <c:v>1.17</c:v>
                </c:pt>
                <c:pt idx="100">
                  <c:v>1.1000000000000014</c:v>
                </c:pt>
                <c:pt idx="101">
                  <c:v>1.1209999999999987</c:v>
                </c:pt>
                <c:pt idx="102">
                  <c:v>1.0009999999999994</c:v>
                </c:pt>
                <c:pt idx="103">
                  <c:v>1.0659999999999989</c:v>
                </c:pt>
                <c:pt idx="104">
                  <c:v>0.94899999999999984</c:v>
                </c:pt>
                <c:pt idx="105">
                  <c:v>0.94100000000000072</c:v>
                </c:pt>
                <c:pt idx="106">
                  <c:v>0.94599999999999973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8F-478F-9C2E-5FFD9FB6C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208432"/>
        <c:axId val="575206136"/>
      </c:scatterChart>
      <c:valAx>
        <c:axId val="5752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5206136"/>
        <c:crosses val="autoZero"/>
        <c:crossBetween val="midCat"/>
      </c:valAx>
      <c:valAx>
        <c:axId val="575206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52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Braw!$G$2:$G$726</c:f>
              <c:numCache>
                <c:formatCode>General</c:formatCode>
                <c:ptCount val="361"/>
                <c:pt idx="0">
                  <c:v>8341.1019000001252</c:v>
                </c:pt>
                <c:pt idx="1">
                  <c:v>8343.6637599999085</c:v>
                </c:pt>
                <c:pt idx="2">
                  <c:v>8343.6678499998525</c:v>
                </c:pt>
                <c:pt idx="3">
                  <c:v>8343.6719499998726</c:v>
                </c:pt>
                <c:pt idx="4">
                  <c:v>8343.6760499998927</c:v>
                </c:pt>
                <c:pt idx="5">
                  <c:v>8343.6801499999128</c:v>
                </c:pt>
                <c:pt idx="6">
                  <c:v>8343.6842399998568</c:v>
                </c:pt>
                <c:pt idx="7">
                  <c:v>8343.6883399998769</c:v>
                </c:pt>
                <c:pt idx="8">
                  <c:v>8343.6924299998209</c:v>
                </c:pt>
                <c:pt idx="9">
                  <c:v>8343.696529999841</c:v>
                </c:pt>
                <c:pt idx="10">
                  <c:v>8343.700619999785</c:v>
                </c:pt>
                <c:pt idx="11">
                  <c:v>8343.7047199998051</c:v>
                </c:pt>
                <c:pt idx="12">
                  <c:v>8343.7088199998252</c:v>
                </c:pt>
                <c:pt idx="13">
                  <c:v>8343.7129199998453</c:v>
                </c:pt>
                <c:pt idx="14">
                  <c:v>8343.7170099997893</c:v>
                </c:pt>
                <c:pt idx="15">
                  <c:v>8343.7211099998094</c:v>
                </c:pt>
                <c:pt idx="16">
                  <c:v>8344.6083200001158</c:v>
                </c:pt>
                <c:pt idx="17">
                  <c:v>8345.4008300001733</c:v>
                </c:pt>
                <c:pt idx="18">
                  <c:v>8345.4024299997836</c:v>
                </c:pt>
                <c:pt idx="19">
                  <c:v>8345.4040399999358</c:v>
                </c:pt>
                <c:pt idx="20">
                  <c:v>8345.4056400000118</c:v>
                </c:pt>
                <c:pt idx="21">
                  <c:v>8345.4072500001639</c:v>
                </c:pt>
                <c:pt idx="22">
                  <c:v>8345.4088300000876</c:v>
                </c:pt>
                <c:pt idx="23">
                  <c:v>8345.4104200000875</c:v>
                </c:pt>
                <c:pt idx="24">
                  <c:v>8345.4120000000112</c:v>
                </c:pt>
                <c:pt idx="25">
                  <c:v>8345.413590000011</c:v>
                </c:pt>
                <c:pt idx="26">
                  <c:v>8345.4151699999347</c:v>
                </c:pt>
                <c:pt idx="27">
                  <c:v>8345.4167599999346</c:v>
                </c:pt>
                <c:pt idx="28">
                  <c:v>8345.4183499999344</c:v>
                </c:pt>
                <c:pt idx="29">
                  <c:v>8345.4199299998581</c:v>
                </c:pt>
                <c:pt idx="30">
                  <c:v>8345.4215299999341</c:v>
                </c:pt>
                <c:pt idx="31">
                  <c:v>8345.4231099998578</c:v>
                </c:pt>
                <c:pt idx="32">
                  <c:v>8345.4246999998577</c:v>
                </c:pt>
                <c:pt idx="33">
                  <c:v>8345.4262799997814</c:v>
                </c:pt>
                <c:pt idx="34">
                  <c:v>8345.4278699997813</c:v>
                </c:pt>
                <c:pt idx="35">
                  <c:v>8345.4294500001706</c:v>
                </c:pt>
                <c:pt idx="36">
                  <c:v>8345.4310400001705</c:v>
                </c:pt>
                <c:pt idx="37">
                  <c:v>8345.4326300001703</c:v>
                </c:pt>
                <c:pt idx="38">
                  <c:v>8345.434210000094</c:v>
                </c:pt>
                <c:pt idx="39">
                  <c:v>8345.4358000000939</c:v>
                </c:pt>
                <c:pt idx="40">
                  <c:v>8345.4373800000176</c:v>
                </c:pt>
                <c:pt idx="41">
                  <c:v>8345.4389700000174</c:v>
                </c:pt>
                <c:pt idx="42">
                  <c:v>8345.4405499999411</c:v>
                </c:pt>
                <c:pt idx="43">
                  <c:v>8345.442139999941</c:v>
                </c:pt>
                <c:pt idx="44">
                  <c:v>8345.4437299999408</c:v>
                </c:pt>
                <c:pt idx="45">
                  <c:v>8345.4453199999407</c:v>
                </c:pt>
                <c:pt idx="46">
                  <c:v>8345.4469099999405</c:v>
                </c:pt>
                <c:pt idx="47">
                  <c:v>8345.4484899998643</c:v>
                </c:pt>
                <c:pt idx="48">
                  <c:v>8345.4500799998641</c:v>
                </c:pt>
                <c:pt idx="49">
                  <c:v>8345.4516599997878</c:v>
                </c:pt>
                <c:pt idx="50">
                  <c:v>8345.4532499997877</c:v>
                </c:pt>
                <c:pt idx="51">
                  <c:v>8345.4548399997875</c:v>
                </c:pt>
                <c:pt idx="52">
                  <c:v>8345.4564200001769</c:v>
                </c:pt>
                <c:pt idx="53">
                  <c:v>8345.4580100001767</c:v>
                </c:pt>
                <c:pt idx="54">
                  <c:v>8345.4595900001004</c:v>
                </c:pt>
                <c:pt idx="55">
                  <c:v>8345.4611800001003</c:v>
                </c:pt>
                <c:pt idx="56">
                  <c:v>8345.462760000024</c:v>
                </c:pt>
                <c:pt idx="57">
                  <c:v>8345.4643500000238</c:v>
                </c:pt>
                <c:pt idx="58">
                  <c:v>8345.4659500000998</c:v>
                </c:pt>
                <c:pt idx="59">
                  <c:v>8345.4675300000235</c:v>
                </c:pt>
                <c:pt idx="60">
                  <c:v>8345.4691200000234</c:v>
                </c:pt>
                <c:pt idx="61">
                  <c:v>8345.4706999999471</c:v>
                </c:pt>
                <c:pt idx="62">
                  <c:v>8345.4735599998385</c:v>
                </c:pt>
                <c:pt idx="63">
                  <c:v>8345.4751499998383</c:v>
                </c:pt>
                <c:pt idx="64">
                  <c:v>8345.4767300002277</c:v>
                </c:pt>
                <c:pt idx="65">
                  <c:v>8345.4783200002275</c:v>
                </c:pt>
                <c:pt idx="66">
                  <c:v>8345.4799000001512</c:v>
                </c:pt>
                <c:pt idx="67">
                  <c:v>8345.4814900001511</c:v>
                </c:pt>
                <c:pt idx="68">
                  <c:v>8345.4830800001509</c:v>
                </c:pt>
                <c:pt idx="69">
                  <c:v>8345.4846600000747</c:v>
                </c:pt>
                <c:pt idx="70">
                  <c:v>8345.4862500000745</c:v>
                </c:pt>
                <c:pt idx="71">
                  <c:v>8345.4878299999982</c:v>
                </c:pt>
                <c:pt idx="72">
                  <c:v>8345.4894199999981</c:v>
                </c:pt>
                <c:pt idx="73">
                  <c:v>8345.4910200000741</c:v>
                </c:pt>
                <c:pt idx="74">
                  <c:v>8345.4925999999978</c:v>
                </c:pt>
                <c:pt idx="75">
                  <c:v>8345.4941899999976</c:v>
                </c:pt>
                <c:pt idx="76">
                  <c:v>8345.4957699999213</c:v>
                </c:pt>
                <c:pt idx="77">
                  <c:v>8345.4973599999212</c:v>
                </c:pt>
                <c:pt idx="78">
                  <c:v>8345.4989399998449</c:v>
                </c:pt>
                <c:pt idx="79">
                  <c:v>8345.5005299998447</c:v>
                </c:pt>
                <c:pt idx="80">
                  <c:v>8345.5021199998446</c:v>
                </c:pt>
                <c:pt idx="81">
                  <c:v>8345.5036999997683</c:v>
                </c:pt>
                <c:pt idx="82">
                  <c:v>8345.5052899997681</c:v>
                </c:pt>
                <c:pt idx="83">
                  <c:v>8345.506879999768</c:v>
                </c:pt>
                <c:pt idx="84">
                  <c:v>8345.5084699997678</c:v>
                </c:pt>
                <c:pt idx="85">
                  <c:v>8345.5100500001572</c:v>
                </c:pt>
                <c:pt idx="86">
                  <c:v>8345.5116400001571</c:v>
                </c:pt>
                <c:pt idx="87">
                  <c:v>8345.5132300001569</c:v>
                </c:pt>
                <c:pt idx="88">
                  <c:v>8345.5148100000806</c:v>
                </c:pt>
                <c:pt idx="89">
                  <c:v>8345.5164000000805</c:v>
                </c:pt>
                <c:pt idx="90">
                  <c:v>8345.5179900000803</c:v>
                </c:pt>
                <c:pt idx="91">
                  <c:v>8345.5195800000802</c:v>
                </c:pt>
                <c:pt idx="92">
                  <c:v>8345.7566100000404</c:v>
                </c:pt>
                <c:pt idx="93">
                  <c:v>8345.7570000002161</c:v>
                </c:pt>
                <c:pt idx="94">
                  <c:v>8345.7574100000784</c:v>
                </c:pt>
                <c:pt idx="95">
                  <c:v>8345.7578099998645</c:v>
                </c:pt>
                <c:pt idx="96">
                  <c:v>8345.7582200001925</c:v>
                </c:pt>
                <c:pt idx="97">
                  <c:v>8345.7586199999787</c:v>
                </c:pt>
                <c:pt idx="98">
                  <c:v>8345.7590200002305</c:v>
                </c:pt>
                <c:pt idx="99">
                  <c:v>8345.7594300000928</c:v>
                </c:pt>
                <c:pt idx="100">
                  <c:v>8345.759829999879</c:v>
                </c:pt>
                <c:pt idx="101">
                  <c:v>8345.7606399999931</c:v>
                </c:pt>
                <c:pt idx="102">
                  <c:v>8345.7610300001688</c:v>
                </c:pt>
                <c:pt idx="103">
                  <c:v>8345.7614400000311</c:v>
                </c:pt>
                <c:pt idx="104">
                  <c:v>8345.7618399998173</c:v>
                </c:pt>
                <c:pt idx="105">
                  <c:v>8345.7622500001453</c:v>
                </c:pt>
                <c:pt idx="106">
                  <c:v>8345.7626399998553</c:v>
                </c:pt>
                <c:pt idx="107">
                  <c:v>8345.7630400001071</c:v>
                </c:pt>
                <c:pt idx="108">
                  <c:v>8345.7634499999695</c:v>
                </c:pt>
                <c:pt idx="109">
                  <c:v>8345.7638500002213</c:v>
                </c:pt>
                <c:pt idx="110">
                  <c:v>8345.7642500000075</c:v>
                </c:pt>
                <c:pt idx="111">
                  <c:v>8345.7646499997936</c:v>
                </c:pt>
                <c:pt idx="112">
                  <c:v>8345.7650500000454</c:v>
                </c:pt>
                <c:pt idx="113">
                  <c:v>8345.7654499998316</c:v>
                </c:pt>
                <c:pt idx="114">
                  <c:v>8345.7658600001596</c:v>
                </c:pt>
                <c:pt idx="115">
                  <c:v>8345.7662499998696</c:v>
                </c:pt>
                <c:pt idx="116">
                  <c:v>8345.7666600001976</c:v>
                </c:pt>
                <c:pt idx="117">
                  <c:v>8345.7670499999076</c:v>
                </c:pt>
                <c:pt idx="118">
                  <c:v>8345.7674500001594</c:v>
                </c:pt>
                <c:pt idx="119">
                  <c:v>8345.7678600000218</c:v>
                </c:pt>
                <c:pt idx="120">
                  <c:v>8345.7682599998079</c:v>
                </c:pt>
                <c:pt idx="121">
                  <c:v>8345.7686600000598</c:v>
                </c:pt>
                <c:pt idx="122">
                  <c:v>8345.7690499997698</c:v>
                </c:pt>
                <c:pt idx="123">
                  <c:v>8345.7694700001739</c:v>
                </c:pt>
                <c:pt idx="124">
                  <c:v>8345.7698599998839</c:v>
                </c:pt>
                <c:pt idx="125">
                  <c:v>8345.7702700002119</c:v>
                </c:pt>
                <c:pt idx="126">
                  <c:v>8345.7706599999219</c:v>
                </c:pt>
                <c:pt idx="127">
                  <c:v>8345.7710600001737</c:v>
                </c:pt>
                <c:pt idx="128">
                  <c:v>8345.7714700000361</c:v>
                </c:pt>
                <c:pt idx="129">
                  <c:v>8345.7718600002117</c:v>
                </c:pt>
                <c:pt idx="130">
                  <c:v>8345.7722700000741</c:v>
                </c:pt>
                <c:pt idx="131">
                  <c:v>8346.6552400002256</c:v>
                </c:pt>
                <c:pt idx="132">
                  <c:v>8346.6606700001284</c:v>
                </c:pt>
                <c:pt idx="133">
                  <c:v>8346.6661000000313</c:v>
                </c:pt>
                <c:pt idx="134">
                  <c:v>8346.6715299999341</c:v>
                </c:pt>
                <c:pt idx="135">
                  <c:v>8346.6769300000742</c:v>
                </c:pt>
                <c:pt idx="136">
                  <c:v>8346.6823599999771</c:v>
                </c:pt>
                <c:pt idx="137">
                  <c:v>8346.6877799998038</c:v>
                </c:pt>
                <c:pt idx="138">
                  <c:v>8346.69319000002</c:v>
                </c:pt>
                <c:pt idx="139">
                  <c:v>8346.698629999999</c:v>
                </c:pt>
                <c:pt idx="140">
                  <c:v>8346.7040599999018</c:v>
                </c:pt>
                <c:pt idx="141">
                  <c:v>8346.7094999998808</c:v>
                </c:pt>
                <c:pt idx="142">
                  <c:v>8346.7149299997836</c:v>
                </c:pt>
                <c:pt idx="143">
                  <c:v>8346.7203700002283</c:v>
                </c:pt>
                <c:pt idx="144">
                  <c:v>8346.7258100002073</c:v>
                </c:pt>
                <c:pt idx="145">
                  <c:v>8346.7312400001101</c:v>
                </c:pt>
                <c:pt idx="146">
                  <c:v>8346.736670000013</c:v>
                </c:pt>
                <c:pt idx="147">
                  <c:v>8346.746960000135</c:v>
                </c:pt>
                <c:pt idx="148">
                  <c:v>8346.7523799999617</c:v>
                </c:pt>
                <c:pt idx="149">
                  <c:v>8346.7578199999407</c:v>
                </c:pt>
                <c:pt idx="150">
                  <c:v>8346.7632399997674</c:v>
                </c:pt>
                <c:pt idx="151">
                  <c:v>8346.7686999998987</c:v>
                </c:pt>
                <c:pt idx="152">
                  <c:v>8346.7741399998777</c:v>
                </c:pt>
                <c:pt idx="153">
                  <c:v>8346.7795699997805</c:v>
                </c:pt>
                <c:pt idx="154">
                  <c:v>8346.7850100002252</c:v>
                </c:pt>
                <c:pt idx="155">
                  <c:v>8346.7904500002041</c:v>
                </c:pt>
                <c:pt idx="156">
                  <c:v>8346.7958900001831</c:v>
                </c:pt>
                <c:pt idx="157">
                  <c:v>8346.8013100000098</c:v>
                </c:pt>
                <c:pt idx="158">
                  <c:v>8346.8067200002261</c:v>
                </c:pt>
                <c:pt idx="159">
                  <c:v>8346.8121500001289</c:v>
                </c:pt>
                <c:pt idx="160">
                  <c:v>8346.8175800000317</c:v>
                </c:pt>
                <c:pt idx="161">
                  <c:v>8346.8264700002037</c:v>
                </c:pt>
                <c:pt idx="162">
                  <c:v>8346.8319100001827</c:v>
                </c:pt>
                <c:pt idx="163">
                  <c:v>8346.8373500001617</c:v>
                </c:pt>
                <c:pt idx="164">
                  <c:v>8346.8427900001407</c:v>
                </c:pt>
                <c:pt idx="165">
                  <c:v>8346.8482200000435</c:v>
                </c:pt>
                <c:pt idx="166">
                  <c:v>8346.8536600000225</c:v>
                </c:pt>
                <c:pt idx="167">
                  <c:v>8346.8591000000015</c:v>
                </c:pt>
                <c:pt idx="168">
                  <c:v>8346.8645000001416</c:v>
                </c:pt>
                <c:pt idx="169">
                  <c:v>8346.8699400001206</c:v>
                </c:pt>
                <c:pt idx="170">
                  <c:v>8346.8753800000995</c:v>
                </c:pt>
                <c:pt idx="171">
                  <c:v>8347.373399999924</c:v>
                </c:pt>
                <c:pt idx="172">
                  <c:v>8353.3609799998812</c:v>
                </c:pt>
                <c:pt idx="173">
                  <c:v>8355.75270000007</c:v>
                </c:pt>
                <c:pt idx="174">
                  <c:v>8359.3710500001907</c:v>
                </c:pt>
                <c:pt idx="175">
                  <c:v>8359.3717800001614</c:v>
                </c:pt>
                <c:pt idx="176">
                  <c:v>8362.3600200000219</c:v>
                </c:pt>
                <c:pt idx="177">
                  <c:v>8364.3527899999171</c:v>
                </c:pt>
                <c:pt idx="178">
                  <c:v>8364.3535199998878</c:v>
                </c:pt>
                <c:pt idx="179">
                  <c:v>8367.5920699997805</c:v>
                </c:pt>
                <c:pt idx="180">
                  <c:v>8367.5943800001405</c:v>
                </c:pt>
                <c:pt idx="181">
                  <c:v>8367.5966699998826</c:v>
                </c:pt>
                <c:pt idx="182">
                  <c:v>8367.5989700001664</c:v>
                </c:pt>
                <c:pt idx="183">
                  <c:v>8367.6012599999085</c:v>
                </c:pt>
                <c:pt idx="184">
                  <c:v>8367.6035500001162</c:v>
                </c:pt>
                <c:pt idx="185">
                  <c:v>8367.6058399998583</c:v>
                </c:pt>
                <c:pt idx="186">
                  <c:v>8367.6081500002183</c:v>
                </c:pt>
                <c:pt idx="187">
                  <c:v>8367.6104399999604</c:v>
                </c:pt>
                <c:pt idx="188">
                  <c:v>8367.6127399997786</c:v>
                </c:pt>
                <c:pt idx="189">
                  <c:v>8367.6150299999863</c:v>
                </c:pt>
                <c:pt idx="190">
                  <c:v>8367.6173299998045</c:v>
                </c:pt>
                <c:pt idx="191">
                  <c:v>8367.6196300000884</c:v>
                </c:pt>
                <c:pt idx="192">
                  <c:v>8367.622049999889</c:v>
                </c:pt>
                <c:pt idx="193">
                  <c:v>8367.6243500001729</c:v>
                </c:pt>
                <c:pt idx="194">
                  <c:v>8367.6266399999149</c:v>
                </c:pt>
                <c:pt idx="195">
                  <c:v>8367.6289400001988</c:v>
                </c:pt>
                <c:pt idx="196">
                  <c:v>8367.631240000017</c:v>
                </c:pt>
                <c:pt idx="197">
                  <c:v>8367.6335300002247</c:v>
                </c:pt>
                <c:pt idx="198">
                  <c:v>8367.6358199999668</c:v>
                </c:pt>
                <c:pt idx="199">
                  <c:v>8367.6381299998611</c:v>
                </c:pt>
                <c:pt idx="200">
                  <c:v>8367.6404200000688</c:v>
                </c:pt>
                <c:pt idx="201">
                  <c:v>8367.6427099998109</c:v>
                </c:pt>
                <c:pt idx="202">
                  <c:v>8367.6450100000948</c:v>
                </c:pt>
                <c:pt idx="203">
                  <c:v>8367.6472999998368</c:v>
                </c:pt>
                <c:pt idx="204">
                  <c:v>8367.6496100001968</c:v>
                </c:pt>
                <c:pt idx="205">
                  <c:v>8368.5653699999675</c:v>
                </c:pt>
                <c:pt idx="206">
                  <c:v>8369.316589999944</c:v>
                </c:pt>
                <c:pt idx="207">
                  <c:v>8369.3168999999762</c:v>
                </c:pt>
                <c:pt idx="208">
                  <c:v>8370.3423600001261</c:v>
                </c:pt>
                <c:pt idx="209">
                  <c:v>8375.3082900000736</c:v>
                </c:pt>
                <c:pt idx="210">
                  <c:v>8375.3082900000736</c:v>
                </c:pt>
                <c:pt idx="211">
                  <c:v>8375.3085900000297</c:v>
                </c:pt>
                <c:pt idx="212">
                  <c:v>8376.305370000191</c:v>
                </c:pt>
                <c:pt idx="213">
                  <c:v>8376.3056700001471</c:v>
                </c:pt>
                <c:pt idx="214">
                  <c:v>8378.3017500001006</c:v>
                </c:pt>
                <c:pt idx="215">
                  <c:v>8378.3020600001328</c:v>
                </c:pt>
                <c:pt idx="216">
                  <c:v>8383.3731399998069</c:v>
                </c:pt>
                <c:pt idx="217">
                  <c:v>8383.3734499998391</c:v>
                </c:pt>
                <c:pt idx="218">
                  <c:v>8386.2867800001986</c:v>
                </c:pt>
                <c:pt idx="219">
                  <c:v>8386.2870900002308</c:v>
                </c:pt>
                <c:pt idx="220">
                  <c:v>8388.286050000228</c:v>
                </c:pt>
                <c:pt idx="221">
                  <c:v>8388.2863699998707</c:v>
                </c:pt>
                <c:pt idx="222">
                  <c:v>8388.3407399998978</c:v>
                </c:pt>
                <c:pt idx="223">
                  <c:v>8389.2873100000434</c:v>
                </c:pt>
                <c:pt idx="224">
                  <c:v>8389.2876300001517</c:v>
                </c:pt>
                <c:pt idx="225">
                  <c:v>8389.6844799998216</c:v>
                </c:pt>
                <c:pt idx="226">
                  <c:v>8390.30280999979</c:v>
                </c:pt>
                <c:pt idx="227">
                  <c:v>8395.6280600000173</c:v>
                </c:pt>
                <c:pt idx="228">
                  <c:v>8401.2725700000301</c:v>
                </c:pt>
                <c:pt idx="229">
                  <c:v>8401.2728800000623</c:v>
                </c:pt>
                <c:pt idx="230">
                  <c:v>8402.2627900000662</c:v>
                </c:pt>
                <c:pt idx="231">
                  <c:v>8402.2631000000983</c:v>
                </c:pt>
                <c:pt idx="232">
                  <c:v>8404.3459100001492</c:v>
                </c:pt>
                <c:pt idx="233">
                  <c:v>8404.3462299997918</c:v>
                </c:pt>
                <c:pt idx="234">
                  <c:v>8406.2608599998057</c:v>
                </c:pt>
                <c:pt idx="235">
                  <c:v>8406.2611699998379</c:v>
                </c:pt>
                <c:pt idx="236">
                  <c:v>8407.2964800000191</c:v>
                </c:pt>
                <c:pt idx="237">
                  <c:v>8407.2967900000513</c:v>
                </c:pt>
                <c:pt idx="238">
                  <c:v>8409.2549700001255</c:v>
                </c:pt>
                <c:pt idx="239">
                  <c:v>8409.2552800001577</c:v>
                </c:pt>
                <c:pt idx="240">
                  <c:v>8411.3212500000373</c:v>
                </c:pt>
                <c:pt idx="241">
                  <c:v>8411.3215600000694</c:v>
                </c:pt>
                <c:pt idx="242">
                  <c:v>8415.2427500002086</c:v>
                </c:pt>
                <c:pt idx="243">
                  <c:v>8415.2430699998513</c:v>
                </c:pt>
                <c:pt idx="244">
                  <c:v>8420.2458299999125</c:v>
                </c:pt>
                <c:pt idx="245">
                  <c:v>8420.2461299998686</c:v>
                </c:pt>
                <c:pt idx="246">
                  <c:v>8420.6217000000179</c:v>
                </c:pt>
                <c:pt idx="247">
                  <c:v>8423.2166699999943</c:v>
                </c:pt>
                <c:pt idx="248">
                  <c:v>8425.4294199999422</c:v>
                </c:pt>
                <c:pt idx="249">
                  <c:v>8425.4297299999744</c:v>
                </c:pt>
                <c:pt idx="250">
                  <c:v>8425.6202300000004</c:v>
                </c:pt>
                <c:pt idx="251">
                  <c:v>8428.2596200001426</c:v>
                </c:pt>
                <c:pt idx="252">
                  <c:v>8428.2599300001748</c:v>
                </c:pt>
                <c:pt idx="253">
                  <c:v>8429.5956600001082</c:v>
                </c:pt>
                <c:pt idx="254">
                  <c:v>8431.2256499999203</c:v>
                </c:pt>
                <c:pt idx="255">
                  <c:v>8433.2368399999104</c:v>
                </c:pt>
                <c:pt idx="256">
                  <c:v>8433.2371499999426</c:v>
                </c:pt>
                <c:pt idx="257">
                  <c:v>8436.6130099999718</c:v>
                </c:pt>
                <c:pt idx="258">
                  <c:v>8437.2737300000153</c:v>
                </c:pt>
                <c:pt idx="259">
                  <c:v>8437.2740299999714</c:v>
                </c:pt>
                <c:pt idx="260">
                  <c:v>8439.1979200001806</c:v>
                </c:pt>
                <c:pt idx="261">
                  <c:v>8440.3509100000374</c:v>
                </c:pt>
                <c:pt idx="262">
                  <c:v>8440.3512300001457</c:v>
                </c:pt>
                <c:pt idx="263">
                  <c:v>8442.6449000001885</c:v>
                </c:pt>
                <c:pt idx="264">
                  <c:v>8453.2187199997716</c:v>
                </c:pt>
                <c:pt idx="265">
                  <c:v>8453.2190299998038</c:v>
                </c:pt>
                <c:pt idx="266">
                  <c:v>8462.2132999999449</c:v>
                </c:pt>
                <c:pt idx="267">
                  <c:v>8462.2136099999771</c:v>
                </c:pt>
                <c:pt idx="268">
                  <c:v>8464.2587500000373</c:v>
                </c:pt>
                <c:pt idx="269">
                  <c:v>8464.2590600000694</c:v>
                </c:pt>
                <c:pt idx="270">
                  <c:v>8478.3030699999072</c:v>
                </c:pt>
                <c:pt idx="271">
                  <c:v>8478.3033799999394</c:v>
                </c:pt>
                <c:pt idx="272">
                  <c:v>8479.2107400000095</c:v>
                </c:pt>
                <c:pt idx="273">
                  <c:v>8479.2110500000417</c:v>
                </c:pt>
                <c:pt idx="274">
                  <c:v>8487.2130700000562</c:v>
                </c:pt>
                <c:pt idx="275">
                  <c:v>8487.2133800000884</c:v>
                </c:pt>
                <c:pt idx="276">
                  <c:v>8577.6216299999505</c:v>
                </c:pt>
                <c:pt idx="277">
                  <c:v>8577.6219399999827</c:v>
                </c:pt>
                <c:pt idx="278">
                  <c:v>8597.640430000145</c:v>
                </c:pt>
                <c:pt idx="279">
                  <c:v>8597.6407400001772</c:v>
                </c:pt>
                <c:pt idx="280">
                  <c:v>8643.449729999993</c:v>
                </c:pt>
                <c:pt idx="281">
                  <c:v>8643.4500500001013</c:v>
                </c:pt>
                <c:pt idx="282">
                  <c:v>8649.7823999999091</c:v>
                </c:pt>
                <c:pt idx="283">
                  <c:v>8654.7356599997729</c:v>
                </c:pt>
                <c:pt idx="284">
                  <c:v>8663.4421199997887</c:v>
                </c:pt>
                <c:pt idx="285">
                  <c:v>8663.442439999897</c:v>
                </c:pt>
                <c:pt idx="286">
                  <c:v>8664.415279999841</c:v>
                </c:pt>
                <c:pt idx="287">
                  <c:v>8665.7539599998854</c:v>
                </c:pt>
                <c:pt idx="288">
                  <c:v>8672.424130000174</c:v>
                </c:pt>
                <c:pt idx="289">
                  <c:v>8672.4244400002062</c:v>
                </c:pt>
                <c:pt idx="290">
                  <c:v>8677.731480000075</c:v>
                </c:pt>
                <c:pt idx="291">
                  <c:v>8681.3988100001588</c:v>
                </c:pt>
                <c:pt idx="292">
                  <c:v>8681.399120000191</c:v>
                </c:pt>
                <c:pt idx="293">
                  <c:v>8685.4319899999537</c:v>
                </c:pt>
                <c:pt idx="294">
                  <c:v>8685.4322999999858</c:v>
                </c:pt>
                <c:pt idx="295">
                  <c:v>8685.7145299999975</c:v>
                </c:pt>
                <c:pt idx="296">
                  <c:v>8687.4005300002173</c:v>
                </c:pt>
                <c:pt idx="297">
                  <c:v>8687.4008399997838</c:v>
                </c:pt>
                <c:pt idx="298">
                  <c:v>8688.3947499999776</c:v>
                </c:pt>
                <c:pt idx="299">
                  <c:v>8688.3950600000098</c:v>
                </c:pt>
                <c:pt idx="300">
                  <c:v>8690.509029999841</c:v>
                </c:pt>
                <c:pt idx="301">
                  <c:v>8693.3942599999718</c:v>
                </c:pt>
                <c:pt idx="302">
                  <c:v>8693.394570000004</c:v>
                </c:pt>
                <c:pt idx="303">
                  <c:v>8694.3867700002156</c:v>
                </c:pt>
                <c:pt idx="304">
                  <c:v>8694.3870799997821</c:v>
                </c:pt>
                <c:pt idx="305">
                  <c:v>8697.3937400002033</c:v>
                </c:pt>
                <c:pt idx="306">
                  <c:v>8697.3940499997698</c:v>
                </c:pt>
                <c:pt idx="307">
                  <c:v>8698.3824300002307</c:v>
                </c:pt>
                <c:pt idx="308">
                  <c:v>8698.3827399997972</c:v>
                </c:pt>
                <c:pt idx="309">
                  <c:v>8699.4000900001265</c:v>
                </c:pt>
                <c:pt idx="310">
                  <c:v>8699.4004099997692</c:v>
                </c:pt>
                <c:pt idx="311">
                  <c:v>8703.3747600000352</c:v>
                </c:pt>
                <c:pt idx="312">
                  <c:v>8703.3750700000674</c:v>
                </c:pt>
                <c:pt idx="313">
                  <c:v>8706.3756699999794</c:v>
                </c:pt>
                <c:pt idx="314">
                  <c:v>8706.3759800000116</c:v>
                </c:pt>
                <c:pt idx="315">
                  <c:v>8707.7013900000602</c:v>
                </c:pt>
                <c:pt idx="316">
                  <c:v>8708.3750700000674</c:v>
                </c:pt>
                <c:pt idx="317">
                  <c:v>8708.3753800000995</c:v>
                </c:pt>
                <c:pt idx="318">
                  <c:v>8714.3640299998224</c:v>
                </c:pt>
                <c:pt idx="319">
                  <c:v>8714.3643399998546</c:v>
                </c:pt>
                <c:pt idx="320">
                  <c:v>8715.3673499999568</c:v>
                </c:pt>
                <c:pt idx="321">
                  <c:v>8715.367659999989</c:v>
                </c:pt>
                <c:pt idx="322">
                  <c:v>8716.3479200000875</c:v>
                </c:pt>
                <c:pt idx="323">
                  <c:v>8717.3642799998634</c:v>
                </c:pt>
                <c:pt idx="324">
                  <c:v>8717.3645899998955</c:v>
                </c:pt>
                <c:pt idx="325">
                  <c:v>8720.3369900002144</c:v>
                </c:pt>
                <c:pt idx="326">
                  <c:v>8720.337299999781</c:v>
                </c:pt>
                <c:pt idx="327">
                  <c:v>8721.6719200001098</c:v>
                </c:pt>
                <c:pt idx="328">
                  <c:v>8722.3399200001732</c:v>
                </c:pt>
                <c:pt idx="329">
                  <c:v>8722.3402300002053</c:v>
                </c:pt>
                <c:pt idx="330">
                  <c:v>8726.3368500000797</c:v>
                </c:pt>
                <c:pt idx="331">
                  <c:v>8726.3371600001119</c:v>
                </c:pt>
                <c:pt idx="332">
                  <c:v>8727.7861100002192</c:v>
                </c:pt>
                <c:pt idx="333">
                  <c:v>8728.3482200000435</c:v>
                </c:pt>
                <c:pt idx="334">
                  <c:v>8728.3485300000757</c:v>
                </c:pt>
                <c:pt idx="335">
                  <c:v>8731.3215899998322</c:v>
                </c:pt>
                <c:pt idx="336">
                  <c:v>8731.3219099999405</c:v>
                </c:pt>
                <c:pt idx="337">
                  <c:v>8739.6523600001819</c:v>
                </c:pt>
                <c:pt idx="338">
                  <c:v>8739.7047600001097</c:v>
                </c:pt>
                <c:pt idx="339">
                  <c:v>8739.760629999917</c:v>
                </c:pt>
                <c:pt idx="340">
                  <c:v>8740.3062800001353</c:v>
                </c:pt>
                <c:pt idx="341">
                  <c:v>8740.306599999778</c:v>
                </c:pt>
                <c:pt idx="342">
                  <c:v>8744.3240200001746</c:v>
                </c:pt>
                <c:pt idx="343">
                  <c:v>8744.3243300002068</c:v>
                </c:pt>
                <c:pt idx="344">
                  <c:v>8745.3123400001787</c:v>
                </c:pt>
                <c:pt idx="345">
                  <c:v>8745.3126500002109</c:v>
                </c:pt>
                <c:pt idx="346">
                  <c:v>8747.2906300001778</c:v>
                </c:pt>
                <c:pt idx="347">
                  <c:v>8747.29094000021</c:v>
                </c:pt>
                <c:pt idx="348">
                  <c:v>8747.6956299999729</c:v>
                </c:pt>
                <c:pt idx="349">
                  <c:v>8748.2513899998739</c:v>
                </c:pt>
                <c:pt idx="350">
                  <c:v>8759.3125700000674</c:v>
                </c:pt>
                <c:pt idx="351">
                  <c:v>8759.3128900001757</c:v>
                </c:pt>
                <c:pt idx="352">
                  <c:v>8761.2957899998873</c:v>
                </c:pt>
                <c:pt idx="353">
                  <c:v>8761.2961099999957</c:v>
                </c:pt>
                <c:pt idx="354">
                  <c:v>8762.6463399999775</c:v>
                </c:pt>
                <c:pt idx="355">
                  <c:v>8765.2634299998172</c:v>
                </c:pt>
                <c:pt idx="356">
                  <c:v>8765.2637399998493</c:v>
                </c:pt>
                <c:pt idx="357">
                  <c:v>8768.6958200000226</c:v>
                </c:pt>
                <c:pt idx="358">
                  <c:v>8773.6241500000469</c:v>
                </c:pt>
                <c:pt idx="359">
                  <c:v>8776.5971400002018</c:v>
                </c:pt>
                <c:pt idx="360">
                  <c:v>8780.5867400001734</c:v>
                </c:pt>
              </c:numCache>
            </c:numRef>
          </c:xVal>
          <c:yVal>
            <c:numRef>
              <c:f>Braw!$H$2:$H$726</c:f>
              <c:numCache>
                <c:formatCode>General</c:formatCode>
                <c:ptCount val="361"/>
                <c:pt idx="0">
                  <c:v>11.45</c:v>
                </c:pt>
                <c:pt idx="1">
                  <c:v>11.544</c:v>
                </c:pt>
                <c:pt idx="2">
                  <c:v>11.537000000000001</c:v>
                </c:pt>
                <c:pt idx="3">
                  <c:v>11.542999999999999</c:v>
                </c:pt>
                <c:pt idx="4">
                  <c:v>11.542</c:v>
                </c:pt>
                <c:pt idx="5">
                  <c:v>11.544</c:v>
                </c:pt>
                <c:pt idx="6">
                  <c:v>11.542</c:v>
                </c:pt>
                <c:pt idx="7">
                  <c:v>11.54</c:v>
                </c:pt>
                <c:pt idx="8">
                  <c:v>11.539</c:v>
                </c:pt>
                <c:pt idx="9">
                  <c:v>11.545</c:v>
                </c:pt>
                <c:pt idx="10">
                  <c:v>11.544</c:v>
                </c:pt>
                <c:pt idx="11">
                  <c:v>11.534000000000001</c:v>
                </c:pt>
                <c:pt idx="12">
                  <c:v>11.54</c:v>
                </c:pt>
                <c:pt idx="13">
                  <c:v>11.541</c:v>
                </c:pt>
                <c:pt idx="14">
                  <c:v>11.541</c:v>
                </c:pt>
                <c:pt idx="15">
                  <c:v>11.542</c:v>
                </c:pt>
                <c:pt idx="16">
                  <c:v>11.542</c:v>
                </c:pt>
                <c:pt idx="17">
                  <c:v>11.382</c:v>
                </c:pt>
                <c:pt idx="18">
                  <c:v>11.394</c:v>
                </c:pt>
                <c:pt idx="19">
                  <c:v>11.411</c:v>
                </c:pt>
                <c:pt idx="20">
                  <c:v>11.436999999999999</c:v>
                </c:pt>
                <c:pt idx="21">
                  <c:v>11.445</c:v>
                </c:pt>
                <c:pt idx="22">
                  <c:v>11.445</c:v>
                </c:pt>
                <c:pt idx="23">
                  <c:v>11.411</c:v>
                </c:pt>
                <c:pt idx="24">
                  <c:v>11.406000000000001</c:v>
                </c:pt>
                <c:pt idx="25">
                  <c:v>11.391</c:v>
                </c:pt>
                <c:pt idx="26">
                  <c:v>11.372</c:v>
                </c:pt>
                <c:pt idx="27">
                  <c:v>11.38</c:v>
                </c:pt>
                <c:pt idx="28">
                  <c:v>11.417</c:v>
                </c:pt>
                <c:pt idx="29">
                  <c:v>11.435</c:v>
                </c:pt>
                <c:pt idx="30">
                  <c:v>11.448</c:v>
                </c:pt>
                <c:pt idx="31">
                  <c:v>11.44</c:v>
                </c:pt>
                <c:pt idx="32">
                  <c:v>11.432</c:v>
                </c:pt>
                <c:pt idx="33">
                  <c:v>11.439</c:v>
                </c:pt>
                <c:pt idx="34">
                  <c:v>11.438000000000001</c:v>
                </c:pt>
                <c:pt idx="35">
                  <c:v>11.441000000000001</c:v>
                </c:pt>
                <c:pt idx="36">
                  <c:v>11.446</c:v>
                </c:pt>
                <c:pt idx="37">
                  <c:v>11.426</c:v>
                </c:pt>
                <c:pt idx="38">
                  <c:v>11.433</c:v>
                </c:pt>
                <c:pt idx="39">
                  <c:v>11.425000000000001</c:v>
                </c:pt>
                <c:pt idx="40">
                  <c:v>11.426</c:v>
                </c:pt>
                <c:pt idx="41">
                  <c:v>11.433</c:v>
                </c:pt>
                <c:pt idx="42">
                  <c:v>11.423</c:v>
                </c:pt>
                <c:pt idx="43">
                  <c:v>11.419</c:v>
                </c:pt>
                <c:pt idx="44">
                  <c:v>11.417</c:v>
                </c:pt>
                <c:pt idx="45">
                  <c:v>11.412000000000001</c:v>
                </c:pt>
                <c:pt idx="46">
                  <c:v>11.420999999999999</c:v>
                </c:pt>
                <c:pt idx="47">
                  <c:v>11.42</c:v>
                </c:pt>
                <c:pt idx="48">
                  <c:v>11.428000000000001</c:v>
                </c:pt>
                <c:pt idx="49">
                  <c:v>11.43</c:v>
                </c:pt>
                <c:pt idx="50">
                  <c:v>11.43</c:v>
                </c:pt>
                <c:pt idx="51">
                  <c:v>11.433999999999999</c:v>
                </c:pt>
                <c:pt idx="52">
                  <c:v>11.416</c:v>
                </c:pt>
                <c:pt idx="53">
                  <c:v>11.414999999999999</c:v>
                </c:pt>
                <c:pt idx="54">
                  <c:v>11.423</c:v>
                </c:pt>
                <c:pt idx="55">
                  <c:v>11.411</c:v>
                </c:pt>
                <c:pt idx="56">
                  <c:v>11.409000000000001</c:v>
                </c:pt>
                <c:pt idx="57">
                  <c:v>11.41</c:v>
                </c:pt>
                <c:pt idx="58">
                  <c:v>11.409000000000001</c:v>
                </c:pt>
                <c:pt idx="59">
                  <c:v>11.403</c:v>
                </c:pt>
                <c:pt idx="60">
                  <c:v>11.4</c:v>
                </c:pt>
                <c:pt idx="61">
                  <c:v>11.377000000000001</c:v>
                </c:pt>
                <c:pt idx="62">
                  <c:v>11.451000000000001</c:v>
                </c:pt>
                <c:pt idx="63">
                  <c:v>11.467000000000001</c:v>
                </c:pt>
                <c:pt idx="64">
                  <c:v>11.462</c:v>
                </c:pt>
                <c:pt idx="65">
                  <c:v>11.47</c:v>
                </c:pt>
                <c:pt idx="66">
                  <c:v>11.458</c:v>
                </c:pt>
                <c:pt idx="67">
                  <c:v>11.448</c:v>
                </c:pt>
                <c:pt idx="68">
                  <c:v>11.442</c:v>
                </c:pt>
                <c:pt idx="69">
                  <c:v>11.461</c:v>
                </c:pt>
                <c:pt idx="70">
                  <c:v>11.45</c:v>
                </c:pt>
                <c:pt idx="71">
                  <c:v>11.461</c:v>
                </c:pt>
                <c:pt idx="72">
                  <c:v>11.465</c:v>
                </c:pt>
                <c:pt idx="73">
                  <c:v>11.457000000000001</c:v>
                </c:pt>
                <c:pt idx="74">
                  <c:v>11.444000000000001</c:v>
                </c:pt>
                <c:pt idx="75">
                  <c:v>11.462999999999999</c:v>
                </c:pt>
                <c:pt idx="76">
                  <c:v>11.462</c:v>
                </c:pt>
                <c:pt idx="77">
                  <c:v>11.462999999999999</c:v>
                </c:pt>
                <c:pt idx="78">
                  <c:v>11.46</c:v>
                </c:pt>
                <c:pt idx="79">
                  <c:v>11.454000000000001</c:v>
                </c:pt>
                <c:pt idx="80">
                  <c:v>11.449</c:v>
                </c:pt>
                <c:pt idx="81">
                  <c:v>11.462</c:v>
                </c:pt>
                <c:pt idx="82">
                  <c:v>11.465</c:v>
                </c:pt>
                <c:pt idx="83">
                  <c:v>11.46</c:v>
                </c:pt>
                <c:pt idx="84">
                  <c:v>11.452</c:v>
                </c:pt>
                <c:pt idx="85">
                  <c:v>11.459</c:v>
                </c:pt>
                <c:pt idx="86">
                  <c:v>11.449</c:v>
                </c:pt>
                <c:pt idx="87">
                  <c:v>11.465</c:v>
                </c:pt>
                <c:pt idx="88">
                  <c:v>11.462</c:v>
                </c:pt>
                <c:pt idx="89">
                  <c:v>11.451000000000001</c:v>
                </c:pt>
                <c:pt idx="90">
                  <c:v>11.457000000000001</c:v>
                </c:pt>
                <c:pt idx="91">
                  <c:v>11.444000000000001</c:v>
                </c:pt>
                <c:pt idx="92">
                  <c:v>11.477</c:v>
                </c:pt>
                <c:pt idx="93">
                  <c:v>11.554</c:v>
                </c:pt>
                <c:pt idx="94">
                  <c:v>11.513999999999999</c:v>
                </c:pt>
                <c:pt idx="95">
                  <c:v>11.536</c:v>
                </c:pt>
                <c:pt idx="96">
                  <c:v>11.528</c:v>
                </c:pt>
                <c:pt idx="97">
                  <c:v>11.484</c:v>
                </c:pt>
                <c:pt idx="98">
                  <c:v>11.462</c:v>
                </c:pt>
                <c:pt idx="99">
                  <c:v>11.464</c:v>
                </c:pt>
                <c:pt idx="100">
                  <c:v>11.48</c:v>
                </c:pt>
                <c:pt idx="101">
                  <c:v>11.513999999999999</c:v>
                </c:pt>
                <c:pt idx="102">
                  <c:v>11.472</c:v>
                </c:pt>
                <c:pt idx="103">
                  <c:v>11.49</c:v>
                </c:pt>
                <c:pt idx="104">
                  <c:v>11.510999999999999</c:v>
                </c:pt>
                <c:pt idx="105">
                  <c:v>11.535</c:v>
                </c:pt>
                <c:pt idx="106">
                  <c:v>11.491</c:v>
                </c:pt>
                <c:pt idx="107">
                  <c:v>11.489000000000001</c:v>
                </c:pt>
                <c:pt idx="108">
                  <c:v>11.494999999999999</c:v>
                </c:pt>
                <c:pt idx="109">
                  <c:v>11.536</c:v>
                </c:pt>
                <c:pt idx="110">
                  <c:v>11.615</c:v>
                </c:pt>
                <c:pt idx="111">
                  <c:v>11.478</c:v>
                </c:pt>
                <c:pt idx="112">
                  <c:v>11.504</c:v>
                </c:pt>
                <c:pt idx="113">
                  <c:v>11.478999999999999</c:v>
                </c:pt>
                <c:pt idx="114">
                  <c:v>11.476000000000001</c:v>
                </c:pt>
                <c:pt idx="115">
                  <c:v>11.507999999999999</c:v>
                </c:pt>
                <c:pt idx="116">
                  <c:v>11.497</c:v>
                </c:pt>
                <c:pt idx="117">
                  <c:v>11.525</c:v>
                </c:pt>
                <c:pt idx="118">
                  <c:v>11.489000000000001</c:v>
                </c:pt>
                <c:pt idx="119">
                  <c:v>11.553000000000001</c:v>
                </c:pt>
                <c:pt idx="120">
                  <c:v>11.515000000000001</c:v>
                </c:pt>
                <c:pt idx="121">
                  <c:v>11.497</c:v>
                </c:pt>
                <c:pt idx="122">
                  <c:v>11.523</c:v>
                </c:pt>
                <c:pt idx="123">
                  <c:v>11.512</c:v>
                </c:pt>
                <c:pt idx="124">
                  <c:v>11.513</c:v>
                </c:pt>
                <c:pt idx="125">
                  <c:v>11.449</c:v>
                </c:pt>
                <c:pt idx="126">
                  <c:v>11.468</c:v>
                </c:pt>
                <c:pt idx="127">
                  <c:v>11.483000000000001</c:v>
                </c:pt>
                <c:pt idx="128">
                  <c:v>11.502000000000001</c:v>
                </c:pt>
                <c:pt idx="129">
                  <c:v>11.539</c:v>
                </c:pt>
                <c:pt idx="130">
                  <c:v>11.526999999999999</c:v>
                </c:pt>
                <c:pt idx="131">
                  <c:v>11.538</c:v>
                </c:pt>
                <c:pt idx="132">
                  <c:v>11.545999999999999</c:v>
                </c:pt>
                <c:pt idx="133">
                  <c:v>11.551</c:v>
                </c:pt>
                <c:pt idx="134">
                  <c:v>11.538</c:v>
                </c:pt>
                <c:pt idx="135">
                  <c:v>11.541</c:v>
                </c:pt>
                <c:pt idx="136">
                  <c:v>11.548999999999999</c:v>
                </c:pt>
                <c:pt idx="137">
                  <c:v>11.541</c:v>
                </c:pt>
                <c:pt idx="138">
                  <c:v>11.535</c:v>
                </c:pt>
                <c:pt idx="139">
                  <c:v>11.542</c:v>
                </c:pt>
                <c:pt idx="140">
                  <c:v>11.541</c:v>
                </c:pt>
                <c:pt idx="141">
                  <c:v>11.529</c:v>
                </c:pt>
                <c:pt idx="142">
                  <c:v>11.532</c:v>
                </c:pt>
                <c:pt idx="143">
                  <c:v>11.532999999999999</c:v>
                </c:pt>
                <c:pt idx="144">
                  <c:v>11.526</c:v>
                </c:pt>
                <c:pt idx="145">
                  <c:v>11.531000000000001</c:v>
                </c:pt>
                <c:pt idx="146">
                  <c:v>11.534000000000001</c:v>
                </c:pt>
                <c:pt idx="147">
                  <c:v>11.53</c:v>
                </c:pt>
                <c:pt idx="148">
                  <c:v>11.537000000000001</c:v>
                </c:pt>
                <c:pt idx="149">
                  <c:v>11.545</c:v>
                </c:pt>
                <c:pt idx="150">
                  <c:v>11.544</c:v>
                </c:pt>
                <c:pt idx="151">
                  <c:v>11.544</c:v>
                </c:pt>
                <c:pt idx="152">
                  <c:v>11.541</c:v>
                </c:pt>
                <c:pt idx="153">
                  <c:v>11.55</c:v>
                </c:pt>
                <c:pt idx="154">
                  <c:v>11.555999999999999</c:v>
                </c:pt>
                <c:pt idx="155">
                  <c:v>11.548</c:v>
                </c:pt>
                <c:pt idx="156">
                  <c:v>11.548</c:v>
                </c:pt>
                <c:pt idx="157">
                  <c:v>11.54</c:v>
                </c:pt>
                <c:pt idx="158">
                  <c:v>11.56</c:v>
                </c:pt>
                <c:pt idx="159">
                  <c:v>11.558</c:v>
                </c:pt>
                <c:pt idx="160">
                  <c:v>11.539</c:v>
                </c:pt>
                <c:pt idx="161">
                  <c:v>11.542</c:v>
                </c:pt>
                <c:pt idx="162">
                  <c:v>11.55</c:v>
                </c:pt>
                <c:pt idx="163">
                  <c:v>11.564</c:v>
                </c:pt>
                <c:pt idx="164">
                  <c:v>11.558</c:v>
                </c:pt>
                <c:pt idx="165">
                  <c:v>11.567</c:v>
                </c:pt>
                <c:pt idx="166">
                  <c:v>11.554</c:v>
                </c:pt>
                <c:pt idx="167">
                  <c:v>11.554</c:v>
                </c:pt>
                <c:pt idx="168">
                  <c:v>11.553000000000001</c:v>
                </c:pt>
                <c:pt idx="169">
                  <c:v>11.558</c:v>
                </c:pt>
                <c:pt idx="170">
                  <c:v>11.6</c:v>
                </c:pt>
                <c:pt idx="171">
                  <c:v>11.503</c:v>
                </c:pt>
                <c:pt idx="172">
                  <c:v>11.564</c:v>
                </c:pt>
                <c:pt idx="173">
                  <c:v>11.609</c:v>
                </c:pt>
                <c:pt idx="174">
                  <c:v>11.683999999999999</c:v>
                </c:pt>
                <c:pt idx="175">
                  <c:v>11.7</c:v>
                </c:pt>
                <c:pt idx="176">
                  <c:v>11.797000000000001</c:v>
                </c:pt>
                <c:pt idx="177">
                  <c:v>11.808999999999999</c:v>
                </c:pt>
                <c:pt idx="178">
                  <c:v>11.832000000000001</c:v>
                </c:pt>
                <c:pt idx="179">
                  <c:v>11.827</c:v>
                </c:pt>
                <c:pt idx="180">
                  <c:v>11.821</c:v>
                </c:pt>
                <c:pt idx="181">
                  <c:v>11.821999999999999</c:v>
                </c:pt>
                <c:pt idx="182">
                  <c:v>11.821</c:v>
                </c:pt>
                <c:pt idx="183">
                  <c:v>11.813000000000001</c:v>
                </c:pt>
                <c:pt idx="184">
                  <c:v>11.836</c:v>
                </c:pt>
                <c:pt idx="185">
                  <c:v>11.827</c:v>
                </c:pt>
                <c:pt idx="186">
                  <c:v>11.824</c:v>
                </c:pt>
                <c:pt idx="187">
                  <c:v>11.833</c:v>
                </c:pt>
                <c:pt idx="188">
                  <c:v>11.83</c:v>
                </c:pt>
                <c:pt idx="189">
                  <c:v>11.824999999999999</c:v>
                </c:pt>
                <c:pt idx="190">
                  <c:v>11.826000000000001</c:v>
                </c:pt>
                <c:pt idx="191">
                  <c:v>11.83</c:v>
                </c:pt>
                <c:pt idx="192">
                  <c:v>11.826000000000001</c:v>
                </c:pt>
                <c:pt idx="193">
                  <c:v>11.831</c:v>
                </c:pt>
                <c:pt idx="194">
                  <c:v>11.834</c:v>
                </c:pt>
                <c:pt idx="195">
                  <c:v>11.834</c:v>
                </c:pt>
                <c:pt idx="196">
                  <c:v>11.831</c:v>
                </c:pt>
                <c:pt idx="197">
                  <c:v>11.834</c:v>
                </c:pt>
                <c:pt idx="198">
                  <c:v>11.829000000000001</c:v>
                </c:pt>
                <c:pt idx="199">
                  <c:v>11.832000000000001</c:v>
                </c:pt>
                <c:pt idx="200">
                  <c:v>11.834</c:v>
                </c:pt>
                <c:pt idx="201">
                  <c:v>11.832000000000001</c:v>
                </c:pt>
                <c:pt idx="202">
                  <c:v>11.835000000000001</c:v>
                </c:pt>
                <c:pt idx="203">
                  <c:v>11.833</c:v>
                </c:pt>
                <c:pt idx="204">
                  <c:v>11.827999999999999</c:v>
                </c:pt>
                <c:pt idx="205">
                  <c:v>11.973000000000001</c:v>
                </c:pt>
                <c:pt idx="206">
                  <c:v>11.946</c:v>
                </c:pt>
                <c:pt idx="207">
                  <c:v>11.917</c:v>
                </c:pt>
                <c:pt idx="208">
                  <c:v>11.98</c:v>
                </c:pt>
                <c:pt idx="209">
                  <c:v>12.068</c:v>
                </c:pt>
                <c:pt idx="210">
                  <c:v>12.071</c:v>
                </c:pt>
                <c:pt idx="211">
                  <c:v>12.07</c:v>
                </c:pt>
                <c:pt idx="212">
                  <c:v>12.097</c:v>
                </c:pt>
                <c:pt idx="213">
                  <c:v>12.092000000000001</c:v>
                </c:pt>
                <c:pt idx="214">
                  <c:v>12.083</c:v>
                </c:pt>
                <c:pt idx="215">
                  <c:v>12.093</c:v>
                </c:pt>
                <c:pt idx="216">
                  <c:v>12.147</c:v>
                </c:pt>
                <c:pt idx="217">
                  <c:v>12.128</c:v>
                </c:pt>
                <c:pt idx="218">
                  <c:v>12.173</c:v>
                </c:pt>
                <c:pt idx="219">
                  <c:v>12.178000000000001</c:v>
                </c:pt>
                <c:pt idx="220">
                  <c:v>12.198</c:v>
                </c:pt>
                <c:pt idx="221">
                  <c:v>12.214</c:v>
                </c:pt>
                <c:pt idx="222">
                  <c:v>12.315</c:v>
                </c:pt>
                <c:pt idx="223">
                  <c:v>12.228</c:v>
                </c:pt>
                <c:pt idx="224">
                  <c:v>12.224</c:v>
                </c:pt>
                <c:pt idx="225">
                  <c:v>12.162000000000001</c:v>
                </c:pt>
                <c:pt idx="226">
                  <c:v>12.255000000000001</c:v>
                </c:pt>
                <c:pt idx="227">
                  <c:v>12.249000000000001</c:v>
                </c:pt>
                <c:pt idx="228">
                  <c:v>12.352</c:v>
                </c:pt>
                <c:pt idx="229">
                  <c:v>12.355</c:v>
                </c:pt>
                <c:pt idx="230">
                  <c:v>12.391</c:v>
                </c:pt>
                <c:pt idx="231">
                  <c:v>12.367000000000001</c:v>
                </c:pt>
                <c:pt idx="232">
                  <c:v>12.398999999999999</c:v>
                </c:pt>
                <c:pt idx="233">
                  <c:v>12.369</c:v>
                </c:pt>
                <c:pt idx="234">
                  <c:v>12.382</c:v>
                </c:pt>
                <c:pt idx="235">
                  <c:v>12.406000000000001</c:v>
                </c:pt>
                <c:pt idx="236">
                  <c:v>12.414</c:v>
                </c:pt>
                <c:pt idx="237">
                  <c:v>12.404</c:v>
                </c:pt>
                <c:pt idx="238">
                  <c:v>12.333</c:v>
                </c:pt>
                <c:pt idx="239">
                  <c:v>12.33</c:v>
                </c:pt>
                <c:pt idx="240">
                  <c:v>12.41</c:v>
                </c:pt>
                <c:pt idx="241">
                  <c:v>12.416</c:v>
                </c:pt>
                <c:pt idx="242">
                  <c:v>12.451000000000001</c:v>
                </c:pt>
                <c:pt idx="243">
                  <c:v>12.438000000000001</c:v>
                </c:pt>
                <c:pt idx="244">
                  <c:v>12.500999999999999</c:v>
                </c:pt>
                <c:pt idx="245">
                  <c:v>12.5</c:v>
                </c:pt>
                <c:pt idx="246">
                  <c:v>12.43</c:v>
                </c:pt>
                <c:pt idx="247">
                  <c:v>12.6</c:v>
                </c:pt>
                <c:pt idx="248">
                  <c:v>12.593</c:v>
                </c:pt>
                <c:pt idx="249">
                  <c:v>12.54</c:v>
                </c:pt>
                <c:pt idx="250">
                  <c:v>12.435</c:v>
                </c:pt>
                <c:pt idx="251">
                  <c:v>12.593</c:v>
                </c:pt>
                <c:pt idx="252">
                  <c:v>12.555</c:v>
                </c:pt>
                <c:pt idx="253">
                  <c:v>12.515000000000001</c:v>
                </c:pt>
                <c:pt idx="254">
                  <c:v>12.622</c:v>
                </c:pt>
                <c:pt idx="255">
                  <c:v>12.617000000000001</c:v>
                </c:pt>
                <c:pt idx="256">
                  <c:v>12.609</c:v>
                </c:pt>
                <c:pt idx="257">
                  <c:v>12.577</c:v>
                </c:pt>
                <c:pt idx="258">
                  <c:v>12.724</c:v>
                </c:pt>
                <c:pt idx="259">
                  <c:v>12.74</c:v>
                </c:pt>
                <c:pt idx="260">
                  <c:v>12.75</c:v>
                </c:pt>
                <c:pt idx="261">
                  <c:v>12.826000000000001</c:v>
                </c:pt>
                <c:pt idx="262">
                  <c:v>12.816000000000001</c:v>
                </c:pt>
                <c:pt idx="263">
                  <c:v>12.583</c:v>
                </c:pt>
                <c:pt idx="264">
                  <c:v>12.951000000000001</c:v>
                </c:pt>
                <c:pt idx="265">
                  <c:v>12.936</c:v>
                </c:pt>
                <c:pt idx="266">
                  <c:v>13.007</c:v>
                </c:pt>
                <c:pt idx="267">
                  <c:v>12.978</c:v>
                </c:pt>
                <c:pt idx="268">
                  <c:v>12.964</c:v>
                </c:pt>
                <c:pt idx="269">
                  <c:v>13.013</c:v>
                </c:pt>
                <c:pt idx="270">
                  <c:v>13.141999999999999</c:v>
                </c:pt>
                <c:pt idx="271">
                  <c:v>13.265000000000001</c:v>
                </c:pt>
                <c:pt idx="272">
                  <c:v>13.186999999999999</c:v>
                </c:pt>
                <c:pt idx="273">
                  <c:v>13.103999999999999</c:v>
                </c:pt>
                <c:pt idx="274">
                  <c:v>13.237</c:v>
                </c:pt>
                <c:pt idx="275">
                  <c:v>13.175000000000001</c:v>
                </c:pt>
                <c:pt idx="276">
                  <c:v>13.736000000000001</c:v>
                </c:pt>
                <c:pt idx="277">
                  <c:v>13.691000000000001</c:v>
                </c:pt>
                <c:pt idx="278">
                  <c:v>13.946</c:v>
                </c:pt>
                <c:pt idx="279">
                  <c:v>13.912000000000001</c:v>
                </c:pt>
                <c:pt idx="280">
                  <c:v>14.003</c:v>
                </c:pt>
                <c:pt idx="281">
                  <c:v>14.105</c:v>
                </c:pt>
                <c:pt idx="282">
                  <c:v>13.914999999999999</c:v>
                </c:pt>
                <c:pt idx="283">
                  <c:v>13.852</c:v>
                </c:pt>
                <c:pt idx="284">
                  <c:v>13.877000000000001</c:v>
                </c:pt>
                <c:pt idx="285">
                  <c:v>13.831</c:v>
                </c:pt>
                <c:pt idx="286">
                  <c:v>13.87</c:v>
                </c:pt>
                <c:pt idx="287">
                  <c:v>13.835000000000001</c:v>
                </c:pt>
                <c:pt idx="288">
                  <c:v>13.868</c:v>
                </c:pt>
                <c:pt idx="289">
                  <c:v>13.897</c:v>
                </c:pt>
                <c:pt idx="290">
                  <c:v>13.827999999999999</c:v>
                </c:pt>
                <c:pt idx="291">
                  <c:v>13.968999999999999</c:v>
                </c:pt>
                <c:pt idx="292">
                  <c:v>13.836</c:v>
                </c:pt>
                <c:pt idx="293">
                  <c:v>13.797000000000001</c:v>
                </c:pt>
                <c:pt idx="294">
                  <c:v>13.891999999999999</c:v>
                </c:pt>
                <c:pt idx="295">
                  <c:v>13.766999999999999</c:v>
                </c:pt>
                <c:pt idx="296">
                  <c:v>13.757999999999999</c:v>
                </c:pt>
                <c:pt idx="297">
                  <c:v>13.816000000000001</c:v>
                </c:pt>
                <c:pt idx="298">
                  <c:v>13.8</c:v>
                </c:pt>
                <c:pt idx="299">
                  <c:v>13.897</c:v>
                </c:pt>
                <c:pt idx="300">
                  <c:v>13.8</c:v>
                </c:pt>
                <c:pt idx="301">
                  <c:v>13.763999999999999</c:v>
                </c:pt>
                <c:pt idx="302">
                  <c:v>13.757999999999999</c:v>
                </c:pt>
                <c:pt idx="303">
                  <c:v>13.707000000000001</c:v>
                </c:pt>
                <c:pt idx="304">
                  <c:v>13.782999999999999</c:v>
                </c:pt>
                <c:pt idx="305">
                  <c:v>13.742000000000001</c:v>
                </c:pt>
                <c:pt idx="306">
                  <c:v>13.712999999999999</c:v>
                </c:pt>
                <c:pt idx="307">
                  <c:v>13.73</c:v>
                </c:pt>
                <c:pt idx="308">
                  <c:v>13.83</c:v>
                </c:pt>
                <c:pt idx="309">
                  <c:v>13.762</c:v>
                </c:pt>
                <c:pt idx="310">
                  <c:v>13.813000000000001</c:v>
                </c:pt>
                <c:pt idx="311">
                  <c:v>13.737</c:v>
                </c:pt>
                <c:pt idx="312">
                  <c:v>13.692</c:v>
                </c:pt>
                <c:pt idx="313">
                  <c:v>13.701000000000001</c:v>
                </c:pt>
                <c:pt idx="314">
                  <c:v>13.701000000000001</c:v>
                </c:pt>
                <c:pt idx="315">
                  <c:v>13.601000000000001</c:v>
                </c:pt>
                <c:pt idx="316">
                  <c:v>13.714</c:v>
                </c:pt>
                <c:pt idx="317">
                  <c:v>13.632</c:v>
                </c:pt>
                <c:pt idx="318">
                  <c:v>13.688000000000001</c:v>
                </c:pt>
                <c:pt idx="319">
                  <c:v>13.664</c:v>
                </c:pt>
                <c:pt idx="320">
                  <c:v>13.725</c:v>
                </c:pt>
                <c:pt idx="321">
                  <c:v>13.632</c:v>
                </c:pt>
                <c:pt idx="322">
                  <c:v>13.66</c:v>
                </c:pt>
                <c:pt idx="323">
                  <c:v>13.62</c:v>
                </c:pt>
                <c:pt idx="324">
                  <c:v>13.682</c:v>
                </c:pt>
                <c:pt idx="325">
                  <c:v>13.676</c:v>
                </c:pt>
                <c:pt idx="326">
                  <c:v>13.669</c:v>
                </c:pt>
                <c:pt idx="327">
                  <c:v>13.603999999999999</c:v>
                </c:pt>
                <c:pt idx="328">
                  <c:v>13.64</c:v>
                </c:pt>
                <c:pt idx="329">
                  <c:v>13.64</c:v>
                </c:pt>
                <c:pt idx="330">
                  <c:v>13.6</c:v>
                </c:pt>
                <c:pt idx="331">
                  <c:v>13.625999999999999</c:v>
                </c:pt>
                <c:pt idx="332">
                  <c:v>13.603</c:v>
                </c:pt>
                <c:pt idx="333">
                  <c:v>13.645</c:v>
                </c:pt>
                <c:pt idx="334">
                  <c:v>13.726000000000001</c:v>
                </c:pt>
                <c:pt idx="335">
                  <c:v>13.584</c:v>
                </c:pt>
                <c:pt idx="336">
                  <c:v>13.574999999999999</c:v>
                </c:pt>
                <c:pt idx="337">
                  <c:v>13.615</c:v>
                </c:pt>
                <c:pt idx="338">
                  <c:v>13.606999999999999</c:v>
                </c:pt>
                <c:pt idx="339">
                  <c:v>13.615</c:v>
                </c:pt>
                <c:pt idx="340">
                  <c:v>13.493</c:v>
                </c:pt>
                <c:pt idx="341">
                  <c:v>13.510999999999999</c:v>
                </c:pt>
                <c:pt idx="342">
                  <c:v>13.542</c:v>
                </c:pt>
                <c:pt idx="343">
                  <c:v>13.557</c:v>
                </c:pt>
                <c:pt idx="344">
                  <c:v>13.491</c:v>
                </c:pt>
                <c:pt idx="345">
                  <c:v>13.528</c:v>
                </c:pt>
                <c:pt idx="346">
                  <c:v>13.472</c:v>
                </c:pt>
                <c:pt idx="347">
                  <c:v>13.566000000000001</c:v>
                </c:pt>
                <c:pt idx="348">
                  <c:v>13.59</c:v>
                </c:pt>
                <c:pt idx="349">
                  <c:v>13.53</c:v>
                </c:pt>
                <c:pt idx="350">
                  <c:v>13.467000000000001</c:v>
                </c:pt>
                <c:pt idx="351">
                  <c:v>13.432</c:v>
                </c:pt>
                <c:pt idx="352">
                  <c:v>13.414999999999999</c:v>
                </c:pt>
                <c:pt idx="353">
                  <c:v>13.481999999999999</c:v>
                </c:pt>
                <c:pt idx="354">
                  <c:v>13.372999999999999</c:v>
                </c:pt>
                <c:pt idx="355">
                  <c:v>13.412000000000001</c:v>
                </c:pt>
                <c:pt idx="356">
                  <c:v>13.398999999999999</c:v>
                </c:pt>
                <c:pt idx="357">
                  <c:v>13.304</c:v>
                </c:pt>
                <c:pt idx="358">
                  <c:v>13.259</c:v>
                </c:pt>
                <c:pt idx="359">
                  <c:v>13.260999999999999</c:v>
                </c:pt>
                <c:pt idx="360">
                  <c:v>13.246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27-4F2A-8DE7-834BD40CF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201400"/>
        <c:axId val="776202384"/>
      </c:scatterChart>
      <c:valAx>
        <c:axId val="77620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6202384"/>
        <c:crosses val="max"/>
        <c:crossBetween val="midCat"/>
      </c:valAx>
      <c:valAx>
        <c:axId val="776202384"/>
        <c:scaling>
          <c:orientation val="maxMin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6201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40" dropStyle="combo" dx="16" fmlaLink="$J$9" fmlaRange="$C$16:$C$40" noThreeD="1" sel="1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[3]Feuil1!$A$1" fmlaRange="[3]Feuil1!$B$3:$B$6" noThreeD="1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7</xdr:col>
      <xdr:colOff>647700</xdr:colOff>
      <xdr:row>15</xdr:row>
      <xdr:rowOff>57150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533400</xdr:colOff>
      <xdr:row>10</xdr:row>
      <xdr:rowOff>166687</xdr:rowOff>
    </xdr:from>
    <xdr:to>
      <xdr:col>14</xdr:col>
      <xdr:colOff>533400</xdr:colOff>
      <xdr:row>25</xdr:row>
      <xdr:rowOff>52387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1AE9251-FBCF-4948-885F-FEE5BFB31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9</xdr:row>
      <xdr:rowOff>100011</xdr:rowOff>
    </xdr:from>
    <xdr:to>
      <xdr:col>18</xdr:col>
      <xdr:colOff>85724</xdr:colOff>
      <xdr:row>22</xdr:row>
      <xdr:rowOff>38099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480F480-6CC5-47A1-98C7-E40B852504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676275</xdr:colOff>
      <xdr:row>23</xdr:row>
      <xdr:rowOff>0</xdr:rowOff>
    </xdr:from>
    <xdr:to>
      <xdr:col>18</xdr:col>
      <xdr:colOff>73379</xdr:colOff>
      <xdr:row>35</xdr:row>
      <xdr:rowOff>169407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7296CA66-241C-4922-ACE2-785410F9E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00825" y="3943350"/>
          <a:ext cx="7017104" cy="2798307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38</xdr:row>
      <xdr:rowOff>0</xdr:rowOff>
    </xdr:from>
    <xdr:to>
      <xdr:col>18</xdr:col>
      <xdr:colOff>142875</xdr:colOff>
      <xdr:row>50</xdr:row>
      <xdr:rowOff>157163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85586036-F8C9-46B2-8CAF-10F694A02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481012</xdr:colOff>
      <xdr:row>0</xdr:row>
      <xdr:rowOff>0</xdr:rowOff>
    </xdr:from>
    <xdr:to>
      <xdr:col>15</xdr:col>
      <xdr:colOff>76200</xdr:colOff>
      <xdr:row>25</xdr:row>
      <xdr:rowOff>52387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1696BE4-4BC9-4320-BAD3-C2D466249E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380999</xdr:colOff>
      <xdr:row>10</xdr:row>
      <xdr:rowOff>166687</xdr:rowOff>
    </xdr:from>
    <xdr:to>
      <xdr:col>15</xdr:col>
      <xdr:colOff>428624</xdr:colOff>
      <xdr:row>25</xdr:row>
      <xdr:rowOff>52387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424C896-1A52-41F3-A567-65A28FA1C2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10</xdr:row>
      <xdr:rowOff>166686</xdr:rowOff>
    </xdr:from>
    <xdr:to>
      <xdr:col>14</xdr:col>
      <xdr:colOff>657224</xdr:colOff>
      <xdr:row>31</xdr:row>
      <xdr:rowOff>76199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6F23639-6313-44BB-8943-8DAF19E02F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366712</xdr:colOff>
      <xdr:row>1</xdr:row>
      <xdr:rowOff>309561</xdr:rowOff>
    </xdr:from>
    <xdr:to>
      <xdr:col>18</xdr:col>
      <xdr:colOff>285750</xdr:colOff>
      <xdr:row>17</xdr:row>
      <xdr:rowOff>276225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1FFF853-C02C-4256-AC26-99554C7977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D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D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ySt_Or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GAnd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SySt_Orb"/>
      <sheetName val="Refs"/>
      <sheetName val="Phase"/>
      <sheetName val="Ext"/>
      <sheetName val="d"/>
      <sheetName val="CS"/>
      <sheetName val="Ref"/>
      <sheetName val="Feuil1"/>
      <sheetName val="Feuil3"/>
      <sheetName val="Hot"/>
    </sheetNames>
    <sheetDataSet>
      <sheetData sheetId="0"/>
      <sheetData sheetId="1">
        <row r="29">
          <cell r="Q29">
            <v>2457275</v>
          </cell>
        </row>
        <row r="30">
          <cell r="Q30">
            <v>42256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ListCall"/>
      <sheetName val="Export"/>
      <sheetName val="Feuil1"/>
      <sheetName val="Call"/>
      <sheetName val="Data"/>
      <sheetName val="f1"/>
      <sheetName val="RTCru"/>
      <sheetName val="MWC960"/>
      <sheetName val="Hen3-1341"/>
      <sheetName val="Hen3-1342"/>
      <sheetName val="Hen3-1768"/>
      <sheetName val="AS323"/>
      <sheetName val="Hen2-468"/>
      <sheetName val="StHa180"/>
      <sheetName val="MAJ"/>
      <sheetName val="Alias"/>
      <sheetName val="Sites"/>
      <sheetName val="AliasNom"/>
      <sheetName val="AliasSite"/>
      <sheetName val="AliasInstrum"/>
      <sheetName val="Suspected"/>
      <sheetName val="SuspectedLog"/>
      <sheetName val="AGDra"/>
      <sheetName val="AGPeg"/>
      <sheetName val="AS210"/>
      <sheetName val="AS245"/>
      <sheetName val="AS270"/>
      <sheetName val="AS289"/>
      <sheetName val="AXPer"/>
      <sheetName val="BDCam"/>
      <sheetName val="EFAql"/>
      <sheetName val="BFCyg"/>
      <sheetName val="BXMon"/>
      <sheetName val="CHCyg"/>
      <sheetName val="CICyg"/>
      <sheetName val="CQDra"/>
      <sheetName val="EGAnd"/>
      <sheetName val="ERDel"/>
      <sheetName val="FGSer"/>
      <sheetName val="FNSgr"/>
      <sheetName val="GHGem"/>
      <sheetName val="HMSge"/>
      <sheetName val="IVVir"/>
      <sheetName val="LTDel"/>
      <sheetName val="NQGem"/>
      <sheetName val="OmiCet"/>
      <sheetName val="PUVul"/>
      <sheetName val="QWSge"/>
      <sheetName val="RAqr"/>
      <sheetName val="RRTel"/>
      <sheetName val="RSOph"/>
      <sheetName val="RTSer"/>
      <sheetName val="RWHya"/>
      <sheetName val="SSLep"/>
      <sheetName val="StHa32"/>
      <sheetName val="StHa55"/>
      <sheetName val="StHa149"/>
      <sheetName val="StHa169"/>
      <sheetName val="StHa190"/>
      <sheetName val="SULyn"/>
      <sheetName val="TCrB"/>
      <sheetName val="TCPJ19544251+1722281"/>
      <sheetName val="TXCVn"/>
      <sheetName val="UVAur"/>
      <sheetName val="V335Vul"/>
      <sheetName val="V407Cyg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>
        <row r="65">
          <cell r="B65">
            <v>53</v>
          </cell>
          <cell r="C65">
            <v>43377</v>
          </cell>
          <cell r="D65">
            <v>0.86547453703703703</v>
          </cell>
          <cell r="E65">
            <v>2458396.3961999998</v>
          </cell>
          <cell r="F65" t="str">
            <v>GMYB</v>
          </cell>
          <cell r="G65" t="str">
            <v>OSM-FR</v>
          </cell>
          <cell r="H65" t="str">
            <v>SC11+Lisa+QSI583wsg</v>
          </cell>
          <cell r="I65">
            <v>1116</v>
          </cell>
          <cell r="M65"/>
          <cell r="N65"/>
          <cell r="O65"/>
          <cell r="P65">
            <v>3602</v>
          </cell>
          <cell r="Q65">
            <v>7400</v>
          </cell>
          <cell r="R65"/>
          <cell r="S65"/>
          <cell r="T65"/>
          <cell r="U65"/>
        </row>
        <row r="66">
          <cell r="B66">
            <v>54</v>
          </cell>
          <cell r="C66">
            <v>43378</v>
          </cell>
          <cell r="D66">
            <v>2.0462962962962964E-2</v>
          </cell>
          <cell r="E66">
            <v>2458396.5484000002</v>
          </cell>
          <cell r="F66" t="str">
            <v>GKA</v>
          </cell>
          <cell r="G66" t="str">
            <v>MAN-US</v>
          </cell>
          <cell r="H66" t="str">
            <v>SC10+Alpy600+Atik314L</v>
          </cell>
          <cell r="I66">
            <v>555</v>
          </cell>
          <cell r="M66"/>
          <cell r="N66"/>
          <cell r="O66"/>
          <cell r="P66">
            <v>3696</v>
          </cell>
          <cell r="Q66">
            <v>7383</v>
          </cell>
          <cell r="R66"/>
          <cell r="S66"/>
          <cell r="T66"/>
          <cell r="U66"/>
        </row>
        <row r="67">
          <cell r="B67">
            <v>55</v>
          </cell>
          <cell r="C67">
            <v>43385</v>
          </cell>
          <cell r="D67">
            <v>0.72693287037037047</v>
          </cell>
          <cell r="E67">
            <v>2458404.2607</v>
          </cell>
          <cell r="F67" t="str">
            <v>BER</v>
          </cell>
          <cell r="G67" t="str">
            <v>BVO-IT</v>
          </cell>
          <cell r="H67" t="str">
            <v>LHIRES3600C9SXVR-H694</v>
          </cell>
          <cell r="I67">
            <v>1919</v>
          </cell>
          <cell r="M67"/>
          <cell r="N67"/>
          <cell r="O67"/>
          <cell r="P67">
            <v>4482</v>
          </cell>
          <cell r="Q67">
            <v>5503</v>
          </cell>
          <cell r="R67"/>
          <cell r="S67"/>
          <cell r="T67"/>
          <cell r="U67"/>
        </row>
        <row r="68">
          <cell r="B68">
            <v>56</v>
          </cell>
          <cell r="C68">
            <v>43385</v>
          </cell>
          <cell r="D68">
            <v>0.75118055555555552</v>
          </cell>
          <cell r="E68">
            <v>2458404.2906999998</v>
          </cell>
          <cell r="F68" t="str">
            <v>SOL</v>
          </cell>
          <cell r="G68" t="str">
            <v>AQL-IT</v>
          </cell>
          <cell r="H68" t="str">
            <v>SC9+Spectro_JGF1+SbigST-8300</v>
          </cell>
          <cell r="I68">
            <v>8422</v>
          </cell>
          <cell r="M68"/>
          <cell r="N68"/>
          <cell r="O68"/>
          <cell r="P68">
            <v>6387</v>
          </cell>
          <cell r="Q68">
            <v>6765</v>
          </cell>
          <cell r="R68"/>
          <cell r="S68"/>
          <cell r="T68"/>
          <cell r="U68"/>
        </row>
        <row r="69">
          <cell r="B69">
            <v>57</v>
          </cell>
          <cell r="C69">
            <v>43391</v>
          </cell>
          <cell r="D69">
            <v>0.79706018518518518</v>
          </cell>
          <cell r="E69">
            <v>2458410.3327000001</v>
          </cell>
          <cell r="F69" t="str">
            <v>SCH</v>
          </cell>
          <cell r="G69" t="str">
            <v>DUR-FR</v>
          </cell>
          <cell r="H69" t="str">
            <v>T500+eShel+Atik460EX</v>
          </cell>
          <cell r="I69">
            <v>11000</v>
          </cell>
          <cell r="M69"/>
          <cell r="N69"/>
          <cell r="O69"/>
          <cell r="P69">
            <v>4036</v>
          </cell>
          <cell r="Q69">
            <v>7592</v>
          </cell>
          <cell r="R69"/>
          <cell r="S69"/>
          <cell r="T69"/>
          <cell r="U69"/>
        </row>
        <row r="70">
          <cell r="B70">
            <v>58</v>
          </cell>
          <cell r="C70">
            <v>43392</v>
          </cell>
          <cell r="D70">
            <v>0.73474537037037047</v>
          </cell>
          <cell r="E70">
            <v>2458411.2684999998</v>
          </cell>
          <cell r="F70" t="str">
            <v>BER</v>
          </cell>
          <cell r="G70" t="str">
            <v>BVO-IT</v>
          </cell>
          <cell r="H70" t="str">
            <v>LHIRES31200C9SXVR-H694</v>
          </cell>
          <cell r="I70">
            <v>5307</v>
          </cell>
          <cell r="M70"/>
          <cell r="N70"/>
          <cell r="O70"/>
          <cell r="P70">
            <v>6388</v>
          </cell>
          <cell r="Q70">
            <v>6743</v>
          </cell>
          <cell r="R70"/>
          <cell r="S70"/>
          <cell r="T70"/>
          <cell r="U70"/>
        </row>
        <row r="71">
          <cell r="B71">
            <v>59</v>
          </cell>
          <cell r="C71">
            <v>43404</v>
          </cell>
          <cell r="D71">
            <v>0.82326388888888891</v>
          </cell>
          <cell r="E71">
            <v>2458423.3091000002</v>
          </cell>
          <cell r="F71" t="str">
            <v>PSO</v>
          </cell>
          <cell r="G71" t="str">
            <v>TAT-HU</v>
          </cell>
          <cell r="H71" t="str">
            <v>T300+LhiresIII_600_35+Atik428esm</v>
          </cell>
          <cell r="I71">
            <v>2409</v>
          </cell>
          <cell r="M71"/>
          <cell r="N71"/>
          <cell r="O71"/>
          <cell r="P71">
            <v>8093</v>
          </cell>
          <cell r="Q71">
            <v>8791</v>
          </cell>
          <cell r="R71"/>
          <cell r="S71"/>
          <cell r="T71"/>
          <cell r="U71"/>
        </row>
      </sheetData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Tri"/>
      <sheetName val="V"/>
      <sheetName val="B"/>
      <sheetName val="M"/>
      <sheetName val="Feuil1"/>
      <sheetName val="Ech"/>
    </sheetNames>
    <sheetDataSet>
      <sheetData sheetId="0"/>
      <sheetData sheetId="1"/>
      <sheetData sheetId="2"/>
      <sheetData sheetId="3"/>
      <sheetData sheetId="4"/>
      <sheetData sheetId="5">
        <row r="1">
          <cell r="A1">
            <v>1</v>
          </cell>
        </row>
        <row r="3">
          <cell r="A3">
            <v>1</v>
          </cell>
          <cell r="B3" t="str">
            <v>b</v>
          </cell>
        </row>
        <row r="4">
          <cell r="A4">
            <v>2</v>
          </cell>
          <cell r="B4" t="str">
            <v>r</v>
          </cell>
        </row>
        <row r="5">
          <cell r="A5">
            <v>3</v>
          </cell>
          <cell r="B5" t="str">
            <v>k</v>
          </cell>
        </row>
        <row r="6">
          <cell r="A6">
            <v>4</v>
          </cell>
          <cell r="B6" t="str">
            <v>g</v>
          </cell>
        </row>
      </sheetData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m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ois teyssier" refreshedDate="43764.688217708332" createdVersion="6" refreshedVersion="6" minRefreshableVersion="3" recordCount="1161" xr:uid="{93AAF44B-9645-4B50-98F6-69F8A294020F}">
  <cacheSource type="worksheet">
    <worksheetSource ref="G1:H1048576" sheet="V_Sort"/>
  </cacheSource>
  <cacheFields count="2">
    <cacheField name="jd" numFmtId="0">
      <sharedItems containsString="0" containsBlank="1" containsNumber="1" minValue="8341.1" maxValue="8780.6" count="223">
        <n v="8341.1"/>
        <n v="8342.6"/>
        <n v="8342.7000000000007"/>
        <n v="8343.2999999999993"/>
        <n v="8343.5"/>
        <n v="8343.7000000000007"/>
        <n v="8344.2999999999993"/>
        <n v="8344.4"/>
        <n v="8344.6"/>
        <n v="8345.4"/>
        <n v="8345.5"/>
        <n v="8345.7000000000007"/>
        <n v="8345.7999999999993"/>
        <n v="8346.7000000000007"/>
        <n v="8346.7999999999993"/>
        <n v="8346.9"/>
        <n v="8347.4"/>
        <n v="8349.5"/>
        <n v="8350.5"/>
        <n v="8351.5"/>
        <n v="8352.5"/>
        <n v="8353.4"/>
        <n v="8354.5"/>
        <n v="8355.5"/>
        <n v="8355.7999999999993"/>
        <n v="8356.5"/>
        <n v="8357.5"/>
        <n v="8358.5"/>
        <n v="8359.4"/>
        <n v="8359.5"/>
        <n v="8360.5"/>
        <n v="8361.5"/>
        <n v="8362.4"/>
        <n v="8362.5"/>
        <n v="8363.5"/>
        <n v="8364.2999999999993"/>
        <n v="8364.4"/>
        <n v="8364.5"/>
        <n v="8365.5"/>
        <n v="8366.4"/>
        <n v="8366.5"/>
        <n v="8367.5"/>
        <n v="8367.6"/>
        <n v="8367.7000000000007"/>
        <n v="8368.5"/>
        <n v="8368.6"/>
        <n v="8369.2999999999993"/>
        <n v="8369.5"/>
        <n v="8370.2999999999993"/>
        <n v="8370.5"/>
        <n v="8371.5"/>
        <n v="8372.5"/>
        <n v="8373.5"/>
        <n v="8374.5"/>
        <n v="8375.2999999999993"/>
        <n v="8375.5"/>
        <n v="8376.2999999999993"/>
        <n v="8378.2999999999993"/>
        <n v="8379.4"/>
        <n v="8380.5"/>
        <n v="8381.4"/>
        <n v="8381.5"/>
        <n v="8382.4"/>
        <n v="8382.5"/>
        <n v="8383.4"/>
        <n v="8383.5"/>
        <n v="8384.5"/>
        <n v="8385.4"/>
        <n v="8385.5"/>
        <n v="8386.2999999999993"/>
        <n v="8386.5"/>
        <n v="8387.5"/>
        <n v="8388.2999999999993"/>
        <n v="8388.4"/>
        <n v="8388.5"/>
        <n v="8389.2999999999993"/>
        <n v="8389.5"/>
        <n v="8389.7000000000007"/>
        <n v="8390.2999999999993"/>
        <n v="8390.4"/>
        <n v="8390.5"/>
        <n v="8392.5"/>
        <n v="8393.5"/>
        <n v="8394.4"/>
        <n v="8394.5"/>
        <n v="8395.2999999999993"/>
        <n v="8395.5"/>
        <n v="8395.6"/>
        <n v="8396.4"/>
        <n v="8396.5"/>
        <n v="8397.5"/>
        <n v="8398.2999999999993"/>
        <n v="8400.6"/>
        <n v="8401.2999999999993"/>
        <n v="8401.6"/>
        <n v="8402.2999999999993"/>
        <n v="8402.6"/>
        <n v="8403.6"/>
        <n v="8404.2999999999993"/>
        <n v="8404.6"/>
        <n v="8405.6"/>
        <n v="8406.2999999999993"/>
        <n v="8406.6"/>
        <n v="8407.2999999999993"/>
        <n v="8407.6"/>
        <n v="8408.6"/>
        <n v="8409.2999999999993"/>
        <n v="8409.6"/>
        <n v="8410.5"/>
        <n v="8411.2999999999993"/>
        <n v="8411.5"/>
        <n v="8413.5"/>
        <n v="8414.5"/>
        <n v="8415.2000000000007"/>
        <n v="8415.5"/>
        <n v="8416.5"/>
        <n v="8417.5"/>
        <n v="8418.5"/>
        <n v="8419.5"/>
        <n v="8420.2000000000007"/>
        <n v="8420.5"/>
        <n v="8420.6"/>
        <n v="8421.5"/>
        <n v="8422.5"/>
        <n v="8423.2000000000007"/>
        <n v="8423.5"/>
        <n v="8424.5"/>
        <n v="8425.4"/>
        <n v="8425.5"/>
        <n v="8425.6"/>
        <n v="8427.5"/>
        <n v="8428.2999999999993"/>
        <n v="8428.5"/>
        <n v="8429.5"/>
        <n v="8429.6"/>
        <n v="8430.5"/>
        <n v="8431.2000000000007"/>
        <n v="8431.5"/>
        <n v="8432.5"/>
        <n v="8433.2000000000007"/>
        <n v="8433.5"/>
        <n v="8434.5"/>
        <n v="8435.5"/>
        <n v="8436.5"/>
        <n v="8436.6"/>
        <n v="8437.2999999999993"/>
        <n v="8438.5"/>
        <n v="8439.2000000000007"/>
        <n v="8439.5"/>
        <n v="8440.4"/>
        <n v="8440.5"/>
        <n v="8441.5"/>
        <n v="8442.5"/>
        <n v="8442.6"/>
        <n v="8443.5"/>
        <n v="8444.5"/>
        <n v="8445.5"/>
        <n v="8446.5"/>
        <n v="8447.5"/>
        <n v="8448.5"/>
        <n v="8449.5"/>
        <n v="8450.5"/>
        <n v="8451.5"/>
        <n v="8453.2000000000007"/>
        <n v="8462.2000000000007"/>
        <n v="8464.2999999999993"/>
        <n v="8478.2999999999993"/>
        <n v="8479.2000000000007"/>
        <n v="8487.2000000000007"/>
        <n v="8503.2000000000007"/>
        <n v="8577.6"/>
        <n v="8597.6"/>
        <n v="8643.4"/>
        <n v="8649.7999999999993"/>
        <n v="8654.7000000000007"/>
        <n v="8663.4"/>
        <n v="8664.4"/>
        <n v="8665.7999999999993"/>
        <n v="8672.4"/>
        <n v="8677.7000000000007"/>
        <n v="8681.4"/>
        <n v="8685.4"/>
        <n v="8685.7000000000007"/>
        <n v="8687.4"/>
        <n v="8688.4"/>
        <n v="8690.5"/>
        <n v="8693.4"/>
        <n v="8694.4"/>
        <n v="8697.4"/>
        <n v="8698.4"/>
        <n v="8699.4"/>
        <n v="8703.4"/>
        <n v="8706.4"/>
        <n v="8707.7000000000007"/>
        <n v="8708.4"/>
        <n v="8714.4"/>
        <n v="8715.4"/>
        <n v="8716.2999999999993"/>
        <n v="8717.4"/>
        <n v="8720.2999999999993"/>
        <n v="8721.7000000000007"/>
        <n v="8722.2999999999993"/>
        <n v="8726.2999999999993"/>
        <n v="8727.7999999999993"/>
        <n v="8728.2999999999993"/>
        <n v="8731.2999999999993"/>
        <n v="8739.7000000000007"/>
        <n v="8739.7999999999993"/>
        <n v="8740.2999999999993"/>
        <n v="8744.2999999999993"/>
        <n v="8745.2999999999993"/>
        <n v="8747.2999999999993"/>
        <n v="8747.7000000000007"/>
        <n v="8748.2999999999993"/>
        <n v="8753.6"/>
        <n v="8759.2999999999993"/>
        <n v="8761.2999999999993"/>
        <n v="8762.6"/>
        <n v="8765.2999999999993"/>
        <n v="8768.7000000000007"/>
        <n v="8773.6"/>
        <n v="8780.6"/>
        <m/>
      </sharedItems>
    </cacheField>
    <cacheField name="mag" numFmtId="0">
      <sharedItems containsString="0" containsBlank="1" containsNumber="1" minValue="10.733000000000001" maxValue="12.9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ois teyssier" refreshedDate="43764.701079629631" createdVersion="6" refreshedVersion="6" minRefreshableVersion="3" recordCount="1161" xr:uid="{7704CA9D-B7FA-433D-9179-3A2CC869162B}">
  <cacheSource type="worksheet">
    <worksheetSource ref="J1:M1048576" sheet="V_Sort"/>
  </cacheSource>
  <cacheFields count="4">
    <cacheField name="jd" numFmtId="0">
      <sharedItems containsString="0" containsBlank="1" containsNumber="1" minValue="8341.1025999998674" maxValue="8780.5840699998662"/>
    </cacheField>
    <cacheField name="jd1" numFmtId="0">
      <sharedItems containsString="0" containsBlank="1" containsNumber="1" minValue="8341" maxValue="8780.5"/>
    </cacheField>
    <cacheField name="jd2" numFmtId="0">
      <sharedItems containsString="0" containsBlank="1" containsNumber="1" minValue="8341" maxValue="8780.5" count="198">
        <n v="8341"/>
        <n v="8342.5"/>
        <n v="8343.25"/>
        <n v="8343.5"/>
        <n v="8344.25"/>
        <n v="8344.5"/>
        <n v="8345.25"/>
        <n v="8345.5"/>
        <n v="8345.75"/>
        <n v="8346.5"/>
        <n v="8346.75"/>
        <n v="8347.25"/>
        <n v="8349.5"/>
        <n v="8350.5"/>
        <n v="8351.5"/>
        <n v="8352.25"/>
        <n v="8353.25"/>
        <n v="8354.5"/>
        <n v="8355.5"/>
        <n v="8355.75"/>
        <n v="8356.5"/>
        <n v="8357.25"/>
        <n v="8357.5"/>
        <n v="8358.25"/>
        <n v="8359.25"/>
        <n v="8360.25"/>
        <n v="8361.25"/>
        <n v="8362.25"/>
        <n v="8363.5"/>
        <n v="8364.25"/>
        <n v="8365.25"/>
        <n v="8366.25"/>
        <n v="8367.25"/>
        <n v="8367.5"/>
        <n v="8368.25"/>
        <n v="8368.5"/>
        <n v="8369.25"/>
        <n v="8370.25"/>
        <n v="8370.5"/>
        <n v="8371.25"/>
        <n v="8372.25"/>
        <n v="8373.25"/>
        <n v="8374.25"/>
        <n v="8375.25"/>
        <n v="8376.25"/>
        <n v="8378.25"/>
        <n v="8379.25"/>
        <n v="8380.5"/>
        <n v="8381.25"/>
        <n v="8382.25"/>
        <n v="8383.25"/>
        <n v="8384.25"/>
        <n v="8385.25"/>
        <n v="8386.25"/>
        <n v="8386.5"/>
        <n v="8387.5"/>
        <n v="8388.25"/>
        <n v="8388.5"/>
        <n v="8389.25"/>
        <n v="8389.5"/>
        <n v="8390.25"/>
        <n v="8390.5"/>
        <n v="8392.5"/>
        <n v="8393.5"/>
        <n v="8394.25"/>
        <n v="8394.5"/>
        <n v="8395.25"/>
        <n v="8395.5"/>
        <n v="8396.25"/>
        <n v="8396.5"/>
        <n v="8397.5"/>
        <n v="8398.25"/>
        <n v="8400.5"/>
        <n v="8401.25"/>
        <n v="8401.5"/>
        <n v="8402.25"/>
        <n v="8402.5"/>
        <n v="8403.5"/>
        <n v="8404.25"/>
        <n v="8404.5"/>
        <n v="8405.5"/>
        <n v="8406.25"/>
        <n v="8406.5"/>
        <n v="8407.25"/>
        <n v="8407.5"/>
        <n v="8408.5"/>
        <n v="8409.25"/>
        <n v="8409.5"/>
        <n v="8410.5"/>
        <n v="8411.25"/>
        <n v="8411.5"/>
        <n v="8413.5"/>
        <n v="8414.5"/>
        <n v="8415"/>
        <n v="8415.5"/>
        <n v="8416.5"/>
        <n v="8417.5"/>
        <n v="8418.5"/>
        <n v="8419.5"/>
        <n v="8420"/>
        <n v="8420.5"/>
        <n v="8421.5"/>
        <n v="8422.5"/>
        <n v="8423"/>
        <n v="8423.5"/>
        <n v="8424.5"/>
        <n v="8425.25"/>
        <n v="8425.5"/>
        <n v="8427.5"/>
        <n v="8428.25"/>
        <n v="8428.5"/>
        <n v="8429.5"/>
        <n v="8430.5"/>
        <n v="8431"/>
        <n v="8431.5"/>
        <n v="8432.5"/>
        <n v="8433"/>
        <n v="8433.5"/>
        <n v="8434.5"/>
        <n v="8435.5"/>
        <n v="8436.5"/>
        <n v="8437.25"/>
        <n v="8438.5"/>
        <n v="8439"/>
        <n v="8439.5"/>
        <n v="8440.25"/>
        <n v="8440.5"/>
        <n v="8441.5"/>
        <n v="8442.5"/>
        <n v="8443.5"/>
        <n v="8444.5"/>
        <n v="8445.5"/>
        <n v="8446.5"/>
        <n v="8447.5"/>
        <n v="8448.5"/>
        <n v="8449.5"/>
        <n v="8450.5"/>
        <n v="8451.5"/>
        <n v="8453"/>
        <n v="8462"/>
        <n v="8464.25"/>
        <n v="8478.25"/>
        <n v="8479"/>
        <n v="8487"/>
        <n v="8503"/>
        <n v="8577.5"/>
        <n v="8597.5"/>
        <n v="8643.25"/>
        <n v="8649.75"/>
        <n v="8654.5"/>
        <n v="8663.25"/>
        <n v="8664.25"/>
        <n v="8665.75"/>
        <n v="8672.25"/>
        <n v="8677.5"/>
        <n v="8681.25"/>
        <n v="8685.25"/>
        <n v="8685.5"/>
        <n v="8687.25"/>
        <n v="8688.25"/>
        <n v="8690.5"/>
        <n v="8693.25"/>
        <n v="8694.25"/>
        <n v="8697.25"/>
        <n v="8698.25"/>
        <n v="8699.25"/>
        <n v="8703.25"/>
        <n v="8706.25"/>
        <n v="8707.5"/>
        <n v="8708.25"/>
        <n v="8714.25"/>
        <n v="8715.25"/>
        <n v="8716.25"/>
        <n v="8717.25"/>
        <n v="8720.25"/>
        <n v="8721.5"/>
        <n v="8722.25"/>
        <n v="8726.25"/>
        <n v="8727.75"/>
        <n v="8728.25"/>
        <n v="8731.25"/>
        <n v="8739.5"/>
        <n v="8739.75"/>
        <n v="8740.25"/>
        <n v="8744.25"/>
        <n v="8745.25"/>
        <n v="8747.25"/>
        <n v="8747.5"/>
        <n v="8748.25"/>
        <n v="8753.5"/>
        <n v="8759.25"/>
        <n v="8761.25"/>
        <n v="8762.5"/>
        <n v="8765.25"/>
        <n v="8768.5"/>
        <n v="8773.5"/>
        <n v="8780.5"/>
        <m/>
      </sharedItems>
    </cacheField>
    <cacheField name="V" numFmtId="0">
      <sharedItems containsString="0" containsBlank="1" containsNumber="1" minValue="10.733000000000001" maxValue="12.9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ois teyssier" refreshedDate="43764.722298379631" createdVersion="6" refreshedVersion="6" minRefreshableVersion="3" recordCount="362" xr:uid="{F7298870-59F4-4906-869C-32E72F4A0896}">
  <cacheSource type="worksheet">
    <worksheetSource ref="F1:G1048576" sheet="B_Sort"/>
  </cacheSource>
  <cacheFields count="2">
    <cacheField name="jd" numFmtId="0">
      <sharedItems containsString="0" containsBlank="1" containsNumber="1" minValue="8341" maxValue="8780.5" count="109">
        <n v="8341"/>
        <n v="8343.5"/>
        <n v="8344.5"/>
        <n v="8345.25"/>
        <n v="8345.5"/>
        <n v="8345.75"/>
        <n v="8346.5"/>
        <n v="8346.75"/>
        <n v="8347.25"/>
        <n v="8353.25"/>
        <n v="8355.75"/>
        <n v="8359.25"/>
        <n v="8362.25"/>
        <n v="8364.25"/>
        <n v="8367.5"/>
        <n v="8368.5"/>
        <n v="8369.25"/>
        <n v="8370.25"/>
        <n v="8375.25"/>
        <n v="8376.25"/>
        <n v="8378.25"/>
        <n v="8383.25"/>
        <n v="8386.25"/>
        <n v="8388.25"/>
        <n v="8389.25"/>
        <n v="8389.5"/>
        <n v="8390.25"/>
        <n v="8395.5"/>
        <n v="8401.25"/>
        <n v="8402.25"/>
        <n v="8404.25"/>
        <n v="8406.25"/>
        <n v="8407.25"/>
        <n v="8409.25"/>
        <n v="8411.25"/>
        <n v="8415"/>
        <n v="8420"/>
        <n v="8420.5"/>
        <n v="8423"/>
        <n v="8425.25"/>
        <n v="8425.5"/>
        <n v="8428.25"/>
        <n v="8429.5"/>
        <n v="8431"/>
        <n v="8433"/>
        <n v="8436.5"/>
        <n v="8437.25"/>
        <n v="8439"/>
        <n v="8440.25"/>
        <n v="8442.5"/>
        <n v="8453"/>
        <n v="8462"/>
        <n v="8464.25"/>
        <n v="8478.25"/>
        <n v="8479"/>
        <n v="8487"/>
        <n v="8577.5"/>
        <n v="8597.5"/>
        <n v="8643.25"/>
        <n v="8649.75"/>
        <n v="8654.5"/>
        <n v="8663.25"/>
        <n v="8664.25"/>
        <n v="8665.75"/>
        <n v="8672.25"/>
        <n v="8677.5"/>
        <n v="8681.25"/>
        <n v="8685.25"/>
        <n v="8685.5"/>
        <n v="8687.25"/>
        <n v="8688.25"/>
        <n v="8690.5"/>
        <n v="8693.25"/>
        <n v="8694.25"/>
        <n v="8697.25"/>
        <n v="8698.25"/>
        <n v="8699.25"/>
        <n v="8703.25"/>
        <n v="8706.25"/>
        <n v="8707.5"/>
        <n v="8708.25"/>
        <n v="8714.25"/>
        <n v="8715.25"/>
        <n v="8716.25"/>
        <n v="8717.25"/>
        <n v="8720.25"/>
        <n v="8721.5"/>
        <n v="8722.25"/>
        <n v="8726.25"/>
        <n v="8727.75"/>
        <n v="8728.25"/>
        <n v="8731.25"/>
        <n v="8739.5"/>
        <n v="8739.75"/>
        <n v="8740.25"/>
        <n v="8744.25"/>
        <n v="8745.25"/>
        <n v="8747.25"/>
        <n v="8747.5"/>
        <n v="8748.25"/>
        <n v="8759.25"/>
        <n v="8761.25"/>
        <n v="8762.5"/>
        <n v="8765.25"/>
        <n v="8768.5"/>
        <n v="8773.5"/>
        <n v="8776.5"/>
        <n v="8780.5"/>
        <m/>
      </sharedItems>
    </cacheField>
    <cacheField name="b" numFmtId="0">
      <sharedItems containsString="0" containsBlank="1" containsNumber="1" minValue="11.372" maxValue="14.1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1">
  <r>
    <x v="0"/>
    <n v="10.87"/>
  </r>
  <r>
    <x v="1"/>
    <n v="10.952999999999999"/>
  </r>
  <r>
    <x v="1"/>
    <n v="10.944000000000001"/>
  </r>
  <r>
    <x v="1"/>
    <n v="10.919"/>
  </r>
  <r>
    <x v="1"/>
    <n v="10.952999999999999"/>
  </r>
  <r>
    <x v="1"/>
    <n v="10.978999999999999"/>
  </r>
  <r>
    <x v="2"/>
    <n v="10.955"/>
  </r>
  <r>
    <x v="2"/>
    <n v="10.944000000000001"/>
  </r>
  <r>
    <x v="2"/>
    <n v="10.955"/>
  </r>
  <r>
    <x v="2"/>
    <n v="10.945"/>
  </r>
  <r>
    <x v="2"/>
    <n v="10.997999999999999"/>
  </r>
  <r>
    <x v="2"/>
    <n v="10.988"/>
  </r>
  <r>
    <x v="2"/>
    <n v="10.968999999999999"/>
  </r>
  <r>
    <x v="2"/>
    <n v="10.944000000000001"/>
  </r>
  <r>
    <x v="2"/>
    <n v="10.914999999999999"/>
  </r>
  <r>
    <x v="2"/>
    <n v="10.925000000000001"/>
  </r>
  <r>
    <x v="2"/>
    <n v="10.983000000000001"/>
  </r>
  <r>
    <x v="2"/>
    <n v="10.952"/>
  </r>
  <r>
    <x v="2"/>
    <n v="10.949"/>
  </r>
  <r>
    <x v="2"/>
    <n v="10.975"/>
  </r>
  <r>
    <x v="2"/>
    <n v="10.951000000000001"/>
  </r>
  <r>
    <x v="2"/>
    <n v="10.911"/>
  </r>
  <r>
    <x v="2"/>
    <n v="10.991"/>
  </r>
  <r>
    <x v="2"/>
    <n v="10.933"/>
  </r>
  <r>
    <x v="2"/>
    <n v="11.015000000000001"/>
  </r>
  <r>
    <x v="2"/>
    <n v="10.981999999999999"/>
  </r>
  <r>
    <x v="2"/>
    <n v="10.95"/>
  </r>
  <r>
    <x v="2"/>
    <n v="10.968"/>
  </r>
  <r>
    <x v="2"/>
    <n v="11.045"/>
  </r>
  <r>
    <x v="2"/>
    <n v="11.02"/>
  </r>
  <r>
    <x v="2"/>
    <n v="11.000999999999999"/>
  </r>
  <r>
    <x v="2"/>
    <n v="11.032999999999999"/>
  </r>
  <r>
    <x v="2"/>
    <n v="10.973000000000001"/>
  </r>
  <r>
    <x v="2"/>
    <n v="10.967000000000001"/>
  </r>
  <r>
    <x v="2"/>
    <n v="11.009"/>
  </r>
  <r>
    <x v="2"/>
    <n v="11.002000000000001"/>
  </r>
  <r>
    <x v="2"/>
    <n v="11.012"/>
  </r>
  <r>
    <x v="2"/>
    <n v="11.021000000000001"/>
  </r>
  <r>
    <x v="2"/>
    <n v="11.023"/>
  </r>
  <r>
    <x v="2"/>
    <n v="10.975"/>
  </r>
  <r>
    <x v="2"/>
    <n v="11.005000000000001"/>
  </r>
  <r>
    <x v="2"/>
    <n v="11.007"/>
  </r>
  <r>
    <x v="2"/>
    <n v="10.991"/>
  </r>
  <r>
    <x v="2"/>
    <n v="11.039"/>
  </r>
  <r>
    <x v="2"/>
    <n v="10.992000000000001"/>
  </r>
  <r>
    <x v="2"/>
    <n v="10.961"/>
  </r>
  <r>
    <x v="2"/>
    <n v="11.02"/>
  </r>
  <r>
    <x v="2"/>
    <n v="11.013999999999999"/>
  </r>
  <r>
    <x v="2"/>
    <n v="11.013"/>
  </r>
  <r>
    <x v="2"/>
    <n v="11.026"/>
  </r>
  <r>
    <x v="2"/>
    <n v="10.977"/>
  </r>
  <r>
    <x v="2"/>
    <n v="10.961"/>
  </r>
  <r>
    <x v="2"/>
    <n v="11.015000000000001"/>
  </r>
  <r>
    <x v="2"/>
    <n v="11.025"/>
  </r>
  <r>
    <x v="2"/>
    <n v="10.994999999999999"/>
  </r>
  <r>
    <x v="2"/>
    <n v="10.997999999999999"/>
  </r>
  <r>
    <x v="2"/>
    <n v="10.975"/>
  </r>
  <r>
    <x v="2"/>
    <n v="10.952999999999999"/>
  </r>
  <r>
    <x v="2"/>
    <n v="10.98"/>
  </r>
  <r>
    <x v="2"/>
    <n v="11.003"/>
  </r>
  <r>
    <x v="2"/>
    <n v="10.986000000000001"/>
  </r>
  <r>
    <x v="2"/>
    <n v="11.015000000000001"/>
  </r>
  <r>
    <x v="2"/>
    <n v="10.984999999999999"/>
  </r>
  <r>
    <x v="3"/>
    <n v="10.869"/>
  </r>
  <r>
    <x v="4"/>
    <n v="10.895"/>
  </r>
  <r>
    <x v="4"/>
    <n v="10.884"/>
  </r>
  <r>
    <x v="5"/>
    <n v="11.057"/>
  </r>
  <r>
    <x v="5"/>
    <n v="11.077999999999999"/>
  </r>
  <r>
    <x v="5"/>
    <n v="11.071999999999999"/>
  </r>
  <r>
    <x v="5"/>
    <n v="10.996"/>
  </r>
  <r>
    <x v="5"/>
    <n v="11.061"/>
  </r>
  <r>
    <x v="5"/>
    <n v="11.045"/>
  </r>
  <r>
    <x v="5"/>
    <n v="11.01"/>
  </r>
  <r>
    <x v="5"/>
    <n v="11.063000000000001"/>
  </r>
  <r>
    <x v="5"/>
    <n v="11.06"/>
  </r>
  <r>
    <x v="5"/>
    <n v="11.029"/>
  </r>
  <r>
    <x v="5"/>
    <n v="11.041"/>
  </r>
  <r>
    <x v="5"/>
    <n v="11.06"/>
  </r>
  <r>
    <x v="5"/>
    <n v="11.002000000000001"/>
  </r>
  <r>
    <x v="5"/>
    <n v="11.048999999999999"/>
  </r>
  <r>
    <x v="5"/>
    <n v="11.095000000000001"/>
  </r>
  <r>
    <x v="5"/>
    <n v="11.045999999999999"/>
  </r>
  <r>
    <x v="5"/>
    <n v="11.045999999999999"/>
  </r>
  <r>
    <x v="5"/>
    <n v="11.102"/>
  </r>
  <r>
    <x v="5"/>
    <n v="11.074"/>
  </r>
  <r>
    <x v="5"/>
    <n v="11.031000000000001"/>
  </r>
  <r>
    <x v="5"/>
    <n v="11.07"/>
  </r>
  <r>
    <x v="5"/>
    <n v="11.068"/>
  </r>
  <r>
    <x v="5"/>
    <n v="11.026999999999999"/>
  </r>
  <r>
    <x v="5"/>
    <n v="11.018000000000001"/>
  </r>
  <r>
    <x v="5"/>
    <n v="11.057"/>
  </r>
  <r>
    <x v="5"/>
    <n v="11.045"/>
  </r>
  <r>
    <x v="5"/>
    <n v="11.012"/>
  </r>
  <r>
    <x v="5"/>
    <n v="11.031000000000001"/>
  </r>
  <r>
    <x v="5"/>
    <n v="11.05"/>
  </r>
  <r>
    <x v="5"/>
    <n v="11.048999999999999"/>
  </r>
  <r>
    <x v="5"/>
    <n v="11.028"/>
  </r>
  <r>
    <x v="5"/>
    <n v="11.025"/>
  </r>
  <r>
    <x v="5"/>
    <n v="11.003"/>
  </r>
  <r>
    <x v="5"/>
    <n v="11.051"/>
  </r>
  <r>
    <x v="5"/>
    <n v="11.069000000000001"/>
  </r>
  <r>
    <x v="5"/>
    <n v="11.042"/>
  </r>
  <r>
    <x v="5"/>
    <n v="11.044"/>
  </r>
  <r>
    <x v="5"/>
    <n v="11.032"/>
  </r>
  <r>
    <x v="5"/>
    <n v="11.025"/>
  </r>
  <r>
    <x v="5"/>
    <n v="11.025"/>
  </r>
  <r>
    <x v="5"/>
    <n v="11.012"/>
  </r>
  <r>
    <x v="5"/>
    <n v="11.007"/>
  </r>
  <r>
    <x v="5"/>
    <n v="10.988"/>
  </r>
  <r>
    <x v="5"/>
    <n v="10.964"/>
  </r>
  <r>
    <x v="5"/>
    <n v="11.000999999999999"/>
  </r>
  <r>
    <x v="6"/>
    <n v="10.91"/>
  </r>
  <r>
    <x v="6"/>
    <n v="10.917999999999999"/>
  </r>
  <r>
    <x v="6"/>
    <n v="10.916"/>
  </r>
  <r>
    <x v="6"/>
    <n v="10.896000000000001"/>
  </r>
  <r>
    <x v="6"/>
    <n v="10.914"/>
  </r>
  <r>
    <x v="6"/>
    <n v="10.920999999999999"/>
  </r>
  <r>
    <x v="6"/>
    <n v="10.927"/>
  </r>
  <r>
    <x v="6"/>
    <n v="10.92"/>
  </r>
  <r>
    <x v="6"/>
    <n v="10.923"/>
  </r>
  <r>
    <x v="6"/>
    <n v="10.914999999999999"/>
  </r>
  <r>
    <x v="6"/>
    <n v="10.917999999999999"/>
  </r>
  <r>
    <x v="6"/>
    <n v="10.914999999999999"/>
  </r>
  <r>
    <x v="6"/>
    <n v="10.925000000000001"/>
  </r>
  <r>
    <x v="6"/>
    <n v="10.914999999999999"/>
  </r>
  <r>
    <x v="6"/>
    <n v="10.909000000000001"/>
  </r>
  <r>
    <x v="6"/>
    <n v="10.91"/>
  </r>
  <r>
    <x v="6"/>
    <n v="10.917"/>
  </r>
  <r>
    <x v="6"/>
    <n v="10.913"/>
  </r>
  <r>
    <x v="6"/>
    <n v="10.906000000000001"/>
  </r>
  <r>
    <x v="6"/>
    <n v="10.911"/>
  </r>
  <r>
    <x v="6"/>
    <n v="10.907"/>
  </r>
  <r>
    <x v="6"/>
    <n v="10.917"/>
  </r>
  <r>
    <x v="6"/>
    <n v="10.893000000000001"/>
  </r>
  <r>
    <x v="6"/>
    <n v="10.917"/>
  </r>
  <r>
    <x v="6"/>
    <n v="10.891"/>
  </r>
  <r>
    <x v="6"/>
    <n v="10.914999999999999"/>
  </r>
  <r>
    <x v="6"/>
    <n v="10.916"/>
  </r>
  <r>
    <x v="6"/>
    <n v="10.903"/>
  </r>
  <r>
    <x v="6"/>
    <n v="10.901"/>
  </r>
  <r>
    <x v="6"/>
    <n v="10.911"/>
  </r>
  <r>
    <x v="6"/>
    <n v="10.913"/>
  </r>
  <r>
    <x v="6"/>
    <n v="10.904"/>
  </r>
  <r>
    <x v="6"/>
    <n v="10.906000000000001"/>
  </r>
  <r>
    <x v="6"/>
    <n v="10.907999999999999"/>
  </r>
  <r>
    <x v="6"/>
    <n v="10.897"/>
  </r>
  <r>
    <x v="6"/>
    <n v="10.922000000000001"/>
  </r>
  <r>
    <x v="6"/>
    <n v="10.916"/>
  </r>
  <r>
    <x v="6"/>
    <n v="10.917"/>
  </r>
  <r>
    <x v="6"/>
    <n v="10.903"/>
  </r>
  <r>
    <x v="6"/>
    <n v="10.891999999999999"/>
  </r>
  <r>
    <x v="7"/>
    <n v="10.794"/>
  </r>
  <r>
    <x v="7"/>
    <n v="10.843999999999999"/>
  </r>
  <r>
    <x v="7"/>
    <n v="10.78"/>
  </r>
  <r>
    <x v="7"/>
    <n v="10.763"/>
  </r>
  <r>
    <x v="7"/>
    <n v="10.782999999999999"/>
  </r>
  <r>
    <x v="7"/>
    <n v="10.849"/>
  </r>
  <r>
    <x v="7"/>
    <n v="10.782"/>
  </r>
  <r>
    <x v="7"/>
    <n v="10.807"/>
  </r>
  <r>
    <x v="7"/>
    <n v="10.81"/>
  </r>
  <r>
    <x v="7"/>
    <n v="10.763"/>
  </r>
  <r>
    <x v="7"/>
    <n v="10.858000000000001"/>
  </r>
  <r>
    <x v="7"/>
    <n v="10.816000000000001"/>
  </r>
  <r>
    <x v="7"/>
    <n v="10.839"/>
  </r>
  <r>
    <x v="7"/>
    <n v="10.86"/>
  </r>
  <r>
    <x v="7"/>
    <n v="10.849"/>
  </r>
  <r>
    <x v="7"/>
    <n v="10.849"/>
  </r>
  <r>
    <x v="7"/>
    <n v="10.833"/>
  </r>
  <r>
    <x v="7"/>
    <n v="10.842000000000001"/>
  </r>
  <r>
    <x v="7"/>
    <n v="10.827"/>
  </r>
  <r>
    <x v="7"/>
    <n v="10.847"/>
  </r>
  <r>
    <x v="7"/>
    <n v="10.824"/>
  </r>
  <r>
    <x v="7"/>
    <n v="10.817"/>
  </r>
  <r>
    <x v="7"/>
    <n v="10.824999999999999"/>
  </r>
  <r>
    <x v="7"/>
    <n v="10.81"/>
  </r>
  <r>
    <x v="7"/>
    <n v="10.837999999999999"/>
  </r>
  <r>
    <x v="7"/>
    <n v="10.795"/>
  </r>
  <r>
    <x v="7"/>
    <n v="10.82"/>
  </r>
  <r>
    <x v="7"/>
    <n v="10.832000000000001"/>
  </r>
  <r>
    <x v="7"/>
    <n v="10.881"/>
  </r>
  <r>
    <x v="7"/>
    <n v="10.872"/>
  </r>
  <r>
    <x v="7"/>
    <n v="10.878"/>
  </r>
  <r>
    <x v="7"/>
    <n v="10.879"/>
  </r>
  <r>
    <x v="7"/>
    <n v="10.816000000000001"/>
  </r>
  <r>
    <x v="7"/>
    <n v="10.867000000000001"/>
  </r>
  <r>
    <x v="7"/>
    <n v="10.818"/>
  </r>
  <r>
    <x v="7"/>
    <n v="10.877000000000001"/>
  </r>
  <r>
    <x v="7"/>
    <n v="10.882"/>
  </r>
  <r>
    <x v="7"/>
    <n v="10.868"/>
  </r>
  <r>
    <x v="7"/>
    <n v="10.871"/>
  </r>
  <r>
    <x v="7"/>
    <n v="10.829000000000001"/>
  </r>
  <r>
    <x v="7"/>
    <n v="10.827999999999999"/>
  </r>
  <r>
    <x v="7"/>
    <n v="10.851000000000001"/>
  </r>
  <r>
    <x v="7"/>
    <n v="10.837"/>
  </r>
  <r>
    <x v="7"/>
    <n v="10.855"/>
  </r>
  <r>
    <x v="7"/>
    <n v="10.852"/>
  </r>
  <r>
    <x v="7"/>
    <n v="10.846"/>
  </r>
  <r>
    <x v="7"/>
    <n v="10.821999999999999"/>
  </r>
  <r>
    <x v="7"/>
    <n v="10.86"/>
  </r>
  <r>
    <x v="7"/>
    <n v="10.856"/>
  </r>
  <r>
    <x v="7"/>
    <n v="10.808"/>
  </r>
  <r>
    <x v="7"/>
    <n v="10.789"/>
  </r>
  <r>
    <x v="7"/>
    <n v="10.867000000000001"/>
  </r>
  <r>
    <x v="8"/>
    <n v="10.917999999999999"/>
  </r>
  <r>
    <x v="9"/>
    <n v="10.757999999999999"/>
  </r>
  <r>
    <x v="9"/>
    <n v="10.771000000000001"/>
  </r>
  <r>
    <x v="9"/>
    <n v="10.808"/>
  </r>
  <r>
    <x v="9"/>
    <n v="10.794"/>
  </r>
  <r>
    <x v="9"/>
    <n v="10.771000000000001"/>
  </r>
  <r>
    <x v="9"/>
    <n v="10.768000000000001"/>
  </r>
  <r>
    <x v="9"/>
    <n v="10.741"/>
  </r>
  <r>
    <x v="9"/>
    <n v="10.746"/>
  </r>
  <r>
    <x v="9"/>
    <n v="10.733000000000001"/>
  </r>
  <r>
    <x v="9"/>
    <n v="10.747"/>
  </r>
  <r>
    <x v="9"/>
    <n v="10.776"/>
  </r>
  <r>
    <x v="9"/>
    <n v="10.801"/>
  </r>
  <r>
    <x v="9"/>
    <n v="10.811"/>
  </r>
  <r>
    <x v="9"/>
    <n v="10.781000000000001"/>
  </r>
  <r>
    <x v="9"/>
    <n v="10.785"/>
  </r>
  <r>
    <x v="9"/>
    <n v="10.801"/>
  </r>
  <r>
    <x v="9"/>
    <n v="10.805999999999999"/>
  </r>
  <r>
    <x v="9"/>
    <n v="10.798"/>
  </r>
  <r>
    <x v="9"/>
    <n v="10.795999999999999"/>
  </r>
  <r>
    <x v="9"/>
    <n v="10.79"/>
  </r>
  <r>
    <x v="9"/>
    <n v="10.795"/>
  </r>
  <r>
    <x v="9"/>
    <n v="10.794"/>
  </r>
  <r>
    <x v="9"/>
    <n v="10.805999999999999"/>
  </r>
  <r>
    <x v="9"/>
    <n v="10.779"/>
  </r>
  <r>
    <x v="9"/>
    <n v="10.786"/>
  </r>
  <r>
    <x v="9"/>
    <n v="10.776"/>
  </r>
  <r>
    <x v="9"/>
    <n v="10.778"/>
  </r>
  <r>
    <x v="9"/>
    <n v="10.768000000000001"/>
  </r>
  <r>
    <x v="9"/>
    <n v="10.771000000000001"/>
  </r>
  <r>
    <x v="9"/>
    <n v="10.781000000000001"/>
  </r>
  <r>
    <x v="9"/>
    <n v="10.775"/>
  </r>
  <r>
    <x v="10"/>
    <n v="10.782999999999999"/>
  </r>
  <r>
    <x v="10"/>
    <n v="10.776999999999999"/>
  </r>
  <r>
    <x v="10"/>
    <n v="10.789"/>
  </r>
  <r>
    <x v="10"/>
    <n v="10.784000000000001"/>
  </r>
  <r>
    <x v="10"/>
    <n v="10.769"/>
  </r>
  <r>
    <x v="10"/>
    <n v="10.771000000000001"/>
  </r>
  <r>
    <x v="10"/>
    <n v="10.757999999999999"/>
  </r>
  <r>
    <x v="10"/>
    <n v="10.773"/>
  </r>
  <r>
    <x v="10"/>
    <n v="10.75"/>
  </r>
  <r>
    <x v="10"/>
    <n v="10.766"/>
  </r>
  <r>
    <x v="10"/>
    <n v="10.744"/>
  </r>
  <r>
    <x v="10"/>
    <n v="10.766999999999999"/>
  </r>
  <r>
    <x v="10"/>
    <n v="10.778"/>
  </r>
  <r>
    <x v="10"/>
    <n v="10.827"/>
  </r>
  <r>
    <x v="10"/>
    <n v="10.813000000000001"/>
  </r>
  <r>
    <x v="10"/>
    <n v="10.823"/>
  </r>
  <r>
    <x v="10"/>
    <n v="10.817"/>
  </r>
  <r>
    <x v="10"/>
    <n v="10.821"/>
  </r>
  <r>
    <x v="10"/>
    <n v="10.811999999999999"/>
  </r>
  <r>
    <x v="10"/>
    <n v="10.813000000000001"/>
  </r>
  <r>
    <x v="10"/>
    <n v="10.798"/>
  </r>
  <r>
    <x v="10"/>
    <n v="10.811"/>
  </r>
  <r>
    <x v="10"/>
    <n v="10.795999999999999"/>
  </r>
  <r>
    <x v="10"/>
    <n v="10.81"/>
  </r>
  <r>
    <x v="10"/>
    <n v="10.815"/>
  </r>
  <r>
    <x v="10"/>
    <n v="10.821"/>
  </r>
  <r>
    <x v="10"/>
    <n v="10.82"/>
  </r>
  <r>
    <x v="10"/>
    <n v="10.818"/>
  </r>
  <r>
    <x v="10"/>
    <n v="10.82"/>
  </r>
  <r>
    <x v="10"/>
    <n v="10.821999999999999"/>
  </r>
  <r>
    <x v="10"/>
    <n v="10.823"/>
  </r>
  <r>
    <x v="10"/>
    <n v="10.814"/>
  </r>
  <r>
    <x v="10"/>
    <n v="10.816000000000001"/>
  </r>
  <r>
    <x v="10"/>
    <n v="10.805999999999999"/>
  </r>
  <r>
    <x v="10"/>
    <n v="10.824"/>
  </r>
  <r>
    <x v="10"/>
    <n v="10.814"/>
  </r>
  <r>
    <x v="10"/>
    <n v="10.817"/>
  </r>
  <r>
    <x v="10"/>
    <n v="10.814"/>
  </r>
  <r>
    <x v="10"/>
    <n v="10.816000000000001"/>
  </r>
  <r>
    <x v="10"/>
    <n v="10.818"/>
  </r>
  <r>
    <x v="10"/>
    <n v="10.801"/>
  </r>
  <r>
    <x v="10"/>
    <n v="10.797000000000001"/>
  </r>
  <r>
    <x v="10"/>
    <n v="10.815"/>
  </r>
  <r>
    <x v="10"/>
    <n v="10.81"/>
  </r>
  <r>
    <x v="11"/>
    <n v="10.833"/>
  </r>
  <r>
    <x v="11"/>
    <n v="10.867000000000001"/>
  </r>
  <r>
    <x v="11"/>
    <n v="10.866"/>
  </r>
  <r>
    <x v="11"/>
    <n v="10.827999999999999"/>
  </r>
  <r>
    <x v="11"/>
    <n v="10.837999999999999"/>
  </r>
  <r>
    <x v="11"/>
    <n v="10.847"/>
  </r>
  <r>
    <x v="11"/>
    <n v="10.839"/>
  </r>
  <r>
    <x v="11"/>
    <n v="10.859"/>
  </r>
  <r>
    <x v="11"/>
    <n v="10.875"/>
  </r>
  <r>
    <x v="11"/>
    <n v="10.863"/>
  </r>
  <r>
    <x v="11"/>
    <n v="10.835000000000001"/>
  </r>
  <r>
    <x v="11"/>
    <n v="10.867000000000001"/>
  </r>
  <r>
    <x v="11"/>
    <n v="10.840999999999999"/>
  </r>
  <r>
    <x v="11"/>
    <n v="10.837"/>
  </r>
  <r>
    <x v="11"/>
    <n v="10.861000000000001"/>
  </r>
  <r>
    <x v="11"/>
    <n v="10.851000000000001"/>
  </r>
  <r>
    <x v="11"/>
    <n v="10.839"/>
  </r>
  <r>
    <x v="11"/>
    <n v="10.845000000000001"/>
  </r>
  <r>
    <x v="11"/>
    <n v="10.837"/>
  </r>
  <r>
    <x v="11"/>
    <n v="10.834"/>
  </r>
  <r>
    <x v="11"/>
    <n v="10.853"/>
  </r>
  <r>
    <x v="11"/>
    <n v="10.856999999999999"/>
  </r>
  <r>
    <x v="11"/>
    <n v="10.852"/>
  </r>
  <r>
    <x v="11"/>
    <n v="10.842000000000001"/>
  </r>
  <r>
    <x v="11"/>
    <n v="10.829000000000001"/>
  </r>
  <r>
    <x v="11"/>
    <n v="10.842000000000001"/>
  </r>
  <r>
    <x v="11"/>
    <n v="10.852"/>
  </r>
  <r>
    <x v="11"/>
    <n v="10.833"/>
  </r>
  <r>
    <x v="11"/>
    <n v="10.848000000000001"/>
  </r>
  <r>
    <x v="11"/>
    <n v="10.847"/>
  </r>
  <r>
    <x v="12"/>
    <n v="10.861000000000001"/>
  </r>
  <r>
    <x v="12"/>
    <n v="10.856"/>
  </r>
  <r>
    <x v="12"/>
    <n v="10.859"/>
  </r>
  <r>
    <x v="12"/>
    <n v="10.847"/>
  </r>
  <r>
    <x v="12"/>
    <n v="10.862"/>
  </r>
  <r>
    <x v="12"/>
    <n v="10.84"/>
  </r>
  <r>
    <x v="12"/>
    <n v="10.865"/>
  </r>
  <r>
    <x v="12"/>
    <n v="10.884"/>
  </r>
  <r>
    <x v="12"/>
    <n v="10.862"/>
  </r>
  <r>
    <x v="12"/>
    <n v="10.859"/>
  </r>
  <r>
    <x v="13"/>
    <n v="10.914999999999999"/>
  </r>
  <r>
    <x v="13"/>
    <n v="10.914"/>
  </r>
  <r>
    <x v="13"/>
    <n v="10.92"/>
  </r>
  <r>
    <x v="13"/>
    <n v="10.916"/>
  </r>
  <r>
    <x v="13"/>
    <n v="10.909000000000001"/>
  </r>
  <r>
    <x v="13"/>
    <n v="10.912000000000001"/>
  </r>
  <r>
    <x v="13"/>
    <n v="10.92"/>
  </r>
  <r>
    <x v="13"/>
    <n v="10.904"/>
  </r>
  <r>
    <x v="13"/>
    <n v="10.92"/>
  </r>
  <r>
    <x v="13"/>
    <n v="10.906000000000001"/>
  </r>
  <r>
    <x v="13"/>
    <n v="10.906000000000001"/>
  </r>
  <r>
    <x v="13"/>
    <n v="10.903"/>
  </r>
  <r>
    <x v="13"/>
    <n v="10.903"/>
  </r>
  <r>
    <x v="13"/>
    <n v="10.901"/>
  </r>
  <r>
    <x v="13"/>
    <n v="10.895"/>
  </r>
  <r>
    <x v="13"/>
    <n v="10.901999999999999"/>
  </r>
  <r>
    <x v="13"/>
    <n v="10.917999999999999"/>
  </r>
  <r>
    <x v="14"/>
    <n v="10.914999999999999"/>
  </r>
  <r>
    <x v="14"/>
    <n v="10.913"/>
  </r>
  <r>
    <x v="14"/>
    <n v="10.916"/>
  </r>
  <r>
    <x v="14"/>
    <n v="10.919"/>
  </r>
  <r>
    <x v="14"/>
    <n v="10.894"/>
  </r>
  <r>
    <x v="14"/>
    <n v="10.896000000000001"/>
  </r>
  <r>
    <x v="14"/>
    <n v="10.904999999999999"/>
  </r>
  <r>
    <x v="14"/>
    <n v="10.9"/>
  </r>
  <r>
    <x v="14"/>
    <n v="10.9"/>
  </r>
  <r>
    <x v="14"/>
    <n v="10.903"/>
  </r>
  <r>
    <x v="14"/>
    <n v="10.907"/>
  </r>
  <r>
    <x v="14"/>
    <n v="10.898999999999999"/>
  </r>
  <r>
    <x v="14"/>
    <n v="10.913"/>
  </r>
  <r>
    <x v="14"/>
    <n v="10.92"/>
  </r>
  <r>
    <x v="14"/>
    <n v="10.917999999999999"/>
  </r>
  <r>
    <x v="14"/>
    <n v="10.917"/>
  </r>
  <r>
    <x v="14"/>
    <n v="10.919"/>
  </r>
  <r>
    <x v="14"/>
    <n v="10.917"/>
  </r>
  <r>
    <x v="15"/>
    <n v="10.923"/>
  </r>
  <r>
    <x v="15"/>
    <n v="10.9"/>
  </r>
  <r>
    <x v="15"/>
    <n v="10.914999999999999"/>
  </r>
  <r>
    <x v="15"/>
    <n v="10.917999999999999"/>
  </r>
  <r>
    <x v="15"/>
    <n v="10.875"/>
  </r>
  <r>
    <x v="15"/>
    <n v="10.823"/>
  </r>
  <r>
    <x v="16"/>
    <n v="10.99"/>
  </r>
  <r>
    <x v="16"/>
    <n v="10.848000000000001"/>
  </r>
  <r>
    <x v="17"/>
    <n v="10.864000000000001"/>
  </r>
  <r>
    <x v="17"/>
    <n v="10.867000000000001"/>
  </r>
  <r>
    <x v="18"/>
    <n v="10.86"/>
  </r>
  <r>
    <x v="18"/>
    <n v="10.872"/>
  </r>
  <r>
    <x v="19"/>
    <n v="10.904"/>
  </r>
  <r>
    <x v="19"/>
    <n v="10.877000000000001"/>
  </r>
  <r>
    <x v="20"/>
    <n v="10.942"/>
  </r>
  <r>
    <x v="20"/>
    <n v="10.935"/>
  </r>
  <r>
    <x v="21"/>
    <n v="10.914999999999999"/>
  </r>
  <r>
    <x v="22"/>
    <n v="10.929"/>
  </r>
  <r>
    <x v="22"/>
    <n v="10.91"/>
  </r>
  <r>
    <x v="23"/>
    <n v="10.932"/>
  </r>
  <r>
    <x v="23"/>
    <n v="10.903"/>
  </r>
  <r>
    <x v="24"/>
    <n v="10.933999999999999"/>
  </r>
  <r>
    <x v="25"/>
    <n v="10.923"/>
  </r>
  <r>
    <x v="25"/>
    <n v="10.913"/>
  </r>
  <r>
    <x v="26"/>
    <n v="10.961"/>
  </r>
  <r>
    <x v="26"/>
    <n v="10.959"/>
  </r>
  <r>
    <x v="27"/>
    <n v="10.964"/>
  </r>
  <r>
    <x v="27"/>
    <n v="10.997999999999999"/>
  </r>
  <r>
    <x v="28"/>
    <n v="11.002000000000001"/>
  </r>
  <r>
    <x v="28"/>
    <n v="11"/>
  </r>
  <r>
    <x v="29"/>
    <n v="11.013999999999999"/>
  </r>
  <r>
    <x v="29"/>
    <n v="11.048"/>
  </r>
  <r>
    <x v="30"/>
    <n v="11.061"/>
  </r>
  <r>
    <x v="30"/>
    <n v="11.058"/>
  </r>
  <r>
    <x v="31"/>
    <n v="11.071"/>
  </r>
  <r>
    <x v="31"/>
    <n v="11.101000000000001"/>
  </r>
  <r>
    <x v="32"/>
    <n v="11.096"/>
  </r>
  <r>
    <x v="33"/>
    <n v="11.116"/>
  </r>
  <r>
    <x v="33"/>
    <n v="11.114000000000001"/>
  </r>
  <r>
    <x v="34"/>
    <n v="11.134"/>
  </r>
  <r>
    <x v="34"/>
    <n v="11.131"/>
  </r>
  <r>
    <x v="35"/>
    <n v="11.128"/>
  </r>
  <r>
    <x v="35"/>
    <n v="11.122"/>
  </r>
  <r>
    <x v="35"/>
    <n v="11.129"/>
  </r>
  <r>
    <x v="35"/>
    <n v="11.148"/>
  </r>
  <r>
    <x v="35"/>
    <n v="11.14"/>
  </r>
  <r>
    <x v="35"/>
    <n v="11.121"/>
  </r>
  <r>
    <x v="35"/>
    <n v="11.161"/>
  </r>
  <r>
    <x v="35"/>
    <n v="11.129"/>
  </r>
  <r>
    <x v="35"/>
    <n v="11.134"/>
  </r>
  <r>
    <x v="35"/>
    <n v="11.119"/>
  </r>
  <r>
    <x v="35"/>
    <n v="11.14"/>
  </r>
  <r>
    <x v="35"/>
    <n v="11.138"/>
  </r>
  <r>
    <x v="35"/>
    <n v="11.122999999999999"/>
  </r>
  <r>
    <x v="35"/>
    <n v="11.156000000000001"/>
  </r>
  <r>
    <x v="35"/>
    <n v="11.166"/>
  </r>
  <r>
    <x v="35"/>
    <n v="11.127000000000001"/>
  </r>
  <r>
    <x v="35"/>
    <n v="11.135999999999999"/>
  </r>
  <r>
    <x v="35"/>
    <n v="11.141"/>
  </r>
  <r>
    <x v="35"/>
    <n v="11.141"/>
  </r>
  <r>
    <x v="35"/>
    <n v="11.131"/>
  </r>
  <r>
    <x v="35"/>
    <n v="11.141"/>
  </r>
  <r>
    <x v="35"/>
    <n v="11.135"/>
  </r>
  <r>
    <x v="35"/>
    <n v="11.143000000000001"/>
  </r>
  <r>
    <x v="35"/>
    <n v="11.124000000000001"/>
  </r>
  <r>
    <x v="35"/>
    <n v="11.134"/>
  </r>
  <r>
    <x v="35"/>
    <n v="11.148999999999999"/>
  </r>
  <r>
    <x v="35"/>
    <n v="11.135"/>
  </r>
  <r>
    <x v="35"/>
    <n v="11.132999999999999"/>
  </r>
  <r>
    <x v="35"/>
    <n v="11.14"/>
  </r>
  <r>
    <x v="35"/>
    <n v="11.141999999999999"/>
  </r>
  <r>
    <x v="35"/>
    <n v="11.134"/>
  </r>
  <r>
    <x v="35"/>
    <n v="11.115"/>
  </r>
  <r>
    <x v="35"/>
    <n v="11.132999999999999"/>
  </r>
  <r>
    <x v="35"/>
    <n v="11.144"/>
  </r>
  <r>
    <x v="35"/>
    <n v="11.129"/>
  </r>
  <r>
    <x v="35"/>
    <n v="11.128"/>
  </r>
  <r>
    <x v="35"/>
    <n v="11.132"/>
  </r>
  <r>
    <x v="35"/>
    <n v="11.141"/>
  </r>
  <r>
    <x v="35"/>
    <n v="11.138"/>
  </r>
  <r>
    <x v="35"/>
    <n v="11.138999999999999"/>
  </r>
  <r>
    <x v="35"/>
    <n v="11.134"/>
  </r>
  <r>
    <x v="35"/>
    <n v="11.134"/>
  </r>
  <r>
    <x v="35"/>
    <n v="11.141"/>
  </r>
  <r>
    <x v="35"/>
    <n v="11.132999999999999"/>
  </r>
  <r>
    <x v="35"/>
    <n v="11.153"/>
  </r>
  <r>
    <x v="35"/>
    <n v="11.137"/>
  </r>
  <r>
    <x v="35"/>
    <n v="11.14"/>
  </r>
  <r>
    <x v="35"/>
    <n v="11.141999999999999"/>
  </r>
  <r>
    <x v="35"/>
    <n v="11.137"/>
  </r>
  <r>
    <x v="35"/>
    <n v="11.119"/>
  </r>
  <r>
    <x v="35"/>
    <n v="11.132999999999999"/>
  </r>
  <r>
    <x v="35"/>
    <n v="11.125"/>
  </r>
  <r>
    <x v="35"/>
    <n v="11.125"/>
  </r>
  <r>
    <x v="35"/>
    <n v="11.124000000000001"/>
  </r>
  <r>
    <x v="35"/>
    <n v="11.163"/>
  </r>
  <r>
    <x v="35"/>
    <n v="11.129"/>
  </r>
  <r>
    <x v="35"/>
    <n v="11.129"/>
  </r>
  <r>
    <x v="35"/>
    <n v="11.132999999999999"/>
  </r>
  <r>
    <x v="35"/>
    <n v="11.118"/>
  </r>
  <r>
    <x v="35"/>
    <n v="11.131"/>
  </r>
  <r>
    <x v="35"/>
    <n v="11.128"/>
  </r>
  <r>
    <x v="35"/>
    <n v="11.137"/>
  </r>
  <r>
    <x v="35"/>
    <n v="11.143000000000001"/>
  </r>
  <r>
    <x v="35"/>
    <n v="11.125"/>
  </r>
  <r>
    <x v="35"/>
    <n v="11.145"/>
  </r>
  <r>
    <x v="35"/>
    <n v="11.147"/>
  </r>
  <r>
    <x v="35"/>
    <n v="11.138"/>
  </r>
  <r>
    <x v="35"/>
    <n v="11.137"/>
  </r>
  <r>
    <x v="35"/>
    <n v="11.12"/>
  </r>
  <r>
    <x v="35"/>
    <n v="11.135"/>
  </r>
  <r>
    <x v="35"/>
    <n v="11.129"/>
  </r>
  <r>
    <x v="35"/>
    <n v="11.138999999999999"/>
  </r>
  <r>
    <x v="35"/>
    <n v="11.144"/>
  </r>
  <r>
    <x v="35"/>
    <n v="11.147"/>
  </r>
  <r>
    <x v="35"/>
    <n v="11.116"/>
  </r>
  <r>
    <x v="35"/>
    <n v="11.144"/>
  </r>
  <r>
    <x v="35"/>
    <n v="11.146000000000001"/>
  </r>
  <r>
    <x v="35"/>
    <n v="11.14"/>
  </r>
  <r>
    <x v="35"/>
    <n v="11.114000000000001"/>
  </r>
  <r>
    <x v="35"/>
    <n v="11.135999999999999"/>
  </r>
  <r>
    <x v="35"/>
    <n v="11.151"/>
  </r>
  <r>
    <x v="35"/>
    <n v="11.143000000000001"/>
  </r>
  <r>
    <x v="35"/>
    <n v="11.147"/>
  </r>
  <r>
    <x v="35"/>
    <n v="11.141"/>
  </r>
  <r>
    <x v="35"/>
    <n v="11.143000000000001"/>
  </r>
  <r>
    <x v="36"/>
    <n v="11.111000000000001"/>
  </r>
  <r>
    <x v="36"/>
    <n v="11.134"/>
  </r>
  <r>
    <x v="36"/>
    <n v="11.116"/>
  </r>
  <r>
    <x v="36"/>
    <n v="11.145"/>
  </r>
  <r>
    <x v="36"/>
    <n v="11.121"/>
  </r>
  <r>
    <x v="36"/>
    <n v="11.159000000000001"/>
  </r>
  <r>
    <x v="36"/>
    <n v="11.116"/>
  </r>
  <r>
    <x v="36"/>
    <n v="11.147"/>
  </r>
  <r>
    <x v="36"/>
    <n v="11.167"/>
  </r>
  <r>
    <x v="36"/>
    <n v="11.134"/>
  </r>
  <r>
    <x v="36"/>
    <n v="11.137"/>
  </r>
  <r>
    <x v="36"/>
    <n v="11.148"/>
  </r>
  <r>
    <x v="36"/>
    <n v="11.132"/>
  </r>
  <r>
    <x v="36"/>
    <n v="11.137"/>
  </r>
  <r>
    <x v="36"/>
    <n v="11.137"/>
  </r>
  <r>
    <x v="36"/>
    <n v="11.15"/>
  </r>
  <r>
    <x v="36"/>
    <n v="11.129"/>
  </r>
  <r>
    <x v="36"/>
    <n v="11.164999999999999"/>
  </r>
  <r>
    <x v="36"/>
    <n v="11.116"/>
  </r>
  <r>
    <x v="36"/>
    <n v="11.135"/>
  </r>
  <r>
    <x v="36"/>
    <n v="11.146000000000001"/>
  </r>
  <r>
    <x v="36"/>
    <n v="11.122"/>
  </r>
  <r>
    <x v="36"/>
    <n v="11.134"/>
  </r>
  <r>
    <x v="36"/>
    <n v="11.137"/>
  </r>
  <r>
    <x v="36"/>
    <n v="11.161"/>
  </r>
  <r>
    <x v="36"/>
    <n v="11.132999999999999"/>
  </r>
  <r>
    <x v="36"/>
    <n v="11.14"/>
  </r>
  <r>
    <x v="36"/>
    <n v="11.138999999999999"/>
  </r>
  <r>
    <x v="36"/>
    <n v="11.134"/>
  </r>
  <r>
    <x v="36"/>
    <n v="11.119"/>
  </r>
  <r>
    <x v="36"/>
    <n v="11.121"/>
  </r>
  <r>
    <x v="36"/>
    <n v="11.141"/>
  </r>
  <r>
    <x v="36"/>
    <n v="11.116"/>
  </r>
  <r>
    <x v="36"/>
    <n v="11.137"/>
  </r>
  <r>
    <x v="36"/>
    <n v="11.141"/>
  </r>
  <r>
    <x v="36"/>
    <n v="11.135999999999999"/>
  </r>
  <r>
    <x v="36"/>
    <n v="11.131"/>
  </r>
  <r>
    <x v="36"/>
    <n v="11.153"/>
  </r>
  <r>
    <x v="36"/>
    <n v="11.14"/>
  </r>
  <r>
    <x v="36"/>
    <n v="11.138"/>
  </r>
  <r>
    <x v="36"/>
    <n v="11.13"/>
  </r>
  <r>
    <x v="36"/>
    <n v="11.144"/>
  </r>
  <r>
    <x v="36"/>
    <n v="11.138999999999999"/>
  </r>
  <r>
    <x v="36"/>
    <n v="11.143000000000001"/>
  </r>
  <r>
    <x v="36"/>
    <n v="11.135999999999999"/>
  </r>
  <r>
    <x v="36"/>
    <n v="11.138999999999999"/>
  </r>
  <r>
    <x v="36"/>
    <n v="11.141999999999999"/>
  </r>
  <r>
    <x v="36"/>
    <n v="11.137"/>
  </r>
  <r>
    <x v="36"/>
    <n v="11.12"/>
  </r>
  <r>
    <x v="36"/>
    <n v="11.147"/>
  </r>
  <r>
    <x v="36"/>
    <n v="11.125"/>
  </r>
  <r>
    <x v="36"/>
    <n v="11.144"/>
  </r>
  <r>
    <x v="36"/>
    <n v="11.138999999999999"/>
  </r>
  <r>
    <x v="36"/>
    <n v="11.148999999999999"/>
  </r>
  <r>
    <x v="36"/>
    <n v="11.14"/>
  </r>
  <r>
    <x v="36"/>
    <n v="11.125999999999999"/>
  </r>
  <r>
    <x v="36"/>
    <n v="11.148999999999999"/>
  </r>
  <r>
    <x v="36"/>
    <n v="11.138999999999999"/>
  </r>
  <r>
    <x v="36"/>
    <n v="11.15"/>
  </r>
  <r>
    <x v="36"/>
    <n v="11.122"/>
  </r>
  <r>
    <x v="36"/>
    <n v="11.147"/>
  </r>
  <r>
    <x v="36"/>
    <n v="11.163"/>
  </r>
  <r>
    <x v="36"/>
    <n v="11.135"/>
  </r>
  <r>
    <x v="36"/>
    <n v="11.143000000000001"/>
  </r>
  <r>
    <x v="36"/>
    <n v="11.141"/>
  </r>
  <r>
    <x v="36"/>
    <n v="11.135"/>
  </r>
  <r>
    <x v="36"/>
    <n v="11.143000000000001"/>
  </r>
  <r>
    <x v="36"/>
    <n v="11.151"/>
  </r>
  <r>
    <x v="36"/>
    <n v="11.141"/>
  </r>
  <r>
    <x v="36"/>
    <n v="11.138"/>
  </r>
  <r>
    <x v="36"/>
    <n v="11.146000000000001"/>
  </r>
  <r>
    <x v="36"/>
    <n v="11.138999999999999"/>
  </r>
  <r>
    <x v="36"/>
    <n v="11.151"/>
  </r>
  <r>
    <x v="36"/>
    <n v="11.135"/>
  </r>
  <r>
    <x v="36"/>
    <n v="11.151999999999999"/>
  </r>
  <r>
    <x v="36"/>
    <n v="11.135"/>
  </r>
  <r>
    <x v="36"/>
    <n v="11.137"/>
  </r>
  <r>
    <x v="36"/>
    <n v="11.135999999999999"/>
  </r>
  <r>
    <x v="36"/>
    <n v="11.134"/>
  </r>
  <r>
    <x v="36"/>
    <n v="11.132999999999999"/>
  </r>
  <r>
    <x v="36"/>
    <n v="11.137"/>
  </r>
  <r>
    <x v="36"/>
    <n v="11.151"/>
  </r>
  <r>
    <x v="36"/>
    <n v="11.127000000000001"/>
  </r>
  <r>
    <x v="36"/>
    <n v="11.14"/>
  </r>
  <r>
    <x v="36"/>
    <n v="11.14"/>
  </r>
  <r>
    <x v="36"/>
    <n v="11.132999999999999"/>
  </r>
  <r>
    <x v="36"/>
    <n v="11.135"/>
  </r>
  <r>
    <x v="36"/>
    <n v="11.138"/>
  </r>
  <r>
    <x v="36"/>
    <n v="11.134"/>
  </r>
  <r>
    <x v="36"/>
    <n v="11.144"/>
  </r>
  <r>
    <x v="36"/>
    <n v="11.122999999999999"/>
  </r>
  <r>
    <x v="36"/>
    <n v="11.141999999999999"/>
  </r>
  <r>
    <x v="36"/>
    <n v="11.137"/>
  </r>
  <r>
    <x v="36"/>
    <n v="11.135"/>
  </r>
  <r>
    <x v="36"/>
    <n v="11.15"/>
  </r>
  <r>
    <x v="36"/>
    <n v="11.121"/>
  </r>
  <r>
    <x v="36"/>
    <n v="11.138"/>
  </r>
  <r>
    <x v="36"/>
    <n v="11.135999999999999"/>
  </r>
  <r>
    <x v="36"/>
    <n v="11.132999999999999"/>
  </r>
  <r>
    <x v="36"/>
    <n v="11.128"/>
  </r>
  <r>
    <x v="36"/>
    <n v="11.11"/>
  </r>
  <r>
    <x v="36"/>
    <n v="11.163"/>
  </r>
  <r>
    <x v="36"/>
    <n v="11.132999999999999"/>
  </r>
  <r>
    <x v="36"/>
    <n v="11.151999999999999"/>
  </r>
  <r>
    <x v="36"/>
    <n v="11.138999999999999"/>
  </r>
  <r>
    <x v="36"/>
    <n v="11.134"/>
  </r>
  <r>
    <x v="36"/>
    <n v="11.112"/>
  </r>
  <r>
    <x v="36"/>
    <n v="11.131"/>
  </r>
  <r>
    <x v="36"/>
    <n v="11.163"/>
  </r>
  <r>
    <x v="36"/>
    <n v="11.117000000000001"/>
  </r>
  <r>
    <x v="36"/>
    <n v="11.125999999999999"/>
  </r>
  <r>
    <x v="36"/>
    <n v="11.135999999999999"/>
  </r>
  <r>
    <x v="36"/>
    <n v="11.132999999999999"/>
  </r>
  <r>
    <x v="36"/>
    <n v="11.135"/>
  </r>
  <r>
    <x v="36"/>
    <n v="11.135999999999999"/>
  </r>
  <r>
    <x v="36"/>
    <n v="11.117000000000001"/>
  </r>
  <r>
    <x v="36"/>
    <n v="11.138"/>
  </r>
  <r>
    <x v="36"/>
    <n v="11.148"/>
  </r>
  <r>
    <x v="36"/>
    <n v="11.129"/>
  </r>
  <r>
    <x v="36"/>
    <n v="11.122999999999999"/>
  </r>
  <r>
    <x v="36"/>
    <n v="11.125999999999999"/>
  </r>
  <r>
    <x v="36"/>
    <n v="11.135"/>
  </r>
  <r>
    <x v="36"/>
    <n v="11.13"/>
  </r>
  <r>
    <x v="36"/>
    <n v="11.13"/>
  </r>
  <r>
    <x v="36"/>
    <n v="11.14"/>
  </r>
  <r>
    <x v="36"/>
    <n v="11.135999999999999"/>
  </r>
  <r>
    <x v="36"/>
    <n v="11.129"/>
  </r>
  <r>
    <x v="36"/>
    <n v="11.138"/>
  </r>
  <r>
    <x v="36"/>
    <n v="11.128"/>
  </r>
  <r>
    <x v="36"/>
    <n v="11.135"/>
  </r>
  <r>
    <x v="36"/>
    <n v="11.132999999999999"/>
  </r>
  <r>
    <x v="36"/>
    <n v="11.144"/>
  </r>
  <r>
    <x v="36"/>
    <n v="11.132999999999999"/>
  </r>
  <r>
    <x v="36"/>
    <n v="11.134"/>
  </r>
  <r>
    <x v="36"/>
    <n v="11.146000000000001"/>
  </r>
  <r>
    <x v="36"/>
    <n v="11.131"/>
  </r>
  <r>
    <x v="36"/>
    <n v="11.124000000000001"/>
  </r>
  <r>
    <x v="36"/>
    <n v="11.128"/>
  </r>
  <r>
    <x v="36"/>
    <n v="11.11"/>
  </r>
  <r>
    <x v="36"/>
    <n v="11.135"/>
  </r>
  <r>
    <x v="36"/>
    <n v="11.137"/>
  </r>
  <r>
    <x v="36"/>
    <n v="11.135"/>
  </r>
  <r>
    <x v="36"/>
    <n v="11.132999999999999"/>
  </r>
  <r>
    <x v="36"/>
    <n v="11.132"/>
  </r>
  <r>
    <x v="36"/>
    <n v="11.131"/>
  </r>
  <r>
    <x v="36"/>
    <n v="11.115"/>
  </r>
  <r>
    <x v="36"/>
    <n v="11.143000000000001"/>
  </r>
  <r>
    <x v="36"/>
    <n v="11.127000000000001"/>
  </r>
  <r>
    <x v="36"/>
    <n v="11.116"/>
  </r>
  <r>
    <x v="36"/>
    <n v="11.125999999999999"/>
  </r>
  <r>
    <x v="36"/>
    <n v="11.122"/>
  </r>
  <r>
    <x v="36"/>
    <n v="11.132999999999999"/>
  </r>
  <r>
    <x v="36"/>
    <n v="11.125999999999999"/>
  </r>
  <r>
    <x v="36"/>
    <n v="11.144"/>
  </r>
  <r>
    <x v="36"/>
    <n v="11.141"/>
  </r>
  <r>
    <x v="36"/>
    <n v="11.114000000000001"/>
  </r>
  <r>
    <x v="36"/>
    <n v="11.159000000000001"/>
  </r>
  <r>
    <x v="36"/>
    <n v="11.131"/>
  </r>
  <r>
    <x v="36"/>
    <n v="11.135"/>
  </r>
  <r>
    <x v="36"/>
    <n v="11.117000000000001"/>
  </r>
  <r>
    <x v="36"/>
    <n v="11.131"/>
  </r>
  <r>
    <x v="36"/>
    <n v="11.124000000000001"/>
  </r>
  <r>
    <x v="36"/>
    <n v="11.159000000000001"/>
  </r>
  <r>
    <x v="36"/>
    <n v="11.113"/>
  </r>
  <r>
    <x v="37"/>
    <n v="11.144"/>
  </r>
  <r>
    <x v="37"/>
    <n v="11.138999999999999"/>
  </r>
  <r>
    <x v="38"/>
    <n v="11.13"/>
  </r>
  <r>
    <x v="38"/>
    <n v="11.143000000000001"/>
  </r>
  <r>
    <x v="39"/>
    <n v="11.12"/>
  </r>
  <r>
    <x v="40"/>
    <n v="11.173999999999999"/>
  </r>
  <r>
    <x v="40"/>
    <n v="11.191000000000001"/>
  </r>
  <r>
    <x v="41"/>
    <n v="11.186999999999999"/>
  </r>
  <r>
    <x v="41"/>
    <n v="11.195"/>
  </r>
  <r>
    <x v="42"/>
    <n v="11.125999999999999"/>
  </r>
  <r>
    <x v="42"/>
    <n v="11.125999999999999"/>
  </r>
  <r>
    <x v="42"/>
    <n v="11.113"/>
  </r>
  <r>
    <x v="42"/>
    <n v="11.115"/>
  </r>
  <r>
    <x v="42"/>
    <n v="11.132"/>
  </r>
  <r>
    <x v="42"/>
    <n v="11.125999999999999"/>
  </r>
  <r>
    <x v="42"/>
    <n v="11.122999999999999"/>
  </r>
  <r>
    <x v="42"/>
    <n v="11.124000000000001"/>
  </r>
  <r>
    <x v="42"/>
    <n v="11.125"/>
  </r>
  <r>
    <x v="42"/>
    <n v="11.125999999999999"/>
  </r>
  <r>
    <x v="42"/>
    <n v="11.118"/>
  </r>
  <r>
    <x v="42"/>
    <n v="11.12"/>
  </r>
  <r>
    <x v="42"/>
    <n v="11.122"/>
  </r>
  <r>
    <x v="42"/>
    <n v="11.118"/>
  </r>
  <r>
    <x v="42"/>
    <n v="11.132999999999999"/>
  </r>
  <r>
    <x v="42"/>
    <n v="11.128"/>
  </r>
  <r>
    <x v="42"/>
    <n v="11.124000000000001"/>
  </r>
  <r>
    <x v="42"/>
    <n v="11.132999999999999"/>
  </r>
  <r>
    <x v="42"/>
    <n v="11.13"/>
  </r>
  <r>
    <x v="42"/>
    <n v="11.122999999999999"/>
  </r>
  <r>
    <x v="42"/>
    <n v="11.128"/>
  </r>
  <r>
    <x v="42"/>
    <n v="11.125"/>
  </r>
  <r>
    <x v="42"/>
    <n v="11.131"/>
  </r>
  <r>
    <x v="42"/>
    <n v="11.124000000000001"/>
  </r>
  <r>
    <x v="42"/>
    <n v="11.122"/>
  </r>
  <r>
    <x v="43"/>
    <n v="11.121"/>
  </r>
  <r>
    <x v="44"/>
    <n v="11.237"/>
  </r>
  <r>
    <x v="44"/>
    <n v="11.222"/>
  </r>
  <r>
    <x v="45"/>
    <n v="11.256"/>
  </r>
  <r>
    <x v="46"/>
    <n v="11.231"/>
  </r>
  <r>
    <x v="46"/>
    <n v="11.228999999999999"/>
  </r>
  <r>
    <x v="47"/>
    <n v="11.249000000000001"/>
  </r>
  <r>
    <x v="47"/>
    <n v="11.262"/>
  </r>
  <r>
    <x v="48"/>
    <n v="11.3"/>
  </r>
  <r>
    <x v="49"/>
    <n v="11.308"/>
  </r>
  <r>
    <x v="49"/>
    <n v="11.305999999999999"/>
  </r>
  <r>
    <x v="50"/>
    <n v="11.304"/>
  </r>
  <r>
    <x v="50"/>
    <n v="11.323"/>
  </r>
  <r>
    <x v="51"/>
    <n v="11.337"/>
  </r>
  <r>
    <x v="51"/>
    <n v="11.35"/>
  </r>
  <r>
    <x v="52"/>
    <n v="11.377000000000001"/>
  </r>
  <r>
    <x v="52"/>
    <n v="11.364000000000001"/>
  </r>
  <r>
    <x v="53"/>
    <n v="11.393000000000001"/>
  </r>
  <r>
    <x v="53"/>
    <n v="11.387"/>
  </r>
  <r>
    <x v="54"/>
    <n v="11.347"/>
  </r>
  <r>
    <x v="54"/>
    <n v="11.343999999999999"/>
  </r>
  <r>
    <x v="54"/>
    <n v="11.358000000000001"/>
  </r>
  <r>
    <x v="54"/>
    <n v="11.356"/>
  </r>
  <r>
    <x v="55"/>
    <n v="11.388999999999999"/>
  </r>
  <r>
    <x v="55"/>
    <n v="11.403"/>
  </r>
  <r>
    <x v="56"/>
    <n v="11.367000000000001"/>
  </r>
  <r>
    <x v="56"/>
    <n v="11.372999999999999"/>
  </r>
  <r>
    <x v="57"/>
    <n v="11.368"/>
  </r>
  <r>
    <x v="57"/>
    <n v="11.369"/>
  </r>
  <r>
    <x v="58"/>
    <n v="11.41"/>
  </r>
  <r>
    <x v="59"/>
    <n v="11.43"/>
  </r>
  <r>
    <x v="59"/>
    <n v="11.417"/>
  </r>
  <r>
    <x v="60"/>
    <n v="11.43"/>
  </r>
  <r>
    <x v="61"/>
    <n v="11.427"/>
  </r>
  <r>
    <x v="61"/>
    <n v="11.430999999999999"/>
  </r>
  <r>
    <x v="62"/>
    <n v="11.44"/>
  </r>
  <r>
    <x v="63"/>
    <n v="11.417999999999999"/>
  </r>
  <r>
    <x v="63"/>
    <n v="11.459"/>
  </r>
  <r>
    <x v="64"/>
    <n v="11.413"/>
  </r>
  <r>
    <x v="64"/>
    <n v="11.414999999999999"/>
  </r>
  <r>
    <x v="65"/>
    <n v="11.444000000000001"/>
  </r>
  <r>
    <x v="65"/>
    <n v="11.446"/>
  </r>
  <r>
    <x v="66"/>
    <n v="11.475"/>
  </r>
  <r>
    <x v="66"/>
    <n v="11.481"/>
  </r>
  <r>
    <x v="67"/>
    <n v="11.449"/>
  </r>
  <r>
    <x v="67"/>
    <n v="11.48"/>
  </r>
  <r>
    <x v="68"/>
    <n v="11.48"/>
  </r>
  <r>
    <x v="68"/>
    <n v="11.481"/>
  </r>
  <r>
    <x v="69"/>
    <n v="11.451000000000001"/>
  </r>
  <r>
    <x v="69"/>
    <n v="11.449"/>
  </r>
  <r>
    <x v="70"/>
    <n v="11.504"/>
  </r>
  <r>
    <x v="70"/>
    <n v="11.504"/>
  </r>
  <r>
    <x v="71"/>
    <n v="11.526"/>
  </r>
  <r>
    <x v="71"/>
    <n v="11.537000000000001"/>
  </r>
  <r>
    <x v="72"/>
    <n v="11.478999999999999"/>
  </r>
  <r>
    <x v="72"/>
    <n v="11.484"/>
  </r>
  <r>
    <x v="72"/>
    <n v="11.516999999999999"/>
  </r>
  <r>
    <x v="73"/>
    <n v="11.5"/>
  </r>
  <r>
    <x v="74"/>
    <n v="11.526999999999999"/>
  </r>
  <r>
    <x v="74"/>
    <n v="11.528"/>
  </r>
  <r>
    <x v="75"/>
    <n v="11.484"/>
  </r>
  <r>
    <x v="75"/>
    <n v="11.484"/>
  </r>
  <r>
    <x v="75"/>
    <n v="11.51"/>
  </r>
  <r>
    <x v="76"/>
    <n v="11.54"/>
  </r>
  <r>
    <x v="76"/>
    <n v="11.557"/>
  </r>
  <r>
    <x v="77"/>
    <n v="11.539"/>
  </r>
  <r>
    <x v="78"/>
    <n v="11.494999999999999"/>
  </r>
  <r>
    <x v="78"/>
    <n v="11.491"/>
  </r>
  <r>
    <x v="79"/>
    <n v="11.52"/>
  </r>
  <r>
    <x v="80"/>
    <n v="11.54"/>
  </r>
  <r>
    <x v="80"/>
    <n v="11.542999999999999"/>
  </r>
  <r>
    <x v="81"/>
    <n v="11.554"/>
  </r>
  <r>
    <x v="81"/>
    <n v="11.537000000000001"/>
  </r>
  <r>
    <x v="82"/>
    <n v="11.555999999999999"/>
  </r>
  <r>
    <x v="82"/>
    <n v="11.548999999999999"/>
  </r>
  <r>
    <x v="83"/>
    <n v="11.57"/>
  </r>
  <r>
    <x v="84"/>
    <n v="11.587"/>
  </r>
  <r>
    <x v="84"/>
    <n v="11.602"/>
  </r>
  <r>
    <x v="85"/>
    <n v="11.58"/>
  </r>
  <r>
    <x v="86"/>
    <n v="11.597"/>
  </r>
  <r>
    <x v="86"/>
    <n v="11.590999999999999"/>
  </r>
  <r>
    <x v="87"/>
    <n v="11.606"/>
  </r>
  <r>
    <x v="88"/>
    <n v="11.59"/>
  </r>
  <r>
    <x v="89"/>
    <n v="11.583"/>
  </r>
  <r>
    <x v="89"/>
    <n v="11.618"/>
  </r>
  <r>
    <x v="90"/>
    <n v="11.627000000000001"/>
  </r>
  <r>
    <x v="90"/>
    <n v="11.613"/>
  </r>
  <r>
    <x v="91"/>
    <n v="11.55"/>
  </r>
  <r>
    <x v="92"/>
    <n v="11.638999999999999"/>
  </r>
  <r>
    <x v="92"/>
    <n v="11.645"/>
  </r>
  <r>
    <x v="93"/>
    <n v="11.602"/>
  </r>
  <r>
    <x v="93"/>
    <n v="11.609"/>
  </r>
  <r>
    <x v="94"/>
    <n v="11.651"/>
  </r>
  <r>
    <x v="94"/>
    <n v="11.651"/>
  </r>
  <r>
    <x v="95"/>
    <n v="11.627000000000001"/>
  </r>
  <r>
    <x v="95"/>
    <n v="11.614000000000001"/>
  </r>
  <r>
    <x v="96"/>
    <n v="11.638999999999999"/>
  </r>
  <r>
    <x v="96"/>
    <n v="11.628"/>
  </r>
  <r>
    <x v="97"/>
    <n v="11.645"/>
  </r>
  <r>
    <x v="97"/>
    <n v="11.63"/>
  </r>
  <r>
    <x v="98"/>
    <n v="11.611000000000001"/>
  </r>
  <r>
    <x v="98"/>
    <n v="11.628"/>
  </r>
  <r>
    <x v="99"/>
    <n v="11.653"/>
  </r>
  <r>
    <x v="99"/>
    <n v="11.661"/>
  </r>
  <r>
    <x v="100"/>
    <n v="11.667999999999999"/>
  </r>
  <r>
    <x v="100"/>
    <n v="11.69"/>
  </r>
  <r>
    <x v="101"/>
    <n v="11.641"/>
  </r>
  <r>
    <x v="101"/>
    <n v="11.635999999999999"/>
  </r>
  <r>
    <x v="102"/>
    <n v="11.69"/>
  </r>
  <r>
    <x v="102"/>
    <n v="11.651"/>
  </r>
  <r>
    <x v="103"/>
    <n v="11.629"/>
  </r>
  <r>
    <x v="103"/>
    <n v="11.629"/>
  </r>
  <r>
    <x v="104"/>
    <n v="11.696"/>
  </r>
  <r>
    <x v="104"/>
    <n v="11.698"/>
  </r>
  <r>
    <x v="105"/>
    <n v="11.641"/>
  </r>
  <r>
    <x v="105"/>
    <n v="11.682"/>
  </r>
  <r>
    <x v="106"/>
    <n v="11.601000000000001"/>
  </r>
  <r>
    <x v="106"/>
    <n v="11.613"/>
  </r>
  <r>
    <x v="107"/>
    <n v="11.686999999999999"/>
  </r>
  <r>
    <x v="107"/>
    <n v="11.662000000000001"/>
  </r>
  <r>
    <x v="108"/>
    <n v="11.683"/>
  </r>
  <r>
    <x v="108"/>
    <n v="11.686999999999999"/>
  </r>
  <r>
    <x v="109"/>
    <n v="11.645"/>
  </r>
  <r>
    <x v="109"/>
    <n v="11.635999999999999"/>
  </r>
  <r>
    <x v="110"/>
    <n v="11.659000000000001"/>
  </r>
  <r>
    <x v="110"/>
    <n v="11.678000000000001"/>
  </r>
  <r>
    <x v="111"/>
    <n v="11.691000000000001"/>
  </r>
  <r>
    <x v="111"/>
    <n v="11.648"/>
  </r>
  <r>
    <x v="112"/>
    <n v="11.711"/>
  </r>
  <r>
    <x v="112"/>
    <n v="11.717000000000001"/>
  </r>
  <r>
    <x v="113"/>
    <n v="11.657999999999999"/>
  </r>
  <r>
    <x v="113"/>
    <n v="11.663"/>
  </r>
  <r>
    <x v="114"/>
    <n v="11.715"/>
  </r>
  <r>
    <x v="114"/>
    <n v="11.71"/>
  </r>
  <r>
    <x v="115"/>
    <n v="11.714"/>
  </r>
  <r>
    <x v="115"/>
    <n v="11.718999999999999"/>
  </r>
  <r>
    <x v="116"/>
    <n v="11.685"/>
  </r>
  <r>
    <x v="116"/>
    <n v="11.688000000000001"/>
  </r>
  <r>
    <x v="117"/>
    <n v="11.754"/>
  </r>
  <r>
    <x v="117"/>
    <n v="11.731"/>
  </r>
  <r>
    <x v="118"/>
    <n v="11.73"/>
  </r>
  <r>
    <x v="118"/>
    <n v="11.728999999999999"/>
  </r>
  <r>
    <x v="119"/>
    <n v="11.7"/>
  </r>
  <r>
    <x v="119"/>
    <n v="11.7"/>
  </r>
  <r>
    <x v="120"/>
    <n v="11.715"/>
  </r>
  <r>
    <x v="120"/>
    <n v="11.722"/>
  </r>
  <r>
    <x v="121"/>
    <n v="11.759"/>
  </r>
  <r>
    <x v="122"/>
    <n v="11.74"/>
  </r>
  <r>
    <x v="122"/>
    <n v="11.728"/>
  </r>
  <r>
    <x v="123"/>
    <n v="11.741"/>
  </r>
  <r>
    <x v="123"/>
    <n v="11.731"/>
  </r>
  <r>
    <x v="124"/>
    <n v="11.66"/>
  </r>
  <r>
    <x v="125"/>
    <n v="11.727"/>
  </r>
  <r>
    <x v="125"/>
    <n v="11.712"/>
  </r>
  <r>
    <x v="126"/>
    <n v="11.757"/>
  </r>
  <r>
    <x v="126"/>
    <n v="11.753"/>
  </r>
  <r>
    <x v="127"/>
    <n v="11.712"/>
  </r>
  <r>
    <x v="127"/>
    <n v="11.718"/>
  </r>
  <r>
    <x v="128"/>
    <n v="11.779"/>
  </r>
  <r>
    <x v="128"/>
    <n v="11.789"/>
  </r>
  <r>
    <x v="129"/>
    <n v="11.768000000000001"/>
  </r>
  <r>
    <x v="130"/>
    <n v="11.787000000000001"/>
  </r>
  <r>
    <x v="130"/>
    <n v="11.782999999999999"/>
  </r>
  <r>
    <x v="131"/>
    <n v="11.744999999999999"/>
  </r>
  <r>
    <x v="131"/>
    <n v="11.741"/>
  </r>
  <r>
    <x v="132"/>
    <n v="11.826000000000001"/>
  </r>
  <r>
    <x v="132"/>
    <n v="11.808999999999999"/>
  </r>
  <r>
    <x v="133"/>
    <n v="11.817"/>
  </r>
  <r>
    <x v="133"/>
    <n v="11.805"/>
  </r>
  <r>
    <x v="134"/>
    <n v="11.81"/>
  </r>
  <r>
    <x v="135"/>
    <n v="11.849"/>
  </r>
  <r>
    <x v="135"/>
    <n v="11.845000000000001"/>
  </r>
  <r>
    <x v="136"/>
    <n v="11.765000000000001"/>
  </r>
  <r>
    <x v="137"/>
    <n v="11.853"/>
  </r>
  <r>
    <x v="137"/>
    <n v="11.791"/>
  </r>
  <r>
    <x v="138"/>
    <n v="11.839"/>
  </r>
  <r>
    <x v="138"/>
    <n v="11.833"/>
  </r>
  <r>
    <x v="139"/>
    <n v="11.795999999999999"/>
  </r>
  <r>
    <x v="139"/>
    <n v="11.794"/>
  </r>
  <r>
    <x v="140"/>
    <n v="11.829000000000001"/>
  </r>
  <r>
    <x v="140"/>
    <n v="11.856"/>
  </r>
  <r>
    <x v="141"/>
    <n v="11.911"/>
  </r>
  <r>
    <x v="141"/>
    <n v="11.881"/>
  </r>
  <r>
    <x v="142"/>
    <n v="11.858000000000001"/>
  </r>
  <r>
    <x v="142"/>
    <n v="11.868"/>
  </r>
  <r>
    <x v="143"/>
    <n v="11.930999999999999"/>
  </r>
  <r>
    <x v="143"/>
    <n v="11.914"/>
  </r>
  <r>
    <x v="144"/>
    <n v="11.914999999999999"/>
  </r>
  <r>
    <x v="145"/>
    <n v="11.867000000000001"/>
  </r>
  <r>
    <x v="145"/>
    <n v="11.874000000000001"/>
  </r>
  <r>
    <x v="146"/>
    <n v="11.962"/>
  </r>
  <r>
    <x v="146"/>
    <n v="11.94"/>
  </r>
  <r>
    <x v="147"/>
    <n v="11.9"/>
  </r>
  <r>
    <x v="148"/>
    <n v="12.003"/>
  </r>
  <r>
    <x v="148"/>
    <n v="11.986000000000001"/>
  </r>
  <r>
    <x v="149"/>
    <n v="11.95"/>
  </r>
  <r>
    <x v="149"/>
    <n v="11.949"/>
  </r>
  <r>
    <x v="150"/>
    <n v="11.99"/>
  </r>
  <r>
    <x v="150"/>
    <n v="11.997999999999999"/>
  </r>
  <r>
    <x v="151"/>
    <n v="12.05"/>
  </r>
  <r>
    <x v="151"/>
    <n v="12.010999999999999"/>
  </r>
  <r>
    <x v="152"/>
    <n v="11.997999999999999"/>
  </r>
  <r>
    <x v="152"/>
    <n v="12.013999999999999"/>
  </r>
  <r>
    <x v="153"/>
    <n v="11.959"/>
  </r>
  <r>
    <x v="154"/>
    <n v="11.964"/>
  </r>
  <r>
    <x v="154"/>
    <n v="11.984999999999999"/>
  </r>
  <r>
    <x v="155"/>
    <n v="12.074999999999999"/>
  </r>
  <r>
    <x v="155"/>
    <n v="12.065"/>
  </r>
  <r>
    <x v="156"/>
    <n v="12.079000000000001"/>
  </r>
  <r>
    <x v="156"/>
    <n v="12.095000000000001"/>
  </r>
  <r>
    <x v="157"/>
    <n v="12.045"/>
  </r>
  <r>
    <x v="157"/>
    <n v="12.048999999999999"/>
  </r>
  <r>
    <x v="158"/>
    <n v="12.077"/>
  </r>
  <r>
    <x v="158"/>
    <n v="12.106"/>
  </r>
  <r>
    <x v="159"/>
    <n v="12.054"/>
  </r>
  <r>
    <x v="159"/>
    <n v="12.09"/>
  </r>
  <r>
    <x v="160"/>
    <n v="12.106"/>
  </r>
  <r>
    <x v="160"/>
    <n v="12.13"/>
  </r>
  <r>
    <x v="161"/>
    <n v="12.144"/>
  </r>
  <r>
    <x v="161"/>
    <n v="12.108000000000001"/>
  </r>
  <r>
    <x v="162"/>
    <n v="12.109"/>
  </r>
  <r>
    <x v="162"/>
    <n v="12.122"/>
  </r>
  <r>
    <x v="163"/>
    <n v="12.074999999999999"/>
  </r>
  <r>
    <x v="163"/>
    <n v="12.076000000000001"/>
  </r>
  <r>
    <x v="164"/>
    <n v="12.086"/>
  </r>
  <r>
    <x v="164"/>
    <n v="12.082000000000001"/>
  </r>
  <r>
    <x v="165"/>
    <n v="12.093"/>
  </r>
  <r>
    <x v="165"/>
    <n v="12.07"/>
  </r>
  <r>
    <x v="166"/>
    <n v="12.179"/>
  </r>
  <r>
    <x v="166"/>
    <n v="12.162000000000001"/>
  </r>
  <r>
    <x v="167"/>
    <n v="12.151999999999999"/>
  </r>
  <r>
    <x v="167"/>
    <n v="12.121"/>
  </r>
  <r>
    <x v="168"/>
    <n v="12.211"/>
  </r>
  <r>
    <x v="168"/>
    <n v="12.166"/>
  </r>
  <r>
    <x v="169"/>
    <n v="12.366"/>
  </r>
  <r>
    <x v="169"/>
    <n v="12.185"/>
  </r>
  <r>
    <x v="170"/>
    <n v="12.61"/>
  </r>
  <r>
    <x v="170"/>
    <n v="12.624000000000001"/>
  </r>
  <r>
    <x v="171"/>
    <n v="12.718999999999999"/>
  </r>
  <r>
    <x v="171"/>
    <n v="12.763"/>
  </r>
  <r>
    <x v="172"/>
    <n v="12.858000000000001"/>
  </r>
  <r>
    <x v="172"/>
    <n v="12.851000000000001"/>
  </r>
  <r>
    <x v="173"/>
    <n v="12.964"/>
  </r>
  <r>
    <x v="174"/>
    <n v="12.923999999999999"/>
  </r>
  <r>
    <x v="175"/>
    <n v="12.824999999999999"/>
  </r>
  <r>
    <x v="175"/>
    <n v="12.82"/>
  </r>
  <r>
    <x v="176"/>
    <n v="12.79"/>
  </r>
  <r>
    <x v="177"/>
    <n v="12.88"/>
  </r>
  <r>
    <x v="178"/>
    <n v="12.791"/>
  </r>
  <r>
    <x v="178"/>
    <n v="12.756"/>
  </r>
  <r>
    <x v="179"/>
    <n v="12.839"/>
  </r>
  <r>
    <x v="180"/>
    <n v="12.821"/>
  </r>
  <r>
    <x v="180"/>
    <n v="12.785"/>
  </r>
  <r>
    <x v="181"/>
    <n v="12.756"/>
  </r>
  <r>
    <x v="181"/>
    <n v="12.763999999999999"/>
  </r>
  <r>
    <x v="182"/>
    <n v="12.811999999999999"/>
  </r>
  <r>
    <x v="183"/>
    <n v="12.742000000000001"/>
  </r>
  <r>
    <x v="183"/>
    <n v="12.763"/>
  </r>
  <r>
    <x v="184"/>
    <n v="12.768000000000001"/>
  </r>
  <r>
    <x v="184"/>
    <n v="12.747"/>
  </r>
  <r>
    <x v="185"/>
    <n v="12.7"/>
  </r>
  <r>
    <x v="186"/>
    <n v="12.715999999999999"/>
  </r>
  <r>
    <x v="186"/>
    <n v="12.686"/>
  </r>
  <r>
    <x v="187"/>
    <n v="12.695"/>
  </r>
  <r>
    <x v="187"/>
    <n v="12.714"/>
  </r>
  <r>
    <x v="188"/>
    <n v="12.685"/>
  </r>
  <r>
    <x v="188"/>
    <n v="12.702999999999999"/>
  </r>
  <r>
    <x v="189"/>
    <n v="12.657"/>
  </r>
  <r>
    <x v="189"/>
    <n v="12.673999999999999"/>
  </r>
  <r>
    <x v="190"/>
    <n v="12.644"/>
  </r>
  <r>
    <x v="190"/>
    <n v="12.654"/>
  </r>
  <r>
    <x v="191"/>
    <n v="12.625999999999999"/>
  </r>
  <r>
    <x v="191"/>
    <n v="12.605"/>
  </r>
  <r>
    <x v="192"/>
    <n v="12.573"/>
  </r>
  <r>
    <x v="192"/>
    <n v="12.568"/>
  </r>
  <r>
    <x v="193"/>
    <n v="12.625"/>
  </r>
  <r>
    <x v="194"/>
    <n v="12.579000000000001"/>
  </r>
  <r>
    <x v="194"/>
    <n v="12.528"/>
  </r>
  <r>
    <x v="195"/>
    <n v="12.555999999999999"/>
  </r>
  <r>
    <x v="195"/>
    <n v="12.582000000000001"/>
  </r>
  <r>
    <x v="196"/>
    <n v="12.56"/>
  </r>
  <r>
    <x v="196"/>
    <n v="12.563000000000001"/>
  </r>
  <r>
    <x v="197"/>
    <n v="12.54"/>
  </r>
  <r>
    <x v="198"/>
    <n v="12.564"/>
  </r>
  <r>
    <x v="198"/>
    <n v="12.561"/>
  </r>
  <r>
    <x v="199"/>
    <n v="12.552"/>
  </r>
  <r>
    <x v="199"/>
    <n v="12.541"/>
  </r>
  <r>
    <x v="200"/>
    <n v="12.622999999999999"/>
  </r>
  <r>
    <x v="201"/>
    <n v="12.586"/>
  </r>
  <r>
    <x v="201"/>
    <n v="12.567"/>
  </r>
  <r>
    <x v="202"/>
    <n v="12.555"/>
  </r>
  <r>
    <x v="202"/>
    <n v="12.531000000000001"/>
  </r>
  <r>
    <x v="203"/>
    <n v="12.584"/>
  </r>
  <r>
    <x v="204"/>
    <n v="12.531000000000001"/>
  </r>
  <r>
    <x v="204"/>
    <n v="12.53"/>
  </r>
  <r>
    <x v="205"/>
    <n v="12.507"/>
  </r>
  <r>
    <x v="205"/>
    <n v="12.516999999999999"/>
  </r>
  <r>
    <x v="206"/>
    <n v="12.456"/>
  </r>
  <r>
    <x v="206"/>
    <n v="12.456"/>
  </r>
  <r>
    <x v="207"/>
    <n v="12.45"/>
  </r>
  <r>
    <x v="208"/>
    <n v="12.433"/>
  </r>
  <r>
    <x v="208"/>
    <n v="12.45"/>
  </r>
  <r>
    <x v="209"/>
    <n v="12.423"/>
  </r>
  <r>
    <x v="209"/>
    <n v="12.432"/>
  </r>
  <r>
    <x v="210"/>
    <n v="12.428000000000001"/>
  </r>
  <r>
    <x v="210"/>
    <n v="12.420999999999999"/>
  </r>
  <r>
    <x v="211"/>
    <n v="12.412000000000001"/>
  </r>
  <r>
    <x v="211"/>
    <n v="12.359"/>
  </r>
  <r>
    <x v="212"/>
    <n v="12.409000000000001"/>
  </r>
  <r>
    <x v="213"/>
    <n v="12.36"/>
  </r>
  <r>
    <x v="214"/>
    <n v="12.435"/>
  </r>
  <r>
    <x v="215"/>
    <n v="12.342000000000001"/>
  </r>
  <r>
    <x v="215"/>
    <n v="12.356999999999999"/>
  </r>
  <r>
    <x v="216"/>
    <n v="12.337999999999999"/>
  </r>
  <r>
    <x v="216"/>
    <n v="12.317"/>
  </r>
  <r>
    <x v="217"/>
    <n v="12.372"/>
  </r>
  <r>
    <x v="218"/>
    <n v="12.346"/>
  </r>
  <r>
    <x v="218"/>
    <n v="12.333"/>
  </r>
  <r>
    <x v="219"/>
    <n v="12.355"/>
  </r>
  <r>
    <x v="220"/>
    <n v="12.318"/>
  </r>
  <r>
    <x v="221"/>
    <n v="12.3"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1">
  <r>
    <n v="8341.1025999998674"/>
    <n v="8341"/>
    <x v="0"/>
    <n v="10.87"/>
  </r>
  <r>
    <n v="8342.646509999875"/>
    <n v="8342.5"/>
    <x v="1"/>
    <n v="10.952999999999999"/>
  </r>
  <r>
    <n v="8342.6472499999218"/>
    <n v="8342.5"/>
    <x v="1"/>
    <n v="10.944000000000001"/>
  </r>
  <r>
    <n v="8342.6480000000447"/>
    <n v="8342.5"/>
    <x v="1"/>
    <n v="10.919"/>
  </r>
  <r>
    <n v="8342.6487300000153"/>
    <n v="8342.5"/>
    <x v="1"/>
    <n v="10.952999999999999"/>
  </r>
  <r>
    <n v="8342.6494700000621"/>
    <n v="8342.5"/>
    <x v="1"/>
    <n v="10.978999999999999"/>
  </r>
  <r>
    <n v="8342.6502200001851"/>
    <n v="8342.5"/>
    <x v="1"/>
    <n v="10.955"/>
  </r>
  <r>
    <n v="8342.6509600002319"/>
    <n v="8342.5"/>
    <x v="1"/>
    <n v="10.944000000000001"/>
  </r>
  <r>
    <n v="8342.651699999813"/>
    <n v="8342.5"/>
    <x v="1"/>
    <n v="10.955"/>
  </r>
  <r>
    <n v="8342.6524499999359"/>
    <n v="8342.5"/>
    <x v="1"/>
    <n v="10.945"/>
  </r>
  <r>
    <n v="8342.6531799999066"/>
    <n v="8342.5"/>
    <x v="1"/>
    <n v="10.997999999999999"/>
  </r>
  <r>
    <n v="8342.6539199999534"/>
    <n v="8342.5"/>
    <x v="1"/>
    <n v="10.988"/>
  </r>
  <r>
    <n v="8342.6546700000763"/>
    <n v="8342.5"/>
    <x v="1"/>
    <n v="10.968999999999999"/>
  </r>
  <r>
    <n v="8342.6554100001231"/>
    <n v="8342.5"/>
    <x v="1"/>
    <n v="10.944000000000001"/>
  </r>
  <r>
    <n v="8342.6561500001699"/>
    <n v="8342.5"/>
    <x v="1"/>
    <n v="10.914999999999999"/>
  </r>
  <r>
    <n v="8342.6568999998271"/>
    <n v="8342.5"/>
    <x v="1"/>
    <n v="10.925000000000001"/>
  </r>
  <r>
    <n v="8342.6576499999501"/>
    <n v="8342.5"/>
    <x v="1"/>
    <n v="10.983000000000001"/>
  </r>
  <r>
    <n v="8342.6583899999969"/>
    <n v="8342.5"/>
    <x v="1"/>
    <n v="10.952"/>
  </r>
  <r>
    <n v="8342.6591300000437"/>
    <n v="8342.5"/>
    <x v="1"/>
    <n v="10.949"/>
  </r>
  <r>
    <n v="8342.6598700000905"/>
    <n v="8342.5"/>
    <x v="1"/>
    <n v="10.975"/>
  </r>
  <r>
    <n v="8342.6606000000611"/>
    <n v="8342.5"/>
    <x v="1"/>
    <n v="10.951000000000001"/>
  </r>
  <r>
    <n v="8342.661350000184"/>
    <n v="8342.5"/>
    <x v="1"/>
    <n v="10.911"/>
  </r>
  <r>
    <n v="8342.6620900002308"/>
    <n v="8342.5"/>
    <x v="1"/>
    <n v="10.991"/>
  </r>
  <r>
    <n v="8342.6628299998119"/>
    <n v="8342.5"/>
    <x v="1"/>
    <n v="10.933"/>
  </r>
  <r>
    <n v="8342.663590000011"/>
    <n v="8342.5"/>
    <x v="1"/>
    <n v="11.015000000000001"/>
  </r>
  <r>
    <n v="8342.6643300000578"/>
    <n v="8342.5"/>
    <x v="1"/>
    <n v="10.981999999999999"/>
  </r>
  <r>
    <n v="8342.6650700001046"/>
    <n v="8342.5"/>
    <x v="1"/>
    <n v="10.95"/>
  </r>
  <r>
    <n v="8342.6658100001514"/>
    <n v="8342.5"/>
    <x v="1"/>
    <n v="10.968"/>
  </r>
  <r>
    <n v="8342.6665500001982"/>
    <n v="8342.5"/>
    <x v="1"/>
    <n v="11.045"/>
  </r>
  <r>
    <n v="8342.6672800001688"/>
    <n v="8342.5"/>
    <x v="1"/>
    <n v="11.02"/>
  </r>
  <r>
    <n v="8342.6680200002156"/>
    <n v="8342.5"/>
    <x v="1"/>
    <n v="11.000999999999999"/>
  </r>
  <r>
    <n v="8342.6687599997967"/>
    <n v="8342.5"/>
    <x v="1"/>
    <n v="11.032999999999999"/>
  </r>
  <r>
    <n v="8342.6694999998435"/>
    <n v="8342.5"/>
    <x v="1"/>
    <n v="10.973000000000001"/>
  </r>
  <r>
    <n v="8342.6702399998903"/>
    <n v="8342.5"/>
    <x v="1"/>
    <n v="10.967000000000001"/>
  </r>
  <r>
    <n v="8342.6709799999371"/>
    <n v="8342.5"/>
    <x v="1"/>
    <n v="11.009"/>
  </r>
  <r>
    <n v="8342.6717199999839"/>
    <n v="8342.5"/>
    <x v="1"/>
    <n v="11.002000000000001"/>
  </r>
  <r>
    <n v="8342.6724600000307"/>
    <n v="8342.5"/>
    <x v="1"/>
    <n v="11.012"/>
  </r>
  <r>
    <n v="8342.6732000000775"/>
    <n v="8342.5"/>
    <x v="1"/>
    <n v="11.021000000000001"/>
  </r>
  <r>
    <n v="8342.6739400001243"/>
    <n v="8342.5"/>
    <x v="1"/>
    <n v="11.023"/>
  </r>
  <r>
    <n v="8342.6746800001711"/>
    <n v="8342.5"/>
    <x v="1"/>
    <n v="10.975"/>
  </r>
  <r>
    <n v="8342.6754299998283"/>
    <n v="8342.5"/>
    <x v="1"/>
    <n v="11.005000000000001"/>
  </r>
  <r>
    <n v="8342.6761699998751"/>
    <n v="8342.5"/>
    <x v="1"/>
    <n v="11.007"/>
  </r>
  <r>
    <n v="8342.6769099999219"/>
    <n v="8342.5"/>
    <x v="1"/>
    <n v="10.991"/>
  </r>
  <r>
    <n v="8342.6776499999687"/>
    <n v="8342.5"/>
    <x v="1"/>
    <n v="11.039"/>
  </r>
  <r>
    <n v="8342.6783900000155"/>
    <n v="8342.5"/>
    <x v="1"/>
    <n v="10.992000000000001"/>
  </r>
  <r>
    <n v="8342.6791300000623"/>
    <n v="8342.5"/>
    <x v="1"/>
    <n v="10.961"/>
  </r>
  <r>
    <n v="8342.6798800001852"/>
    <n v="8342.5"/>
    <x v="1"/>
    <n v="11.02"/>
  </r>
  <r>
    <n v="8342.6806100001559"/>
    <n v="8342.5"/>
    <x v="1"/>
    <n v="11.013999999999999"/>
  </r>
  <r>
    <n v="8342.6813599998131"/>
    <n v="8342.5"/>
    <x v="1"/>
    <n v="11.013"/>
  </r>
  <r>
    <n v="8342.6820899997838"/>
    <n v="8342.5"/>
    <x v="1"/>
    <n v="11.026"/>
  </r>
  <r>
    <n v="8342.6828399999067"/>
    <n v="8342.5"/>
    <x v="1"/>
    <n v="10.977"/>
  </r>
  <r>
    <n v="8342.6835799999535"/>
    <n v="8342.5"/>
    <x v="1"/>
    <n v="10.961"/>
  </r>
  <r>
    <n v="8342.6843200000003"/>
    <n v="8342.5"/>
    <x v="1"/>
    <n v="11.015000000000001"/>
  </r>
  <r>
    <n v="8342.6850600000471"/>
    <n v="8342.5"/>
    <x v="1"/>
    <n v="11.025"/>
  </r>
  <r>
    <n v="8342.6858000000939"/>
    <n v="8342.5"/>
    <x v="1"/>
    <n v="10.994999999999999"/>
  </r>
  <r>
    <n v="8342.6865400001407"/>
    <n v="8342.5"/>
    <x v="1"/>
    <n v="10.997999999999999"/>
  </r>
  <r>
    <n v="8342.6872800001875"/>
    <n v="8342.5"/>
    <x v="1"/>
    <n v="10.975"/>
  </r>
  <r>
    <n v="8342.6880100001581"/>
    <n v="8342.5"/>
    <x v="1"/>
    <n v="10.952999999999999"/>
  </r>
  <r>
    <n v="8342.6887599998154"/>
    <n v="8342.5"/>
    <x v="1"/>
    <n v="10.98"/>
  </r>
  <r>
    <n v="8342.6894999998622"/>
    <n v="8342.5"/>
    <x v="1"/>
    <n v="11.003"/>
  </r>
  <r>
    <n v="8342.690239999909"/>
    <n v="8342.5"/>
    <x v="1"/>
    <n v="10.986000000000001"/>
  </r>
  <r>
    <n v="8342.6909799999557"/>
    <n v="8342.5"/>
    <x v="1"/>
    <n v="11.015000000000001"/>
  </r>
  <r>
    <n v="8342.6917200000025"/>
    <n v="8342.5"/>
    <x v="1"/>
    <n v="10.984999999999999"/>
  </r>
  <r>
    <n v="8343.3167099999264"/>
    <n v="8343.25"/>
    <x v="2"/>
    <n v="10.869"/>
  </r>
  <r>
    <n v="8343.5097699998878"/>
    <n v="8343.5"/>
    <x v="3"/>
    <n v="10.895"/>
  </r>
  <r>
    <n v="8343.5100300000049"/>
    <n v="8343.5"/>
    <x v="3"/>
    <n v="10.884"/>
  </r>
  <r>
    <n v="8343.660800000187"/>
    <n v="8343.5"/>
    <x v="3"/>
    <n v="11.057"/>
  </r>
  <r>
    <n v="8343.6617299998179"/>
    <n v="8343.5"/>
    <x v="3"/>
    <n v="11.077999999999999"/>
  </r>
  <r>
    <n v="8343.6626400002278"/>
    <n v="8343.5"/>
    <x v="3"/>
    <n v="11.071999999999999"/>
  </r>
  <r>
    <n v="8343.6649099998176"/>
    <n v="8343.5"/>
    <x v="3"/>
    <n v="10.996"/>
  </r>
  <r>
    <n v="8343.665829999838"/>
    <n v="8343.5"/>
    <x v="3"/>
    <n v="11.061"/>
  </r>
  <r>
    <n v="8343.6667399997823"/>
    <n v="8343.5"/>
    <x v="3"/>
    <n v="11.045"/>
  </r>
  <r>
    <n v="8343.6690000002272"/>
    <n v="8343.5"/>
    <x v="3"/>
    <n v="11.01"/>
  </r>
  <r>
    <n v="8343.6699100001715"/>
    <n v="8343.5"/>
    <x v="3"/>
    <n v="11.063000000000001"/>
  </r>
  <r>
    <n v="8343.6708200001158"/>
    <n v="8343.5"/>
    <x v="3"/>
    <n v="11.06"/>
  </r>
  <r>
    <n v="8343.6730999997817"/>
    <n v="8343.5"/>
    <x v="3"/>
    <n v="11.029"/>
  </r>
  <r>
    <n v="8343.6740199998021"/>
    <n v="8343.5"/>
    <x v="3"/>
    <n v="11.041"/>
  </r>
  <r>
    <n v="8343.6749399998225"/>
    <n v="8343.5"/>
    <x v="3"/>
    <n v="11.06"/>
  </r>
  <r>
    <n v="8343.6771999998018"/>
    <n v="8343.5"/>
    <x v="3"/>
    <n v="11.002000000000001"/>
  </r>
  <r>
    <n v="8343.6781199998222"/>
    <n v="8343.5"/>
    <x v="3"/>
    <n v="11.048999999999999"/>
  </r>
  <r>
    <n v="8343.6790300002322"/>
    <n v="8343.5"/>
    <x v="3"/>
    <n v="11.095000000000001"/>
  </r>
  <r>
    <n v="8343.6812999998219"/>
    <n v="8343.5"/>
    <x v="3"/>
    <n v="11.045999999999999"/>
  </r>
  <r>
    <n v="8343.6822100002319"/>
    <n v="8343.5"/>
    <x v="3"/>
    <n v="11.045999999999999"/>
  </r>
  <r>
    <n v="8343.6831299997866"/>
    <n v="8343.5"/>
    <x v="3"/>
    <n v="11.102"/>
  </r>
  <r>
    <n v="8343.685399999842"/>
    <n v="8343.5"/>
    <x v="3"/>
    <n v="11.074"/>
  </r>
  <r>
    <n v="8343.6863099997863"/>
    <n v="8343.5"/>
    <x v="3"/>
    <n v="11.031000000000001"/>
  </r>
  <r>
    <n v="8343.6872200001962"/>
    <n v="8343.5"/>
    <x v="3"/>
    <n v="11.07"/>
  </r>
  <r>
    <n v="8343.689489999786"/>
    <n v="8343.5"/>
    <x v="3"/>
    <n v="11.068"/>
  </r>
  <r>
    <n v="8343.690400000196"/>
    <n v="8343.5"/>
    <x v="3"/>
    <n v="11.026999999999999"/>
  </r>
  <r>
    <n v="8343.6913200002164"/>
    <n v="8343.5"/>
    <x v="3"/>
    <n v="11.018000000000001"/>
  </r>
  <r>
    <n v="8343.6935800001957"/>
    <n v="8343.5"/>
    <x v="3"/>
    <n v="11.057"/>
  </r>
  <r>
    <n v="8343.6944900001399"/>
    <n v="8343.5"/>
    <x v="3"/>
    <n v="11.045"/>
  </r>
  <r>
    <n v="8343.6954100001603"/>
    <n v="8343.5"/>
    <x v="3"/>
    <n v="11.012"/>
  </r>
  <r>
    <n v="8343.6976700001396"/>
    <n v="8343.5"/>
    <x v="3"/>
    <n v="11.031000000000001"/>
  </r>
  <r>
    <n v="8343.69859000016"/>
    <n v="8343.5"/>
    <x v="3"/>
    <n v="11.05"/>
  </r>
  <r>
    <n v="8343.6995100001805"/>
    <n v="8343.5"/>
    <x v="3"/>
    <n v="11.048999999999999"/>
  </r>
  <r>
    <n v="8343.7017799997702"/>
    <n v="8343.5"/>
    <x v="3"/>
    <n v="11.028"/>
  </r>
  <r>
    <n v="8343.7026900001802"/>
    <n v="8343.5"/>
    <x v="3"/>
    <n v="11.025"/>
  </r>
  <r>
    <n v="8343.7036100002006"/>
    <n v="8343.5"/>
    <x v="3"/>
    <n v="11.003"/>
  </r>
  <r>
    <n v="8343.7058700001799"/>
    <n v="8343.5"/>
    <x v="3"/>
    <n v="11.051"/>
  </r>
  <r>
    <n v="8343.7067900002003"/>
    <n v="8343.5"/>
    <x v="3"/>
    <n v="11.069000000000001"/>
  </r>
  <r>
    <n v="8343.7077100002207"/>
    <n v="8343.5"/>
    <x v="3"/>
    <n v="11.042"/>
  </r>
  <r>
    <n v="8343.7099700002"/>
    <n v="8343.5"/>
    <x v="3"/>
    <n v="11.044"/>
  </r>
  <r>
    <n v="8343.7108900002204"/>
    <n v="8343.5"/>
    <x v="3"/>
    <n v="11.032"/>
  </r>
  <r>
    <n v="8343.7118000001647"/>
    <n v="8343.5"/>
    <x v="3"/>
    <n v="11.025"/>
  </r>
  <r>
    <n v="8343.7140700002201"/>
    <n v="8343.5"/>
    <x v="3"/>
    <n v="11.025"/>
  </r>
  <r>
    <n v="8343.7149800001644"/>
    <n v="8343.5"/>
    <x v="3"/>
    <n v="11.012"/>
  </r>
  <r>
    <n v="8343.7159000001848"/>
    <n v="8343.5"/>
    <x v="3"/>
    <n v="11.007"/>
  </r>
  <r>
    <n v="8343.7181600001641"/>
    <n v="8343.5"/>
    <x v="3"/>
    <n v="10.988"/>
  </r>
  <r>
    <n v="8343.7190700001083"/>
    <n v="8343.5"/>
    <x v="3"/>
    <n v="10.964"/>
  </r>
  <r>
    <n v="8343.7199900001287"/>
    <n v="8343.5"/>
    <x v="3"/>
    <n v="11.000999999999999"/>
  </r>
  <r>
    <n v="8344.333620000165"/>
    <n v="8344.25"/>
    <x v="4"/>
    <n v="10.91"/>
  </r>
  <r>
    <n v="8344.3338500000536"/>
    <n v="8344.25"/>
    <x v="4"/>
    <n v="10.917999999999999"/>
  </r>
  <r>
    <n v="8344.3341000000946"/>
    <n v="8344.25"/>
    <x v="4"/>
    <n v="10.916"/>
  </r>
  <r>
    <n v="8344.3343299999833"/>
    <n v="8344.25"/>
    <x v="4"/>
    <n v="10.896000000000001"/>
  </r>
  <r>
    <n v="8344.3345699999481"/>
    <n v="8344.25"/>
    <x v="4"/>
    <n v="10.914"/>
  </r>
  <r>
    <n v="8344.334809999913"/>
    <n v="8344.25"/>
    <x v="4"/>
    <n v="10.920999999999999"/>
  </r>
  <r>
    <n v="8344.3350499998778"/>
    <n v="8344.25"/>
    <x v="4"/>
    <n v="10.927"/>
  </r>
  <r>
    <n v="8344.3352899998426"/>
    <n v="8344.25"/>
    <x v="4"/>
    <n v="10.92"/>
  </r>
  <r>
    <n v="8344.335520000197"/>
    <n v="8344.25"/>
    <x v="4"/>
    <n v="10.923"/>
  </r>
  <r>
    <n v="8344.3357600001618"/>
    <n v="8344.25"/>
    <x v="4"/>
    <n v="10.914999999999999"/>
  </r>
  <r>
    <n v="8344.3360100002028"/>
    <n v="8344.25"/>
    <x v="4"/>
    <n v="10.917999999999999"/>
  </r>
  <r>
    <n v="8344.3362400000915"/>
    <n v="8344.25"/>
    <x v="4"/>
    <n v="10.914999999999999"/>
  </r>
  <r>
    <n v="8344.3364800000563"/>
    <n v="8344.25"/>
    <x v="4"/>
    <n v="10.925000000000001"/>
  </r>
  <r>
    <n v="8344.336709999945"/>
    <n v="8344.25"/>
    <x v="4"/>
    <n v="10.914999999999999"/>
  </r>
  <r>
    <n v="8344.336959999986"/>
    <n v="8344.25"/>
    <x v="4"/>
    <n v="10.909000000000001"/>
  </r>
  <r>
    <n v="8344.3371999999508"/>
    <n v="8344.25"/>
    <x v="4"/>
    <n v="10.91"/>
  </r>
  <r>
    <n v="8344.3374299998395"/>
    <n v="8344.25"/>
    <x v="4"/>
    <n v="10.917"/>
  </r>
  <r>
    <n v="8344.3376699998043"/>
    <n v="8344.25"/>
    <x v="4"/>
    <n v="10.913"/>
  </r>
  <r>
    <n v="8344.3379099997692"/>
    <n v="8344.25"/>
    <x v="4"/>
    <n v="10.906000000000001"/>
  </r>
  <r>
    <n v="8344.3381500001997"/>
    <n v="8344.25"/>
    <x v="4"/>
    <n v="10.911"/>
  </r>
  <r>
    <n v="8344.3383900001645"/>
    <n v="8344.25"/>
    <x v="4"/>
    <n v="10.907"/>
  </r>
  <r>
    <n v="8344.3386200000532"/>
    <n v="8344.25"/>
    <x v="4"/>
    <n v="10.917"/>
  </r>
  <r>
    <n v="8344.3388700000942"/>
    <n v="8344.25"/>
    <x v="4"/>
    <n v="10.893000000000001"/>
  </r>
  <r>
    <n v="8344.3390999999829"/>
    <n v="8344.25"/>
    <x v="4"/>
    <n v="10.917"/>
  </r>
  <r>
    <n v="8344.3393399999477"/>
    <n v="8344.25"/>
    <x v="4"/>
    <n v="10.891"/>
  </r>
  <r>
    <n v="8344.3395799999125"/>
    <n v="8344.25"/>
    <x v="4"/>
    <n v="10.914999999999999"/>
  </r>
  <r>
    <n v="8344.3398099998012"/>
    <n v="8344.25"/>
    <x v="4"/>
    <n v="10.916"/>
  </r>
  <r>
    <n v="8344.3400599998422"/>
    <n v="8344.25"/>
    <x v="4"/>
    <n v="10.903"/>
  </r>
  <r>
    <n v="8344.340299999807"/>
    <n v="8344.25"/>
    <x v="4"/>
    <n v="10.901"/>
  </r>
  <r>
    <n v="8344.3405300001614"/>
    <n v="8344.25"/>
    <x v="4"/>
    <n v="10.911"/>
  </r>
  <r>
    <n v="8344.3407800002024"/>
    <n v="8344.25"/>
    <x v="4"/>
    <n v="10.913"/>
  </r>
  <r>
    <n v="8344.3410200001672"/>
    <n v="8344.25"/>
    <x v="4"/>
    <n v="10.904"/>
  </r>
  <r>
    <n v="8344.3412500000559"/>
    <n v="8344.25"/>
    <x v="4"/>
    <n v="10.906000000000001"/>
  </r>
  <r>
    <n v="8344.3414900000207"/>
    <n v="8344.25"/>
    <x v="4"/>
    <n v="10.907999999999999"/>
  </r>
  <r>
    <n v="8344.3417400000617"/>
    <n v="8344.25"/>
    <x v="4"/>
    <n v="10.897"/>
  </r>
  <r>
    <n v="8344.3419699999504"/>
    <n v="8344.25"/>
    <x v="4"/>
    <n v="10.922000000000001"/>
  </r>
  <r>
    <n v="8344.3422099999152"/>
    <n v="8344.25"/>
    <x v="4"/>
    <n v="10.916"/>
  </r>
  <r>
    <n v="8344.3424399998039"/>
    <n v="8344.25"/>
    <x v="4"/>
    <n v="10.917"/>
  </r>
  <r>
    <n v="8344.3426899998449"/>
    <n v="8344.25"/>
    <x v="4"/>
    <n v="10.903"/>
  </r>
  <r>
    <n v="8344.3429299998097"/>
    <n v="8344.25"/>
    <x v="4"/>
    <n v="10.891999999999999"/>
  </r>
  <r>
    <n v="8344.3536299997941"/>
    <n v="8344.25"/>
    <x v="4"/>
    <n v="10.794"/>
  </r>
  <r>
    <n v="8344.3539499999024"/>
    <n v="8344.25"/>
    <x v="4"/>
    <n v="10.843999999999999"/>
  </r>
  <r>
    <n v="8344.3542700000107"/>
    <n v="8344.25"/>
    <x v="4"/>
    <n v="10.78"/>
  </r>
  <r>
    <n v="8344.3545900001191"/>
    <n v="8344.25"/>
    <x v="4"/>
    <n v="10.763"/>
  </r>
  <r>
    <n v="8344.3549000001512"/>
    <n v="8344.25"/>
    <x v="4"/>
    <n v="10.782999999999999"/>
  </r>
  <r>
    <n v="8344.3552100001834"/>
    <n v="8344.25"/>
    <x v="4"/>
    <n v="10.849"/>
  </r>
  <r>
    <n v="8344.3555399999022"/>
    <n v="8344.25"/>
    <x v="4"/>
    <n v="10.782"/>
  </r>
  <r>
    <n v="8344.3558499999344"/>
    <n v="8344.25"/>
    <x v="4"/>
    <n v="10.807"/>
  </r>
  <r>
    <n v="8344.3573199999519"/>
    <n v="8344.25"/>
    <x v="4"/>
    <n v="10.81"/>
  </r>
  <r>
    <n v="8344.3576400000602"/>
    <n v="8344.25"/>
    <x v="4"/>
    <n v="10.763"/>
  </r>
  <r>
    <n v="8344.3579600001685"/>
    <n v="8344.25"/>
    <x v="4"/>
    <n v="10.858000000000001"/>
  </r>
  <r>
    <n v="8344.3582799998112"/>
    <n v="8344.25"/>
    <x v="4"/>
    <n v="10.816000000000001"/>
  </r>
  <r>
    <n v="8344.3617300000042"/>
    <n v="8344.25"/>
    <x v="4"/>
    <n v="10.839"/>
  </r>
  <r>
    <n v="8344.3623700002208"/>
    <n v="8344.25"/>
    <x v="4"/>
    <n v="10.86"/>
  </r>
  <r>
    <n v="8344.3626899998635"/>
    <n v="8344.25"/>
    <x v="4"/>
    <n v="10.849"/>
  </r>
  <r>
    <n v="8344.3629999998957"/>
    <n v="8344.25"/>
    <x v="4"/>
    <n v="10.849"/>
  </r>
  <r>
    <n v="8344.3642799998634"/>
    <n v="8344.25"/>
    <x v="4"/>
    <n v="10.833"/>
  </r>
  <r>
    <n v="8344.3645899998955"/>
    <n v="8344.25"/>
    <x v="4"/>
    <n v="10.842000000000001"/>
  </r>
  <r>
    <n v="8344.3652300001122"/>
    <n v="8344.25"/>
    <x v="4"/>
    <n v="10.827"/>
  </r>
  <r>
    <n v="8344.3661899999715"/>
    <n v="8344.25"/>
    <x v="4"/>
    <n v="10.847"/>
  </r>
  <r>
    <n v="8344.3665000000037"/>
    <n v="8344.25"/>
    <x v="4"/>
    <n v="10.824"/>
  </r>
  <r>
    <n v="8344.3668200001121"/>
    <n v="8344.25"/>
    <x v="4"/>
    <n v="10.817"/>
  </r>
  <r>
    <n v="8344.3671400002204"/>
    <n v="8344.25"/>
    <x v="4"/>
    <n v="10.824999999999999"/>
  </r>
  <r>
    <n v="8344.3674599998631"/>
    <n v="8344.25"/>
    <x v="4"/>
    <n v="10.81"/>
  </r>
  <r>
    <n v="8344.3677699998952"/>
    <n v="8344.25"/>
    <x v="4"/>
    <n v="10.837999999999999"/>
  </r>
  <r>
    <n v="8344.3681000000797"/>
    <n v="8344.25"/>
    <x v="4"/>
    <n v="10.795"/>
  </r>
  <r>
    <n v="8344.3684100001119"/>
    <n v="8344.25"/>
    <x v="4"/>
    <n v="10.82"/>
  </r>
  <r>
    <n v="8344.3687300002202"/>
    <n v="8344.25"/>
    <x v="4"/>
    <n v="10.832000000000001"/>
  </r>
  <r>
    <n v="8344.3690499998629"/>
    <n v="8344.25"/>
    <x v="4"/>
    <n v="10.881"/>
  </r>
  <r>
    <n v="8344.3693699999712"/>
    <n v="8344.25"/>
    <x v="4"/>
    <n v="10.872"/>
  </r>
  <r>
    <n v="8344.3696800000034"/>
    <n v="8344.25"/>
    <x v="4"/>
    <n v="10.878"/>
  </r>
  <r>
    <n v="8344.3703200002201"/>
    <n v="8344.25"/>
    <x v="4"/>
    <n v="10.879"/>
  </r>
  <r>
    <n v="8344.3706399998628"/>
    <n v="8344.25"/>
    <x v="4"/>
    <n v="10.816000000000001"/>
  </r>
  <r>
    <n v="8344.3709499998949"/>
    <n v="8344.25"/>
    <x v="4"/>
    <n v="10.867000000000001"/>
  </r>
  <r>
    <n v="8344.3712700000033"/>
    <n v="8344.25"/>
    <x v="4"/>
    <n v="10.818"/>
  </r>
  <r>
    <n v="8344.3856500000693"/>
    <n v="8344.25"/>
    <x v="4"/>
    <n v="10.877000000000001"/>
  </r>
  <r>
    <n v="8344.3859799997881"/>
    <n v="8344.25"/>
    <x v="4"/>
    <n v="10.882"/>
  </r>
  <r>
    <n v="8344.3862999998964"/>
    <n v="8344.25"/>
    <x v="4"/>
    <n v="10.868"/>
  </r>
  <r>
    <n v="8344.3866099999286"/>
    <n v="8344.25"/>
    <x v="4"/>
    <n v="10.871"/>
  </r>
  <r>
    <n v="8344.3869400001131"/>
    <n v="8344.25"/>
    <x v="4"/>
    <n v="10.829000000000001"/>
  </r>
  <r>
    <n v="8344.3872500001453"/>
    <n v="8344.25"/>
    <x v="4"/>
    <n v="10.827999999999999"/>
  </r>
  <r>
    <n v="8344.3875600001775"/>
    <n v="8344.25"/>
    <x v="4"/>
    <n v="10.851000000000001"/>
  </r>
  <r>
    <n v="8344.3878899998963"/>
    <n v="8344.25"/>
    <x v="4"/>
    <n v="10.837"/>
  </r>
  <r>
    <n v="8344.3881999999285"/>
    <n v="8344.25"/>
    <x v="4"/>
    <n v="10.855"/>
  </r>
  <r>
    <n v="8344.3885200000368"/>
    <n v="8344.25"/>
    <x v="4"/>
    <n v="10.852"/>
  </r>
  <r>
    <n v="8344.3888400001451"/>
    <n v="8344.25"/>
    <x v="4"/>
    <n v="10.846"/>
  </r>
  <r>
    <n v="8344.3935099998489"/>
    <n v="8344.25"/>
    <x v="4"/>
    <n v="10.821999999999999"/>
  </r>
  <r>
    <n v="8344.3938400000334"/>
    <n v="8344.25"/>
    <x v="4"/>
    <n v="10.86"/>
  </r>
  <r>
    <n v="8344.3941500000656"/>
    <n v="8344.25"/>
    <x v="4"/>
    <n v="10.856"/>
  </r>
  <r>
    <n v="8344.3944700001739"/>
    <n v="8344.25"/>
    <x v="4"/>
    <n v="10.808"/>
  </r>
  <r>
    <n v="8344.3947899998166"/>
    <n v="8344.25"/>
    <x v="4"/>
    <n v="10.789"/>
  </r>
  <r>
    <n v="8344.3951099999249"/>
    <n v="8344.25"/>
    <x v="4"/>
    <n v="10.867000000000001"/>
  </r>
  <r>
    <n v="8344.6056900001131"/>
    <n v="8344.5"/>
    <x v="5"/>
    <n v="10.917999999999999"/>
  </r>
  <r>
    <n v="8345.401949999854"/>
    <n v="8345.25"/>
    <x v="6"/>
    <n v="10.757999999999999"/>
  </r>
  <r>
    <n v="8345.4035399998538"/>
    <n v="8345.25"/>
    <x v="6"/>
    <n v="10.771000000000001"/>
  </r>
  <r>
    <n v="8345.4051299998537"/>
    <n v="8345.25"/>
    <x v="6"/>
    <n v="10.808"/>
  </r>
  <r>
    <n v="8345.4067600001581"/>
    <n v="8345.25"/>
    <x v="6"/>
    <n v="10.794"/>
  </r>
  <r>
    <n v="8345.408350000158"/>
    <n v="8345.25"/>
    <x v="6"/>
    <n v="10.771000000000001"/>
  </r>
  <r>
    <n v="8345.4099300000817"/>
    <n v="8345.25"/>
    <x v="6"/>
    <n v="10.768000000000001"/>
  </r>
  <r>
    <n v="8345.4115200000815"/>
    <n v="8345.25"/>
    <x v="6"/>
    <n v="10.741"/>
  </r>
  <r>
    <n v="8345.4131000000052"/>
    <n v="8345.25"/>
    <x v="6"/>
    <n v="10.746"/>
  </r>
  <r>
    <n v="8345.4146900000051"/>
    <n v="8345.25"/>
    <x v="6"/>
    <n v="10.733000000000001"/>
  </r>
  <r>
    <n v="8345.4162699999288"/>
    <n v="8345.25"/>
    <x v="6"/>
    <n v="10.747"/>
  </r>
  <r>
    <n v="8345.4178599999286"/>
    <n v="8345.25"/>
    <x v="6"/>
    <n v="10.776"/>
  </r>
  <r>
    <n v="8345.4194399998523"/>
    <n v="8345.25"/>
    <x v="6"/>
    <n v="10.801"/>
  </r>
  <r>
    <n v="8345.4210299998522"/>
    <n v="8345.25"/>
    <x v="6"/>
    <n v="10.811"/>
  </r>
  <r>
    <n v="8345.4226299999282"/>
    <n v="8345.25"/>
    <x v="6"/>
    <n v="10.781000000000001"/>
  </r>
  <r>
    <n v="8345.4242099998519"/>
    <n v="8345.25"/>
    <x v="6"/>
    <n v="10.785"/>
  </r>
  <r>
    <n v="8345.4257999998517"/>
    <n v="8345.25"/>
    <x v="6"/>
    <n v="10.801"/>
  </r>
  <r>
    <n v="8345.427370000165"/>
    <n v="8345.25"/>
    <x v="6"/>
    <n v="10.805999999999999"/>
  </r>
  <r>
    <n v="8345.4289699997753"/>
    <n v="8345.25"/>
    <x v="6"/>
    <n v="10.798"/>
  </r>
  <r>
    <n v="8345.4305500001647"/>
    <n v="8345.25"/>
    <x v="6"/>
    <n v="10.795999999999999"/>
  </r>
  <r>
    <n v="8345.4321400001645"/>
    <n v="8345.25"/>
    <x v="6"/>
    <n v="10.79"/>
  </r>
  <r>
    <n v="8345.4337300001644"/>
    <n v="8345.25"/>
    <x v="6"/>
    <n v="10.795"/>
  </r>
  <r>
    <n v="8345.4353100000881"/>
    <n v="8345.25"/>
    <x v="6"/>
    <n v="10.794"/>
  </r>
  <r>
    <n v="8345.4369000000879"/>
    <n v="8345.25"/>
    <x v="6"/>
    <n v="10.805999999999999"/>
  </r>
  <r>
    <n v="8345.4384800000116"/>
    <n v="8345.25"/>
    <x v="6"/>
    <n v="10.779"/>
  </r>
  <r>
    <n v="8345.4400700000115"/>
    <n v="8345.25"/>
    <x v="6"/>
    <n v="10.786"/>
  </r>
  <r>
    <n v="8345.4416499999352"/>
    <n v="8345.25"/>
    <x v="6"/>
    <n v="10.776"/>
  </r>
  <r>
    <n v="8345.443239999935"/>
    <n v="8345.25"/>
    <x v="6"/>
    <n v="10.778"/>
  </r>
  <r>
    <n v="8345.4448199998587"/>
    <n v="8345.25"/>
    <x v="6"/>
    <n v="10.768000000000001"/>
  </r>
  <r>
    <n v="8345.4464099998586"/>
    <n v="8345.25"/>
    <x v="6"/>
    <n v="10.771000000000001"/>
  </r>
  <r>
    <n v="8345.4479999998584"/>
    <n v="8345.25"/>
    <x v="6"/>
    <n v="10.781000000000001"/>
  </r>
  <r>
    <n v="8345.4495799997821"/>
    <n v="8345.25"/>
    <x v="6"/>
    <n v="10.775"/>
  </r>
  <r>
    <n v="8345.451169999782"/>
    <n v="8345.25"/>
    <x v="6"/>
    <n v="10.782999999999999"/>
  </r>
  <r>
    <n v="8345.4527500001714"/>
    <n v="8345.25"/>
    <x v="6"/>
    <n v="10.776999999999999"/>
  </r>
  <r>
    <n v="8345.4543499997817"/>
    <n v="8345.25"/>
    <x v="6"/>
    <n v="10.789"/>
  </r>
  <r>
    <n v="8345.4559399997815"/>
    <n v="8345.25"/>
    <x v="6"/>
    <n v="10.784000000000001"/>
  </r>
  <r>
    <n v="8345.4575200001709"/>
    <n v="8345.25"/>
    <x v="6"/>
    <n v="10.769"/>
  </r>
  <r>
    <n v="8345.4591100001708"/>
    <n v="8345.25"/>
    <x v="6"/>
    <n v="10.771000000000001"/>
  </r>
  <r>
    <n v="8345.4606900000945"/>
    <n v="8345.25"/>
    <x v="6"/>
    <n v="10.757999999999999"/>
  </r>
  <r>
    <n v="8345.4622800000943"/>
    <n v="8345.25"/>
    <x v="6"/>
    <n v="10.773"/>
  </r>
  <r>
    <n v="8345.463860000018"/>
    <n v="8345.25"/>
    <x v="6"/>
    <n v="10.75"/>
  </r>
  <r>
    <n v="8345.4654500000179"/>
    <n v="8345.25"/>
    <x v="6"/>
    <n v="10.766"/>
  </r>
  <r>
    <n v="8345.4670299999416"/>
    <n v="8345.25"/>
    <x v="6"/>
    <n v="10.744"/>
  </r>
  <r>
    <n v="8345.4686199999414"/>
    <n v="8345.25"/>
    <x v="6"/>
    <n v="10.766999999999999"/>
  </r>
  <r>
    <n v="8345.4702099999413"/>
    <n v="8345.25"/>
    <x v="6"/>
    <n v="10.778"/>
  </r>
  <r>
    <n v="8345.4730600002222"/>
    <n v="8345.25"/>
    <x v="6"/>
    <n v="10.827"/>
  </r>
  <r>
    <n v="8345.4746599998325"/>
    <n v="8345.25"/>
    <x v="6"/>
    <n v="10.813000000000001"/>
  </r>
  <r>
    <n v="8345.4762499998324"/>
    <n v="8345.25"/>
    <x v="6"/>
    <n v="10.823"/>
  </r>
  <r>
    <n v="8345.4778300002217"/>
    <n v="8345.25"/>
    <x v="6"/>
    <n v="10.817"/>
  </r>
  <r>
    <n v="8345.4794200002216"/>
    <n v="8345.25"/>
    <x v="6"/>
    <n v="10.821"/>
  </r>
  <r>
    <n v="8345.4810000001453"/>
    <n v="8345.25"/>
    <x v="6"/>
    <n v="10.811999999999999"/>
  </r>
  <r>
    <n v="8345.4825900001451"/>
    <n v="8345.25"/>
    <x v="6"/>
    <n v="10.813000000000001"/>
  </r>
  <r>
    <n v="8345.484180000145"/>
    <n v="8345.25"/>
    <x v="6"/>
    <n v="10.798"/>
  </r>
  <r>
    <n v="8345.4857600000687"/>
    <n v="8345.25"/>
    <x v="6"/>
    <n v="10.811"/>
  </r>
  <r>
    <n v="8345.4873500000685"/>
    <n v="8345.25"/>
    <x v="6"/>
    <n v="10.795999999999999"/>
  </r>
  <r>
    <n v="8345.4889299999923"/>
    <n v="8345.25"/>
    <x v="6"/>
    <n v="10.81"/>
  </r>
  <r>
    <n v="8345.4905199999921"/>
    <n v="8345.25"/>
    <x v="6"/>
    <n v="10.815"/>
  </r>
  <r>
    <n v="8345.4920999999158"/>
    <n v="8345.25"/>
    <x v="6"/>
    <n v="10.821"/>
  </r>
  <r>
    <n v="8345.4936899999157"/>
    <n v="8345.25"/>
    <x v="6"/>
    <n v="10.82"/>
  </r>
  <r>
    <n v="8345.4952699998394"/>
    <n v="8345.25"/>
    <x v="6"/>
    <n v="10.818"/>
  </r>
  <r>
    <n v="8345.4968599998392"/>
    <n v="8345.25"/>
    <x v="6"/>
    <n v="10.82"/>
  </r>
  <r>
    <n v="8345.4984599999152"/>
    <n v="8345.25"/>
    <x v="6"/>
    <n v="10.821999999999999"/>
  </r>
  <r>
    <n v="8345.5000399998389"/>
    <n v="8345.5"/>
    <x v="7"/>
    <n v="10.823"/>
  </r>
  <r>
    <n v="8345.5016299998388"/>
    <n v="8345.5"/>
    <x v="7"/>
    <n v="10.814"/>
  </r>
  <r>
    <n v="8345.5032100002281"/>
    <n v="8345.5"/>
    <x v="7"/>
    <n v="10.816000000000001"/>
  </r>
  <r>
    <n v="8345.504800000228"/>
    <n v="8345.5"/>
    <x v="7"/>
    <n v="10.805999999999999"/>
  </r>
  <r>
    <n v="8345.5063900002278"/>
    <n v="8345.5"/>
    <x v="7"/>
    <n v="10.824"/>
  </r>
  <r>
    <n v="8345.5079700001515"/>
    <n v="8345.5"/>
    <x v="7"/>
    <n v="10.814"/>
  </r>
  <r>
    <n v="8345.5095600001514"/>
    <n v="8345.5"/>
    <x v="7"/>
    <n v="10.817"/>
  </r>
  <r>
    <n v="8345.5111500001512"/>
    <n v="8345.5"/>
    <x v="7"/>
    <n v="10.814"/>
  </r>
  <r>
    <n v="8345.5127400001511"/>
    <n v="8345.5"/>
    <x v="7"/>
    <n v="10.816000000000001"/>
  </r>
  <r>
    <n v="8345.5143300001509"/>
    <n v="8345.5"/>
    <x v="7"/>
    <n v="10.818"/>
  </r>
  <r>
    <n v="8345.5159100000747"/>
    <n v="8345.5"/>
    <x v="7"/>
    <n v="10.801"/>
  </r>
  <r>
    <n v="8345.5175000000745"/>
    <n v="8345.5"/>
    <x v="7"/>
    <n v="10.797000000000001"/>
  </r>
  <r>
    <n v="8345.5190799999982"/>
    <n v="8345.5"/>
    <x v="7"/>
    <n v="10.815"/>
  </r>
  <r>
    <n v="8345.5206800000742"/>
    <n v="8345.5"/>
    <x v="7"/>
    <n v="10.81"/>
  </r>
  <r>
    <n v="8345.7259399998002"/>
    <n v="8345.5"/>
    <x v="7"/>
    <n v="10.833"/>
  </r>
  <r>
    <n v="8345.7263299999759"/>
    <n v="8345.5"/>
    <x v="7"/>
    <n v="10.867000000000001"/>
  </r>
  <r>
    <n v="8345.7267399998382"/>
    <n v="8345.5"/>
    <x v="7"/>
    <n v="10.866"/>
  </r>
  <r>
    <n v="8345.7271300000139"/>
    <n v="8345.5"/>
    <x v="7"/>
    <n v="10.827999999999999"/>
  </r>
  <r>
    <n v="8345.7275200001895"/>
    <n v="8345.5"/>
    <x v="7"/>
    <n v="10.837999999999999"/>
  </r>
  <r>
    <n v="8345.7279300000519"/>
    <n v="8345.5"/>
    <x v="7"/>
    <n v="10.847"/>
  </r>
  <r>
    <n v="8345.728329999838"/>
    <n v="8345.5"/>
    <x v="7"/>
    <n v="10.839"/>
  </r>
  <r>
    <n v="8345.7287300000899"/>
    <n v="8345.5"/>
    <x v="7"/>
    <n v="10.859"/>
  </r>
  <r>
    <n v="8345.7291199997999"/>
    <n v="8345.5"/>
    <x v="7"/>
    <n v="10.875"/>
  </r>
  <r>
    <n v="8345.729540000204"/>
    <n v="8345.5"/>
    <x v="7"/>
    <n v="10.863"/>
  </r>
  <r>
    <n v="8345.7299399999902"/>
    <n v="8345.5"/>
    <x v="7"/>
    <n v="10.835000000000001"/>
  </r>
  <r>
    <n v="8345.7303499998525"/>
    <n v="8345.5"/>
    <x v="7"/>
    <n v="10.867000000000001"/>
  </r>
  <r>
    <n v="8345.7307400000282"/>
    <n v="8345.5"/>
    <x v="7"/>
    <n v="10.840999999999999"/>
  </r>
  <r>
    <n v="8345.7311499998905"/>
    <n v="8345.5"/>
    <x v="7"/>
    <n v="10.837"/>
  </r>
  <r>
    <n v="8345.7315500001423"/>
    <n v="8345.5"/>
    <x v="7"/>
    <n v="10.861000000000001"/>
  </r>
  <r>
    <n v="8345.7319399998523"/>
    <n v="8345.5"/>
    <x v="7"/>
    <n v="10.851000000000001"/>
  </r>
  <r>
    <n v="8345.7323500001803"/>
    <n v="8345.5"/>
    <x v="7"/>
    <n v="10.839"/>
  </r>
  <r>
    <n v="8345.7327499999665"/>
    <n v="8345.5"/>
    <x v="7"/>
    <n v="10.845000000000001"/>
  </r>
  <r>
    <n v="8345.7331500002183"/>
    <n v="8345.5"/>
    <x v="7"/>
    <n v="10.837"/>
  </r>
  <r>
    <n v="8345.7335500000045"/>
    <n v="8345.5"/>
    <x v="7"/>
    <n v="10.834"/>
  </r>
  <r>
    <n v="8345.7339499997906"/>
    <n v="8345.5"/>
    <x v="7"/>
    <n v="10.853"/>
  </r>
  <r>
    <n v="8345.7343500000425"/>
    <n v="8345.5"/>
    <x v="7"/>
    <n v="10.856999999999999"/>
  </r>
  <r>
    <n v="8345.7347599999048"/>
    <n v="8345.5"/>
    <x v="7"/>
    <n v="10.852"/>
  </r>
  <r>
    <n v="8345.7351600001566"/>
    <n v="8345.5"/>
    <x v="7"/>
    <n v="10.842000000000001"/>
  </r>
  <r>
    <n v="8345.7355599999428"/>
    <n v="8345.5"/>
    <x v="7"/>
    <n v="10.829000000000001"/>
  </r>
  <r>
    <n v="8345.7359600001946"/>
    <n v="8345.5"/>
    <x v="7"/>
    <n v="10.842000000000001"/>
  </r>
  <r>
    <n v="8345.7363499999046"/>
    <n v="8345.5"/>
    <x v="7"/>
    <n v="10.852"/>
  </r>
  <r>
    <n v="8345.7367600002326"/>
    <n v="8345.5"/>
    <x v="7"/>
    <n v="10.833"/>
  </r>
  <r>
    <n v="8345.7371499999426"/>
    <n v="8345.5"/>
    <x v="7"/>
    <n v="10.848000000000001"/>
  </r>
  <r>
    <n v="8345.7375599998049"/>
    <n v="8345.5"/>
    <x v="7"/>
    <n v="10.847"/>
  </r>
  <r>
    <n v="8345.7733700000681"/>
    <n v="8345.75"/>
    <x v="8"/>
    <n v="10.861000000000001"/>
  </r>
  <r>
    <n v="8345.7737699998543"/>
    <n v="8345.75"/>
    <x v="8"/>
    <n v="10.856"/>
  </r>
  <r>
    <n v="8345.7741700001061"/>
    <n v="8345.75"/>
    <x v="8"/>
    <n v="10.859"/>
  </r>
  <r>
    <n v="8345.7745699998923"/>
    <n v="8345.75"/>
    <x v="8"/>
    <n v="10.847"/>
  </r>
  <r>
    <n v="8345.7749800002202"/>
    <n v="8345.75"/>
    <x v="8"/>
    <n v="10.862"/>
  </r>
  <r>
    <n v="8345.7753800000064"/>
    <n v="8345.75"/>
    <x v="8"/>
    <n v="10.84"/>
  </r>
  <r>
    <n v="8345.7757899998687"/>
    <n v="8345.75"/>
    <x v="8"/>
    <n v="10.865"/>
  </r>
  <r>
    <n v="8345.7761800000444"/>
    <n v="8345.75"/>
    <x v="8"/>
    <n v="10.884"/>
  </r>
  <r>
    <n v="8345.7765700002201"/>
    <n v="8345.75"/>
    <x v="8"/>
    <n v="10.862"/>
  </r>
  <r>
    <n v="8345.7769800000824"/>
    <n v="8345.75"/>
    <x v="8"/>
    <n v="10.859"/>
  </r>
  <r>
    <n v="8346.6564699998125"/>
    <n v="8346.5"/>
    <x v="9"/>
    <n v="10.914999999999999"/>
  </r>
  <r>
    <n v="8346.661900000181"/>
    <n v="8346.5"/>
    <x v="9"/>
    <n v="10.914"/>
  </r>
  <r>
    <n v="8346.6673099999316"/>
    <n v="8346.5"/>
    <x v="9"/>
    <n v="10.92"/>
  </r>
  <r>
    <n v="8346.6727399998344"/>
    <n v="8346.5"/>
    <x v="9"/>
    <n v="10.916"/>
  </r>
  <r>
    <n v="8346.6781600001268"/>
    <n v="8346.5"/>
    <x v="9"/>
    <n v="10.909000000000001"/>
  </r>
  <r>
    <n v="8346.6835900000297"/>
    <n v="8346.5"/>
    <x v="9"/>
    <n v="10.912000000000001"/>
  </r>
  <r>
    <n v="8346.6890199999325"/>
    <n v="8346.5"/>
    <x v="9"/>
    <n v="10.92"/>
  </r>
  <r>
    <n v="8346.6944300001487"/>
    <n v="8346.5"/>
    <x v="9"/>
    <n v="10.904"/>
  </r>
  <r>
    <n v="8346.6998600000516"/>
    <n v="8346.5"/>
    <x v="9"/>
    <n v="10.92"/>
  </r>
  <r>
    <n v="8346.7053000000305"/>
    <n v="8346.5"/>
    <x v="9"/>
    <n v="10.906000000000001"/>
  </r>
  <r>
    <n v="8346.7107400000095"/>
    <n v="8346.5"/>
    <x v="9"/>
    <n v="10.906000000000001"/>
  </r>
  <r>
    <n v="8346.7161599998362"/>
    <n v="8346.5"/>
    <x v="9"/>
    <n v="10.903"/>
  </r>
  <r>
    <n v="8346.7216099998914"/>
    <n v="8346.5"/>
    <x v="9"/>
    <n v="10.903"/>
  </r>
  <r>
    <n v="8346.7270399997942"/>
    <n v="8346.5"/>
    <x v="9"/>
    <n v="10.901"/>
  </r>
  <r>
    <n v="8346.7324700001627"/>
    <n v="8346.5"/>
    <x v="9"/>
    <n v="10.895"/>
  </r>
  <r>
    <n v="8346.7378899999894"/>
    <n v="8346.5"/>
    <x v="9"/>
    <n v="10.901999999999999"/>
  </r>
  <r>
    <n v="8346.7481800001115"/>
    <n v="8346.5"/>
    <x v="9"/>
    <n v="10.917999999999999"/>
  </r>
  <r>
    <n v="8346.7536100000143"/>
    <n v="8346.75"/>
    <x v="10"/>
    <n v="10.914999999999999"/>
  </r>
  <r>
    <n v="8346.7590600000694"/>
    <n v="8346.75"/>
    <x v="10"/>
    <n v="10.913"/>
  </r>
  <r>
    <n v="8346.7644799998961"/>
    <n v="8346.75"/>
    <x v="10"/>
    <n v="10.916"/>
  </r>
  <r>
    <n v="8346.7699299999513"/>
    <n v="8346.75"/>
    <x v="10"/>
    <n v="10.919"/>
  </r>
  <r>
    <n v="8346.7753800000064"/>
    <n v="8346.75"/>
    <x v="10"/>
    <n v="10.894"/>
  </r>
  <r>
    <n v="8346.7807999998331"/>
    <n v="8346.75"/>
    <x v="10"/>
    <n v="10.896000000000001"/>
  </r>
  <r>
    <n v="8346.7862399998121"/>
    <n v="8346.75"/>
    <x v="10"/>
    <n v="10.904999999999999"/>
  </r>
  <r>
    <n v="8346.7916899998672"/>
    <n v="8346.75"/>
    <x v="10"/>
    <n v="10.9"/>
  </r>
  <r>
    <n v="8346.7971199997701"/>
    <n v="8346.75"/>
    <x v="10"/>
    <n v="10.9"/>
  </r>
  <r>
    <n v="8346.8025299999863"/>
    <n v="8346.75"/>
    <x v="10"/>
    <n v="10.903"/>
  </r>
  <r>
    <n v="8346.8079599998891"/>
    <n v="8346.75"/>
    <x v="10"/>
    <n v="10.907"/>
  </r>
  <r>
    <n v="8346.8133800001815"/>
    <n v="8346.75"/>
    <x v="10"/>
    <n v="10.898999999999999"/>
  </r>
  <r>
    <n v="8346.8188100000843"/>
    <n v="8346.75"/>
    <x v="10"/>
    <n v="10.913"/>
  </r>
  <r>
    <n v="8346.8276999997906"/>
    <n v="8346.75"/>
    <x v="10"/>
    <n v="10.92"/>
  </r>
  <r>
    <n v="8346.8331399997696"/>
    <n v="8346.75"/>
    <x v="10"/>
    <n v="10.917999999999999"/>
  </r>
  <r>
    <n v="8346.8385800002143"/>
    <n v="8346.75"/>
    <x v="10"/>
    <n v="10.917"/>
  </r>
  <r>
    <n v="8346.8440200001933"/>
    <n v="8346.75"/>
    <x v="10"/>
    <n v="10.919"/>
  </r>
  <r>
    <n v="8346.84944000002"/>
    <n v="8346.75"/>
    <x v="10"/>
    <n v="10.917"/>
  </r>
  <r>
    <n v="8346.854879999999"/>
    <n v="8346.75"/>
    <x v="10"/>
    <n v="10.923"/>
  </r>
  <r>
    <n v="8346.8603099999018"/>
    <n v="8346.75"/>
    <x v="10"/>
    <n v="10.9"/>
  </r>
  <r>
    <n v="8346.8657399998046"/>
    <n v="8346.75"/>
    <x v="10"/>
    <n v="10.914999999999999"/>
  </r>
  <r>
    <n v="8346.8711799997836"/>
    <n v="8346.75"/>
    <x v="10"/>
    <n v="10.917999999999999"/>
  </r>
  <r>
    <n v="8346.8766100001521"/>
    <n v="8346.75"/>
    <x v="10"/>
    <n v="10.875"/>
  </r>
  <r>
    <n v="8346.882040000055"/>
    <n v="8346.75"/>
    <x v="10"/>
    <n v="10.823"/>
  </r>
  <r>
    <n v="8347.3645799998194"/>
    <n v="8347.25"/>
    <x v="11"/>
    <n v="10.99"/>
  </r>
  <r>
    <n v="8347.3736200002022"/>
    <n v="8347.25"/>
    <x v="11"/>
    <n v="10.848000000000001"/>
  </r>
  <r>
    <n v="8349.522359999828"/>
    <n v="8349.5"/>
    <x v="12"/>
    <n v="10.864000000000001"/>
  </r>
  <r>
    <n v="8349.5225800001062"/>
    <n v="8349.5"/>
    <x v="12"/>
    <n v="10.867000000000001"/>
  </r>
  <r>
    <n v="8350.5195399997756"/>
    <n v="8350.5"/>
    <x v="13"/>
    <n v="10.86"/>
  </r>
  <r>
    <n v="8350.5197499999776"/>
    <n v="8350.5"/>
    <x v="13"/>
    <n v="10.872"/>
  </r>
  <r>
    <n v="8351.5167399998754"/>
    <n v="8351.5"/>
    <x v="14"/>
    <n v="10.904"/>
  </r>
  <r>
    <n v="8351.5169600001536"/>
    <n v="8351.5"/>
    <x v="14"/>
    <n v="10.877000000000001"/>
  </r>
  <r>
    <n v="8352.499110000208"/>
    <n v="8352.25"/>
    <x v="15"/>
    <n v="10.942"/>
  </r>
  <r>
    <n v="8352.4993199999444"/>
    <n v="8352.25"/>
    <x v="15"/>
    <n v="10.935"/>
  </r>
  <r>
    <n v="8353.3606500001624"/>
    <n v="8353.25"/>
    <x v="16"/>
    <n v="10.914999999999999"/>
  </r>
  <r>
    <n v="8354.5084099997766"/>
    <n v="8354.5"/>
    <x v="17"/>
    <n v="10.929"/>
  </r>
  <r>
    <n v="8354.5086300000548"/>
    <n v="8354.5"/>
    <x v="17"/>
    <n v="10.91"/>
  </r>
  <r>
    <n v="8355.5054999999702"/>
    <n v="8355.5"/>
    <x v="18"/>
    <n v="10.932"/>
  </r>
  <r>
    <n v="8355.5057199997827"/>
    <n v="8355.5"/>
    <x v="18"/>
    <n v="10.903"/>
  </r>
  <r>
    <n v="8355.7532100002281"/>
    <n v="8355.75"/>
    <x v="19"/>
    <n v="10.933999999999999"/>
  </r>
  <r>
    <n v="8356.502950000111"/>
    <n v="8356.5"/>
    <x v="20"/>
    <n v="10.923"/>
  </r>
  <r>
    <n v="8356.5031699999236"/>
    <n v="8356.5"/>
    <x v="20"/>
    <n v="10.913"/>
  </r>
  <r>
    <n v="8357.4999600001611"/>
    <n v="8357.25"/>
    <x v="21"/>
    <n v="10.961"/>
  </r>
  <r>
    <n v="8357.5001699998975"/>
    <n v="8357.5"/>
    <x v="22"/>
    <n v="10.959"/>
  </r>
  <r>
    <n v="8358.4885499998927"/>
    <n v="8358.25"/>
    <x v="23"/>
    <n v="10.964"/>
  </r>
  <r>
    <n v="8358.4887600000948"/>
    <n v="8358.25"/>
    <x v="23"/>
    <n v="10.997999999999999"/>
  </r>
  <r>
    <n v="8359.3707099999301"/>
    <n v="8359.25"/>
    <x v="24"/>
    <n v="11.002000000000001"/>
  </r>
  <r>
    <n v="8359.3714399999008"/>
    <n v="8359.25"/>
    <x v="24"/>
    <n v="11"/>
  </r>
  <r>
    <n v="8359.4889799999073"/>
    <n v="8359.25"/>
    <x v="24"/>
    <n v="11.013999999999999"/>
  </r>
  <r>
    <n v="8359.4891800000332"/>
    <n v="8359.25"/>
    <x v="24"/>
    <n v="11.048"/>
  </r>
  <r>
    <n v="8360.4896499998868"/>
    <n v="8360.25"/>
    <x v="25"/>
    <n v="11.061"/>
  </r>
  <r>
    <n v="8360.489870000165"/>
    <n v="8360.25"/>
    <x v="25"/>
    <n v="11.058"/>
  </r>
  <r>
    <n v="8361.4898999999277"/>
    <n v="8361.25"/>
    <x v="26"/>
    <n v="11.071"/>
  </r>
  <r>
    <n v="8361.4901100001298"/>
    <n v="8361.25"/>
    <x v="26"/>
    <n v="11.101000000000001"/>
  </r>
  <r>
    <n v="8362.3596800002269"/>
    <n v="8362.25"/>
    <x v="27"/>
    <n v="11.096"/>
  </r>
  <r>
    <n v="8362.4897900000215"/>
    <n v="8362.25"/>
    <x v="27"/>
    <n v="11.116"/>
  </r>
  <r>
    <n v="8362.4899900001474"/>
    <n v="8362.25"/>
    <x v="27"/>
    <n v="11.114000000000001"/>
  </r>
  <r>
    <n v="8363.5060200002044"/>
    <n v="8363.5"/>
    <x v="28"/>
    <n v="11.134"/>
  </r>
  <r>
    <n v="8363.506240000017"/>
    <n v="8363.5"/>
    <x v="28"/>
    <n v="11.131"/>
  </r>
  <r>
    <n v="8364.3155499999411"/>
    <n v="8364.25"/>
    <x v="29"/>
    <n v="11.128"/>
  </r>
  <r>
    <n v="8364.3159799999557"/>
    <n v="8364.25"/>
    <x v="29"/>
    <n v="11.122"/>
  </r>
  <r>
    <n v="8364.3163800002076"/>
    <n v="8364.25"/>
    <x v="29"/>
    <n v="11.129"/>
  </r>
  <r>
    <n v="8364.3167699999176"/>
    <n v="8364.25"/>
    <x v="29"/>
    <n v="11.148"/>
  </r>
  <r>
    <n v="8364.3171600000933"/>
    <n v="8364.25"/>
    <x v="29"/>
    <n v="11.14"/>
  </r>
  <r>
    <n v="8364.3175599998794"/>
    <n v="8364.25"/>
    <x v="29"/>
    <n v="11.121"/>
  </r>
  <r>
    <n v="8364.3179600001313"/>
    <n v="8364.25"/>
    <x v="29"/>
    <n v="11.161"/>
  </r>
  <r>
    <n v="8364.3183699999936"/>
    <n v="8364.25"/>
    <x v="29"/>
    <n v="11.129"/>
  </r>
  <r>
    <n v="8364.3188100000843"/>
    <n v="8364.25"/>
    <x v="29"/>
    <n v="11.134"/>
  </r>
  <r>
    <n v="8364.3192099998705"/>
    <n v="8364.25"/>
    <x v="29"/>
    <n v="11.119"/>
  </r>
  <r>
    <n v="8364.3196100001223"/>
    <n v="8364.25"/>
    <x v="29"/>
    <n v="11.14"/>
  </r>
  <r>
    <n v="8364.3200599998236"/>
    <n v="8364.25"/>
    <x v="29"/>
    <n v="11.138"/>
  </r>
  <r>
    <n v="8364.3204600000754"/>
    <n v="8364.25"/>
    <x v="29"/>
    <n v="11.122999999999999"/>
  </r>
  <r>
    <n v="8364.3208699999377"/>
    <n v="8364.25"/>
    <x v="29"/>
    <n v="11.156000000000001"/>
  </r>
  <r>
    <n v="8364.3212899998762"/>
    <n v="8364.25"/>
    <x v="29"/>
    <n v="11.166"/>
  </r>
  <r>
    <n v="8364.3217000002041"/>
    <n v="8364.25"/>
    <x v="29"/>
    <n v="11.127000000000001"/>
  </r>
  <r>
    <n v="8364.3221399998292"/>
    <n v="8364.25"/>
    <x v="29"/>
    <n v="11.135999999999999"/>
  </r>
  <r>
    <n v="8364.3225400000811"/>
    <n v="8364.25"/>
    <x v="29"/>
    <n v="11.141"/>
  </r>
  <r>
    <n v="8364.3229499999434"/>
    <n v="8364.25"/>
    <x v="29"/>
    <n v="11.141"/>
  </r>
  <r>
    <n v="8364.3233599998057"/>
    <n v="8364.25"/>
    <x v="29"/>
    <n v="11.131"/>
  </r>
  <r>
    <n v="8364.3237600000575"/>
    <n v="8364.25"/>
    <x v="29"/>
    <n v="11.141"/>
  </r>
  <r>
    <n v="8364.3241699999198"/>
    <n v="8364.25"/>
    <x v="29"/>
    <n v="11.135"/>
  </r>
  <r>
    <n v="8364.3245899998583"/>
    <n v="8364.25"/>
    <x v="29"/>
    <n v="11.143000000000001"/>
  </r>
  <r>
    <n v="8364.3250000001863"/>
    <n v="8364.25"/>
    <x v="29"/>
    <n v="11.124000000000001"/>
  </r>
  <r>
    <n v="8364.3253999999724"/>
    <n v="8364.25"/>
    <x v="29"/>
    <n v="11.134"/>
  </r>
  <r>
    <n v="8364.3258400000632"/>
    <n v="8364.25"/>
    <x v="29"/>
    <n v="11.148999999999999"/>
  </r>
  <r>
    <n v="8364.3262399998493"/>
    <n v="8364.25"/>
    <x v="29"/>
    <n v="11.135"/>
  </r>
  <r>
    <n v="8364.3266799999401"/>
    <n v="8364.25"/>
    <x v="29"/>
    <n v="11.132999999999999"/>
  </r>
  <r>
    <n v="8364.3270700001158"/>
    <n v="8364.25"/>
    <x v="29"/>
    <n v="11.14"/>
  </r>
  <r>
    <n v="8364.3274599998258"/>
    <n v="8364.25"/>
    <x v="29"/>
    <n v="11.141999999999999"/>
  </r>
  <r>
    <n v="8364.3278600000776"/>
    <n v="8364.25"/>
    <x v="29"/>
    <n v="11.134"/>
  </r>
  <r>
    <n v="8364.3282499997877"/>
    <n v="8364.25"/>
    <x v="29"/>
    <n v="11.115"/>
  </r>
  <r>
    <n v="8364.3286899998784"/>
    <n v="8364.25"/>
    <x v="29"/>
    <n v="11.132999999999999"/>
  </r>
  <r>
    <n v="8364.3290800000541"/>
    <n v="8364.25"/>
    <x v="29"/>
    <n v="11.144"/>
  </r>
  <r>
    <n v="8364.3294799998403"/>
    <n v="8364.25"/>
    <x v="29"/>
    <n v="11.129"/>
  </r>
  <r>
    <n v="8364.329919999931"/>
    <n v="8364.25"/>
    <x v="29"/>
    <n v="11.128"/>
  </r>
  <r>
    <n v="8364.3303100001067"/>
    <n v="8364.25"/>
    <x v="29"/>
    <n v="11.132"/>
  </r>
  <r>
    <n v="8364.3306999998167"/>
    <n v="8364.25"/>
    <x v="29"/>
    <n v="11.141"/>
  </r>
  <r>
    <n v="8364.3311000000685"/>
    <n v="8364.25"/>
    <x v="29"/>
    <n v="11.138"/>
  </r>
  <r>
    <n v="8364.3314899997786"/>
    <n v="8364.25"/>
    <x v="29"/>
    <n v="11.138999999999999"/>
  </r>
  <r>
    <n v="8364.3318900000304"/>
    <n v="8364.25"/>
    <x v="29"/>
    <n v="11.134"/>
  </r>
  <r>
    <n v="8364.3322800002061"/>
    <n v="8364.25"/>
    <x v="29"/>
    <n v="11.134"/>
  </r>
  <r>
    <n v="8364.3326699999161"/>
    <n v="8364.25"/>
    <x v="29"/>
    <n v="11.141"/>
  </r>
  <r>
    <n v="8364.3330700001679"/>
    <n v="8364.25"/>
    <x v="29"/>
    <n v="11.132999999999999"/>
  </r>
  <r>
    <n v="8364.3334699999541"/>
    <n v="8364.25"/>
    <x v="29"/>
    <n v="11.153"/>
  </r>
  <r>
    <n v="8364.3338600001298"/>
    <n v="8364.25"/>
    <x v="29"/>
    <n v="11.137"/>
  </r>
  <r>
    <n v="8364.334259999916"/>
    <n v="8364.25"/>
    <x v="29"/>
    <n v="11.14"/>
  </r>
  <r>
    <n v="8364.3346500000916"/>
    <n v="8364.25"/>
    <x v="29"/>
    <n v="11.141999999999999"/>
  </r>
  <r>
    <n v="8364.3350399998017"/>
    <n v="8364.25"/>
    <x v="29"/>
    <n v="11.137"/>
  </r>
  <r>
    <n v="8364.3354400000535"/>
    <n v="8364.25"/>
    <x v="29"/>
    <n v="11.119"/>
  </r>
  <r>
    <n v="8364.3358700000681"/>
    <n v="8364.25"/>
    <x v="29"/>
    <n v="11.132999999999999"/>
  </r>
  <r>
    <n v="8364.3362599997781"/>
    <n v="8364.25"/>
    <x v="29"/>
    <n v="11.125"/>
  </r>
  <r>
    <n v="8364.3366700001061"/>
    <n v="8364.25"/>
    <x v="29"/>
    <n v="11.125"/>
  </r>
  <r>
    <n v="8364.3370799999684"/>
    <n v="8364.25"/>
    <x v="29"/>
    <n v="11.124000000000001"/>
  </r>
  <r>
    <n v="8364.3374899998307"/>
    <n v="8364.25"/>
    <x v="29"/>
    <n v="11.163"/>
  </r>
  <r>
    <n v="8364.3378800000064"/>
    <n v="8364.25"/>
    <x v="29"/>
    <n v="11.129"/>
  </r>
  <r>
    <n v="8364.3382700001821"/>
    <n v="8364.25"/>
    <x v="29"/>
    <n v="11.129"/>
  </r>
  <r>
    <n v="8364.3386800000444"/>
    <n v="8364.25"/>
    <x v="29"/>
    <n v="11.132999999999999"/>
  </r>
  <r>
    <n v="8364.3390799998306"/>
    <n v="8364.25"/>
    <x v="29"/>
    <n v="11.118"/>
  </r>
  <r>
    <n v="8364.3395099998452"/>
    <n v="8364.25"/>
    <x v="29"/>
    <n v="11.131"/>
  </r>
  <r>
    <n v="8364.3399200001732"/>
    <n v="8364.25"/>
    <x v="29"/>
    <n v="11.128"/>
  </r>
  <r>
    <n v="8364.3403199999593"/>
    <n v="8364.25"/>
    <x v="29"/>
    <n v="11.137"/>
  </r>
  <r>
    <n v="8364.3407299998216"/>
    <n v="8364.25"/>
    <x v="29"/>
    <n v="11.143000000000001"/>
  </r>
  <r>
    <n v="8364.3411199999973"/>
    <n v="8364.25"/>
    <x v="29"/>
    <n v="11.125"/>
  </r>
  <r>
    <n v="8364.3415700001642"/>
    <n v="8364.25"/>
    <x v="29"/>
    <n v="11.145"/>
  </r>
  <r>
    <n v="8364.3420099997893"/>
    <n v="8364.25"/>
    <x v="29"/>
    <n v="11.147"/>
  </r>
  <r>
    <n v="8364.3424599999562"/>
    <n v="8364.25"/>
    <x v="29"/>
    <n v="11.138"/>
  </r>
  <r>
    <n v="8364.3428699998185"/>
    <n v="8364.25"/>
    <x v="29"/>
    <n v="11.137"/>
  </r>
  <r>
    <n v="8364.3432700000703"/>
    <n v="8364.25"/>
    <x v="29"/>
    <n v="11.12"/>
  </r>
  <r>
    <n v="8364.3436799999326"/>
    <n v="8364.25"/>
    <x v="29"/>
    <n v="11.135"/>
  </r>
  <r>
    <n v="8364.3440800001845"/>
    <n v="8364.25"/>
    <x v="29"/>
    <n v="11.129"/>
  </r>
  <r>
    <n v="8364.3444900000468"/>
    <n v="8364.25"/>
    <x v="29"/>
    <n v="11.138999999999999"/>
  </r>
  <r>
    <n v="8364.344889999833"/>
    <n v="8364.25"/>
    <x v="29"/>
    <n v="11.144"/>
  </r>
  <r>
    <n v="8364.3452900000848"/>
    <n v="8364.25"/>
    <x v="29"/>
    <n v="11.147"/>
  </r>
  <r>
    <n v="8364.3457300001755"/>
    <n v="8364.25"/>
    <x v="29"/>
    <n v="11.116"/>
  </r>
  <r>
    <n v="8364.3461299999617"/>
    <n v="8364.25"/>
    <x v="29"/>
    <n v="11.144"/>
  </r>
  <r>
    <n v="8364.346539999824"/>
    <n v="8364.25"/>
    <x v="29"/>
    <n v="11.146000000000001"/>
  </r>
  <r>
    <n v="8364.3469299999997"/>
    <n v="8364.25"/>
    <x v="29"/>
    <n v="11.14"/>
  </r>
  <r>
    <n v="8364.3473600000143"/>
    <n v="8364.25"/>
    <x v="29"/>
    <n v="11.114000000000001"/>
  </r>
  <r>
    <n v="8364.34775000019"/>
    <n v="8364.25"/>
    <x v="29"/>
    <n v="11.135999999999999"/>
  </r>
  <r>
    <n v="8364.3481499999762"/>
    <n v="8364.25"/>
    <x v="29"/>
    <n v="11.151"/>
  </r>
  <r>
    <n v="8364.3485400001518"/>
    <n v="8364.25"/>
    <x v="29"/>
    <n v="11.143000000000001"/>
  </r>
  <r>
    <n v="8364.3489799997769"/>
    <n v="8364.25"/>
    <x v="29"/>
    <n v="11.147"/>
  </r>
  <r>
    <n v="8364.3493699999526"/>
    <n v="8364.25"/>
    <x v="29"/>
    <n v="11.141"/>
  </r>
  <r>
    <n v="8364.3497700002044"/>
    <n v="8364.25"/>
    <x v="29"/>
    <n v="11.143000000000001"/>
  </r>
  <r>
    <n v="8364.350200000219"/>
    <n v="8364.25"/>
    <x v="29"/>
    <n v="11.111000000000001"/>
  </r>
  <r>
    <n v="8364.3505899999291"/>
    <n v="8364.25"/>
    <x v="29"/>
    <n v="11.134"/>
  </r>
  <r>
    <n v="8364.3509800001048"/>
    <n v="8364.25"/>
    <x v="29"/>
    <n v="11.116"/>
  </r>
  <r>
    <n v="8364.3518199999817"/>
    <n v="8364.25"/>
    <x v="29"/>
    <n v="11.145"/>
  </r>
  <r>
    <n v="8364.352440000046"/>
    <n v="8364.25"/>
    <x v="29"/>
    <n v="11.121"/>
  </r>
  <r>
    <n v="8364.3530000001192"/>
    <n v="8364.25"/>
    <x v="29"/>
    <n v="11.159000000000001"/>
  </r>
  <r>
    <n v="8364.3531800000928"/>
    <n v="8364.25"/>
    <x v="29"/>
    <n v="11.116"/>
  </r>
  <r>
    <n v="8364.3534200000577"/>
    <n v="8364.25"/>
    <x v="29"/>
    <n v="11.147"/>
  </r>
  <r>
    <n v="8364.3538199998438"/>
    <n v="8364.25"/>
    <x v="29"/>
    <n v="11.167"/>
  </r>
  <r>
    <n v="8364.3542100000195"/>
    <n v="8364.25"/>
    <x v="29"/>
    <n v="11.134"/>
  </r>
  <r>
    <n v="8364.3546099998057"/>
    <n v="8364.25"/>
    <x v="29"/>
    <n v="11.137"/>
  </r>
  <r>
    <n v="8364.3550300002098"/>
    <n v="8364.25"/>
    <x v="29"/>
    <n v="11.148"/>
  </r>
  <r>
    <n v="8364.3558200001717"/>
    <n v="8364.25"/>
    <x v="29"/>
    <n v="11.132"/>
  </r>
  <r>
    <n v="8364.356230000034"/>
    <n v="8364.25"/>
    <x v="29"/>
    <n v="11.137"/>
  </r>
  <r>
    <n v="8364.3566499999724"/>
    <n v="8364.25"/>
    <x v="29"/>
    <n v="11.137"/>
  </r>
  <r>
    <n v="8364.3570500002243"/>
    <n v="8364.25"/>
    <x v="29"/>
    <n v="11.15"/>
  </r>
  <r>
    <n v="8364.3574399999343"/>
    <n v="8364.25"/>
    <x v="29"/>
    <n v="11.129"/>
  </r>
  <r>
    <n v="8364.35783000011"/>
    <n v="8364.25"/>
    <x v="29"/>
    <n v="11.164999999999999"/>
  </r>
  <r>
    <n v="8364.3582600001246"/>
    <n v="8364.25"/>
    <x v="29"/>
    <n v="11.116"/>
  </r>
  <r>
    <n v="8364.3586599999107"/>
    <n v="8364.25"/>
    <x v="29"/>
    <n v="11.135"/>
  </r>
  <r>
    <n v="8364.3590500000864"/>
    <n v="8364.25"/>
    <x v="29"/>
    <n v="11.146000000000001"/>
  </r>
  <r>
    <n v="8364.3594399997965"/>
    <n v="8364.25"/>
    <x v="29"/>
    <n v="11.122"/>
  </r>
  <r>
    <n v="8364.3598400000483"/>
    <n v="8364.25"/>
    <x v="29"/>
    <n v="11.134"/>
  </r>
  <r>
    <n v="8364.360230000224"/>
    <n v="8364.25"/>
    <x v="29"/>
    <n v="11.137"/>
  </r>
  <r>
    <n v="8364.3606400000863"/>
    <n v="8364.25"/>
    <x v="29"/>
    <n v="11.161"/>
  </r>
  <r>
    <n v="8364.3610299997963"/>
    <n v="8364.25"/>
    <x v="29"/>
    <n v="11.132999999999999"/>
  </r>
  <r>
    <n v="8364.361419999972"/>
    <n v="8364.25"/>
    <x v="29"/>
    <n v="11.14"/>
  </r>
  <r>
    <n v="8364.3618299998343"/>
    <n v="8364.25"/>
    <x v="29"/>
    <n v="11.138999999999999"/>
  </r>
  <r>
    <n v="8364.3622300000861"/>
    <n v="8364.25"/>
    <x v="29"/>
    <n v="11.134"/>
  </r>
  <r>
    <n v="8364.3626299998723"/>
    <n v="8364.25"/>
    <x v="29"/>
    <n v="11.119"/>
  </r>
  <r>
    <n v="8364.3630300001241"/>
    <n v="8364.25"/>
    <x v="29"/>
    <n v="11.121"/>
  </r>
  <r>
    <n v="8364.3634399999864"/>
    <n v="8364.25"/>
    <x v="29"/>
    <n v="11.141"/>
  </r>
  <r>
    <n v="8364.3638399997726"/>
    <n v="8364.25"/>
    <x v="29"/>
    <n v="11.116"/>
  </r>
  <r>
    <n v="8364.3642500001006"/>
    <n v="8364.25"/>
    <x v="29"/>
    <n v="11.137"/>
  </r>
  <r>
    <n v="8364.3646399998106"/>
    <n v="8364.25"/>
    <x v="29"/>
    <n v="11.141"/>
  </r>
  <r>
    <n v="8364.3650400000624"/>
    <n v="8364.25"/>
    <x v="29"/>
    <n v="11.135999999999999"/>
  </r>
  <r>
    <n v="8364.3654499999247"/>
    <n v="8364.25"/>
    <x v="29"/>
    <n v="11.131"/>
  </r>
  <r>
    <n v="8364.3658599997871"/>
    <n v="8364.25"/>
    <x v="29"/>
    <n v="11.153"/>
  </r>
  <r>
    <n v="8364.3662600000389"/>
    <n v="8364.25"/>
    <x v="29"/>
    <n v="11.14"/>
  </r>
  <r>
    <n v="8364.3666699999012"/>
    <n v="8364.25"/>
    <x v="29"/>
    <n v="11.138"/>
  </r>
  <r>
    <n v="8364.367070000153"/>
    <n v="8364.25"/>
    <x v="29"/>
    <n v="11.13"/>
  </r>
  <r>
    <n v="8364.3675000001676"/>
    <n v="8364.25"/>
    <x v="29"/>
    <n v="11.144"/>
  </r>
  <r>
    <n v="8364.3678999999538"/>
    <n v="8364.25"/>
    <x v="29"/>
    <n v="11.138999999999999"/>
  </r>
  <r>
    <n v="8364.3683099998161"/>
    <n v="8364.25"/>
    <x v="29"/>
    <n v="11.143000000000001"/>
  </r>
  <r>
    <n v="8364.3687100000679"/>
    <n v="8364.25"/>
    <x v="29"/>
    <n v="11.135999999999999"/>
  </r>
  <r>
    <n v="8364.3691199999303"/>
    <n v="8364.25"/>
    <x v="29"/>
    <n v="11.138999999999999"/>
  </r>
  <r>
    <n v="8364.3695200001821"/>
    <n v="8364.25"/>
    <x v="29"/>
    <n v="11.141999999999999"/>
  </r>
  <r>
    <n v="8364.3699300000444"/>
    <n v="8364.25"/>
    <x v="29"/>
    <n v="11.137"/>
  </r>
  <r>
    <n v="8364.3703299998306"/>
    <n v="8364.25"/>
    <x v="29"/>
    <n v="11.12"/>
  </r>
  <r>
    <n v="8364.3707300000824"/>
    <n v="8364.25"/>
    <x v="29"/>
    <n v="11.147"/>
  </r>
  <r>
    <n v="8364.3711700001732"/>
    <n v="8364.25"/>
    <x v="29"/>
    <n v="11.125"/>
  </r>
  <r>
    <n v="8364.3715699999593"/>
    <n v="8364.25"/>
    <x v="29"/>
    <n v="11.144"/>
  </r>
  <r>
    <n v="8364.3719799998216"/>
    <n v="8364.25"/>
    <x v="29"/>
    <n v="11.138999999999999"/>
  </r>
  <r>
    <n v="8364.3723800000735"/>
    <n v="8364.25"/>
    <x v="29"/>
    <n v="11.148999999999999"/>
  </r>
  <r>
    <n v="8364.3727899999358"/>
    <n v="8364.25"/>
    <x v="29"/>
    <n v="11.14"/>
  </r>
  <r>
    <n v="8364.3731800001115"/>
    <n v="8364.25"/>
    <x v="29"/>
    <n v="11.125999999999999"/>
  </r>
  <r>
    <n v="8364.3735699998215"/>
    <n v="8364.25"/>
    <x v="29"/>
    <n v="11.148999999999999"/>
  </r>
  <r>
    <n v="8364.3739700000733"/>
    <n v="8364.25"/>
    <x v="29"/>
    <n v="11.138999999999999"/>
  </r>
  <r>
    <n v="8364.3744000000879"/>
    <n v="8364.25"/>
    <x v="29"/>
    <n v="11.15"/>
  </r>
  <r>
    <n v="8364.3747899997979"/>
    <n v="8364.25"/>
    <x v="29"/>
    <n v="11.122"/>
  </r>
  <r>
    <n v="8364.3752100002021"/>
    <n v="8364.25"/>
    <x v="29"/>
    <n v="11.147"/>
  </r>
  <r>
    <n v="8364.3755999999121"/>
    <n v="8364.25"/>
    <x v="29"/>
    <n v="11.163"/>
  </r>
  <r>
    <n v="8364.3760099997744"/>
    <n v="8364.25"/>
    <x v="29"/>
    <n v="11.135"/>
  </r>
  <r>
    <n v="8364.3764100000262"/>
    <n v="8364.25"/>
    <x v="29"/>
    <n v="11.143000000000001"/>
  </r>
  <r>
    <n v="8364.3768199998885"/>
    <n v="8364.25"/>
    <x v="29"/>
    <n v="11.141"/>
  </r>
  <r>
    <n v="8364.3772100000642"/>
    <n v="8364.25"/>
    <x v="29"/>
    <n v="11.135"/>
  </r>
  <r>
    <n v="8364.3776099998504"/>
    <n v="8364.25"/>
    <x v="29"/>
    <n v="11.143000000000001"/>
  </r>
  <r>
    <n v="8364.3780200001784"/>
    <n v="8364.25"/>
    <x v="29"/>
    <n v="11.151"/>
  </r>
  <r>
    <n v="8364.3784599998035"/>
    <n v="8364.25"/>
    <x v="29"/>
    <n v="11.141"/>
  </r>
  <r>
    <n v="8364.3788600000553"/>
    <n v="8364.25"/>
    <x v="29"/>
    <n v="11.138"/>
  </r>
  <r>
    <n v="8364.3792599998415"/>
    <n v="8364.25"/>
    <x v="29"/>
    <n v="11.146000000000001"/>
  </r>
  <r>
    <n v="8364.3796600000933"/>
    <n v="8364.25"/>
    <x v="29"/>
    <n v="11.138999999999999"/>
  </r>
  <r>
    <n v="8364.3805100000463"/>
    <n v="8364.25"/>
    <x v="29"/>
    <n v="11.151"/>
  </r>
  <r>
    <n v="8364.3809099998325"/>
    <n v="8364.25"/>
    <x v="29"/>
    <n v="11.135"/>
  </r>
  <r>
    <n v="8364.3813200001605"/>
    <n v="8364.25"/>
    <x v="29"/>
    <n v="11.151999999999999"/>
  </r>
  <r>
    <n v="8364.3817099998705"/>
    <n v="8364.25"/>
    <x v="29"/>
    <n v="11.135"/>
  </r>
  <r>
    <n v="8364.3821200001985"/>
    <n v="8364.25"/>
    <x v="29"/>
    <n v="11.137"/>
  </r>
  <r>
    <n v="8364.3825199999847"/>
    <n v="8364.25"/>
    <x v="29"/>
    <n v="11.135999999999999"/>
  </r>
  <r>
    <n v="8364.382929999847"/>
    <n v="8364.25"/>
    <x v="29"/>
    <n v="11.134"/>
  </r>
  <r>
    <n v="8364.3833599998616"/>
    <n v="8364.25"/>
    <x v="29"/>
    <n v="11.132999999999999"/>
  </r>
  <r>
    <n v="8364.3837600001134"/>
    <n v="8364.25"/>
    <x v="29"/>
    <n v="11.137"/>
  </r>
  <r>
    <n v="8364.3841499998234"/>
    <n v="8364.25"/>
    <x v="29"/>
    <n v="11.151"/>
  </r>
  <r>
    <n v="8364.3845500000753"/>
    <n v="8364.25"/>
    <x v="29"/>
    <n v="11.127000000000001"/>
  </r>
  <r>
    <n v="8364.3849399997853"/>
    <n v="8364.25"/>
    <x v="29"/>
    <n v="11.14"/>
  </r>
  <r>
    <n v="8364.385329999961"/>
    <n v="8364.25"/>
    <x v="29"/>
    <n v="11.14"/>
  </r>
  <r>
    <n v="8364.3857300002128"/>
    <n v="8364.25"/>
    <x v="29"/>
    <n v="11.132999999999999"/>
  </r>
  <r>
    <n v="8364.3861199999228"/>
    <n v="8364.25"/>
    <x v="29"/>
    <n v="11.135"/>
  </r>
  <r>
    <n v="8364.3865499999374"/>
    <n v="8364.25"/>
    <x v="29"/>
    <n v="11.138"/>
  </r>
  <r>
    <n v="8364.3869400001131"/>
    <n v="8364.25"/>
    <x v="29"/>
    <n v="11.134"/>
  </r>
  <r>
    <n v="8364.3873399998993"/>
    <n v="8364.25"/>
    <x v="29"/>
    <n v="11.144"/>
  </r>
  <r>
    <n v="8364.387730000075"/>
    <n v="8364.25"/>
    <x v="29"/>
    <n v="11.122999999999999"/>
  </r>
  <r>
    <n v="8364.3881600000896"/>
    <n v="8364.25"/>
    <x v="29"/>
    <n v="11.141999999999999"/>
  </r>
  <r>
    <n v="8364.3885499997996"/>
    <n v="8364.25"/>
    <x v="29"/>
    <n v="11.137"/>
  </r>
  <r>
    <n v="8364.3889500000514"/>
    <n v="8364.25"/>
    <x v="29"/>
    <n v="11.135"/>
  </r>
  <r>
    <n v="8364.3893400002271"/>
    <n v="8364.25"/>
    <x v="29"/>
    <n v="11.15"/>
  </r>
  <r>
    <n v="8364.3897400000133"/>
    <n v="8364.25"/>
    <x v="29"/>
    <n v="11.121"/>
  </r>
  <r>
    <n v="8364.3901399997994"/>
    <n v="8364.25"/>
    <x v="29"/>
    <n v="11.138"/>
  </r>
  <r>
    <n v="8364.3905299999751"/>
    <n v="8364.25"/>
    <x v="29"/>
    <n v="11.135999999999999"/>
  </r>
  <r>
    <n v="8364.3909200001508"/>
    <n v="8364.25"/>
    <x v="29"/>
    <n v="11.132999999999999"/>
  </r>
  <r>
    <n v="8364.391319999937"/>
    <n v="8364.25"/>
    <x v="29"/>
    <n v="11.128"/>
  </r>
  <r>
    <n v="8364.3917100001127"/>
    <n v="8364.25"/>
    <x v="29"/>
    <n v="11.11"/>
  </r>
  <r>
    <n v="8364.3921400001273"/>
    <n v="8364.25"/>
    <x v="29"/>
    <n v="11.163"/>
  </r>
  <r>
    <n v="8364.3925299998373"/>
    <n v="8364.25"/>
    <x v="29"/>
    <n v="11.132999999999999"/>
  </r>
  <r>
    <n v="8364.3929300000891"/>
    <n v="8364.25"/>
    <x v="29"/>
    <n v="11.151999999999999"/>
  </r>
  <r>
    <n v="8364.3933299998753"/>
    <n v="8364.25"/>
    <x v="29"/>
    <n v="11.138999999999999"/>
  </r>
  <r>
    <n v="8364.3937300001271"/>
    <n v="8364.25"/>
    <x v="29"/>
    <n v="11.134"/>
  </r>
  <r>
    <n v="8364.3941199998371"/>
    <n v="8364.25"/>
    <x v="29"/>
    <n v="11.112"/>
  </r>
  <r>
    <n v="8364.3945100000128"/>
    <n v="8364.25"/>
    <x v="29"/>
    <n v="11.131"/>
  </r>
  <r>
    <n v="8364.394909999799"/>
    <n v="8364.25"/>
    <x v="29"/>
    <n v="11.163"/>
  </r>
  <r>
    <n v="8364.3952999999747"/>
    <n v="8364.25"/>
    <x v="29"/>
    <n v="11.117000000000001"/>
  </r>
  <r>
    <n v="8364.3957299999893"/>
    <n v="8364.25"/>
    <x v="29"/>
    <n v="11.125999999999999"/>
  </r>
  <r>
    <n v="8364.396120000165"/>
    <n v="8364.25"/>
    <x v="29"/>
    <n v="11.135999999999999"/>
  </r>
  <r>
    <n v="8364.396509999875"/>
    <n v="8364.25"/>
    <x v="29"/>
    <n v="11.132999999999999"/>
  </r>
  <r>
    <n v="8364.3969100001268"/>
    <n v="8364.25"/>
    <x v="29"/>
    <n v="11.135"/>
  </r>
  <r>
    <n v="8364.3972999998368"/>
    <n v="8364.25"/>
    <x v="29"/>
    <n v="11.135999999999999"/>
  </r>
  <r>
    <n v="8364.3977000000887"/>
    <n v="8364.25"/>
    <x v="29"/>
    <n v="11.117000000000001"/>
  </r>
  <r>
    <n v="8364.3980999998748"/>
    <n v="8364.25"/>
    <x v="29"/>
    <n v="11.138"/>
  </r>
  <r>
    <n v="8364.3984900000505"/>
    <n v="8364.25"/>
    <x v="29"/>
    <n v="11.148"/>
  </r>
  <r>
    <n v="8364.3988999999128"/>
    <n v="8364.25"/>
    <x v="29"/>
    <n v="11.129"/>
  </r>
  <r>
    <n v="8364.3993299999274"/>
    <n v="8364.25"/>
    <x v="29"/>
    <n v="11.122999999999999"/>
  </r>
  <r>
    <n v="8364.3997300001793"/>
    <n v="8364.25"/>
    <x v="29"/>
    <n v="11.125999999999999"/>
  </r>
  <r>
    <n v="8364.4001299999654"/>
    <n v="8364.25"/>
    <x v="29"/>
    <n v="11.135"/>
  </r>
  <r>
    <n v="8364.4005200001411"/>
    <n v="8364.25"/>
    <x v="29"/>
    <n v="11.13"/>
  </r>
  <r>
    <n v="8364.4009099998511"/>
    <n v="8364.25"/>
    <x v="29"/>
    <n v="11.13"/>
  </r>
  <r>
    <n v="8364.4013000000268"/>
    <n v="8364.25"/>
    <x v="29"/>
    <n v="11.14"/>
  </r>
  <r>
    <n v="8364.4016900002025"/>
    <n v="8364.25"/>
    <x v="29"/>
    <n v="11.135999999999999"/>
  </r>
  <r>
    <n v="8364.4020799999125"/>
    <n v="8364.25"/>
    <x v="29"/>
    <n v="11.129"/>
  </r>
  <r>
    <n v="8364.4024800001644"/>
    <n v="8364.25"/>
    <x v="29"/>
    <n v="11.138"/>
  </r>
  <r>
    <n v="8364.4028799999505"/>
    <n v="8364.25"/>
    <x v="29"/>
    <n v="11.128"/>
  </r>
  <r>
    <n v="8364.4033099999651"/>
    <n v="8364.25"/>
    <x v="29"/>
    <n v="11.135"/>
  </r>
  <r>
    <n v="8364.4037000001408"/>
    <n v="8364.25"/>
    <x v="29"/>
    <n v="11.132999999999999"/>
  </r>
  <r>
    <n v="8364.404099999927"/>
    <n v="8364.25"/>
    <x v="29"/>
    <n v="11.144"/>
  </r>
  <r>
    <n v="8364.4044900001027"/>
    <n v="8364.25"/>
    <x v="29"/>
    <n v="11.132999999999999"/>
  </r>
  <r>
    <n v="8364.4048799998127"/>
    <n v="8364.25"/>
    <x v="29"/>
    <n v="11.134"/>
  </r>
  <r>
    <n v="8364.4052800000645"/>
    <n v="8364.25"/>
    <x v="29"/>
    <n v="11.146000000000001"/>
  </r>
  <r>
    <n v="8364.4057100000791"/>
    <n v="8364.25"/>
    <x v="29"/>
    <n v="11.131"/>
  </r>
  <r>
    <n v="8364.4060999997891"/>
    <n v="8364.25"/>
    <x v="29"/>
    <n v="11.124000000000001"/>
  </r>
  <r>
    <n v="8364.4064899999648"/>
    <n v="8364.25"/>
    <x v="29"/>
    <n v="11.128"/>
  </r>
  <r>
    <n v="8364.4069300000556"/>
    <n v="8364.25"/>
    <x v="29"/>
    <n v="11.11"/>
  </r>
  <r>
    <n v="8364.4073299998417"/>
    <n v="8364.25"/>
    <x v="29"/>
    <n v="11.135"/>
  </r>
  <r>
    <n v="8364.4077499997802"/>
    <n v="8364.25"/>
    <x v="29"/>
    <n v="11.137"/>
  </r>
  <r>
    <n v="8364.4081799997948"/>
    <n v="8364.25"/>
    <x v="29"/>
    <n v="11.135"/>
  </r>
  <r>
    <n v="8364.4085800000466"/>
    <n v="8364.25"/>
    <x v="29"/>
    <n v="11.132999999999999"/>
  </r>
  <r>
    <n v="8364.4089799998328"/>
    <n v="8364.25"/>
    <x v="29"/>
    <n v="11.132"/>
  </r>
  <r>
    <n v="8364.4093999997713"/>
    <n v="8364.25"/>
    <x v="29"/>
    <n v="11.131"/>
  </r>
  <r>
    <n v="8364.409789999947"/>
    <n v="8364.25"/>
    <x v="29"/>
    <n v="11.115"/>
  </r>
  <r>
    <n v="8364.4102199999616"/>
    <n v="8364.25"/>
    <x v="29"/>
    <n v="11.143000000000001"/>
  </r>
  <r>
    <n v="8364.4106499999762"/>
    <n v="8364.25"/>
    <x v="29"/>
    <n v="11.127000000000001"/>
  </r>
  <r>
    <n v="8364.4110400001518"/>
    <n v="8364.25"/>
    <x v="29"/>
    <n v="11.116"/>
  </r>
  <r>
    <n v="8364.411439999938"/>
    <n v="8364.25"/>
    <x v="29"/>
    <n v="11.125999999999999"/>
  </r>
  <r>
    <n v="8364.4118400001898"/>
    <n v="8364.25"/>
    <x v="29"/>
    <n v="11.122"/>
  </r>
  <r>
    <n v="8364.4122299998999"/>
    <n v="8364.25"/>
    <x v="29"/>
    <n v="11.132999999999999"/>
  </r>
  <r>
    <n v="8364.4126499998383"/>
    <n v="8364.25"/>
    <x v="29"/>
    <n v="11.125999999999999"/>
  </r>
  <r>
    <n v="8364.4130600001663"/>
    <n v="8364.25"/>
    <x v="29"/>
    <n v="11.144"/>
  </r>
  <r>
    <n v="8364.4134499998763"/>
    <n v="8364.25"/>
    <x v="29"/>
    <n v="11.141"/>
  </r>
  <r>
    <n v="8364.4138799998909"/>
    <n v="8364.25"/>
    <x v="29"/>
    <n v="11.114000000000001"/>
  </r>
  <r>
    <n v="8364.4142700000666"/>
    <n v="8364.25"/>
    <x v="29"/>
    <n v="11.159000000000001"/>
  </r>
  <r>
    <n v="8364.4147000000812"/>
    <n v="8364.25"/>
    <x v="29"/>
    <n v="11.131"/>
  </r>
  <r>
    <n v="8364.4150899997912"/>
    <n v="8364.25"/>
    <x v="29"/>
    <n v="11.135"/>
  </r>
  <r>
    <n v="8364.4154900000431"/>
    <n v="8364.25"/>
    <x v="29"/>
    <n v="11.117000000000001"/>
  </r>
  <r>
    <n v="8364.4158899998292"/>
    <n v="8364.25"/>
    <x v="29"/>
    <n v="11.131"/>
  </r>
  <r>
    <n v="8364.4162800000049"/>
    <n v="8364.25"/>
    <x v="29"/>
    <n v="11.124000000000001"/>
  </r>
  <r>
    <n v="8364.4183100000955"/>
    <n v="8364.25"/>
    <x v="29"/>
    <n v="11.159000000000001"/>
  </r>
  <r>
    <n v="8364.4186999998055"/>
    <n v="8364.25"/>
    <x v="29"/>
    <n v="11.113"/>
  </r>
  <r>
    <n v="8364.4901800001971"/>
    <n v="8364.25"/>
    <x v="29"/>
    <n v="11.144"/>
  </r>
  <r>
    <n v="8364.4904000000097"/>
    <n v="8364.25"/>
    <x v="29"/>
    <n v="11.138999999999999"/>
  </r>
  <r>
    <n v="8365.4907300001942"/>
    <n v="8365.25"/>
    <x v="30"/>
    <n v="11.13"/>
  </r>
  <r>
    <n v="8365.4909500000067"/>
    <n v="8365.25"/>
    <x v="30"/>
    <n v="11.143000000000001"/>
  </r>
  <r>
    <n v="8366.3880400001071"/>
    <n v="8366.25"/>
    <x v="31"/>
    <n v="11.12"/>
  </r>
  <r>
    <n v="8366.4938400001265"/>
    <n v="8366.25"/>
    <x v="31"/>
    <n v="11.173999999999999"/>
  </r>
  <r>
    <n v="8366.4940499998629"/>
    <n v="8366.25"/>
    <x v="31"/>
    <n v="11.191000000000001"/>
  </r>
  <r>
    <n v="8367.4917000001296"/>
    <n v="8367.25"/>
    <x v="32"/>
    <n v="11.186999999999999"/>
  </r>
  <r>
    <n v="8367.4918999997899"/>
    <n v="8367.25"/>
    <x v="32"/>
    <n v="11.195"/>
  </r>
  <r>
    <n v="8367.5932300002314"/>
    <n v="8367.5"/>
    <x v="33"/>
    <n v="11.125999999999999"/>
  </r>
  <r>
    <n v="8367.5955199999735"/>
    <n v="8367.5"/>
    <x v="33"/>
    <n v="11.125999999999999"/>
  </r>
  <r>
    <n v="8367.5978199997917"/>
    <n v="8367.5"/>
    <x v="33"/>
    <n v="11.113"/>
  </r>
  <r>
    <n v="8367.6001200000755"/>
    <n v="8367.5"/>
    <x v="33"/>
    <n v="11.115"/>
  </r>
  <r>
    <n v="8367.6024099998176"/>
    <n v="8367.5"/>
    <x v="33"/>
    <n v="11.132"/>
  </r>
  <r>
    <n v="8367.6047000000253"/>
    <n v="8367.5"/>
    <x v="33"/>
    <n v="11.125999999999999"/>
  </r>
  <r>
    <n v="8367.6069999998435"/>
    <n v="8367.5"/>
    <x v="33"/>
    <n v="11.122999999999999"/>
  </r>
  <r>
    <n v="8367.6092900000513"/>
    <n v="8367.5"/>
    <x v="33"/>
    <n v="11.124000000000001"/>
  </r>
  <r>
    <n v="8367.6115999999456"/>
    <n v="8367.5"/>
    <x v="33"/>
    <n v="11.125"/>
  </r>
  <r>
    <n v="8367.6138900001533"/>
    <n v="8367.5"/>
    <x v="33"/>
    <n v="11.125999999999999"/>
  </r>
  <r>
    <n v="8367.6161799998954"/>
    <n v="8367.5"/>
    <x v="33"/>
    <n v="11.118"/>
  </r>
  <r>
    <n v="8367.6184700001031"/>
    <n v="8367.5"/>
    <x v="33"/>
    <n v="11.12"/>
  </r>
  <r>
    <n v="8367.6208999999799"/>
    <n v="8367.5"/>
    <x v="33"/>
    <n v="11.122"/>
  </r>
  <r>
    <n v="8367.6231900001876"/>
    <n v="8367.5"/>
    <x v="33"/>
    <n v="11.118"/>
  </r>
  <r>
    <n v="8367.625500000082"/>
    <n v="8367.5"/>
    <x v="33"/>
    <n v="11.132999999999999"/>
  </r>
  <r>
    <n v="8367.627789999824"/>
    <n v="8367.5"/>
    <x v="33"/>
    <n v="11.128"/>
  </r>
  <r>
    <n v="8367.6300800000317"/>
    <n v="8367.5"/>
    <x v="33"/>
    <n v="11.124000000000001"/>
  </r>
  <r>
    <n v="8367.6323799998499"/>
    <n v="8367.5"/>
    <x v="33"/>
    <n v="11.132999999999999"/>
  </r>
  <r>
    <n v="8367.6346800001338"/>
    <n v="8367.5"/>
    <x v="33"/>
    <n v="11.13"/>
  </r>
  <r>
    <n v="8367.636979999952"/>
    <n v="8367.5"/>
    <x v="33"/>
    <n v="11.122999999999999"/>
  </r>
  <r>
    <n v="8367.6392700001597"/>
    <n v="8367.5"/>
    <x v="33"/>
    <n v="11.128"/>
  </r>
  <r>
    <n v="8367.6415599999018"/>
    <n v="8367.5"/>
    <x v="33"/>
    <n v="11.125"/>
  </r>
  <r>
    <n v="8367.6438699997962"/>
    <n v="8367.5"/>
    <x v="33"/>
    <n v="11.131"/>
  </r>
  <r>
    <n v="8367.6461600000039"/>
    <n v="8367.5"/>
    <x v="33"/>
    <n v="11.124000000000001"/>
  </r>
  <r>
    <n v="8367.6484500002116"/>
    <n v="8367.5"/>
    <x v="33"/>
    <n v="11.122"/>
  </r>
  <r>
    <n v="8367.6507500000298"/>
    <n v="8367.5"/>
    <x v="33"/>
    <n v="11.121"/>
  </r>
  <r>
    <n v="8368.4934299997985"/>
    <n v="8368.25"/>
    <x v="34"/>
    <n v="11.237"/>
  </r>
  <r>
    <n v="8368.4936400000006"/>
    <n v="8368.25"/>
    <x v="34"/>
    <n v="11.222"/>
  </r>
  <r>
    <n v="8368.5691200001165"/>
    <n v="8368.5"/>
    <x v="35"/>
    <n v="11.256"/>
  </r>
  <r>
    <n v="8369.3158599999733"/>
    <n v="8369.25"/>
    <x v="36"/>
    <n v="11.231"/>
  </r>
  <r>
    <n v="8369.3161800000817"/>
    <n v="8369.25"/>
    <x v="36"/>
    <n v="11.228999999999999"/>
  </r>
  <r>
    <n v="8369.494899999816"/>
    <n v="8369.25"/>
    <x v="36"/>
    <n v="11.249000000000001"/>
  </r>
  <r>
    <n v="8369.495110000018"/>
    <n v="8369.25"/>
    <x v="36"/>
    <n v="11.262"/>
  </r>
  <r>
    <n v="8370.3423600001261"/>
    <n v="8370.25"/>
    <x v="37"/>
    <n v="11.3"/>
  </r>
  <r>
    <n v="8370.5057000000961"/>
    <n v="8370.5"/>
    <x v="38"/>
    <n v="11.308"/>
  </r>
  <r>
    <n v="8370.5059099998325"/>
    <n v="8370.5"/>
    <x v="38"/>
    <n v="11.305999999999999"/>
  </r>
  <r>
    <n v="8371.4945800001733"/>
    <n v="8371.25"/>
    <x v="39"/>
    <n v="11.304"/>
  </r>
  <r>
    <n v="8371.4947999999858"/>
    <n v="8371.25"/>
    <x v="39"/>
    <n v="11.323"/>
  </r>
  <r>
    <n v="8372.4944000001997"/>
    <n v="8372.25"/>
    <x v="40"/>
    <n v="11.337"/>
  </r>
  <r>
    <n v="8372.4946200000122"/>
    <n v="8372.25"/>
    <x v="40"/>
    <n v="11.35"/>
  </r>
  <r>
    <n v="8373.4962300001644"/>
    <n v="8373.25"/>
    <x v="41"/>
    <n v="11.377000000000001"/>
  </r>
  <r>
    <n v="8373.4964499999769"/>
    <n v="8373.25"/>
    <x v="41"/>
    <n v="11.364000000000001"/>
  </r>
  <r>
    <n v="8374.4963600002229"/>
    <n v="8374.25"/>
    <x v="42"/>
    <n v="11.393000000000001"/>
  </r>
  <r>
    <n v="8374.4965800000355"/>
    <n v="8374.25"/>
    <x v="42"/>
    <n v="11.387"/>
  </r>
  <r>
    <n v="8375.307560000103"/>
    <n v="8375.25"/>
    <x v="43"/>
    <n v="11.347"/>
  </r>
  <r>
    <n v="8375.307560000103"/>
    <n v="8375.25"/>
    <x v="43"/>
    <n v="11.343999999999999"/>
  </r>
  <r>
    <n v="8375.3078700001352"/>
    <n v="8375.25"/>
    <x v="43"/>
    <n v="11.358000000000001"/>
  </r>
  <r>
    <n v="8375.3078700001352"/>
    <n v="8375.25"/>
    <x v="43"/>
    <n v="11.356"/>
  </r>
  <r>
    <n v="8375.4983600000851"/>
    <n v="8375.25"/>
    <x v="43"/>
    <n v="11.388999999999999"/>
  </r>
  <r>
    <n v="8375.4985699998215"/>
    <n v="8375.25"/>
    <x v="43"/>
    <n v="11.403"/>
  </r>
  <r>
    <n v="8376.3046400002204"/>
    <n v="8376.25"/>
    <x v="44"/>
    <n v="11.367000000000001"/>
  </r>
  <r>
    <n v="8376.3049499997869"/>
    <n v="8376.25"/>
    <x v="44"/>
    <n v="11.372999999999999"/>
  </r>
  <r>
    <n v="8378.3009999999776"/>
    <n v="8378.25"/>
    <x v="45"/>
    <n v="11.368"/>
  </r>
  <r>
    <n v="8378.3013300001621"/>
    <n v="8378.25"/>
    <x v="45"/>
    <n v="11.369"/>
  </r>
  <r>
    <n v="8379.3897799998522"/>
    <n v="8379.25"/>
    <x v="46"/>
    <n v="11.41"/>
  </r>
  <r>
    <n v="8380.5132599999197"/>
    <n v="8380.5"/>
    <x v="47"/>
    <n v="11.43"/>
  </r>
  <r>
    <n v="8380.5134700001217"/>
    <n v="8380.5"/>
    <x v="47"/>
    <n v="11.417"/>
  </r>
  <r>
    <n v="8381.38469000021"/>
    <n v="8381.25"/>
    <x v="48"/>
    <n v="11.43"/>
  </r>
  <r>
    <n v="8381.4966000001878"/>
    <n v="8381.25"/>
    <x v="48"/>
    <n v="11.427"/>
  </r>
  <r>
    <n v="8381.4968200000003"/>
    <n v="8381.25"/>
    <x v="48"/>
    <n v="11.430999999999999"/>
  </r>
  <r>
    <n v="8382.3648100001737"/>
    <n v="8382.25"/>
    <x v="49"/>
    <n v="11.44"/>
  </r>
  <r>
    <n v="8382.4913699999452"/>
    <n v="8382.25"/>
    <x v="49"/>
    <n v="11.417999999999999"/>
  </r>
  <r>
    <n v="8382.4915800001472"/>
    <n v="8382.25"/>
    <x v="49"/>
    <n v="11.459"/>
  </r>
  <r>
    <n v="8383.3724099998362"/>
    <n v="8383.25"/>
    <x v="50"/>
    <n v="11.413"/>
  </r>
  <r>
    <n v="8383.3727199998684"/>
    <n v="8383.25"/>
    <x v="50"/>
    <n v="11.414999999999999"/>
  </r>
  <r>
    <n v="8383.495199999772"/>
    <n v="8383.25"/>
    <x v="50"/>
    <n v="11.444000000000001"/>
  </r>
  <r>
    <n v="8383.4954200000502"/>
    <n v="8383.25"/>
    <x v="50"/>
    <n v="11.446"/>
  </r>
  <r>
    <n v="8384.4955799998716"/>
    <n v="8384.25"/>
    <x v="51"/>
    <n v="11.475"/>
  </r>
  <r>
    <n v="8384.4957900000736"/>
    <n v="8384.25"/>
    <x v="51"/>
    <n v="11.481"/>
  </r>
  <r>
    <n v="8385.3724099998362"/>
    <n v="8385.25"/>
    <x v="52"/>
    <n v="11.449"/>
  </r>
  <r>
    <n v="8385.3733500000089"/>
    <n v="8385.25"/>
    <x v="52"/>
    <n v="11.48"/>
  </r>
  <r>
    <n v="8385.4954699999653"/>
    <n v="8385.25"/>
    <x v="52"/>
    <n v="11.48"/>
  </r>
  <r>
    <n v="8385.4956800001673"/>
    <n v="8385.25"/>
    <x v="52"/>
    <n v="11.481"/>
  </r>
  <r>
    <n v="8386.286050000228"/>
    <n v="8386.25"/>
    <x v="53"/>
    <n v="11.451000000000001"/>
  </r>
  <r>
    <n v="8386.2863699998707"/>
    <n v="8386.25"/>
    <x v="53"/>
    <n v="11.449"/>
  </r>
  <r>
    <n v="8386.5143300001509"/>
    <n v="8386.5"/>
    <x v="54"/>
    <n v="11.504"/>
  </r>
  <r>
    <n v="8386.5145399998873"/>
    <n v="8386.5"/>
    <x v="54"/>
    <n v="11.504"/>
  </r>
  <r>
    <n v="8387.5057600000873"/>
    <n v="8387.5"/>
    <x v="55"/>
    <n v="11.526"/>
  </r>
  <r>
    <n v="8387.5059699998237"/>
    <n v="8387.5"/>
    <x v="55"/>
    <n v="11.537000000000001"/>
  </r>
  <r>
    <n v="8388.285339999944"/>
    <n v="8388.25"/>
    <x v="56"/>
    <n v="11.478999999999999"/>
  </r>
  <r>
    <n v="8388.2856499999762"/>
    <n v="8388.25"/>
    <x v="56"/>
    <n v="11.484"/>
  </r>
  <r>
    <n v="8388.3413300001994"/>
    <n v="8388.25"/>
    <x v="56"/>
    <n v="11.516999999999999"/>
  </r>
  <r>
    <n v="8388.3536700000986"/>
    <n v="8388.25"/>
    <x v="56"/>
    <n v="11.5"/>
  </r>
  <r>
    <n v="8388.5138799999841"/>
    <n v="8388.5"/>
    <x v="57"/>
    <n v="11.526999999999999"/>
  </r>
  <r>
    <n v="8388.5140900001861"/>
    <n v="8388.5"/>
    <x v="57"/>
    <n v="11.528"/>
  </r>
  <r>
    <n v="8389.2865900001489"/>
    <n v="8389.25"/>
    <x v="58"/>
    <n v="11.484"/>
  </r>
  <r>
    <n v="8389.286900000181"/>
    <n v="8389.25"/>
    <x v="58"/>
    <n v="11.484"/>
  </r>
  <r>
    <n v="8389.3335600001737"/>
    <n v="8389.25"/>
    <x v="58"/>
    <n v="11.51"/>
  </r>
  <r>
    <n v="8389.5144299999811"/>
    <n v="8389.5"/>
    <x v="59"/>
    <n v="11.54"/>
  </r>
  <r>
    <n v="8389.5146400001831"/>
    <n v="8389.5"/>
    <x v="59"/>
    <n v="11.557"/>
  </r>
  <r>
    <n v="8389.6833700002171"/>
    <n v="8389.5"/>
    <x v="59"/>
    <n v="11.539"/>
  </r>
  <r>
    <n v="8390.3020799998194"/>
    <n v="8390.25"/>
    <x v="60"/>
    <n v="11.494999999999999"/>
  </r>
  <r>
    <n v="8390.3023999999277"/>
    <n v="8390.25"/>
    <x v="60"/>
    <n v="11.491"/>
  </r>
  <r>
    <n v="8390.3675799998455"/>
    <n v="8390.25"/>
    <x v="60"/>
    <n v="11.52"/>
  </r>
  <r>
    <n v="8390.5189399998635"/>
    <n v="8390.5"/>
    <x v="61"/>
    <n v="11.54"/>
  </r>
  <r>
    <n v="8390.5191500000656"/>
    <n v="8390.5"/>
    <x v="61"/>
    <n v="11.542999999999999"/>
  </r>
  <r>
    <n v="8392.5086099999025"/>
    <n v="8392.5"/>
    <x v="62"/>
    <n v="11.554"/>
  </r>
  <r>
    <n v="8392.5088100000285"/>
    <n v="8392.5"/>
    <x v="62"/>
    <n v="11.537000000000001"/>
  </r>
  <r>
    <n v="8393.5122400000691"/>
    <n v="8393.5"/>
    <x v="63"/>
    <n v="11.555999999999999"/>
  </r>
  <r>
    <n v="8393.5124499998055"/>
    <n v="8393.5"/>
    <x v="63"/>
    <n v="11.548999999999999"/>
  </r>
  <r>
    <n v="8394.3505199998617"/>
    <n v="8394.25"/>
    <x v="64"/>
    <n v="11.57"/>
  </r>
  <r>
    <n v="8394.5167999998666"/>
    <n v="8394.5"/>
    <x v="65"/>
    <n v="11.587"/>
  </r>
  <r>
    <n v="8394.5170100000687"/>
    <n v="8394.5"/>
    <x v="65"/>
    <n v="11.602"/>
  </r>
  <r>
    <n v="8395.3368199998513"/>
    <n v="8395.25"/>
    <x v="66"/>
    <n v="11.58"/>
  </r>
  <r>
    <n v="8395.509529999923"/>
    <n v="8395.5"/>
    <x v="67"/>
    <n v="11.597"/>
  </r>
  <r>
    <n v="8395.509740000125"/>
    <n v="8395.5"/>
    <x v="67"/>
    <n v="11.590999999999999"/>
  </r>
  <r>
    <n v="8395.6265899999999"/>
    <n v="8395.5"/>
    <x v="67"/>
    <n v="11.606"/>
  </r>
  <r>
    <n v="8396.4129800000228"/>
    <n v="8396.25"/>
    <x v="68"/>
    <n v="11.59"/>
  </r>
  <r>
    <n v="8396.5133400000632"/>
    <n v="8396.5"/>
    <x v="69"/>
    <n v="11.583"/>
  </r>
  <r>
    <n v="8396.5135599998757"/>
    <n v="8396.5"/>
    <x v="69"/>
    <n v="11.618"/>
  </r>
  <r>
    <n v="8397.5133400000632"/>
    <n v="8397.5"/>
    <x v="70"/>
    <n v="11.627000000000001"/>
  </r>
  <r>
    <n v="8397.5135499997996"/>
    <n v="8397.5"/>
    <x v="70"/>
    <n v="11.613"/>
  </r>
  <r>
    <n v="8398.290279999841"/>
    <n v="8398.25"/>
    <x v="71"/>
    <n v="11.55"/>
  </r>
  <r>
    <n v="8400.572629999835"/>
    <n v="8400.5"/>
    <x v="72"/>
    <n v="11.638999999999999"/>
  </r>
  <r>
    <n v="8400.5728400000371"/>
    <n v="8400.5"/>
    <x v="72"/>
    <n v="11.645"/>
  </r>
  <r>
    <n v="8401.2718299999833"/>
    <n v="8401.25"/>
    <x v="73"/>
    <n v="11.602"/>
  </r>
  <r>
    <n v="8401.2721500000916"/>
    <n v="8401.25"/>
    <x v="73"/>
    <n v="11.609"/>
  </r>
  <r>
    <n v="8401.5538699999452"/>
    <n v="8401.5"/>
    <x v="74"/>
    <n v="11.651"/>
  </r>
  <r>
    <n v="8401.5540800001472"/>
    <n v="8401.5"/>
    <x v="74"/>
    <n v="11.651"/>
  </r>
  <r>
    <n v="8402.2620600000955"/>
    <n v="8402.25"/>
    <x v="75"/>
    <n v="11.627000000000001"/>
  </r>
  <r>
    <n v="8402.2623700001277"/>
    <n v="8402.25"/>
    <x v="75"/>
    <n v="11.614000000000001"/>
  </r>
  <r>
    <n v="8402.5707999998704"/>
    <n v="8402.5"/>
    <x v="76"/>
    <n v="11.638999999999999"/>
  </r>
  <r>
    <n v="8402.5710200001486"/>
    <n v="8402.5"/>
    <x v="76"/>
    <n v="11.628"/>
  </r>
  <r>
    <n v="8403.5682000000961"/>
    <n v="8403.5"/>
    <x v="77"/>
    <n v="11.645"/>
  </r>
  <r>
    <n v="8403.5684099998325"/>
    <n v="8403.5"/>
    <x v="77"/>
    <n v="11.63"/>
  </r>
  <r>
    <n v="8404.3451600000262"/>
    <n v="8404.25"/>
    <x v="78"/>
    <n v="11.611000000000001"/>
  </r>
  <r>
    <n v="8404.3454999998212"/>
    <n v="8404.25"/>
    <x v="78"/>
    <n v="11.628"/>
  </r>
  <r>
    <n v="8404.5653300001286"/>
    <n v="8404.5"/>
    <x v="79"/>
    <n v="11.653"/>
  </r>
  <r>
    <n v="8404.565539999865"/>
    <n v="8404.5"/>
    <x v="79"/>
    <n v="11.661"/>
  </r>
  <r>
    <n v="8405.5625399998389"/>
    <n v="8405.5"/>
    <x v="80"/>
    <n v="11.667999999999999"/>
  </r>
  <r>
    <n v="8405.562750000041"/>
    <n v="8405.5"/>
    <x v="80"/>
    <n v="11.69"/>
  </r>
  <r>
    <n v="8406.260129999835"/>
    <n v="8406.25"/>
    <x v="81"/>
    <n v="11.641"/>
  </r>
  <r>
    <n v="8406.2604399998672"/>
    <n v="8406.25"/>
    <x v="81"/>
    <n v="11.635999999999999"/>
  </r>
  <r>
    <n v="8406.55979999993"/>
    <n v="8406.5"/>
    <x v="82"/>
    <n v="11.69"/>
  </r>
  <r>
    <n v="8406.560010000132"/>
    <n v="8406.5"/>
    <x v="82"/>
    <n v="11.651"/>
  </r>
  <r>
    <n v="8407.2957500000484"/>
    <n v="8407.25"/>
    <x v="83"/>
    <n v="11.629"/>
  </r>
  <r>
    <n v="8407.2960600000806"/>
    <n v="8407.25"/>
    <x v="83"/>
    <n v="11.629"/>
  </r>
  <r>
    <n v="8407.5570200001821"/>
    <n v="8407.5"/>
    <x v="84"/>
    <n v="11.696"/>
  </r>
  <r>
    <n v="8407.5572299999185"/>
    <n v="8407.5"/>
    <x v="84"/>
    <n v="11.698"/>
  </r>
  <r>
    <n v="8408.5541500002146"/>
    <n v="8408.5"/>
    <x v="85"/>
    <n v="11.641"/>
  </r>
  <r>
    <n v="8408.5543700000271"/>
    <n v="8408.5"/>
    <x v="85"/>
    <n v="11.682"/>
  </r>
  <r>
    <n v="8409.2542400001548"/>
    <n v="8409.25"/>
    <x v="86"/>
    <n v="11.601000000000001"/>
  </r>
  <r>
    <n v="8409.254550000187"/>
    <n v="8409.25"/>
    <x v="86"/>
    <n v="11.613"/>
  </r>
  <r>
    <n v="8409.5513800000772"/>
    <n v="8409.5"/>
    <x v="87"/>
    <n v="11.686999999999999"/>
  </r>
  <r>
    <n v="8409.5515899998136"/>
    <n v="8409.5"/>
    <x v="87"/>
    <n v="11.662000000000001"/>
  </r>
  <r>
    <n v="8410.5486499997787"/>
    <n v="8410.5"/>
    <x v="88"/>
    <n v="11.683"/>
  </r>
  <r>
    <n v="8410.5488599999808"/>
    <n v="8410.5"/>
    <x v="88"/>
    <n v="11.686999999999999"/>
  </r>
  <r>
    <n v="8411.3205300001428"/>
    <n v="8411.25"/>
    <x v="89"/>
    <n v="11.645"/>
  </r>
  <r>
    <n v="8411.3208400001749"/>
    <n v="8411.25"/>
    <x v="89"/>
    <n v="11.635999999999999"/>
  </r>
  <r>
    <n v="8411.5458200001158"/>
    <n v="8411.5"/>
    <x v="90"/>
    <n v="11.659000000000001"/>
  </r>
  <r>
    <n v="8411.546019999776"/>
    <n v="8411.5"/>
    <x v="90"/>
    <n v="11.678000000000001"/>
  </r>
  <r>
    <n v="8413.5409200000577"/>
    <n v="8413.5"/>
    <x v="91"/>
    <n v="11.691000000000001"/>
  </r>
  <r>
    <n v="8413.5411399998702"/>
    <n v="8413.5"/>
    <x v="91"/>
    <n v="11.648"/>
  </r>
  <r>
    <n v="8414.5381700000726"/>
    <n v="8414.5"/>
    <x v="92"/>
    <n v="11.711"/>
  </r>
  <r>
    <n v="8414.5383700001985"/>
    <n v="8414.5"/>
    <x v="92"/>
    <n v="11.717000000000001"/>
  </r>
  <r>
    <n v="8415.2420299998485"/>
    <n v="8415"/>
    <x v="93"/>
    <n v="11.657999999999999"/>
  </r>
  <r>
    <n v="8415.2423399998806"/>
    <n v="8415"/>
    <x v="93"/>
    <n v="11.663"/>
  </r>
  <r>
    <n v="8415.5354100000113"/>
    <n v="8415.5"/>
    <x v="94"/>
    <n v="11.715"/>
  </r>
  <r>
    <n v="8415.5356299998239"/>
    <n v="8415.5"/>
    <x v="94"/>
    <n v="11.71"/>
  </r>
  <r>
    <n v="8416.532600000035"/>
    <n v="8416.5"/>
    <x v="95"/>
    <n v="11.714"/>
  </r>
  <r>
    <n v="8416.5328199998476"/>
    <n v="8416.5"/>
    <x v="95"/>
    <n v="11.718999999999999"/>
  </r>
  <r>
    <n v="8417.5334100001492"/>
    <n v="8417.5"/>
    <x v="96"/>
    <n v="11.685"/>
  </r>
  <r>
    <n v="8417.5336299999617"/>
    <n v="8417.5"/>
    <x v="96"/>
    <n v="11.688000000000001"/>
  </r>
  <r>
    <n v="8418.5279500000179"/>
    <n v="8418.5"/>
    <x v="97"/>
    <n v="11.754"/>
  </r>
  <r>
    <n v="8418.5281699998304"/>
    <n v="8418.5"/>
    <x v="97"/>
    <n v="11.731"/>
  </r>
  <r>
    <n v="8419.5278799999505"/>
    <n v="8419.5"/>
    <x v="98"/>
    <n v="11.73"/>
  </r>
  <r>
    <n v="8419.5280800000764"/>
    <n v="8419.5"/>
    <x v="98"/>
    <n v="11.728999999999999"/>
  </r>
  <r>
    <n v="8420.2450999999419"/>
    <n v="8420"/>
    <x v="99"/>
    <n v="11.7"/>
  </r>
  <r>
    <n v="8420.2454200000502"/>
    <n v="8420"/>
    <x v="99"/>
    <n v="11.7"/>
  </r>
  <r>
    <n v="8420.5251799998805"/>
    <n v="8420.5"/>
    <x v="100"/>
    <n v="11.715"/>
  </r>
  <r>
    <n v="8420.5253900000826"/>
    <n v="8420.5"/>
    <x v="100"/>
    <n v="11.722"/>
  </r>
  <r>
    <n v="8420.6235400000587"/>
    <n v="8420.5"/>
    <x v="100"/>
    <n v="11.759"/>
  </r>
  <r>
    <n v="8421.5222700000741"/>
    <n v="8421.5"/>
    <x v="101"/>
    <n v="11.74"/>
  </r>
  <r>
    <n v="8421.5224899998866"/>
    <n v="8421.5"/>
    <x v="101"/>
    <n v="11.728"/>
  </r>
  <r>
    <n v="8422.5196099998429"/>
    <n v="8422.5"/>
    <x v="102"/>
    <n v="11.741"/>
  </r>
  <r>
    <n v="8422.519820000045"/>
    <n v="8422.5"/>
    <x v="102"/>
    <n v="11.731"/>
  </r>
  <r>
    <n v="8423.2166699999943"/>
    <n v="8423"/>
    <x v="103"/>
    <n v="11.66"/>
  </r>
  <r>
    <n v="8423.5200499999337"/>
    <n v="8423.5"/>
    <x v="104"/>
    <n v="11.727"/>
  </r>
  <r>
    <n v="8423.5202700002119"/>
    <n v="8423.5"/>
    <x v="104"/>
    <n v="11.712"/>
  </r>
  <r>
    <n v="8424.5139899998903"/>
    <n v="8424.5"/>
    <x v="105"/>
    <n v="11.757"/>
  </r>
  <r>
    <n v="8424.5142000000924"/>
    <n v="8424.5"/>
    <x v="105"/>
    <n v="11.753"/>
  </r>
  <r>
    <n v="8425.4286699998192"/>
    <n v="8425.25"/>
    <x v="106"/>
    <n v="11.712"/>
  </r>
  <r>
    <n v="8425.4289899999276"/>
    <n v="8425.25"/>
    <x v="106"/>
    <n v="11.718"/>
  </r>
  <r>
    <n v="8425.5114400000311"/>
    <n v="8425.5"/>
    <x v="107"/>
    <n v="11.779"/>
  </r>
  <r>
    <n v="8425.5116599998437"/>
    <n v="8425.5"/>
    <x v="107"/>
    <n v="11.789"/>
  </r>
  <r>
    <n v="8425.6217000000179"/>
    <n v="8425.5"/>
    <x v="107"/>
    <n v="11.768000000000001"/>
  </r>
  <r>
    <n v="8427.5127099999227"/>
    <n v="8427.5"/>
    <x v="108"/>
    <n v="11.787000000000001"/>
  </r>
  <r>
    <n v="8427.5129300002009"/>
    <n v="8427.5"/>
    <x v="108"/>
    <n v="11.782999999999999"/>
  </r>
  <r>
    <n v="8428.258890000172"/>
    <n v="8428.25"/>
    <x v="109"/>
    <n v="11.744999999999999"/>
  </r>
  <r>
    <n v="8428.2592099998146"/>
    <n v="8428.25"/>
    <x v="109"/>
    <n v="11.741"/>
  </r>
  <r>
    <n v="8428.5131399999373"/>
    <n v="8428.5"/>
    <x v="110"/>
    <n v="11.826000000000001"/>
  </r>
  <r>
    <n v="8428.5133500001393"/>
    <n v="8428.5"/>
    <x v="110"/>
    <n v="11.808999999999999"/>
  </r>
  <r>
    <n v="8429.5136099997908"/>
    <n v="8429.5"/>
    <x v="111"/>
    <n v="11.817"/>
  </r>
  <r>
    <n v="8429.513830000069"/>
    <n v="8429.5"/>
    <x v="111"/>
    <n v="11.805"/>
  </r>
  <r>
    <n v="8429.5971599998884"/>
    <n v="8429.5"/>
    <x v="111"/>
    <n v="11.81"/>
  </r>
  <r>
    <n v="8430.5139100002125"/>
    <n v="8430.5"/>
    <x v="112"/>
    <n v="11.849"/>
  </r>
  <r>
    <n v="8430.5141099998727"/>
    <n v="8430.5"/>
    <x v="112"/>
    <n v="11.845000000000001"/>
  </r>
  <r>
    <n v="8431.2252299999818"/>
    <n v="8431"/>
    <x v="113"/>
    <n v="11.765000000000001"/>
  </r>
  <r>
    <n v="8431.5044800001197"/>
    <n v="8431.5"/>
    <x v="114"/>
    <n v="11.853"/>
  </r>
  <r>
    <n v="8431.5046999999322"/>
    <n v="8431.5"/>
    <x v="114"/>
    <n v="11.791"/>
  </r>
  <r>
    <n v="8432.5039300001226"/>
    <n v="8432.5"/>
    <x v="115"/>
    <n v="11.839"/>
  </r>
  <r>
    <n v="8432.504139999859"/>
    <n v="8432.5"/>
    <x v="115"/>
    <n v="11.833"/>
  </r>
  <r>
    <n v="8433.2361099999398"/>
    <n v="8433"/>
    <x v="116"/>
    <n v="11.795999999999999"/>
  </r>
  <r>
    <n v="8433.236419999972"/>
    <n v="8433"/>
    <x v="116"/>
    <n v="11.794"/>
  </r>
  <r>
    <n v="8433.5043100002222"/>
    <n v="8433.5"/>
    <x v="117"/>
    <n v="11.829000000000001"/>
  </r>
  <r>
    <n v="8433.5045300000347"/>
    <n v="8433.5"/>
    <x v="117"/>
    <n v="11.856"/>
  </r>
  <r>
    <n v="8434.5046600000933"/>
    <n v="8434.5"/>
    <x v="118"/>
    <n v="11.911"/>
  </r>
  <r>
    <n v="8434.5048799999058"/>
    <n v="8434.5"/>
    <x v="118"/>
    <n v="11.881"/>
  </r>
  <r>
    <n v="8435.5055200001225"/>
    <n v="8435.5"/>
    <x v="119"/>
    <n v="11.858000000000001"/>
  </r>
  <r>
    <n v="8435.5057299998589"/>
    <n v="8435.5"/>
    <x v="119"/>
    <n v="11.868"/>
  </r>
  <r>
    <n v="8436.5058900001459"/>
    <n v="8436.5"/>
    <x v="120"/>
    <n v="11.930999999999999"/>
  </r>
  <r>
    <n v="8436.5060899998061"/>
    <n v="8436.5"/>
    <x v="120"/>
    <n v="11.914"/>
  </r>
  <r>
    <n v="8436.6137899998575"/>
    <n v="8436.5"/>
    <x v="120"/>
    <n v="11.914999999999999"/>
  </r>
  <r>
    <n v="8437.2730000000447"/>
    <n v="8437.25"/>
    <x v="121"/>
    <n v="11.867000000000001"/>
  </r>
  <r>
    <n v="8437.2733100000769"/>
    <n v="8437.25"/>
    <x v="121"/>
    <n v="11.874000000000001"/>
  </r>
  <r>
    <n v="8438.5065100002103"/>
    <n v="8438.5"/>
    <x v="122"/>
    <n v="11.962"/>
  </r>
  <r>
    <n v="8438.5067300000228"/>
    <n v="8438.5"/>
    <x v="122"/>
    <n v="11.94"/>
  </r>
  <r>
    <n v="8439.1979200001806"/>
    <n v="8439"/>
    <x v="123"/>
    <n v="11.9"/>
  </r>
  <r>
    <n v="8439.5072300001048"/>
    <n v="8439.5"/>
    <x v="124"/>
    <n v="12.003"/>
  </r>
  <r>
    <n v="8439.5074399998412"/>
    <n v="8439.5"/>
    <x v="124"/>
    <n v="11.986000000000001"/>
  </r>
  <r>
    <n v="8440.3501900001429"/>
    <n v="8440.25"/>
    <x v="125"/>
    <n v="11.95"/>
  </r>
  <r>
    <n v="8440.3505000001751"/>
    <n v="8440.25"/>
    <x v="125"/>
    <n v="11.949"/>
  </r>
  <r>
    <n v="8440.5079899998382"/>
    <n v="8440.5"/>
    <x v="126"/>
    <n v="11.99"/>
  </r>
  <r>
    <n v="8440.5082100001164"/>
    <n v="8440.5"/>
    <x v="126"/>
    <n v="11.997999999999999"/>
  </r>
  <r>
    <n v="8441.5113599998876"/>
    <n v="8441.5"/>
    <x v="127"/>
    <n v="12.05"/>
  </r>
  <r>
    <n v="8441.5115800001658"/>
    <n v="8441.5"/>
    <x v="127"/>
    <n v="12.010999999999999"/>
  </r>
  <r>
    <n v="8442.5114500001073"/>
    <n v="8442.5"/>
    <x v="128"/>
    <n v="11.997999999999999"/>
  </r>
  <r>
    <n v="8442.5116699999198"/>
    <n v="8442.5"/>
    <x v="128"/>
    <n v="12.013999999999999"/>
  </r>
  <r>
    <n v="8442.6456699999981"/>
    <n v="8442.5"/>
    <x v="128"/>
    <n v="11.959"/>
  </r>
  <r>
    <n v="8443.511890000198"/>
    <n v="8443.5"/>
    <x v="129"/>
    <n v="11.964"/>
  </r>
  <r>
    <n v="8443.5120999999344"/>
    <n v="8443.5"/>
    <x v="129"/>
    <n v="11.984999999999999"/>
  </r>
  <r>
    <n v="8444.5128299999051"/>
    <n v="8444.5"/>
    <x v="130"/>
    <n v="12.074999999999999"/>
  </r>
  <r>
    <n v="8444.5130500001833"/>
    <n v="8444.5"/>
    <x v="130"/>
    <n v="12.065"/>
  </r>
  <r>
    <n v="8445.5045099998824"/>
    <n v="8445.5"/>
    <x v="131"/>
    <n v="12.079000000000001"/>
  </r>
  <r>
    <n v="8445.5047200000845"/>
    <n v="8445.5"/>
    <x v="131"/>
    <n v="12.095000000000001"/>
  </r>
  <r>
    <n v="8446.5050599998794"/>
    <n v="8446.5"/>
    <x v="132"/>
    <n v="12.045"/>
  </r>
  <r>
    <n v="8446.5052800001577"/>
    <n v="8446.5"/>
    <x v="132"/>
    <n v="12.048999999999999"/>
  </r>
  <r>
    <n v="8447.5054600001313"/>
    <n v="8447.5"/>
    <x v="133"/>
    <n v="12.077"/>
  </r>
  <r>
    <n v="8447.5056799999438"/>
    <n v="8447.5"/>
    <x v="133"/>
    <n v="12.106"/>
  </r>
  <r>
    <n v="8448.5062099997886"/>
    <n v="8448.5"/>
    <x v="134"/>
    <n v="12.054"/>
  </r>
  <r>
    <n v="8448.5064199999906"/>
    <n v="8448.5"/>
    <x v="134"/>
    <n v="12.09"/>
  </r>
  <r>
    <n v="8449.5063499999233"/>
    <n v="8449.5"/>
    <x v="135"/>
    <n v="12.106"/>
  </r>
  <r>
    <n v="8449.5065700002015"/>
    <n v="8449.5"/>
    <x v="135"/>
    <n v="12.13"/>
  </r>
  <r>
    <n v="8450.5041600000113"/>
    <n v="8450.5"/>
    <x v="136"/>
    <n v="12.144"/>
  </r>
  <r>
    <n v="8450.5043799998239"/>
    <n v="8450.5"/>
    <x v="136"/>
    <n v="12.108000000000001"/>
  </r>
  <r>
    <n v="8451.5046999999322"/>
    <n v="8451.5"/>
    <x v="137"/>
    <n v="12.109"/>
  </r>
  <r>
    <n v="8451.5049200002104"/>
    <n v="8451.5"/>
    <x v="137"/>
    <n v="12.122"/>
  </r>
  <r>
    <n v="8453.2179899998009"/>
    <n v="8453"/>
    <x v="138"/>
    <n v="12.074999999999999"/>
  </r>
  <r>
    <n v="8453.2183099999093"/>
    <n v="8453"/>
    <x v="138"/>
    <n v="12.076000000000001"/>
  </r>
  <r>
    <n v="8462.2125699999742"/>
    <n v="8462"/>
    <x v="139"/>
    <n v="12.086"/>
  </r>
  <r>
    <n v="8462.2128800000064"/>
    <n v="8462"/>
    <x v="139"/>
    <n v="12.082000000000001"/>
  </r>
  <r>
    <n v="8464.2580099999905"/>
    <n v="8464.25"/>
    <x v="140"/>
    <n v="12.093"/>
  </r>
  <r>
    <n v="8464.2583300000988"/>
    <n v="8464.25"/>
    <x v="140"/>
    <n v="12.07"/>
  </r>
  <r>
    <n v="8478.3023500000127"/>
    <n v="8478.25"/>
    <x v="141"/>
    <n v="12.179"/>
  </r>
  <r>
    <n v="8478.3026600000449"/>
    <n v="8478.25"/>
    <x v="141"/>
    <n v="12.162000000000001"/>
  </r>
  <r>
    <n v="8479.2099999999627"/>
    <n v="8479"/>
    <x v="142"/>
    <n v="12.151999999999999"/>
  </r>
  <r>
    <n v="8479.2103200000711"/>
    <n v="8479"/>
    <x v="142"/>
    <n v="12.121"/>
  </r>
  <r>
    <n v="8487.2123400000855"/>
    <n v="8487"/>
    <x v="143"/>
    <n v="12.211"/>
  </r>
  <r>
    <n v="8487.2126500001177"/>
    <n v="8487"/>
    <x v="143"/>
    <n v="12.166"/>
  </r>
  <r>
    <n v="8503.230640000198"/>
    <n v="8503"/>
    <x v="144"/>
    <n v="12.366"/>
  </r>
  <r>
    <n v="8503.230979999993"/>
    <n v="8503"/>
    <x v="144"/>
    <n v="12.185"/>
  </r>
  <r>
    <n v="8577.6208999999799"/>
    <n v="8577.5"/>
    <x v="145"/>
    <n v="12.61"/>
  </r>
  <r>
    <n v="8577.6212200000882"/>
    <n v="8577.5"/>
    <x v="145"/>
    <n v="12.624000000000001"/>
  </r>
  <r>
    <n v="8597.6397000001743"/>
    <n v="8597.5"/>
    <x v="146"/>
    <n v="12.718999999999999"/>
  </r>
  <r>
    <n v="8597.6400100002065"/>
    <n v="8597.5"/>
    <x v="146"/>
    <n v="12.763"/>
  </r>
  <r>
    <n v="8643.4489899999462"/>
    <n v="8643.25"/>
    <x v="147"/>
    <n v="12.858000000000001"/>
  </r>
  <r>
    <n v="8643.4493200001307"/>
    <n v="8643.25"/>
    <x v="147"/>
    <n v="12.851000000000001"/>
  </r>
  <r>
    <n v="8649.7807800001465"/>
    <n v="8649.75"/>
    <x v="148"/>
    <n v="12.964"/>
  </r>
  <r>
    <n v="8654.7340000001714"/>
    <n v="8654.5"/>
    <x v="149"/>
    <n v="12.923999999999999"/>
  </r>
  <r>
    <n v="8663.4413800002076"/>
    <n v="8663.25"/>
    <x v="150"/>
    <n v="12.824999999999999"/>
  </r>
  <r>
    <n v="8663.4416999998502"/>
    <n v="8663.25"/>
    <x v="150"/>
    <n v="12.82"/>
  </r>
  <r>
    <n v="8664.415279999841"/>
    <n v="8664.25"/>
    <x v="151"/>
    <n v="12.79"/>
  </r>
  <r>
    <n v="8665.7523799999617"/>
    <n v="8665.75"/>
    <x v="152"/>
    <n v="12.88"/>
  </r>
  <r>
    <n v="8672.4233900001273"/>
    <n v="8672.25"/>
    <x v="153"/>
    <n v="12.791"/>
  </r>
  <r>
    <n v="8672.4237199998461"/>
    <n v="8672.25"/>
    <x v="153"/>
    <n v="12.756"/>
  </r>
  <r>
    <n v="8677.7299100002274"/>
    <n v="8677.5"/>
    <x v="154"/>
    <n v="12.839"/>
  </r>
  <r>
    <n v="8681.3980800001882"/>
    <n v="8681.25"/>
    <x v="155"/>
    <n v="12.821"/>
  </r>
  <r>
    <n v="8681.3983900002204"/>
    <n v="8681.25"/>
    <x v="155"/>
    <n v="12.785"/>
  </r>
  <r>
    <n v="8685.431259999983"/>
    <n v="8685.25"/>
    <x v="156"/>
    <n v="12.756"/>
  </r>
  <r>
    <n v="8685.4315700000152"/>
    <n v="8685.25"/>
    <x v="156"/>
    <n v="12.763999999999999"/>
  </r>
  <r>
    <n v="8685.712849999778"/>
    <n v="8685.5"/>
    <x v="157"/>
    <n v="12.811999999999999"/>
  </r>
  <r>
    <n v="8687.399799999781"/>
    <n v="8687.25"/>
    <x v="158"/>
    <n v="12.742000000000001"/>
  </r>
  <r>
    <n v="8687.4001199998893"/>
    <n v="8687.25"/>
    <x v="158"/>
    <n v="12.763"/>
  </r>
  <r>
    <n v="8688.3939999998547"/>
    <n v="8688.25"/>
    <x v="159"/>
    <n v="12.768000000000001"/>
  </r>
  <r>
    <n v="8688.3943300000392"/>
    <n v="8688.25"/>
    <x v="159"/>
    <n v="12.747"/>
  </r>
  <r>
    <n v="8690.509029999841"/>
    <n v="8690.5"/>
    <x v="160"/>
    <n v="12.7"/>
  </r>
  <r>
    <n v="8693.3935300000012"/>
    <n v="8693.25"/>
    <x v="161"/>
    <n v="12.715999999999999"/>
  </r>
  <r>
    <n v="8693.3938400000334"/>
    <n v="8693.25"/>
    <x v="161"/>
    <n v="12.686"/>
  </r>
  <r>
    <n v="8694.3860399997793"/>
    <n v="8694.25"/>
    <x v="162"/>
    <n v="12.695"/>
  </r>
  <r>
    <n v="8694.3863499998115"/>
    <n v="8694.25"/>
    <x v="162"/>
    <n v="12.714"/>
  </r>
  <r>
    <n v="8697.3930000001565"/>
    <n v="8697.25"/>
    <x v="163"/>
    <n v="12.685"/>
  </r>
  <r>
    <n v="8697.3933199997991"/>
    <n v="8697.25"/>
    <x v="163"/>
    <n v="12.702999999999999"/>
  </r>
  <r>
    <n v="8698.3816999997944"/>
    <n v="8698.25"/>
    <x v="164"/>
    <n v="12.657"/>
  </r>
  <r>
    <n v="8698.3820099998266"/>
    <n v="8698.25"/>
    <x v="164"/>
    <n v="12.673999999999999"/>
  </r>
  <r>
    <n v="8699.3993500000797"/>
    <n v="8699.25"/>
    <x v="165"/>
    <n v="12.644"/>
  </r>
  <r>
    <n v="8699.3996799997985"/>
    <n v="8699.25"/>
    <x v="165"/>
    <n v="12.654"/>
  </r>
  <r>
    <n v="8703.3740199999884"/>
    <n v="8703.25"/>
    <x v="166"/>
    <n v="12.625999999999999"/>
  </r>
  <r>
    <n v="8703.3743400000967"/>
    <n v="8703.25"/>
    <x v="166"/>
    <n v="12.605"/>
  </r>
  <r>
    <n v="8706.3749299999326"/>
    <n v="8706.25"/>
    <x v="167"/>
    <n v="12.573"/>
  </r>
  <r>
    <n v="8706.375250000041"/>
    <n v="8706.25"/>
    <x v="167"/>
    <n v="12.568"/>
  </r>
  <r>
    <n v="8707.6997099998407"/>
    <n v="8707.5"/>
    <x v="168"/>
    <n v="12.625"/>
  </r>
  <r>
    <n v="8708.3743099998683"/>
    <n v="8708.25"/>
    <x v="169"/>
    <n v="12.579000000000001"/>
  </r>
  <r>
    <n v="8708.3746500001289"/>
    <n v="8708.25"/>
    <x v="169"/>
    <n v="12.528"/>
  </r>
  <r>
    <n v="8714.3632499999367"/>
    <n v="8714.25"/>
    <x v="170"/>
    <n v="12.555999999999999"/>
  </r>
  <r>
    <n v="8714.3636099998839"/>
    <n v="8714.25"/>
    <x v="170"/>
    <n v="12.582000000000001"/>
  </r>
  <r>
    <n v="8715.3665900002234"/>
    <n v="8715.25"/>
    <x v="171"/>
    <n v="12.56"/>
  </r>
  <r>
    <n v="8715.3669300000183"/>
    <n v="8715.25"/>
    <x v="171"/>
    <n v="12.563000000000001"/>
  </r>
  <r>
    <n v="8716.3479200000875"/>
    <n v="8716.25"/>
    <x v="172"/>
    <n v="12.54"/>
  </r>
  <r>
    <n v="8717.3635499998927"/>
    <n v="8717.25"/>
    <x v="173"/>
    <n v="12.564"/>
  </r>
  <r>
    <n v="8717.363870000001"/>
    <n v="8717.25"/>
    <x v="173"/>
    <n v="12.561"/>
  </r>
  <r>
    <n v="8720.3362500001676"/>
    <n v="8720.25"/>
    <x v="174"/>
    <n v="12.552"/>
  </r>
  <r>
    <n v="8720.3365699998103"/>
    <n v="8720.25"/>
    <x v="174"/>
    <n v="12.541"/>
  </r>
  <r>
    <n v="8721.6703599998727"/>
    <n v="8721.5"/>
    <x v="175"/>
    <n v="12.622999999999999"/>
  </r>
  <r>
    <n v="8722.3391900002025"/>
    <n v="8722.25"/>
    <x v="176"/>
    <n v="12.586"/>
  </r>
  <r>
    <n v="8722.339499999769"/>
    <n v="8722.25"/>
    <x v="176"/>
    <n v="12.567"/>
  </r>
  <r>
    <n v="8726.3361200001091"/>
    <n v="8726.25"/>
    <x v="177"/>
    <n v="12.555"/>
  </r>
  <r>
    <n v="8726.3364400002174"/>
    <n v="8726.25"/>
    <x v="177"/>
    <n v="12.531000000000001"/>
  </r>
  <r>
    <n v="8727.7845299998298"/>
    <n v="8727.75"/>
    <x v="178"/>
    <n v="12.584"/>
  </r>
  <r>
    <n v="8728.3474499997683"/>
    <n v="8728.25"/>
    <x v="179"/>
    <n v="12.531000000000001"/>
  </r>
  <r>
    <n v="8728.3478000001051"/>
    <n v="8728.25"/>
    <x v="179"/>
    <n v="12.53"/>
  </r>
  <r>
    <n v="8731.3208400001749"/>
    <n v="8731.25"/>
    <x v="180"/>
    <n v="12.507"/>
  </r>
  <r>
    <n v="8731.3211699998938"/>
    <n v="8731.25"/>
    <x v="180"/>
    <n v="12.516999999999999"/>
  </r>
  <r>
    <n v="8739.6613099998794"/>
    <n v="8739.5"/>
    <x v="181"/>
    <n v="12.456"/>
  </r>
  <r>
    <n v="8739.7137000001967"/>
    <n v="8739.5"/>
    <x v="181"/>
    <n v="12.456"/>
  </r>
  <r>
    <n v="8739.769570000004"/>
    <n v="8739.75"/>
    <x v="182"/>
    <n v="12.45"/>
  </r>
  <r>
    <n v="8740.3055599997751"/>
    <n v="8740.25"/>
    <x v="183"/>
    <n v="12.433"/>
  </r>
  <r>
    <n v="8740.3058699998073"/>
    <n v="8740.25"/>
    <x v="183"/>
    <n v="12.45"/>
  </r>
  <r>
    <n v="8744.323290000204"/>
    <n v="8744.25"/>
    <x v="184"/>
    <n v="12.423"/>
  </r>
  <r>
    <n v="8744.3235999997705"/>
    <n v="8744.25"/>
    <x v="184"/>
    <n v="12.432"/>
  </r>
  <r>
    <n v="8745.311610000208"/>
    <n v="8745.25"/>
    <x v="185"/>
    <n v="12.428000000000001"/>
  </r>
  <r>
    <n v="8745.3119199997745"/>
    <n v="8745.25"/>
    <x v="185"/>
    <n v="12.420999999999999"/>
  </r>
  <r>
    <n v="8747.2899000002071"/>
    <n v="8747.25"/>
    <x v="186"/>
    <n v="12.412000000000001"/>
  </r>
  <r>
    <n v="8747.2902099997737"/>
    <n v="8747.25"/>
    <x v="186"/>
    <n v="12.359"/>
  </r>
  <r>
    <n v="8747.704580000136"/>
    <n v="8747.5"/>
    <x v="187"/>
    <n v="12.409000000000001"/>
  </r>
  <r>
    <n v="8748.2513899998739"/>
    <n v="8748.25"/>
    <x v="188"/>
    <n v="12.36"/>
  </r>
  <r>
    <n v="8753.6358199999668"/>
    <n v="8753.5"/>
    <x v="189"/>
    <n v="12.435"/>
  </r>
  <r>
    <n v="8759.3118300000206"/>
    <n v="8759.25"/>
    <x v="190"/>
    <n v="12.342000000000001"/>
  </r>
  <r>
    <n v="8759.3121500001289"/>
    <n v="8759.25"/>
    <x v="190"/>
    <n v="12.356999999999999"/>
  </r>
  <r>
    <n v="8761.2950599999167"/>
    <n v="8761.25"/>
    <x v="191"/>
    <n v="12.337999999999999"/>
  </r>
  <r>
    <n v="8761.2953699999489"/>
    <n v="8761.25"/>
    <x v="191"/>
    <n v="12.317"/>
  </r>
  <r>
    <n v="8762.6447499999776"/>
    <n v="8762.5"/>
    <x v="192"/>
    <n v="12.372"/>
  </r>
  <r>
    <n v="8765.2626999998465"/>
    <n v="8765.25"/>
    <x v="193"/>
    <n v="12.346"/>
  </r>
  <r>
    <n v="8765.2630099998787"/>
    <n v="8765.25"/>
    <x v="193"/>
    <n v="12.333"/>
  </r>
  <r>
    <n v="8768.6941599999554"/>
    <n v="8768.5"/>
    <x v="194"/>
    <n v="12.355"/>
  </r>
  <r>
    <n v="8773.6224899999797"/>
    <n v="8773.5"/>
    <x v="195"/>
    <n v="12.318"/>
  </r>
  <r>
    <n v="8780.5840699998662"/>
    <n v="8780.5"/>
    <x v="196"/>
    <n v="12.3"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x v="0"/>
    <n v="11.45"/>
  </r>
  <r>
    <x v="1"/>
    <n v="11.544"/>
  </r>
  <r>
    <x v="1"/>
    <n v="11.537000000000001"/>
  </r>
  <r>
    <x v="1"/>
    <n v="11.542999999999999"/>
  </r>
  <r>
    <x v="1"/>
    <n v="11.542"/>
  </r>
  <r>
    <x v="1"/>
    <n v="11.544"/>
  </r>
  <r>
    <x v="1"/>
    <n v="11.542"/>
  </r>
  <r>
    <x v="1"/>
    <n v="11.54"/>
  </r>
  <r>
    <x v="1"/>
    <n v="11.539"/>
  </r>
  <r>
    <x v="1"/>
    <n v="11.545"/>
  </r>
  <r>
    <x v="1"/>
    <n v="11.544"/>
  </r>
  <r>
    <x v="1"/>
    <n v="11.534000000000001"/>
  </r>
  <r>
    <x v="1"/>
    <n v="11.54"/>
  </r>
  <r>
    <x v="1"/>
    <n v="11.541"/>
  </r>
  <r>
    <x v="1"/>
    <n v="11.541"/>
  </r>
  <r>
    <x v="1"/>
    <n v="11.542"/>
  </r>
  <r>
    <x v="2"/>
    <n v="11.542"/>
  </r>
  <r>
    <x v="3"/>
    <n v="11.382"/>
  </r>
  <r>
    <x v="3"/>
    <n v="11.394"/>
  </r>
  <r>
    <x v="3"/>
    <n v="11.411"/>
  </r>
  <r>
    <x v="3"/>
    <n v="11.436999999999999"/>
  </r>
  <r>
    <x v="3"/>
    <n v="11.445"/>
  </r>
  <r>
    <x v="3"/>
    <n v="11.445"/>
  </r>
  <r>
    <x v="3"/>
    <n v="11.411"/>
  </r>
  <r>
    <x v="3"/>
    <n v="11.406000000000001"/>
  </r>
  <r>
    <x v="3"/>
    <n v="11.391"/>
  </r>
  <r>
    <x v="3"/>
    <n v="11.372"/>
  </r>
  <r>
    <x v="3"/>
    <n v="11.38"/>
  </r>
  <r>
    <x v="3"/>
    <n v="11.417"/>
  </r>
  <r>
    <x v="3"/>
    <n v="11.435"/>
  </r>
  <r>
    <x v="3"/>
    <n v="11.448"/>
  </r>
  <r>
    <x v="3"/>
    <n v="11.44"/>
  </r>
  <r>
    <x v="3"/>
    <n v="11.432"/>
  </r>
  <r>
    <x v="3"/>
    <n v="11.439"/>
  </r>
  <r>
    <x v="3"/>
    <n v="11.438000000000001"/>
  </r>
  <r>
    <x v="3"/>
    <n v="11.441000000000001"/>
  </r>
  <r>
    <x v="3"/>
    <n v="11.446"/>
  </r>
  <r>
    <x v="3"/>
    <n v="11.426"/>
  </r>
  <r>
    <x v="3"/>
    <n v="11.433"/>
  </r>
  <r>
    <x v="3"/>
    <n v="11.425000000000001"/>
  </r>
  <r>
    <x v="3"/>
    <n v="11.426"/>
  </r>
  <r>
    <x v="3"/>
    <n v="11.433"/>
  </r>
  <r>
    <x v="3"/>
    <n v="11.423"/>
  </r>
  <r>
    <x v="3"/>
    <n v="11.419"/>
  </r>
  <r>
    <x v="3"/>
    <n v="11.417"/>
  </r>
  <r>
    <x v="3"/>
    <n v="11.412000000000001"/>
  </r>
  <r>
    <x v="3"/>
    <n v="11.420999999999999"/>
  </r>
  <r>
    <x v="3"/>
    <n v="11.42"/>
  </r>
  <r>
    <x v="3"/>
    <n v="11.428000000000001"/>
  </r>
  <r>
    <x v="3"/>
    <n v="11.43"/>
  </r>
  <r>
    <x v="3"/>
    <n v="11.43"/>
  </r>
  <r>
    <x v="3"/>
    <n v="11.433999999999999"/>
  </r>
  <r>
    <x v="3"/>
    <n v="11.416"/>
  </r>
  <r>
    <x v="3"/>
    <n v="11.414999999999999"/>
  </r>
  <r>
    <x v="3"/>
    <n v="11.423"/>
  </r>
  <r>
    <x v="3"/>
    <n v="11.411"/>
  </r>
  <r>
    <x v="3"/>
    <n v="11.409000000000001"/>
  </r>
  <r>
    <x v="3"/>
    <n v="11.41"/>
  </r>
  <r>
    <x v="3"/>
    <n v="11.409000000000001"/>
  </r>
  <r>
    <x v="3"/>
    <n v="11.403"/>
  </r>
  <r>
    <x v="3"/>
    <n v="11.4"/>
  </r>
  <r>
    <x v="3"/>
    <n v="11.377000000000001"/>
  </r>
  <r>
    <x v="3"/>
    <n v="11.451000000000001"/>
  </r>
  <r>
    <x v="3"/>
    <n v="11.467000000000001"/>
  </r>
  <r>
    <x v="3"/>
    <n v="11.462"/>
  </r>
  <r>
    <x v="3"/>
    <n v="11.47"/>
  </r>
  <r>
    <x v="3"/>
    <n v="11.458"/>
  </r>
  <r>
    <x v="3"/>
    <n v="11.448"/>
  </r>
  <r>
    <x v="3"/>
    <n v="11.442"/>
  </r>
  <r>
    <x v="3"/>
    <n v="11.461"/>
  </r>
  <r>
    <x v="3"/>
    <n v="11.45"/>
  </r>
  <r>
    <x v="3"/>
    <n v="11.461"/>
  </r>
  <r>
    <x v="3"/>
    <n v="11.465"/>
  </r>
  <r>
    <x v="3"/>
    <n v="11.457000000000001"/>
  </r>
  <r>
    <x v="3"/>
    <n v="11.444000000000001"/>
  </r>
  <r>
    <x v="3"/>
    <n v="11.462999999999999"/>
  </r>
  <r>
    <x v="3"/>
    <n v="11.462"/>
  </r>
  <r>
    <x v="3"/>
    <n v="11.462999999999999"/>
  </r>
  <r>
    <x v="3"/>
    <n v="11.46"/>
  </r>
  <r>
    <x v="4"/>
    <n v="11.454000000000001"/>
  </r>
  <r>
    <x v="4"/>
    <n v="11.449"/>
  </r>
  <r>
    <x v="4"/>
    <n v="11.462"/>
  </r>
  <r>
    <x v="4"/>
    <n v="11.465"/>
  </r>
  <r>
    <x v="4"/>
    <n v="11.46"/>
  </r>
  <r>
    <x v="4"/>
    <n v="11.452"/>
  </r>
  <r>
    <x v="4"/>
    <n v="11.459"/>
  </r>
  <r>
    <x v="4"/>
    <n v="11.449"/>
  </r>
  <r>
    <x v="4"/>
    <n v="11.465"/>
  </r>
  <r>
    <x v="4"/>
    <n v="11.462"/>
  </r>
  <r>
    <x v="4"/>
    <n v="11.451000000000001"/>
  </r>
  <r>
    <x v="4"/>
    <n v="11.457000000000001"/>
  </r>
  <r>
    <x v="4"/>
    <n v="11.444000000000001"/>
  </r>
  <r>
    <x v="5"/>
    <n v="11.477"/>
  </r>
  <r>
    <x v="5"/>
    <n v="11.554"/>
  </r>
  <r>
    <x v="5"/>
    <n v="11.513999999999999"/>
  </r>
  <r>
    <x v="5"/>
    <n v="11.536"/>
  </r>
  <r>
    <x v="5"/>
    <n v="11.528"/>
  </r>
  <r>
    <x v="5"/>
    <n v="11.484"/>
  </r>
  <r>
    <x v="5"/>
    <n v="11.462"/>
  </r>
  <r>
    <x v="5"/>
    <n v="11.464"/>
  </r>
  <r>
    <x v="5"/>
    <n v="11.48"/>
  </r>
  <r>
    <x v="5"/>
    <n v="11.513999999999999"/>
  </r>
  <r>
    <x v="5"/>
    <n v="11.472"/>
  </r>
  <r>
    <x v="5"/>
    <n v="11.49"/>
  </r>
  <r>
    <x v="5"/>
    <n v="11.510999999999999"/>
  </r>
  <r>
    <x v="5"/>
    <n v="11.535"/>
  </r>
  <r>
    <x v="5"/>
    <n v="11.491"/>
  </r>
  <r>
    <x v="5"/>
    <n v="11.489000000000001"/>
  </r>
  <r>
    <x v="5"/>
    <n v="11.494999999999999"/>
  </r>
  <r>
    <x v="5"/>
    <n v="11.536"/>
  </r>
  <r>
    <x v="5"/>
    <n v="11.615"/>
  </r>
  <r>
    <x v="5"/>
    <n v="11.478"/>
  </r>
  <r>
    <x v="5"/>
    <n v="11.504"/>
  </r>
  <r>
    <x v="5"/>
    <n v="11.478999999999999"/>
  </r>
  <r>
    <x v="5"/>
    <n v="11.476000000000001"/>
  </r>
  <r>
    <x v="5"/>
    <n v="11.507999999999999"/>
  </r>
  <r>
    <x v="5"/>
    <n v="11.497"/>
  </r>
  <r>
    <x v="5"/>
    <n v="11.525"/>
  </r>
  <r>
    <x v="5"/>
    <n v="11.489000000000001"/>
  </r>
  <r>
    <x v="5"/>
    <n v="11.553000000000001"/>
  </r>
  <r>
    <x v="5"/>
    <n v="11.515000000000001"/>
  </r>
  <r>
    <x v="5"/>
    <n v="11.497"/>
  </r>
  <r>
    <x v="5"/>
    <n v="11.523"/>
  </r>
  <r>
    <x v="5"/>
    <n v="11.512"/>
  </r>
  <r>
    <x v="5"/>
    <n v="11.513"/>
  </r>
  <r>
    <x v="5"/>
    <n v="11.449"/>
  </r>
  <r>
    <x v="5"/>
    <n v="11.468"/>
  </r>
  <r>
    <x v="5"/>
    <n v="11.483000000000001"/>
  </r>
  <r>
    <x v="5"/>
    <n v="11.502000000000001"/>
  </r>
  <r>
    <x v="5"/>
    <n v="11.539"/>
  </r>
  <r>
    <x v="5"/>
    <n v="11.526999999999999"/>
  </r>
  <r>
    <x v="6"/>
    <n v="11.538"/>
  </r>
  <r>
    <x v="6"/>
    <n v="11.545999999999999"/>
  </r>
  <r>
    <x v="6"/>
    <n v="11.551"/>
  </r>
  <r>
    <x v="6"/>
    <n v="11.538"/>
  </r>
  <r>
    <x v="6"/>
    <n v="11.541"/>
  </r>
  <r>
    <x v="6"/>
    <n v="11.548999999999999"/>
  </r>
  <r>
    <x v="6"/>
    <n v="11.541"/>
  </r>
  <r>
    <x v="6"/>
    <n v="11.535"/>
  </r>
  <r>
    <x v="6"/>
    <n v="11.542"/>
  </r>
  <r>
    <x v="6"/>
    <n v="11.541"/>
  </r>
  <r>
    <x v="6"/>
    <n v="11.529"/>
  </r>
  <r>
    <x v="6"/>
    <n v="11.532"/>
  </r>
  <r>
    <x v="6"/>
    <n v="11.532999999999999"/>
  </r>
  <r>
    <x v="6"/>
    <n v="11.526"/>
  </r>
  <r>
    <x v="6"/>
    <n v="11.531000000000001"/>
  </r>
  <r>
    <x v="6"/>
    <n v="11.534000000000001"/>
  </r>
  <r>
    <x v="6"/>
    <n v="11.53"/>
  </r>
  <r>
    <x v="7"/>
    <n v="11.537000000000001"/>
  </r>
  <r>
    <x v="7"/>
    <n v="11.545"/>
  </r>
  <r>
    <x v="7"/>
    <n v="11.544"/>
  </r>
  <r>
    <x v="7"/>
    <n v="11.544"/>
  </r>
  <r>
    <x v="7"/>
    <n v="11.541"/>
  </r>
  <r>
    <x v="7"/>
    <n v="11.55"/>
  </r>
  <r>
    <x v="7"/>
    <n v="11.555999999999999"/>
  </r>
  <r>
    <x v="7"/>
    <n v="11.548"/>
  </r>
  <r>
    <x v="7"/>
    <n v="11.548"/>
  </r>
  <r>
    <x v="7"/>
    <n v="11.54"/>
  </r>
  <r>
    <x v="7"/>
    <n v="11.56"/>
  </r>
  <r>
    <x v="7"/>
    <n v="11.558"/>
  </r>
  <r>
    <x v="7"/>
    <n v="11.539"/>
  </r>
  <r>
    <x v="7"/>
    <n v="11.542"/>
  </r>
  <r>
    <x v="7"/>
    <n v="11.55"/>
  </r>
  <r>
    <x v="7"/>
    <n v="11.564"/>
  </r>
  <r>
    <x v="7"/>
    <n v="11.558"/>
  </r>
  <r>
    <x v="7"/>
    <n v="11.567"/>
  </r>
  <r>
    <x v="7"/>
    <n v="11.554"/>
  </r>
  <r>
    <x v="7"/>
    <n v="11.554"/>
  </r>
  <r>
    <x v="7"/>
    <n v="11.553000000000001"/>
  </r>
  <r>
    <x v="7"/>
    <n v="11.558"/>
  </r>
  <r>
    <x v="7"/>
    <n v="11.6"/>
  </r>
  <r>
    <x v="8"/>
    <n v="11.503"/>
  </r>
  <r>
    <x v="9"/>
    <n v="11.564"/>
  </r>
  <r>
    <x v="10"/>
    <n v="11.609"/>
  </r>
  <r>
    <x v="11"/>
    <n v="11.683999999999999"/>
  </r>
  <r>
    <x v="11"/>
    <n v="11.7"/>
  </r>
  <r>
    <x v="12"/>
    <n v="11.797000000000001"/>
  </r>
  <r>
    <x v="13"/>
    <n v="11.808999999999999"/>
  </r>
  <r>
    <x v="13"/>
    <n v="11.832000000000001"/>
  </r>
  <r>
    <x v="14"/>
    <n v="11.827"/>
  </r>
  <r>
    <x v="14"/>
    <n v="11.821"/>
  </r>
  <r>
    <x v="14"/>
    <n v="11.821999999999999"/>
  </r>
  <r>
    <x v="14"/>
    <n v="11.821"/>
  </r>
  <r>
    <x v="14"/>
    <n v="11.813000000000001"/>
  </r>
  <r>
    <x v="14"/>
    <n v="11.836"/>
  </r>
  <r>
    <x v="14"/>
    <n v="11.827"/>
  </r>
  <r>
    <x v="14"/>
    <n v="11.824"/>
  </r>
  <r>
    <x v="14"/>
    <n v="11.833"/>
  </r>
  <r>
    <x v="14"/>
    <n v="11.83"/>
  </r>
  <r>
    <x v="14"/>
    <n v="11.824999999999999"/>
  </r>
  <r>
    <x v="14"/>
    <n v="11.826000000000001"/>
  </r>
  <r>
    <x v="14"/>
    <n v="11.83"/>
  </r>
  <r>
    <x v="14"/>
    <n v="11.826000000000001"/>
  </r>
  <r>
    <x v="14"/>
    <n v="11.831"/>
  </r>
  <r>
    <x v="14"/>
    <n v="11.834"/>
  </r>
  <r>
    <x v="14"/>
    <n v="11.834"/>
  </r>
  <r>
    <x v="14"/>
    <n v="11.831"/>
  </r>
  <r>
    <x v="14"/>
    <n v="11.834"/>
  </r>
  <r>
    <x v="14"/>
    <n v="11.829000000000001"/>
  </r>
  <r>
    <x v="14"/>
    <n v="11.832000000000001"/>
  </r>
  <r>
    <x v="14"/>
    <n v="11.834"/>
  </r>
  <r>
    <x v="14"/>
    <n v="11.832000000000001"/>
  </r>
  <r>
    <x v="14"/>
    <n v="11.835000000000001"/>
  </r>
  <r>
    <x v="14"/>
    <n v="11.833"/>
  </r>
  <r>
    <x v="14"/>
    <n v="11.827999999999999"/>
  </r>
  <r>
    <x v="15"/>
    <n v="11.973000000000001"/>
  </r>
  <r>
    <x v="16"/>
    <n v="11.946"/>
  </r>
  <r>
    <x v="16"/>
    <n v="11.917"/>
  </r>
  <r>
    <x v="17"/>
    <n v="11.98"/>
  </r>
  <r>
    <x v="18"/>
    <n v="12.068"/>
  </r>
  <r>
    <x v="18"/>
    <n v="12.071"/>
  </r>
  <r>
    <x v="18"/>
    <n v="12.07"/>
  </r>
  <r>
    <x v="19"/>
    <n v="12.097"/>
  </r>
  <r>
    <x v="19"/>
    <n v="12.092000000000001"/>
  </r>
  <r>
    <x v="20"/>
    <n v="12.083"/>
  </r>
  <r>
    <x v="20"/>
    <n v="12.093"/>
  </r>
  <r>
    <x v="21"/>
    <n v="12.147"/>
  </r>
  <r>
    <x v="21"/>
    <n v="12.128"/>
  </r>
  <r>
    <x v="22"/>
    <n v="12.173"/>
  </r>
  <r>
    <x v="22"/>
    <n v="12.178000000000001"/>
  </r>
  <r>
    <x v="23"/>
    <n v="12.198"/>
  </r>
  <r>
    <x v="23"/>
    <n v="12.214"/>
  </r>
  <r>
    <x v="23"/>
    <n v="12.315"/>
  </r>
  <r>
    <x v="24"/>
    <n v="12.228"/>
  </r>
  <r>
    <x v="24"/>
    <n v="12.224"/>
  </r>
  <r>
    <x v="25"/>
    <n v="12.162000000000001"/>
  </r>
  <r>
    <x v="26"/>
    <n v="12.255000000000001"/>
  </r>
  <r>
    <x v="27"/>
    <n v="12.249000000000001"/>
  </r>
  <r>
    <x v="28"/>
    <n v="12.352"/>
  </r>
  <r>
    <x v="28"/>
    <n v="12.355"/>
  </r>
  <r>
    <x v="29"/>
    <n v="12.391"/>
  </r>
  <r>
    <x v="29"/>
    <n v="12.367000000000001"/>
  </r>
  <r>
    <x v="30"/>
    <n v="12.398999999999999"/>
  </r>
  <r>
    <x v="30"/>
    <n v="12.369"/>
  </r>
  <r>
    <x v="31"/>
    <n v="12.382"/>
  </r>
  <r>
    <x v="31"/>
    <n v="12.406000000000001"/>
  </r>
  <r>
    <x v="32"/>
    <n v="12.414"/>
  </r>
  <r>
    <x v="32"/>
    <n v="12.404"/>
  </r>
  <r>
    <x v="33"/>
    <n v="12.333"/>
  </r>
  <r>
    <x v="33"/>
    <n v="12.33"/>
  </r>
  <r>
    <x v="34"/>
    <n v="12.41"/>
  </r>
  <r>
    <x v="34"/>
    <n v="12.416"/>
  </r>
  <r>
    <x v="35"/>
    <n v="12.451000000000001"/>
  </r>
  <r>
    <x v="35"/>
    <n v="12.438000000000001"/>
  </r>
  <r>
    <x v="36"/>
    <n v="12.500999999999999"/>
  </r>
  <r>
    <x v="36"/>
    <n v="12.5"/>
  </r>
  <r>
    <x v="37"/>
    <n v="12.43"/>
  </r>
  <r>
    <x v="38"/>
    <n v="12.6"/>
  </r>
  <r>
    <x v="39"/>
    <n v="12.593"/>
  </r>
  <r>
    <x v="39"/>
    <n v="12.54"/>
  </r>
  <r>
    <x v="40"/>
    <n v="12.435"/>
  </r>
  <r>
    <x v="41"/>
    <n v="12.593"/>
  </r>
  <r>
    <x v="41"/>
    <n v="12.555"/>
  </r>
  <r>
    <x v="42"/>
    <n v="12.515000000000001"/>
  </r>
  <r>
    <x v="43"/>
    <n v="12.622"/>
  </r>
  <r>
    <x v="44"/>
    <n v="12.617000000000001"/>
  </r>
  <r>
    <x v="44"/>
    <n v="12.609"/>
  </r>
  <r>
    <x v="45"/>
    <n v="12.577"/>
  </r>
  <r>
    <x v="46"/>
    <n v="12.724"/>
  </r>
  <r>
    <x v="46"/>
    <n v="12.74"/>
  </r>
  <r>
    <x v="47"/>
    <n v="12.75"/>
  </r>
  <r>
    <x v="48"/>
    <n v="12.826000000000001"/>
  </r>
  <r>
    <x v="48"/>
    <n v="12.816000000000001"/>
  </r>
  <r>
    <x v="49"/>
    <n v="12.583"/>
  </r>
  <r>
    <x v="50"/>
    <n v="12.951000000000001"/>
  </r>
  <r>
    <x v="50"/>
    <n v="12.936"/>
  </r>
  <r>
    <x v="51"/>
    <n v="13.007"/>
  </r>
  <r>
    <x v="51"/>
    <n v="12.978"/>
  </r>
  <r>
    <x v="52"/>
    <n v="12.964"/>
  </r>
  <r>
    <x v="52"/>
    <n v="13.013"/>
  </r>
  <r>
    <x v="53"/>
    <n v="13.141999999999999"/>
  </r>
  <r>
    <x v="53"/>
    <n v="13.265000000000001"/>
  </r>
  <r>
    <x v="54"/>
    <n v="13.186999999999999"/>
  </r>
  <r>
    <x v="54"/>
    <n v="13.103999999999999"/>
  </r>
  <r>
    <x v="55"/>
    <n v="13.237"/>
  </r>
  <r>
    <x v="55"/>
    <n v="13.175000000000001"/>
  </r>
  <r>
    <x v="56"/>
    <n v="13.736000000000001"/>
  </r>
  <r>
    <x v="56"/>
    <n v="13.691000000000001"/>
  </r>
  <r>
    <x v="57"/>
    <n v="13.946"/>
  </r>
  <r>
    <x v="57"/>
    <n v="13.912000000000001"/>
  </r>
  <r>
    <x v="58"/>
    <n v="14.003"/>
  </r>
  <r>
    <x v="58"/>
    <n v="14.105"/>
  </r>
  <r>
    <x v="59"/>
    <n v="13.914999999999999"/>
  </r>
  <r>
    <x v="60"/>
    <n v="13.852"/>
  </r>
  <r>
    <x v="61"/>
    <n v="13.877000000000001"/>
  </r>
  <r>
    <x v="61"/>
    <n v="13.831"/>
  </r>
  <r>
    <x v="62"/>
    <n v="13.87"/>
  </r>
  <r>
    <x v="63"/>
    <n v="13.835000000000001"/>
  </r>
  <r>
    <x v="64"/>
    <n v="13.868"/>
  </r>
  <r>
    <x v="64"/>
    <n v="13.897"/>
  </r>
  <r>
    <x v="65"/>
    <n v="13.827999999999999"/>
  </r>
  <r>
    <x v="66"/>
    <n v="13.968999999999999"/>
  </r>
  <r>
    <x v="66"/>
    <n v="13.836"/>
  </r>
  <r>
    <x v="67"/>
    <n v="13.797000000000001"/>
  </r>
  <r>
    <x v="67"/>
    <n v="13.891999999999999"/>
  </r>
  <r>
    <x v="68"/>
    <n v="13.766999999999999"/>
  </r>
  <r>
    <x v="69"/>
    <n v="13.757999999999999"/>
  </r>
  <r>
    <x v="69"/>
    <n v="13.816000000000001"/>
  </r>
  <r>
    <x v="70"/>
    <n v="13.8"/>
  </r>
  <r>
    <x v="70"/>
    <n v="13.897"/>
  </r>
  <r>
    <x v="71"/>
    <n v="13.8"/>
  </r>
  <r>
    <x v="72"/>
    <n v="13.763999999999999"/>
  </r>
  <r>
    <x v="72"/>
    <n v="13.757999999999999"/>
  </r>
  <r>
    <x v="73"/>
    <n v="13.707000000000001"/>
  </r>
  <r>
    <x v="73"/>
    <n v="13.782999999999999"/>
  </r>
  <r>
    <x v="74"/>
    <n v="13.742000000000001"/>
  </r>
  <r>
    <x v="74"/>
    <n v="13.712999999999999"/>
  </r>
  <r>
    <x v="75"/>
    <n v="13.73"/>
  </r>
  <r>
    <x v="75"/>
    <n v="13.83"/>
  </r>
  <r>
    <x v="76"/>
    <n v="13.762"/>
  </r>
  <r>
    <x v="76"/>
    <n v="13.813000000000001"/>
  </r>
  <r>
    <x v="77"/>
    <n v="13.737"/>
  </r>
  <r>
    <x v="77"/>
    <n v="13.692"/>
  </r>
  <r>
    <x v="78"/>
    <n v="13.701000000000001"/>
  </r>
  <r>
    <x v="78"/>
    <n v="13.701000000000001"/>
  </r>
  <r>
    <x v="79"/>
    <n v="13.601000000000001"/>
  </r>
  <r>
    <x v="80"/>
    <n v="13.714"/>
  </r>
  <r>
    <x v="80"/>
    <n v="13.632"/>
  </r>
  <r>
    <x v="81"/>
    <n v="13.688000000000001"/>
  </r>
  <r>
    <x v="81"/>
    <n v="13.664"/>
  </r>
  <r>
    <x v="82"/>
    <n v="13.725"/>
  </r>
  <r>
    <x v="82"/>
    <n v="13.632"/>
  </r>
  <r>
    <x v="83"/>
    <n v="13.66"/>
  </r>
  <r>
    <x v="84"/>
    <n v="13.62"/>
  </r>
  <r>
    <x v="84"/>
    <n v="13.682"/>
  </r>
  <r>
    <x v="85"/>
    <n v="13.676"/>
  </r>
  <r>
    <x v="85"/>
    <n v="13.669"/>
  </r>
  <r>
    <x v="86"/>
    <n v="13.603999999999999"/>
  </r>
  <r>
    <x v="87"/>
    <n v="13.64"/>
  </r>
  <r>
    <x v="87"/>
    <n v="13.64"/>
  </r>
  <r>
    <x v="88"/>
    <n v="13.6"/>
  </r>
  <r>
    <x v="88"/>
    <n v="13.625999999999999"/>
  </r>
  <r>
    <x v="89"/>
    <n v="13.603"/>
  </r>
  <r>
    <x v="90"/>
    <n v="13.645"/>
  </r>
  <r>
    <x v="90"/>
    <n v="13.726000000000001"/>
  </r>
  <r>
    <x v="91"/>
    <n v="13.584"/>
  </r>
  <r>
    <x v="91"/>
    <n v="13.574999999999999"/>
  </r>
  <r>
    <x v="92"/>
    <n v="13.615"/>
  </r>
  <r>
    <x v="92"/>
    <n v="13.606999999999999"/>
  </r>
  <r>
    <x v="93"/>
    <n v="13.615"/>
  </r>
  <r>
    <x v="94"/>
    <n v="13.493"/>
  </r>
  <r>
    <x v="94"/>
    <n v="13.510999999999999"/>
  </r>
  <r>
    <x v="95"/>
    <n v="13.542"/>
  </r>
  <r>
    <x v="95"/>
    <n v="13.557"/>
  </r>
  <r>
    <x v="96"/>
    <n v="13.491"/>
  </r>
  <r>
    <x v="96"/>
    <n v="13.528"/>
  </r>
  <r>
    <x v="97"/>
    <n v="13.472"/>
  </r>
  <r>
    <x v="97"/>
    <n v="13.566000000000001"/>
  </r>
  <r>
    <x v="98"/>
    <n v="13.59"/>
  </r>
  <r>
    <x v="99"/>
    <n v="13.53"/>
  </r>
  <r>
    <x v="100"/>
    <n v="13.467000000000001"/>
  </r>
  <r>
    <x v="100"/>
    <n v="13.432"/>
  </r>
  <r>
    <x v="101"/>
    <n v="13.414999999999999"/>
  </r>
  <r>
    <x v="101"/>
    <n v="13.481999999999999"/>
  </r>
  <r>
    <x v="102"/>
    <n v="13.372999999999999"/>
  </r>
  <r>
    <x v="103"/>
    <n v="13.412000000000001"/>
  </r>
  <r>
    <x v="103"/>
    <n v="13.398999999999999"/>
  </r>
  <r>
    <x v="104"/>
    <n v="13.304"/>
  </r>
  <r>
    <x v="105"/>
    <n v="13.259"/>
  </r>
  <r>
    <x v="106"/>
    <n v="13.260999999999999"/>
  </r>
  <r>
    <x v="107"/>
    <n v="13.246"/>
  </r>
  <r>
    <x v="108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AF0192-BE76-4606-B460-C573B6CAB52D}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B227" firstHeaderRow="1" firstDataRow="1" firstDataCol="1"/>
  <pivotFields count="2">
    <pivotField axis="axisRow" showAll="0">
      <items count="2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t="default"/>
      </items>
    </pivotField>
    <pivotField dataField="1"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 t="grand">
      <x/>
    </i>
  </rowItems>
  <colItems count="1">
    <i/>
  </colItems>
  <dataFields count="1">
    <dataField name="Moyenne de mag" fld="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2FD87E-25A1-416D-873B-0144BBD70319}" name="Tableau croisé dynamique3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B227" firstHeaderRow="1" firstDataRow="1" firstDataCol="1"/>
  <pivotFields count="2">
    <pivotField axis="axisRow" showAll="0" avgSubtotal="1">
      <items count="2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t="avg"/>
      </items>
    </pivotField>
    <pivotField dataField="1"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 t="grand">
      <x/>
    </i>
  </rowItems>
  <colItems count="1">
    <i/>
  </colItems>
  <dataFields count="1">
    <dataField name="Écartype de mag" fld="1" subtotal="stdDev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0AF96-001B-4C49-90F9-85D106FB984F}" name="Tableau croisé dynamique4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C202" firstHeaderRow="0" firstDataRow="1" firstDataCol="1"/>
  <pivotFields count="4">
    <pivotField showAll="0"/>
    <pivotField showAll="0"/>
    <pivotField axis="axisRow" showAll="0">
      <items count="1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t="default"/>
      </items>
    </pivotField>
    <pivotField dataField="1" showAll="0"/>
  </pivotFields>
  <rowFields count="1">
    <field x="2"/>
  </rowFields>
  <rowItems count="19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 t="grand">
      <x/>
    </i>
  </rowItems>
  <colFields count="1">
    <field x="-2"/>
  </colFields>
  <colItems count="2">
    <i>
      <x/>
    </i>
    <i i="1">
      <x v="1"/>
    </i>
  </colItems>
  <dataFields count="2">
    <dataField name="Moyenne de V" fld="3" subtotal="average" baseField="2" baseItem="0"/>
    <dataField name="Écartype de V" fld="3" subtotal="stdDev" baseField="2" baseItem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442F9B-654A-4E88-955E-3C732DE2E2DC}" name="Tableau croisé dynamique5" cacheId="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C113" firstHeaderRow="0" firstDataRow="1" firstDataCol="1"/>
  <pivotFields count="2">
    <pivotField axis="axisRow" showAll="0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t="default"/>
      </items>
    </pivotField>
    <pivotField dataField="1" showAll="0"/>
  </pivotFields>
  <rowFields count="1">
    <field x="0"/>
  </rowFields>
  <rowItems count="1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 t="grand">
      <x/>
    </i>
  </rowItems>
  <colFields count="1">
    <field x="-2"/>
  </colFields>
  <colItems count="2">
    <i>
      <x/>
    </i>
    <i i="1">
      <x v="1"/>
    </i>
  </colItems>
  <dataFields count="2">
    <dataField name="Moyenne de b" fld="1" subtotal="average" baseField="0" baseItem="0"/>
    <dataField name="Écartype de b" fld="1" subtotal="stdDev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W82"/>
  <sheetViews>
    <sheetView showGridLines="0" workbookViewId="0">
      <selection activeCell="F21" sqref="F21"/>
    </sheetView>
  </sheetViews>
  <sheetFormatPr baseColWidth="10" defaultRowHeight="15" x14ac:dyDescent="0.25"/>
  <cols>
    <col min="3" max="3" width="11.85546875" style="9" bestFit="1" customWidth="1"/>
    <col min="4" max="4" width="11.42578125" style="42"/>
    <col min="5" max="5" width="13" bestFit="1" customWidth="1"/>
    <col min="8" max="8" width="21.28515625" customWidth="1"/>
    <col min="12" max="17" width="1" style="7" customWidth="1"/>
  </cols>
  <sheetData>
    <row r="2" spans="9:17" x14ac:dyDescent="0.25">
      <c r="L2"/>
      <c r="M2"/>
      <c r="N2"/>
      <c r="O2"/>
      <c r="P2"/>
      <c r="Q2"/>
    </row>
    <row r="3" spans="9:17" x14ac:dyDescent="0.25">
      <c r="L3" s="11"/>
      <c r="M3" s="11"/>
      <c r="N3" s="11"/>
      <c r="O3" s="11"/>
      <c r="P3" s="11"/>
      <c r="Q3" s="11"/>
    </row>
    <row r="4" spans="9:17" x14ac:dyDescent="0.25">
      <c r="L4" s="11"/>
      <c r="M4" s="11"/>
      <c r="N4" s="11"/>
      <c r="O4" s="11"/>
      <c r="P4" s="11"/>
      <c r="Q4" s="11"/>
    </row>
    <row r="5" spans="9:17" x14ac:dyDescent="0.25">
      <c r="L5" s="12"/>
      <c r="M5" s="13"/>
      <c r="N5" s="14"/>
      <c r="O5" s="15"/>
      <c r="P5" s="16"/>
      <c r="Q5" s="17"/>
    </row>
    <row r="6" spans="9:17" x14ac:dyDescent="0.25">
      <c r="L6" s="12"/>
      <c r="M6" s="13"/>
      <c r="N6" s="14"/>
      <c r="O6" s="15"/>
      <c r="P6" s="16"/>
      <c r="Q6" s="17"/>
    </row>
    <row r="7" spans="9:17" x14ac:dyDescent="0.25">
      <c r="L7" s="12"/>
      <c r="M7" s="13"/>
      <c r="N7" s="14"/>
      <c r="O7" s="15"/>
      <c r="P7" s="16"/>
      <c r="Q7" s="17"/>
    </row>
    <row r="8" spans="9:17" x14ac:dyDescent="0.25">
      <c r="L8" s="12"/>
      <c r="M8" s="13"/>
      <c r="N8" s="14"/>
      <c r="O8" s="15"/>
      <c r="P8" s="16"/>
      <c r="Q8" s="17"/>
    </row>
    <row r="9" spans="9:17" x14ac:dyDescent="0.25">
      <c r="L9" s="12"/>
      <c r="M9" s="13"/>
      <c r="N9" s="14"/>
      <c r="O9" s="15"/>
      <c r="P9" s="16"/>
      <c r="Q9" s="17"/>
    </row>
    <row r="10" spans="9:17" x14ac:dyDescent="0.25">
      <c r="L10" s="12"/>
      <c r="M10" s="13"/>
      <c r="N10" s="14"/>
      <c r="O10" s="15"/>
      <c r="P10" s="16"/>
      <c r="Q10" s="17"/>
    </row>
    <row r="11" spans="9:17" x14ac:dyDescent="0.25">
      <c r="L11" s="12"/>
      <c r="M11" s="13"/>
      <c r="N11" s="14"/>
      <c r="O11" s="15"/>
      <c r="P11" s="16"/>
      <c r="Q11" s="17"/>
    </row>
    <row r="12" spans="9:17" x14ac:dyDescent="0.25">
      <c r="L12" s="12"/>
      <c r="M12" s="13"/>
      <c r="N12" s="14"/>
      <c r="O12" s="15"/>
      <c r="P12" s="16"/>
      <c r="Q12" s="17"/>
    </row>
    <row r="13" spans="9:17" x14ac:dyDescent="0.25">
      <c r="L13" s="12"/>
      <c r="M13" s="13"/>
      <c r="N13" s="14"/>
      <c r="O13" s="15"/>
      <c r="P13" s="16"/>
      <c r="Q13" s="17"/>
    </row>
    <row r="14" spans="9:17" x14ac:dyDescent="0.25">
      <c r="L14" s="12"/>
      <c r="M14" s="13"/>
      <c r="N14" s="14"/>
      <c r="O14" s="15"/>
      <c r="P14" s="16"/>
      <c r="Q14" s="17"/>
    </row>
    <row r="15" spans="9:17" x14ac:dyDescent="0.25">
      <c r="L15" s="12"/>
      <c r="M15" s="13"/>
      <c r="N15" s="14"/>
      <c r="O15" s="15"/>
      <c r="P15" s="16"/>
      <c r="Q15" s="17"/>
    </row>
    <row r="16" spans="9:17" x14ac:dyDescent="0.25">
      <c r="I16">
        <v>2457200</v>
      </c>
      <c r="J16">
        <v>10</v>
      </c>
      <c r="L16" s="11"/>
      <c r="M16" s="11"/>
      <c r="N16" s="11"/>
      <c r="O16" s="11"/>
      <c r="P16" s="11"/>
      <c r="Q16" s="11"/>
    </row>
    <row r="17" spans="2:23" x14ac:dyDescent="0.25">
      <c r="I17">
        <v>2457330</v>
      </c>
      <c r="J17">
        <f>+J16</f>
        <v>10</v>
      </c>
      <c r="L17" s="11"/>
      <c r="M17" s="11"/>
      <c r="N17" s="11"/>
      <c r="O17" s="11"/>
      <c r="P17" s="11"/>
      <c r="Q17" s="11"/>
    </row>
    <row r="18" spans="2:23" x14ac:dyDescent="0.25">
      <c r="L18" s="11"/>
      <c r="M18" s="11"/>
      <c r="N18" s="11"/>
      <c r="O18" s="11"/>
      <c r="P18" s="11"/>
      <c r="Q18" s="11"/>
    </row>
    <row r="19" spans="2:23" x14ac:dyDescent="0.25">
      <c r="L19" s="11"/>
      <c r="M19" s="11"/>
      <c r="N19" s="11"/>
      <c r="O19" s="11"/>
      <c r="P19" s="11"/>
      <c r="Q19" s="11"/>
    </row>
    <row r="20" spans="2:23" x14ac:dyDescent="0.25">
      <c r="L20" s="11"/>
      <c r="M20" s="11"/>
      <c r="N20" s="11"/>
      <c r="O20" s="11"/>
      <c r="P20" s="11"/>
      <c r="Q20" s="11"/>
    </row>
    <row r="21" spans="2:23" x14ac:dyDescent="0.25">
      <c r="C21" s="9" t="s">
        <v>0</v>
      </c>
      <c r="W21">
        <v>10.5</v>
      </c>
    </row>
    <row r="22" spans="2:23" ht="15.75" x14ac:dyDescent="0.25">
      <c r="L22" s="62"/>
      <c r="M22" s="63"/>
      <c r="N22" s="63"/>
      <c r="O22" s="63"/>
      <c r="P22" s="63"/>
      <c r="Q22" s="64"/>
    </row>
    <row r="24" spans="2:23" x14ac:dyDescent="0.25">
      <c r="B24" s="39">
        <v>1</v>
      </c>
      <c r="C24" s="41">
        <v>43321</v>
      </c>
      <c r="D24" s="44">
        <v>0.83951388888888889</v>
      </c>
      <c r="E24" s="39">
        <v>2458340.3563000001</v>
      </c>
      <c r="F24" s="39" t="s">
        <v>174</v>
      </c>
      <c r="G24" s="39" t="s">
        <v>175</v>
      </c>
      <c r="H24" s="39" t="s">
        <v>176</v>
      </c>
      <c r="I24" s="39">
        <v>611</v>
      </c>
      <c r="J24" s="39">
        <v>4360</v>
      </c>
      <c r="K24" s="39">
        <v>7392</v>
      </c>
      <c r="L24" s="18"/>
      <c r="M24" s="19"/>
      <c r="N24" s="20"/>
      <c r="O24" s="21"/>
      <c r="P24" s="22"/>
      <c r="Q24" s="23"/>
      <c r="R24" t="s">
        <v>215</v>
      </c>
      <c r="V24" s="10">
        <f t="shared" ref="V24:V55" si="0">+E24</f>
        <v>2458340.3563000001</v>
      </c>
    </row>
    <row r="25" spans="2:23" x14ac:dyDescent="0.25">
      <c r="B25" s="37">
        <v>4</v>
      </c>
      <c r="C25" s="40">
        <v>43322</v>
      </c>
      <c r="D25" s="43">
        <v>0.87765046296296301</v>
      </c>
      <c r="E25" s="37">
        <v>2458341.3988000001</v>
      </c>
      <c r="F25" s="37" t="s">
        <v>181</v>
      </c>
      <c r="G25" s="37" t="s">
        <v>182</v>
      </c>
      <c r="H25" s="37" t="s">
        <v>183</v>
      </c>
      <c r="I25" s="37">
        <v>1615</v>
      </c>
      <c r="J25" s="37">
        <v>3748</v>
      </c>
      <c r="K25" s="37">
        <v>7373</v>
      </c>
      <c r="L25" s="18"/>
      <c r="M25" s="19"/>
      <c r="N25" s="20"/>
      <c r="O25" s="21"/>
      <c r="P25" s="22"/>
      <c r="Q25" s="23"/>
      <c r="R25" t="s">
        <v>218</v>
      </c>
      <c r="V25" s="10">
        <f t="shared" si="0"/>
        <v>2458341.3988000001</v>
      </c>
    </row>
    <row r="26" spans="2:23" x14ac:dyDescent="0.25">
      <c r="B26" s="39">
        <v>2</v>
      </c>
      <c r="C26" s="41">
        <v>43322</v>
      </c>
      <c r="D26" s="44">
        <v>0.84519675925925919</v>
      </c>
      <c r="E26" s="39">
        <v>2458341.4078000002</v>
      </c>
      <c r="F26" s="39" t="s">
        <v>177</v>
      </c>
      <c r="G26" s="39" t="s">
        <v>178</v>
      </c>
      <c r="H26" s="39" t="s">
        <v>179</v>
      </c>
      <c r="I26" s="39">
        <v>11000</v>
      </c>
      <c r="J26" s="39">
        <v>4200</v>
      </c>
      <c r="K26" s="39">
        <v>7586</v>
      </c>
      <c r="L26" s="18"/>
      <c r="M26" s="19"/>
      <c r="N26" s="20"/>
      <c r="O26" s="21"/>
      <c r="P26" s="22"/>
      <c r="Q26" s="23"/>
      <c r="R26" t="s">
        <v>216</v>
      </c>
      <c r="V26" s="10">
        <f t="shared" si="0"/>
        <v>2458341.4078000002</v>
      </c>
    </row>
    <row r="27" spans="2:23" x14ac:dyDescent="0.25">
      <c r="B27" s="39">
        <v>3</v>
      </c>
      <c r="C27" s="41">
        <v>43322</v>
      </c>
      <c r="D27" s="44">
        <v>0.87663194444444448</v>
      </c>
      <c r="E27" s="39">
        <v>2458341.4161</v>
      </c>
      <c r="F27" s="39" t="s">
        <v>174</v>
      </c>
      <c r="G27" s="39" t="s">
        <v>175</v>
      </c>
      <c r="H27" s="39" t="s">
        <v>180</v>
      </c>
      <c r="I27" s="39">
        <v>17124</v>
      </c>
      <c r="J27" s="39">
        <v>6489</v>
      </c>
      <c r="K27" s="39">
        <v>6633</v>
      </c>
      <c r="L27" s="18"/>
      <c r="M27" s="24"/>
      <c r="N27" s="24"/>
      <c r="O27" s="24"/>
      <c r="P27" s="22"/>
      <c r="Q27" s="23"/>
      <c r="R27" t="s">
        <v>217</v>
      </c>
      <c r="V27" s="10">
        <f t="shared" si="0"/>
        <v>2458341.4161</v>
      </c>
    </row>
    <row r="28" spans="2:23" x14ac:dyDescent="0.25">
      <c r="B28" s="39">
        <v>5</v>
      </c>
      <c r="C28" s="41">
        <v>43322</v>
      </c>
      <c r="D28" s="44">
        <v>0.93225694444444451</v>
      </c>
      <c r="E28" s="39">
        <v>2458341.4679</v>
      </c>
      <c r="F28" s="39" t="s">
        <v>184</v>
      </c>
      <c r="G28" s="39" t="s">
        <v>185</v>
      </c>
      <c r="H28" s="39" t="s">
        <v>186</v>
      </c>
      <c r="I28" s="39">
        <v>1136</v>
      </c>
      <c r="J28" s="39">
        <v>3499</v>
      </c>
      <c r="K28" s="39">
        <v>5069</v>
      </c>
      <c r="L28" s="25"/>
      <c r="M28" s="19"/>
      <c r="N28" s="20"/>
      <c r="O28" s="24"/>
      <c r="P28" s="24"/>
      <c r="Q28" s="23"/>
      <c r="R28" t="s">
        <v>219</v>
      </c>
      <c r="V28" s="10">
        <f t="shared" si="0"/>
        <v>2458341.4679</v>
      </c>
    </row>
    <row r="29" spans="2:23" x14ac:dyDescent="0.25">
      <c r="B29" s="39">
        <v>6</v>
      </c>
      <c r="C29" s="41">
        <v>43322</v>
      </c>
      <c r="D29" s="44">
        <v>0.97440972222222222</v>
      </c>
      <c r="E29" s="39">
        <v>2458341.5098999999</v>
      </c>
      <c r="F29" s="39" t="s">
        <v>187</v>
      </c>
      <c r="G29" s="39" t="s">
        <v>188</v>
      </c>
      <c r="H29" s="39" t="s">
        <v>189</v>
      </c>
      <c r="I29" s="39">
        <v>860</v>
      </c>
      <c r="J29" s="39">
        <v>4000</v>
      </c>
      <c r="K29" s="39">
        <v>7000</v>
      </c>
      <c r="L29" s="18"/>
      <c r="M29" s="19"/>
      <c r="N29" s="20"/>
      <c r="O29" s="21"/>
      <c r="P29" s="22"/>
      <c r="Q29" s="23"/>
      <c r="R29" t="s">
        <v>220</v>
      </c>
      <c r="V29" s="10">
        <f t="shared" si="0"/>
        <v>2458341.5098999999</v>
      </c>
    </row>
    <row r="30" spans="2:23" x14ac:dyDescent="0.25">
      <c r="B30" s="39">
        <v>9</v>
      </c>
      <c r="C30" s="41">
        <v>43323</v>
      </c>
      <c r="D30" s="44">
        <v>0.8968287037037036</v>
      </c>
      <c r="E30" s="39">
        <v>2458342.3895</v>
      </c>
      <c r="F30" s="39" t="s">
        <v>192</v>
      </c>
      <c r="G30" s="39" t="s">
        <v>193</v>
      </c>
      <c r="H30" s="39" t="s">
        <v>194</v>
      </c>
      <c r="I30" s="39">
        <v>13021</v>
      </c>
      <c r="J30" s="39">
        <v>6011</v>
      </c>
      <c r="K30" s="39">
        <v>6133</v>
      </c>
      <c r="L30" s="18"/>
      <c r="M30" s="24"/>
      <c r="N30" s="24"/>
      <c r="O30" s="21"/>
      <c r="P30" s="24"/>
      <c r="Q30" s="23"/>
      <c r="R30" t="s">
        <v>223</v>
      </c>
      <c r="V30" s="10">
        <f t="shared" si="0"/>
        <v>2458342.3895</v>
      </c>
    </row>
    <row r="31" spans="2:23" x14ac:dyDescent="0.25">
      <c r="B31" s="39">
        <v>7</v>
      </c>
      <c r="C31" s="41">
        <v>43323</v>
      </c>
      <c r="D31" s="44">
        <v>0.8263194444444445</v>
      </c>
      <c r="E31" s="39">
        <v>2458342.3958999999</v>
      </c>
      <c r="F31" s="39" t="s">
        <v>177</v>
      </c>
      <c r="G31" s="39" t="s">
        <v>178</v>
      </c>
      <c r="H31" s="39" t="s">
        <v>190</v>
      </c>
      <c r="I31" s="39">
        <v>11000</v>
      </c>
      <c r="J31" s="39">
        <v>4200</v>
      </c>
      <c r="K31" s="39">
        <v>7586</v>
      </c>
      <c r="L31" s="18"/>
      <c r="M31" s="19"/>
      <c r="N31" s="20"/>
      <c r="O31" s="21"/>
      <c r="P31" s="22"/>
      <c r="Q31" s="23"/>
      <c r="R31" t="s">
        <v>221</v>
      </c>
      <c r="V31" s="10">
        <f t="shared" si="0"/>
        <v>2458342.3958999999</v>
      </c>
    </row>
    <row r="32" spans="2:23" x14ac:dyDescent="0.25">
      <c r="B32" s="39">
        <v>8</v>
      </c>
      <c r="C32" s="41">
        <v>43323</v>
      </c>
      <c r="D32" s="44">
        <v>0.8531481481481481</v>
      </c>
      <c r="E32" s="39">
        <v>2458342.3982000002</v>
      </c>
      <c r="F32" s="39" t="s">
        <v>174</v>
      </c>
      <c r="G32" s="39" t="s">
        <v>175</v>
      </c>
      <c r="H32" s="39" t="s">
        <v>191</v>
      </c>
      <c r="I32" s="39">
        <v>1851</v>
      </c>
      <c r="J32" s="39">
        <v>4475</v>
      </c>
      <c r="K32" s="39">
        <v>5484</v>
      </c>
      <c r="L32" s="18"/>
      <c r="M32" s="24"/>
      <c r="N32" s="20"/>
      <c r="O32" s="24"/>
      <c r="P32" s="24"/>
      <c r="Q32" s="23"/>
      <c r="R32" t="s">
        <v>222</v>
      </c>
      <c r="V32" s="10">
        <f t="shared" si="0"/>
        <v>2458342.3982000002</v>
      </c>
    </row>
    <row r="33" spans="2:22" x14ac:dyDescent="0.25">
      <c r="B33" s="37">
        <v>10</v>
      </c>
      <c r="C33" s="40">
        <v>43323</v>
      </c>
      <c r="D33" s="43">
        <v>0.91464120370370372</v>
      </c>
      <c r="E33" s="37">
        <v>2458342.4374000002</v>
      </c>
      <c r="F33" s="37" t="s">
        <v>195</v>
      </c>
      <c r="G33" s="37" t="s">
        <v>196</v>
      </c>
      <c r="H33" s="37" t="s">
        <v>197</v>
      </c>
      <c r="I33" s="37">
        <v>502</v>
      </c>
      <c r="J33" s="37">
        <v>3700</v>
      </c>
      <c r="K33" s="37">
        <v>7570</v>
      </c>
      <c r="L33" s="18"/>
      <c r="M33" s="19"/>
      <c r="N33" s="20"/>
      <c r="O33" s="21"/>
      <c r="P33" s="22"/>
      <c r="Q33" s="23"/>
      <c r="R33" t="s">
        <v>224</v>
      </c>
      <c r="V33" s="10">
        <f t="shared" si="0"/>
        <v>2458342.4374000002</v>
      </c>
    </row>
    <row r="34" spans="2:22" x14ac:dyDescent="0.25">
      <c r="B34" s="39">
        <v>11</v>
      </c>
      <c r="C34" s="41">
        <v>43323</v>
      </c>
      <c r="D34" s="44">
        <v>0.94550925925925933</v>
      </c>
      <c r="E34" s="39">
        <v>2458342.4454999999</v>
      </c>
      <c r="F34" s="39" t="s">
        <v>192</v>
      </c>
      <c r="G34" s="39" t="s">
        <v>193</v>
      </c>
      <c r="H34" s="39" t="s">
        <v>194</v>
      </c>
      <c r="I34" s="39">
        <v>8420</v>
      </c>
      <c r="J34" s="39">
        <v>4558</v>
      </c>
      <c r="K34" s="39">
        <v>4707</v>
      </c>
      <c r="L34" s="18"/>
      <c r="M34" s="24"/>
      <c r="N34" s="20"/>
      <c r="O34" s="24"/>
      <c r="P34" s="24"/>
      <c r="Q34" s="23"/>
      <c r="R34" t="s">
        <v>225</v>
      </c>
      <c r="V34" s="10">
        <f t="shared" si="0"/>
        <v>2458342.4454999999</v>
      </c>
    </row>
    <row r="35" spans="2:22" x14ac:dyDescent="0.25">
      <c r="B35" s="39">
        <v>13</v>
      </c>
      <c r="C35" s="41">
        <v>43323</v>
      </c>
      <c r="D35" s="44">
        <v>0.98903935185185177</v>
      </c>
      <c r="E35" s="39">
        <v>2458342.4890000001</v>
      </c>
      <c r="F35" s="39" t="s">
        <v>192</v>
      </c>
      <c r="G35" s="39" t="s">
        <v>193</v>
      </c>
      <c r="H35" s="39" t="s">
        <v>194</v>
      </c>
      <c r="I35" s="39">
        <v>9398</v>
      </c>
      <c r="J35" s="39">
        <v>4846</v>
      </c>
      <c r="K35" s="39">
        <v>4991</v>
      </c>
      <c r="L35" s="18"/>
      <c r="M35" s="24"/>
      <c r="N35" s="20"/>
      <c r="O35" s="24"/>
      <c r="P35" s="24"/>
      <c r="Q35" s="23"/>
      <c r="R35" t="s">
        <v>227</v>
      </c>
      <c r="V35" s="10">
        <f t="shared" si="0"/>
        <v>2458342.4890000001</v>
      </c>
    </row>
    <row r="36" spans="2:22" x14ac:dyDescent="0.25">
      <c r="B36" s="39">
        <v>12</v>
      </c>
      <c r="C36" s="41">
        <v>43323</v>
      </c>
      <c r="D36" s="44">
        <v>0.97215277777777775</v>
      </c>
      <c r="E36" s="39">
        <v>2458342.5040000002</v>
      </c>
      <c r="F36" s="39" t="s">
        <v>184</v>
      </c>
      <c r="G36" s="39" t="s">
        <v>185</v>
      </c>
      <c r="H36" s="39" t="s">
        <v>198</v>
      </c>
      <c r="I36" s="39">
        <v>1289</v>
      </c>
      <c r="J36" s="39">
        <v>3392</v>
      </c>
      <c r="K36" s="39">
        <v>4570</v>
      </c>
      <c r="L36" s="25"/>
      <c r="M36" s="19"/>
      <c r="N36" s="20"/>
      <c r="O36" s="24"/>
      <c r="P36" s="24"/>
      <c r="Q36" s="23"/>
      <c r="R36" t="s">
        <v>226</v>
      </c>
      <c r="V36" s="10">
        <f t="shared" si="0"/>
        <v>2458342.5040000002</v>
      </c>
    </row>
    <row r="37" spans="2:22" x14ac:dyDescent="0.25">
      <c r="B37" s="39">
        <v>16</v>
      </c>
      <c r="C37" s="41">
        <v>43324</v>
      </c>
      <c r="D37" s="44">
        <v>0.85241898148148154</v>
      </c>
      <c r="E37" s="39">
        <v>2458342.5386000001</v>
      </c>
      <c r="F37" s="39" t="s">
        <v>192</v>
      </c>
      <c r="G37" s="39" t="s">
        <v>193</v>
      </c>
      <c r="H37" s="39" t="s">
        <v>194</v>
      </c>
      <c r="I37" s="39">
        <v>8352</v>
      </c>
      <c r="J37" s="39">
        <v>4569</v>
      </c>
      <c r="K37" s="39">
        <v>4718</v>
      </c>
      <c r="L37" s="18"/>
      <c r="M37" s="24"/>
      <c r="N37" s="20"/>
      <c r="O37" s="24"/>
      <c r="P37" s="24"/>
      <c r="Q37" s="23"/>
      <c r="R37" t="s">
        <v>230</v>
      </c>
      <c r="V37" s="10">
        <f t="shared" si="0"/>
        <v>2458342.5386000001</v>
      </c>
    </row>
    <row r="38" spans="2:22" x14ac:dyDescent="0.25">
      <c r="B38" s="39">
        <v>14</v>
      </c>
      <c r="C38" s="41">
        <v>43324</v>
      </c>
      <c r="D38" s="44">
        <v>5.2916666666666667E-2</v>
      </c>
      <c r="E38" s="39">
        <v>2458342.5386000001</v>
      </c>
      <c r="F38" s="39" t="s">
        <v>192</v>
      </c>
      <c r="G38" s="39" t="s">
        <v>193</v>
      </c>
      <c r="H38" s="39" t="s">
        <v>194</v>
      </c>
      <c r="I38" s="39">
        <v>9420</v>
      </c>
      <c r="J38" s="39">
        <v>4963</v>
      </c>
      <c r="K38" s="39">
        <v>5106</v>
      </c>
      <c r="L38" s="18"/>
      <c r="M38" s="24"/>
      <c r="N38" s="20"/>
      <c r="O38" s="24"/>
      <c r="P38" s="24"/>
      <c r="Q38" s="23"/>
      <c r="R38" t="s">
        <v>228</v>
      </c>
      <c r="V38" s="10">
        <f t="shared" si="0"/>
        <v>2458342.5386000001</v>
      </c>
    </row>
    <row r="39" spans="2:22" x14ac:dyDescent="0.25">
      <c r="B39" s="37">
        <v>15</v>
      </c>
      <c r="C39" s="40">
        <v>43324</v>
      </c>
      <c r="D39" s="43">
        <v>0.11719907407407408</v>
      </c>
      <c r="E39" s="37">
        <v>2458342.6381000001</v>
      </c>
      <c r="F39" s="37" t="s">
        <v>3</v>
      </c>
      <c r="G39" s="37" t="s">
        <v>199</v>
      </c>
      <c r="H39" s="37" t="s">
        <v>200</v>
      </c>
      <c r="I39" s="37">
        <v>572</v>
      </c>
      <c r="J39" s="37">
        <v>3603</v>
      </c>
      <c r="K39" s="37">
        <v>7404</v>
      </c>
      <c r="L39" s="18"/>
      <c r="M39" s="19"/>
      <c r="N39" s="20"/>
      <c r="O39" s="21"/>
      <c r="P39" s="22"/>
      <c r="Q39" s="23"/>
      <c r="R39" t="s">
        <v>229</v>
      </c>
      <c r="V39" s="10">
        <f t="shared" si="0"/>
        <v>2458342.6381000001</v>
      </c>
    </row>
    <row r="40" spans="2:22" x14ac:dyDescent="0.25">
      <c r="B40" s="39">
        <v>17</v>
      </c>
      <c r="C40" s="41">
        <v>43324</v>
      </c>
      <c r="D40" s="44">
        <v>0.85241898148148154</v>
      </c>
      <c r="E40" s="39">
        <v>2458343.3160999999</v>
      </c>
      <c r="F40" s="39" t="s">
        <v>192</v>
      </c>
      <c r="G40" s="39" t="s">
        <v>193</v>
      </c>
      <c r="H40" s="39" t="s">
        <v>194</v>
      </c>
      <c r="I40" s="39">
        <v>8352</v>
      </c>
      <c r="J40" s="39">
        <v>4569</v>
      </c>
      <c r="K40" s="39">
        <v>4718</v>
      </c>
      <c r="L40" s="18"/>
      <c r="M40" s="24"/>
      <c r="N40" s="20"/>
      <c r="O40" s="24"/>
      <c r="P40" s="24"/>
      <c r="Q40" s="23"/>
      <c r="R40" t="s">
        <v>230</v>
      </c>
      <c r="V40" s="10">
        <f t="shared" si="0"/>
        <v>2458343.3160999999</v>
      </c>
    </row>
    <row r="41" spans="2:22" x14ac:dyDescent="0.25">
      <c r="B41" s="39">
        <v>18</v>
      </c>
      <c r="C41" s="41">
        <v>43325</v>
      </c>
      <c r="D41" s="44">
        <v>0.81929398148148147</v>
      </c>
      <c r="E41" s="39">
        <v>2458344.3700999999</v>
      </c>
      <c r="F41" s="39" t="s">
        <v>174</v>
      </c>
      <c r="G41" s="39" t="s">
        <v>175</v>
      </c>
      <c r="H41" s="39" t="s">
        <v>191</v>
      </c>
      <c r="I41" s="39">
        <v>2084</v>
      </c>
      <c r="J41" s="39">
        <v>4464</v>
      </c>
      <c r="K41" s="39">
        <v>5497</v>
      </c>
      <c r="L41" s="18"/>
      <c r="M41" s="24"/>
      <c r="N41" s="20"/>
      <c r="O41" s="24"/>
      <c r="P41" s="24"/>
      <c r="Q41" s="23"/>
      <c r="R41" t="s">
        <v>231</v>
      </c>
      <c r="V41" s="10">
        <f t="shared" si="0"/>
        <v>2458344.3700999999</v>
      </c>
    </row>
    <row r="42" spans="2:22" x14ac:dyDescent="0.25">
      <c r="B42" s="37">
        <v>19</v>
      </c>
      <c r="C42" s="40">
        <v>43325</v>
      </c>
      <c r="D42" s="43">
        <v>0.91085648148148157</v>
      </c>
      <c r="E42" s="37">
        <v>2458344.4336000001</v>
      </c>
      <c r="F42" s="37" t="s">
        <v>195</v>
      </c>
      <c r="G42" s="37" t="s">
        <v>196</v>
      </c>
      <c r="H42" s="37" t="s">
        <v>197</v>
      </c>
      <c r="I42" s="37">
        <v>504</v>
      </c>
      <c r="J42" s="37">
        <v>3700</v>
      </c>
      <c r="K42" s="37">
        <v>7570</v>
      </c>
      <c r="L42" s="18"/>
      <c r="M42" s="19"/>
      <c r="N42" s="20"/>
      <c r="O42" s="21"/>
      <c r="P42" s="22"/>
      <c r="Q42" s="23"/>
      <c r="R42" t="s">
        <v>232</v>
      </c>
      <c r="V42" s="10">
        <f t="shared" si="0"/>
        <v>2458344.4336000001</v>
      </c>
    </row>
    <row r="43" spans="2:22" x14ac:dyDescent="0.25">
      <c r="B43" s="37">
        <v>21</v>
      </c>
      <c r="C43" s="40">
        <v>43327</v>
      </c>
      <c r="D43" s="43">
        <v>0.8881134259259259</v>
      </c>
      <c r="E43" s="37">
        <v>2458346.4142999998</v>
      </c>
      <c r="F43" s="37" t="s">
        <v>195</v>
      </c>
      <c r="G43" s="37" t="s">
        <v>196</v>
      </c>
      <c r="H43" s="37" t="s">
        <v>197</v>
      </c>
      <c r="I43" s="37">
        <v>505</v>
      </c>
      <c r="J43" s="37">
        <v>3700</v>
      </c>
      <c r="K43" s="37">
        <v>7570</v>
      </c>
      <c r="L43" s="18"/>
      <c r="M43" s="19"/>
      <c r="N43" s="20"/>
      <c r="O43" s="21"/>
      <c r="P43" s="22"/>
      <c r="Q43" s="23"/>
      <c r="R43" t="s">
        <v>234</v>
      </c>
      <c r="V43" s="10">
        <f t="shared" si="0"/>
        <v>2458346.4142999998</v>
      </c>
    </row>
    <row r="44" spans="2:22" x14ac:dyDescent="0.25">
      <c r="B44" s="39">
        <v>20</v>
      </c>
      <c r="C44" s="41">
        <v>43327</v>
      </c>
      <c r="D44" s="44">
        <v>0.85246527777777781</v>
      </c>
      <c r="E44" s="39">
        <v>2458346.4221000001</v>
      </c>
      <c r="F44" s="39" t="s">
        <v>177</v>
      </c>
      <c r="G44" s="39" t="s">
        <v>178</v>
      </c>
      <c r="H44" s="39" t="s">
        <v>190</v>
      </c>
      <c r="I44" s="39">
        <v>11000</v>
      </c>
      <c r="J44" s="39">
        <v>4200</v>
      </c>
      <c r="K44" s="39">
        <v>7586</v>
      </c>
      <c r="L44" s="18"/>
      <c r="M44" s="19"/>
      <c r="N44" s="20"/>
      <c r="O44" s="21"/>
      <c r="P44" s="22"/>
      <c r="Q44" s="23"/>
      <c r="R44" t="s">
        <v>233</v>
      </c>
      <c r="V44" s="10">
        <f t="shared" si="0"/>
        <v>2458346.4221000001</v>
      </c>
    </row>
    <row r="45" spans="2:22" x14ac:dyDescent="0.25">
      <c r="B45" s="39">
        <v>22</v>
      </c>
      <c r="C45" s="41">
        <v>43328</v>
      </c>
      <c r="D45" s="44">
        <v>0.87464120370370368</v>
      </c>
      <c r="E45" s="39">
        <v>2458347.3977000001</v>
      </c>
      <c r="F45" s="39" t="s">
        <v>201</v>
      </c>
      <c r="G45" s="39" t="s">
        <v>202</v>
      </c>
      <c r="H45" s="39" t="s">
        <v>203</v>
      </c>
      <c r="I45" s="39">
        <v>1070</v>
      </c>
      <c r="J45" s="39">
        <v>3900</v>
      </c>
      <c r="K45" s="39">
        <v>7379</v>
      </c>
      <c r="L45" s="18"/>
      <c r="M45" s="19"/>
      <c r="N45" s="20"/>
      <c r="O45" s="21"/>
      <c r="P45" s="22"/>
      <c r="Q45" s="23"/>
      <c r="R45" t="s">
        <v>262</v>
      </c>
      <c r="V45" s="10">
        <f t="shared" si="0"/>
        <v>2458347.3977000001</v>
      </c>
    </row>
    <row r="46" spans="2:22" x14ac:dyDescent="0.25">
      <c r="B46" s="39">
        <v>23</v>
      </c>
      <c r="C46" s="41">
        <v>43329</v>
      </c>
      <c r="D46" s="44">
        <v>6.957175925925925E-2</v>
      </c>
      <c r="E46" s="39">
        <v>2458347.6264</v>
      </c>
      <c r="F46" s="39" t="s">
        <v>204</v>
      </c>
      <c r="G46" s="39" t="s">
        <v>205</v>
      </c>
      <c r="H46" s="39" t="s">
        <v>206</v>
      </c>
      <c r="I46" s="39">
        <v>12000</v>
      </c>
      <c r="J46" s="39">
        <v>4030</v>
      </c>
      <c r="K46" s="39">
        <v>7950</v>
      </c>
      <c r="L46" s="18"/>
      <c r="M46" s="19"/>
      <c r="N46" s="20"/>
      <c r="O46" s="21"/>
      <c r="P46" s="22"/>
      <c r="Q46" s="26"/>
      <c r="R46" t="s">
        <v>236</v>
      </c>
      <c r="V46" s="10">
        <f t="shared" si="0"/>
        <v>2458347.6264</v>
      </c>
    </row>
    <row r="47" spans="2:22" x14ac:dyDescent="0.25">
      <c r="B47" s="39">
        <v>24</v>
      </c>
      <c r="C47" s="41">
        <v>43329</v>
      </c>
      <c r="D47" s="44">
        <v>0.85590277777777779</v>
      </c>
      <c r="E47" s="39">
        <v>2458348.3627999998</v>
      </c>
      <c r="F47" s="39" t="s">
        <v>192</v>
      </c>
      <c r="G47" s="39" t="s">
        <v>193</v>
      </c>
      <c r="H47" s="39" t="s">
        <v>194</v>
      </c>
      <c r="I47" s="39">
        <v>8623</v>
      </c>
      <c r="J47" s="39">
        <v>4571</v>
      </c>
      <c r="K47" s="39">
        <v>4719</v>
      </c>
      <c r="L47" s="18"/>
      <c r="M47" s="24"/>
      <c r="N47" s="20"/>
      <c r="O47" s="24"/>
      <c r="P47" s="24"/>
      <c r="Q47" s="23"/>
      <c r="R47" t="s">
        <v>237</v>
      </c>
      <c r="V47" s="10">
        <f t="shared" si="0"/>
        <v>2458348.3627999998</v>
      </c>
    </row>
    <row r="48" spans="2:22" x14ac:dyDescent="0.25">
      <c r="B48" s="39">
        <v>25</v>
      </c>
      <c r="C48" s="41">
        <v>43330</v>
      </c>
      <c r="D48" s="44">
        <v>0.8442708333333333</v>
      </c>
      <c r="E48" s="39">
        <v>2458349.3297999999</v>
      </c>
      <c r="F48" s="39" t="s">
        <v>192</v>
      </c>
      <c r="G48" s="39" t="s">
        <v>193</v>
      </c>
      <c r="H48" s="39" t="s">
        <v>194</v>
      </c>
      <c r="I48" s="39">
        <v>8125</v>
      </c>
      <c r="J48" s="39">
        <v>4573</v>
      </c>
      <c r="K48" s="39">
        <v>4721</v>
      </c>
      <c r="L48" s="18"/>
      <c r="M48" s="24"/>
      <c r="N48" s="20"/>
      <c r="O48" s="24"/>
      <c r="P48" s="24"/>
      <c r="Q48" s="23"/>
      <c r="R48" t="s">
        <v>238</v>
      </c>
      <c r="V48" s="10">
        <f t="shared" si="0"/>
        <v>2458349.3297999999</v>
      </c>
    </row>
    <row r="49" spans="2:22" x14ac:dyDescent="0.25">
      <c r="B49" s="39">
        <v>27</v>
      </c>
      <c r="C49" s="41">
        <v>43330</v>
      </c>
      <c r="D49" s="44">
        <v>0.91949074074074078</v>
      </c>
      <c r="E49" s="39">
        <v>2458349.4051000001</v>
      </c>
      <c r="F49" s="39" t="s">
        <v>192</v>
      </c>
      <c r="G49" s="39" t="s">
        <v>193</v>
      </c>
      <c r="H49" s="39" t="s">
        <v>194</v>
      </c>
      <c r="I49" s="39">
        <v>9376</v>
      </c>
      <c r="J49" s="39">
        <v>4959</v>
      </c>
      <c r="K49" s="39">
        <v>5102</v>
      </c>
      <c r="L49" s="18"/>
      <c r="M49" s="24"/>
      <c r="N49" s="20"/>
      <c r="O49" s="24"/>
      <c r="P49" s="24"/>
      <c r="Q49" s="23"/>
      <c r="R49" t="s">
        <v>240</v>
      </c>
      <c r="V49" s="10">
        <f t="shared" si="0"/>
        <v>2458349.4051000001</v>
      </c>
    </row>
    <row r="50" spans="2:22" x14ac:dyDescent="0.25">
      <c r="B50" s="37">
        <v>26</v>
      </c>
      <c r="C50" s="40">
        <v>43330</v>
      </c>
      <c r="D50" s="43">
        <v>0.89577546296296295</v>
      </c>
      <c r="E50" s="37">
        <v>2458349.4237000002</v>
      </c>
      <c r="F50" s="37" t="s">
        <v>195</v>
      </c>
      <c r="G50" s="37" t="s">
        <v>196</v>
      </c>
      <c r="H50" s="37" t="s">
        <v>197</v>
      </c>
      <c r="I50" s="37">
        <v>509</v>
      </c>
      <c r="J50" s="37">
        <v>3700</v>
      </c>
      <c r="K50" s="37">
        <v>7570</v>
      </c>
      <c r="L50" s="18"/>
      <c r="M50" s="19"/>
      <c r="N50" s="20"/>
      <c r="O50" s="21"/>
      <c r="P50" s="22"/>
      <c r="Q50" s="23"/>
      <c r="R50" t="s">
        <v>239</v>
      </c>
      <c r="V50" s="10">
        <f t="shared" si="0"/>
        <v>2458349.4237000002</v>
      </c>
    </row>
    <row r="51" spans="2:22" x14ac:dyDescent="0.25">
      <c r="B51" s="39">
        <v>28</v>
      </c>
      <c r="C51" s="41">
        <v>43331</v>
      </c>
      <c r="D51" s="44">
        <v>0.89282407407407405</v>
      </c>
      <c r="E51" s="39">
        <v>2458350.3783999998</v>
      </c>
      <c r="F51" s="39" t="s">
        <v>192</v>
      </c>
      <c r="G51" s="39" t="s">
        <v>193</v>
      </c>
      <c r="H51" s="39" t="s">
        <v>194</v>
      </c>
      <c r="I51" s="39">
        <v>8390</v>
      </c>
      <c r="J51" s="39">
        <v>4577</v>
      </c>
      <c r="K51" s="39">
        <v>4725</v>
      </c>
      <c r="L51" s="18"/>
      <c r="M51" s="24"/>
      <c r="N51" s="20"/>
      <c r="O51" s="24"/>
      <c r="P51" s="24"/>
      <c r="Q51" s="23"/>
      <c r="R51" t="s">
        <v>241</v>
      </c>
      <c r="V51" s="10">
        <f t="shared" si="0"/>
        <v>2458350.3783999998</v>
      </c>
    </row>
    <row r="52" spans="2:22" x14ac:dyDescent="0.25">
      <c r="B52" s="39">
        <v>29</v>
      </c>
      <c r="C52" s="41">
        <v>43332</v>
      </c>
      <c r="D52" s="44">
        <v>6.0138888888888888E-2</v>
      </c>
      <c r="E52" s="39">
        <v>2458350.6241000001</v>
      </c>
      <c r="F52" s="39" t="s">
        <v>204</v>
      </c>
      <c r="G52" s="39" t="s">
        <v>205</v>
      </c>
      <c r="H52" s="39" t="s">
        <v>206</v>
      </c>
      <c r="I52" s="39">
        <v>12000</v>
      </c>
      <c r="J52" s="39">
        <v>4030</v>
      </c>
      <c r="K52" s="39">
        <v>7950</v>
      </c>
      <c r="L52" s="18"/>
      <c r="M52" s="19"/>
      <c r="N52" s="20"/>
      <c r="O52" s="21"/>
      <c r="P52" s="22"/>
      <c r="Q52" s="26"/>
      <c r="R52" t="s">
        <v>242</v>
      </c>
      <c r="V52" s="10">
        <f t="shared" si="0"/>
        <v>2458350.6241000001</v>
      </c>
    </row>
    <row r="53" spans="2:22" x14ac:dyDescent="0.25">
      <c r="B53" s="37">
        <v>30</v>
      </c>
      <c r="C53" s="40">
        <v>43332</v>
      </c>
      <c r="D53" s="43">
        <v>0.10902777777777778</v>
      </c>
      <c r="E53" s="37">
        <v>2458350.63</v>
      </c>
      <c r="F53" s="37" t="s">
        <v>3</v>
      </c>
      <c r="G53" s="37" t="s">
        <v>199</v>
      </c>
      <c r="H53" s="37" t="s">
        <v>200</v>
      </c>
      <c r="I53" s="37">
        <v>560</v>
      </c>
      <c r="J53" s="37">
        <v>3704</v>
      </c>
      <c r="K53" s="37">
        <v>7371</v>
      </c>
      <c r="L53" s="18"/>
      <c r="M53" s="19"/>
      <c r="N53" s="20"/>
      <c r="O53" s="21"/>
      <c r="P53" s="22"/>
      <c r="Q53" s="23"/>
      <c r="R53" t="s">
        <v>243</v>
      </c>
      <c r="V53" s="10">
        <f t="shared" si="0"/>
        <v>2458350.63</v>
      </c>
    </row>
    <row r="54" spans="2:22" x14ac:dyDescent="0.25">
      <c r="B54" s="39">
        <v>31</v>
      </c>
      <c r="C54" s="41">
        <v>43332</v>
      </c>
      <c r="D54" s="44">
        <v>0.82234953703703706</v>
      </c>
      <c r="E54" s="39">
        <v>2458351.3292999999</v>
      </c>
      <c r="F54" s="39" t="s">
        <v>192</v>
      </c>
      <c r="G54" s="39" t="s">
        <v>193</v>
      </c>
      <c r="H54" s="39" t="s">
        <v>194</v>
      </c>
      <c r="I54" s="39">
        <v>6882</v>
      </c>
      <c r="J54" s="39">
        <v>4574</v>
      </c>
      <c r="K54" s="39">
        <v>4722</v>
      </c>
      <c r="L54" s="18"/>
      <c r="M54" s="24"/>
      <c r="N54" s="20"/>
      <c r="O54" s="24"/>
      <c r="P54" s="24"/>
      <c r="Q54" s="23"/>
      <c r="R54" t="s">
        <v>244</v>
      </c>
      <c r="V54" s="10">
        <f t="shared" si="0"/>
        <v>2458351.3292999999</v>
      </c>
    </row>
    <row r="55" spans="2:22" x14ac:dyDescent="0.25">
      <c r="B55" s="39">
        <v>32</v>
      </c>
      <c r="C55" s="41">
        <v>43332</v>
      </c>
      <c r="D55" s="44">
        <v>0.87202546296296291</v>
      </c>
      <c r="E55" s="39">
        <v>2458351.372</v>
      </c>
      <c r="F55" s="39" t="s">
        <v>192</v>
      </c>
      <c r="G55" s="39" t="s">
        <v>193</v>
      </c>
      <c r="H55" s="39" t="s">
        <v>194</v>
      </c>
      <c r="I55" s="39">
        <v>9057</v>
      </c>
      <c r="J55" s="39">
        <v>4805</v>
      </c>
      <c r="K55" s="39">
        <v>4950</v>
      </c>
      <c r="L55" s="18"/>
      <c r="M55" s="24"/>
      <c r="N55" s="20"/>
      <c r="O55" s="24"/>
      <c r="P55" s="24"/>
      <c r="Q55" s="23"/>
      <c r="R55" t="s">
        <v>245</v>
      </c>
      <c r="V55" s="10">
        <f t="shared" si="0"/>
        <v>2458351.372</v>
      </c>
    </row>
    <row r="56" spans="2:22" x14ac:dyDescent="0.25">
      <c r="B56" s="37">
        <v>33</v>
      </c>
      <c r="C56" s="40">
        <v>43337</v>
      </c>
      <c r="D56" s="43">
        <v>0.91266203703703708</v>
      </c>
      <c r="E56" s="37">
        <v>2458356.4301</v>
      </c>
      <c r="F56" s="37" t="s">
        <v>195</v>
      </c>
      <c r="G56" s="37" t="s">
        <v>196</v>
      </c>
      <c r="H56" s="37" t="s">
        <v>197</v>
      </c>
      <c r="I56" s="37">
        <v>523</v>
      </c>
      <c r="J56" s="37">
        <v>3700</v>
      </c>
      <c r="K56" s="37">
        <v>7570</v>
      </c>
      <c r="L56" s="18"/>
      <c r="M56" s="19"/>
      <c r="N56" s="20"/>
      <c r="O56" s="21"/>
      <c r="P56" s="22"/>
      <c r="Q56" s="23"/>
      <c r="R56" t="s">
        <v>246</v>
      </c>
      <c r="V56" s="10">
        <f t="shared" ref="V56:V75" si="1">+E56</f>
        <v>2458356.4301</v>
      </c>
    </row>
    <row r="57" spans="2:22" x14ac:dyDescent="0.25">
      <c r="B57" s="39">
        <v>34</v>
      </c>
      <c r="C57" s="41">
        <v>43340</v>
      </c>
      <c r="D57" s="44">
        <v>0.79483796296296294</v>
      </c>
      <c r="E57" s="39">
        <v>2458359.3399</v>
      </c>
      <c r="F57" s="39" t="s">
        <v>174</v>
      </c>
      <c r="G57" s="39" t="s">
        <v>175</v>
      </c>
      <c r="H57" s="39" t="s">
        <v>191</v>
      </c>
      <c r="I57" s="39">
        <v>2095</v>
      </c>
      <c r="J57" s="39">
        <v>4476</v>
      </c>
      <c r="K57" s="39">
        <v>5499</v>
      </c>
      <c r="L57" s="18"/>
      <c r="M57" s="24"/>
      <c r="N57" s="20"/>
      <c r="O57" s="24"/>
      <c r="P57" s="24"/>
      <c r="Q57" s="23"/>
      <c r="R57" t="s">
        <v>247</v>
      </c>
      <c r="V57" s="10">
        <f t="shared" si="1"/>
        <v>2458359.3399</v>
      </c>
    </row>
    <row r="58" spans="2:22" x14ac:dyDescent="0.25">
      <c r="B58" s="37">
        <v>35</v>
      </c>
      <c r="C58" s="40">
        <v>43340</v>
      </c>
      <c r="D58" s="43">
        <v>0.85990740740740745</v>
      </c>
      <c r="E58" s="37">
        <v>2458359.3807000001</v>
      </c>
      <c r="F58" s="37" t="s">
        <v>207</v>
      </c>
      <c r="G58" s="37" t="s">
        <v>175</v>
      </c>
      <c r="H58" s="37" t="s">
        <v>208</v>
      </c>
      <c r="I58" s="37">
        <v>530</v>
      </c>
      <c r="J58" s="37">
        <v>3830</v>
      </c>
      <c r="K58" s="37">
        <v>7236</v>
      </c>
      <c r="L58" s="18"/>
      <c r="M58" s="19"/>
      <c r="N58" s="20"/>
      <c r="O58" s="21"/>
      <c r="P58" s="22"/>
      <c r="Q58" s="23"/>
      <c r="R58" t="s">
        <v>248</v>
      </c>
      <c r="V58" s="10">
        <f t="shared" si="1"/>
        <v>2458359.3807000001</v>
      </c>
    </row>
    <row r="59" spans="2:22" x14ac:dyDescent="0.25">
      <c r="B59" s="39">
        <v>36</v>
      </c>
      <c r="C59" s="41">
        <v>43340</v>
      </c>
      <c r="D59" s="44">
        <v>0.87898148148148147</v>
      </c>
      <c r="E59" s="39">
        <v>2458359.4185000001</v>
      </c>
      <c r="F59" s="39" t="s">
        <v>181</v>
      </c>
      <c r="G59" s="39" t="s">
        <v>182</v>
      </c>
      <c r="H59" s="39" t="s">
        <v>209</v>
      </c>
      <c r="I59" s="39">
        <v>7167</v>
      </c>
      <c r="J59" s="39">
        <v>6377</v>
      </c>
      <c r="K59" s="39">
        <v>6777</v>
      </c>
      <c r="L59" s="18"/>
      <c r="M59" s="24"/>
      <c r="N59" s="24"/>
      <c r="O59" s="24"/>
      <c r="P59" s="22"/>
      <c r="Q59" s="23"/>
      <c r="R59" t="s">
        <v>249</v>
      </c>
      <c r="V59" s="10">
        <f t="shared" si="1"/>
        <v>2458359.4185000001</v>
      </c>
    </row>
    <row r="60" spans="2:22" x14ac:dyDescent="0.25">
      <c r="B60" s="37">
        <v>37</v>
      </c>
      <c r="C60" s="40">
        <v>43344</v>
      </c>
      <c r="D60" s="43">
        <v>0.90001157407407406</v>
      </c>
      <c r="E60" s="37">
        <v>2458363.4210000001</v>
      </c>
      <c r="F60" s="37" t="s">
        <v>195</v>
      </c>
      <c r="G60" s="37" t="s">
        <v>196</v>
      </c>
      <c r="H60" s="37" t="s">
        <v>197</v>
      </c>
      <c r="I60" s="37">
        <v>507</v>
      </c>
      <c r="J60" s="37">
        <v>3700</v>
      </c>
      <c r="K60" s="37">
        <v>7570</v>
      </c>
      <c r="L60" s="18"/>
      <c r="M60" s="19"/>
      <c r="N60" s="20"/>
      <c r="O60" s="21"/>
      <c r="P60" s="22"/>
      <c r="Q60" s="23"/>
      <c r="R60" t="s">
        <v>250</v>
      </c>
      <c r="V60" s="10">
        <f t="shared" si="1"/>
        <v>2458363.4210000001</v>
      </c>
    </row>
    <row r="61" spans="2:22" x14ac:dyDescent="0.25">
      <c r="B61" s="39">
        <v>38</v>
      </c>
      <c r="C61" s="41">
        <v>43350</v>
      </c>
      <c r="D61" s="44">
        <v>0.17761574074074074</v>
      </c>
      <c r="E61" s="39">
        <v>2458368.6951000001</v>
      </c>
      <c r="F61" s="39" t="s">
        <v>210</v>
      </c>
      <c r="G61" s="39" t="s">
        <v>211</v>
      </c>
      <c r="H61" s="39" t="s">
        <v>212</v>
      </c>
      <c r="I61" s="39">
        <v>1023</v>
      </c>
      <c r="J61" s="39">
        <v>3706</v>
      </c>
      <c r="K61" s="39">
        <v>7294</v>
      </c>
      <c r="L61" s="18"/>
      <c r="M61" s="19"/>
      <c r="N61" s="20"/>
      <c r="O61" s="21"/>
      <c r="P61" s="22"/>
      <c r="Q61" s="23"/>
      <c r="R61" t="s">
        <v>251</v>
      </c>
      <c r="V61" s="10">
        <f t="shared" si="1"/>
        <v>2458368.6951000001</v>
      </c>
    </row>
    <row r="62" spans="2:22" x14ac:dyDescent="0.25">
      <c r="B62" s="37">
        <v>39</v>
      </c>
      <c r="C62" s="40">
        <v>43350</v>
      </c>
      <c r="D62" s="43">
        <v>0.88619212962962957</v>
      </c>
      <c r="E62" s="37">
        <v>2458369.4123999998</v>
      </c>
      <c r="F62" s="37" t="s">
        <v>195</v>
      </c>
      <c r="G62" s="37" t="s">
        <v>196</v>
      </c>
      <c r="H62" s="37" t="s">
        <v>197</v>
      </c>
      <c r="I62" s="37">
        <v>506</v>
      </c>
      <c r="J62" s="37">
        <v>3700</v>
      </c>
      <c r="K62" s="37">
        <v>7570</v>
      </c>
      <c r="L62" s="18"/>
      <c r="M62" s="19"/>
      <c r="N62" s="20"/>
      <c r="O62" s="21"/>
      <c r="P62" s="22"/>
      <c r="Q62" s="23"/>
      <c r="R62" t="s">
        <v>252</v>
      </c>
      <c r="V62" s="10">
        <f t="shared" si="1"/>
        <v>2458369.4123999998</v>
      </c>
    </row>
    <row r="63" spans="2:22" x14ac:dyDescent="0.25">
      <c r="B63" s="39">
        <v>40</v>
      </c>
      <c r="C63" s="41">
        <v>43351</v>
      </c>
      <c r="D63" s="44">
        <v>0.88526620370370368</v>
      </c>
      <c r="E63" s="39">
        <v>2458370.3742999998</v>
      </c>
      <c r="F63" s="39" t="s">
        <v>192</v>
      </c>
      <c r="G63" s="39" t="s">
        <v>193</v>
      </c>
      <c r="H63" s="39" t="s">
        <v>194</v>
      </c>
      <c r="I63" s="39">
        <v>12381</v>
      </c>
      <c r="J63" s="39">
        <v>6012</v>
      </c>
      <c r="K63" s="39">
        <v>6133</v>
      </c>
      <c r="L63" s="18"/>
      <c r="M63" s="24"/>
      <c r="N63" s="24"/>
      <c r="O63" s="21"/>
      <c r="P63" s="24"/>
      <c r="Q63" s="23"/>
      <c r="R63" t="s">
        <v>253</v>
      </c>
      <c r="V63" s="10">
        <f t="shared" si="1"/>
        <v>2458370.3742999998</v>
      </c>
    </row>
    <row r="64" spans="2:22" x14ac:dyDescent="0.25">
      <c r="B64" s="39">
        <v>41</v>
      </c>
      <c r="C64" s="41">
        <v>43353</v>
      </c>
      <c r="D64" s="44">
        <v>0.86002314814814806</v>
      </c>
      <c r="E64" s="39">
        <v>2458372.3881999999</v>
      </c>
      <c r="F64" s="39" t="s">
        <v>181</v>
      </c>
      <c r="G64" s="39" t="s">
        <v>182</v>
      </c>
      <c r="H64" s="39" t="s">
        <v>209</v>
      </c>
      <c r="I64" s="39">
        <v>8022</v>
      </c>
      <c r="J64" s="39">
        <v>6377</v>
      </c>
      <c r="K64" s="39">
        <v>6774</v>
      </c>
      <c r="L64" s="18"/>
      <c r="M64" s="24"/>
      <c r="N64" s="24"/>
      <c r="O64" s="24"/>
      <c r="P64" s="22"/>
      <c r="Q64" s="23"/>
      <c r="R64" t="s">
        <v>254</v>
      </c>
      <c r="V64" s="10">
        <f t="shared" si="1"/>
        <v>2458372.3881999999</v>
      </c>
    </row>
    <row r="65" spans="2:23" x14ac:dyDescent="0.25">
      <c r="B65" s="37">
        <v>42</v>
      </c>
      <c r="C65" s="40">
        <v>43354</v>
      </c>
      <c r="D65" s="43">
        <v>0.90255787037037039</v>
      </c>
      <c r="E65" s="37">
        <v>2458373.4235</v>
      </c>
      <c r="F65" s="37" t="s">
        <v>195</v>
      </c>
      <c r="G65" s="37" t="s">
        <v>196</v>
      </c>
      <c r="H65" s="37" t="s">
        <v>197</v>
      </c>
      <c r="I65" s="37">
        <v>504</v>
      </c>
      <c r="J65" s="37">
        <v>3700</v>
      </c>
      <c r="K65" s="37">
        <v>7570</v>
      </c>
      <c r="L65" s="46"/>
      <c r="M65" s="51"/>
      <c r="N65" s="47"/>
      <c r="O65" s="53"/>
      <c r="P65" s="56"/>
      <c r="Q65" s="49"/>
      <c r="R65" t="s">
        <v>255</v>
      </c>
      <c r="V65" s="10">
        <f t="shared" si="1"/>
        <v>2458373.4235</v>
      </c>
    </row>
    <row r="66" spans="2:23" x14ac:dyDescent="0.25">
      <c r="B66" s="39">
        <v>43</v>
      </c>
      <c r="C66" s="41">
        <v>43355</v>
      </c>
      <c r="D66" s="44">
        <v>0.83262731481481478</v>
      </c>
      <c r="E66" s="39">
        <v>2458374.3036000002</v>
      </c>
      <c r="F66" s="39" t="s">
        <v>192</v>
      </c>
      <c r="G66" s="39" t="s">
        <v>193</v>
      </c>
      <c r="H66" s="39" t="s">
        <v>213</v>
      </c>
      <c r="I66" s="39">
        <v>2691</v>
      </c>
      <c r="J66" s="39">
        <v>6493</v>
      </c>
      <c r="K66" s="39">
        <v>7199</v>
      </c>
      <c r="L66" s="18"/>
      <c r="M66" s="24"/>
      <c r="N66" s="24"/>
      <c r="O66" s="24"/>
      <c r="P66" s="22"/>
      <c r="Q66" s="23"/>
      <c r="R66" t="s">
        <v>256</v>
      </c>
      <c r="V66" s="10">
        <f t="shared" si="1"/>
        <v>2458374.3036000002</v>
      </c>
    </row>
    <row r="67" spans="2:23" x14ac:dyDescent="0.25">
      <c r="B67" s="37">
        <v>44</v>
      </c>
      <c r="C67" s="40">
        <v>43358</v>
      </c>
      <c r="D67" s="43">
        <v>0.91090277777777784</v>
      </c>
      <c r="E67" s="37">
        <v>2458377.4319000002</v>
      </c>
      <c r="F67" s="37" t="s">
        <v>195</v>
      </c>
      <c r="G67" s="37" t="s">
        <v>196</v>
      </c>
      <c r="H67" s="37" t="s">
        <v>197</v>
      </c>
      <c r="I67" s="37">
        <v>505</v>
      </c>
      <c r="J67" s="37">
        <v>3700</v>
      </c>
      <c r="K67" s="37">
        <v>7570</v>
      </c>
      <c r="L67" s="27"/>
      <c r="M67" s="52"/>
      <c r="N67" s="28"/>
      <c r="O67" s="54"/>
      <c r="P67" s="48"/>
      <c r="Q67" s="57"/>
      <c r="R67" t="s">
        <v>257</v>
      </c>
      <c r="V67" s="10">
        <f t="shared" si="1"/>
        <v>2458377.4319000002</v>
      </c>
    </row>
    <row r="68" spans="2:23" x14ac:dyDescent="0.25">
      <c r="B68" s="39">
        <v>45</v>
      </c>
      <c r="C68" s="41">
        <v>43359</v>
      </c>
      <c r="D68" s="44">
        <v>0.85021990740740738</v>
      </c>
      <c r="E68" s="39">
        <v>2458378.3053000001</v>
      </c>
      <c r="F68" s="39" t="s">
        <v>192</v>
      </c>
      <c r="G68" s="39" t="s">
        <v>193</v>
      </c>
      <c r="H68" s="39" t="s">
        <v>213</v>
      </c>
      <c r="I68" s="39">
        <v>2718</v>
      </c>
      <c r="J68" s="39">
        <v>6471</v>
      </c>
      <c r="K68" s="39">
        <v>7175</v>
      </c>
      <c r="L68" s="29"/>
      <c r="M68" s="30"/>
      <c r="N68" s="30"/>
      <c r="O68" s="30"/>
      <c r="P68" s="22"/>
      <c r="Q68" s="31"/>
      <c r="R68" t="s">
        <v>258</v>
      </c>
      <c r="V68" s="10">
        <f t="shared" si="1"/>
        <v>2458378.3053000001</v>
      </c>
    </row>
    <row r="69" spans="2:23" x14ac:dyDescent="0.25">
      <c r="B69" s="39">
        <v>46</v>
      </c>
      <c r="C69" s="41">
        <v>43362</v>
      </c>
      <c r="D69" s="44">
        <v>0.82677083333333334</v>
      </c>
      <c r="E69" s="39">
        <v>2458381.3588</v>
      </c>
      <c r="F69" s="39" t="s">
        <v>184</v>
      </c>
      <c r="G69" s="39" t="s">
        <v>185</v>
      </c>
      <c r="H69" s="39" t="s">
        <v>214</v>
      </c>
      <c r="I69" s="39">
        <v>600</v>
      </c>
      <c r="J69" s="39">
        <v>3359</v>
      </c>
      <c r="K69" s="39">
        <v>5802</v>
      </c>
      <c r="L69" s="50"/>
      <c r="M69" s="52"/>
      <c r="N69" s="28"/>
      <c r="O69" s="55"/>
      <c r="P69" s="55"/>
      <c r="Q69" s="57"/>
      <c r="R69" t="s">
        <v>259</v>
      </c>
      <c r="V69" s="10">
        <f t="shared" si="1"/>
        <v>2458381.3588</v>
      </c>
    </row>
    <row r="70" spans="2:23" x14ac:dyDescent="0.25">
      <c r="B70" s="39">
        <v>47</v>
      </c>
      <c r="C70" s="41">
        <v>43365</v>
      </c>
      <c r="D70" s="44">
        <v>0.80844907407407407</v>
      </c>
      <c r="E70" s="39">
        <v>2458384.3330999999</v>
      </c>
      <c r="F70" s="39" t="s">
        <v>184</v>
      </c>
      <c r="G70" s="39" t="s">
        <v>185</v>
      </c>
      <c r="H70" s="39" t="s">
        <v>214</v>
      </c>
      <c r="I70" s="39">
        <v>1353</v>
      </c>
      <c r="J70" s="39">
        <v>5801</v>
      </c>
      <c r="K70" s="39">
        <v>8786</v>
      </c>
      <c r="L70" s="45"/>
      <c r="M70" s="45"/>
      <c r="N70" s="45"/>
      <c r="O70" s="35"/>
      <c r="P70" s="36"/>
      <c r="Q70" s="38"/>
      <c r="R70" t="s">
        <v>260</v>
      </c>
      <c r="V70" s="10">
        <f t="shared" si="1"/>
        <v>2458384.3330999999</v>
      </c>
    </row>
    <row r="71" spans="2:23" x14ac:dyDescent="0.25">
      <c r="B71" s="37">
        <v>48</v>
      </c>
      <c r="C71" s="40">
        <v>43368</v>
      </c>
      <c r="D71" s="43">
        <v>0.91182870370370372</v>
      </c>
      <c r="E71" s="37">
        <v>2458387.4257999999</v>
      </c>
      <c r="F71" s="37" t="s">
        <v>195</v>
      </c>
      <c r="G71" s="37" t="s">
        <v>196</v>
      </c>
      <c r="H71" s="37" t="s">
        <v>197</v>
      </c>
      <c r="I71" s="37">
        <v>509</v>
      </c>
      <c r="J71" s="37">
        <v>3700</v>
      </c>
      <c r="K71" s="37">
        <v>7570</v>
      </c>
      <c r="L71" s="18"/>
      <c r="M71" s="19"/>
      <c r="N71" s="20"/>
      <c r="O71" s="21"/>
      <c r="P71" s="22"/>
      <c r="Q71" s="23"/>
      <c r="R71" t="s">
        <v>261</v>
      </c>
      <c r="V71" s="10">
        <f t="shared" si="1"/>
        <v>2458387.4257999999</v>
      </c>
    </row>
    <row r="72" spans="2:23" x14ac:dyDescent="0.25">
      <c r="B72" s="39">
        <v>49</v>
      </c>
      <c r="C72" s="41">
        <v>43369</v>
      </c>
      <c r="D72" s="44">
        <v>0.82935185185185178</v>
      </c>
      <c r="E72" s="39">
        <v>2458388.3612000002</v>
      </c>
      <c r="F72" s="39" t="s">
        <v>201</v>
      </c>
      <c r="G72" s="39" t="s">
        <v>202</v>
      </c>
      <c r="H72" s="39" t="s">
        <v>203</v>
      </c>
      <c r="I72" s="39">
        <v>966</v>
      </c>
      <c r="J72" s="39">
        <v>3900</v>
      </c>
      <c r="K72" s="39">
        <v>7380</v>
      </c>
      <c r="L72" s="18"/>
      <c r="M72" s="19"/>
      <c r="N72" s="20"/>
      <c r="O72" s="21"/>
      <c r="P72" s="22"/>
      <c r="Q72" s="23"/>
      <c r="R72" t="s">
        <v>235</v>
      </c>
      <c r="V72" s="10">
        <f t="shared" si="1"/>
        <v>2458388.3612000002</v>
      </c>
    </row>
    <row r="73" spans="2:23" x14ac:dyDescent="0.25">
      <c r="B73" s="37">
        <v>50</v>
      </c>
      <c r="C73" s="40">
        <v>43371</v>
      </c>
      <c r="D73" s="43">
        <v>0.91089120370370369</v>
      </c>
      <c r="E73" s="37">
        <v>2458390.4230999998</v>
      </c>
      <c r="F73" s="37" t="s">
        <v>195</v>
      </c>
      <c r="G73" s="37" t="s">
        <v>196</v>
      </c>
      <c r="H73" s="37" t="s">
        <v>197</v>
      </c>
      <c r="I73" s="37">
        <v>507</v>
      </c>
      <c r="J73" s="37">
        <v>3700</v>
      </c>
      <c r="K73" s="37">
        <v>7570</v>
      </c>
      <c r="L73" s="32"/>
      <c r="M73" s="33"/>
      <c r="N73" s="34"/>
      <c r="O73" s="53"/>
      <c r="P73" s="36"/>
      <c r="Q73" s="32"/>
      <c r="R73" t="s">
        <v>263</v>
      </c>
      <c r="V73" s="10">
        <f t="shared" si="1"/>
        <v>2458390.4230999998</v>
      </c>
    </row>
    <row r="74" spans="2:23" x14ac:dyDescent="0.25">
      <c r="B74" s="39">
        <v>51</v>
      </c>
      <c r="C74" s="41">
        <v>43372</v>
      </c>
      <c r="D74" s="44">
        <v>0.88486111111111121</v>
      </c>
      <c r="E74" s="39">
        <v>2458391.3629999999</v>
      </c>
      <c r="F74" s="39" t="s">
        <v>192</v>
      </c>
      <c r="G74" s="39" t="s">
        <v>193</v>
      </c>
      <c r="H74" s="39" t="s">
        <v>213</v>
      </c>
      <c r="I74" s="39">
        <v>2220</v>
      </c>
      <c r="J74" s="39">
        <v>5497</v>
      </c>
      <c r="K74" s="39">
        <v>6209</v>
      </c>
      <c r="L74" s="29"/>
      <c r="M74" s="30"/>
      <c r="N74" s="30"/>
      <c r="O74" s="21"/>
      <c r="P74" s="30"/>
      <c r="Q74" s="31"/>
      <c r="R74" t="s">
        <v>264</v>
      </c>
      <c r="V74" s="10">
        <f t="shared" si="1"/>
        <v>2458391.3629999999</v>
      </c>
    </row>
    <row r="75" spans="2:23" x14ac:dyDescent="0.25">
      <c r="B75" s="39">
        <v>52</v>
      </c>
      <c r="C75" s="41">
        <v>43373</v>
      </c>
      <c r="D75" s="44">
        <v>0.87283564814814818</v>
      </c>
      <c r="E75" s="39">
        <v>2458392.3437999999</v>
      </c>
      <c r="F75" s="39" t="s">
        <v>192</v>
      </c>
      <c r="G75" s="39" t="s">
        <v>193</v>
      </c>
      <c r="H75" s="39" t="s">
        <v>213</v>
      </c>
      <c r="I75" s="39">
        <v>2655</v>
      </c>
      <c r="J75" s="39">
        <v>6478</v>
      </c>
      <c r="K75" s="39">
        <v>7181</v>
      </c>
      <c r="L75" s="45"/>
      <c r="M75" s="45"/>
      <c r="N75" s="45"/>
      <c r="O75" s="45"/>
      <c r="P75" s="22"/>
      <c r="Q75" s="45"/>
      <c r="R75" t="s">
        <v>265</v>
      </c>
      <c r="V75" s="10">
        <f t="shared" si="1"/>
        <v>2458392.3437999999</v>
      </c>
    </row>
    <row r="76" spans="2:23" x14ac:dyDescent="0.25">
      <c r="B76" s="10">
        <f>+'[2]TCPJ19544251+1722281'!B65</f>
        <v>53</v>
      </c>
      <c r="C76" s="9">
        <f>+'[2]TCPJ19544251+1722281'!C65</f>
        <v>43377</v>
      </c>
      <c r="D76" s="10">
        <f>+'[2]TCPJ19544251+1722281'!D65</f>
        <v>0.86547453703703703</v>
      </c>
      <c r="E76" s="10">
        <f>+'[2]TCPJ19544251+1722281'!E65</f>
        <v>2458396.3961999998</v>
      </c>
      <c r="F76" s="10" t="str">
        <f>+'[2]TCPJ19544251+1722281'!F65</f>
        <v>GMYB</v>
      </c>
      <c r="G76" s="10" t="str">
        <f>+'[2]TCPJ19544251+1722281'!G65</f>
        <v>OSM-FR</v>
      </c>
      <c r="H76" s="10" t="str">
        <f>+'[2]TCPJ19544251+1722281'!H65</f>
        <v>SC11+Lisa+QSI583wsg</v>
      </c>
      <c r="I76" s="10">
        <f>+'[2]TCPJ19544251+1722281'!I65</f>
        <v>1116</v>
      </c>
      <c r="J76" s="10">
        <f>+'[2]TCPJ19544251+1722281'!$P$69</f>
        <v>4036</v>
      </c>
      <c r="K76" s="10">
        <f>+'[2]TCPJ19544251+1722281'!$P$69</f>
        <v>4036</v>
      </c>
      <c r="L76" s="10">
        <f>+'[2]TCPJ19544251+1722281'!$P$69</f>
        <v>4036</v>
      </c>
      <c r="M76" s="10">
        <f>+'[2]TCPJ19544251+1722281'!M65</f>
        <v>0</v>
      </c>
      <c r="N76" s="10">
        <f>+'[2]TCPJ19544251+1722281'!N65</f>
        <v>0</v>
      </c>
      <c r="O76" s="10">
        <f>+'[2]TCPJ19544251+1722281'!O65</f>
        <v>0</v>
      </c>
      <c r="P76" s="10">
        <f>+'[2]TCPJ19544251+1722281'!P65</f>
        <v>3602</v>
      </c>
      <c r="Q76" s="10">
        <f>+'[2]TCPJ19544251+1722281'!Q65</f>
        <v>7400</v>
      </c>
      <c r="R76" s="10">
        <f>+'[2]TCPJ19544251+1722281'!R65</f>
        <v>0</v>
      </c>
      <c r="S76" s="10">
        <f>+'[2]TCPJ19544251+1722281'!S65</f>
        <v>0</v>
      </c>
      <c r="T76" s="10">
        <f>+'[2]TCPJ19544251+1722281'!T65</f>
        <v>0</v>
      </c>
      <c r="U76" s="10">
        <f>+'[2]TCPJ19544251+1722281'!U65</f>
        <v>0</v>
      </c>
      <c r="V76" s="10">
        <f t="shared" ref="V76:V79" si="2">+E76</f>
        <v>2458396.3961999998</v>
      </c>
      <c r="W76">
        <v>10.5</v>
      </c>
    </row>
    <row r="77" spans="2:23" x14ac:dyDescent="0.25">
      <c r="B77" s="10">
        <f>+'[2]TCPJ19544251+1722281'!B66</f>
        <v>54</v>
      </c>
      <c r="C77" s="9">
        <f>+'[2]TCPJ19544251+1722281'!C66</f>
        <v>43378</v>
      </c>
      <c r="D77" s="10">
        <f>+'[2]TCPJ19544251+1722281'!D66</f>
        <v>2.0462962962962964E-2</v>
      </c>
      <c r="E77" s="10">
        <f>+'[2]TCPJ19544251+1722281'!E66</f>
        <v>2458396.5484000002</v>
      </c>
      <c r="F77" s="10" t="str">
        <f>+'[2]TCPJ19544251+1722281'!F66</f>
        <v>GKA</v>
      </c>
      <c r="G77" s="10" t="str">
        <f>+'[2]TCPJ19544251+1722281'!G66</f>
        <v>MAN-US</v>
      </c>
      <c r="H77" s="10" t="str">
        <f>+'[2]TCPJ19544251+1722281'!H66</f>
        <v>SC10+Alpy600+Atik314L</v>
      </c>
      <c r="I77" s="10">
        <f>+'[2]TCPJ19544251+1722281'!I66</f>
        <v>555</v>
      </c>
      <c r="J77" s="10">
        <f>+'[2]TCPJ19544251+1722281'!$P$69</f>
        <v>4036</v>
      </c>
      <c r="K77" s="10">
        <f>+'[2]TCPJ19544251+1722281'!$P$69</f>
        <v>4036</v>
      </c>
      <c r="L77" s="10">
        <f>+'[2]TCPJ19544251+1722281'!$P$69</f>
        <v>4036</v>
      </c>
      <c r="M77" s="10">
        <f>+'[2]TCPJ19544251+1722281'!M66</f>
        <v>0</v>
      </c>
      <c r="N77" s="10">
        <f>+'[2]TCPJ19544251+1722281'!N66</f>
        <v>0</v>
      </c>
      <c r="O77" s="10">
        <f>+'[2]TCPJ19544251+1722281'!O66</f>
        <v>0</v>
      </c>
      <c r="P77" s="10">
        <f>+'[2]TCPJ19544251+1722281'!P66</f>
        <v>3696</v>
      </c>
      <c r="Q77" s="10">
        <f>+'[2]TCPJ19544251+1722281'!Q66</f>
        <v>7383</v>
      </c>
      <c r="R77" s="10">
        <f>+'[2]TCPJ19544251+1722281'!R66</f>
        <v>0</v>
      </c>
      <c r="S77" s="10">
        <f>+'[2]TCPJ19544251+1722281'!S66</f>
        <v>0</v>
      </c>
      <c r="T77" s="10">
        <f>+'[2]TCPJ19544251+1722281'!T66</f>
        <v>0</v>
      </c>
      <c r="U77" s="10">
        <f>+'[2]TCPJ19544251+1722281'!U66</f>
        <v>0</v>
      </c>
      <c r="V77" s="10">
        <f t="shared" si="2"/>
        <v>2458396.5484000002</v>
      </c>
      <c r="W77">
        <v>10.5</v>
      </c>
    </row>
    <row r="78" spans="2:23" x14ac:dyDescent="0.25">
      <c r="B78" s="10">
        <f>+'[2]TCPJ19544251+1722281'!B67</f>
        <v>55</v>
      </c>
      <c r="C78" s="9">
        <f>+'[2]TCPJ19544251+1722281'!C67</f>
        <v>43385</v>
      </c>
      <c r="D78" s="10">
        <f>+'[2]TCPJ19544251+1722281'!D67</f>
        <v>0.72693287037037047</v>
      </c>
      <c r="E78" s="10">
        <f>+'[2]TCPJ19544251+1722281'!E67</f>
        <v>2458404.2607</v>
      </c>
      <c r="F78" s="10" t="str">
        <f>+'[2]TCPJ19544251+1722281'!F67</f>
        <v>BER</v>
      </c>
      <c r="G78" s="10" t="str">
        <f>+'[2]TCPJ19544251+1722281'!G67</f>
        <v>BVO-IT</v>
      </c>
      <c r="H78" s="10" t="str">
        <f>+'[2]TCPJ19544251+1722281'!H67</f>
        <v>LHIRES3600C9SXVR-H694</v>
      </c>
      <c r="I78" s="10">
        <f>+'[2]TCPJ19544251+1722281'!I67</f>
        <v>1919</v>
      </c>
      <c r="J78" s="10">
        <f>+'[2]TCPJ19544251+1722281'!$P$69</f>
        <v>4036</v>
      </c>
      <c r="K78" s="10">
        <f>+'[2]TCPJ19544251+1722281'!$P$69</f>
        <v>4036</v>
      </c>
      <c r="L78" s="10">
        <f>+'[2]TCPJ19544251+1722281'!$P$69</f>
        <v>4036</v>
      </c>
      <c r="M78" s="10">
        <f>+'[2]TCPJ19544251+1722281'!M67</f>
        <v>0</v>
      </c>
      <c r="N78" s="10">
        <f>+'[2]TCPJ19544251+1722281'!N67</f>
        <v>0</v>
      </c>
      <c r="O78" s="10">
        <f>+'[2]TCPJ19544251+1722281'!O67</f>
        <v>0</v>
      </c>
      <c r="P78" s="10">
        <f>+'[2]TCPJ19544251+1722281'!P67</f>
        <v>4482</v>
      </c>
      <c r="Q78" s="10">
        <f>+'[2]TCPJ19544251+1722281'!Q67</f>
        <v>5503</v>
      </c>
      <c r="R78" s="10">
        <f>+'[2]TCPJ19544251+1722281'!R67</f>
        <v>0</v>
      </c>
      <c r="S78" s="10">
        <f>+'[2]TCPJ19544251+1722281'!S67</f>
        <v>0</v>
      </c>
      <c r="T78" s="10">
        <f>+'[2]TCPJ19544251+1722281'!T67</f>
        <v>0</v>
      </c>
      <c r="U78" s="10">
        <f>+'[2]TCPJ19544251+1722281'!U67</f>
        <v>0</v>
      </c>
      <c r="V78" s="10">
        <f t="shared" si="2"/>
        <v>2458404.2607</v>
      </c>
      <c r="W78">
        <v>10.5</v>
      </c>
    </row>
    <row r="79" spans="2:23" x14ac:dyDescent="0.25">
      <c r="B79" s="10">
        <f>+'[2]TCPJ19544251+1722281'!B68</f>
        <v>56</v>
      </c>
      <c r="C79" s="9">
        <f>+'[2]TCPJ19544251+1722281'!C68</f>
        <v>43385</v>
      </c>
      <c r="D79" s="10">
        <f>+'[2]TCPJ19544251+1722281'!D68</f>
        <v>0.75118055555555552</v>
      </c>
      <c r="E79" s="10">
        <f>+'[2]TCPJ19544251+1722281'!E68</f>
        <v>2458404.2906999998</v>
      </c>
      <c r="F79" s="10" t="str">
        <f>+'[2]TCPJ19544251+1722281'!F68</f>
        <v>SOL</v>
      </c>
      <c r="G79" s="10" t="str">
        <f>+'[2]TCPJ19544251+1722281'!G68</f>
        <v>AQL-IT</v>
      </c>
      <c r="H79" s="10" t="str">
        <f>+'[2]TCPJ19544251+1722281'!H68</f>
        <v>SC9+Spectro_JGF1+SbigST-8300</v>
      </c>
      <c r="I79" s="10">
        <f>+'[2]TCPJ19544251+1722281'!I68</f>
        <v>8422</v>
      </c>
      <c r="J79" s="10">
        <f>+'[2]TCPJ19544251+1722281'!$P$69</f>
        <v>4036</v>
      </c>
      <c r="K79" s="10">
        <f>+'[2]TCPJ19544251+1722281'!$P$69</f>
        <v>4036</v>
      </c>
      <c r="L79" s="10">
        <f>+'[2]TCPJ19544251+1722281'!$P$69</f>
        <v>4036</v>
      </c>
      <c r="M79" s="10">
        <f>+'[2]TCPJ19544251+1722281'!M68</f>
        <v>0</v>
      </c>
      <c r="N79" s="10">
        <f>+'[2]TCPJ19544251+1722281'!N68</f>
        <v>0</v>
      </c>
      <c r="O79" s="10">
        <f>+'[2]TCPJ19544251+1722281'!O68</f>
        <v>0</v>
      </c>
      <c r="P79" s="10">
        <f>+'[2]TCPJ19544251+1722281'!P68</f>
        <v>6387</v>
      </c>
      <c r="Q79" s="10">
        <f>+'[2]TCPJ19544251+1722281'!Q68</f>
        <v>6765</v>
      </c>
      <c r="R79" s="10">
        <f>+'[2]TCPJ19544251+1722281'!R68</f>
        <v>0</v>
      </c>
      <c r="S79" s="10">
        <f>+'[2]TCPJ19544251+1722281'!S68</f>
        <v>0</v>
      </c>
      <c r="T79" s="10">
        <f>+'[2]TCPJ19544251+1722281'!T68</f>
        <v>0</v>
      </c>
      <c r="U79" s="10">
        <f>+'[2]TCPJ19544251+1722281'!U68</f>
        <v>0</v>
      </c>
      <c r="V79" s="10">
        <f t="shared" si="2"/>
        <v>2458404.2906999998</v>
      </c>
      <c r="W79">
        <v>10.5</v>
      </c>
    </row>
    <row r="80" spans="2:23" x14ac:dyDescent="0.25">
      <c r="B80" s="10">
        <f>+'[2]TCPJ19544251+1722281'!B69</f>
        <v>57</v>
      </c>
      <c r="C80" s="9">
        <f>+'[2]TCPJ19544251+1722281'!C69</f>
        <v>43391</v>
      </c>
      <c r="D80" s="10">
        <f>+'[2]TCPJ19544251+1722281'!D69</f>
        <v>0.79706018518518518</v>
      </c>
      <c r="E80" s="10">
        <f>+'[2]TCPJ19544251+1722281'!E69</f>
        <v>2458410.3327000001</v>
      </c>
      <c r="F80" s="10" t="str">
        <f>+'[2]TCPJ19544251+1722281'!F69</f>
        <v>SCH</v>
      </c>
      <c r="G80" s="10" t="str">
        <f>+'[2]TCPJ19544251+1722281'!G69</f>
        <v>DUR-FR</v>
      </c>
      <c r="H80" s="10" t="str">
        <f>+'[2]TCPJ19544251+1722281'!H69</f>
        <v>T500+eShel+Atik460EX</v>
      </c>
      <c r="I80" s="10">
        <f>+'[2]TCPJ19544251+1722281'!I69</f>
        <v>11000</v>
      </c>
      <c r="J80" s="10">
        <f>+'[2]TCPJ19544251+1722281'!$P$69</f>
        <v>4036</v>
      </c>
      <c r="K80" s="10">
        <f>+'[2]TCPJ19544251+1722281'!$P$69</f>
        <v>4036</v>
      </c>
      <c r="L80" s="10">
        <f>+'[2]TCPJ19544251+1722281'!$P$69</f>
        <v>4036</v>
      </c>
      <c r="M80" s="10">
        <f>+'[2]TCPJ19544251+1722281'!M69</f>
        <v>0</v>
      </c>
      <c r="N80" s="10">
        <f>+'[2]TCPJ19544251+1722281'!N69</f>
        <v>0</v>
      </c>
      <c r="O80" s="10">
        <f>+'[2]TCPJ19544251+1722281'!O69</f>
        <v>0</v>
      </c>
      <c r="P80" s="10">
        <f>+'[2]TCPJ19544251+1722281'!P69</f>
        <v>4036</v>
      </c>
      <c r="Q80" s="10">
        <f>+'[2]TCPJ19544251+1722281'!Q69</f>
        <v>7592</v>
      </c>
      <c r="R80" s="10">
        <f>+'[2]TCPJ19544251+1722281'!R69</f>
        <v>0</v>
      </c>
      <c r="S80" s="10">
        <f>+'[2]TCPJ19544251+1722281'!S69</f>
        <v>0</v>
      </c>
      <c r="T80" s="10">
        <f>+'[2]TCPJ19544251+1722281'!T69</f>
        <v>0</v>
      </c>
      <c r="U80" s="10">
        <f>+'[2]TCPJ19544251+1722281'!U69</f>
        <v>0</v>
      </c>
      <c r="V80" s="10">
        <f>+E80</f>
        <v>2458410.3327000001</v>
      </c>
      <c r="W80">
        <v>10.5</v>
      </c>
    </row>
    <row r="81" spans="2:23" x14ac:dyDescent="0.25">
      <c r="B81" s="10">
        <f>+'[2]TCPJ19544251+1722281'!B70</f>
        <v>58</v>
      </c>
      <c r="C81" s="9">
        <f>+'[2]TCPJ19544251+1722281'!C70</f>
        <v>43392</v>
      </c>
      <c r="D81" s="10">
        <f>+'[2]TCPJ19544251+1722281'!D70</f>
        <v>0.73474537037037047</v>
      </c>
      <c r="E81" s="10">
        <f>+'[2]TCPJ19544251+1722281'!E70</f>
        <v>2458411.2684999998</v>
      </c>
      <c r="F81" s="10" t="str">
        <f>+'[2]TCPJ19544251+1722281'!F70</f>
        <v>BER</v>
      </c>
      <c r="G81" s="10" t="str">
        <f>+'[2]TCPJ19544251+1722281'!G70</f>
        <v>BVO-IT</v>
      </c>
      <c r="H81" s="10" t="str">
        <f>+'[2]TCPJ19544251+1722281'!H70</f>
        <v>LHIRES31200C9SXVR-H694</v>
      </c>
      <c r="I81" s="10">
        <f>+'[2]TCPJ19544251+1722281'!I70</f>
        <v>5307</v>
      </c>
      <c r="J81" s="10">
        <f>+'[2]TCPJ19544251+1722281'!$P$69</f>
        <v>4036</v>
      </c>
      <c r="K81" s="10">
        <f>+'[2]TCPJ19544251+1722281'!$P$69</f>
        <v>4036</v>
      </c>
      <c r="L81" s="10">
        <f>+'[2]TCPJ19544251+1722281'!$P$69</f>
        <v>4036</v>
      </c>
      <c r="M81" s="10">
        <f>+'[2]TCPJ19544251+1722281'!M70</f>
        <v>0</v>
      </c>
      <c r="N81" s="10">
        <f>+'[2]TCPJ19544251+1722281'!N70</f>
        <v>0</v>
      </c>
      <c r="O81" s="10">
        <f>+'[2]TCPJ19544251+1722281'!O70</f>
        <v>0</v>
      </c>
      <c r="P81" s="10">
        <f>+'[2]TCPJ19544251+1722281'!P70</f>
        <v>6388</v>
      </c>
      <c r="Q81" s="10">
        <f>+'[2]TCPJ19544251+1722281'!Q70</f>
        <v>6743</v>
      </c>
      <c r="R81" s="10">
        <f>+'[2]TCPJ19544251+1722281'!R70</f>
        <v>0</v>
      </c>
      <c r="S81" s="10">
        <f>+'[2]TCPJ19544251+1722281'!S70</f>
        <v>0</v>
      </c>
      <c r="T81" s="10">
        <f>+'[2]TCPJ19544251+1722281'!T70</f>
        <v>0</v>
      </c>
      <c r="U81" s="10">
        <f>+'[2]TCPJ19544251+1722281'!U70</f>
        <v>0</v>
      </c>
      <c r="V81" s="10">
        <f t="shared" ref="V81:V82" si="3">+E81</f>
        <v>2458411.2684999998</v>
      </c>
      <c r="W81">
        <v>10.5</v>
      </c>
    </row>
    <row r="82" spans="2:23" x14ac:dyDescent="0.25">
      <c r="B82" s="10">
        <f>+'[2]TCPJ19544251+1722281'!B71</f>
        <v>59</v>
      </c>
      <c r="C82" s="9">
        <f>+'[2]TCPJ19544251+1722281'!C71</f>
        <v>43404</v>
      </c>
      <c r="D82" s="10">
        <f>+'[2]TCPJ19544251+1722281'!D71</f>
        <v>0.82326388888888891</v>
      </c>
      <c r="E82" s="10">
        <f>+'[2]TCPJ19544251+1722281'!E71</f>
        <v>2458423.3091000002</v>
      </c>
      <c r="F82" s="10" t="str">
        <f>+'[2]TCPJ19544251+1722281'!F71</f>
        <v>PSO</v>
      </c>
      <c r="G82" s="10" t="str">
        <f>+'[2]TCPJ19544251+1722281'!G71</f>
        <v>TAT-HU</v>
      </c>
      <c r="H82" s="10" t="str">
        <f>+'[2]TCPJ19544251+1722281'!H71</f>
        <v>T300+LhiresIII_600_35+Atik428esm</v>
      </c>
      <c r="I82" s="10">
        <f>+'[2]TCPJ19544251+1722281'!I71</f>
        <v>2409</v>
      </c>
      <c r="J82" s="10">
        <f>+'[2]TCPJ19544251+1722281'!$P$69</f>
        <v>4036</v>
      </c>
      <c r="K82" s="10">
        <f>+'[2]TCPJ19544251+1722281'!$P$69</f>
        <v>4036</v>
      </c>
      <c r="L82" s="10">
        <f>+'[2]TCPJ19544251+1722281'!$P$69</f>
        <v>4036</v>
      </c>
      <c r="M82" s="10">
        <f>+'[2]TCPJ19544251+1722281'!M71</f>
        <v>0</v>
      </c>
      <c r="N82" s="10">
        <f>+'[2]TCPJ19544251+1722281'!N71</f>
        <v>0</v>
      </c>
      <c r="O82" s="10">
        <f>+'[2]TCPJ19544251+1722281'!O71</f>
        <v>0</v>
      </c>
      <c r="P82" s="10">
        <f>+'[2]TCPJ19544251+1722281'!P71</f>
        <v>8093</v>
      </c>
      <c r="Q82" s="10">
        <f>+'[2]TCPJ19544251+1722281'!Q71</f>
        <v>8791</v>
      </c>
      <c r="R82" s="10">
        <f>+'[2]TCPJ19544251+1722281'!R71</f>
        <v>0</v>
      </c>
      <c r="S82" s="10">
        <f>+'[2]TCPJ19544251+1722281'!S71</f>
        <v>0</v>
      </c>
      <c r="T82" s="10">
        <f>+'[2]TCPJ19544251+1722281'!T71</f>
        <v>0</v>
      </c>
      <c r="U82" s="10">
        <f>+'[2]TCPJ19544251+1722281'!U71</f>
        <v>0</v>
      </c>
      <c r="V82" s="10">
        <f t="shared" si="3"/>
        <v>2458423.3091000002</v>
      </c>
      <c r="W82">
        <v>10.5</v>
      </c>
    </row>
  </sheetData>
  <sortState xmlns:xlrd2="http://schemas.microsoft.com/office/spreadsheetml/2017/richdata2" ref="B24:V79">
    <sortCondition ref="E24:E79"/>
  </sortState>
  <mergeCells count="1">
    <mergeCell ref="L22:Q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F815"/>
  <sheetViews>
    <sheetView topLeftCell="A75" workbookViewId="0">
      <selection activeCell="F815" sqref="A91:F815"/>
    </sheetView>
  </sheetViews>
  <sheetFormatPr baseColWidth="10" defaultRowHeight="17.25" customHeight="1" x14ac:dyDescent="0.25"/>
  <sheetData>
    <row r="1" spans="1:6" ht="17.25" customHeight="1" x14ac:dyDescent="0.25">
      <c r="A1" s="1">
        <v>2458345.3998199999</v>
      </c>
      <c r="B1" s="1" t="s">
        <v>96</v>
      </c>
      <c r="C1" s="1">
        <v>10.026999999999999</v>
      </c>
      <c r="D1" s="1">
        <v>6.0000000000000001E-3</v>
      </c>
      <c r="E1" s="1" t="s">
        <v>296</v>
      </c>
      <c r="F1" s="1" t="s">
        <v>98</v>
      </c>
    </row>
    <row r="2" spans="1:6" ht="17.25" customHeight="1" x14ac:dyDescent="0.25">
      <c r="A2" s="1">
        <v>2458345.40142</v>
      </c>
      <c r="B2" s="1" t="s">
        <v>96</v>
      </c>
      <c r="C2" s="1">
        <v>10.061</v>
      </c>
      <c r="D2" s="1">
        <v>5.0000000000000001E-3</v>
      </c>
      <c r="E2" s="1" t="s">
        <v>296</v>
      </c>
      <c r="F2" s="1" t="s">
        <v>98</v>
      </c>
    </row>
    <row r="3" spans="1:6" ht="17.25" customHeight="1" x14ac:dyDescent="0.25">
      <c r="A3" s="1">
        <v>2458345.4046200002</v>
      </c>
      <c r="B3" s="1" t="s">
        <v>96</v>
      </c>
      <c r="C3" s="1">
        <v>10.083</v>
      </c>
      <c r="D3" s="1">
        <v>5.0000000000000001E-3</v>
      </c>
      <c r="E3" s="1" t="s">
        <v>296</v>
      </c>
      <c r="F3" s="1" t="s">
        <v>98</v>
      </c>
    </row>
    <row r="4" spans="1:6" ht="17.25" customHeight="1" x14ac:dyDescent="0.25">
      <c r="A4" s="1">
        <v>2458345.4062399999</v>
      </c>
      <c r="B4" s="1" t="s">
        <v>96</v>
      </c>
      <c r="C4" s="1">
        <v>10.092000000000001</v>
      </c>
      <c r="D4" s="1">
        <v>5.0000000000000001E-3</v>
      </c>
      <c r="E4" s="1" t="s">
        <v>296</v>
      </c>
      <c r="F4" s="1" t="s">
        <v>98</v>
      </c>
    </row>
    <row r="5" spans="1:6" ht="17.25" customHeight="1" x14ac:dyDescent="0.25">
      <c r="A5" s="1">
        <v>2458345.40784</v>
      </c>
      <c r="B5" s="1" t="s">
        <v>96</v>
      </c>
      <c r="C5" s="1">
        <v>10.066000000000001</v>
      </c>
      <c r="D5" s="1">
        <v>5.0000000000000001E-3</v>
      </c>
      <c r="E5" s="1" t="s">
        <v>296</v>
      </c>
      <c r="F5" s="1" t="s">
        <v>98</v>
      </c>
    </row>
    <row r="6" spans="1:6" ht="17.25" customHeight="1" x14ac:dyDescent="0.25">
      <c r="A6" s="1">
        <v>2458345.4094099998</v>
      </c>
      <c r="B6" s="1" t="s">
        <v>96</v>
      </c>
      <c r="C6" s="1">
        <v>10.051</v>
      </c>
      <c r="D6" s="1">
        <v>5.0000000000000001E-3</v>
      </c>
      <c r="E6" s="1" t="s">
        <v>296</v>
      </c>
      <c r="F6" s="1" t="s">
        <v>98</v>
      </c>
    </row>
    <row r="7" spans="1:6" ht="17.25" customHeight="1" x14ac:dyDescent="0.25">
      <c r="A7" s="1">
        <v>2458345.4109999998</v>
      </c>
      <c r="B7" s="1" t="s">
        <v>96</v>
      </c>
      <c r="C7" s="1">
        <v>10.057</v>
      </c>
      <c r="D7" s="1">
        <v>5.0000000000000001E-3</v>
      </c>
      <c r="E7" s="1" t="s">
        <v>296</v>
      </c>
      <c r="F7" s="1" t="s">
        <v>98</v>
      </c>
    </row>
    <row r="8" spans="1:6" ht="17.25" customHeight="1" x14ac:dyDescent="0.25">
      <c r="A8" s="1">
        <v>2458345.4125899998</v>
      </c>
      <c r="B8" s="1" t="s">
        <v>96</v>
      </c>
      <c r="C8" s="1">
        <v>10.032999999999999</v>
      </c>
      <c r="D8" s="1">
        <v>5.0000000000000001E-3</v>
      </c>
      <c r="E8" s="1" t="s">
        <v>296</v>
      </c>
      <c r="F8" s="1" t="s">
        <v>98</v>
      </c>
    </row>
    <row r="9" spans="1:6" ht="17.25" customHeight="1" x14ac:dyDescent="0.25">
      <c r="A9" s="1">
        <v>2458345.4141799998</v>
      </c>
      <c r="B9" s="1" t="s">
        <v>96</v>
      </c>
      <c r="C9" s="1">
        <v>10.037000000000001</v>
      </c>
      <c r="D9" s="1">
        <v>5.0000000000000001E-3</v>
      </c>
      <c r="E9" s="1" t="s">
        <v>296</v>
      </c>
      <c r="F9" s="1" t="s">
        <v>98</v>
      </c>
    </row>
    <row r="10" spans="1:6" ht="17.25" customHeight="1" x14ac:dyDescent="0.25">
      <c r="A10" s="1">
        <v>2458345.4157599998</v>
      </c>
      <c r="B10" s="1" t="s">
        <v>96</v>
      </c>
      <c r="C10" s="1">
        <v>10.061999999999999</v>
      </c>
      <c r="D10" s="1">
        <v>5.0000000000000001E-3</v>
      </c>
      <c r="E10" s="1" t="s">
        <v>296</v>
      </c>
      <c r="F10" s="1" t="s">
        <v>98</v>
      </c>
    </row>
    <row r="11" spans="1:6" ht="17.25" customHeight="1" x14ac:dyDescent="0.25">
      <c r="A11" s="1">
        <v>2458345.4173499998</v>
      </c>
      <c r="B11" s="1" t="s">
        <v>96</v>
      </c>
      <c r="C11" s="1">
        <v>10.077</v>
      </c>
      <c r="D11" s="1">
        <v>5.0000000000000001E-3</v>
      </c>
      <c r="E11" s="1" t="s">
        <v>296</v>
      </c>
      <c r="F11" s="1" t="s">
        <v>98</v>
      </c>
    </row>
    <row r="12" spans="1:6" ht="17.25" customHeight="1" x14ac:dyDescent="0.25">
      <c r="A12" s="1">
        <v>2458345.4189399998</v>
      </c>
      <c r="B12" s="1" t="s">
        <v>96</v>
      </c>
      <c r="C12" s="1">
        <v>10.102</v>
      </c>
      <c r="D12" s="1">
        <v>5.0000000000000001E-3</v>
      </c>
      <c r="E12" s="1" t="s">
        <v>296</v>
      </c>
      <c r="F12" s="1" t="s">
        <v>98</v>
      </c>
    </row>
    <row r="13" spans="1:6" ht="17.25" customHeight="1" x14ac:dyDescent="0.25">
      <c r="A13" s="1">
        <v>2458345.4205200002</v>
      </c>
      <c r="B13" s="1" t="s">
        <v>96</v>
      </c>
      <c r="C13" s="1">
        <v>10.092000000000001</v>
      </c>
      <c r="D13" s="1">
        <v>5.0000000000000001E-3</v>
      </c>
      <c r="E13" s="1" t="s">
        <v>296</v>
      </c>
      <c r="F13" s="1" t="s">
        <v>98</v>
      </c>
    </row>
    <row r="14" spans="1:6" ht="17.25" customHeight="1" x14ac:dyDescent="0.25">
      <c r="A14" s="1">
        <v>2458345.4221100002</v>
      </c>
      <c r="B14" s="1" t="s">
        <v>96</v>
      </c>
      <c r="C14" s="1">
        <v>10.097</v>
      </c>
      <c r="D14" s="1">
        <v>5.0000000000000001E-3</v>
      </c>
      <c r="E14" s="1" t="s">
        <v>296</v>
      </c>
      <c r="F14" s="1" t="s">
        <v>98</v>
      </c>
    </row>
    <row r="15" spans="1:6" ht="17.25" customHeight="1" x14ac:dyDescent="0.25">
      <c r="A15" s="1">
        <v>2458345.4237000002</v>
      </c>
      <c r="B15" s="1" t="s">
        <v>96</v>
      </c>
      <c r="C15" s="1">
        <v>10.087</v>
      </c>
      <c r="D15" s="1">
        <v>4.0000000000000001E-3</v>
      </c>
      <c r="E15" s="1" t="s">
        <v>296</v>
      </c>
      <c r="F15" s="1" t="s">
        <v>98</v>
      </c>
    </row>
    <row r="16" spans="1:6" ht="17.25" customHeight="1" x14ac:dyDescent="0.25">
      <c r="A16" s="1">
        <v>2458345.4252900002</v>
      </c>
      <c r="B16" s="1" t="s">
        <v>96</v>
      </c>
      <c r="C16" s="1">
        <v>10.103999999999999</v>
      </c>
      <c r="D16" s="1">
        <v>4.0000000000000001E-3</v>
      </c>
      <c r="E16" s="1" t="s">
        <v>296</v>
      </c>
      <c r="F16" s="1" t="s">
        <v>98</v>
      </c>
    </row>
    <row r="17" spans="1:6" ht="17.25" customHeight="1" x14ac:dyDescent="0.25">
      <c r="A17" s="1">
        <v>2458345.42686</v>
      </c>
      <c r="B17" s="1" t="s">
        <v>96</v>
      </c>
      <c r="C17" s="1">
        <v>10.097</v>
      </c>
      <c r="D17" s="1">
        <v>5.0000000000000001E-3</v>
      </c>
      <c r="E17" s="1" t="s">
        <v>296</v>
      </c>
      <c r="F17" s="1" t="s">
        <v>98</v>
      </c>
    </row>
    <row r="18" spans="1:6" ht="17.25" customHeight="1" x14ac:dyDescent="0.25">
      <c r="A18" s="1">
        <v>2458345.42845</v>
      </c>
      <c r="B18" s="1" t="s">
        <v>96</v>
      </c>
      <c r="C18" s="1">
        <v>10.098000000000001</v>
      </c>
      <c r="D18" s="1">
        <v>4.0000000000000001E-3</v>
      </c>
      <c r="E18" s="1" t="s">
        <v>296</v>
      </c>
      <c r="F18" s="1" t="s">
        <v>98</v>
      </c>
    </row>
    <row r="19" spans="1:6" ht="17.25" customHeight="1" x14ac:dyDescent="0.25">
      <c r="A19" s="1">
        <v>2458345.4300299999</v>
      </c>
      <c r="B19" s="1" t="s">
        <v>96</v>
      </c>
      <c r="C19" s="1">
        <v>10.092000000000001</v>
      </c>
      <c r="D19" s="1">
        <v>5.0000000000000001E-3</v>
      </c>
      <c r="E19" s="1" t="s">
        <v>296</v>
      </c>
      <c r="F19" s="1" t="s">
        <v>98</v>
      </c>
    </row>
    <row r="20" spans="1:6" ht="17.25" customHeight="1" x14ac:dyDescent="0.25">
      <c r="A20" s="1">
        <v>2458345.43163</v>
      </c>
      <c r="B20" s="1" t="s">
        <v>96</v>
      </c>
      <c r="C20" s="1">
        <v>10.079000000000001</v>
      </c>
      <c r="D20" s="1">
        <v>5.0000000000000001E-3</v>
      </c>
      <c r="E20" s="1" t="s">
        <v>296</v>
      </c>
      <c r="F20" s="1" t="s">
        <v>98</v>
      </c>
    </row>
    <row r="21" spans="1:6" ht="17.25" customHeight="1" x14ac:dyDescent="0.25">
      <c r="A21" s="1">
        <v>2458345.43322</v>
      </c>
      <c r="B21" s="1" t="s">
        <v>96</v>
      </c>
      <c r="C21" s="1">
        <v>10.087</v>
      </c>
      <c r="D21" s="1">
        <v>4.0000000000000001E-3</v>
      </c>
      <c r="E21" s="1" t="s">
        <v>296</v>
      </c>
      <c r="F21" s="1" t="s">
        <v>98</v>
      </c>
    </row>
    <row r="22" spans="1:6" ht="17.25" customHeight="1" x14ac:dyDescent="0.25">
      <c r="A22" s="1">
        <v>2458345.4347999999</v>
      </c>
      <c r="B22" s="1" t="s">
        <v>96</v>
      </c>
      <c r="C22" s="1">
        <v>10.09</v>
      </c>
      <c r="D22" s="1">
        <v>5.0000000000000001E-3</v>
      </c>
      <c r="E22" s="1" t="s">
        <v>296</v>
      </c>
      <c r="F22" s="1" t="s">
        <v>98</v>
      </c>
    </row>
    <row r="23" spans="1:6" ht="17.25" customHeight="1" x14ac:dyDescent="0.25">
      <c r="A23" s="1">
        <v>2458345.4363899999</v>
      </c>
      <c r="B23" s="1" t="s">
        <v>96</v>
      </c>
      <c r="C23" s="1">
        <v>10.087999999999999</v>
      </c>
      <c r="D23" s="1">
        <v>5.0000000000000001E-3</v>
      </c>
      <c r="E23" s="1" t="s">
        <v>296</v>
      </c>
      <c r="F23" s="1" t="s">
        <v>98</v>
      </c>
    </row>
    <row r="24" spans="1:6" ht="17.25" customHeight="1" x14ac:dyDescent="0.25">
      <c r="A24" s="1">
        <v>2458345.4379699999</v>
      </c>
      <c r="B24" s="1" t="s">
        <v>96</v>
      </c>
      <c r="C24" s="1">
        <v>10.092000000000001</v>
      </c>
      <c r="D24" s="1">
        <v>4.0000000000000001E-3</v>
      </c>
      <c r="E24" s="1" t="s">
        <v>296</v>
      </c>
      <c r="F24" s="1" t="s">
        <v>98</v>
      </c>
    </row>
    <row r="25" spans="1:6" ht="17.25" customHeight="1" x14ac:dyDescent="0.25">
      <c r="A25" s="1">
        <v>2458345.4395599999</v>
      </c>
      <c r="B25" s="1" t="s">
        <v>96</v>
      </c>
      <c r="C25" s="1">
        <v>10.079000000000001</v>
      </c>
      <c r="D25" s="1">
        <v>4.0000000000000001E-3</v>
      </c>
      <c r="E25" s="1" t="s">
        <v>296</v>
      </c>
      <c r="F25" s="1" t="s">
        <v>98</v>
      </c>
    </row>
    <row r="26" spans="1:6" ht="17.25" customHeight="1" x14ac:dyDescent="0.25">
      <c r="A26" s="1">
        <v>2458345.4411399998</v>
      </c>
      <c r="B26" s="1" t="s">
        <v>96</v>
      </c>
      <c r="C26" s="1">
        <v>10.090999999999999</v>
      </c>
      <c r="D26" s="1">
        <v>4.0000000000000001E-3</v>
      </c>
      <c r="E26" s="1" t="s">
        <v>296</v>
      </c>
      <c r="F26" s="1" t="s">
        <v>98</v>
      </c>
    </row>
    <row r="27" spans="1:6" ht="17.25" customHeight="1" x14ac:dyDescent="0.25">
      <c r="A27" s="1">
        <v>2458345.4427299998</v>
      </c>
      <c r="B27" s="1" t="s">
        <v>96</v>
      </c>
      <c r="C27" s="1">
        <v>10.076000000000001</v>
      </c>
      <c r="D27" s="1">
        <v>4.0000000000000001E-3</v>
      </c>
      <c r="E27" s="1" t="s">
        <v>296</v>
      </c>
      <c r="F27" s="1" t="s">
        <v>98</v>
      </c>
    </row>
    <row r="28" spans="1:6" ht="17.25" customHeight="1" x14ac:dyDescent="0.25">
      <c r="A28" s="1">
        <v>2458345.4443199998</v>
      </c>
      <c r="B28" s="1" t="s">
        <v>96</v>
      </c>
      <c r="C28" s="1">
        <v>10.077</v>
      </c>
      <c r="D28" s="1">
        <v>5.0000000000000001E-3</v>
      </c>
      <c r="E28" s="1" t="s">
        <v>296</v>
      </c>
      <c r="F28" s="1" t="s">
        <v>98</v>
      </c>
    </row>
    <row r="29" spans="1:6" ht="17.25" customHeight="1" x14ac:dyDescent="0.25">
      <c r="A29" s="1">
        <v>2458345.4459000002</v>
      </c>
      <c r="B29" s="1" t="s">
        <v>96</v>
      </c>
      <c r="C29" s="1">
        <v>10.079000000000001</v>
      </c>
      <c r="D29" s="1">
        <v>4.0000000000000001E-3</v>
      </c>
      <c r="E29" s="1" t="s">
        <v>296</v>
      </c>
      <c r="F29" s="1" t="s">
        <v>98</v>
      </c>
    </row>
    <row r="30" spans="1:6" ht="17.25" customHeight="1" x14ac:dyDescent="0.25">
      <c r="A30" s="1">
        <v>2458345.4474900002</v>
      </c>
      <c r="B30" s="1" t="s">
        <v>96</v>
      </c>
      <c r="C30" s="1">
        <v>10.074999999999999</v>
      </c>
      <c r="D30" s="1">
        <v>4.0000000000000001E-3</v>
      </c>
      <c r="E30" s="1" t="s">
        <v>296</v>
      </c>
      <c r="F30" s="1" t="s">
        <v>98</v>
      </c>
    </row>
    <row r="31" spans="1:6" ht="17.25" customHeight="1" x14ac:dyDescent="0.25">
      <c r="A31" s="1">
        <v>2458345.4490700001</v>
      </c>
      <c r="B31" s="1" t="s">
        <v>96</v>
      </c>
      <c r="C31" s="1">
        <v>10.073</v>
      </c>
      <c r="D31" s="1">
        <v>4.0000000000000001E-3</v>
      </c>
      <c r="E31" s="1" t="s">
        <v>296</v>
      </c>
      <c r="F31" s="1" t="s">
        <v>98</v>
      </c>
    </row>
    <row r="32" spans="1:6" ht="17.25" customHeight="1" x14ac:dyDescent="0.25">
      <c r="A32" s="1">
        <v>2458345.4506600001</v>
      </c>
      <c r="B32" s="1" t="s">
        <v>96</v>
      </c>
      <c r="C32" s="1">
        <v>10.074</v>
      </c>
      <c r="D32" s="1">
        <v>4.0000000000000001E-3</v>
      </c>
      <c r="E32" s="1" t="s">
        <v>296</v>
      </c>
      <c r="F32" s="1" t="s">
        <v>98</v>
      </c>
    </row>
    <row r="33" spans="1:6" ht="17.25" customHeight="1" x14ac:dyDescent="0.25">
      <c r="A33" s="1">
        <v>2458345.45224</v>
      </c>
      <c r="B33" s="1" t="s">
        <v>96</v>
      </c>
      <c r="C33" s="1">
        <v>10.074</v>
      </c>
      <c r="D33" s="1">
        <v>4.0000000000000001E-3</v>
      </c>
      <c r="E33" s="1" t="s">
        <v>296</v>
      </c>
      <c r="F33" s="1" t="s">
        <v>98</v>
      </c>
    </row>
    <row r="34" spans="1:6" ht="17.25" customHeight="1" x14ac:dyDescent="0.25">
      <c r="A34" s="1">
        <v>2458345.45383</v>
      </c>
      <c r="B34" s="1" t="s">
        <v>96</v>
      </c>
      <c r="C34" s="1">
        <v>10.068</v>
      </c>
      <c r="D34" s="1">
        <v>4.0000000000000001E-3</v>
      </c>
      <c r="E34" s="1" t="s">
        <v>296</v>
      </c>
      <c r="F34" s="1" t="s">
        <v>98</v>
      </c>
    </row>
    <row r="35" spans="1:6" ht="17.25" customHeight="1" x14ac:dyDescent="0.25">
      <c r="A35" s="1">
        <v>2458345.4554300001</v>
      </c>
      <c r="B35" s="1" t="s">
        <v>96</v>
      </c>
      <c r="C35" s="1">
        <v>10.077</v>
      </c>
      <c r="D35" s="1">
        <v>5.0000000000000001E-3</v>
      </c>
      <c r="E35" s="1" t="s">
        <v>296</v>
      </c>
      <c r="F35" s="1" t="s">
        <v>98</v>
      </c>
    </row>
    <row r="36" spans="1:6" ht="17.25" customHeight="1" x14ac:dyDescent="0.25">
      <c r="A36" s="1">
        <v>2458345.45701</v>
      </c>
      <c r="B36" s="1" t="s">
        <v>96</v>
      </c>
      <c r="C36" s="1">
        <v>10.023999999999999</v>
      </c>
      <c r="D36" s="1">
        <v>1.9E-2</v>
      </c>
      <c r="E36" s="1" t="s">
        <v>296</v>
      </c>
      <c r="F36" s="1" t="s">
        <v>98</v>
      </c>
    </row>
    <row r="37" spans="1:6" ht="17.25" customHeight="1" x14ac:dyDescent="0.25">
      <c r="A37" s="1">
        <v>2458345.4586</v>
      </c>
      <c r="B37" s="1" t="s">
        <v>96</v>
      </c>
      <c r="C37" s="1">
        <v>10.07</v>
      </c>
      <c r="D37" s="1">
        <v>4.0000000000000001E-3</v>
      </c>
      <c r="E37" s="1" t="s">
        <v>296</v>
      </c>
      <c r="F37" s="1" t="s">
        <v>98</v>
      </c>
    </row>
    <row r="38" spans="1:6" ht="17.25" customHeight="1" x14ac:dyDescent="0.25">
      <c r="A38" s="1">
        <v>2458345.4601799999</v>
      </c>
      <c r="B38" s="1" t="s">
        <v>96</v>
      </c>
      <c r="C38" s="1">
        <v>10.058999999999999</v>
      </c>
      <c r="D38" s="1">
        <v>5.0000000000000001E-3</v>
      </c>
      <c r="E38" s="1" t="s">
        <v>296</v>
      </c>
      <c r="F38" s="1" t="s">
        <v>98</v>
      </c>
    </row>
    <row r="39" spans="1:6" ht="17.25" customHeight="1" x14ac:dyDescent="0.25">
      <c r="A39" s="1">
        <v>2458345.4617699999</v>
      </c>
      <c r="B39" s="1" t="s">
        <v>96</v>
      </c>
      <c r="C39" s="1">
        <v>10.053000000000001</v>
      </c>
      <c r="D39" s="1">
        <v>5.0000000000000001E-3</v>
      </c>
      <c r="E39" s="1" t="s">
        <v>296</v>
      </c>
      <c r="F39" s="1" t="s">
        <v>98</v>
      </c>
    </row>
    <row r="40" spans="1:6" ht="17.25" customHeight="1" x14ac:dyDescent="0.25">
      <c r="A40" s="1">
        <v>2458345.4633499999</v>
      </c>
      <c r="B40" s="1" t="s">
        <v>96</v>
      </c>
      <c r="C40" s="1">
        <v>10.064</v>
      </c>
      <c r="D40" s="1">
        <v>5.0000000000000001E-3</v>
      </c>
      <c r="E40" s="1" t="s">
        <v>296</v>
      </c>
      <c r="F40" s="1" t="s">
        <v>98</v>
      </c>
    </row>
    <row r="41" spans="1:6" ht="17.25" customHeight="1" x14ac:dyDescent="0.25">
      <c r="A41" s="1">
        <v>2458345.4649399999</v>
      </c>
      <c r="B41" s="1" t="s">
        <v>96</v>
      </c>
      <c r="C41" s="1">
        <v>10.058</v>
      </c>
      <c r="D41" s="1">
        <v>5.0000000000000001E-3</v>
      </c>
      <c r="E41" s="1" t="s">
        <v>296</v>
      </c>
      <c r="F41" s="1" t="s">
        <v>98</v>
      </c>
    </row>
    <row r="42" spans="1:6" ht="17.25" customHeight="1" x14ac:dyDescent="0.25">
      <c r="A42" s="1">
        <v>2458345.4665299999</v>
      </c>
      <c r="B42" s="1" t="s">
        <v>96</v>
      </c>
      <c r="C42" s="1">
        <v>10.045999999999999</v>
      </c>
      <c r="D42" s="1">
        <v>5.0000000000000001E-3</v>
      </c>
      <c r="E42" s="1" t="s">
        <v>296</v>
      </c>
      <c r="F42" s="1" t="s">
        <v>98</v>
      </c>
    </row>
    <row r="43" spans="1:6" ht="17.25" customHeight="1" x14ac:dyDescent="0.25">
      <c r="A43" s="1">
        <v>2458345.4681099998</v>
      </c>
      <c r="B43" s="1" t="s">
        <v>96</v>
      </c>
      <c r="C43" s="1">
        <v>10.050000000000001</v>
      </c>
      <c r="D43" s="1">
        <v>5.0000000000000001E-3</v>
      </c>
      <c r="E43" s="1" t="s">
        <v>296</v>
      </c>
      <c r="F43" s="1" t="s">
        <v>98</v>
      </c>
    </row>
    <row r="44" spans="1:6" ht="17.25" customHeight="1" x14ac:dyDescent="0.25">
      <c r="A44" s="1">
        <v>2458345.4696999998</v>
      </c>
      <c r="B44" s="1" t="s">
        <v>96</v>
      </c>
      <c r="C44" s="1">
        <v>10.039999999999999</v>
      </c>
      <c r="D44" s="1">
        <v>5.0000000000000001E-3</v>
      </c>
      <c r="E44" s="1" t="s">
        <v>296</v>
      </c>
      <c r="F44" s="1" t="s">
        <v>98</v>
      </c>
    </row>
    <row r="45" spans="1:6" ht="17.25" customHeight="1" x14ac:dyDescent="0.25">
      <c r="A45" s="1">
        <v>2458345.4725600001</v>
      </c>
      <c r="B45" s="1" t="s">
        <v>96</v>
      </c>
      <c r="C45" s="1">
        <v>10.117000000000001</v>
      </c>
      <c r="D45" s="1">
        <v>5.0000000000000001E-3</v>
      </c>
      <c r="E45" s="1" t="s">
        <v>296</v>
      </c>
      <c r="F45" s="1" t="s">
        <v>98</v>
      </c>
    </row>
    <row r="46" spans="1:6" ht="17.25" customHeight="1" x14ac:dyDescent="0.25">
      <c r="A46" s="1">
        <v>2458345.4741400001</v>
      </c>
      <c r="B46" s="1" t="s">
        <v>96</v>
      </c>
      <c r="C46" s="1">
        <v>10.124000000000001</v>
      </c>
      <c r="D46" s="1">
        <v>4.0000000000000001E-3</v>
      </c>
      <c r="E46" s="1" t="s">
        <v>296</v>
      </c>
      <c r="F46" s="1" t="s">
        <v>98</v>
      </c>
    </row>
    <row r="47" spans="1:6" ht="17.25" customHeight="1" x14ac:dyDescent="0.25">
      <c r="A47" s="1">
        <v>2458345.4757400001</v>
      </c>
      <c r="B47" s="1" t="s">
        <v>96</v>
      </c>
      <c r="C47" s="1">
        <v>10.119</v>
      </c>
      <c r="D47" s="1">
        <v>5.0000000000000001E-3</v>
      </c>
      <c r="E47" s="1" t="s">
        <v>296</v>
      </c>
      <c r="F47" s="1" t="s">
        <v>98</v>
      </c>
    </row>
    <row r="48" spans="1:6" ht="17.25" customHeight="1" x14ac:dyDescent="0.25">
      <c r="A48" s="1">
        <v>2458345.4773200001</v>
      </c>
      <c r="B48" s="1" t="s">
        <v>96</v>
      </c>
      <c r="C48" s="1">
        <v>10.125</v>
      </c>
      <c r="D48" s="1">
        <v>5.0000000000000001E-3</v>
      </c>
      <c r="E48" s="1" t="s">
        <v>296</v>
      </c>
      <c r="F48" s="1" t="s">
        <v>98</v>
      </c>
    </row>
    <row r="49" spans="1:6" ht="17.25" customHeight="1" x14ac:dyDescent="0.25">
      <c r="A49" s="1">
        <v>2458345.4789100001</v>
      </c>
      <c r="B49" s="1" t="s">
        <v>96</v>
      </c>
      <c r="C49" s="1">
        <v>10.119</v>
      </c>
      <c r="D49" s="1">
        <v>4.0000000000000001E-3</v>
      </c>
      <c r="E49" s="1" t="s">
        <v>296</v>
      </c>
      <c r="F49" s="1" t="s">
        <v>98</v>
      </c>
    </row>
    <row r="50" spans="1:6" ht="17.25" customHeight="1" x14ac:dyDescent="0.25">
      <c r="A50" s="1">
        <v>2458345.4805000001</v>
      </c>
      <c r="B50" s="1" t="s">
        <v>96</v>
      </c>
      <c r="C50" s="1">
        <v>10.108000000000001</v>
      </c>
      <c r="D50" s="1">
        <v>4.0000000000000001E-3</v>
      </c>
      <c r="E50" s="1" t="s">
        <v>296</v>
      </c>
      <c r="F50" s="1" t="s">
        <v>98</v>
      </c>
    </row>
    <row r="51" spans="1:6" ht="17.25" customHeight="1" x14ac:dyDescent="0.25">
      <c r="A51" s="1">
        <v>2458345.48208</v>
      </c>
      <c r="B51" s="1" t="s">
        <v>96</v>
      </c>
      <c r="C51" s="1">
        <v>10.102</v>
      </c>
      <c r="D51" s="1">
        <v>4.0000000000000001E-3</v>
      </c>
      <c r="E51" s="1" t="s">
        <v>296</v>
      </c>
      <c r="F51" s="1" t="s">
        <v>98</v>
      </c>
    </row>
    <row r="52" spans="1:6" ht="17.25" customHeight="1" x14ac:dyDescent="0.25">
      <c r="A52" s="1">
        <v>2458345.48367</v>
      </c>
      <c r="B52" s="1" t="s">
        <v>96</v>
      </c>
      <c r="C52" s="1">
        <v>10.118</v>
      </c>
      <c r="D52" s="1">
        <v>4.0000000000000001E-3</v>
      </c>
      <c r="E52" s="1" t="s">
        <v>296</v>
      </c>
      <c r="F52" s="1" t="s">
        <v>98</v>
      </c>
    </row>
    <row r="53" spans="1:6" ht="17.25" customHeight="1" x14ac:dyDescent="0.25">
      <c r="A53" s="1">
        <v>2458345.4852499999</v>
      </c>
      <c r="B53" s="1" t="s">
        <v>96</v>
      </c>
      <c r="C53" s="1">
        <v>10.117000000000001</v>
      </c>
      <c r="D53" s="1">
        <v>4.0000000000000001E-3</v>
      </c>
      <c r="E53" s="1" t="s">
        <v>296</v>
      </c>
      <c r="F53" s="1" t="s">
        <v>98</v>
      </c>
    </row>
    <row r="54" spans="1:6" ht="17.25" customHeight="1" x14ac:dyDescent="0.25">
      <c r="A54" s="1">
        <v>2458345.4868399999</v>
      </c>
      <c r="B54" s="1" t="s">
        <v>96</v>
      </c>
      <c r="C54" s="1">
        <v>10.119</v>
      </c>
      <c r="D54" s="1">
        <v>4.0000000000000001E-3</v>
      </c>
      <c r="E54" s="1" t="s">
        <v>296</v>
      </c>
      <c r="F54" s="1" t="s">
        <v>98</v>
      </c>
    </row>
    <row r="55" spans="1:6" ht="17.25" customHeight="1" x14ac:dyDescent="0.25">
      <c r="A55" s="1">
        <v>2458345.4884199998</v>
      </c>
      <c r="B55" s="1" t="s">
        <v>96</v>
      </c>
      <c r="C55" s="1">
        <v>10.112</v>
      </c>
      <c r="D55" s="1">
        <v>4.0000000000000001E-3</v>
      </c>
      <c r="E55" s="1" t="s">
        <v>296</v>
      </c>
      <c r="F55" s="1" t="s">
        <v>98</v>
      </c>
    </row>
    <row r="56" spans="1:6" ht="17.25" customHeight="1" x14ac:dyDescent="0.25">
      <c r="A56" s="1">
        <v>2458345.4900099998</v>
      </c>
      <c r="B56" s="1" t="s">
        <v>96</v>
      </c>
      <c r="C56" s="1">
        <v>10.115</v>
      </c>
      <c r="D56" s="1">
        <v>4.0000000000000001E-3</v>
      </c>
      <c r="E56" s="1" t="s">
        <v>296</v>
      </c>
      <c r="F56" s="1" t="s">
        <v>98</v>
      </c>
    </row>
    <row r="57" spans="1:6" ht="17.25" customHeight="1" x14ac:dyDescent="0.25">
      <c r="A57" s="1">
        <v>2458345.4915900002</v>
      </c>
      <c r="B57" s="1" t="s">
        <v>96</v>
      </c>
      <c r="C57" s="1">
        <v>10.115</v>
      </c>
      <c r="D57" s="1">
        <v>4.0000000000000001E-3</v>
      </c>
      <c r="E57" s="1" t="s">
        <v>296</v>
      </c>
      <c r="F57" s="1" t="s">
        <v>98</v>
      </c>
    </row>
    <row r="58" spans="1:6" ht="17.25" customHeight="1" x14ac:dyDescent="0.25">
      <c r="A58" s="1">
        <v>2458345.4931800002</v>
      </c>
      <c r="B58" s="1" t="s">
        <v>96</v>
      </c>
      <c r="C58" s="1">
        <v>10.115</v>
      </c>
      <c r="D58" s="1">
        <v>4.0000000000000001E-3</v>
      </c>
      <c r="E58" s="1" t="s">
        <v>296</v>
      </c>
      <c r="F58" s="1" t="s">
        <v>98</v>
      </c>
    </row>
    <row r="59" spans="1:6" ht="17.25" customHeight="1" x14ac:dyDescent="0.25">
      <c r="A59" s="1">
        <v>2458345.4947700002</v>
      </c>
      <c r="B59" s="1" t="s">
        <v>96</v>
      </c>
      <c r="C59" s="1">
        <v>10.119999999999999</v>
      </c>
      <c r="D59" s="1">
        <v>4.0000000000000001E-3</v>
      </c>
      <c r="E59" s="1" t="s">
        <v>296</v>
      </c>
      <c r="F59" s="1" t="s">
        <v>98</v>
      </c>
    </row>
    <row r="60" spans="1:6" ht="17.25" customHeight="1" x14ac:dyDescent="0.25">
      <c r="A60" s="1">
        <v>2458345.4963500001</v>
      </c>
      <c r="B60" s="1" t="s">
        <v>96</v>
      </c>
      <c r="C60" s="1">
        <v>10.121</v>
      </c>
      <c r="D60" s="1">
        <v>4.0000000000000001E-3</v>
      </c>
      <c r="E60" s="1" t="s">
        <v>296</v>
      </c>
      <c r="F60" s="1" t="s">
        <v>98</v>
      </c>
    </row>
    <row r="61" spans="1:6" ht="17.25" customHeight="1" x14ac:dyDescent="0.25">
      <c r="A61" s="1">
        <v>2458345.4979400001</v>
      </c>
      <c r="B61" s="1" t="s">
        <v>96</v>
      </c>
      <c r="C61" s="1">
        <v>10.121</v>
      </c>
      <c r="D61" s="1">
        <v>4.0000000000000001E-3</v>
      </c>
      <c r="E61" s="1" t="s">
        <v>296</v>
      </c>
      <c r="F61" s="1" t="s">
        <v>98</v>
      </c>
    </row>
    <row r="62" spans="1:6" ht="17.25" customHeight="1" x14ac:dyDescent="0.25">
      <c r="A62" s="1">
        <v>2458345.4995200001</v>
      </c>
      <c r="B62" s="1" t="s">
        <v>96</v>
      </c>
      <c r="C62" s="1">
        <v>10.122999999999999</v>
      </c>
      <c r="D62" s="1">
        <v>4.0000000000000001E-3</v>
      </c>
      <c r="E62" s="1" t="s">
        <v>296</v>
      </c>
      <c r="F62" s="1" t="s">
        <v>98</v>
      </c>
    </row>
    <row r="63" spans="1:6" ht="17.25" customHeight="1" x14ac:dyDescent="0.25">
      <c r="A63" s="1">
        <v>2458345.5011200001</v>
      </c>
      <c r="B63" s="1" t="s">
        <v>78</v>
      </c>
      <c r="C63" s="1">
        <v>10.112</v>
      </c>
      <c r="D63" s="1">
        <v>4.0000000000000001E-3</v>
      </c>
      <c r="E63" s="1" t="s">
        <v>296</v>
      </c>
      <c r="F63" s="1" t="s">
        <v>98</v>
      </c>
    </row>
    <row r="64" spans="1:6" ht="17.25" customHeight="1" x14ac:dyDescent="0.25">
      <c r="A64" s="1">
        <v>2458345.5027100001</v>
      </c>
      <c r="B64" s="1" t="s">
        <v>78</v>
      </c>
      <c r="C64" s="1">
        <v>10.117000000000001</v>
      </c>
      <c r="D64" s="1">
        <v>4.0000000000000001E-3</v>
      </c>
      <c r="E64" s="1" t="s">
        <v>296</v>
      </c>
      <c r="F64" s="1" t="s">
        <v>98</v>
      </c>
    </row>
    <row r="65" spans="1:6" ht="17.25" customHeight="1" x14ac:dyDescent="0.25">
      <c r="A65" s="1">
        <v>2458345.5042900001</v>
      </c>
      <c r="B65" s="1" t="s">
        <v>78</v>
      </c>
      <c r="C65" s="1">
        <v>10.111000000000001</v>
      </c>
      <c r="D65" s="1">
        <v>4.0000000000000001E-3</v>
      </c>
      <c r="E65" s="1" t="s">
        <v>296</v>
      </c>
      <c r="F65" s="1" t="s">
        <v>98</v>
      </c>
    </row>
    <row r="66" spans="1:6" ht="17.25" customHeight="1" x14ac:dyDescent="0.25">
      <c r="A66" s="1">
        <v>2458345.5058800001</v>
      </c>
      <c r="B66" s="1" t="s">
        <v>78</v>
      </c>
      <c r="C66" s="1">
        <v>10.109</v>
      </c>
      <c r="D66" s="1">
        <v>4.0000000000000001E-3</v>
      </c>
      <c r="E66" s="1" t="s">
        <v>296</v>
      </c>
      <c r="F66" s="1" t="s">
        <v>98</v>
      </c>
    </row>
    <row r="67" spans="1:6" ht="17.25" customHeight="1" x14ac:dyDescent="0.25">
      <c r="A67" s="1">
        <v>2458345.50746</v>
      </c>
      <c r="B67" s="1" t="s">
        <v>78</v>
      </c>
      <c r="C67" s="1">
        <v>10.119</v>
      </c>
      <c r="D67" s="1">
        <v>4.0000000000000001E-3</v>
      </c>
      <c r="E67" s="1" t="s">
        <v>296</v>
      </c>
      <c r="F67" s="1" t="s">
        <v>98</v>
      </c>
    </row>
    <row r="68" spans="1:6" ht="17.25" customHeight="1" x14ac:dyDescent="0.25">
      <c r="A68" s="1">
        <v>2458345.50905</v>
      </c>
      <c r="B68" s="1" t="s">
        <v>78</v>
      </c>
      <c r="C68" s="1">
        <v>10.116</v>
      </c>
      <c r="D68" s="1">
        <v>4.0000000000000001E-3</v>
      </c>
      <c r="E68" s="1" t="s">
        <v>296</v>
      </c>
      <c r="F68" s="1" t="s">
        <v>98</v>
      </c>
    </row>
    <row r="69" spans="1:6" ht="17.25" customHeight="1" x14ac:dyDescent="0.25">
      <c r="A69" s="1">
        <v>2458345.5106299999</v>
      </c>
      <c r="B69" s="1" t="s">
        <v>78</v>
      </c>
      <c r="C69" s="1">
        <v>10.122</v>
      </c>
      <c r="D69" s="1">
        <v>4.0000000000000001E-3</v>
      </c>
      <c r="E69" s="1" t="s">
        <v>296</v>
      </c>
      <c r="F69" s="1" t="s">
        <v>98</v>
      </c>
    </row>
    <row r="70" spans="1:6" ht="17.25" customHeight="1" x14ac:dyDescent="0.25">
      <c r="A70" s="1">
        <v>2458345.51223</v>
      </c>
      <c r="B70" s="1" t="s">
        <v>78</v>
      </c>
      <c r="C70" s="1">
        <v>10.125999999999999</v>
      </c>
      <c r="D70" s="1">
        <v>4.0000000000000001E-3</v>
      </c>
      <c r="E70" s="1" t="s">
        <v>296</v>
      </c>
      <c r="F70" s="1" t="s">
        <v>98</v>
      </c>
    </row>
    <row r="71" spans="1:6" ht="17.25" customHeight="1" x14ac:dyDescent="0.25">
      <c r="A71" s="1">
        <v>2458345.51382</v>
      </c>
      <c r="B71" s="1" t="s">
        <v>78</v>
      </c>
      <c r="C71" s="1">
        <v>10.113</v>
      </c>
      <c r="D71" s="1">
        <v>4.0000000000000001E-3</v>
      </c>
      <c r="E71" s="1" t="s">
        <v>296</v>
      </c>
      <c r="F71" s="1" t="s">
        <v>98</v>
      </c>
    </row>
    <row r="72" spans="1:6" ht="17.25" customHeight="1" x14ac:dyDescent="0.25">
      <c r="A72" s="1">
        <v>2458345.5153999999</v>
      </c>
      <c r="B72" s="1" t="s">
        <v>78</v>
      </c>
      <c r="C72" s="1">
        <v>10.108000000000001</v>
      </c>
      <c r="D72" s="1">
        <v>4.0000000000000001E-3</v>
      </c>
      <c r="E72" s="1" t="s">
        <v>296</v>
      </c>
      <c r="F72" s="1" t="s">
        <v>98</v>
      </c>
    </row>
    <row r="73" spans="1:6" ht="17.25" customHeight="1" x14ac:dyDescent="0.25">
      <c r="A73" s="1">
        <v>2458345.5169899999</v>
      </c>
      <c r="B73" s="1" t="s">
        <v>78</v>
      </c>
      <c r="C73" s="1">
        <v>10.108000000000001</v>
      </c>
      <c r="D73" s="1">
        <v>4.0000000000000001E-3</v>
      </c>
      <c r="E73" s="1" t="s">
        <v>296</v>
      </c>
      <c r="F73" s="1" t="s">
        <v>98</v>
      </c>
    </row>
    <row r="74" spans="1:6" ht="17.25" customHeight="1" x14ac:dyDescent="0.25">
      <c r="A74" s="1">
        <v>2458345.5185699998</v>
      </c>
      <c r="B74" s="1" t="s">
        <v>78</v>
      </c>
      <c r="C74" s="1">
        <v>10.111000000000001</v>
      </c>
      <c r="D74" s="1">
        <v>4.0000000000000001E-3</v>
      </c>
      <c r="E74" s="1" t="s">
        <v>296</v>
      </c>
      <c r="F74" s="1" t="s">
        <v>98</v>
      </c>
    </row>
    <row r="75" spans="1:6" ht="17.25" customHeight="1" x14ac:dyDescent="0.25">
      <c r="A75" s="1">
        <v>2458345.5201599998</v>
      </c>
      <c r="B75" s="1" t="s">
        <v>78</v>
      </c>
      <c r="C75" s="1">
        <v>10.11</v>
      </c>
      <c r="D75" s="1">
        <v>4.0000000000000001E-3</v>
      </c>
      <c r="E75" s="1" t="s">
        <v>296</v>
      </c>
      <c r="F75" s="1" t="s">
        <v>98</v>
      </c>
    </row>
    <row r="76" spans="1:6" ht="17.25" customHeight="1" x14ac:dyDescent="0.25">
      <c r="A76" s="1">
        <v>2458355.7520300001</v>
      </c>
      <c r="B76" s="1" t="s">
        <v>85</v>
      </c>
      <c r="C76" s="1">
        <v>10.052</v>
      </c>
      <c r="D76" s="1">
        <v>4.4999999999999998E-2</v>
      </c>
      <c r="E76" s="1" t="s">
        <v>296</v>
      </c>
      <c r="F76" s="1" t="s">
        <v>102</v>
      </c>
    </row>
    <row r="77" spans="1:6" ht="17.25" customHeight="1" x14ac:dyDescent="0.25">
      <c r="A77" s="1">
        <v>2458370.3423600001</v>
      </c>
      <c r="B77" s="1" t="s">
        <v>111</v>
      </c>
      <c r="C77" s="1">
        <v>10.15</v>
      </c>
      <c r="D77" s="1">
        <v>0.03</v>
      </c>
      <c r="E77" s="1" t="s">
        <v>296</v>
      </c>
      <c r="F77" s="1" t="s">
        <v>5</v>
      </c>
    </row>
    <row r="78" spans="1:6" ht="17.25" customHeight="1" x14ac:dyDescent="0.25">
      <c r="A78" s="1">
        <v>2458389.3420899999</v>
      </c>
      <c r="B78" s="1" t="s">
        <v>129</v>
      </c>
      <c r="C78" s="1">
        <v>9.99</v>
      </c>
      <c r="D78" s="1">
        <v>0.01</v>
      </c>
      <c r="E78" s="1" t="s">
        <v>296</v>
      </c>
      <c r="F78" s="1" t="s">
        <v>120</v>
      </c>
    </row>
    <row r="79" spans="1:6" ht="17.25" customHeight="1" x14ac:dyDescent="0.25">
      <c r="A79" s="1">
        <v>2458398.2902799998</v>
      </c>
      <c r="B79" s="1" t="s">
        <v>138</v>
      </c>
      <c r="C79" s="1">
        <v>10.31</v>
      </c>
      <c r="D79" s="1">
        <v>0.01</v>
      </c>
      <c r="E79" s="1" t="s">
        <v>296</v>
      </c>
      <c r="F79" s="1" t="s">
        <v>5</v>
      </c>
    </row>
    <row r="80" spans="1:6" ht="17.25" customHeight="1" x14ac:dyDescent="0.25">
      <c r="A80" s="1">
        <v>2458423.21667</v>
      </c>
      <c r="B80" s="1" t="s">
        <v>160</v>
      </c>
      <c r="C80" s="1">
        <v>10.47</v>
      </c>
      <c r="D80" s="1">
        <v>0.01</v>
      </c>
      <c r="E80" s="1" t="s">
        <v>296</v>
      </c>
      <c r="F80" s="1" t="s">
        <v>5</v>
      </c>
    </row>
    <row r="81" spans="1:6" ht="17.25" customHeight="1" x14ac:dyDescent="0.25">
      <c r="A81" s="1">
        <v>2458439.1979200002</v>
      </c>
      <c r="B81" s="1" t="s">
        <v>266</v>
      </c>
      <c r="C81" s="1">
        <v>10.57</v>
      </c>
      <c r="D81" s="1">
        <v>0.02</v>
      </c>
      <c r="E81" s="1" t="s">
        <v>296</v>
      </c>
      <c r="F81" s="1" t="s">
        <v>5</v>
      </c>
    </row>
    <row r="82" spans="1:6" ht="17.25" customHeight="1" x14ac:dyDescent="0.25">
      <c r="A82" s="1">
        <v>2458664.4152799998</v>
      </c>
      <c r="B82" s="1" t="s">
        <v>316</v>
      </c>
      <c r="C82" s="1">
        <v>11.42</v>
      </c>
      <c r="D82" s="1">
        <v>1.4999999999999999E-2</v>
      </c>
      <c r="E82" s="1" t="s">
        <v>296</v>
      </c>
      <c r="F82" s="1" t="s">
        <v>5</v>
      </c>
    </row>
    <row r="83" spans="1:6" ht="17.25" customHeight="1" x14ac:dyDescent="0.25">
      <c r="A83" s="1">
        <v>2458690.5090299998</v>
      </c>
      <c r="B83" s="1" t="s">
        <v>325</v>
      </c>
      <c r="C83" s="1">
        <v>11.37</v>
      </c>
      <c r="D83" s="1">
        <v>1.4999999999999999E-2</v>
      </c>
      <c r="E83" s="1" t="s">
        <v>296</v>
      </c>
      <c r="F83" s="1" t="s">
        <v>5</v>
      </c>
    </row>
    <row r="84" spans="1:6" ht="17.25" customHeight="1" x14ac:dyDescent="0.25">
      <c r="A84" s="1">
        <v>2458716.3479200001</v>
      </c>
      <c r="B84" s="1" t="s">
        <v>336</v>
      </c>
      <c r="C84" s="1">
        <v>11.28</v>
      </c>
      <c r="D84" s="1">
        <v>0.01</v>
      </c>
      <c r="E84" s="1" t="s">
        <v>296</v>
      </c>
      <c r="F84" s="1" t="s">
        <v>5</v>
      </c>
    </row>
    <row r="85" spans="1:6" ht="17.25" customHeight="1" x14ac:dyDescent="0.25">
      <c r="A85" s="1">
        <v>2458739.6652299999</v>
      </c>
      <c r="B85" s="1" t="s">
        <v>343</v>
      </c>
      <c r="C85" s="1">
        <v>11.15</v>
      </c>
      <c r="D85" s="1">
        <v>2.1000000000000001E-2</v>
      </c>
      <c r="E85" s="1" t="s">
        <v>296</v>
      </c>
      <c r="F85" s="1" t="s">
        <v>344</v>
      </c>
    </row>
    <row r="86" spans="1:6" ht="17.25" customHeight="1" x14ac:dyDescent="0.25">
      <c r="A86" s="1">
        <v>2458739.7176000001</v>
      </c>
      <c r="B86" s="1" t="s">
        <v>343</v>
      </c>
      <c r="C86" s="1">
        <v>11.153</v>
      </c>
      <c r="D86" s="1">
        <v>2.1000000000000001E-2</v>
      </c>
      <c r="E86" s="1" t="s">
        <v>296</v>
      </c>
      <c r="F86" s="1" t="s">
        <v>344</v>
      </c>
    </row>
    <row r="87" spans="1:6" ht="17.25" customHeight="1" x14ac:dyDescent="0.25">
      <c r="A87" s="1">
        <v>2458739.7734599998</v>
      </c>
      <c r="B87" s="1" t="s">
        <v>343</v>
      </c>
      <c r="C87" s="1">
        <v>11.151</v>
      </c>
      <c r="D87" s="1">
        <v>1.4999999999999999E-2</v>
      </c>
      <c r="E87" s="1" t="s">
        <v>296</v>
      </c>
      <c r="F87" s="1" t="s">
        <v>344</v>
      </c>
    </row>
    <row r="88" spans="1:6" ht="17.25" customHeight="1" x14ac:dyDescent="0.25">
      <c r="A88" s="1">
        <v>2458747.70847</v>
      </c>
      <c r="B88" s="1" t="s">
        <v>348</v>
      </c>
      <c r="C88" s="1">
        <v>11.12</v>
      </c>
      <c r="D88" s="1">
        <v>2.1999999999999999E-2</v>
      </c>
      <c r="E88" s="1" t="s">
        <v>296</v>
      </c>
      <c r="F88" s="1" t="s">
        <v>344</v>
      </c>
    </row>
    <row r="89" spans="1:6" ht="17.25" customHeight="1" x14ac:dyDescent="0.25">
      <c r="A89" s="1">
        <v>2458748.2513899999</v>
      </c>
      <c r="B89" s="1" t="s">
        <v>348</v>
      </c>
      <c r="C89" s="1">
        <v>11.14</v>
      </c>
      <c r="D89" s="1">
        <v>0.02</v>
      </c>
      <c r="E89" s="1" t="s">
        <v>296</v>
      </c>
      <c r="F89" s="1" t="s">
        <v>5</v>
      </c>
    </row>
    <row r="90" spans="1:6" ht="17.25" customHeight="1" x14ac:dyDescent="0.25">
      <c r="A90" s="1">
        <v>2458755.70737</v>
      </c>
      <c r="B90" s="1" t="s">
        <v>350</v>
      </c>
      <c r="C90" s="1">
        <v>11.068</v>
      </c>
      <c r="D90" s="1">
        <v>2.7E-2</v>
      </c>
      <c r="E90" s="1" t="s">
        <v>296</v>
      </c>
      <c r="F90" s="1" t="s">
        <v>344</v>
      </c>
    </row>
    <row r="91" spans="1:6" ht="17.25" customHeight="1" x14ac:dyDescent="0.25">
      <c r="A91" s="1">
        <v>2458341.1019000001</v>
      </c>
      <c r="B91" s="1" t="s">
        <v>76</v>
      </c>
      <c r="C91" s="1">
        <v>11.45</v>
      </c>
      <c r="D91" s="1">
        <v>0.06</v>
      </c>
      <c r="E91" s="1" t="s">
        <v>1</v>
      </c>
      <c r="F91" s="1" t="s">
        <v>4</v>
      </c>
    </row>
    <row r="92" spans="1:6" ht="17.25" customHeight="1" x14ac:dyDescent="0.25">
      <c r="A92" s="1">
        <v>2458342.3944399999</v>
      </c>
      <c r="B92" s="1" t="s">
        <v>293</v>
      </c>
      <c r="C92" s="1">
        <v>11.382999999999999</v>
      </c>
      <c r="D92" s="1">
        <v>1.2E-2</v>
      </c>
      <c r="E92" s="1" t="s">
        <v>1</v>
      </c>
      <c r="F92" s="1" t="s">
        <v>285</v>
      </c>
    </row>
    <row r="93" spans="1:6" ht="17.25" customHeight="1" x14ac:dyDescent="0.25">
      <c r="A93" s="1">
        <v>2458342.3952600001</v>
      </c>
      <c r="B93" s="1" t="s">
        <v>293</v>
      </c>
      <c r="C93" s="1">
        <v>11.356</v>
      </c>
      <c r="D93" s="1">
        <v>1.2E-2</v>
      </c>
      <c r="E93" s="1" t="s">
        <v>1</v>
      </c>
      <c r="F93" s="1" t="s">
        <v>285</v>
      </c>
    </row>
    <row r="94" spans="1:6" ht="17.25" customHeight="1" x14ac:dyDescent="0.25">
      <c r="A94" s="1">
        <v>2458343.5090200002</v>
      </c>
      <c r="B94" s="1" t="s">
        <v>77</v>
      </c>
      <c r="C94" s="1">
        <v>11.481999999999999</v>
      </c>
      <c r="D94" s="1">
        <v>8.9999999999999993E-3</v>
      </c>
      <c r="E94" s="1" t="s">
        <v>1</v>
      </c>
      <c r="F94" s="1" t="s">
        <v>94</v>
      </c>
    </row>
    <row r="95" spans="1:6" ht="17.25" customHeight="1" x14ac:dyDescent="0.25">
      <c r="A95" s="1">
        <v>2458343.5094099999</v>
      </c>
      <c r="B95" s="1" t="s">
        <v>77</v>
      </c>
      <c r="C95" s="1">
        <v>11.468</v>
      </c>
      <c r="D95" s="1">
        <v>8.9999999999999993E-3</v>
      </c>
      <c r="E95" s="1" t="s">
        <v>1</v>
      </c>
      <c r="F95" s="1" t="s">
        <v>94</v>
      </c>
    </row>
    <row r="96" spans="1:6" ht="17.25" customHeight="1" x14ac:dyDescent="0.25">
      <c r="A96" s="1">
        <v>2458343.5318999998</v>
      </c>
      <c r="B96" s="1" t="s">
        <v>77</v>
      </c>
      <c r="C96" s="1">
        <v>11.48</v>
      </c>
      <c r="D96" s="1">
        <v>0.01</v>
      </c>
      <c r="E96" s="1" t="s">
        <v>1</v>
      </c>
      <c r="F96" s="1" t="s">
        <v>285</v>
      </c>
    </row>
    <row r="97" spans="1:6" ht="17.25" customHeight="1" x14ac:dyDescent="0.25">
      <c r="A97" s="1">
        <v>2458343.5326999999</v>
      </c>
      <c r="B97" s="1" t="s">
        <v>77</v>
      </c>
      <c r="C97" s="1">
        <v>11.464</v>
      </c>
      <c r="D97" s="1">
        <v>0.01</v>
      </c>
      <c r="E97" s="1" t="s">
        <v>1</v>
      </c>
      <c r="F97" s="1" t="s">
        <v>285</v>
      </c>
    </row>
    <row r="98" spans="1:6" ht="17.25" customHeight="1" x14ac:dyDescent="0.25">
      <c r="A98" s="1">
        <v>2458343.6637599999</v>
      </c>
      <c r="B98" s="1" t="s">
        <v>77</v>
      </c>
      <c r="C98" s="1">
        <v>11.544</v>
      </c>
      <c r="D98" s="1">
        <v>4.0000000000000001E-3</v>
      </c>
      <c r="E98" s="1" t="s">
        <v>1</v>
      </c>
      <c r="F98" s="1" t="s">
        <v>295</v>
      </c>
    </row>
    <row r="99" spans="1:6" ht="17.25" customHeight="1" x14ac:dyDescent="0.25">
      <c r="A99" s="1">
        <v>2458343.6678499999</v>
      </c>
      <c r="B99" s="1" t="s">
        <v>77</v>
      </c>
      <c r="C99" s="1">
        <v>11.537000000000001</v>
      </c>
      <c r="D99" s="1">
        <v>5.0000000000000001E-3</v>
      </c>
      <c r="E99" s="1" t="s">
        <v>1</v>
      </c>
      <c r="F99" s="1" t="s">
        <v>295</v>
      </c>
    </row>
    <row r="100" spans="1:6" ht="17.25" customHeight="1" x14ac:dyDescent="0.25">
      <c r="A100" s="1">
        <v>2458343.6719499999</v>
      </c>
      <c r="B100" s="1" t="s">
        <v>77</v>
      </c>
      <c r="C100" s="1">
        <v>11.542999999999999</v>
      </c>
      <c r="D100" s="1">
        <v>5.0000000000000001E-3</v>
      </c>
      <c r="E100" s="1" t="s">
        <v>1</v>
      </c>
      <c r="F100" s="1" t="s">
        <v>295</v>
      </c>
    </row>
    <row r="101" spans="1:6" ht="17.25" customHeight="1" x14ac:dyDescent="0.25">
      <c r="A101" s="1">
        <v>2458343.6760499999</v>
      </c>
      <c r="B101" s="1" t="s">
        <v>77</v>
      </c>
      <c r="C101" s="1">
        <v>11.542</v>
      </c>
      <c r="D101" s="1">
        <v>5.0000000000000001E-3</v>
      </c>
      <c r="E101" s="1" t="s">
        <v>1</v>
      </c>
      <c r="F101" s="1" t="s">
        <v>295</v>
      </c>
    </row>
    <row r="102" spans="1:6" ht="17.25" customHeight="1" x14ac:dyDescent="0.25">
      <c r="A102" s="1">
        <v>2458343.6801499999</v>
      </c>
      <c r="B102" s="1" t="s">
        <v>77</v>
      </c>
      <c r="C102" s="1">
        <v>11.544</v>
      </c>
      <c r="D102" s="1">
        <v>6.0000000000000001E-3</v>
      </c>
      <c r="E102" s="1" t="s">
        <v>1</v>
      </c>
      <c r="F102" s="1" t="s">
        <v>295</v>
      </c>
    </row>
    <row r="103" spans="1:6" ht="17.25" customHeight="1" x14ac:dyDescent="0.25">
      <c r="A103" s="1">
        <v>2458343.6842399999</v>
      </c>
      <c r="B103" s="1" t="s">
        <v>77</v>
      </c>
      <c r="C103" s="1">
        <v>11.542</v>
      </c>
      <c r="D103" s="1">
        <v>1.7000000000000001E-2</v>
      </c>
      <c r="E103" s="1" t="s">
        <v>1</v>
      </c>
      <c r="F103" s="1" t="s">
        <v>295</v>
      </c>
    </row>
    <row r="104" spans="1:6" ht="17.25" customHeight="1" x14ac:dyDescent="0.25">
      <c r="A104" s="1">
        <v>2458343.6883399999</v>
      </c>
      <c r="B104" s="1" t="s">
        <v>77</v>
      </c>
      <c r="C104" s="1">
        <v>11.54</v>
      </c>
      <c r="D104" s="1">
        <v>5.0000000000000001E-3</v>
      </c>
      <c r="E104" s="1" t="s">
        <v>1</v>
      </c>
      <c r="F104" s="1" t="s">
        <v>295</v>
      </c>
    </row>
    <row r="105" spans="1:6" ht="17.25" customHeight="1" x14ac:dyDescent="0.25">
      <c r="A105" s="1">
        <v>2458343.6924299998</v>
      </c>
      <c r="B105" s="1" t="s">
        <v>77</v>
      </c>
      <c r="C105" s="1">
        <v>11.539</v>
      </c>
      <c r="D105" s="1">
        <v>4.0000000000000001E-3</v>
      </c>
      <c r="E105" s="1" t="s">
        <v>1</v>
      </c>
      <c r="F105" s="1" t="s">
        <v>295</v>
      </c>
    </row>
    <row r="106" spans="1:6" ht="17.25" customHeight="1" x14ac:dyDescent="0.25">
      <c r="A106" s="1">
        <v>2458343.6965299998</v>
      </c>
      <c r="B106" s="1" t="s">
        <v>77</v>
      </c>
      <c r="C106" s="1">
        <v>11.545</v>
      </c>
      <c r="D106" s="1">
        <v>5.0000000000000001E-3</v>
      </c>
      <c r="E106" s="1" t="s">
        <v>1</v>
      </c>
      <c r="F106" s="1" t="s">
        <v>295</v>
      </c>
    </row>
    <row r="107" spans="1:6" ht="17.25" customHeight="1" x14ac:dyDescent="0.25">
      <c r="A107" s="1">
        <v>2458343.7006199998</v>
      </c>
      <c r="B107" s="1" t="s">
        <v>77</v>
      </c>
      <c r="C107" s="1">
        <v>11.544</v>
      </c>
      <c r="D107" s="1">
        <v>5.0000000000000001E-3</v>
      </c>
      <c r="E107" s="1" t="s">
        <v>1</v>
      </c>
      <c r="F107" s="1" t="s">
        <v>295</v>
      </c>
    </row>
    <row r="108" spans="1:6" ht="17.25" customHeight="1" x14ac:dyDescent="0.25">
      <c r="A108" s="1">
        <v>2458343.7047199998</v>
      </c>
      <c r="B108" s="1" t="s">
        <v>77</v>
      </c>
      <c r="C108" s="1">
        <v>11.534000000000001</v>
      </c>
      <c r="D108" s="1">
        <v>5.0000000000000001E-3</v>
      </c>
      <c r="E108" s="1" t="s">
        <v>1</v>
      </c>
      <c r="F108" s="1" t="s">
        <v>295</v>
      </c>
    </row>
    <row r="109" spans="1:6" ht="17.25" customHeight="1" x14ac:dyDescent="0.25">
      <c r="A109" s="1">
        <v>2458343.7088199998</v>
      </c>
      <c r="B109" s="1" t="s">
        <v>77</v>
      </c>
      <c r="C109" s="1">
        <v>11.54</v>
      </c>
      <c r="D109" s="1">
        <v>5.0000000000000001E-3</v>
      </c>
      <c r="E109" s="1" t="s">
        <v>1</v>
      </c>
      <c r="F109" s="1" t="s">
        <v>295</v>
      </c>
    </row>
    <row r="110" spans="1:6" ht="17.25" customHeight="1" x14ac:dyDescent="0.25">
      <c r="A110" s="1">
        <v>2458343.7129199998</v>
      </c>
      <c r="B110" s="1" t="s">
        <v>77</v>
      </c>
      <c r="C110" s="1">
        <v>11.541</v>
      </c>
      <c r="D110" s="1">
        <v>5.0000000000000001E-3</v>
      </c>
      <c r="E110" s="1" t="s">
        <v>1</v>
      </c>
      <c r="F110" s="1" t="s">
        <v>295</v>
      </c>
    </row>
    <row r="111" spans="1:6" ht="17.25" customHeight="1" x14ac:dyDescent="0.25">
      <c r="A111" s="1">
        <v>2458343.7170099998</v>
      </c>
      <c r="B111" s="1" t="s">
        <v>77</v>
      </c>
      <c r="C111" s="1">
        <v>11.541</v>
      </c>
      <c r="D111" s="1">
        <v>5.0000000000000001E-3</v>
      </c>
      <c r="E111" s="1" t="s">
        <v>1</v>
      </c>
      <c r="F111" s="1" t="s">
        <v>295</v>
      </c>
    </row>
    <row r="112" spans="1:6" ht="17.25" customHeight="1" x14ac:dyDescent="0.25">
      <c r="A112" s="1">
        <v>2458343.7211099998</v>
      </c>
      <c r="B112" s="1" t="s">
        <v>77</v>
      </c>
      <c r="C112" s="1">
        <v>11.542</v>
      </c>
      <c r="D112" s="1">
        <v>6.0000000000000001E-3</v>
      </c>
      <c r="E112" s="1" t="s">
        <v>1</v>
      </c>
      <c r="F112" s="1" t="s">
        <v>295</v>
      </c>
    </row>
    <row r="113" spans="1:6" ht="17.25" customHeight="1" x14ac:dyDescent="0.25">
      <c r="A113" s="1">
        <v>2458344.53205</v>
      </c>
      <c r="B113" s="1" t="s">
        <v>96</v>
      </c>
      <c r="C113" s="1">
        <v>11.468</v>
      </c>
      <c r="D113" s="1">
        <v>1.9E-2</v>
      </c>
      <c r="E113" s="1" t="s">
        <v>1</v>
      </c>
      <c r="F113" s="1" t="s">
        <v>285</v>
      </c>
    </row>
    <row r="114" spans="1:6" ht="17.25" customHeight="1" x14ac:dyDescent="0.25">
      <c r="A114" s="1">
        <v>2458344.5328799998</v>
      </c>
      <c r="B114" s="1" t="s">
        <v>96</v>
      </c>
      <c r="C114" s="1">
        <v>11.488</v>
      </c>
      <c r="D114" s="1">
        <v>1.7000000000000001E-2</v>
      </c>
      <c r="E114" s="1" t="s">
        <v>1</v>
      </c>
      <c r="F114" s="1" t="s">
        <v>285</v>
      </c>
    </row>
    <row r="115" spans="1:6" ht="17.25" customHeight="1" x14ac:dyDescent="0.25">
      <c r="A115" s="1">
        <v>2458344.6083200001</v>
      </c>
      <c r="B115" s="1" t="s">
        <v>96</v>
      </c>
      <c r="C115" s="1">
        <v>11.542</v>
      </c>
      <c r="D115" s="1">
        <v>3.3000000000000002E-2</v>
      </c>
      <c r="E115" s="1" t="s">
        <v>1</v>
      </c>
      <c r="F115" s="1" t="s">
        <v>97</v>
      </c>
    </row>
    <row r="116" spans="1:6" ht="17.25" customHeight="1" x14ac:dyDescent="0.25">
      <c r="A116" s="1">
        <v>2458345.4008300002</v>
      </c>
      <c r="B116" s="1" t="s">
        <v>96</v>
      </c>
      <c r="C116" s="1">
        <v>11.382</v>
      </c>
      <c r="D116" s="1">
        <v>7.0000000000000001E-3</v>
      </c>
      <c r="E116" s="1" t="s">
        <v>1</v>
      </c>
      <c r="F116" s="1" t="s">
        <v>98</v>
      </c>
    </row>
    <row r="117" spans="1:6" ht="17.25" customHeight="1" x14ac:dyDescent="0.25">
      <c r="A117" s="1">
        <v>2458345.4024299998</v>
      </c>
      <c r="B117" s="1" t="s">
        <v>96</v>
      </c>
      <c r="C117" s="1">
        <v>11.394</v>
      </c>
      <c r="D117" s="1">
        <v>7.0000000000000001E-3</v>
      </c>
      <c r="E117" s="1" t="s">
        <v>1</v>
      </c>
      <c r="F117" s="1" t="s">
        <v>98</v>
      </c>
    </row>
    <row r="118" spans="1:6" ht="17.25" customHeight="1" x14ac:dyDescent="0.25">
      <c r="A118" s="1">
        <v>2458345.4040399999</v>
      </c>
      <c r="B118" s="1" t="s">
        <v>96</v>
      </c>
      <c r="C118" s="1">
        <v>11.411</v>
      </c>
      <c r="D118" s="1">
        <v>7.0000000000000001E-3</v>
      </c>
      <c r="E118" s="1" t="s">
        <v>1</v>
      </c>
      <c r="F118" s="1" t="s">
        <v>98</v>
      </c>
    </row>
    <row r="119" spans="1:6" ht="17.25" customHeight="1" x14ac:dyDescent="0.25">
      <c r="A119" s="1">
        <v>2458345.40564</v>
      </c>
      <c r="B119" s="1" t="s">
        <v>96</v>
      </c>
      <c r="C119" s="1">
        <v>11.436999999999999</v>
      </c>
      <c r="D119" s="1">
        <v>6.0000000000000001E-3</v>
      </c>
      <c r="E119" s="1" t="s">
        <v>1</v>
      </c>
      <c r="F119" s="1" t="s">
        <v>98</v>
      </c>
    </row>
    <row r="120" spans="1:6" ht="17.25" customHeight="1" x14ac:dyDescent="0.25">
      <c r="A120" s="1">
        <v>2458345.4072500002</v>
      </c>
      <c r="B120" s="1" t="s">
        <v>96</v>
      </c>
      <c r="C120" s="1">
        <v>11.445</v>
      </c>
      <c r="D120" s="1">
        <v>6.0000000000000001E-3</v>
      </c>
      <c r="E120" s="1" t="s">
        <v>1</v>
      </c>
      <c r="F120" s="1" t="s">
        <v>98</v>
      </c>
    </row>
    <row r="121" spans="1:6" ht="17.25" customHeight="1" x14ac:dyDescent="0.25">
      <c r="A121" s="1">
        <v>2458345.4088300001</v>
      </c>
      <c r="B121" s="1" t="s">
        <v>96</v>
      </c>
      <c r="C121" s="1">
        <v>11.445</v>
      </c>
      <c r="D121" s="1">
        <v>6.0000000000000001E-3</v>
      </c>
      <c r="E121" s="1" t="s">
        <v>1</v>
      </c>
      <c r="F121" s="1" t="s">
        <v>98</v>
      </c>
    </row>
    <row r="122" spans="1:6" ht="17.25" customHeight="1" x14ac:dyDescent="0.25">
      <c r="A122" s="1">
        <v>2458345.4104200001</v>
      </c>
      <c r="B122" s="1" t="s">
        <v>96</v>
      </c>
      <c r="C122" s="1">
        <v>11.411</v>
      </c>
      <c r="D122" s="1">
        <v>6.0000000000000001E-3</v>
      </c>
      <c r="E122" s="1" t="s">
        <v>1</v>
      </c>
      <c r="F122" s="1" t="s">
        <v>98</v>
      </c>
    </row>
    <row r="123" spans="1:6" ht="17.25" customHeight="1" x14ac:dyDescent="0.25">
      <c r="A123" s="1">
        <v>2458345.412</v>
      </c>
      <c r="B123" s="1" t="s">
        <v>96</v>
      </c>
      <c r="C123" s="1">
        <v>11.406000000000001</v>
      </c>
      <c r="D123" s="1">
        <v>7.0000000000000001E-3</v>
      </c>
      <c r="E123" s="1" t="s">
        <v>1</v>
      </c>
      <c r="F123" s="1" t="s">
        <v>98</v>
      </c>
    </row>
    <row r="124" spans="1:6" ht="17.25" customHeight="1" x14ac:dyDescent="0.25">
      <c r="A124" s="1">
        <v>2458345.41359</v>
      </c>
      <c r="B124" s="1" t="s">
        <v>96</v>
      </c>
      <c r="C124" s="1">
        <v>11.391</v>
      </c>
      <c r="D124" s="1">
        <v>6.0000000000000001E-3</v>
      </c>
      <c r="E124" s="1" t="s">
        <v>1</v>
      </c>
      <c r="F124" s="1" t="s">
        <v>98</v>
      </c>
    </row>
    <row r="125" spans="1:6" ht="17.25" customHeight="1" x14ac:dyDescent="0.25">
      <c r="A125" s="1">
        <v>2458345.4151699999</v>
      </c>
      <c r="B125" s="1" t="s">
        <v>96</v>
      </c>
      <c r="C125" s="1">
        <v>11.372</v>
      </c>
      <c r="D125" s="1">
        <v>6.0000000000000001E-3</v>
      </c>
      <c r="E125" s="1" t="s">
        <v>1</v>
      </c>
      <c r="F125" s="1" t="s">
        <v>98</v>
      </c>
    </row>
    <row r="126" spans="1:6" ht="17.25" customHeight="1" x14ac:dyDescent="0.25">
      <c r="A126" s="1">
        <v>2458345.4167599999</v>
      </c>
      <c r="B126" s="1" t="s">
        <v>96</v>
      </c>
      <c r="C126" s="1">
        <v>11.38</v>
      </c>
      <c r="D126" s="1">
        <v>6.0000000000000001E-3</v>
      </c>
      <c r="E126" s="1" t="s">
        <v>1</v>
      </c>
      <c r="F126" s="1" t="s">
        <v>98</v>
      </c>
    </row>
    <row r="127" spans="1:6" ht="17.25" customHeight="1" x14ac:dyDescent="0.25">
      <c r="A127" s="1">
        <v>2458345.4183499999</v>
      </c>
      <c r="B127" s="1" t="s">
        <v>96</v>
      </c>
      <c r="C127" s="1">
        <v>11.417</v>
      </c>
      <c r="D127" s="1">
        <v>6.0000000000000001E-3</v>
      </c>
      <c r="E127" s="1" t="s">
        <v>1</v>
      </c>
      <c r="F127" s="1" t="s">
        <v>98</v>
      </c>
    </row>
    <row r="128" spans="1:6" ht="17.25" customHeight="1" x14ac:dyDescent="0.25">
      <c r="A128" s="1">
        <v>2458345.4199299999</v>
      </c>
      <c r="B128" s="1" t="s">
        <v>96</v>
      </c>
      <c r="C128" s="1">
        <v>11.435</v>
      </c>
      <c r="D128" s="1">
        <v>6.0000000000000001E-3</v>
      </c>
      <c r="E128" s="1" t="s">
        <v>1</v>
      </c>
      <c r="F128" s="1" t="s">
        <v>98</v>
      </c>
    </row>
    <row r="129" spans="1:6" ht="17.25" customHeight="1" x14ac:dyDescent="0.25">
      <c r="A129" s="1">
        <v>2458345.4215299999</v>
      </c>
      <c r="B129" s="1" t="s">
        <v>96</v>
      </c>
      <c r="C129" s="1">
        <v>11.448</v>
      </c>
      <c r="D129" s="1">
        <v>6.0000000000000001E-3</v>
      </c>
      <c r="E129" s="1" t="s">
        <v>1</v>
      </c>
      <c r="F129" s="1" t="s">
        <v>98</v>
      </c>
    </row>
    <row r="130" spans="1:6" ht="17.25" customHeight="1" x14ac:dyDescent="0.25">
      <c r="A130" s="1">
        <v>2458345.4231099999</v>
      </c>
      <c r="B130" s="1" t="s">
        <v>96</v>
      </c>
      <c r="C130" s="1">
        <v>11.44</v>
      </c>
      <c r="D130" s="1">
        <v>6.0000000000000001E-3</v>
      </c>
      <c r="E130" s="1" t="s">
        <v>1</v>
      </c>
      <c r="F130" s="1" t="s">
        <v>98</v>
      </c>
    </row>
    <row r="131" spans="1:6" ht="17.25" customHeight="1" x14ac:dyDescent="0.25">
      <c r="A131" s="1">
        <v>2458345.4246999999</v>
      </c>
      <c r="B131" s="1" t="s">
        <v>96</v>
      </c>
      <c r="C131" s="1">
        <v>11.432</v>
      </c>
      <c r="D131" s="1">
        <v>6.0000000000000001E-3</v>
      </c>
      <c r="E131" s="1" t="s">
        <v>1</v>
      </c>
      <c r="F131" s="1" t="s">
        <v>98</v>
      </c>
    </row>
    <row r="132" spans="1:6" ht="17.25" customHeight="1" x14ac:dyDescent="0.25">
      <c r="A132" s="1">
        <v>2458345.4262799998</v>
      </c>
      <c r="B132" s="1" t="s">
        <v>96</v>
      </c>
      <c r="C132" s="1">
        <v>11.439</v>
      </c>
      <c r="D132" s="1">
        <v>6.0000000000000001E-3</v>
      </c>
      <c r="E132" s="1" t="s">
        <v>1</v>
      </c>
      <c r="F132" s="1" t="s">
        <v>98</v>
      </c>
    </row>
    <row r="133" spans="1:6" ht="17.25" customHeight="1" x14ac:dyDescent="0.25">
      <c r="A133" s="1">
        <v>2458345.4278699998</v>
      </c>
      <c r="B133" s="1" t="s">
        <v>96</v>
      </c>
      <c r="C133" s="1">
        <v>11.438000000000001</v>
      </c>
      <c r="D133" s="1">
        <v>6.0000000000000001E-3</v>
      </c>
      <c r="E133" s="1" t="s">
        <v>1</v>
      </c>
      <c r="F133" s="1" t="s">
        <v>98</v>
      </c>
    </row>
    <row r="134" spans="1:6" ht="17.25" customHeight="1" x14ac:dyDescent="0.25">
      <c r="A134" s="1">
        <v>2458345.4294500002</v>
      </c>
      <c r="B134" s="1" t="s">
        <v>96</v>
      </c>
      <c r="C134" s="1">
        <v>11.441000000000001</v>
      </c>
      <c r="D134" s="1">
        <v>6.0000000000000001E-3</v>
      </c>
      <c r="E134" s="1" t="s">
        <v>1</v>
      </c>
      <c r="F134" s="1" t="s">
        <v>98</v>
      </c>
    </row>
    <row r="135" spans="1:6" ht="17.25" customHeight="1" x14ac:dyDescent="0.25">
      <c r="A135" s="1">
        <v>2458345.4310400002</v>
      </c>
      <c r="B135" s="1" t="s">
        <v>96</v>
      </c>
      <c r="C135" s="1">
        <v>11.446</v>
      </c>
      <c r="D135" s="1">
        <v>6.0000000000000001E-3</v>
      </c>
      <c r="E135" s="1" t="s">
        <v>1</v>
      </c>
      <c r="F135" s="1" t="s">
        <v>98</v>
      </c>
    </row>
    <row r="136" spans="1:6" ht="17.25" customHeight="1" x14ac:dyDescent="0.25">
      <c r="A136" s="1">
        <v>2458345.4326300002</v>
      </c>
      <c r="B136" s="1" t="s">
        <v>96</v>
      </c>
      <c r="C136" s="1">
        <v>11.426</v>
      </c>
      <c r="D136" s="1">
        <v>6.0000000000000001E-3</v>
      </c>
      <c r="E136" s="1" t="s">
        <v>1</v>
      </c>
      <c r="F136" s="1" t="s">
        <v>98</v>
      </c>
    </row>
    <row r="137" spans="1:6" ht="17.25" customHeight="1" x14ac:dyDescent="0.25">
      <c r="A137" s="1">
        <v>2458345.4342100001</v>
      </c>
      <c r="B137" s="1" t="s">
        <v>96</v>
      </c>
      <c r="C137" s="1">
        <v>11.433</v>
      </c>
      <c r="D137" s="1">
        <v>6.0000000000000001E-3</v>
      </c>
      <c r="E137" s="1" t="s">
        <v>1</v>
      </c>
      <c r="F137" s="1" t="s">
        <v>98</v>
      </c>
    </row>
    <row r="138" spans="1:6" ht="17.25" customHeight="1" x14ac:dyDescent="0.25">
      <c r="A138" s="1">
        <v>2458345.4358000001</v>
      </c>
      <c r="B138" s="1" t="s">
        <v>96</v>
      </c>
      <c r="C138" s="1">
        <v>11.425000000000001</v>
      </c>
      <c r="D138" s="1">
        <v>6.0000000000000001E-3</v>
      </c>
      <c r="E138" s="1" t="s">
        <v>1</v>
      </c>
      <c r="F138" s="1" t="s">
        <v>98</v>
      </c>
    </row>
    <row r="139" spans="1:6" ht="17.25" customHeight="1" x14ac:dyDescent="0.25">
      <c r="A139" s="1">
        <v>2458345.43738</v>
      </c>
      <c r="B139" s="1" t="s">
        <v>96</v>
      </c>
      <c r="C139" s="1">
        <v>11.426</v>
      </c>
      <c r="D139" s="1">
        <v>6.0000000000000001E-3</v>
      </c>
      <c r="E139" s="1" t="s">
        <v>1</v>
      </c>
      <c r="F139" s="1" t="s">
        <v>98</v>
      </c>
    </row>
    <row r="140" spans="1:6" ht="17.25" customHeight="1" x14ac:dyDescent="0.25">
      <c r="A140" s="1">
        <v>2458345.43897</v>
      </c>
      <c r="B140" s="1" t="s">
        <v>96</v>
      </c>
      <c r="C140" s="1">
        <v>11.433</v>
      </c>
      <c r="D140" s="1">
        <v>6.0000000000000001E-3</v>
      </c>
      <c r="E140" s="1" t="s">
        <v>1</v>
      </c>
      <c r="F140" s="1" t="s">
        <v>98</v>
      </c>
    </row>
    <row r="141" spans="1:6" ht="17.25" customHeight="1" x14ac:dyDescent="0.25">
      <c r="A141" s="1">
        <v>2458345.4405499999</v>
      </c>
      <c r="B141" s="1" t="s">
        <v>96</v>
      </c>
      <c r="C141" s="1">
        <v>11.423</v>
      </c>
      <c r="D141" s="1">
        <v>6.0000000000000001E-3</v>
      </c>
      <c r="E141" s="1" t="s">
        <v>1</v>
      </c>
      <c r="F141" s="1" t="s">
        <v>98</v>
      </c>
    </row>
    <row r="142" spans="1:6" ht="17.25" customHeight="1" x14ac:dyDescent="0.25">
      <c r="A142" s="1">
        <v>2458345.4421399999</v>
      </c>
      <c r="B142" s="1" t="s">
        <v>96</v>
      </c>
      <c r="C142" s="1">
        <v>11.419</v>
      </c>
      <c r="D142" s="1">
        <v>6.0000000000000001E-3</v>
      </c>
      <c r="E142" s="1" t="s">
        <v>1</v>
      </c>
      <c r="F142" s="1" t="s">
        <v>98</v>
      </c>
    </row>
    <row r="143" spans="1:6" ht="17.25" customHeight="1" x14ac:dyDescent="0.25">
      <c r="A143" s="1">
        <v>2458345.4437299999</v>
      </c>
      <c r="B143" s="1" t="s">
        <v>96</v>
      </c>
      <c r="C143" s="1">
        <v>11.417</v>
      </c>
      <c r="D143" s="1">
        <v>6.0000000000000001E-3</v>
      </c>
      <c r="E143" s="1" t="s">
        <v>1</v>
      </c>
      <c r="F143" s="1" t="s">
        <v>98</v>
      </c>
    </row>
    <row r="144" spans="1:6" ht="17.25" customHeight="1" x14ac:dyDescent="0.25">
      <c r="A144" s="1">
        <v>2458345.4453199999</v>
      </c>
      <c r="B144" s="1" t="s">
        <v>96</v>
      </c>
      <c r="C144" s="1">
        <v>11.412000000000001</v>
      </c>
      <c r="D144" s="1">
        <v>6.0000000000000001E-3</v>
      </c>
      <c r="E144" s="1" t="s">
        <v>1</v>
      </c>
      <c r="F144" s="1" t="s">
        <v>98</v>
      </c>
    </row>
    <row r="145" spans="1:6" ht="17.25" customHeight="1" x14ac:dyDescent="0.25">
      <c r="A145" s="1">
        <v>2458345.4469099999</v>
      </c>
      <c r="B145" s="1" t="s">
        <v>96</v>
      </c>
      <c r="C145" s="1">
        <v>11.420999999999999</v>
      </c>
      <c r="D145" s="1">
        <v>6.0000000000000001E-3</v>
      </c>
      <c r="E145" s="1" t="s">
        <v>1</v>
      </c>
      <c r="F145" s="1" t="s">
        <v>98</v>
      </c>
    </row>
    <row r="146" spans="1:6" ht="17.25" customHeight="1" x14ac:dyDescent="0.25">
      <c r="A146" s="1">
        <v>2458345.4484899999</v>
      </c>
      <c r="B146" s="1" t="s">
        <v>96</v>
      </c>
      <c r="C146" s="1">
        <v>11.42</v>
      </c>
      <c r="D146" s="1">
        <v>6.0000000000000001E-3</v>
      </c>
      <c r="E146" s="1" t="s">
        <v>1</v>
      </c>
      <c r="F146" s="1" t="s">
        <v>98</v>
      </c>
    </row>
    <row r="147" spans="1:6" ht="17.25" customHeight="1" x14ac:dyDescent="0.25">
      <c r="A147" s="1">
        <v>2458345.4500799999</v>
      </c>
      <c r="B147" s="1" t="s">
        <v>96</v>
      </c>
      <c r="C147" s="1">
        <v>11.428000000000001</v>
      </c>
      <c r="D147" s="1">
        <v>6.0000000000000001E-3</v>
      </c>
      <c r="E147" s="1" t="s">
        <v>1</v>
      </c>
      <c r="F147" s="1" t="s">
        <v>98</v>
      </c>
    </row>
    <row r="148" spans="1:6" ht="17.25" customHeight="1" x14ac:dyDescent="0.25">
      <c r="A148" s="1">
        <v>2458345.4516599998</v>
      </c>
      <c r="B148" s="1" t="s">
        <v>96</v>
      </c>
      <c r="C148" s="1">
        <v>11.43</v>
      </c>
      <c r="D148" s="1">
        <v>6.0000000000000001E-3</v>
      </c>
      <c r="E148" s="1" t="s">
        <v>1</v>
      </c>
      <c r="F148" s="1" t="s">
        <v>98</v>
      </c>
    </row>
    <row r="149" spans="1:6" ht="17.25" customHeight="1" x14ac:dyDescent="0.25">
      <c r="A149" s="1">
        <v>2458345.4532499998</v>
      </c>
      <c r="B149" s="1" t="s">
        <v>96</v>
      </c>
      <c r="C149" s="1">
        <v>11.43</v>
      </c>
      <c r="D149" s="1">
        <v>6.0000000000000001E-3</v>
      </c>
      <c r="E149" s="1" t="s">
        <v>1</v>
      </c>
      <c r="F149" s="1" t="s">
        <v>98</v>
      </c>
    </row>
    <row r="150" spans="1:6" ht="17.25" customHeight="1" x14ac:dyDescent="0.25">
      <c r="A150" s="1">
        <v>2458345.4548399998</v>
      </c>
      <c r="B150" s="1" t="s">
        <v>96</v>
      </c>
      <c r="C150" s="1">
        <v>11.433999999999999</v>
      </c>
      <c r="D150" s="1">
        <v>6.0000000000000001E-3</v>
      </c>
      <c r="E150" s="1" t="s">
        <v>1</v>
      </c>
      <c r="F150" s="1" t="s">
        <v>98</v>
      </c>
    </row>
    <row r="151" spans="1:6" ht="17.25" customHeight="1" x14ac:dyDescent="0.25">
      <c r="A151" s="1">
        <v>2458345.4564200002</v>
      </c>
      <c r="B151" s="1" t="s">
        <v>96</v>
      </c>
      <c r="C151" s="1">
        <v>11.416</v>
      </c>
      <c r="D151" s="1">
        <v>1.0999999999999999E-2</v>
      </c>
      <c r="E151" s="1" t="s">
        <v>1</v>
      </c>
      <c r="F151" s="1" t="s">
        <v>98</v>
      </c>
    </row>
    <row r="152" spans="1:6" ht="17.25" customHeight="1" x14ac:dyDescent="0.25">
      <c r="A152" s="1">
        <v>2458345.4580100002</v>
      </c>
      <c r="B152" s="1" t="s">
        <v>96</v>
      </c>
      <c r="C152" s="1">
        <v>11.414999999999999</v>
      </c>
      <c r="D152" s="1">
        <v>6.0000000000000001E-3</v>
      </c>
      <c r="E152" s="1" t="s">
        <v>1</v>
      </c>
      <c r="F152" s="1" t="s">
        <v>98</v>
      </c>
    </row>
    <row r="153" spans="1:6" ht="17.25" customHeight="1" x14ac:dyDescent="0.25">
      <c r="A153" s="1">
        <v>2458345.4595900001</v>
      </c>
      <c r="B153" s="1" t="s">
        <v>96</v>
      </c>
      <c r="C153" s="1">
        <v>11.423</v>
      </c>
      <c r="D153" s="1">
        <v>6.0000000000000001E-3</v>
      </c>
      <c r="E153" s="1" t="s">
        <v>1</v>
      </c>
      <c r="F153" s="1" t="s">
        <v>98</v>
      </c>
    </row>
    <row r="154" spans="1:6" ht="17.25" customHeight="1" x14ac:dyDescent="0.25">
      <c r="A154" s="1">
        <v>2458345.4611800001</v>
      </c>
      <c r="B154" s="1" t="s">
        <v>96</v>
      </c>
      <c r="C154" s="1">
        <v>11.411</v>
      </c>
      <c r="D154" s="1">
        <v>6.0000000000000001E-3</v>
      </c>
      <c r="E154" s="1" t="s">
        <v>1</v>
      </c>
      <c r="F154" s="1" t="s">
        <v>98</v>
      </c>
    </row>
    <row r="155" spans="1:6" ht="17.25" customHeight="1" x14ac:dyDescent="0.25">
      <c r="A155" s="1">
        <v>2458345.46276</v>
      </c>
      <c r="B155" s="1" t="s">
        <v>96</v>
      </c>
      <c r="C155" s="1">
        <v>11.409000000000001</v>
      </c>
      <c r="D155" s="1">
        <v>6.0000000000000001E-3</v>
      </c>
      <c r="E155" s="1" t="s">
        <v>1</v>
      </c>
      <c r="F155" s="1" t="s">
        <v>98</v>
      </c>
    </row>
    <row r="156" spans="1:6" ht="17.25" customHeight="1" x14ac:dyDescent="0.25">
      <c r="A156" s="1">
        <v>2458345.46435</v>
      </c>
      <c r="B156" s="1" t="s">
        <v>96</v>
      </c>
      <c r="C156" s="1">
        <v>11.41</v>
      </c>
      <c r="D156" s="1">
        <v>6.0000000000000001E-3</v>
      </c>
      <c r="E156" s="1" t="s">
        <v>1</v>
      </c>
      <c r="F156" s="1" t="s">
        <v>98</v>
      </c>
    </row>
    <row r="157" spans="1:6" ht="17.25" customHeight="1" x14ac:dyDescent="0.25">
      <c r="A157" s="1">
        <v>2458345.4659500001</v>
      </c>
      <c r="B157" s="1" t="s">
        <v>96</v>
      </c>
      <c r="C157" s="1">
        <v>11.409000000000001</v>
      </c>
      <c r="D157" s="1">
        <v>6.0000000000000001E-3</v>
      </c>
      <c r="E157" s="1" t="s">
        <v>1</v>
      </c>
      <c r="F157" s="1" t="s">
        <v>98</v>
      </c>
    </row>
    <row r="158" spans="1:6" ht="17.25" customHeight="1" x14ac:dyDescent="0.25">
      <c r="A158" s="1">
        <v>2458345.46753</v>
      </c>
      <c r="B158" s="1" t="s">
        <v>96</v>
      </c>
      <c r="C158" s="1">
        <v>11.403</v>
      </c>
      <c r="D158" s="1">
        <v>6.0000000000000001E-3</v>
      </c>
      <c r="E158" s="1" t="s">
        <v>1</v>
      </c>
      <c r="F158" s="1" t="s">
        <v>98</v>
      </c>
    </row>
    <row r="159" spans="1:6" ht="17.25" customHeight="1" x14ac:dyDescent="0.25">
      <c r="A159" s="1">
        <v>2458345.46912</v>
      </c>
      <c r="B159" s="1" t="s">
        <v>96</v>
      </c>
      <c r="C159" s="1">
        <v>11.4</v>
      </c>
      <c r="D159" s="1">
        <v>6.0000000000000001E-3</v>
      </c>
      <c r="E159" s="1" t="s">
        <v>1</v>
      </c>
      <c r="F159" s="1" t="s">
        <v>98</v>
      </c>
    </row>
    <row r="160" spans="1:6" ht="17.25" customHeight="1" x14ac:dyDescent="0.25">
      <c r="A160" s="1">
        <v>2458345.4706999999</v>
      </c>
      <c r="B160" s="1" t="s">
        <v>96</v>
      </c>
      <c r="C160" s="1">
        <v>11.377000000000001</v>
      </c>
      <c r="D160" s="1">
        <v>8.0000000000000002E-3</v>
      </c>
      <c r="E160" s="1" t="s">
        <v>1</v>
      </c>
      <c r="F160" s="1" t="s">
        <v>98</v>
      </c>
    </row>
    <row r="161" spans="1:6" ht="17.25" customHeight="1" x14ac:dyDescent="0.25">
      <c r="A161" s="1">
        <v>2458345.4735599998</v>
      </c>
      <c r="B161" s="1" t="s">
        <v>96</v>
      </c>
      <c r="C161" s="1">
        <v>11.451000000000001</v>
      </c>
      <c r="D161" s="1">
        <v>7.0000000000000001E-3</v>
      </c>
      <c r="E161" s="1" t="s">
        <v>1</v>
      </c>
      <c r="F161" s="1" t="s">
        <v>98</v>
      </c>
    </row>
    <row r="162" spans="1:6" ht="17.25" customHeight="1" x14ac:dyDescent="0.25">
      <c r="A162" s="1">
        <v>2458345.4751499998</v>
      </c>
      <c r="B162" s="1" t="s">
        <v>96</v>
      </c>
      <c r="C162" s="1">
        <v>11.467000000000001</v>
      </c>
      <c r="D162" s="1">
        <v>6.0000000000000001E-3</v>
      </c>
      <c r="E162" s="1" t="s">
        <v>1</v>
      </c>
      <c r="F162" s="1" t="s">
        <v>98</v>
      </c>
    </row>
    <row r="163" spans="1:6" ht="17.25" customHeight="1" x14ac:dyDescent="0.25">
      <c r="A163" s="1">
        <v>2458345.4767300002</v>
      </c>
      <c r="B163" s="1" t="s">
        <v>96</v>
      </c>
      <c r="C163" s="1">
        <v>11.462</v>
      </c>
      <c r="D163" s="1">
        <v>6.0000000000000001E-3</v>
      </c>
      <c r="E163" s="1" t="s">
        <v>1</v>
      </c>
      <c r="F163" s="1" t="s">
        <v>98</v>
      </c>
    </row>
    <row r="164" spans="1:6" ht="17.25" customHeight="1" x14ac:dyDescent="0.25">
      <c r="A164" s="1">
        <v>2458345.4783200002</v>
      </c>
      <c r="B164" s="1" t="s">
        <v>96</v>
      </c>
      <c r="C164" s="1">
        <v>11.47</v>
      </c>
      <c r="D164" s="1">
        <v>6.0000000000000001E-3</v>
      </c>
      <c r="E164" s="1" t="s">
        <v>1</v>
      </c>
      <c r="F164" s="1" t="s">
        <v>98</v>
      </c>
    </row>
    <row r="165" spans="1:6" ht="17.25" customHeight="1" x14ac:dyDescent="0.25">
      <c r="A165" s="1">
        <v>2458345.4799000002</v>
      </c>
      <c r="B165" s="1" t="s">
        <v>96</v>
      </c>
      <c r="C165" s="1">
        <v>11.458</v>
      </c>
      <c r="D165" s="1">
        <v>6.0000000000000001E-3</v>
      </c>
      <c r="E165" s="1" t="s">
        <v>1</v>
      </c>
      <c r="F165" s="1" t="s">
        <v>98</v>
      </c>
    </row>
    <row r="166" spans="1:6" ht="17.25" customHeight="1" x14ac:dyDescent="0.25">
      <c r="A166" s="1">
        <v>2458345.4814900002</v>
      </c>
      <c r="B166" s="1" t="s">
        <v>96</v>
      </c>
      <c r="C166" s="1">
        <v>11.448</v>
      </c>
      <c r="D166" s="1">
        <v>6.0000000000000001E-3</v>
      </c>
      <c r="E166" s="1" t="s">
        <v>1</v>
      </c>
      <c r="F166" s="1" t="s">
        <v>98</v>
      </c>
    </row>
    <row r="167" spans="1:6" ht="17.25" customHeight="1" x14ac:dyDescent="0.25">
      <c r="A167" s="1">
        <v>2458345.4830800002</v>
      </c>
      <c r="B167" s="1" t="s">
        <v>96</v>
      </c>
      <c r="C167" s="1">
        <v>11.442</v>
      </c>
      <c r="D167" s="1">
        <v>6.0000000000000001E-3</v>
      </c>
      <c r="E167" s="1" t="s">
        <v>1</v>
      </c>
      <c r="F167" s="1" t="s">
        <v>98</v>
      </c>
    </row>
    <row r="168" spans="1:6" ht="17.25" customHeight="1" x14ac:dyDescent="0.25">
      <c r="A168" s="1">
        <v>2458345.4846600001</v>
      </c>
      <c r="B168" s="1" t="s">
        <v>96</v>
      </c>
      <c r="C168" s="1">
        <v>11.461</v>
      </c>
      <c r="D168" s="1">
        <v>6.0000000000000001E-3</v>
      </c>
      <c r="E168" s="1" t="s">
        <v>1</v>
      </c>
      <c r="F168" s="1" t="s">
        <v>98</v>
      </c>
    </row>
    <row r="169" spans="1:6" ht="17.25" customHeight="1" x14ac:dyDescent="0.25">
      <c r="A169" s="1">
        <v>2458345.4862500001</v>
      </c>
      <c r="B169" s="1" t="s">
        <v>96</v>
      </c>
      <c r="C169" s="1">
        <v>11.45</v>
      </c>
      <c r="D169" s="1">
        <v>6.0000000000000001E-3</v>
      </c>
      <c r="E169" s="1" t="s">
        <v>1</v>
      </c>
      <c r="F169" s="1" t="s">
        <v>98</v>
      </c>
    </row>
    <row r="170" spans="1:6" ht="17.25" customHeight="1" x14ac:dyDescent="0.25">
      <c r="A170" s="1">
        <v>2458345.48783</v>
      </c>
      <c r="B170" s="1" t="s">
        <v>96</v>
      </c>
      <c r="C170" s="1">
        <v>11.461</v>
      </c>
      <c r="D170" s="1">
        <v>6.0000000000000001E-3</v>
      </c>
      <c r="E170" s="1" t="s">
        <v>1</v>
      </c>
      <c r="F170" s="1" t="s">
        <v>98</v>
      </c>
    </row>
    <row r="171" spans="1:6" ht="17.25" customHeight="1" x14ac:dyDescent="0.25">
      <c r="A171" s="1">
        <v>2458345.48942</v>
      </c>
      <c r="B171" s="1" t="s">
        <v>96</v>
      </c>
      <c r="C171" s="1">
        <v>11.465</v>
      </c>
      <c r="D171" s="1">
        <v>6.0000000000000001E-3</v>
      </c>
      <c r="E171" s="1" t="s">
        <v>1</v>
      </c>
      <c r="F171" s="1" t="s">
        <v>98</v>
      </c>
    </row>
    <row r="172" spans="1:6" ht="17.25" customHeight="1" x14ac:dyDescent="0.25">
      <c r="A172" s="1">
        <v>2458345.4910200001</v>
      </c>
      <c r="B172" s="1" t="s">
        <v>96</v>
      </c>
      <c r="C172" s="1">
        <v>11.457000000000001</v>
      </c>
      <c r="D172" s="1">
        <v>6.0000000000000001E-3</v>
      </c>
      <c r="E172" s="1" t="s">
        <v>1</v>
      </c>
      <c r="F172" s="1" t="s">
        <v>98</v>
      </c>
    </row>
    <row r="173" spans="1:6" ht="17.25" customHeight="1" x14ac:dyDescent="0.25">
      <c r="A173" s="1">
        <v>2458345.4926</v>
      </c>
      <c r="B173" s="1" t="s">
        <v>96</v>
      </c>
      <c r="C173" s="1">
        <v>11.444000000000001</v>
      </c>
      <c r="D173" s="1">
        <v>6.0000000000000001E-3</v>
      </c>
      <c r="E173" s="1" t="s">
        <v>1</v>
      </c>
      <c r="F173" s="1" t="s">
        <v>98</v>
      </c>
    </row>
    <row r="174" spans="1:6" ht="17.25" customHeight="1" x14ac:dyDescent="0.25">
      <c r="A174" s="1">
        <v>2458345.49419</v>
      </c>
      <c r="B174" s="1" t="s">
        <v>96</v>
      </c>
      <c r="C174" s="1">
        <v>11.462999999999999</v>
      </c>
      <c r="D174" s="1">
        <v>6.0000000000000001E-3</v>
      </c>
      <c r="E174" s="1" t="s">
        <v>1</v>
      </c>
      <c r="F174" s="1" t="s">
        <v>98</v>
      </c>
    </row>
    <row r="175" spans="1:6" ht="17.25" customHeight="1" x14ac:dyDescent="0.25">
      <c r="A175" s="1">
        <v>2458345.4957699999</v>
      </c>
      <c r="B175" s="1" t="s">
        <v>96</v>
      </c>
      <c r="C175" s="1">
        <v>11.462</v>
      </c>
      <c r="D175" s="1">
        <v>6.0000000000000001E-3</v>
      </c>
      <c r="E175" s="1" t="s">
        <v>1</v>
      </c>
      <c r="F175" s="1" t="s">
        <v>98</v>
      </c>
    </row>
    <row r="176" spans="1:6" ht="17.25" customHeight="1" x14ac:dyDescent="0.25">
      <c r="A176" s="1">
        <v>2458345.4973599999</v>
      </c>
      <c r="B176" s="1" t="s">
        <v>96</v>
      </c>
      <c r="C176" s="1">
        <v>11.462999999999999</v>
      </c>
      <c r="D176" s="1">
        <v>6.0000000000000001E-3</v>
      </c>
      <c r="E176" s="1" t="s">
        <v>1</v>
      </c>
      <c r="F176" s="1" t="s">
        <v>98</v>
      </c>
    </row>
    <row r="177" spans="1:6" ht="17.25" customHeight="1" x14ac:dyDescent="0.25">
      <c r="A177" s="1">
        <v>2458345.4989399998</v>
      </c>
      <c r="B177" s="1" t="s">
        <v>96</v>
      </c>
      <c r="C177" s="1">
        <v>11.46</v>
      </c>
      <c r="D177" s="1">
        <v>6.0000000000000001E-3</v>
      </c>
      <c r="E177" s="1" t="s">
        <v>1</v>
      </c>
      <c r="F177" s="1" t="s">
        <v>98</v>
      </c>
    </row>
    <row r="178" spans="1:6" ht="17.25" customHeight="1" x14ac:dyDescent="0.25">
      <c r="A178" s="1">
        <v>2458345.5005299998</v>
      </c>
      <c r="B178" s="1" t="s">
        <v>78</v>
      </c>
      <c r="C178" s="1">
        <v>11.454000000000001</v>
      </c>
      <c r="D178" s="1">
        <v>6.0000000000000001E-3</v>
      </c>
      <c r="E178" s="1" t="s">
        <v>1</v>
      </c>
      <c r="F178" s="1" t="s">
        <v>98</v>
      </c>
    </row>
    <row r="179" spans="1:6" ht="17.25" customHeight="1" x14ac:dyDescent="0.25">
      <c r="A179" s="1">
        <v>2458345.5021199998</v>
      </c>
      <c r="B179" s="1" t="s">
        <v>78</v>
      </c>
      <c r="C179" s="1">
        <v>11.449</v>
      </c>
      <c r="D179" s="1">
        <v>6.0000000000000001E-3</v>
      </c>
      <c r="E179" s="1" t="s">
        <v>1</v>
      </c>
      <c r="F179" s="1" t="s">
        <v>98</v>
      </c>
    </row>
    <row r="180" spans="1:6" ht="17.25" customHeight="1" x14ac:dyDescent="0.25">
      <c r="A180" s="1">
        <v>2458345.5036999998</v>
      </c>
      <c r="B180" s="1" t="s">
        <v>78</v>
      </c>
      <c r="C180" s="1">
        <v>11.462</v>
      </c>
      <c r="D180" s="1">
        <v>6.0000000000000001E-3</v>
      </c>
      <c r="E180" s="1" t="s">
        <v>1</v>
      </c>
      <c r="F180" s="1" t="s">
        <v>98</v>
      </c>
    </row>
    <row r="181" spans="1:6" ht="17.25" customHeight="1" x14ac:dyDescent="0.25">
      <c r="A181" s="1">
        <v>2458345.5052899998</v>
      </c>
      <c r="B181" s="1" t="s">
        <v>78</v>
      </c>
      <c r="C181" s="1">
        <v>11.465</v>
      </c>
      <c r="D181" s="1">
        <v>6.0000000000000001E-3</v>
      </c>
      <c r="E181" s="1" t="s">
        <v>1</v>
      </c>
      <c r="F181" s="1" t="s">
        <v>98</v>
      </c>
    </row>
    <row r="182" spans="1:6" ht="17.25" customHeight="1" x14ac:dyDescent="0.25">
      <c r="A182" s="1">
        <v>2458345.5068799998</v>
      </c>
      <c r="B182" s="1" t="s">
        <v>78</v>
      </c>
      <c r="C182" s="1">
        <v>11.46</v>
      </c>
      <c r="D182" s="1">
        <v>6.0000000000000001E-3</v>
      </c>
      <c r="E182" s="1" t="s">
        <v>1</v>
      </c>
      <c r="F182" s="1" t="s">
        <v>98</v>
      </c>
    </row>
    <row r="183" spans="1:6" ht="17.25" customHeight="1" x14ac:dyDescent="0.25">
      <c r="A183" s="1">
        <v>2458345.5084699998</v>
      </c>
      <c r="B183" s="1" t="s">
        <v>78</v>
      </c>
      <c r="C183" s="1">
        <v>11.452</v>
      </c>
      <c r="D183" s="1">
        <v>6.0000000000000001E-3</v>
      </c>
      <c r="E183" s="1" t="s">
        <v>1</v>
      </c>
      <c r="F183" s="1" t="s">
        <v>98</v>
      </c>
    </row>
    <row r="184" spans="1:6" ht="17.25" customHeight="1" x14ac:dyDescent="0.25">
      <c r="A184" s="1">
        <v>2458345.5100500002</v>
      </c>
      <c r="B184" s="1" t="s">
        <v>78</v>
      </c>
      <c r="C184" s="1">
        <v>11.459</v>
      </c>
      <c r="D184" s="1">
        <v>6.0000000000000001E-3</v>
      </c>
      <c r="E184" s="1" t="s">
        <v>1</v>
      </c>
      <c r="F184" s="1" t="s">
        <v>98</v>
      </c>
    </row>
    <row r="185" spans="1:6" ht="17.25" customHeight="1" x14ac:dyDescent="0.25">
      <c r="A185" s="1">
        <v>2458345.5116400002</v>
      </c>
      <c r="B185" s="1" t="s">
        <v>78</v>
      </c>
      <c r="C185" s="1">
        <v>11.449</v>
      </c>
      <c r="D185" s="1">
        <v>6.0000000000000001E-3</v>
      </c>
      <c r="E185" s="1" t="s">
        <v>1</v>
      </c>
      <c r="F185" s="1" t="s">
        <v>98</v>
      </c>
    </row>
    <row r="186" spans="1:6" ht="17.25" customHeight="1" x14ac:dyDescent="0.25">
      <c r="A186" s="1">
        <v>2458345.5132300002</v>
      </c>
      <c r="B186" s="1" t="s">
        <v>78</v>
      </c>
      <c r="C186" s="1">
        <v>11.465</v>
      </c>
      <c r="D186" s="1">
        <v>6.0000000000000001E-3</v>
      </c>
      <c r="E186" s="1" t="s">
        <v>1</v>
      </c>
      <c r="F186" s="1" t="s">
        <v>98</v>
      </c>
    </row>
    <row r="187" spans="1:6" ht="17.25" customHeight="1" x14ac:dyDescent="0.25">
      <c r="A187" s="1">
        <v>2458345.5148100001</v>
      </c>
      <c r="B187" s="1" t="s">
        <v>78</v>
      </c>
      <c r="C187" s="1">
        <v>11.462</v>
      </c>
      <c r="D187" s="1">
        <v>6.0000000000000001E-3</v>
      </c>
      <c r="E187" s="1" t="s">
        <v>1</v>
      </c>
      <c r="F187" s="1" t="s">
        <v>98</v>
      </c>
    </row>
    <row r="188" spans="1:6" ht="17.25" customHeight="1" x14ac:dyDescent="0.25">
      <c r="A188" s="1">
        <v>2458345.5164000001</v>
      </c>
      <c r="B188" s="1" t="s">
        <v>78</v>
      </c>
      <c r="C188" s="1">
        <v>11.451000000000001</v>
      </c>
      <c r="D188" s="1">
        <v>6.0000000000000001E-3</v>
      </c>
      <c r="E188" s="1" t="s">
        <v>1</v>
      </c>
      <c r="F188" s="1" t="s">
        <v>98</v>
      </c>
    </row>
    <row r="189" spans="1:6" ht="17.25" customHeight="1" x14ac:dyDescent="0.25">
      <c r="A189" s="1">
        <v>2458345.5179900001</v>
      </c>
      <c r="B189" s="1" t="s">
        <v>78</v>
      </c>
      <c r="C189" s="1">
        <v>11.457000000000001</v>
      </c>
      <c r="D189" s="1">
        <v>6.0000000000000001E-3</v>
      </c>
      <c r="E189" s="1" t="s">
        <v>1</v>
      </c>
      <c r="F189" s="1" t="s">
        <v>98</v>
      </c>
    </row>
    <row r="190" spans="1:6" ht="17.25" customHeight="1" x14ac:dyDescent="0.25">
      <c r="A190" s="1">
        <v>2458345.5195800001</v>
      </c>
      <c r="B190" s="1" t="s">
        <v>78</v>
      </c>
      <c r="C190" s="1">
        <v>11.444000000000001</v>
      </c>
      <c r="D190" s="1">
        <v>6.0000000000000001E-3</v>
      </c>
      <c r="E190" s="1" t="s">
        <v>1</v>
      </c>
      <c r="F190" s="1" t="s">
        <v>98</v>
      </c>
    </row>
    <row r="191" spans="1:6" ht="17.25" customHeight="1" x14ac:dyDescent="0.25">
      <c r="A191" s="1">
        <v>2458345.5219800002</v>
      </c>
      <c r="B191" s="1" t="s">
        <v>78</v>
      </c>
      <c r="C191" s="1">
        <v>11.433</v>
      </c>
      <c r="D191" s="1">
        <v>0.01</v>
      </c>
      <c r="E191" s="1" t="s">
        <v>1</v>
      </c>
      <c r="F191" s="1" t="s">
        <v>285</v>
      </c>
    </row>
    <row r="192" spans="1:6" ht="17.25" customHeight="1" x14ac:dyDescent="0.25">
      <c r="A192" s="1">
        <v>2458345.52275</v>
      </c>
      <c r="B192" s="1" t="s">
        <v>78</v>
      </c>
      <c r="C192" s="1">
        <v>11.448</v>
      </c>
      <c r="D192" s="1">
        <v>0.01</v>
      </c>
      <c r="E192" s="1" t="s">
        <v>1</v>
      </c>
      <c r="F192" s="1" t="s">
        <v>285</v>
      </c>
    </row>
    <row r="193" spans="1:6" ht="17.25" customHeight="1" x14ac:dyDescent="0.25">
      <c r="A193" s="1">
        <v>2458345.75661</v>
      </c>
      <c r="B193" s="1" t="s">
        <v>78</v>
      </c>
      <c r="C193" s="1">
        <v>11.477</v>
      </c>
      <c r="D193" s="1">
        <v>5.0000000000000001E-3</v>
      </c>
      <c r="E193" s="1" t="s">
        <v>1</v>
      </c>
      <c r="F193" s="1" t="s">
        <v>99</v>
      </c>
    </row>
    <row r="194" spans="1:6" ht="17.25" customHeight="1" x14ac:dyDescent="0.25">
      <c r="A194" s="1">
        <v>2458345.7570000002</v>
      </c>
      <c r="B194" s="1" t="s">
        <v>78</v>
      </c>
      <c r="C194" s="1">
        <v>11.554</v>
      </c>
      <c r="D194" s="1">
        <v>5.0000000000000001E-3</v>
      </c>
      <c r="E194" s="1" t="s">
        <v>1</v>
      </c>
      <c r="F194" s="1" t="s">
        <v>99</v>
      </c>
    </row>
    <row r="195" spans="1:6" ht="17.25" customHeight="1" x14ac:dyDescent="0.25">
      <c r="A195" s="1">
        <v>2458345.7574100001</v>
      </c>
      <c r="B195" s="1" t="s">
        <v>78</v>
      </c>
      <c r="C195" s="1">
        <v>11.513999999999999</v>
      </c>
      <c r="D195" s="1">
        <v>5.0000000000000001E-3</v>
      </c>
      <c r="E195" s="1" t="s">
        <v>1</v>
      </c>
      <c r="F195" s="1" t="s">
        <v>99</v>
      </c>
    </row>
    <row r="196" spans="1:6" ht="17.25" customHeight="1" x14ac:dyDescent="0.25">
      <c r="A196" s="1">
        <v>2458345.7578099999</v>
      </c>
      <c r="B196" s="1" t="s">
        <v>78</v>
      </c>
      <c r="C196" s="1">
        <v>11.536</v>
      </c>
      <c r="D196" s="1">
        <v>5.0000000000000001E-3</v>
      </c>
      <c r="E196" s="1" t="s">
        <v>1</v>
      </c>
      <c r="F196" s="1" t="s">
        <v>99</v>
      </c>
    </row>
    <row r="197" spans="1:6" ht="17.25" customHeight="1" x14ac:dyDescent="0.25">
      <c r="A197" s="1">
        <v>2458345.7582200002</v>
      </c>
      <c r="B197" s="1" t="s">
        <v>78</v>
      </c>
      <c r="C197" s="1">
        <v>11.528</v>
      </c>
      <c r="D197" s="1">
        <v>5.0000000000000001E-3</v>
      </c>
      <c r="E197" s="1" t="s">
        <v>1</v>
      </c>
      <c r="F197" s="1" t="s">
        <v>99</v>
      </c>
    </row>
    <row r="198" spans="1:6" ht="17.25" customHeight="1" x14ac:dyDescent="0.25">
      <c r="A198" s="1">
        <v>2458345.75862</v>
      </c>
      <c r="B198" s="1" t="s">
        <v>78</v>
      </c>
      <c r="C198" s="1">
        <v>11.484</v>
      </c>
      <c r="D198" s="1">
        <v>5.0000000000000001E-3</v>
      </c>
      <c r="E198" s="1" t="s">
        <v>1</v>
      </c>
      <c r="F198" s="1" t="s">
        <v>99</v>
      </c>
    </row>
    <row r="199" spans="1:6" ht="17.25" customHeight="1" x14ac:dyDescent="0.25">
      <c r="A199" s="1">
        <v>2458345.7590200002</v>
      </c>
      <c r="B199" s="1" t="s">
        <v>78</v>
      </c>
      <c r="C199" s="1">
        <v>11.462</v>
      </c>
      <c r="D199" s="1">
        <v>5.0000000000000001E-3</v>
      </c>
      <c r="E199" s="1" t="s">
        <v>1</v>
      </c>
      <c r="F199" s="1" t="s">
        <v>99</v>
      </c>
    </row>
    <row r="200" spans="1:6" ht="17.25" customHeight="1" x14ac:dyDescent="0.25">
      <c r="A200" s="1">
        <v>2458345.7594300001</v>
      </c>
      <c r="B200" s="1" t="s">
        <v>78</v>
      </c>
      <c r="C200" s="1">
        <v>11.464</v>
      </c>
      <c r="D200" s="1">
        <v>5.0000000000000001E-3</v>
      </c>
      <c r="E200" s="1" t="s">
        <v>1</v>
      </c>
      <c r="F200" s="1" t="s">
        <v>99</v>
      </c>
    </row>
    <row r="201" spans="1:6" ht="17.25" customHeight="1" x14ac:dyDescent="0.25">
      <c r="A201" s="1">
        <v>2458345.7598299999</v>
      </c>
      <c r="B201" s="1" t="s">
        <v>78</v>
      </c>
      <c r="C201" s="1">
        <v>11.48</v>
      </c>
      <c r="D201" s="1">
        <v>5.0000000000000001E-3</v>
      </c>
      <c r="E201" s="1" t="s">
        <v>1</v>
      </c>
      <c r="F201" s="1" t="s">
        <v>99</v>
      </c>
    </row>
    <row r="202" spans="1:6" ht="17.25" customHeight="1" x14ac:dyDescent="0.25">
      <c r="A202" s="1">
        <v>2458345.76064</v>
      </c>
      <c r="B202" s="1" t="s">
        <v>78</v>
      </c>
      <c r="C202" s="1">
        <v>11.513999999999999</v>
      </c>
      <c r="D202" s="1">
        <v>5.0000000000000001E-3</v>
      </c>
      <c r="E202" s="1" t="s">
        <v>1</v>
      </c>
      <c r="F202" s="1" t="s">
        <v>99</v>
      </c>
    </row>
    <row r="203" spans="1:6" ht="17.25" customHeight="1" x14ac:dyDescent="0.25">
      <c r="A203" s="1">
        <v>2458345.7610300002</v>
      </c>
      <c r="B203" s="1" t="s">
        <v>78</v>
      </c>
      <c r="C203" s="1">
        <v>11.472</v>
      </c>
      <c r="D203" s="1">
        <v>5.0000000000000001E-3</v>
      </c>
      <c r="E203" s="1" t="s">
        <v>1</v>
      </c>
      <c r="F203" s="1" t="s">
        <v>99</v>
      </c>
    </row>
    <row r="204" spans="1:6" ht="17.25" customHeight="1" x14ac:dyDescent="0.25">
      <c r="A204" s="1">
        <v>2458345.76144</v>
      </c>
      <c r="B204" s="1" t="s">
        <v>78</v>
      </c>
      <c r="C204" s="1">
        <v>11.49</v>
      </c>
      <c r="D204" s="1">
        <v>5.0000000000000001E-3</v>
      </c>
      <c r="E204" s="1" t="s">
        <v>1</v>
      </c>
      <c r="F204" s="1" t="s">
        <v>99</v>
      </c>
    </row>
    <row r="205" spans="1:6" ht="17.25" customHeight="1" x14ac:dyDescent="0.25">
      <c r="A205" s="1">
        <v>2458345.7618399998</v>
      </c>
      <c r="B205" s="1" t="s">
        <v>78</v>
      </c>
      <c r="C205" s="1">
        <v>11.510999999999999</v>
      </c>
      <c r="D205" s="1">
        <v>5.0000000000000001E-3</v>
      </c>
      <c r="E205" s="1" t="s">
        <v>1</v>
      </c>
      <c r="F205" s="1" t="s">
        <v>99</v>
      </c>
    </row>
    <row r="206" spans="1:6" ht="17.25" customHeight="1" x14ac:dyDescent="0.25">
      <c r="A206" s="1">
        <v>2458345.7622500001</v>
      </c>
      <c r="B206" s="1" t="s">
        <v>78</v>
      </c>
      <c r="C206" s="1">
        <v>11.535</v>
      </c>
      <c r="D206" s="1">
        <v>5.0000000000000001E-3</v>
      </c>
      <c r="E206" s="1" t="s">
        <v>1</v>
      </c>
      <c r="F206" s="1" t="s">
        <v>99</v>
      </c>
    </row>
    <row r="207" spans="1:6" ht="17.25" customHeight="1" x14ac:dyDescent="0.25">
      <c r="A207" s="1">
        <v>2458345.7626399999</v>
      </c>
      <c r="B207" s="1" t="s">
        <v>78</v>
      </c>
      <c r="C207" s="1">
        <v>11.491</v>
      </c>
      <c r="D207" s="1">
        <v>5.0000000000000001E-3</v>
      </c>
      <c r="E207" s="1" t="s">
        <v>1</v>
      </c>
      <c r="F207" s="1" t="s">
        <v>99</v>
      </c>
    </row>
    <row r="208" spans="1:6" ht="17.25" customHeight="1" x14ac:dyDescent="0.25">
      <c r="A208" s="1">
        <v>2458345.7630400001</v>
      </c>
      <c r="B208" s="1" t="s">
        <v>78</v>
      </c>
      <c r="C208" s="1">
        <v>11.489000000000001</v>
      </c>
      <c r="D208" s="1">
        <v>5.0000000000000001E-3</v>
      </c>
      <c r="E208" s="1" t="s">
        <v>1</v>
      </c>
      <c r="F208" s="1" t="s">
        <v>99</v>
      </c>
    </row>
    <row r="209" spans="1:6" ht="17.25" customHeight="1" x14ac:dyDescent="0.25">
      <c r="A209" s="1">
        <v>2458345.76345</v>
      </c>
      <c r="B209" s="1" t="s">
        <v>78</v>
      </c>
      <c r="C209" s="1">
        <v>11.494999999999999</v>
      </c>
      <c r="D209" s="1">
        <v>5.0000000000000001E-3</v>
      </c>
      <c r="E209" s="1" t="s">
        <v>1</v>
      </c>
      <c r="F209" s="1" t="s">
        <v>99</v>
      </c>
    </row>
    <row r="210" spans="1:6" ht="17.25" customHeight="1" x14ac:dyDescent="0.25">
      <c r="A210" s="1">
        <v>2458345.7638500002</v>
      </c>
      <c r="B210" s="1" t="s">
        <v>78</v>
      </c>
      <c r="C210" s="1">
        <v>11.536</v>
      </c>
      <c r="D210" s="1">
        <v>5.0000000000000001E-3</v>
      </c>
      <c r="E210" s="1" t="s">
        <v>1</v>
      </c>
      <c r="F210" s="1" t="s">
        <v>99</v>
      </c>
    </row>
    <row r="211" spans="1:6" ht="17.25" customHeight="1" x14ac:dyDescent="0.25">
      <c r="A211" s="1">
        <v>2458345.76425</v>
      </c>
      <c r="B211" s="1" t="s">
        <v>78</v>
      </c>
      <c r="C211" s="1">
        <v>11.615</v>
      </c>
      <c r="D211" s="1">
        <v>5.0000000000000001E-3</v>
      </c>
      <c r="E211" s="1" t="s">
        <v>1</v>
      </c>
      <c r="F211" s="1" t="s">
        <v>99</v>
      </c>
    </row>
    <row r="212" spans="1:6" ht="17.25" customHeight="1" x14ac:dyDescent="0.25">
      <c r="A212" s="1">
        <v>2458345.7646499998</v>
      </c>
      <c r="B212" s="1" t="s">
        <v>78</v>
      </c>
      <c r="C212" s="1">
        <v>11.478</v>
      </c>
      <c r="D212" s="1">
        <v>5.0000000000000001E-3</v>
      </c>
      <c r="E212" s="1" t="s">
        <v>1</v>
      </c>
      <c r="F212" s="1" t="s">
        <v>99</v>
      </c>
    </row>
    <row r="213" spans="1:6" ht="17.25" customHeight="1" x14ac:dyDescent="0.25">
      <c r="A213" s="1">
        <v>2458345.76505</v>
      </c>
      <c r="B213" s="1" t="s">
        <v>78</v>
      </c>
      <c r="C213" s="1">
        <v>11.504</v>
      </c>
      <c r="D213" s="1">
        <v>5.0000000000000001E-3</v>
      </c>
      <c r="E213" s="1" t="s">
        <v>1</v>
      </c>
      <c r="F213" s="1" t="s">
        <v>99</v>
      </c>
    </row>
    <row r="214" spans="1:6" ht="17.25" customHeight="1" x14ac:dyDescent="0.25">
      <c r="A214" s="1">
        <v>2458345.7654499998</v>
      </c>
      <c r="B214" s="1" t="s">
        <v>78</v>
      </c>
      <c r="C214" s="1">
        <v>11.478999999999999</v>
      </c>
      <c r="D214" s="1">
        <v>5.0000000000000001E-3</v>
      </c>
      <c r="E214" s="1" t="s">
        <v>1</v>
      </c>
      <c r="F214" s="1" t="s">
        <v>99</v>
      </c>
    </row>
    <row r="215" spans="1:6" ht="17.25" customHeight="1" x14ac:dyDescent="0.25">
      <c r="A215" s="1">
        <v>2458345.7658600002</v>
      </c>
      <c r="B215" s="1" t="s">
        <v>78</v>
      </c>
      <c r="C215" s="1">
        <v>11.476000000000001</v>
      </c>
      <c r="D215" s="1">
        <v>5.0000000000000001E-3</v>
      </c>
      <c r="E215" s="1" t="s">
        <v>1</v>
      </c>
      <c r="F215" s="1" t="s">
        <v>99</v>
      </c>
    </row>
    <row r="216" spans="1:6" ht="17.25" customHeight="1" x14ac:dyDescent="0.25">
      <c r="A216" s="1">
        <v>2458345.7662499999</v>
      </c>
      <c r="B216" s="1" t="s">
        <v>78</v>
      </c>
      <c r="C216" s="1">
        <v>11.507999999999999</v>
      </c>
      <c r="D216" s="1">
        <v>5.0000000000000001E-3</v>
      </c>
      <c r="E216" s="1" t="s">
        <v>1</v>
      </c>
      <c r="F216" s="1" t="s">
        <v>99</v>
      </c>
    </row>
    <row r="217" spans="1:6" ht="17.25" customHeight="1" x14ac:dyDescent="0.25">
      <c r="A217" s="1">
        <v>2458345.7666600002</v>
      </c>
      <c r="B217" s="1" t="s">
        <v>78</v>
      </c>
      <c r="C217" s="1">
        <v>11.497</v>
      </c>
      <c r="D217" s="1">
        <v>5.0000000000000001E-3</v>
      </c>
      <c r="E217" s="1" t="s">
        <v>1</v>
      </c>
      <c r="F217" s="1" t="s">
        <v>99</v>
      </c>
    </row>
    <row r="218" spans="1:6" ht="17.25" customHeight="1" x14ac:dyDescent="0.25">
      <c r="A218" s="1">
        <v>2458345.7670499999</v>
      </c>
      <c r="B218" s="1" t="s">
        <v>78</v>
      </c>
      <c r="C218" s="1">
        <v>11.525</v>
      </c>
      <c r="D218" s="1">
        <v>5.0000000000000001E-3</v>
      </c>
      <c r="E218" s="1" t="s">
        <v>1</v>
      </c>
      <c r="F218" s="1" t="s">
        <v>99</v>
      </c>
    </row>
    <row r="219" spans="1:6" ht="17.25" customHeight="1" x14ac:dyDescent="0.25">
      <c r="A219" s="1">
        <v>2458345.7674500002</v>
      </c>
      <c r="B219" s="1" t="s">
        <v>78</v>
      </c>
      <c r="C219" s="1">
        <v>11.489000000000001</v>
      </c>
      <c r="D219" s="1">
        <v>5.0000000000000001E-3</v>
      </c>
      <c r="E219" s="1" t="s">
        <v>1</v>
      </c>
      <c r="F219" s="1" t="s">
        <v>99</v>
      </c>
    </row>
    <row r="220" spans="1:6" ht="17.25" customHeight="1" x14ac:dyDescent="0.25">
      <c r="A220" s="1">
        <v>2458345.76786</v>
      </c>
      <c r="B220" s="1" t="s">
        <v>78</v>
      </c>
      <c r="C220" s="1">
        <v>11.553000000000001</v>
      </c>
      <c r="D220" s="1">
        <v>5.0000000000000001E-3</v>
      </c>
      <c r="E220" s="1" t="s">
        <v>1</v>
      </c>
      <c r="F220" s="1" t="s">
        <v>99</v>
      </c>
    </row>
    <row r="221" spans="1:6" ht="17.25" customHeight="1" x14ac:dyDescent="0.25">
      <c r="A221" s="1">
        <v>2458345.7682599998</v>
      </c>
      <c r="B221" s="1" t="s">
        <v>78</v>
      </c>
      <c r="C221" s="1">
        <v>11.515000000000001</v>
      </c>
      <c r="D221" s="1">
        <v>5.0000000000000001E-3</v>
      </c>
      <c r="E221" s="1" t="s">
        <v>1</v>
      </c>
      <c r="F221" s="1" t="s">
        <v>99</v>
      </c>
    </row>
    <row r="222" spans="1:6" ht="17.25" customHeight="1" x14ac:dyDescent="0.25">
      <c r="A222" s="1">
        <v>2458345.7686600001</v>
      </c>
      <c r="B222" s="1" t="s">
        <v>78</v>
      </c>
      <c r="C222" s="1">
        <v>11.497</v>
      </c>
      <c r="D222" s="1">
        <v>5.0000000000000001E-3</v>
      </c>
      <c r="E222" s="1" t="s">
        <v>1</v>
      </c>
      <c r="F222" s="1" t="s">
        <v>99</v>
      </c>
    </row>
    <row r="223" spans="1:6" ht="17.25" customHeight="1" x14ac:dyDescent="0.25">
      <c r="A223" s="1">
        <v>2458345.7690499998</v>
      </c>
      <c r="B223" s="1" t="s">
        <v>78</v>
      </c>
      <c r="C223" s="1">
        <v>11.523</v>
      </c>
      <c r="D223" s="1">
        <v>5.0000000000000001E-3</v>
      </c>
      <c r="E223" s="1" t="s">
        <v>1</v>
      </c>
      <c r="F223" s="1" t="s">
        <v>99</v>
      </c>
    </row>
    <row r="224" spans="1:6" ht="17.25" customHeight="1" x14ac:dyDescent="0.25">
      <c r="A224" s="1">
        <v>2458345.7694700002</v>
      </c>
      <c r="B224" s="1" t="s">
        <v>78</v>
      </c>
      <c r="C224" s="1">
        <v>11.512</v>
      </c>
      <c r="D224" s="1">
        <v>5.0000000000000001E-3</v>
      </c>
      <c r="E224" s="1" t="s">
        <v>1</v>
      </c>
      <c r="F224" s="1" t="s">
        <v>99</v>
      </c>
    </row>
    <row r="225" spans="1:6" ht="17.25" customHeight="1" x14ac:dyDescent="0.25">
      <c r="A225" s="1">
        <v>2458345.7698599999</v>
      </c>
      <c r="B225" s="1" t="s">
        <v>78</v>
      </c>
      <c r="C225" s="1">
        <v>11.513</v>
      </c>
      <c r="D225" s="1">
        <v>5.0000000000000001E-3</v>
      </c>
      <c r="E225" s="1" t="s">
        <v>1</v>
      </c>
      <c r="F225" s="1" t="s">
        <v>99</v>
      </c>
    </row>
    <row r="226" spans="1:6" ht="17.25" customHeight="1" x14ac:dyDescent="0.25">
      <c r="A226" s="1">
        <v>2458345.7702700002</v>
      </c>
      <c r="B226" s="1" t="s">
        <v>78</v>
      </c>
      <c r="C226" s="1">
        <v>11.449</v>
      </c>
      <c r="D226" s="1">
        <v>5.0000000000000001E-3</v>
      </c>
      <c r="E226" s="1" t="s">
        <v>1</v>
      </c>
      <c r="F226" s="1" t="s">
        <v>99</v>
      </c>
    </row>
    <row r="227" spans="1:6" ht="17.25" customHeight="1" x14ac:dyDescent="0.25">
      <c r="A227" s="1">
        <v>2458345.7706599999</v>
      </c>
      <c r="B227" s="1" t="s">
        <v>78</v>
      </c>
      <c r="C227" s="1">
        <v>11.468</v>
      </c>
      <c r="D227" s="1">
        <v>5.0000000000000001E-3</v>
      </c>
      <c r="E227" s="1" t="s">
        <v>1</v>
      </c>
      <c r="F227" s="1" t="s">
        <v>99</v>
      </c>
    </row>
    <row r="228" spans="1:6" ht="17.25" customHeight="1" x14ac:dyDescent="0.25">
      <c r="A228" s="1">
        <v>2458345.7710600002</v>
      </c>
      <c r="B228" s="1" t="s">
        <v>78</v>
      </c>
      <c r="C228" s="1">
        <v>11.483000000000001</v>
      </c>
      <c r="D228" s="1">
        <v>5.0000000000000001E-3</v>
      </c>
      <c r="E228" s="1" t="s">
        <v>1</v>
      </c>
      <c r="F228" s="1" t="s">
        <v>99</v>
      </c>
    </row>
    <row r="229" spans="1:6" ht="17.25" customHeight="1" x14ac:dyDescent="0.25">
      <c r="A229" s="1">
        <v>2458345.77147</v>
      </c>
      <c r="B229" s="1" t="s">
        <v>78</v>
      </c>
      <c r="C229" s="1">
        <v>11.502000000000001</v>
      </c>
      <c r="D229" s="1">
        <v>5.0000000000000001E-3</v>
      </c>
      <c r="E229" s="1" t="s">
        <v>1</v>
      </c>
      <c r="F229" s="1" t="s">
        <v>99</v>
      </c>
    </row>
    <row r="230" spans="1:6" ht="17.25" customHeight="1" x14ac:dyDescent="0.25">
      <c r="A230" s="1">
        <v>2458345.7718600002</v>
      </c>
      <c r="B230" s="1" t="s">
        <v>78</v>
      </c>
      <c r="C230" s="1">
        <v>11.539</v>
      </c>
      <c r="D230" s="1">
        <v>5.0000000000000001E-3</v>
      </c>
      <c r="E230" s="1" t="s">
        <v>1</v>
      </c>
      <c r="F230" s="1" t="s">
        <v>99</v>
      </c>
    </row>
    <row r="231" spans="1:6" ht="17.25" customHeight="1" x14ac:dyDescent="0.25">
      <c r="A231" s="1">
        <v>2458345.7722700001</v>
      </c>
      <c r="B231" s="1" t="s">
        <v>78</v>
      </c>
      <c r="C231" s="1">
        <v>11.526999999999999</v>
      </c>
      <c r="D231" s="1">
        <v>5.0000000000000001E-3</v>
      </c>
      <c r="E231" s="1" t="s">
        <v>1</v>
      </c>
      <c r="F231" s="1" t="s">
        <v>99</v>
      </c>
    </row>
    <row r="232" spans="1:6" ht="17.25" customHeight="1" x14ac:dyDescent="0.25">
      <c r="A232" s="1">
        <v>2458346.52147</v>
      </c>
      <c r="B232" s="1" t="s">
        <v>79</v>
      </c>
      <c r="C232" s="1">
        <v>11.509</v>
      </c>
      <c r="D232" s="1">
        <v>1.2E-2</v>
      </c>
      <c r="E232" s="1" t="s">
        <v>1</v>
      </c>
      <c r="F232" s="1" t="s">
        <v>285</v>
      </c>
    </row>
    <row r="233" spans="1:6" ht="17.25" customHeight="1" x14ac:dyDescent="0.25">
      <c r="A233" s="1">
        <v>2458346.5222299998</v>
      </c>
      <c r="B233" s="1" t="s">
        <v>79</v>
      </c>
      <c r="C233" s="1">
        <v>11.542999999999999</v>
      </c>
      <c r="D233" s="1">
        <v>1.2E-2</v>
      </c>
      <c r="E233" s="1" t="s">
        <v>1</v>
      </c>
      <c r="F233" s="1" t="s">
        <v>285</v>
      </c>
    </row>
    <row r="234" spans="1:6" ht="17.25" customHeight="1" x14ac:dyDescent="0.25">
      <c r="A234" s="1">
        <v>2458346.6552400002</v>
      </c>
      <c r="B234" s="1" t="s">
        <v>79</v>
      </c>
      <c r="C234" s="1">
        <v>11.538</v>
      </c>
      <c r="D234" s="1">
        <v>6.0000000000000001E-3</v>
      </c>
      <c r="E234" s="1" t="s">
        <v>1</v>
      </c>
      <c r="F234" s="1" t="s">
        <v>100</v>
      </c>
    </row>
    <row r="235" spans="1:6" ht="17.25" customHeight="1" x14ac:dyDescent="0.25">
      <c r="A235" s="1">
        <v>2458346.6606700001</v>
      </c>
      <c r="B235" s="1" t="s">
        <v>79</v>
      </c>
      <c r="C235" s="1">
        <v>11.545999999999999</v>
      </c>
      <c r="D235" s="1">
        <v>5.0000000000000001E-3</v>
      </c>
      <c r="E235" s="1" t="s">
        <v>1</v>
      </c>
      <c r="F235" s="1" t="s">
        <v>100</v>
      </c>
    </row>
    <row r="236" spans="1:6" ht="17.25" customHeight="1" x14ac:dyDescent="0.25">
      <c r="A236" s="1">
        <v>2458346.6661</v>
      </c>
      <c r="B236" s="1" t="s">
        <v>79</v>
      </c>
      <c r="C236" s="1">
        <v>11.551</v>
      </c>
      <c r="D236" s="1">
        <v>5.0000000000000001E-3</v>
      </c>
      <c r="E236" s="1" t="s">
        <v>1</v>
      </c>
      <c r="F236" s="1" t="s">
        <v>100</v>
      </c>
    </row>
    <row r="237" spans="1:6" ht="17.25" customHeight="1" x14ac:dyDescent="0.25">
      <c r="A237" s="1">
        <v>2458346.6715299999</v>
      </c>
      <c r="B237" s="1" t="s">
        <v>79</v>
      </c>
      <c r="C237" s="1">
        <v>11.538</v>
      </c>
      <c r="D237" s="1">
        <v>5.0000000000000001E-3</v>
      </c>
      <c r="E237" s="1" t="s">
        <v>1</v>
      </c>
      <c r="F237" s="1" t="s">
        <v>100</v>
      </c>
    </row>
    <row r="238" spans="1:6" ht="17.25" customHeight="1" x14ac:dyDescent="0.25">
      <c r="A238" s="1">
        <v>2458346.6769300001</v>
      </c>
      <c r="B238" s="1" t="s">
        <v>79</v>
      </c>
      <c r="C238" s="1">
        <v>11.541</v>
      </c>
      <c r="D238" s="1">
        <v>5.0000000000000001E-3</v>
      </c>
      <c r="E238" s="1" t="s">
        <v>1</v>
      </c>
      <c r="F238" s="1" t="s">
        <v>100</v>
      </c>
    </row>
    <row r="239" spans="1:6" ht="17.25" customHeight="1" x14ac:dyDescent="0.25">
      <c r="A239" s="1">
        <v>2458346.68236</v>
      </c>
      <c r="B239" s="1" t="s">
        <v>79</v>
      </c>
      <c r="C239" s="1">
        <v>11.548999999999999</v>
      </c>
      <c r="D239" s="1">
        <v>5.0000000000000001E-3</v>
      </c>
      <c r="E239" s="1" t="s">
        <v>1</v>
      </c>
      <c r="F239" s="1" t="s">
        <v>100</v>
      </c>
    </row>
    <row r="240" spans="1:6" ht="17.25" customHeight="1" x14ac:dyDescent="0.25">
      <c r="A240" s="1">
        <v>2458346.6877799998</v>
      </c>
      <c r="B240" s="1" t="s">
        <v>79</v>
      </c>
      <c r="C240" s="1">
        <v>11.541</v>
      </c>
      <c r="D240" s="1">
        <v>5.0000000000000001E-3</v>
      </c>
      <c r="E240" s="1" t="s">
        <v>1</v>
      </c>
      <c r="F240" s="1" t="s">
        <v>100</v>
      </c>
    </row>
    <row r="241" spans="1:6" ht="17.25" customHeight="1" x14ac:dyDescent="0.25">
      <c r="A241" s="1">
        <v>2458346.69319</v>
      </c>
      <c r="B241" s="1" t="s">
        <v>79</v>
      </c>
      <c r="C241" s="1">
        <v>11.535</v>
      </c>
      <c r="D241" s="1">
        <v>5.0000000000000001E-3</v>
      </c>
      <c r="E241" s="1" t="s">
        <v>1</v>
      </c>
      <c r="F241" s="1" t="s">
        <v>100</v>
      </c>
    </row>
    <row r="242" spans="1:6" ht="17.25" customHeight="1" x14ac:dyDescent="0.25">
      <c r="A242" s="1">
        <v>2458346.69863</v>
      </c>
      <c r="B242" s="1" t="s">
        <v>79</v>
      </c>
      <c r="C242" s="1">
        <v>11.542</v>
      </c>
      <c r="D242" s="1">
        <v>4.0000000000000001E-3</v>
      </c>
      <c r="E242" s="1" t="s">
        <v>1</v>
      </c>
      <c r="F242" s="1" t="s">
        <v>100</v>
      </c>
    </row>
    <row r="243" spans="1:6" ht="17.25" customHeight="1" x14ac:dyDescent="0.25">
      <c r="A243" s="1">
        <v>2458346.7040599999</v>
      </c>
      <c r="B243" s="1" t="s">
        <v>79</v>
      </c>
      <c r="C243" s="1">
        <v>11.541</v>
      </c>
      <c r="D243" s="1">
        <v>5.0000000000000001E-3</v>
      </c>
      <c r="E243" s="1" t="s">
        <v>1</v>
      </c>
      <c r="F243" s="1" t="s">
        <v>100</v>
      </c>
    </row>
    <row r="244" spans="1:6" ht="17.25" customHeight="1" x14ac:dyDescent="0.25">
      <c r="A244" s="1">
        <v>2458346.7082600002</v>
      </c>
      <c r="B244" s="1" t="s">
        <v>79</v>
      </c>
      <c r="C244" s="1">
        <v>11.597</v>
      </c>
      <c r="D244" s="1">
        <v>1.2999999999999999E-2</v>
      </c>
      <c r="E244" s="1" t="s">
        <v>1</v>
      </c>
      <c r="F244" s="1" t="s">
        <v>273</v>
      </c>
    </row>
    <row r="245" spans="1:6" ht="17.25" customHeight="1" x14ac:dyDescent="0.25">
      <c r="A245" s="1">
        <v>2458346.70903</v>
      </c>
      <c r="B245" s="1" t="s">
        <v>79</v>
      </c>
      <c r="C245" s="1">
        <v>11.612</v>
      </c>
      <c r="D245" s="1">
        <v>1.4E-2</v>
      </c>
      <c r="E245" s="1" t="s">
        <v>1</v>
      </c>
      <c r="F245" s="1" t="s">
        <v>273</v>
      </c>
    </row>
    <row r="246" spans="1:6" ht="17.25" customHeight="1" x14ac:dyDescent="0.25">
      <c r="A246" s="1">
        <v>2458346.7094999999</v>
      </c>
      <c r="B246" s="1" t="s">
        <v>79</v>
      </c>
      <c r="C246" s="1">
        <v>11.529</v>
      </c>
      <c r="D246" s="1">
        <v>5.0000000000000001E-3</v>
      </c>
      <c r="E246" s="1" t="s">
        <v>1</v>
      </c>
      <c r="F246" s="1" t="s">
        <v>100</v>
      </c>
    </row>
    <row r="247" spans="1:6" ht="17.25" customHeight="1" x14ac:dyDescent="0.25">
      <c r="A247" s="1">
        <v>2458346.7098099999</v>
      </c>
      <c r="B247" s="1" t="s">
        <v>79</v>
      </c>
      <c r="C247" s="1">
        <v>11.637</v>
      </c>
      <c r="D247" s="1">
        <v>1.2999999999999999E-2</v>
      </c>
      <c r="E247" s="1" t="s">
        <v>1</v>
      </c>
      <c r="F247" s="1" t="s">
        <v>273</v>
      </c>
    </row>
    <row r="248" spans="1:6" ht="17.25" customHeight="1" x14ac:dyDescent="0.25">
      <c r="A248" s="1">
        <v>2458346.7105800002</v>
      </c>
      <c r="B248" s="1" t="s">
        <v>79</v>
      </c>
      <c r="C248" s="1">
        <v>11.590999999999999</v>
      </c>
      <c r="D248" s="1">
        <v>1.2999999999999999E-2</v>
      </c>
      <c r="E248" s="1" t="s">
        <v>1</v>
      </c>
      <c r="F248" s="1" t="s">
        <v>273</v>
      </c>
    </row>
    <row r="249" spans="1:6" ht="17.25" customHeight="1" x14ac:dyDescent="0.25">
      <c r="A249" s="1">
        <v>2458346.7113600001</v>
      </c>
      <c r="B249" s="1" t="s">
        <v>79</v>
      </c>
      <c r="C249" s="1">
        <v>11.625999999999999</v>
      </c>
      <c r="D249" s="1">
        <v>1.2999999999999999E-2</v>
      </c>
      <c r="E249" s="1" t="s">
        <v>1</v>
      </c>
      <c r="F249" s="1" t="s">
        <v>273</v>
      </c>
    </row>
    <row r="250" spans="1:6" ht="17.25" customHeight="1" x14ac:dyDescent="0.25">
      <c r="A250" s="1">
        <v>2458346.7149299998</v>
      </c>
      <c r="B250" s="1" t="s">
        <v>79</v>
      </c>
      <c r="C250" s="1">
        <v>11.532</v>
      </c>
      <c r="D250" s="1">
        <v>5.0000000000000001E-3</v>
      </c>
      <c r="E250" s="1" t="s">
        <v>1</v>
      </c>
      <c r="F250" s="1" t="s">
        <v>100</v>
      </c>
    </row>
    <row r="251" spans="1:6" ht="17.25" customHeight="1" x14ac:dyDescent="0.25">
      <c r="A251" s="1">
        <v>2458346.7203700002</v>
      </c>
      <c r="B251" s="1" t="s">
        <v>79</v>
      </c>
      <c r="C251" s="1">
        <v>11.532999999999999</v>
      </c>
      <c r="D251" s="1">
        <v>5.0000000000000001E-3</v>
      </c>
      <c r="E251" s="1" t="s">
        <v>1</v>
      </c>
      <c r="F251" s="1" t="s">
        <v>100</v>
      </c>
    </row>
    <row r="252" spans="1:6" ht="17.25" customHeight="1" x14ac:dyDescent="0.25">
      <c r="A252" s="1">
        <v>2458346.7258100002</v>
      </c>
      <c r="B252" s="1" t="s">
        <v>79</v>
      </c>
      <c r="C252" s="1">
        <v>11.526</v>
      </c>
      <c r="D252" s="1">
        <v>5.0000000000000001E-3</v>
      </c>
      <c r="E252" s="1" t="s">
        <v>1</v>
      </c>
      <c r="F252" s="1" t="s">
        <v>100</v>
      </c>
    </row>
    <row r="253" spans="1:6" ht="17.25" customHeight="1" x14ac:dyDescent="0.25">
      <c r="A253" s="1">
        <v>2458346.7312400001</v>
      </c>
      <c r="B253" s="1" t="s">
        <v>79</v>
      </c>
      <c r="C253" s="1">
        <v>11.531000000000001</v>
      </c>
      <c r="D253" s="1">
        <v>5.0000000000000001E-3</v>
      </c>
      <c r="E253" s="1" t="s">
        <v>1</v>
      </c>
      <c r="F253" s="1" t="s">
        <v>100</v>
      </c>
    </row>
    <row r="254" spans="1:6" ht="17.25" customHeight="1" x14ac:dyDescent="0.25">
      <c r="A254" s="1">
        <v>2458346.73667</v>
      </c>
      <c r="B254" s="1" t="s">
        <v>79</v>
      </c>
      <c r="C254" s="1">
        <v>11.534000000000001</v>
      </c>
      <c r="D254" s="1">
        <v>5.0000000000000001E-3</v>
      </c>
      <c r="E254" s="1" t="s">
        <v>1</v>
      </c>
      <c r="F254" s="1" t="s">
        <v>100</v>
      </c>
    </row>
    <row r="255" spans="1:6" ht="17.25" customHeight="1" x14ac:dyDescent="0.25">
      <c r="A255" s="1">
        <v>2458346.7469600001</v>
      </c>
      <c r="B255" s="1" t="s">
        <v>79</v>
      </c>
      <c r="C255" s="1">
        <v>11.53</v>
      </c>
      <c r="D255" s="1">
        <v>5.0000000000000001E-3</v>
      </c>
      <c r="E255" s="1" t="s">
        <v>1</v>
      </c>
      <c r="F255" s="1" t="s">
        <v>100</v>
      </c>
    </row>
    <row r="256" spans="1:6" ht="17.25" customHeight="1" x14ac:dyDescent="0.25">
      <c r="A256" s="1">
        <v>2458346.75238</v>
      </c>
      <c r="B256" s="1" t="s">
        <v>79</v>
      </c>
      <c r="C256" s="1">
        <v>11.537000000000001</v>
      </c>
      <c r="D256" s="1">
        <v>5.0000000000000001E-3</v>
      </c>
      <c r="E256" s="1" t="s">
        <v>1</v>
      </c>
      <c r="F256" s="1" t="s">
        <v>100</v>
      </c>
    </row>
    <row r="257" spans="1:6" ht="17.25" customHeight="1" x14ac:dyDescent="0.25">
      <c r="A257" s="1">
        <v>2458346.7578199999</v>
      </c>
      <c r="B257" s="1" t="s">
        <v>79</v>
      </c>
      <c r="C257" s="1">
        <v>11.545</v>
      </c>
      <c r="D257" s="1">
        <v>5.0000000000000001E-3</v>
      </c>
      <c r="E257" s="1" t="s">
        <v>1</v>
      </c>
      <c r="F257" s="1" t="s">
        <v>100</v>
      </c>
    </row>
    <row r="258" spans="1:6" ht="17.25" customHeight="1" x14ac:dyDescent="0.25">
      <c r="A258" s="1">
        <v>2458346.7632399998</v>
      </c>
      <c r="B258" s="1" t="s">
        <v>79</v>
      </c>
      <c r="C258" s="1">
        <v>11.544</v>
      </c>
      <c r="D258" s="1">
        <v>5.0000000000000001E-3</v>
      </c>
      <c r="E258" s="1" t="s">
        <v>1</v>
      </c>
      <c r="F258" s="1" t="s">
        <v>100</v>
      </c>
    </row>
    <row r="259" spans="1:6" ht="17.25" customHeight="1" x14ac:dyDescent="0.25">
      <c r="A259" s="1">
        <v>2458346.7686999999</v>
      </c>
      <c r="B259" s="1" t="s">
        <v>79</v>
      </c>
      <c r="C259" s="1">
        <v>11.544</v>
      </c>
      <c r="D259" s="1">
        <v>5.0000000000000001E-3</v>
      </c>
      <c r="E259" s="1" t="s">
        <v>1</v>
      </c>
      <c r="F259" s="1" t="s">
        <v>100</v>
      </c>
    </row>
    <row r="260" spans="1:6" ht="17.25" customHeight="1" x14ac:dyDescent="0.25">
      <c r="A260" s="1">
        <v>2458346.7741399999</v>
      </c>
      <c r="B260" s="1" t="s">
        <v>79</v>
      </c>
      <c r="C260" s="1">
        <v>11.541</v>
      </c>
      <c r="D260" s="1">
        <v>6.0000000000000001E-3</v>
      </c>
      <c r="E260" s="1" t="s">
        <v>1</v>
      </c>
      <c r="F260" s="1" t="s">
        <v>100</v>
      </c>
    </row>
    <row r="261" spans="1:6" ht="17.25" customHeight="1" x14ac:dyDescent="0.25">
      <c r="A261" s="1">
        <v>2458346.7795699998</v>
      </c>
      <c r="B261" s="1" t="s">
        <v>79</v>
      </c>
      <c r="C261" s="1">
        <v>11.55</v>
      </c>
      <c r="D261" s="1">
        <v>8.9999999999999993E-3</v>
      </c>
      <c r="E261" s="1" t="s">
        <v>1</v>
      </c>
      <c r="F261" s="1" t="s">
        <v>100</v>
      </c>
    </row>
    <row r="262" spans="1:6" ht="17.25" customHeight="1" x14ac:dyDescent="0.25">
      <c r="A262" s="1">
        <v>2458346.7850100002</v>
      </c>
      <c r="B262" s="1" t="s">
        <v>79</v>
      </c>
      <c r="C262" s="1">
        <v>11.555999999999999</v>
      </c>
      <c r="D262" s="1">
        <v>8.0000000000000002E-3</v>
      </c>
      <c r="E262" s="1" t="s">
        <v>1</v>
      </c>
      <c r="F262" s="1" t="s">
        <v>100</v>
      </c>
    </row>
    <row r="263" spans="1:6" ht="17.25" customHeight="1" x14ac:dyDescent="0.25">
      <c r="A263" s="1">
        <v>2458346.7904500002</v>
      </c>
      <c r="B263" s="1" t="s">
        <v>79</v>
      </c>
      <c r="C263" s="1">
        <v>11.548</v>
      </c>
      <c r="D263" s="1">
        <v>7.0000000000000001E-3</v>
      </c>
      <c r="E263" s="1" t="s">
        <v>1</v>
      </c>
      <c r="F263" s="1" t="s">
        <v>100</v>
      </c>
    </row>
    <row r="264" spans="1:6" ht="17.25" customHeight="1" x14ac:dyDescent="0.25">
      <c r="A264" s="1">
        <v>2458346.7958900002</v>
      </c>
      <c r="B264" s="1" t="s">
        <v>79</v>
      </c>
      <c r="C264" s="1">
        <v>11.548</v>
      </c>
      <c r="D264" s="1">
        <v>7.0000000000000001E-3</v>
      </c>
      <c r="E264" s="1" t="s">
        <v>1</v>
      </c>
      <c r="F264" s="1" t="s">
        <v>100</v>
      </c>
    </row>
    <row r="265" spans="1:6" ht="17.25" customHeight="1" x14ac:dyDescent="0.25">
      <c r="A265" s="1">
        <v>2458346.80131</v>
      </c>
      <c r="B265" s="1" t="s">
        <v>79</v>
      </c>
      <c r="C265" s="1">
        <v>11.54</v>
      </c>
      <c r="D265" s="1">
        <v>6.0000000000000001E-3</v>
      </c>
      <c r="E265" s="1" t="s">
        <v>1</v>
      </c>
      <c r="F265" s="1" t="s">
        <v>100</v>
      </c>
    </row>
    <row r="266" spans="1:6" ht="17.25" customHeight="1" x14ac:dyDescent="0.25">
      <c r="A266" s="1">
        <v>2458346.8067200002</v>
      </c>
      <c r="B266" s="1" t="s">
        <v>79</v>
      </c>
      <c r="C266" s="1">
        <v>11.56</v>
      </c>
      <c r="D266" s="1">
        <v>6.0000000000000001E-3</v>
      </c>
      <c r="E266" s="1" t="s">
        <v>1</v>
      </c>
      <c r="F266" s="1" t="s">
        <v>100</v>
      </c>
    </row>
    <row r="267" spans="1:6" ht="17.25" customHeight="1" x14ac:dyDescent="0.25">
      <c r="A267" s="1">
        <v>2458346.8121500001</v>
      </c>
      <c r="B267" s="1" t="s">
        <v>79</v>
      </c>
      <c r="C267" s="1">
        <v>11.558</v>
      </c>
      <c r="D267" s="1">
        <v>7.0000000000000001E-3</v>
      </c>
      <c r="E267" s="1" t="s">
        <v>1</v>
      </c>
      <c r="F267" s="1" t="s">
        <v>100</v>
      </c>
    </row>
    <row r="268" spans="1:6" ht="17.25" customHeight="1" x14ac:dyDescent="0.25">
      <c r="A268" s="1">
        <v>2458346.81758</v>
      </c>
      <c r="B268" s="1" t="s">
        <v>79</v>
      </c>
      <c r="C268" s="1">
        <v>11.539</v>
      </c>
      <c r="D268" s="1">
        <v>6.0000000000000001E-3</v>
      </c>
      <c r="E268" s="1" t="s">
        <v>1</v>
      </c>
      <c r="F268" s="1" t="s">
        <v>100</v>
      </c>
    </row>
    <row r="269" spans="1:6" ht="17.25" customHeight="1" x14ac:dyDescent="0.25">
      <c r="A269" s="1">
        <v>2458346.8264700002</v>
      </c>
      <c r="B269" s="1" t="s">
        <v>79</v>
      </c>
      <c r="C269" s="1">
        <v>11.542</v>
      </c>
      <c r="D269" s="1">
        <v>6.0000000000000001E-3</v>
      </c>
      <c r="E269" s="1" t="s">
        <v>1</v>
      </c>
      <c r="F269" s="1" t="s">
        <v>100</v>
      </c>
    </row>
    <row r="270" spans="1:6" ht="17.25" customHeight="1" x14ac:dyDescent="0.25">
      <c r="A270" s="1">
        <v>2458346.8319100002</v>
      </c>
      <c r="B270" s="1" t="s">
        <v>79</v>
      </c>
      <c r="C270" s="1">
        <v>11.55</v>
      </c>
      <c r="D270" s="1">
        <v>6.0000000000000001E-3</v>
      </c>
      <c r="E270" s="1" t="s">
        <v>1</v>
      </c>
      <c r="F270" s="1" t="s">
        <v>100</v>
      </c>
    </row>
    <row r="271" spans="1:6" ht="17.25" customHeight="1" x14ac:dyDescent="0.25">
      <c r="A271" s="1">
        <v>2458346.8373500002</v>
      </c>
      <c r="B271" s="1" t="s">
        <v>79</v>
      </c>
      <c r="C271" s="1">
        <v>11.564</v>
      </c>
      <c r="D271" s="1">
        <v>6.0000000000000001E-3</v>
      </c>
      <c r="E271" s="1" t="s">
        <v>1</v>
      </c>
      <c r="F271" s="1" t="s">
        <v>100</v>
      </c>
    </row>
    <row r="272" spans="1:6" ht="17.25" customHeight="1" x14ac:dyDescent="0.25">
      <c r="A272" s="1">
        <v>2458346.8427900001</v>
      </c>
      <c r="B272" s="1" t="s">
        <v>79</v>
      </c>
      <c r="C272" s="1">
        <v>11.558</v>
      </c>
      <c r="D272" s="1">
        <v>6.0000000000000001E-3</v>
      </c>
      <c r="E272" s="1" t="s">
        <v>1</v>
      </c>
      <c r="F272" s="1" t="s">
        <v>100</v>
      </c>
    </row>
    <row r="273" spans="1:6" ht="17.25" customHeight="1" x14ac:dyDescent="0.25">
      <c r="A273" s="1">
        <v>2458346.84822</v>
      </c>
      <c r="B273" s="1" t="s">
        <v>79</v>
      </c>
      <c r="C273" s="1">
        <v>11.567</v>
      </c>
      <c r="D273" s="1">
        <v>5.0000000000000001E-3</v>
      </c>
      <c r="E273" s="1" t="s">
        <v>1</v>
      </c>
      <c r="F273" s="1" t="s">
        <v>100</v>
      </c>
    </row>
    <row r="274" spans="1:6" ht="17.25" customHeight="1" x14ac:dyDescent="0.25">
      <c r="A274" s="1">
        <v>2458346.85366</v>
      </c>
      <c r="B274" s="1" t="s">
        <v>79</v>
      </c>
      <c r="C274" s="1">
        <v>11.554</v>
      </c>
      <c r="D274" s="1">
        <v>6.0000000000000001E-3</v>
      </c>
      <c r="E274" s="1" t="s">
        <v>1</v>
      </c>
      <c r="F274" s="1" t="s">
        <v>100</v>
      </c>
    </row>
    <row r="275" spans="1:6" ht="17.25" customHeight="1" x14ac:dyDescent="0.25">
      <c r="A275" s="1">
        <v>2458346.8591</v>
      </c>
      <c r="B275" s="1" t="s">
        <v>79</v>
      </c>
      <c r="C275" s="1">
        <v>11.554</v>
      </c>
      <c r="D275" s="1">
        <v>6.0000000000000001E-3</v>
      </c>
      <c r="E275" s="1" t="s">
        <v>1</v>
      </c>
      <c r="F275" s="1" t="s">
        <v>100</v>
      </c>
    </row>
    <row r="276" spans="1:6" ht="17.25" customHeight="1" x14ac:dyDescent="0.25">
      <c r="A276" s="1">
        <v>2458346.8645000001</v>
      </c>
      <c r="B276" s="1" t="s">
        <v>79</v>
      </c>
      <c r="C276" s="1">
        <v>11.553000000000001</v>
      </c>
      <c r="D276" s="1">
        <v>6.0000000000000001E-3</v>
      </c>
      <c r="E276" s="1" t="s">
        <v>1</v>
      </c>
      <c r="F276" s="1" t="s">
        <v>100</v>
      </c>
    </row>
    <row r="277" spans="1:6" ht="17.25" customHeight="1" x14ac:dyDescent="0.25">
      <c r="A277" s="1">
        <v>2458346.8699400001</v>
      </c>
      <c r="B277" s="1" t="s">
        <v>79</v>
      </c>
      <c r="C277" s="1">
        <v>11.558</v>
      </c>
      <c r="D277" s="1">
        <v>6.0000000000000001E-3</v>
      </c>
      <c r="E277" s="1" t="s">
        <v>1</v>
      </c>
      <c r="F277" s="1" t="s">
        <v>100</v>
      </c>
    </row>
    <row r="278" spans="1:6" ht="17.25" customHeight="1" x14ac:dyDescent="0.25">
      <c r="A278" s="1">
        <v>2458346.8753800001</v>
      </c>
      <c r="B278" s="1" t="s">
        <v>79</v>
      </c>
      <c r="C278" s="1">
        <v>11.6</v>
      </c>
      <c r="D278" s="1">
        <v>8.0000000000000002E-3</v>
      </c>
      <c r="E278" s="1" t="s">
        <v>1</v>
      </c>
      <c r="F278" s="1" t="s">
        <v>100</v>
      </c>
    </row>
    <row r="279" spans="1:6" ht="17.25" customHeight="1" x14ac:dyDescent="0.25">
      <c r="A279" s="1">
        <v>2458347.3733999999</v>
      </c>
      <c r="B279" s="1" t="s">
        <v>79</v>
      </c>
      <c r="C279" s="1">
        <v>11.503</v>
      </c>
      <c r="D279" s="1">
        <v>8.9999999999999993E-3</v>
      </c>
      <c r="E279" s="1" t="s">
        <v>1</v>
      </c>
      <c r="F279" s="1" t="s">
        <v>2</v>
      </c>
    </row>
    <row r="280" spans="1:6" ht="17.25" customHeight="1" x14ac:dyDescent="0.25">
      <c r="A280" s="1">
        <v>2458347.6227799999</v>
      </c>
      <c r="B280" s="1" t="s">
        <v>298</v>
      </c>
      <c r="C280" s="1">
        <v>11.368</v>
      </c>
      <c r="D280" s="1">
        <v>4.1000000000000002E-2</v>
      </c>
      <c r="E280" s="1" t="s">
        <v>1</v>
      </c>
      <c r="F280" s="1" t="s">
        <v>285</v>
      </c>
    </row>
    <row r="281" spans="1:6" ht="17.25" customHeight="1" x14ac:dyDescent="0.25">
      <c r="A281" s="1">
        <v>2458347.6233399999</v>
      </c>
      <c r="B281" s="1" t="s">
        <v>298</v>
      </c>
      <c r="C281" s="1">
        <v>11.473000000000001</v>
      </c>
      <c r="D281" s="1">
        <v>3.7999999999999999E-2</v>
      </c>
      <c r="E281" s="1" t="s">
        <v>1</v>
      </c>
      <c r="F281" s="1" t="s">
        <v>285</v>
      </c>
    </row>
    <row r="282" spans="1:6" ht="17.25" customHeight="1" x14ac:dyDescent="0.25">
      <c r="A282" s="1">
        <v>2458347.7077700002</v>
      </c>
      <c r="B282" s="1" t="s">
        <v>298</v>
      </c>
      <c r="C282" s="1">
        <v>11.512</v>
      </c>
      <c r="D282" s="1">
        <v>1.2E-2</v>
      </c>
      <c r="E282" s="1" t="s">
        <v>1</v>
      </c>
      <c r="F282" s="1" t="s">
        <v>273</v>
      </c>
    </row>
    <row r="283" spans="1:6" ht="17.25" customHeight="1" x14ac:dyDescent="0.25">
      <c r="A283" s="1">
        <v>2458347.7085500001</v>
      </c>
      <c r="B283" s="1" t="s">
        <v>298</v>
      </c>
      <c r="C283" s="1">
        <v>11.544</v>
      </c>
      <c r="D283" s="1">
        <v>1.2E-2</v>
      </c>
      <c r="E283" s="1" t="s">
        <v>1</v>
      </c>
      <c r="F283" s="1" t="s">
        <v>273</v>
      </c>
    </row>
    <row r="284" spans="1:6" ht="17.25" customHeight="1" x14ac:dyDescent="0.25">
      <c r="A284" s="1">
        <v>2458347.7093199999</v>
      </c>
      <c r="B284" s="1" t="s">
        <v>298</v>
      </c>
      <c r="C284" s="1">
        <v>11.51</v>
      </c>
      <c r="D284" s="1">
        <v>1.2E-2</v>
      </c>
      <c r="E284" s="1" t="s">
        <v>1</v>
      </c>
      <c r="F284" s="1" t="s">
        <v>273</v>
      </c>
    </row>
    <row r="285" spans="1:6" ht="17.25" customHeight="1" x14ac:dyDescent="0.25">
      <c r="A285" s="1">
        <v>2458347.7100999998</v>
      </c>
      <c r="B285" s="1" t="s">
        <v>298</v>
      </c>
      <c r="C285" s="1">
        <v>11.548</v>
      </c>
      <c r="D285" s="1">
        <v>1.2E-2</v>
      </c>
      <c r="E285" s="1" t="s">
        <v>1</v>
      </c>
      <c r="F285" s="1" t="s">
        <v>273</v>
      </c>
    </row>
    <row r="286" spans="1:6" ht="17.25" customHeight="1" x14ac:dyDescent="0.25">
      <c r="A286" s="1">
        <v>2458347.7108700001</v>
      </c>
      <c r="B286" s="1" t="s">
        <v>298</v>
      </c>
      <c r="C286" s="1">
        <v>11.510999999999999</v>
      </c>
      <c r="D286" s="1">
        <v>1.2E-2</v>
      </c>
      <c r="E286" s="1" t="s">
        <v>1</v>
      </c>
      <c r="F286" s="1" t="s">
        <v>273</v>
      </c>
    </row>
    <row r="287" spans="1:6" ht="17.25" customHeight="1" x14ac:dyDescent="0.25">
      <c r="A287" s="1">
        <v>2458349.5216399999</v>
      </c>
      <c r="B287" s="1" t="s">
        <v>80</v>
      </c>
      <c r="C287" s="1">
        <v>11.51</v>
      </c>
      <c r="D287" s="1">
        <v>8.9999999999999993E-3</v>
      </c>
      <c r="E287" s="1" t="s">
        <v>1</v>
      </c>
      <c r="F287" s="1" t="s">
        <v>94</v>
      </c>
    </row>
    <row r="288" spans="1:6" ht="17.25" customHeight="1" x14ac:dyDescent="0.25">
      <c r="A288" s="1">
        <v>2458349.5220400002</v>
      </c>
      <c r="B288" s="1" t="s">
        <v>80</v>
      </c>
      <c r="C288" s="1">
        <v>11.494</v>
      </c>
      <c r="D288" s="1">
        <v>8.9999999999999993E-3</v>
      </c>
      <c r="E288" s="1" t="s">
        <v>1</v>
      </c>
      <c r="F288" s="1" t="s">
        <v>94</v>
      </c>
    </row>
    <row r="289" spans="1:6" ht="17.25" customHeight="1" x14ac:dyDescent="0.25">
      <c r="A289" s="1">
        <v>2458349.58402</v>
      </c>
      <c r="B289" s="1" t="s">
        <v>80</v>
      </c>
      <c r="C289" s="1">
        <v>11.513999999999999</v>
      </c>
      <c r="D289" s="1">
        <v>0.04</v>
      </c>
      <c r="E289" s="1" t="s">
        <v>1</v>
      </c>
      <c r="F289" s="1" t="s">
        <v>285</v>
      </c>
    </row>
    <row r="290" spans="1:6" ht="17.25" customHeight="1" x14ac:dyDescent="0.25">
      <c r="A290" s="1">
        <v>2458349.5845499998</v>
      </c>
      <c r="B290" s="1" t="s">
        <v>80</v>
      </c>
      <c r="C290" s="1">
        <v>11.438000000000001</v>
      </c>
      <c r="D290" s="1">
        <v>3.9E-2</v>
      </c>
      <c r="E290" s="1" t="s">
        <v>1</v>
      </c>
      <c r="F290" s="1" t="s">
        <v>285</v>
      </c>
    </row>
    <row r="291" spans="1:6" ht="17.25" customHeight="1" x14ac:dyDescent="0.25">
      <c r="A291" s="1">
        <v>2458350.5188199999</v>
      </c>
      <c r="B291" s="1" t="s">
        <v>81</v>
      </c>
      <c r="C291" s="1">
        <v>11.513</v>
      </c>
      <c r="D291" s="1">
        <v>8.9999999999999993E-3</v>
      </c>
      <c r="E291" s="1" t="s">
        <v>1</v>
      </c>
      <c r="F291" s="1" t="s">
        <v>94</v>
      </c>
    </row>
    <row r="292" spans="1:6" ht="17.25" customHeight="1" x14ac:dyDescent="0.25">
      <c r="A292" s="1">
        <v>2458350.5192100001</v>
      </c>
      <c r="B292" s="1" t="s">
        <v>81</v>
      </c>
      <c r="C292" s="1">
        <v>11.538</v>
      </c>
      <c r="D292" s="1">
        <v>8.9999999999999993E-3</v>
      </c>
      <c r="E292" s="1" t="s">
        <v>1</v>
      </c>
      <c r="F292" s="1" t="s">
        <v>94</v>
      </c>
    </row>
    <row r="293" spans="1:6" ht="17.25" customHeight="1" x14ac:dyDescent="0.25">
      <c r="A293" s="1">
        <v>2458350.5841700002</v>
      </c>
      <c r="B293" s="1" t="s">
        <v>81</v>
      </c>
      <c r="C293" s="1">
        <v>11.45</v>
      </c>
      <c r="D293" s="1">
        <v>3.7999999999999999E-2</v>
      </c>
      <c r="E293" s="1" t="s">
        <v>1</v>
      </c>
      <c r="F293" s="1" t="s">
        <v>285</v>
      </c>
    </row>
    <row r="294" spans="1:6" ht="17.25" customHeight="1" x14ac:dyDescent="0.25">
      <c r="A294" s="1">
        <v>2458350.5847399998</v>
      </c>
      <c r="B294" s="1" t="s">
        <v>81</v>
      </c>
      <c r="C294" s="1">
        <v>11.461</v>
      </c>
      <c r="D294" s="1">
        <v>3.4000000000000002E-2</v>
      </c>
      <c r="E294" s="1" t="s">
        <v>1</v>
      </c>
      <c r="F294" s="1" t="s">
        <v>285</v>
      </c>
    </row>
    <row r="295" spans="1:6" ht="17.25" customHeight="1" x14ac:dyDescent="0.25">
      <c r="A295" s="1">
        <v>2458351.51602</v>
      </c>
      <c r="B295" s="1" t="s">
        <v>82</v>
      </c>
      <c r="C295" s="1">
        <v>11.585000000000001</v>
      </c>
      <c r="D295" s="1">
        <v>0.01</v>
      </c>
      <c r="E295" s="1" t="s">
        <v>1</v>
      </c>
      <c r="F295" s="1" t="s">
        <v>94</v>
      </c>
    </row>
    <row r="296" spans="1:6" ht="17.25" customHeight="1" x14ac:dyDescent="0.25">
      <c r="A296" s="1">
        <v>2458351.5164100002</v>
      </c>
      <c r="B296" s="1" t="s">
        <v>82</v>
      </c>
      <c r="C296" s="1">
        <v>11.563000000000001</v>
      </c>
      <c r="D296" s="1">
        <v>8.9999999999999993E-3</v>
      </c>
      <c r="E296" s="1" t="s">
        <v>1</v>
      </c>
      <c r="F296" s="1" t="s">
        <v>94</v>
      </c>
    </row>
    <row r="297" spans="1:6" ht="17.25" customHeight="1" x14ac:dyDescent="0.25">
      <c r="A297" s="1">
        <v>2458351.7015</v>
      </c>
      <c r="B297" s="1" t="s">
        <v>82</v>
      </c>
      <c r="C297" s="1">
        <v>11.632999999999999</v>
      </c>
      <c r="D297" s="1">
        <v>2.4E-2</v>
      </c>
      <c r="E297" s="1" t="s">
        <v>1</v>
      </c>
      <c r="F297" s="1" t="s">
        <v>273</v>
      </c>
    </row>
    <row r="298" spans="1:6" ht="17.25" customHeight="1" x14ac:dyDescent="0.25">
      <c r="A298" s="1">
        <v>2458351.7023900002</v>
      </c>
      <c r="B298" s="1" t="s">
        <v>82</v>
      </c>
      <c r="C298" s="1">
        <v>11.587999999999999</v>
      </c>
      <c r="D298" s="1">
        <v>2.3E-2</v>
      </c>
      <c r="E298" s="1" t="s">
        <v>1</v>
      </c>
      <c r="F298" s="1" t="s">
        <v>273</v>
      </c>
    </row>
    <row r="299" spans="1:6" ht="17.25" customHeight="1" x14ac:dyDescent="0.25">
      <c r="A299" s="1">
        <v>2458351.70328</v>
      </c>
      <c r="B299" s="1" t="s">
        <v>82</v>
      </c>
      <c r="C299" s="1">
        <v>11.590999999999999</v>
      </c>
      <c r="D299" s="1">
        <v>2.5000000000000001E-2</v>
      </c>
      <c r="E299" s="1" t="s">
        <v>1</v>
      </c>
      <c r="F299" s="1" t="s">
        <v>273</v>
      </c>
    </row>
    <row r="300" spans="1:6" ht="17.25" customHeight="1" x14ac:dyDescent="0.25">
      <c r="A300" s="1">
        <v>2458351.7041699998</v>
      </c>
      <c r="B300" s="1" t="s">
        <v>82</v>
      </c>
      <c r="C300" s="1">
        <v>11.61</v>
      </c>
      <c r="D300" s="1">
        <v>2.5999999999999999E-2</v>
      </c>
      <c r="E300" s="1" t="s">
        <v>1</v>
      </c>
      <c r="F300" s="1" t="s">
        <v>273</v>
      </c>
    </row>
    <row r="301" spans="1:6" ht="17.25" customHeight="1" x14ac:dyDescent="0.25">
      <c r="A301" s="1">
        <v>2458351.7050600001</v>
      </c>
      <c r="B301" s="1" t="s">
        <v>82</v>
      </c>
      <c r="C301" s="1">
        <v>11.619</v>
      </c>
      <c r="D301" s="1">
        <v>2.5999999999999999E-2</v>
      </c>
      <c r="E301" s="1" t="s">
        <v>1</v>
      </c>
      <c r="F301" s="1" t="s">
        <v>273</v>
      </c>
    </row>
    <row r="302" spans="1:6" ht="17.25" customHeight="1" x14ac:dyDescent="0.25">
      <c r="A302" s="1">
        <v>2458352.4983999999</v>
      </c>
      <c r="B302" s="1" t="s">
        <v>82</v>
      </c>
      <c r="C302" s="1">
        <v>11.6</v>
      </c>
      <c r="D302" s="1">
        <v>0.01</v>
      </c>
      <c r="E302" s="1" t="s">
        <v>1</v>
      </c>
      <c r="F302" s="1" t="s">
        <v>94</v>
      </c>
    </row>
    <row r="303" spans="1:6" ht="17.25" customHeight="1" x14ac:dyDescent="0.25">
      <c r="A303" s="1">
        <v>2458352.49878</v>
      </c>
      <c r="B303" s="1" t="s">
        <v>82</v>
      </c>
      <c r="C303" s="1">
        <v>11.624000000000001</v>
      </c>
      <c r="D303" s="1">
        <v>0.01</v>
      </c>
      <c r="E303" s="1" t="s">
        <v>1</v>
      </c>
      <c r="F303" s="1" t="s">
        <v>94</v>
      </c>
    </row>
    <row r="304" spans="1:6" ht="17.25" customHeight="1" x14ac:dyDescent="0.25">
      <c r="A304" s="1">
        <v>2458352.6927499999</v>
      </c>
      <c r="B304" s="1" t="s">
        <v>83</v>
      </c>
      <c r="C304" s="1">
        <v>11.663</v>
      </c>
      <c r="D304" s="1">
        <v>1.2999999999999999E-2</v>
      </c>
      <c r="E304" s="1" t="s">
        <v>1</v>
      </c>
      <c r="F304" s="1" t="s">
        <v>273</v>
      </c>
    </row>
    <row r="305" spans="1:6" ht="17.25" customHeight="1" x14ac:dyDescent="0.25">
      <c r="A305" s="1">
        <v>2458352.6935200002</v>
      </c>
      <c r="B305" s="1" t="s">
        <v>83</v>
      </c>
      <c r="C305" s="1">
        <v>11.654</v>
      </c>
      <c r="D305" s="1">
        <v>1.2999999999999999E-2</v>
      </c>
      <c r="E305" s="1" t="s">
        <v>1</v>
      </c>
      <c r="F305" s="1" t="s">
        <v>273</v>
      </c>
    </row>
    <row r="306" spans="1:6" ht="17.25" customHeight="1" x14ac:dyDescent="0.25">
      <c r="A306" s="1">
        <v>2458352.69429</v>
      </c>
      <c r="B306" s="1" t="s">
        <v>83</v>
      </c>
      <c r="C306" s="1">
        <v>11.647</v>
      </c>
      <c r="D306" s="1">
        <v>1.2999999999999999E-2</v>
      </c>
      <c r="E306" s="1" t="s">
        <v>1</v>
      </c>
      <c r="F306" s="1" t="s">
        <v>273</v>
      </c>
    </row>
    <row r="307" spans="1:6" ht="17.25" customHeight="1" x14ac:dyDescent="0.25">
      <c r="A307" s="1">
        <v>2458352.6950699999</v>
      </c>
      <c r="B307" s="1" t="s">
        <v>83</v>
      </c>
      <c r="C307" s="1">
        <v>11.657</v>
      </c>
      <c r="D307" s="1">
        <v>1.2999999999999999E-2</v>
      </c>
      <c r="E307" s="1" t="s">
        <v>1</v>
      </c>
      <c r="F307" s="1" t="s">
        <v>273</v>
      </c>
    </row>
    <row r="308" spans="1:6" ht="17.25" customHeight="1" x14ac:dyDescent="0.25">
      <c r="A308" s="1">
        <v>2458352.6958400002</v>
      </c>
      <c r="B308" s="1" t="s">
        <v>83</v>
      </c>
      <c r="C308" s="1">
        <v>11.68</v>
      </c>
      <c r="D308" s="1">
        <v>1.2999999999999999E-2</v>
      </c>
      <c r="E308" s="1" t="s">
        <v>1</v>
      </c>
      <c r="F308" s="1" t="s">
        <v>273</v>
      </c>
    </row>
    <row r="309" spans="1:6" ht="17.25" customHeight="1" x14ac:dyDescent="0.25">
      <c r="A309" s="1">
        <v>2458353.3609799999</v>
      </c>
      <c r="B309" s="1" t="s">
        <v>83</v>
      </c>
      <c r="C309" s="1">
        <v>11.564</v>
      </c>
      <c r="D309" s="1">
        <v>1.2E-2</v>
      </c>
      <c r="E309" s="1" t="s">
        <v>1</v>
      </c>
      <c r="F309" s="1" t="s">
        <v>101</v>
      </c>
    </row>
    <row r="310" spans="1:6" ht="17.25" customHeight="1" x14ac:dyDescent="0.25">
      <c r="A310" s="1">
        <v>2458353.64133</v>
      </c>
      <c r="B310" s="1" t="s">
        <v>299</v>
      </c>
      <c r="C310" s="1">
        <v>11.618</v>
      </c>
      <c r="D310" s="1">
        <v>1.4E-2</v>
      </c>
      <c r="E310" s="1" t="s">
        <v>1</v>
      </c>
      <c r="F310" s="1" t="s">
        <v>273</v>
      </c>
    </row>
    <row r="311" spans="1:6" ht="17.25" customHeight="1" x14ac:dyDescent="0.25">
      <c r="A311" s="1">
        <v>2458353.6421099999</v>
      </c>
      <c r="B311" s="1" t="s">
        <v>299</v>
      </c>
      <c r="C311" s="1">
        <v>11.622999999999999</v>
      </c>
      <c r="D311" s="1">
        <v>1.4E-2</v>
      </c>
      <c r="E311" s="1" t="s">
        <v>1</v>
      </c>
      <c r="F311" s="1" t="s">
        <v>273</v>
      </c>
    </row>
    <row r="312" spans="1:6" ht="17.25" customHeight="1" x14ac:dyDescent="0.25">
      <c r="A312" s="1">
        <v>2458353.6428800002</v>
      </c>
      <c r="B312" s="1" t="s">
        <v>299</v>
      </c>
      <c r="C312" s="1">
        <v>11.637</v>
      </c>
      <c r="D312" s="1">
        <v>1.4E-2</v>
      </c>
      <c r="E312" s="1" t="s">
        <v>1</v>
      </c>
      <c r="F312" s="1" t="s">
        <v>273</v>
      </c>
    </row>
    <row r="313" spans="1:6" ht="17.25" customHeight="1" x14ac:dyDescent="0.25">
      <c r="A313" s="1">
        <v>2458353.64365</v>
      </c>
      <c r="B313" s="1" t="s">
        <v>299</v>
      </c>
      <c r="C313" s="1">
        <v>11.653</v>
      </c>
      <c r="D313" s="1">
        <v>1.4E-2</v>
      </c>
      <c r="E313" s="1" t="s">
        <v>1</v>
      </c>
      <c r="F313" s="1" t="s">
        <v>273</v>
      </c>
    </row>
    <row r="314" spans="1:6" ht="17.25" customHeight="1" x14ac:dyDescent="0.25">
      <c r="A314" s="1">
        <v>2458353.6444299999</v>
      </c>
      <c r="B314" s="1" t="s">
        <v>299</v>
      </c>
      <c r="C314" s="1">
        <v>11.641999999999999</v>
      </c>
      <c r="D314" s="1">
        <v>1.4E-2</v>
      </c>
      <c r="E314" s="1" t="s">
        <v>1</v>
      </c>
      <c r="F314" s="1" t="s">
        <v>273</v>
      </c>
    </row>
    <row r="315" spans="1:6" ht="17.25" customHeight="1" x14ac:dyDescent="0.25">
      <c r="A315" s="1">
        <v>2458353.6452000001</v>
      </c>
      <c r="B315" s="1" t="s">
        <v>299</v>
      </c>
      <c r="C315" s="1">
        <v>11.641</v>
      </c>
      <c r="D315" s="1">
        <v>1.4E-2</v>
      </c>
      <c r="E315" s="1" t="s">
        <v>1</v>
      </c>
      <c r="F315" s="1" t="s">
        <v>273</v>
      </c>
    </row>
    <row r="316" spans="1:6" ht="17.25" customHeight="1" x14ac:dyDescent="0.25">
      <c r="A316" s="1">
        <v>2458353.64598</v>
      </c>
      <c r="B316" s="1" t="s">
        <v>299</v>
      </c>
      <c r="C316" s="1">
        <v>11.619</v>
      </c>
      <c r="D316" s="1">
        <v>1.4E-2</v>
      </c>
      <c r="E316" s="1" t="s">
        <v>1</v>
      </c>
      <c r="F316" s="1" t="s">
        <v>273</v>
      </c>
    </row>
    <row r="317" spans="1:6" ht="17.25" customHeight="1" x14ac:dyDescent="0.25">
      <c r="A317" s="1">
        <v>2458353.6467499998</v>
      </c>
      <c r="B317" s="1" t="s">
        <v>299</v>
      </c>
      <c r="C317" s="1">
        <v>11.675000000000001</v>
      </c>
      <c r="D317" s="1">
        <v>1.4E-2</v>
      </c>
      <c r="E317" s="1" t="s">
        <v>1</v>
      </c>
      <c r="F317" s="1" t="s">
        <v>273</v>
      </c>
    </row>
    <row r="318" spans="1:6" ht="17.25" customHeight="1" x14ac:dyDescent="0.25">
      <c r="A318" s="1">
        <v>2458353.6475300002</v>
      </c>
      <c r="B318" s="1" t="s">
        <v>299</v>
      </c>
      <c r="C318" s="1">
        <v>11.644</v>
      </c>
      <c r="D318" s="1">
        <v>1.4E-2</v>
      </c>
      <c r="E318" s="1" t="s">
        <v>1</v>
      </c>
      <c r="F318" s="1" t="s">
        <v>273</v>
      </c>
    </row>
    <row r="319" spans="1:6" ht="17.25" customHeight="1" x14ac:dyDescent="0.25">
      <c r="A319" s="1">
        <v>2458353.6483</v>
      </c>
      <c r="B319" s="1" t="s">
        <v>299</v>
      </c>
      <c r="C319" s="1">
        <v>11.632</v>
      </c>
      <c r="D319" s="1">
        <v>1.4E-2</v>
      </c>
      <c r="E319" s="1" t="s">
        <v>1</v>
      </c>
      <c r="F319" s="1" t="s">
        <v>273</v>
      </c>
    </row>
    <row r="320" spans="1:6" ht="17.25" customHeight="1" x14ac:dyDescent="0.25">
      <c r="A320" s="1">
        <v>2458354.50771</v>
      </c>
      <c r="B320" s="1" t="s">
        <v>84</v>
      </c>
      <c r="C320" s="1">
        <v>11.553000000000001</v>
      </c>
      <c r="D320" s="1">
        <v>1.4999999999999999E-2</v>
      </c>
      <c r="E320" s="1" t="s">
        <v>1</v>
      </c>
      <c r="F320" s="1" t="s">
        <v>94</v>
      </c>
    </row>
    <row r="321" spans="1:6" ht="17.25" customHeight="1" x14ac:dyDescent="0.25">
      <c r="A321" s="1">
        <v>2458354.5080900001</v>
      </c>
      <c r="B321" s="1" t="s">
        <v>84</v>
      </c>
      <c r="C321" s="1">
        <v>11.635</v>
      </c>
      <c r="D321" s="1">
        <v>1.7999999999999999E-2</v>
      </c>
      <c r="E321" s="1" t="s">
        <v>1</v>
      </c>
      <c r="F321" s="1" t="s">
        <v>94</v>
      </c>
    </row>
    <row r="322" spans="1:6" ht="17.25" customHeight="1" x14ac:dyDescent="0.25">
      <c r="A322" s="1">
        <v>2458355.4796799999</v>
      </c>
      <c r="B322" s="1" t="s">
        <v>84</v>
      </c>
      <c r="C322" s="1">
        <v>11.539</v>
      </c>
      <c r="D322" s="1">
        <v>2.5999999999999999E-2</v>
      </c>
      <c r="E322" s="1" t="s">
        <v>1</v>
      </c>
      <c r="F322" s="1" t="s">
        <v>285</v>
      </c>
    </row>
    <row r="323" spans="1:6" ht="17.25" customHeight="1" x14ac:dyDescent="0.25">
      <c r="A323" s="1">
        <v>2458355.4802600001</v>
      </c>
      <c r="B323" s="1" t="s">
        <v>84</v>
      </c>
      <c r="C323" s="1">
        <v>11.579000000000001</v>
      </c>
      <c r="D323" s="1">
        <v>2.7E-2</v>
      </c>
      <c r="E323" s="1" t="s">
        <v>1</v>
      </c>
      <c r="F323" s="1" t="s">
        <v>285</v>
      </c>
    </row>
    <row r="324" spans="1:6" ht="17.25" customHeight="1" x14ac:dyDescent="0.25">
      <c r="A324" s="1">
        <v>2458355.5047900002</v>
      </c>
      <c r="B324" s="1" t="s">
        <v>85</v>
      </c>
      <c r="C324" s="1">
        <v>11.586</v>
      </c>
      <c r="D324" s="1">
        <v>1.0999999999999999E-2</v>
      </c>
      <c r="E324" s="1" t="s">
        <v>1</v>
      </c>
      <c r="F324" s="1" t="s">
        <v>94</v>
      </c>
    </row>
    <row r="325" spans="1:6" ht="17.25" customHeight="1" x14ac:dyDescent="0.25">
      <c r="A325" s="1">
        <v>2458355.5051699998</v>
      </c>
      <c r="B325" s="1" t="s">
        <v>85</v>
      </c>
      <c r="C325" s="1">
        <v>11.59</v>
      </c>
      <c r="D325" s="1">
        <v>1.0999999999999999E-2</v>
      </c>
      <c r="E325" s="1" t="s">
        <v>1</v>
      </c>
      <c r="F325" s="1" t="s">
        <v>94</v>
      </c>
    </row>
    <row r="326" spans="1:6" ht="17.25" customHeight="1" x14ac:dyDescent="0.25">
      <c r="A326" s="1">
        <v>2458355.7527000001</v>
      </c>
      <c r="B326" s="1" t="s">
        <v>85</v>
      </c>
      <c r="C326" s="1">
        <v>11.609</v>
      </c>
      <c r="D326" s="1">
        <v>8.0000000000000002E-3</v>
      </c>
      <c r="E326" s="1" t="s">
        <v>1</v>
      </c>
      <c r="F326" s="1" t="s">
        <v>102</v>
      </c>
    </row>
    <row r="327" spans="1:6" ht="17.25" customHeight="1" x14ac:dyDescent="0.25">
      <c r="A327" s="1">
        <v>2458356.3451299998</v>
      </c>
      <c r="B327" s="1" t="s">
        <v>85</v>
      </c>
      <c r="C327" s="1">
        <v>11.619</v>
      </c>
      <c r="D327" s="1">
        <v>2.4E-2</v>
      </c>
      <c r="E327" s="1" t="s">
        <v>1</v>
      </c>
      <c r="F327" s="1" t="s">
        <v>285</v>
      </c>
    </row>
    <row r="328" spans="1:6" ht="17.25" customHeight="1" x14ac:dyDescent="0.25">
      <c r="A328" s="1">
        <v>2458356.3458400001</v>
      </c>
      <c r="B328" s="1" t="s">
        <v>85</v>
      </c>
      <c r="C328" s="1">
        <v>11.634</v>
      </c>
      <c r="D328" s="1">
        <v>2.3E-2</v>
      </c>
      <c r="E328" s="1" t="s">
        <v>1</v>
      </c>
      <c r="F328" s="1" t="s">
        <v>285</v>
      </c>
    </row>
    <row r="329" spans="1:6" ht="17.25" customHeight="1" x14ac:dyDescent="0.25">
      <c r="A329" s="1">
        <v>2458356.5022100001</v>
      </c>
      <c r="B329" s="1" t="s">
        <v>103</v>
      </c>
      <c r="C329" s="1">
        <v>11.632999999999999</v>
      </c>
      <c r="D329" s="1">
        <v>1.0999999999999999E-2</v>
      </c>
      <c r="E329" s="1" t="s">
        <v>1</v>
      </c>
      <c r="F329" s="1" t="s">
        <v>94</v>
      </c>
    </row>
    <row r="330" spans="1:6" ht="17.25" customHeight="1" x14ac:dyDescent="0.25">
      <c r="A330" s="1">
        <v>2458356.5025999998</v>
      </c>
      <c r="B330" s="1" t="s">
        <v>103</v>
      </c>
      <c r="C330" s="1">
        <v>11.625999999999999</v>
      </c>
      <c r="D330" s="1">
        <v>1.0999999999999999E-2</v>
      </c>
      <c r="E330" s="1" t="s">
        <v>1</v>
      </c>
      <c r="F330" s="1" t="s">
        <v>94</v>
      </c>
    </row>
    <row r="331" spans="1:6" ht="17.25" customHeight="1" x14ac:dyDescent="0.25">
      <c r="A331" s="1">
        <v>2458356.6162</v>
      </c>
      <c r="B331" s="1" t="s">
        <v>103</v>
      </c>
      <c r="C331" s="1">
        <v>11.414</v>
      </c>
      <c r="D331" s="1">
        <v>6.4000000000000001E-2</v>
      </c>
      <c r="E331" s="1" t="s">
        <v>1</v>
      </c>
      <c r="F331" s="1" t="s">
        <v>273</v>
      </c>
    </row>
    <row r="332" spans="1:6" ht="17.25" customHeight="1" x14ac:dyDescent="0.25">
      <c r="A332" s="1">
        <v>2458357.4992399998</v>
      </c>
      <c r="B332" s="1" t="s">
        <v>103</v>
      </c>
      <c r="C332" s="1">
        <v>11.638</v>
      </c>
      <c r="D332" s="1">
        <v>1.0999999999999999E-2</v>
      </c>
      <c r="E332" s="1" t="s">
        <v>1</v>
      </c>
      <c r="F332" s="1" t="s">
        <v>94</v>
      </c>
    </row>
    <row r="333" spans="1:6" ht="17.25" customHeight="1" x14ac:dyDescent="0.25">
      <c r="A333" s="1">
        <v>2458357.49963</v>
      </c>
      <c r="B333" s="1" t="s">
        <v>103</v>
      </c>
      <c r="C333" s="1">
        <v>11.638999999999999</v>
      </c>
      <c r="D333" s="1">
        <v>0.01</v>
      </c>
      <c r="E333" s="1" t="s">
        <v>1</v>
      </c>
      <c r="F333" s="1" t="s">
        <v>94</v>
      </c>
    </row>
    <row r="334" spans="1:6" ht="17.25" customHeight="1" x14ac:dyDescent="0.25">
      <c r="A334" s="1">
        <v>2458357.6146</v>
      </c>
      <c r="B334" s="1" t="s">
        <v>86</v>
      </c>
      <c r="C334" s="1">
        <v>11.707000000000001</v>
      </c>
      <c r="D334" s="1">
        <v>1.4999999999999999E-2</v>
      </c>
      <c r="E334" s="1" t="s">
        <v>1</v>
      </c>
      <c r="F334" s="1" t="s">
        <v>273</v>
      </c>
    </row>
    <row r="335" spans="1:6" ht="17.25" customHeight="1" x14ac:dyDescent="0.25">
      <c r="A335" s="1">
        <v>2458357.6150799999</v>
      </c>
      <c r="B335" s="1" t="s">
        <v>86</v>
      </c>
      <c r="C335" s="1">
        <v>11.698</v>
      </c>
      <c r="D335" s="1">
        <v>1.6E-2</v>
      </c>
      <c r="E335" s="1" t="s">
        <v>1</v>
      </c>
      <c r="F335" s="1" t="s">
        <v>273</v>
      </c>
    </row>
    <row r="336" spans="1:6" ht="17.25" customHeight="1" x14ac:dyDescent="0.25">
      <c r="A336" s="1">
        <v>2458357.6155500002</v>
      </c>
      <c r="B336" s="1" t="s">
        <v>86</v>
      </c>
      <c r="C336" s="1">
        <v>11.744</v>
      </c>
      <c r="D336" s="1">
        <v>1.6E-2</v>
      </c>
      <c r="E336" s="1" t="s">
        <v>1</v>
      </c>
      <c r="F336" s="1" t="s">
        <v>273</v>
      </c>
    </row>
    <row r="337" spans="1:6" ht="17.25" customHeight="1" x14ac:dyDescent="0.25">
      <c r="A337" s="1">
        <v>2458357.6160200001</v>
      </c>
      <c r="B337" s="1" t="s">
        <v>86</v>
      </c>
      <c r="C337" s="1">
        <v>11.69</v>
      </c>
      <c r="D337" s="1">
        <v>1.4999999999999999E-2</v>
      </c>
      <c r="E337" s="1" t="s">
        <v>1</v>
      </c>
      <c r="F337" s="1" t="s">
        <v>273</v>
      </c>
    </row>
    <row r="338" spans="1:6" ht="17.25" customHeight="1" x14ac:dyDescent="0.25">
      <c r="A338" s="1">
        <v>2458357.6165</v>
      </c>
      <c r="B338" s="1" t="s">
        <v>86</v>
      </c>
      <c r="C338" s="1">
        <v>11.705</v>
      </c>
      <c r="D338" s="1">
        <v>1.6E-2</v>
      </c>
      <c r="E338" s="1" t="s">
        <v>1</v>
      </c>
      <c r="F338" s="1" t="s">
        <v>273</v>
      </c>
    </row>
    <row r="339" spans="1:6" ht="17.25" customHeight="1" x14ac:dyDescent="0.25">
      <c r="A339" s="1">
        <v>2458358.3451399999</v>
      </c>
      <c r="B339" s="1" t="s">
        <v>86</v>
      </c>
      <c r="C339" s="1">
        <v>11.568</v>
      </c>
      <c r="D339" s="1">
        <v>1.7999999999999999E-2</v>
      </c>
      <c r="E339" s="1" t="s">
        <v>1</v>
      </c>
      <c r="F339" s="1" t="s">
        <v>285</v>
      </c>
    </row>
    <row r="340" spans="1:6" ht="17.25" customHeight="1" x14ac:dyDescent="0.25">
      <c r="A340" s="1">
        <v>2458358.3458199999</v>
      </c>
      <c r="B340" s="1" t="s">
        <v>86</v>
      </c>
      <c r="C340" s="1">
        <v>11.619</v>
      </c>
      <c r="D340" s="1">
        <v>1.7000000000000001E-2</v>
      </c>
      <c r="E340" s="1" t="s">
        <v>1</v>
      </c>
      <c r="F340" s="1" t="s">
        <v>285</v>
      </c>
    </row>
    <row r="341" spans="1:6" ht="17.25" customHeight="1" x14ac:dyDescent="0.25">
      <c r="A341" s="1">
        <v>2458358.4878199999</v>
      </c>
      <c r="B341" s="1" t="s">
        <v>86</v>
      </c>
      <c r="C341" s="1">
        <v>11.68</v>
      </c>
      <c r="D341" s="1">
        <v>8.9999999999999993E-3</v>
      </c>
      <c r="E341" s="1" t="s">
        <v>1</v>
      </c>
      <c r="F341" s="1" t="s">
        <v>94</v>
      </c>
    </row>
    <row r="342" spans="1:6" ht="17.25" customHeight="1" x14ac:dyDescent="0.25">
      <c r="A342" s="1">
        <v>2458358.4882200002</v>
      </c>
      <c r="B342" s="1" t="s">
        <v>86</v>
      </c>
      <c r="C342" s="1">
        <v>11.683999999999999</v>
      </c>
      <c r="D342" s="1">
        <v>8.9999999999999993E-3</v>
      </c>
      <c r="E342" s="1" t="s">
        <v>1</v>
      </c>
      <c r="F342" s="1" t="s">
        <v>94</v>
      </c>
    </row>
    <row r="343" spans="1:6" ht="17.25" customHeight="1" x14ac:dyDescent="0.25">
      <c r="A343" s="1">
        <v>2458359.3416400002</v>
      </c>
      <c r="B343" s="1" t="s">
        <v>87</v>
      </c>
      <c r="C343" s="1">
        <v>11.657</v>
      </c>
      <c r="D343" s="1">
        <v>1.7000000000000001E-2</v>
      </c>
      <c r="E343" s="1" t="s">
        <v>1</v>
      </c>
      <c r="F343" s="1" t="s">
        <v>285</v>
      </c>
    </row>
    <row r="344" spans="1:6" ht="17.25" customHeight="1" x14ac:dyDescent="0.25">
      <c r="A344" s="1">
        <v>2458359.3423100002</v>
      </c>
      <c r="B344" s="1" t="s">
        <v>87</v>
      </c>
      <c r="C344" s="1">
        <v>11.62</v>
      </c>
      <c r="D344" s="1">
        <v>1.6E-2</v>
      </c>
      <c r="E344" s="1" t="s">
        <v>1</v>
      </c>
      <c r="F344" s="1" t="s">
        <v>285</v>
      </c>
    </row>
    <row r="345" spans="1:6" ht="17.25" customHeight="1" x14ac:dyDescent="0.25">
      <c r="A345" s="1">
        <v>2458359.3710500002</v>
      </c>
      <c r="B345" s="1" t="s">
        <v>87</v>
      </c>
      <c r="C345" s="1">
        <v>11.683999999999999</v>
      </c>
      <c r="D345" s="1">
        <v>7.0000000000000001E-3</v>
      </c>
      <c r="E345" s="1" t="s">
        <v>1</v>
      </c>
      <c r="F345" s="1" t="s">
        <v>101</v>
      </c>
    </row>
    <row r="346" spans="1:6" ht="17.25" customHeight="1" x14ac:dyDescent="0.25">
      <c r="A346" s="1">
        <v>2458359.3717800002</v>
      </c>
      <c r="B346" s="1" t="s">
        <v>87</v>
      </c>
      <c r="C346" s="1">
        <v>11.7</v>
      </c>
      <c r="D346" s="1">
        <v>7.0000000000000001E-3</v>
      </c>
      <c r="E346" s="1" t="s">
        <v>1</v>
      </c>
      <c r="F346" s="1" t="s">
        <v>101</v>
      </c>
    </row>
    <row r="347" spans="1:6" ht="17.25" customHeight="1" x14ac:dyDescent="0.25">
      <c r="A347" s="1">
        <v>2458359.48826</v>
      </c>
      <c r="B347" s="1" t="s">
        <v>87</v>
      </c>
      <c r="C347" s="1">
        <v>11.734</v>
      </c>
      <c r="D347" s="1">
        <v>8.9999999999999993E-3</v>
      </c>
      <c r="E347" s="1" t="s">
        <v>1</v>
      </c>
      <c r="F347" s="1" t="s">
        <v>94</v>
      </c>
    </row>
    <row r="348" spans="1:6" ht="17.25" customHeight="1" x14ac:dyDescent="0.25">
      <c r="A348" s="1">
        <v>2458359.4886500002</v>
      </c>
      <c r="B348" s="1" t="s">
        <v>87</v>
      </c>
      <c r="C348" s="1">
        <v>11.727</v>
      </c>
      <c r="D348" s="1">
        <v>8.9999999999999993E-3</v>
      </c>
      <c r="E348" s="1" t="s">
        <v>1</v>
      </c>
      <c r="F348" s="1" t="s">
        <v>94</v>
      </c>
    </row>
    <row r="349" spans="1:6" ht="17.25" customHeight="1" x14ac:dyDescent="0.25">
      <c r="A349" s="1">
        <v>2458359.7067999998</v>
      </c>
      <c r="B349" s="1" t="s">
        <v>88</v>
      </c>
      <c r="C349" s="1">
        <v>11.491</v>
      </c>
      <c r="D349" s="1">
        <v>1.7999999999999999E-2</v>
      </c>
      <c r="E349" s="1" t="s">
        <v>1</v>
      </c>
      <c r="F349" s="1" t="s">
        <v>273</v>
      </c>
    </row>
    <row r="350" spans="1:6" ht="17.25" customHeight="1" x14ac:dyDescent="0.25">
      <c r="A350" s="1">
        <v>2458360.3423100002</v>
      </c>
      <c r="B350" s="1" t="s">
        <v>88</v>
      </c>
      <c r="C350" s="1">
        <v>11.667</v>
      </c>
      <c r="D350" s="1">
        <v>1.6E-2</v>
      </c>
      <c r="E350" s="1" t="s">
        <v>1</v>
      </c>
      <c r="F350" s="1" t="s">
        <v>285</v>
      </c>
    </row>
    <row r="351" spans="1:6" ht="17.25" customHeight="1" x14ac:dyDescent="0.25">
      <c r="A351" s="1">
        <v>2458360.34302</v>
      </c>
      <c r="B351" s="1" t="s">
        <v>88</v>
      </c>
      <c r="C351" s="1">
        <v>11.679</v>
      </c>
      <c r="D351" s="1">
        <v>1.6E-2</v>
      </c>
      <c r="E351" s="1" t="s">
        <v>1</v>
      </c>
      <c r="F351" s="1" t="s">
        <v>285</v>
      </c>
    </row>
    <row r="352" spans="1:6" ht="17.25" customHeight="1" x14ac:dyDescent="0.25">
      <c r="A352" s="1">
        <v>2458360.4889400001</v>
      </c>
      <c r="B352" s="1" t="s">
        <v>88</v>
      </c>
      <c r="C352" s="1">
        <v>11.747</v>
      </c>
      <c r="D352" s="1">
        <v>8.9999999999999993E-3</v>
      </c>
      <c r="E352" s="1" t="s">
        <v>1</v>
      </c>
      <c r="F352" s="1" t="s">
        <v>94</v>
      </c>
    </row>
    <row r="353" spans="1:6" ht="17.25" customHeight="1" x14ac:dyDescent="0.25">
      <c r="A353" s="1">
        <v>2458360.4893200002</v>
      </c>
      <c r="B353" s="1" t="s">
        <v>88</v>
      </c>
      <c r="C353" s="1">
        <v>11.75</v>
      </c>
      <c r="D353" s="1">
        <v>8.9999999999999993E-3</v>
      </c>
      <c r="E353" s="1" t="s">
        <v>1</v>
      </c>
      <c r="F353" s="1" t="s">
        <v>94</v>
      </c>
    </row>
    <row r="354" spans="1:6" ht="17.25" customHeight="1" x14ac:dyDescent="0.25">
      <c r="A354" s="1">
        <v>2458360.6524299998</v>
      </c>
      <c r="B354" s="1" t="s">
        <v>89</v>
      </c>
      <c r="C354" s="1">
        <v>11.818</v>
      </c>
      <c r="D354" s="1">
        <v>1.2E-2</v>
      </c>
      <c r="E354" s="1" t="s">
        <v>1</v>
      </c>
      <c r="F354" s="1" t="s">
        <v>273</v>
      </c>
    </row>
    <row r="355" spans="1:6" ht="17.25" customHeight="1" x14ac:dyDescent="0.25">
      <c r="A355" s="1">
        <v>2458360.65289</v>
      </c>
      <c r="B355" s="1" t="s">
        <v>89</v>
      </c>
      <c r="C355" s="1">
        <v>11.81</v>
      </c>
      <c r="D355" s="1">
        <v>1.2E-2</v>
      </c>
      <c r="E355" s="1" t="s">
        <v>1</v>
      </c>
      <c r="F355" s="1" t="s">
        <v>273</v>
      </c>
    </row>
    <row r="356" spans="1:6" ht="17.25" customHeight="1" x14ac:dyDescent="0.25">
      <c r="A356" s="1">
        <v>2458360.6533499998</v>
      </c>
      <c r="B356" s="1" t="s">
        <v>89</v>
      </c>
      <c r="C356" s="1">
        <v>11.837999999999999</v>
      </c>
      <c r="D356" s="1">
        <v>1.2E-2</v>
      </c>
      <c r="E356" s="1" t="s">
        <v>1</v>
      </c>
      <c r="F356" s="1" t="s">
        <v>273</v>
      </c>
    </row>
    <row r="357" spans="1:6" ht="17.25" customHeight="1" x14ac:dyDescent="0.25">
      <c r="A357" s="1">
        <v>2458360.65381</v>
      </c>
      <c r="B357" s="1" t="s">
        <v>89</v>
      </c>
      <c r="C357" s="1">
        <v>11.836</v>
      </c>
      <c r="D357" s="1">
        <v>1.2E-2</v>
      </c>
      <c r="E357" s="1" t="s">
        <v>1</v>
      </c>
      <c r="F357" s="1" t="s">
        <v>273</v>
      </c>
    </row>
    <row r="358" spans="1:6" ht="17.25" customHeight="1" x14ac:dyDescent="0.25">
      <c r="A358" s="1">
        <v>2458361.3413900002</v>
      </c>
      <c r="B358" s="1" t="s">
        <v>89</v>
      </c>
      <c r="C358" s="1">
        <v>11.695</v>
      </c>
      <c r="D358" s="1">
        <v>1.7999999999999999E-2</v>
      </c>
      <c r="E358" s="1" t="s">
        <v>1</v>
      </c>
      <c r="F358" s="1" t="s">
        <v>285</v>
      </c>
    </row>
    <row r="359" spans="1:6" ht="17.25" customHeight="1" x14ac:dyDescent="0.25">
      <c r="A359" s="1">
        <v>2458361.3421</v>
      </c>
      <c r="B359" s="1" t="s">
        <v>89</v>
      </c>
      <c r="C359" s="1">
        <v>11.721</v>
      </c>
      <c r="D359" s="1">
        <v>1.9E-2</v>
      </c>
      <c r="E359" s="1" t="s">
        <v>1</v>
      </c>
      <c r="F359" s="1" t="s">
        <v>285</v>
      </c>
    </row>
    <row r="360" spans="1:6" ht="17.25" customHeight="1" x14ac:dyDescent="0.25">
      <c r="A360" s="1">
        <v>2458361.4891900001</v>
      </c>
      <c r="B360" s="1" t="s">
        <v>89</v>
      </c>
      <c r="C360" s="1">
        <v>11.782</v>
      </c>
      <c r="D360" s="1">
        <v>8.9999999999999993E-3</v>
      </c>
      <c r="E360" s="1" t="s">
        <v>1</v>
      </c>
      <c r="F360" s="1" t="s">
        <v>94</v>
      </c>
    </row>
    <row r="361" spans="1:6" ht="17.25" customHeight="1" x14ac:dyDescent="0.25">
      <c r="A361" s="1">
        <v>2458361.4895700002</v>
      </c>
      <c r="B361" s="1" t="s">
        <v>89</v>
      </c>
      <c r="C361" s="1">
        <v>11.784000000000001</v>
      </c>
      <c r="D361" s="1">
        <v>8.9999999999999993E-3</v>
      </c>
      <c r="E361" s="1" t="s">
        <v>1</v>
      </c>
      <c r="F361" s="1" t="s">
        <v>94</v>
      </c>
    </row>
    <row r="362" spans="1:6" ht="17.25" customHeight="1" x14ac:dyDescent="0.25">
      <c r="A362" s="1">
        <v>2458362.3405200001</v>
      </c>
      <c r="B362" s="1" t="s">
        <v>104</v>
      </c>
      <c r="C362" s="1">
        <v>11.763</v>
      </c>
      <c r="D362" s="1">
        <v>0.02</v>
      </c>
      <c r="E362" s="1" t="s">
        <v>1</v>
      </c>
      <c r="F362" s="1" t="s">
        <v>285</v>
      </c>
    </row>
    <row r="363" spans="1:6" ht="17.25" customHeight="1" x14ac:dyDescent="0.25">
      <c r="A363" s="1">
        <v>2458362.3411900001</v>
      </c>
      <c r="B363" s="1" t="s">
        <v>104</v>
      </c>
      <c r="C363" s="1">
        <v>11.755000000000001</v>
      </c>
      <c r="D363" s="1">
        <v>0.02</v>
      </c>
      <c r="E363" s="1" t="s">
        <v>1</v>
      </c>
      <c r="F363" s="1" t="s">
        <v>285</v>
      </c>
    </row>
    <row r="364" spans="1:6" ht="17.25" customHeight="1" x14ac:dyDescent="0.25">
      <c r="A364" s="1">
        <v>2458362.36002</v>
      </c>
      <c r="B364" s="1" t="s">
        <v>104</v>
      </c>
      <c r="C364" s="1">
        <v>11.797000000000001</v>
      </c>
      <c r="D364" s="1">
        <v>7.0000000000000001E-3</v>
      </c>
      <c r="E364" s="1" t="s">
        <v>1</v>
      </c>
      <c r="F364" s="1" t="s">
        <v>101</v>
      </c>
    </row>
    <row r="365" spans="1:6" ht="17.25" customHeight="1" x14ac:dyDescent="0.25">
      <c r="A365" s="1">
        <v>2458362.4890600001</v>
      </c>
      <c r="B365" s="1" t="s">
        <v>104</v>
      </c>
      <c r="C365" s="1">
        <v>11.833</v>
      </c>
      <c r="D365" s="1">
        <v>8.9999999999999993E-3</v>
      </c>
      <c r="E365" s="1" t="s">
        <v>1</v>
      </c>
      <c r="F365" s="1" t="s">
        <v>94</v>
      </c>
    </row>
    <row r="366" spans="1:6" ht="17.25" customHeight="1" x14ac:dyDescent="0.25">
      <c r="A366" s="1">
        <v>2458362.4894599998</v>
      </c>
      <c r="B366" s="1" t="s">
        <v>104</v>
      </c>
      <c r="C366" s="1">
        <v>11.827999999999999</v>
      </c>
      <c r="D366" s="1">
        <v>8.9999999999999993E-3</v>
      </c>
      <c r="E366" s="1" t="s">
        <v>1</v>
      </c>
      <c r="F366" s="1" t="s">
        <v>94</v>
      </c>
    </row>
    <row r="367" spans="1:6" ht="17.25" customHeight="1" x14ac:dyDescent="0.25">
      <c r="A367" s="1">
        <v>2458362.6269299998</v>
      </c>
      <c r="B367" s="1" t="s">
        <v>303</v>
      </c>
      <c r="C367" s="1">
        <v>11.904999999999999</v>
      </c>
      <c r="D367" s="1">
        <v>2.1000000000000001E-2</v>
      </c>
      <c r="E367" s="1" t="s">
        <v>1</v>
      </c>
      <c r="F367" s="1" t="s">
        <v>273</v>
      </c>
    </row>
    <row r="368" spans="1:6" ht="17.25" customHeight="1" x14ac:dyDescent="0.25">
      <c r="A368" s="1">
        <v>2458362.6288700001</v>
      </c>
      <c r="B368" s="1" t="s">
        <v>303</v>
      </c>
      <c r="C368" s="1">
        <v>11.869</v>
      </c>
      <c r="D368" s="1">
        <v>2.1000000000000001E-2</v>
      </c>
      <c r="E368" s="1" t="s">
        <v>1</v>
      </c>
      <c r="F368" s="1" t="s">
        <v>273</v>
      </c>
    </row>
    <row r="369" spans="1:6" ht="17.25" customHeight="1" x14ac:dyDescent="0.25">
      <c r="A369" s="1">
        <v>2458362.6315000001</v>
      </c>
      <c r="B369" s="1" t="s">
        <v>303</v>
      </c>
      <c r="C369" s="1">
        <v>11.839</v>
      </c>
      <c r="D369" s="1">
        <v>1.9E-2</v>
      </c>
      <c r="E369" s="1" t="s">
        <v>1</v>
      </c>
      <c r="F369" s="1" t="s">
        <v>273</v>
      </c>
    </row>
    <row r="370" spans="1:6" ht="17.25" customHeight="1" x14ac:dyDescent="0.25">
      <c r="A370" s="1">
        <v>2458362.6339199999</v>
      </c>
      <c r="B370" s="1" t="s">
        <v>303</v>
      </c>
      <c r="C370" s="1">
        <v>11.885</v>
      </c>
      <c r="D370" s="1">
        <v>0.02</v>
      </c>
      <c r="E370" s="1" t="s">
        <v>1</v>
      </c>
      <c r="F370" s="1" t="s">
        <v>273</v>
      </c>
    </row>
    <row r="371" spans="1:6" ht="17.25" customHeight="1" x14ac:dyDescent="0.25">
      <c r="A371" s="1">
        <v>2458363.3628099998</v>
      </c>
      <c r="B371" s="1" t="s">
        <v>303</v>
      </c>
      <c r="C371" s="1">
        <v>11.746</v>
      </c>
      <c r="D371" s="1">
        <v>1.9E-2</v>
      </c>
      <c r="E371" s="1" t="s">
        <v>1</v>
      </c>
      <c r="F371" s="1" t="s">
        <v>285</v>
      </c>
    </row>
    <row r="372" spans="1:6" ht="17.25" customHeight="1" x14ac:dyDescent="0.25">
      <c r="A372" s="1">
        <v>2458363.3634000001</v>
      </c>
      <c r="B372" s="1" t="s">
        <v>303</v>
      </c>
      <c r="C372" s="1">
        <v>11.739000000000001</v>
      </c>
      <c r="D372" s="1">
        <v>1.0999999999999999E-2</v>
      </c>
      <c r="E372" s="1" t="s">
        <v>1</v>
      </c>
      <c r="F372" s="1" t="s">
        <v>285</v>
      </c>
    </row>
    <row r="373" spans="1:6" ht="17.25" customHeight="1" x14ac:dyDescent="0.25">
      <c r="A373" s="1">
        <v>2458363.5053099999</v>
      </c>
      <c r="B373" s="1" t="s">
        <v>90</v>
      </c>
      <c r="C373" s="1">
        <v>11.843999999999999</v>
      </c>
      <c r="D373" s="1">
        <v>8.9999999999999993E-3</v>
      </c>
      <c r="E373" s="1" t="s">
        <v>1</v>
      </c>
      <c r="F373" s="1" t="s">
        <v>94</v>
      </c>
    </row>
    <row r="374" spans="1:6" ht="17.25" customHeight="1" x14ac:dyDescent="0.25">
      <c r="A374" s="1">
        <v>2458363.5057100002</v>
      </c>
      <c r="B374" s="1" t="s">
        <v>90</v>
      </c>
      <c r="C374" s="1">
        <v>11.853999999999999</v>
      </c>
      <c r="D374" s="1">
        <v>8.9999999999999993E-3</v>
      </c>
      <c r="E374" s="1" t="s">
        <v>1</v>
      </c>
      <c r="F374" s="1" t="s">
        <v>94</v>
      </c>
    </row>
    <row r="375" spans="1:6" ht="17.25" customHeight="1" x14ac:dyDescent="0.25">
      <c r="A375" s="1">
        <v>2458364.3465200001</v>
      </c>
      <c r="B375" s="1" t="s">
        <v>90</v>
      </c>
      <c r="C375" s="1">
        <v>11.715999999999999</v>
      </c>
      <c r="D375" s="1">
        <v>1.9E-2</v>
      </c>
      <c r="E375" s="1" t="s">
        <v>1</v>
      </c>
      <c r="F375" s="1" t="s">
        <v>285</v>
      </c>
    </row>
    <row r="376" spans="1:6" ht="17.25" customHeight="1" x14ac:dyDescent="0.25">
      <c r="A376" s="1">
        <v>2458364.34718</v>
      </c>
      <c r="B376" s="1" t="s">
        <v>90</v>
      </c>
      <c r="C376" s="1">
        <v>11.741</v>
      </c>
      <c r="D376" s="1">
        <v>1.7999999999999999E-2</v>
      </c>
      <c r="E376" s="1" t="s">
        <v>1</v>
      </c>
      <c r="F376" s="1" t="s">
        <v>285</v>
      </c>
    </row>
    <row r="377" spans="1:6" ht="17.25" customHeight="1" x14ac:dyDescent="0.25">
      <c r="A377" s="1">
        <v>2458364.3527899999</v>
      </c>
      <c r="B377" s="1" t="s">
        <v>90</v>
      </c>
      <c r="C377" s="1">
        <v>11.808999999999999</v>
      </c>
      <c r="D377" s="1">
        <v>7.0000000000000001E-3</v>
      </c>
      <c r="E377" s="1" t="s">
        <v>1</v>
      </c>
      <c r="F377" s="1" t="s">
        <v>101</v>
      </c>
    </row>
    <row r="378" spans="1:6" ht="17.25" customHeight="1" x14ac:dyDescent="0.25">
      <c r="A378" s="1">
        <v>2458364.3535199999</v>
      </c>
      <c r="B378" s="1" t="s">
        <v>90</v>
      </c>
      <c r="C378" s="1">
        <v>11.832000000000001</v>
      </c>
      <c r="D378" s="1">
        <v>7.0000000000000001E-3</v>
      </c>
      <c r="E378" s="1" t="s">
        <v>1</v>
      </c>
      <c r="F378" s="1" t="s">
        <v>101</v>
      </c>
    </row>
    <row r="379" spans="1:6" ht="17.25" customHeight="1" x14ac:dyDescent="0.25">
      <c r="A379" s="1">
        <v>2458364.4894699999</v>
      </c>
      <c r="B379" s="1" t="s">
        <v>90</v>
      </c>
      <c r="C379" s="1">
        <v>11.833</v>
      </c>
      <c r="D379" s="1">
        <v>8.9999999999999993E-3</v>
      </c>
      <c r="E379" s="1" t="s">
        <v>1</v>
      </c>
      <c r="F379" s="1" t="s">
        <v>94</v>
      </c>
    </row>
    <row r="380" spans="1:6" ht="17.25" customHeight="1" x14ac:dyDescent="0.25">
      <c r="A380" s="1">
        <v>2458364.4898600001</v>
      </c>
      <c r="B380" s="1" t="s">
        <v>90</v>
      </c>
      <c r="C380" s="1">
        <v>11.831</v>
      </c>
      <c r="D380" s="1">
        <v>8.9999999999999993E-3</v>
      </c>
      <c r="E380" s="1" t="s">
        <v>1</v>
      </c>
      <c r="F380" s="1" t="s">
        <v>94</v>
      </c>
    </row>
    <row r="381" spans="1:6" ht="17.25" customHeight="1" x14ac:dyDescent="0.25">
      <c r="A381" s="1">
        <v>2458365.3518300001</v>
      </c>
      <c r="B381" s="1" t="s">
        <v>91</v>
      </c>
      <c r="C381" s="1">
        <v>11.771000000000001</v>
      </c>
      <c r="D381" s="1">
        <v>1.7000000000000001E-2</v>
      </c>
      <c r="E381" s="1" t="s">
        <v>1</v>
      </c>
      <c r="F381" s="1" t="s">
        <v>285</v>
      </c>
    </row>
    <row r="382" spans="1:6" ht="17.25" customHeight="1" x14ac:dyDescent="0.25">
      <c r="A382" s="1">
        <v>2458365.3524600002</v>
      </c>
      <c r="B382" s="1" t="s">
        <v>91</v>
      </c>
      <c r="C382" s="1">
        <v>11.786</v>
      </c>
      <c r="D382" s="1">
        <v>1.7999999999999999E-2</v>
      </c>
      <c r="E382" s="1" t="s">
        <v>1</v>
      </c>
      <c r="F382" s="1" t="s">
        <v>285</v>
      </c>
    </row>
    <row r="383" spans="1:6" ht="17.25" customHeight="1" x14ac:dyDescent="0.25">
      <c r="A383" s="1">
        <v>2458365.4900099998</v>
      </c>
      <c r="B383" s="1" t="s">
        <v>91</v>
      </c>
      <c r="C383" s="1">
        <v>11.851000000000001</v>
      </c>
      <c r="D383" s="1">
        <v>8.9999999999999993E-3</v>
      </c>
      <c r="E383" s="1" t="s">
        <v>1</v>
      </c>
      <c r="F383" s="1" t="s">
        <v>94</v>
      </c>
    </row>
    <row r="384" spans="1:6" ht="17.25" customHeight="1" x14ac:dyDescent="0.25">
      <c r="A384" s="1">
        <v>2458365.4904100001</v>
      </c>
      <c r="B384" s="1" t="s">
        <v>91</v>
      </c>
      <c r="C384" s="1">
        <v>11.872</v>
      </c>
      <c r="D384" s="1">
        <v>8.9999999999999993E-3</v>
      </c>
      <c r="E384" s="1" t="s">
        <v>1</v>
      </c>
      <c r="F384" s="1" t="s">
        <v>94</v>
      </c>
    </row>
    <row r="385" spans="1:6" ht="17.25" customHeight="1" x14ac:dyDescent="0.25">
      <c r="A385" s="1">
        <v>2458366.3414599998</v>
      </c>
      <c r="B385" s="1" t="s">
        <v>106</v>
      </c>
      <c r="C385" s="1">
        <v>11.795</v>
      </c>
      <c r="D385" s="1">
        <v>1.9E-2</v>
      </c>
      <c r="E385" s="1" t="s">
        <v>1</v>
      </c>
      <c r="F385" s="1" t="s">
        <v>285</v>
      </c>
    </row>
    <row r="386" spans="1:6" ht="17.25" customHeight="1" x14ac:dyDescent="0.25">
      <c r="A386" s="1">
        <v>2458366.3420699998</v>
      </c>
      <c r="B386" s="1" t="s">
        <v>106</v>
      </c>
      <c r="C386" s="1">
        <v>11.795</v>
      </c>
      <c r="D386" s="1">
        <v>1.9E-2</v>
      </c>
      <c r="E386" s="1" t="s">
        <v>1</v>
      </c>
      <c r="F386" s="1" t="s">
        <v>285</v>
      </c>
    </row>
    <row r="387" spans="1:6" ht="17.25" customHeight="1" x14ac:dyDescent="0.25">
      <c r="A387" s="1">
        <v>2458366.4931100002</v>
      </c>
      <c r="B387" s="1" t="s">
        <v>106</v>
      </c>
      <c r="C387" s="1">
        <v>11.891999999999999</v>
      </c>
      <c r="D387" s="1">
        <v>8.9999999999999993E-3</v>
      </c>
      <c r="E387" s="1" t="s">
        <v>1</v>
      </c>
      <c r="F387" s="1" t="s">
        <v>94</v>
      </c>
    </row>
    <row r="388" spans="1:6" ht="17.25" customHeight="1" x14ac:dyDescent="0.25">
      <c r="A388" s="1">
        <v>2458366.4935099999</v>
      </c>
      <c r="B388" s="1" t="s">
        <v>106</v>
      </c>
      <c r="C388" s="1">
        <v>11.887</v>
      </c>
      <c r="D388" s="1">
        <v>8.9999999999999993E-3</v>
      </c>
      <c r="E388" s="1" t="s">
        <v>1</v>
      </c>
      <c r="F388" s="1" t="s">
        <v>94</v>
      </c>
    </row>
    <row r="389" spans="1:6" ht="17.25" customHeight="1" x14ac:dyDescent="0.25">
      <c r="A389" s="1">
        <v>2458367.4909700002</v>
      </c>
      <c r="B389" s="1" t="s">
        <v>108</v>
      </c>
      <c r="C389" s="1">
        <v>11.917999999999999</v>
      </c>
      <c r="D389" s="1">
        <v>8.9999999999999993E-3</v>
      </c>
      <c r="E389" s="1" t="s">
        <v>1</v>
      </c>
      <c r="F389" s="1" t="s">
        <v>94</v>
      </c>
    </row>
    <row r="390" spans="1:6" ht="17.25" customHeight="1" x14ac:dyDescent="0.25">
      <c r="A390" s="1">
        <v>2458367.4913699999</v>
      </c>
      <c r="B390" s="1" t="s">
        <v>108</v>
      </c>
      <c r="C390" s="1">
        <v>11.904999999999999</v>
      </c>
      <c r="D390" s="1">
        <v>8.9999999999999993E-3</v>
      </c>
      <c r="E390" s="1" t="s">
        <v>1</v>
      </c>
      <c r="F390" s="1" t="s">
        <v>94</v>
      </c>
    </row>
    <row r="391" spans="1:6" ht="17.25" customHeight="1" x14ac:dyDescent="0.25">
      <c r="A391" s="1">
        <v>2458367.5920699998</v>
      </c>
      <c r="B391" s="1" t="s">
        <v>109</v>
      </c>
      <c r="C391" s="1">
        <v>11.827</v>
      </c>
      <c r="D391" s="1">
        <v>2E-3</v>
      </c>
      <c r="E391" s="1" t="s">
        <v>1</v>
      </c>
      <c r="F391" s="1" t="s">
        <v>102</v>
      </c>
    </row>
    <row r="392" spans="1:6" ht="17.25" customHeight="1" x14ac:dyDescent="0.25">
      <c r="A392" s="1">
        <v>2458367.5943800001</v>
      </c>
      <c r="B392" s="1" t="s">
        <v>109</v>
      </c>
      <c r="C392" s="1">
        <v>11.821</v>
      </c>
      <c r="D392" s="1">
        <v>2E-3</v>
      </c>
      <c r="E392" s="1" t="s">
        <v>1</v>
      </c>
      <c r="F392" s="1" t="s">
        <v>102</v>
      </c>
    </row>
    <row r="393" spans="1:6" ht="17.25" customHeight="1" x14ac:dyDescent="0.25">
      <c r="A393" s="1">
        <v>2458367.5966699999</v>
      </c>
      <c r="B393" s="1" t="s">
        <v>109</v>
      </c>
      <c r="C393" s="1">
        <v>11.821999999999999</v>
      </c>
      <c r="D393" s="1">
        <v>2E-3</v>
      </c>
      <c r="E393" s="1" t="s">
        <v>1</v>
      </c>
      <c r="F393" s="1" t="s">
        <v>102</v>
      </c>
    </row>
    <row r="394" spans="1:6" ht="17.25" customHeight="1" x14ac:dyDescent="0.25">
      <c r="A394" s="1">
        <v>2458367.5989700002</v>
      </c>
      <c r="B394" s="1" t="s">
        <v>109</v>
      </c>
      <c r="C394" s="1">
        <v>11.821</v>
      </c>
      <c r="D394" s="1">
        <v>2E-3</v>
      </c>
      <c r="E394" s="1" t="s">
        <v>1</v>
      </c>
      <c r="F394" s="1" t="s">
        <v>102</v>
      </c>
    </row>
    <row r="395" spans="1:6" ht="17.25" customHeight="1" x14ac:dyDescent="0.25">
      <c r="A395" s="1">
        <v>2458367.6012599999</v>
      </c>
      <c r="B395" s="1" t="s">
        <v>109</v>
      </c>
      <c r="C395" s="1">
        <v>11.813000000000001</v>
      </c>
      <c r="D395" s="1">
        <v>3.0000000000000001E-3</v>
      </c>
      <c r="E395" s="1" t="s">
        <v>1</v>
      </c>
      <c r="F395" s="1" t="s">
        <v>102</v>
      </c>
    </row>
    <row r="396" spans="1:6" ht="17.25" customHeight="1" x14ac:dyDescent="0.25">
      <c r="A396" s="1">
        <v>2458367.6035500001</v>
      </c>
      <c r="B396" s="1" t="s">
        <v>109</v>
      </c>
      <c r="C396" s="1">
        <v>11.836</v>
      </c>
      <c r="D396" s="1">
        <v>3.0000000000000001E-3</v>
      </c>
      <c r="E396" s="1" t="s">
        <v>1</v>
      </c>
      <c r="F396" s="1" t="s">
        <v>102</v>
      </c>
    </row>
    <row r="397" spans="1:6" ht="17.25" customHeight="1" x14ac:dyDescent="0.25">
      <c r="A397" s="1">
        <v>2458367.6058399999</v>
      </c>
      <c r="B397" s="1" t="s">
        <v>109</v>
      </c>
      <c r="C397" s="1">
        <v>11.827</v>
      </c>
      <c r="D397" s="1">
        <v>3.0000000000000001E-3</v>
      </c>
      <c r="E397" s="1" t="s">
        <v>1</v>
      </c>
      <c r="F397" s="1" t="s">
        <v>102</v>
      </c>
    </row>
    <row r="398" spans="1:6" ht="17.25" customHeight="1" x14ac:dyDescent="0.25">
      <c r="A398" s="1">
        <v>2458367.6081500002</v>
      </c>
      <c r="B398" s="1" t="s">
        <v>109</v>
      </c>
      <c r="C398" s="1">
        <v>11.824</v>
      </c>
      <c r="D398" s="1">
        <v>3.0000000000000001E-3</v>
      </c>
      <c r="E398" s="1" t="s">
        <v>1</v>
      </c>
      <c r="F398" s="1" t="s">
        <v>102</v>
      </c>
    </row>
    <row r="399" spans="1:6" ht="17.25" customHeight="1" x14ac:dyDescent="0.25">
      <c r="A399" s="1">
        <v>2458367.61044</v>
      </c>
      <c r="B399" s="1" t="s">
        <v>109</v>
      </c>
      <c r="C399" s="1">
        <v>11.833</v>
      </c>
      <c r="D399" s="1">
        <v>2E-3</v>
      </c>
      <c r="E399" s="1" t="s">
        <v>1</v>
      </c>
      <c r="F399" s="1" t="s">
        <v>102</v>
      </c>
    </row>
    <row r="400" spans="1:6" ht="17.25" customHeight="1" x14ac:dyDescent="0.25">
      <c r="A400" s="1">
        <v>2458367.6127399998</v>
      </c>
      <c r="B400" s="1" t="s">
        <v>109</v>
      </c>
      <c r="C400" s="1">
        <v>11.83</v>
      </c>
      <c r="D400" s="1">
        <v>2E-3</v>
      </c>
      <c r="E400" s="1" t="s">
        <v>1</v>
      </c>
      <c r="F400" s="1" t="s">
        <v>102</v>
      </c>
    </row>
    <row r="401" spans="1:6" ht="17.25" customHeight="1" x14ac:dyDescent="0.25">
      <c r="A401" s="1">
        <v>2458367.61503</v>
      </c>
      <c r="B401" s="1" t="s">
        <v>109</v>
      </c>
      <c r="C401" s="1">
        <v>11.824999999999999</v>
      </c>
      <c r="D401" s="1">
        <v>2E-3</v>
      </c>
      <c r="E401" s="1" t="s">
        <v>1</v>
      </c>
      <c r="F401" s="1" t="s">
        <v>102</v>
      </c>
    </row>
    <row r="402" spans="1:6" ht="17.25" customHeight="1" x14ac:dyDescent="0.25">
      <c r="A402" s="1">
        <v>2458367.6173299998</v>
      </c>
      <c r="B402" s="1" t="s">
        <v>109</v>
      </c>
      <c r="C402" s="1">
        <v>11.826000000000001</v>
      </c>
      <c r="D402" s="1">
        <v>2E-3</v>
      </c>
      <c r="E402" s="1" t="s">
        <v>1</v>
      </c>
      <c r="F402" s="1" t="s">
        <v>102</v>
      </c>
    </row>
    <row r="403" spans="1:6" ht="17.25" customHeight="1" x14ac:dyDescent="0.25">
      <c r="A403" s="1">
        <v>2458367.6196300001</v>
      </c>
      <c r="B403" s="1" t="s">
        <v>109</v>
      </c>
      <c r="C403" s="1">
        <v>11.83</v>
      </c>
      <c r="D403" s="1">
        <v>2E-3</v>
      </c>
      <c r="E403" s="1" t="s">
        <v>1</v>
      </c>
      <c r="F403" s="1" t="s">
        <v>102</v>
      </c>
    </row>
    <row r="404" spans="1:6" ht="17.25" customHeight="1" x14ac:dyDescent="0.25">
      <c r="A404" s="1">
        <v>2458367.6220499999</v>
      </c>
      <c r="B404" s="1" t="s">
        <v>109</v>
      </c>
      <c r="C404" s="1">
        <v>11.826000000000001</v>
      </c>
      <c r="D404" s="1">
        <v>2E-3</v>
      </c>
      <c r="E404" s="1" t="s">
        <v>1</v>
      </c>
      <c r="F404" s="1" t="s">
        <v>102</v>
      </c>
    </row>
    <row r="405" spans="1:6" ht="17.25" customHeight="1" x14ac:dyDescent="0.25">
      <c r="A405" s="1">
        <v>2458367.6243500002</v>
      </c>
      <c r="B405" s="1" t="s">
        <v>109</v>
      </c>
      <c r="C405" s="1">
        <v>11.831</v>
      </c>
      <c r="D405" s="1">
        <v>2E-3</v>
      </c>
      <c r="E405" s="1" t="s">
        <v>1</v>
      </c>
      <c r="F405" s="1" t="s">
        <v>102</v>
      </c>
    </row>
    <row r="406" spans="1:6" ht="17.25" customHeight="1" x14ac:dyDescent="0.25">
      <c r="A406" s="1">
        <v>2458367.6266399999</v>
      </c>
      <c r="B406" s="1" t="s">
        <v>109</v>
      </c>
      <c r="C406" s="1">
        <v>11.834</v>
      </c>
      <c r="D406" s="1">
        <v>2E-3</v>
      </c>
      <c r="E406" s="1" t="s">
        <v>1</v>
      </c>
      <c r="F406" s="1" t="s">
        <v>102</v>
      </c>
    </row>
    <row r="407" spans="1:6" ht="17.25" customHeight="1" x14ac:dyDescent="0.25">
      <c r="A407" s="1">
        <v>2458367.6289400002</v>
      </c>
      <c r="B407" s="1" t="s">
        <v>109</v>
      </c>
      <c r="C407" s="1">
        <v>11.834</v>
      </c>
      <c r="D407" s="1">
        <v>2E-3</v>
      </c>
      <c r="E407" s="1" t="s">
        <v>1</v>
      </c>
      <c r="F407" s="1" t="s">
        <v>102</v>
      </c>
    </row>
    <row r="408" spans="1:6" ht="17.25" customHeight="1" x14ac:dyDescent="0.25">
      <c r="A408" s="1">
        <v>2458367.63124</v>
      </c>
      <c r="B408" s="1" t="s">
        <v>109</v>
      </c>
      <c r="C408" s="1">
        <v>11.831</v>
      </c>
      <c r="D408" s="1">
        <v>2E-3</v>
      </c>
      <c r="E408" s="1" t="s">
        <v>1</v>
      </c>
      <c r="F408" s="1" t="s">
        <v>102</v>
      </c>
    </row>
    <row r="409" spans="1:6" ht="17.25" customHeight="1" x14ac:dyDescent="0.25">
      <c r="A409" s="1">
        <v>2458367.6335300002</v>
      </c>
      <c r="B409" s="1" t="s">
        <v>109</v>
      </c>
      <c r="C409" s="1">
        <v>11.834</v>
      </c>
      <c r="D409" s="1">
        <v>2E-3</v>
      </c>
      <c r="E409" s="1" t="s">
        <v>1</v>
      </c>
      <c r="F409" s="1" t="s">
        <v>102</v>
      </c>
    </row>
    <row r="410" spans="1:6" ht="17.25" customHeight="1" x14ac:dyDescent="0.25">
      <c r="A410" s="1">
        <v>2458367.63582</v>
      </c>
      <c r="B410" s="1" t="s">
        <v>109</v>
      </c>
      <c r="C410" s="1">
        <v>11.829000000000001</v>
      </c>
      <c r="D410" s="1">
        <v>2E-3</v>
      </c>
      <c r="E410" s="1" t="s">
        <v>1</v>
      </c>
      <c r="F410" s="1" t="s">
        <v>102</v>
      </c>
    </row>
    <row r="411" spans="1:6" ht="17.25" customHeight="1" x14ac:dyDescent="0.25">
      <c r="A411" s="1">
        <v>2458367.6381299999</v>
      </c>
      <c r="B411" s="1" t="s">
        <v>109</v>
      </c>
      <c r="C411" s="1">
        <v>11.832000000000001</v>
      </c>
      <c r="D411" s="1">
        <v>2E-3</v>
      </c>
      <c r="E411" s="1" t="s">
        <v>1</v>
      </c>
      <c r="F411" s="1" t="s">
        <v>102</v>
      </c>
    </row>
    <row r="412" spans="1:6" ht="17.25" customHeight="1" x14ac:dyDescent="0.25">
      <c r="A412" s="1">
        <v>2458367.6404200001</v>
      </c>
      <c r="B412" s="1" t="s">
        <v>109</v>
      </c>
      <c r="C412" s="1">
        <v>11.834</v>
      </c>
      <c r="D412" s="1">
        <v>2E-3</v>
      </c>
      <c r="E412" s="1" t="s">
        <v>1</v>
      </c>
      <c r="F412" s="1" t="s">
        <v>102</v>
      </c>
    </row>
    <row r="413" spans="1:6" ht="17.25" customHeight="1" x14ac:dyDescent="0.25">
      <c r="A413" s="1">
        <v>2458367.6427099998</v>
      </c>
      <c r="B413" s="1" t="s">
        <v>109</v>
      </c>
      <c r="C413" s="1">
        <v>11.832000000000001</v>
      </c>
      <c r="D413" s="1">
        <v>2E-3</v>
      </c>
      <c r="E413" s="1" t="s">
        <v>1</v>
      </c>
      <c r="F413" s="1" t="s">
        <v>102</v>
      </c>
    </row>
    <row r="414" spans="1:6" ht="17.25" customHeight="1" x14ac:dyDescent="0.25">
      <c r="A414" s="1">
        <v>2458367.6450100001</v>
      </c>
      <c r="B414" s="1" t="s">
        <v>109</v>
      </c>
      <c r="C414" s="1">
        <v>11.835000000000001</v>
      </c>
      <c r="D414" s="1">
        <v>2E-3</v>
      </c>
      <c r="E414" s="1" t="s">
        <v>1</v>
      </c>
      <c r="F414" s="1" t="s">
        <v>102</v>
      </c>
    </row>
    <row r="415" spans="1:6" ht="17.25" customHeight="1" x14ac:dyDescent="0.25">
      <c r="A415" s="1">
        <v>2458367.6472999998</v>
      </c>
      <c r="B415" s="1" t="s">
        <v>109</v>
      </c>
      <c r="C415" s="1">
        <v>11.833</v>
      </c>
      <c r="D415" s="1">
        <v>2E-3</v>
      </c>
      <c r="E415" s="1" t="s">
        <v>1</v>
      </c>
      <c r="F415" s="1" t="s">
        <v>102</v>
      </c>
    </row>
    <row r="416" spans="1:6" ht="17.25" customHeight="1" x14ac:dyDescent="0.25">
      <c r="A416" s="1">
        <v>2458367.6496100002</v>
      </c>
      <c r="B416" s="1" t="s">
        <v>109</v>
      </c>
      <c r="C416" s="1">
        <v>11.827999999999999</v>
      </c>
      <c r="D416" s="1">
        <v>2E-3</v>
      </c>
      <c r="E416" s="1" t="s">
        <v>1</v>
      </c>
      <c r="F416" s="1" t="s">
        <v>102</v>
      </c>
    </row>
    <row r="417" spans="1:6" ht="17.25" customHeight="1" x14ac:dyDescent="0.25">
      <c r="A417" s="1">
        <v>2458368.49272</v>
      </c>
      <c r="B417" s="1" t="s">
        <v>109</v>
      </c>
      <c r="C417" s="1">
        <v>11.943</v>
      </c>
      <c r="D417" s="1">
        <v>0.01</v>
      </c>
      <c r="E417" s="1" t="s">
        <v>1</v>
      </c>
      <c r="F417" s="1" t="s">
        <v>94</v>
      </c>
    </row>
    <row r="418" spans="1:6" ht="17.25" customHeight="1" x14ac:dyDescent="0.25">
      <c r="A418" s="1">
        <v>2458368.4931000001</v>
      </c>
      <c r="B418" s="1" t="s">
        <v>109</v>
      </c>
      <c r="C418" s="1">
        <v>11.933999999999999</v>
      </c>
      <c r="D418" s="1">
        <v>0.01</v>
      </c>
      <c r="E418" s="1" t="s">
        <v>1</v>
      </c>
      <c r="F418" s="1" t="s">
        <v>94</v>
      </c>
    </row>
    <row r="419" spans="1:6" ht="17.25" customHeight="1" x14ac:dyDescent="0.25">
      <c r="A419" s="1">
        <v>2458368.56537</v>
      </c>
      <c r="B419" s="1" t="s">
        <v>110</v>
      </c>
      <c r="C419" s="1">
        <v>11.973000000000001</v>
      </c>
      <c r="D419" s="1">
        <v>2.1999999999999999E-2</v>
      </c>
      <c r="E419" s="1" t="s">
        <v>1</v>
      </c>
      <c r="F419" s="1" t="s">
        <v>97</v>
      </c>
    </row>
    <row r="420" spans="1:6" ht="17.25" customHeight="1" x14ac:dyDescent="0.25">
      <c r="A420" s="1">
        <v>2458369.3165899999</v>
      </c>
      <c r="B420" s="1" t="s">
        <v>110</v>
      </c>
      <c r="C420" s="1">
        <v>11.946</v>
      </c>
      <c r="D420" s="1">
        <v>0.01</v>
      </c>
      <c r="E420" s="1" t="s">
        <v>1</v>
      </c>
      <c r="F420" s="1" t="s">
        <v>101</v>
      </c>
    </row>
    <row r="421" spans="1:6" ht="17.25" customHeight="1" x14ac:dyDescent="0.25">
      <c r="A421" s="1">
        <v>2458369.3169</v>
      </c>
      <c r="B421" s="1" t="s">
        <v>110</v>
      </c>
      <c r="C421" s="1">
        <v>11.917</v>
      </c>
      <c r="D421" s="1">
        <v>0.01</v>
      </c>
      <c r="E421" s="1" t="s">
        <v>1</v>
      </c>
      <c r="F421" s="1" t="s">
        <v>101</v>
      </c>
    </row>
    <row r="422" spans="1:6" ht="17.25" customHeight="1" x14ac:dyDescent="0.25">
      <c r="A422" s="1">
        <v>2458369.49419</v>
      </c>
      <c r="B422" s="1" t="s">
        <v>110</v>
      </c>
      <c r="C422" s="1">
        <v>11.987</v>
      </c>
      <c r="D422" s="1">
        <v>0.01</v>
      </c>
      <c r="E422" s="1" t="s">
        <v>1</v>
      </c>
      <c r="F422" s="1" t="s">
        <v>94</v>
      </c>
    </row>
    <row r="423" spans="1:6" ht="17.25" customHeight="1" x14ac:dyDescent="0.25">
      <c r="A423" s="1">
        <v>2458369.4945700001</v>
      </c>
      <c r="B423" s="1" t="s">
        <v>110</v>
      </c>
      <c r="C423" s="1">
        <v>11.964</v>
      </c>
      <c r="D423" s="1">
        <v>0.01</v>
      </c>
      <c r="E423" s="1" t="s">
        <v>1</v>
      </c>
      <c r="F423" s="1" t="s">
        <v>94</v>
      </c>
    </row>
    <row r="424" spans="1:6" ht="17.25" customHeight="1" x14ac:dyDescent="0.25">
      <c r="A424" s="1">
        <v>2458370.3423600001</v>
      </c>
      <c r="B424" s="1" t="s">
        <v>111</v>
      </c>
      <c r="C424" s="1">
        <v>11.98</v>
      </c>
      <c r="D424" s="1">
        <v>0.03</v>
      </c>
      <c r="E424" s="1" t="s">
        <v>1</v>
      </c>
      <c r="F424" s="1" t="s">
        <v>5</v>
      </c>
    </row>
    <row r="425" spans="1:6" ht="17.25" customHeight="1" x14ac:dyDescent="0.25">
      <c r="A425" s="1">
        <v>2458370.4241800001</v>
      </c>
      <c r="B425" s="1" t="s">
        <v>111</v>
      </c>
      <c r="C425" s="1">
        <v>11.955</v>
      </c>
      <c r="D425" s="1">
        <v>1.7000000000000001E-2</v>
      </c>
      <c r="E425" s="1" t="s">
        <v>1</v>
      </c>
      <c r="F425" s="1" t="s">
        <v>285</v>
      </c>
    </row>
    <row r="426" spans="1:6" ht="17.25" customHeight="1" x14ac:dyDescent="0.25">
      <c r="A426" s="1">
        <v>2458370.4247400002</v>
      </c>
      <c r="B426" s="1" t="s">
        <v>111</v>
      </c>
      <c r="C426" s="1">
        <v>11.945</v>
      </c>
      <c r="D426" s="1">
        <v>1.7000000000000001E-2</v>
      </c>
      <c r="E426" s="1" t="s">
        <v>1</v>
      </c>
      <c r="F426" s="1" t="s">
        <v>285</v>
      </c>
    </row>
    <row r="427" spans="1:6" ht="17.25" customHeight="1" x14ac:dyDescent="0.25">
      <c r="A427" s="1">
        <v>2458370.5049899998</v>
      </c>
      <c r="B427" s="1" t="s">
        <v>112</v>
      </c>
      <c r="C427" s="1">
        <v>12.023</v>
      </c>
      <c r="D427" s="1">
        <v>0.01</v>
      </c>
      <c r="E427" s="1" t="s">
        <v>1</v>
      </c>
      <c r="F427" s="1" t="s">
        <v>94</v>
      </c>
    </row>
    <row r="428" spans="1:6" ht="17.25" customHeight="1" x14ac:dyDescent="0.25">
      <c r="A428" s="1">
        <v>2458370.5053699999</v>
      </c>
      <c r="B428" s="1" t="s">
        <v>112</v>
      </c>
      <c r="C428" s="1">
        <v>12.044</v>
      </c>
      <c r="D428" s="1">
        <v>0.01</v>
      </c>
      <c r="E428" s="1" t="s">
        <v>1</v>
      </c>
      <c r="F428" s="1" t="s">
        <v>94</v>
      </c>
    </row>
    <row r="429" spans="1:6" ht="17.25" customHeight="1" x14ac:dyDescent="0.25">
      <c r="A429" s="1">
        <v>2458371.4938699999</v>
      </c>
      <c r="B429" s="1" t="s">
        <v>112</v>
      </c>
      <c r="C429" s="1">
        <v>12.039</v>
      </c>
      <c r="D429" s="1">
        <v>0.01</v>
      </c>
      <c r="E429" s="1" t="s">
        <v>1</v>
      </c>
      <c r="F429" s="1" t="s">
        <v>94</v>
      </c>
    </row>
    <row r="430" spans="1:6" ht="17.25" customHeight="1" x14ac:dyDescent="0.25">
      <c r="A430" s="1">
        <v>2458371.49425</v>
      </c>
      <c r="B430" s="1" t="s">
        <v>112</v>
      </c>
      <c r="C430" s="1">
        <v>12.034000000000001</v>
      </c>
      <c r="D430" s="1">
        <v>0.01</v>
      </c>
      <c r="E430" s="1" t="s">
        <v>1</v>
      </c>
      <c r="F430" s="1" t="s">
        <v>94</v>
      </c>
    </row>
    <row r="431" spans="1:6" ht="17.25" customHeight="1" x14ac:dyDescent="0.25">
      <c r="A431" s="1">
        <v>2458372.4936899999</v>
      </c>
      <c r="B431" s="1" t="s">
        <v>113</v>
      </c>
      <c r="C431" s="1">
        <v>12.058999999999999</v>
      </c>
      <c r="D431" s="1">
        <v>0.01</v>
      </c>
      <c r="E431" s="1" t="s">
        <v>1</v>
      </c>
      <c r="F431" s="1" t="s">
        <v>94</v>
      </c>
    </row>
    <row r="432" spans="1:6" ht="17.25" customHeight="1" x14ac:dyDescent="0.25">
      <c r="A432" s="1">
        <v>2458372.49407</v>
      </c>
      <c r="B432" s="1" t="s">
        <v>113</v>
      </c>
      <c r="C432" s="1">
        <v>12.079000000000001</v>
      </c>
      <c r="D432" s="1">
        <v>0.01</v>
      </c>
      <c r="E432" s="1" t="s">
        <v>1</v>
      </c>
      <c r="F432" s="1" t="s">
        <v>94</v>
      </c>
    </row>
    <row r="433" spans="1:6" ht="17.25" customHeight="1" x14ac:dyDescent="0.25">
      <c r="A433" s="1">
        <v>2458373.33769</v>
      </c>
      <c r="B433" s="1" t="s">
        <v>114</v>
      </c>
      <c r="C433" s="1">
        <v>11.955</v>
      </c>
      <c r="D433" s="1">
        <v>0.02</v>
      </c>
      <c r="E433" s="1" t="s">
        <v>1</v>
      </c>
      <c r="F433" s="1" t="s">
        <v>285</v>
      </c>
    </row>
    <row r="434" spans="1:6" ht="17.25" customHeight="1" x14ac:dyDescent="0.25">
      <c r="A434" s="1">
        <v>2458373.3382899999</v>
      </c>
      <c r="B434" s="1" t="s">
        <v>114</v>
      </c>
      <c r="C434" s="1">
        <v>12.047000000000001</v>
      </c>
      <c r="D434" s="1">
        <v>2.4E-2</v>
      </c>
      <c r="E434" s="1" t="s">
        <v>1</v>
      </c>
      <c r="F434" s="1" t="s">
        <v>285</v>
      </c>
    </row>
    <row r="435" spans="1:6" ht="17.25" customHeight="1" x14ac:dyDescent="0.25">
      <c r="A435" s="1">
        <v>2458373.4955099998</v>
      </c>
      <c r="B435" s="1" t="s">
        <v>114</v>
      </c>
      <c r="C435" s="1">
        <v>12.090999999999999</v>
      </c>
      <c r="D435" s="1">
        <v>0.01</v>
      </c>
      <c r="E435" s="1" t="s">
        <v>1</v>
      </c>
      <c r="F435" s="1" t="s">
        <v>94</v>
      </c>
    </row>
    <row r="436" spans="1:6" ht="17.25" customHeight="1" x14ac:dyDescent="0.25">
      <c r="A436" s="1">
        <v>2458373.4959</v>
      </c>
      <c r="B436" s="1" t="s">
        <v>114</v>
      </c>
      <c r="C436" s="1">
        <v>12.105</v>
      </c>
      <c r="D436" s="1">
        <v>0.01</v>
      </c>
      <c r="E436" s="1" t="s">
        <v>1</v>
      </c>
      <c r="F436" s="1" t="s">
        <v>94</v>
      </c>
    </row>
    <row r="437" spans="1:6" ht="17.25" customHeight="1" x14ac:dyDescent="0.25">
      <c r="A437" s="1">
        <v>2458373.5932</v>
      </c>
      <c r="B437" s="1" t="s">
        <v>115</v>
      </c>
      <c r="C437" s="1">
        <v>12.117000000000001</v>
      </c>
      <c r="D437" s="1">
        <v>1.2999999999999999E-2</v>
      </c>
      <c r="E437" s="1" t="s">
        <v>1</v>
      </c>
      <c r="F437" s="1" t="s">
        <v>273</v>
      </c>
    </row>
    <row r="438" spans="1:6" ht="17.25" customHeight="1" x14ac:dyDescent="0.25">
      <c r="A438" s="1">
        <v>2458373.5936500002</v>
      </c>
      <c r="B438" s="1" t="s">
        <v>115</v>
      </c>
      <c r="C438" s="1">
        <v>12.135999999999999</v>
      </c>
      <c r="D438" s="1">
        <v>1.2999999999999999E-2</v>
      </c>
      <c r="E438" s="1" t="s">
        <v>1</v>
      </c>
      <c r="F438" s="1" t="s">
        <v>273</v>
      </c>
    </row>
    <row r="439" spans="1:6" ht="17.25" customHeight="1" x14ac:dyDescent="0.25">
      <c r="A439" s="1">
        <v>2458373.59412</v>
      </c>
      <c r="B439" s="1" t="s">
        <v>115</v>
      </c>
      <c r="C439" s="1">
        <v>12.138999999999999</v>
      </c>
      <c r="D439" s="1">
        <v>1.2999999999999999E-2</v>
      </c>
      <c r="E439" s="1" t="s">
        <v>1</v>
      </c>
      <c r="F439" s="1" t="s">
        <v>273</v>
      </c>
    </row>
    <row r="440" spans="1:6" ht="17.25" customHeight="1" x14ac:dyDescent="0.25">
      <c r="A440" s="1">
        <v>2458373.5945799998</v>
      </c>
      <c r="B440" s="1" t="s">
        <v>115</v>
      </c>
      <c r="C440" s="1">
        <v>12.129</v>
      </c>
      <c r="D440" s="1">
        <v>1.2999999999999999E-2</v>
      </c>
      <c r="E440" s="1" t="s">
        <v>1</v>
      </c>
      <c r="F440" s="1" t="s">
        <v>273</v>
      </c>
    </row>
    <row r="441" spans="1:6" ht="17.25" customHeight="1" x14ac:dyDescent="0.25">
      <c r="A441" s="1">
        <v>2458373.59504</v>
      </c>
      <c r="B441" s="1" t="s">
        <v>115</v>
      </c>
      <c r="C441" s="1">
        <v>12.105</v>
      </c>
      <c r="D441" s="1">
        <v>1.2999999999999999E-2</v>
      </c>
      <c r="E441" s="1" t="s">
        <v>1</v>
      </c>
      <c r="F441" s="1" t="s">
        <v>273</v>
      </c>
    </row>
    <row r="442" spans="1:6" ht="17.25" customHeight="1" x14ac:dyDescent="0.25">
      <c r="A442" s="1">
        <v>2458374.3286600001</v>
      </c>
      <c r="B442" s="1" t="s">
        <v>115</v>
      </c>
      <c r="C442" s="1">
        <v>11.99</v>
      </c>
      <c r="D442" s="1">
        <v>1.9E-2</v>
      </c>
      <c r="E442" s="1" t="s">
        <v>1</v>
      </c>
      <c r="F442" s="1" t="s">
        <v>285</v>
      </c>
    </row>
    <row r="443" spans="1:6" ht="17.25" customHeight="1" x14ac:dyDescent="0.25">
      <c r="A443" s="1">
        <v>2458374.32925</v>
      </c>
      <c r="B443" s="1" t="s">
        <v>115</v>
      </c>
      <c r="C443" s="1">
        <v>11.984999999999999</v>
      </c>
      <c r="D443" s="1">
        <v>1.9E-2</v>
      </c>
      <c r="E443" s="1" t="s">
        <v>1</v>
      </c>
      <c r="F443" s="1" t="s">
        <v>285</v>
      </c>
    </row>
    <row r="444" spans="1:6" ht="17.25" customHeight="1" x14ac:dyDescent="0.25">
      <c r="A444" s="1">
        <v>2458374.4956499999</v>
      </c>
      <c r="B444" s="1" t="s">
        <v>115</v>
      </c>
      <c r="C444" s="1">
        <v>12.115</v>
      </c>
      <c r="D444" s="1">
        <v>1.0999999999999999E-2</v>
      </c>
      <c r="E444" s="1" t="s">
        <v>1</v>
      </c>
      <c r="F444" s="1" t="s">
        <v>94</v>
      </c>
    </row>
    <row r="445" spans="1:6" ht="17.25" customHeight="1" x14ac:dyDescent="0.25">
      <c r="A445" s="1">
        <v>2458374.4960400001</v>
      </c>
      <c r="B445" s="1" t="s">
        <v>115</v>
      </c>
      <c r="C445" s="1">
        <v>12.117000000000001</v>
      </c>
      <c r="D445" s="1">
        <v>0.01</v>
      </c>
      <c r="E445" s="1" t="s">
        <v>1</v>
      </c>
      <c r="F445" s="1" t="s">
        <v>94</v>
      </c>
    </row>
    <row r="446" spans="1:6" ht="17.25" customHeight="1" x14ac:dyDescent="0.25">
      <c r="A446" s="1">
        <v>2458375.3082900001</v>
      </c>
      <c r="B446" s="1" t="s">
        <v>116</v>
      </c>
      <c r="C446" s="1">
        <v>12.068</v>
      </c>
      <c r="D446" s="1">
        <v>8.9999999999999993E-3</v>
      </c>
      <c r="E446" s="1" t="s">
        <v>1</v>
      </c>
      <c r="F446" s="1" t="s">
        <v>101</v>
      </c>
    </row>
    <row r="447" spans="1:6" ht="17.25" customHeight="1" x14ac:dyDescent="0.25">
      <c r="A447" s="1">
        <v>2458375.3082900001</v>
      </c>
      <c r="B447" s="1" t="s">
        <v>116</v>
      </c>
      <c r="C447" s="1">
        <v>12.071</v>
      </c>
      <c r="D447" s="1">
        <v>8.9999999999999993E-3</v>
      </c>
      <c r="E447" s="1" t="s">
        <v>1</v>
      </c>
      <c r="F447" s="1" t="s">
        <v>101</v>
      </c>
    </row>
    <row r="448" spans="1:6" ht="17.25" customHeight="1" x14ac:dyDescent="0.25">
      <c r="A448" s="1">
        <v>2458375.30859</v>
      </c>
      <c r="B448" s="1" t="s">
        <v>116</v>
      </c>
      <c r="C448" s="1">
        <v>12.07</v>
      </c>
      <c r="D448" s="1">
        <v>8.0000000000000002E-3</v>
      </c>
      <c r="E448" s="1" t="s">
        <v>1</v>
      </c>
      <c r="F448" s="1" t="s">
        <v>101</v>
      </c>
    </row>
    <row r="449" spans="1:6" ht="17.25" customHeight="1" x14ac:dyDescent="0.25">
      <c r="A449" s="1">
        <v>2458375.3830200001</v>
      </c>
      <c r="B449" s="1" t="s">
        <v>116</v>
      </c>
      <c r="C449" s="1">
        <v>12.048999999999999</v>
      </c>
      <c r="D449" s="1">
        <v>0.02</v>
      </c>
      <c r="E449" s="1" t="s">
        <v>1</v>
      </c>
      <c r="F449" s="1" t="s">
        <v>285</v>
      </c>
    </row>
    <row r="450" spans="1:6" ht="17.25" customHeight="1" x14ac:dyDescent="0.25">
      <c r="A450" s="1">
        <v>2458375.38362</v>
      </c>
      <c r="B450" s="1" t="s">
        <v>116</v>
      </c>
      <c r="C450" s="1">
        <v>12.077999999999999</v>
      </c>
      <c r="D450" s="1">
        <v>2.1000000000000001E-2</v>
      </c>
      <c r="E450" s="1" t="s">
        <v>1</v>
      </c>
      <c r="F450" s="1" t="s">
        <v>285</v>
      </c>
    </row>
    <row r="451" spans="1:6" ht="17.25" customHeight="1" x14ac:dyDescent="0.25">
      <c r="A451" s="1">
        <v>2458375.4976400002</v>
      </c>
      <c r="B451" s="1" t="s">
        <v>116</v>
      </c>
      <c r="C451" s="1">
        <v>12.137</v>
      </c>
      <c r="D451" s="1">
        <v>0.01</v>
      </c>
      <c r="E451" s="1" t="s">
        <v>1</v>
      </c>
      <c r="F451" s="1" t="s">
        <v>94</v>
      </c>
    </row>
    <row r="452" spans="1:6" ht="17.25" customHeight="1" x14ac:dyDescent="0.25">
      <c r="A452" s="1">
        <v>2458375.4980299999</v>
      </c>
      <c r="B452" s="1" t="s">
        <v>116</v>
      </c>
      <c r="C452" s="1">
        <v>12.134</v>
      </c>
      <c r="D452" s="1">
        <v>0.01</v>
      </c>
      <c r="E452" s="1" t="s">
        <v>1</v>
      </c>
      <c r="F452" s="1" t="s">
        <v>94</v>
      </c>
    </row>
    <row r="453" spans="1:6" ht="17.25" customHeight="1" x14ac:dyDescent="0.25">
      <c r="A453" s="1">
        <v>2458376.3053700002</v>
      </c>
      <c r="B453" s="1" t="s">
        <v>117</v>
      </c>
      <c r="C453" s="1">
        <v>12.097</v>
      </c>
      <c r="D453" s="1">
        <v>1.2E-2</v>
      </c>
      <c r="E453" s="1" t="s">
        <v>1</v>
      </c>
      <c r="F453" s="1" t="s">
        <v>101</v>
      </c>
    </row>
    <row r="454" spans="1:6" ht="17.25" customHeight="1" x14ac:dyDescent="0.25">
      <c r="A454" s="1">
        <v>2458376.3056700001</v>
      </c>
      <c r="B454" s="1" t="s">
        <v>117</v>
      </c>
      <c r="C454" s="1">
        <v>12.092000000000001</v>
      </c>
      <c r="D454" s="1">
        <v>1.2E-2</v>
      </c>
      <c r="E454" s="1" t="s">
        <v>1</v>
      </c>
      <c r="F454" s="1" t="s">
        <v>101</v>
      </c>
    </row>
    <row r="455" spans="1:6" ht="17.25" customHeight="1" x14ac:dyDescent="0.25">
      <c r="A455" s="1">
        <v>2458378.3017500001</v>
      </c>
      <c r="B455" s="1" t="s">
        <v>118</v>
      </c>
      <c r="C455" s="1">
        <v>12.083</v>
      </c>
      <c r="D455" s="1">
        <v>8.9999999999999993E-3</v>
      </c>
      <c r="E455" s="1" t="s">
        <v>1</v>
      </c>
      <c r="F455" s="1" t="s">
        <v>101</v>
      </c>
    </row>
    <row r="456" spans="1:6" ht="17.25" customHeight="1" x14ac:dyDescent="0.25">
      <c r="A456" s="1">
        <v>2458378.3020600001</v>
      </c>
      <c r="B456" s="1" t="s">
        <v>118</v>
      </c>
      <c r="C456" s="1">
        <v>12.093</v>
      </c>
      <c r="D456" s="1">
        <v>8.9999999999999993E-3</v>
      </c>
      <c r="E456" s="1" t="s">
        <v>1</v>
      </c>
      <c r="F456" s="1" t="s">
        <v>101</v>
      </c>
    </row>
    <row r="457" spans="1:6" ht="17.25" customHeight="1" x14ac:dyDescent="0.25">
      <c r="A457" s="1">
        <v>2458378.3333899998</v>
      </c>
      <c r="B457" s="1" t="s">
        <v>118</v>
      </c>
      <c r="C457" s="1">
        <v>12.051</v>
      </c>
      <c r="D457" s="1">
        <v>1.7999999999999999E-2</v>
      </c>
      <c r="E457" s="1" t="s">
        <v>1</v>
      </c>
      <c r="F457" s="1" t="s">
        <v>285</v>
      </c>
    </row>
    <row r="458" spans="1:6" ht="17.25" customHeight="1" x14ac:dyDescent="0.25">
      <c r="A458" s="1">
        <v>2458378.3339999998</v>
      </c>
      <c r="B458" s="1" t="s">
        <v>118</v>
      </c>
      <c r="C458" s="1">
        <v>12.045</v>
      </c>
      <c r="D458" s="1">
        <v>1.7999999999999999E-2</v>
      </c>
      <c r="E458" s="1" t="s">
        <v>1</v>
      </c>
      <c r="F458" s="1" t="s">
        <v>285</v>
      </c>
    </row>
    <row r="459" spans="1:6" ht="17.25" customHeight="1" x14ac:dyDescent="0.25">
      <c r="A459" s="1">
        <v>2458378.5894599999</v>
      </c>
      <c r="B459" s="1" t="s">
        <v>119</v>
      </c>
      <c r="C459" s="1">
        <v>12.17</v>
      </c>
      <c r="D459" s="1">
        <v>1.4E-2</v>
      </c>
      <c r="E459" s="1" t="s">
        <v>1</v>
      </c>
      <c r="F459" s="1" t="s">
        <v>273</v>
      </c>
    </row>
    <row r="460" spans="1:6" ht="17.25" customHeight="1" x14ac:dyDescent="0.25">
      <c r="A460" s="1">
        <v>2458378.5899200002</v>
      </c>
      <c r="B460" s="1" t="s">
        <v>119</v>
      </c>
      <c r="C460" s="1">
        <v>12.170999999999999</v>
      </c>
      <c r="D460" s="1">
        <v>1.4E-2</v>
      </c>
      <c r="E460" s="1" t="s">
        <v>1</v>
      </c>
      <c r="F460" s="1" t="s">
        <v>273</v>
      </c>
    </row>
    <row r="461" spans="1:6" ht="17.25" customHeight="1" x14ac:dyDescent="0.25">
      <c r="A461" s="1">
        <v>2458378.59039</v>
      </c>
      <c r="B461" s="1" t="s">
        <v>119</v>
      </c>
      <c r="C461" s="1">
        <v>12.17</v>
      </c>
      <c r="D461" s="1">
        <v>1.4E-2</v>
      </c>
      <c r="E461" s="1" t="s">
        <v>1</v>
      </c>
      <c r="F461" s="1" t="s">
        <v>273</v>
      </c>
    </row>
    <row r="462" spans="1:6" ht="17.25" customHeight="1" x14ac:dyDescent="0.25">
      <c r="A462" s="1">
        <v>2458378.5908499998</v>
      </c>
      <c r="B462" s="1" t="s">
        <v>119</v>
      </c>
      <c r="C462" s="1">
        <v>12.167999999999999</v>
      </c>
      <c r="D462" s="1">
        <v>1.4E-2</v>
      </c>
      <c r="E462" s="1" t="s">
        <v>1</v>
      </c>
      <c r="F462" s="1" t="s">
        <v>273</v>
      </c>
    </row>
    <row r="463" spans="1:6" ht="17.25" customHeight="1" x14ac:dyDescent="0.25">
      <c r="A463" s="1">
        <v>2458378.59131</v>
      </c>
      <c r="B463" s="1" t="s">
        <v>119</v>
      </c>
      <c r="C463" s="1">
        <v>12.175000000000001</v>
      </c>
      <c r="D463" s="1">
        <v>1.4E-2</v>
      </c>
      <c r="E463" s="1" t="s">
        <v>1</v>
      </c>
      <c r="F463" s="1" t="s">
        <v>273</v>
      </c>
    </row>
    <row r="464" spans="1:6" ht="17.25" customHeight="1" x14ac:dyDescent="0.25">
      <c r="A464" s="1">
        <v>2458379.5808799998</v>
      </c>
      <c r="B464" s="1" t="s">
        <v>304</v>
      </c>
      <c r="C464" s="1">
        <v>12.204000000000001</v>
      </c>
      <c r="D464" s="1">
        <v>1.6E-2</v>
      </c>
      <c r="E464" s="1" t="s">
        <v>1</v>
      </c>
      <c r="F464" s="1" t="s">
        <v>273</v>
      </c>
    </row>
    <row r="465" spans="1:6" ht="17.25" customHeight="1" x14ac:dyDescent="0.25">
      <c r="A465" s="1">
        <v>2458379.58134</v>
      </c>
      <c r="B465" s="1" t="s">
        <v>304</v>
      </c>
      <c r="C465" s="1">
        <v>12.207000000000001</v>
      </c>
      <c r="D465" s="1">
        <v>1.4999999999999999E-2</v>
      </c>
      <c r="E465" s="1" t="s">
        <v>1</v>
      </c>
      <c r="F465" s="1" t="s">
        <v>273</v>
      </c>
    </row>
    <row r="466" spans="1:6" ht="17.25" customHeight="1" x14ac:dyDescent="0.25">
      <c r="A466" s="1">
        <v>2458379.5817999998</v>
      </c>
      <c r="B466" s="1" t="s">
        <v>304</v>
      </c>
      <c r="C466" s="1">
        <v>12.179</v>
      </c>
      <c r="D466" s="1">
        <v>1.4999999999999999E-2</v>
      </c>
      <c r="E466" s="1" t="s">
        <v>1</v>
      </c>
      <c r="F466" s="1" t="s">
        <v>273</v>
      </c>
    </row>
    <row r="467" spans="1:6" ht="17.25" customHeight="1" x14ac:dyDescent="0.25">
      <c r="A467" s="1">
        <v>2458379.5822700001</v>
      </c>
      <c r="B467" s="1" t="s">
        <v>304</v>
      </c>
      <c r="C467" s="1">
        <v>12.212</v>
      </c>
      <c r="D467" s="1">
        <v>1.4999999999999999E-2</v>
      </c>
      <c r="E467" s="1" t="s">
        <v>1</v>
      </c>
      <c r="F467" s="1" t="s">
        <v>273</v>
      </c>
    </row>
    <row r="468" spans="1:6" ht="17.25" customHeight="1" x14ac:dyDescent="0.25">
      <c r="A468" s="1">
        <v>2458379.5827299999</v>
      </c>
      <c r="B468" s="1" t="s">
        <v>304</v>
      </c>
      <c r="C468" s="1">
        <v>12.189</v>
      </c>
      <c r="D468" s="1">
        <v>1.4999999999999999E-2</v>
      </c>
      <c r="E468" s="1" t="s">
        <v>1</v>
      </c>
      <c r="F468" s="1" t="s">
        <v>273</v>
      </c>
    </row>
    <row r="469" spans="1:6" ht="17.25" customHeight="1" x14ac:dyDescent="0.25">
      <c r="A469" s="1">
        <v>2458380.5125500001</v>
      </c>
      <c r="B469" s="1" t="s">
        <v>121</v>
      </c>
      <c r="C469" s="1">
        <v>12.167999999999999</v>
      </c>
      <c r="D469" s="1">
        <v>0.01</v>
      </c>
      <c r="E469" s="1" t="s">
        <v>1</v>
      </c>
      <c r="F469" s="1" t="s">
        <v>94</v>
      </c>
    </row>
    <row r="470" spans="1:6" ht="17.25" customHeight="1" x14ac:dyDescent="0.25">
      <c r="A470" s="1">
        <v>2458380.5129300002</v>
      </c>
      <c r="B470" s="1" t="s">
        <v>121</v>
      </c>
      <c r="C470" s="1">
        <v>12.156000000000001</v>
      </c>
      <c r="D470" s="1">
        <v>0.01</v>
      </c>
      <c r="E470" s="1" t="s">
        <v>1</v>
      </c>
      <c r="F470" s="1" t="s">
        <v>94</v>
      </c>
    </row>
    <row r="471" spans="1:6" ht="17.25" customHeight="1" x14ac:dyDescent="0.25">
      <c r="A471" s="1">
        <v>2458381.4958899999</v>
      </c>
      <c r="B471" s="1" t="s">
        <v>121</v>
      </c>
      <c r="C471" s="1">
        <v>12.172000000000001</v>
      </c>
      <c r="D471" s="1">
        <v>1.4E-2</v>
      </c>
      <c r="E471" s="1" t="s">
        <v>1</v>
      </c>
      <c r="F471" s="1" t="s">
        <v>94</v>
      </c>
    </row>
    <row r="472" spans="1:6" ht="17.25" customHeight="1" x14ac:dyDescent="0.25">
      <c r="A472" s="1">
        <v>2458381.4962800001</v>
      </c>
      <c r="B472" s="1" t="s">
        <v>121</v>
      </c>
      <c r="C472" s="1">
        <v>12.164999999999999</v>
      </c>
      <c r="D472" s="1">
        <v>1.2999999999999999E-2</v>
      </c>
      <c r="E472" s="1" t="s">
        <v>1</v>
      </c>
      <c r="F472" s="1" t="s">
        <v>94</v>
      </c>
    </row>
    <row r="473" spans="1:6" ht="17.25" customHeight="1" x14ac:dyDescent="0.25">
      <c r="A473" s="1">
        <v>2458382.4098</v>
      </c>
      <c r="B473" s="1" t="s">
        <v>122</v>
      </c>
      <c r="C473" s="1">
        <v>12.106</v>
      </c>
      <c r="D473" s="1">
        <v>0.115</v>
      </c>
      <c r="E473" s="1" t="s">
        <v>1</v>
      </c>
      <c r="F473" s="1" t="s">
        <v>285</v>
      </c>
    </row>
    <row r="474" spans="1:6" ht="17.25" customHeight="1" x14ac:dyDescent="0.25">
      <c r="A474" s="1">
        <v>2458382.4104499999</v>
      </c>
      <c r="B474" s="1" t="s">
        <v>122</v>
      </c>
      <c r="C474" s="1">
        <v>12.099</v>
      </c>
      <c r="D474" s="1">
        <v>0.106</v>
      </c>
      <c r="E474" s="1" t="s">
        <v>1</v>
      </c>
      <c r="F474" s="1" t="s">
        <v>285</v>
      </c>
    </row>
    <row r="475" spans="1:6" ht="17.25" customHeight="1" x14ac:dyDescent="0.25">
      <c r="A475" s="1">
        <v>2458382.4906600001</v>
      </c>
      <c r="B475" s="1" t="s">
        <v>122</v>
      </c>
      <c r="C475" s="1">
        <v>12.182</v>
      </c>
      <c r="D475" s="1">
        <v>1.0999999999999999E-2</v>
      </c>
      <c r="E475" s="1" t="s">
        <v>1</v>
      </c>
      <c r="F475" s="1" t="s">
        <v>94</v>
      </c>
    </row>
    <row r="476" spans="1:6" ht="17.25" customHeight="1" x14ac:dyDescent="0.25">
      <c r="A476" s="1">
        <v>2458382.4910400002</v>
      </c>
      <c r="B476" s="1" t="s">
        <v>122</v>
      </c>
      <c r="C476" s="1">
        <v>12.179</v>
      </c>
      <c r="D476" s="1">
        <v>1.0999999999999999E-2</v>
      </c>
      <c r="E476" s="1" t="s">
        <v>1</v>
      </c>
      <c r="F476" s="1" t="s">
        <v>94</v>
      </c>
    </row>
    <row r="477" spans="1:6" ht="17.25" customHeight="1" x14ac:dyDescent="0.25">
      <c r="A477" s="1">
        <v>2458383.3731399998</v>
      </c>
      <c r="B477" s="1" t="s">
        <v>123</v>
      </c>
      <c r="C477" s="1">
        <v>12.147</v>
      </c>
      <c r="D477" s="1">
        <v>1.0999999999999999E-2</v>
      </c>
      <c r="E477" s="1" t="s">
        <v>1</v>
      </c>
      <c r="F477" s="1" t="s">
        <v>101</v>
      </c>
    </row>
    <row r="478" spans="1:6" ht="17.25" customHeight="1" x14ac:dyDescent="0.25">
      <c r="A478" s="1">
        <v>2458383.3734499998</v>
      </c>
      <c r="B478" s="1" t="s">
        <v>123</v>
      </c>
      <c r="C478" s="1">
        <v>12.128</v>
      </c>
      <c r="D478" s="1">
        <v>0.01</v>
      </c>
      <c r="E478" s="1" t="s">
        <v>1</v>
      </c>
      <c r="F478" s="1" t="s">
        <v>101</v>
      </c>
    </row>
    <row r="479" spans="1:6" ht="17.25" customHeight="1" x14ac:dyDescent="0.25">
      <c r="A479" s="1">
        <v>2458383.4341600002</v>
      </c>
      <c r="B479" s="1" t="s">
        <v>123</v>
      </c>
      <c r="C479" s="1">
        <v>12.132</v>
      </c>
      <c r="D479" s="1">
        <v>6.4000000000000001E-2</v>
      </c>
      <c r="E479" s="1" t="s">
        <v>1</v>
      </c>
      <c r="F479" s="1" t="s">
        <v>285</v>
      </c>
    </row>
    <row r="480" spans="1:6" ht="17.25" customHeight="1" x14ac:dyDescent="0.25">
      <c r="A480" s="1">
        <v>2458383.4348399998</v>
      </c>
      <c r="B480" s="1" t="s">
        <v>123</v>
      </c>
      <c r="C480" s="1">
        <v>12.138</v>
      </c>
      <c r="D480" s="1">
        <v>6.5000000000000002E-2</v>
      </c>
      <c r="E480" s="1" t="s">
        <v>1</v>
      </c>
      <c r="F480" s="1" t="s">
        <v>285</v>
      </c>
    </row>
    <row r="481" spans="1:6" ht="17.25" customHeight="1" x14ac:dyDescent="0.25">
      <c r="A481" s="1">
        <v>2458383.49449</v>
      </c>
      <c r="B481" s="1" t="s">
        <v>123</v>
      </c>
      <c r="C481" s="1">
        <v>12.186999999999999</v>
      </c>
      <c r="D481" s="1">
        <v>1.0999999999999999E-2</v>
      </c>
      <c r="E481" s="1" t="s">
        <v>1</v>
      </c>
      <c r="F481" s="1" t="s">
        <v>94</v>
      </c>
    </row>
    <row r="482" spans="1:6" ht="17.25" customHeight="1" x14ac:dyDescent="0.25">
      <c r="A482" s="1">
        <v>2458383.4948800001</v>
      </c>
      <c r="B482" s="1" t="s">
        <v>123</v>
      </c>
      <c r="C482" s="1">
        <v>12.173</v>
      </c>
      <c r="D482" s="1">
        <v>1.0999999999999999E-2</v>
      </c>
      <c r="E482" s="1" t="s">
        <v>1</v>
      </c>
      <c r="F482" s="1" t="s">
        <v>94</v>
      </c>
    </row>
    <row r="483" spans="1:6" ht="17.25" customHeight="1" x14ac:dyDescent="0.25">
      <c r="A483" s="1">
        <v>2458384.4625599999</v>
      </c>
      <c r="B483" s="1" t="s">
        <v>124</v>
      </c>
      <c r="C483" s="1">
        <v>12.138999999999999</v>
      </c>
      <c r="D483" s="1">
        <v>5.0999999999999997E-2</v>
      </c>
      <c r="E483" s="1" t="s">
        <v>1</v>
      </c>
      <c r="F483" s="1" t="s">
        <v>285</v>
      </c>
    </row>
    <row r="484" spans="1:6" ht="17.25" customHeight="1" x14ac:dyDescent="0.25">
      <c r="A484" s="1">
        <v>2458384.46312</v>
      </c>
      <c r="B484" s="1" t="s">
        <v>124</v>
      </c>
      <c r="C484" s="1">
        <v>12.167999999999999</v>
      </c>
      <c r="D484" s="1">
        <v>5.8000000000000003E-2</v>
      </c>
      <c r="E484" s="1" t="s">
        <v>1</v>
      </c>
      <c r="F484" s="1" t="s">
        <v>285</v>
      </c>
    </row>
    <row r="485" spans="1:6" ht="17.25" customHeight="1" x14ac:dyDescent="0.25">
      <c r="A485" s="1">
        <v>2458384.4948700001</v>
      </c>
      <c r="B485" s="1" t="s">
        <v>124</v>
      </c>
      <c r="C485" s="1">
        <v>12.21</v>
      </c>
      <c r="D485" s="1">
        <v>1.0999999999999999E-2</v>
      </c>
      <c r="E485" s="1" t="s">
        <v>1</v>
      </c>
      <c r="F485" s="1" t="s">
        <v>94</v>
      </c>
    </row>
    <row r="486" spans="1:6" ht="17.25" customHeight="1" x14ac:dyDescent="0.25">
      <c r="A486" s="1">
        <v>2458384.4952500002</v>
      </c>
      <c r="B486" s="1" t="s">
        <v>124</v>
      </c>
      <c r="C486" s="1">
        <v>12.205</v>
      </c>
      <c r="D486" s="1">
        <v>1.2E-2</v>
      </c>
      <c r="E486" s="1" t="s">
        <v>1</v>
      </c>
      <c r="F486" s="1" t="s">
        <v>94</v>
      </c>
    </row>
    <row r="487" spans="1:6" ht="17.25" customHeight="1" x14ac:dyDescent="0.25">
      <c r="A487" s="1">
        <v>2458384.6153600002</v>
      </c>
      <c r="B487" s="1" t="s">
        <v>125</v>
      </c>
      <c r="C487" s="1">
        <v>12.244</v>
      </c>
      <c r="D487" s="1">
        <v>1.7000000000000001E-2</v>
      </c>
      <c r="E487" s="1" t="s">
        <v>1</v>
      </c>
      <c r="F487" s="1" t="s">
        <v>273</v>
      </c>
    </row>
    <row r="488" spans="1:6" ht="17.25" customHeight="1" x14ac:dyDescent="0.25">
      <c r="A488" s="1">
        <v>2458384.61583</v>
      </c>
      <c r="B488" s="1" t="s">
        <v>125</v>
      </c>
      <c r="C488" s="1">
        <v>12.273999999999999</v>
      </c>
      <c r="D488" s="1">
        <v>1.9E-2</v>
      </c>
      <c r="E488" s="1" t="s">
        <v>1</v>
      </c>
      <c r="F488" s="1" t="s">
        <v>273</v>
      </c>
    </row>
    <row r="489" spans="1:6" ht="17.25" customHeight="1" x14ac:dyDescent="0.25">
      <c r="A489" s="1">
        <v>2458384.6162999999</v>
      </c>
      <c r="B489" s="1" t="s">
        <v>125</v>
      </c>
      <c r="C489" s="1">
        <v>12.284000000000001</v>
      </c>
      <c r="D489" s="1">
        <v>1.9E-2</v>
      </c>
      <c r="E489" s="1" t="s">
        <v>1</v>
      </c>
      <c r="F489" s="1" t="s">
        <v>273</v>
      </c>
    </row>
    <row r="490" spans="1:6" ht="17.25" customHeight="1" x14ac:dyDescent="0.25">
      <c r="A490" s="1">
        <v>2458384.6167799998</v>
      </c>
      <c r="B490" s="1" t="s">
        <v>125</v>
      </c>
      <c r="C490" s="1">
        <v>12.215</v>
      </c>
      <c r="D490" s="1">
        <v>1.9E-2</v>
      </c>
      <c r="E490" s="1" t="s">
        <v>1</v>
      </c>
      <c r="F490" s="1" t="s">
        <v>273</v>
      </c>
    </row>
    <row r="491" spans="1:6" ht="17.25" customHeight="1" x14ac:dyDescent="0.25">
      <c r="A491" s="1">
        <v>2458384.61772</v>
      </c>
      <c r="B491" s="1" t="s">
        <v>125</v>
      </c>
      <c r="C491" s="1">
        <v>12.276999999999999</v>
      </c>
      <c r="D491" s="1">
        <v>1.7999999999999999E-2</v>
      </c>
      <c r="E491" s="1" t="s">
        <v>1</v>
      </c>
      <c r="F491" s="1" t="s">
        <v>273</v>
      </c>
    </row>
    <row r="492" spans="1:6" ht="17.25" customHeight="1" x14ac:dyDescent="0.25">
      <c r="A492" s="1">
        <v>2458385.4646600001</v>
      </c>
      <c r="B492" s="1" t="s">
        <v>125</v>
      </c>
      <c r="C492" s="1">
        <v>12.161</v>
      </c>
      <c r="D492" s="1">
        <v>3.2000000000000001E-2</v>
      </c>
      <c r="E492" s="1" t="s">
        <v>1</v>
      </c>
      <c r="F492" s="1" t="s">
        <v>285</v>
      </c>
    </row>
    <row r="493" spans="1:6" ht="17.25" customHeight="1" x14ac:dyDescent="0.25">
      <c r="A493" s="1">
        <v>2458385.4652800001</v>
      </c>
      <c r="B493" s="1" t="s">
        <v>125</v>
      </c>
      <c r="C493" s="1">
        <v>12.129</v>
      </c>
      <c r="D493" s="1">
        <v>6.7000000000000004E-2</v>
      </c>
      <c r="E493" s="1" t="s">
        <v>1</v>
      </c>
      <c r="F493" s="1" t="s">
        <v>285</v>
      </c>
    </row>
    <row r="494" spans="1:6" ht="17.25" customHeight="1" x14ac:dyDescent="0.25">
      <c r="A494" s="1">
        <v>2458385.4947500001</v>
      </c>
      <c r="B494" s="1" t="s">
        <v>125</v>
      </c>
      <c r="C494" s="1">
        <v>12.211</v>
      </c>
      <c r="D494" s="1">
        <v>1.2E-2</v>
      </c>
      <c r="E494" s="1" t="s">
        <v>1</v>
      </c>
      <c r="F494" s="1" t="s">
        <v>94</v>
      </c>
    </row>
    <row r="495" spans="1:6" ht="17.25" customHeight="1" x14ac:dyDescent="0.25">
      <c r="A495" s="1">
        <v>2458385.4951399998</v>
      </c>
      <c r="B495" s="1" t="s">
        <v>125</v>
      </c>
      <c r="C495" s="1">
        <v>12.209</v>
      </c>
      <c r="D495" s="1">
        <v>1.2E-2</v>
      </c>
      <c r="E495" s="1" t="s">
        <v>1</v>
      </c>
      <c r="F495" s="1" t="s">
        <v>94</v>
      </c>
    </row>
    <row r="496" spans="1:6" ht="17.25" customHeight="1" x14ac:dyDescent="0.25">
      <c r="A496" s="1">
        <v>2458386.2867800002</v>
      </c>
      <c r="B496" s="1" t="s">
        <v>126</v>
      </c>
      <c r="C496" s="1">
        <v>12.173</v>
      </c>
      <c r="D496" s="1">
        <v>1.0999999999999999E-2</v>
      </c>
      <c r="E496" s="1" t="s">
        <v>1</v>
      </c>
      <c r="F496" s="1" t="s">
        <v>101</v>
      </c>
    </row>
    <row r="497" spans="1:6" ht="17.25" customHeight="1" x14ac:dyDescent="0.25">
      <c r="A497" s="1">
        <v>2458386.2870900002</v>
      </c>
      <c r="B497" s="1" t="s">
        <v>126</v>
      </c>
      <c r="C497" s="1">
        <v>12.178000000000001</v>
      </c>
      <c r="D497" s="1">
        <v>1.2E-2</v>
      </c>
      <c r="E497" s="1" t="s">
        <v>1</v>
      </c>
      <c r="F497" s="1" t="s">
        <v>101</v>
      </c>
    </row>
    <row r="498" spans="1:6" ht="17.25" customHeight="1" x14ac:dyDescent="0.25">
      <c r="A498" s="1">
        <v>2458386.4543900001</v>
      </c>
      <c r="B498" s="1" t="s">
        <v>126</v>
      </c>
      <c r="C498" s="1">
        <v>12.239000000000001</v>
      </c>
      <c r="D498" s="1">
        <v>6.6000000000000003E-2</v>
      </c>
      <c r="E498" s="1" t="s">
        <v>1</v>
      </c>
      <c r="F498" s="1" t="s">
        <v>285</v>
      </c>
    </row>
    <row r="499" spans="1:6" ht="17.25" customHeight="1" x14ac:dyDescent="0.25">
      <c r="A499" s="1">
        <v>2458386.4550800002</v>
      </c>
      <c r="B499" s="1" t="s">
        <v>126</v>
      </c>
      <c r="C499" s="1">
        <v>12.103999999999999</v>
      </c>
      <c r="D499" s="1">
        <v>6.4000000000000001E-2</v>
      </c>
      <c r="E499" s="1" t="s">
        <v>1</v>
      </c>
      <c r="F499" s="1" t="s">
        <v>285</v>
      </c>
    </row>
    <row r="500" spans="1:6" ht="17.25" customHeight="1" x14ac:dyDescent="0.25">
      <c r="A500" s="1">
        <v>2458386.5136099998</v>
      </c>
      <c r="B500" s="1" t="s">
        <v>127</v>
      </c>
      <c r="C500" s="1">
        <v>12.259</v>
      </c>
      <c r="D500" s="1">
        <v>1.2E-2</v>
      </c>
      <c r="E500" s="1" t="s">
        <v>1</v>
      </c>
      <c r="F500" s="1" t="s">
        <v>94</v>
      </c>
    </row>
    <row r="501" spans="1:6" ht="17.25" customHeight="1" x14ac:dyDescent="0.25">
      <c r="A501" s="1">
        <v>2458386.514</v>
      </c>
      <c r="B501" s="1" t="s">
        <v>127</v>
      </c>
      <c r="C501" s="1">
        <v>12.228</v>
      </c>
      <c r="D501" s="1">
        <v>1.2999999999999999E-2</v>
      </c>
      <c r="E501" s="1" t="s">
        <v>1</v>
      </c>
      <c r="F501" s="1" t="s">
        <v>94</v>
      </c>
    </row>
    <row r="502" spans="1:6" ht="17.25" customHeight="1" x14ac:dyDescent="0.25">
      <c r="A502" s="1">
        <v>2458387.4545900002</v>
      </c>
      <c r="B502" s="1" t="s">
        <v>127</v>
      </c>
      <c r="C502" s="1">
        <v>12.113</v>
      </c>
      <c r="D502" s="1">
        <v>6.9000000000000006E-2</v>
      </c>
      <c r="E502" s="1" t="s">
        <v>1</v>
      </c>
      <c r="F502" s="1" t="s">
        <v>285</v>
      </c>
    </row>
    <row r="503" spans="1:6" ht="17.25" customHeight="1" x14ac:dyDescent="0.25">
      <c r="A503" s="1">
        <v>2458387.4552699998</v>
      </c>
      <c r="B503" s="1" t="s">
        <v>127</v>
      </c>
      <c r="C503" s="1">
        <v>12.381</v>
      </c>
      <c r="D503" s="1">
        <v>0.183</v>
      </c>
      <c r="E503" s="1" t="s">
        <v>1</v>
      </c>
      <c r="F503" s="1" t="s">
        <v>285</v>
      </c>
    </row>
    <row r="504" spans="1:6" ht="17.25" customHeight="1" x14ac:dyDescent="0.25">
      <c r="A504" s="1">
        <v>2458387.5050300001</v>
      </c>
      <c r="B504" s="1" t="s">
        <v>128</v>
      </c>
      <c r="C504" s="1">
        <v>12.271000000000001</v>
      </c>
      <c r="D504" s="1">
        <v>1.0999999999999999E-2</v>
      </c>
      <c r="E504" s="1" t="s">
        <v>1</v>
      </c>
      <c r="F504" s="1" t="s">
        <v>94</v>
      </c>
    </row>
    <row r="505" spans="1:6" ht="17.25" customHeight="1" x14ac:dyDescent="0.25">
      <c r="A505" s="1">
        <v>2458387.5054299999</v>
      </c>
      <c r="B505" s="1" t="s">
        <v>128</v>
      </c>
      <c r="C505" s="1">
        <v>12.28</v>
      </c>
      <c r="D505" s="1">
        <v>1.0999999999999999E-2</v>
      </c>
      <c r="E505" s="1" t="s">
        <v>1</v>
      </c>
      <c r="F505" s="1" t="s">
        <v>94</v>
      </c>
    </row>
    <row r="506" spans="1:6" ht="17.25" customHeight="1" x14ac:dyDescent="0.25">
      <c r="A506" s="1">
        <v>2458388.2860500002</v>
      </c>
      <c r="B506" s="1" t="s">
        <v>128</v>
      </c>
      <c r="C506" s="1">
        <v>12.198</v>
      </c>
      <c r="D506" s="1">
        <v>0.01</v>
      </c>
      <c r="E506" s="1" t="s">
        <v>1</v>
      </c>
      <c r="F506" s="1" t="s">
        <v>101</v>
      </c>
    </row>
    <row r="507" spans="1:6" ht="17.25" customHeight="1" x14ac:dyDescent="0.25">
      <c r="A507" s="1">
        <v>2458388.2863699999</v>
      </c>
      <c r="B507" s="1" t="s">
        <v>128</v>
      </c>
      <c r="C507" s="1">
        <v>12.214</v>
      </c>
      <c r="D507" s="1">
        <v>8.9999999999999993E-3</v>
      </c>
      <c r="E507" s="1" t="s">
        <v>1</v>
      </c>
      <c r="F507" s="1" t="s">
        <v>101</v>
      </c>
    </row>
    <row r="508" spans="1:6" ht="17.25" customHeight="1" x14ac:dyDescent="0.25">
      <c r="A508" s="1">
        <v>2458388.3407399999</v>
      </c>
      <c r="B508" s="1" t="s">
        <v>128</v>
      </c>
      <c r="C508" s="1">
        <v>12.315</v>
      </c>
      <c r="D508" s="1">
        <v>8.9999999999999993E-3</v>
      </c>
      <c r="E508" s="1" t="s">
        <v>1</v>
      </c>
      <c r="F508" s="1" t="s">
        <v>2</v>
      </c>
    </row>
    <row r="509" spans="1:6" ht="17.25" customHeight="1" x14ac:dyDescent="0.25">
      <c r="A509" s="1">
        <v>2458388.5131600001</v>
      </c>
      <c r="B509" s="1" t="s">
        <v>129</v>
      </c>
      <c r="C509" s="1">
        <v>12.282</v>
      </c>
      <c r="D509" s="1">
        <v>0.01</v>
      </c>
      <c r="E509" s="1" t="s">
        <v>1</v>
      </c>
      <c r="F509" s="1" t="s">
        <v>94</v>
      </c>
    </row>
    <row r="510" spans="1:6" ht="17.25" customHeight="1" x14ac:dyDescent="0.25">
      <c r="A510" s="1">
        <v>2458388.5135400002</v>
      </c>
      <c r="B510" s="1" t="s">
        <v>129</v>
      </c>
      <c r="C510" s="1">
        <v>12.26</v>
      </c>
      <c r="D510" s="1">
        <v>0.01</v>
      </c>
      <c r="E510" s="1" t="s">
        <v>1</v>
      </c>
      <c r="F510" s="1" t="s">
        <v>94</v>
      </c>
    </row>
    <row r="511" spans="1:6" ht="17.25" customHeight="1" x14ac:dyDescent="0.25">
      <c r="A511" s="1">
        <v>2458389.28731</v>
      </c>
      <c r="B511" s="1" t="s">
        <v>129</v>
      </c>
      <c r="C511" s="1">
        <v>12.228</v>
      </c>
      <c r="D511" s="1">
        <v>1.0999999999999999E-2</v>
      </c>
      <c r="E511" s="1" t="s">
        <v>1</v>
      </c>
      <c r="F511" s="1" t="s">
        <v>101</v>
      </c>
    </row>
    <row r="512" spans="1:6" ht="17.25" customHeight="1" x14ac:dyDescent="0.25">
      <c r="A512" s="1">
        <v>2458389.2876300002</v>
      </c>
      <c r="B512" s="1" t="s">
        <v>129</v>
      </c>
      <c r="C512" s="1">
        <v>12.224</v>
      </c>
      <c r="D512" s="1">
        <v>1.0999999999999999E-2</v>
      </c>
      <c r="E512" s="1" t="s">
        <v>1</v>
      </c>
      <c r="F512" s="1" t="s">
        <v>101</v>
      </c>
    </row>
    <row r="513" spans="1:6" ht="17.25" customHeight="1" x14ac:dyDescent="0.25">
      <c r="A513" s="1">
        <v>2458389.4539100002</v>
      </c>
      <c r="B513" s="1" t="s">
        <v>129</v>
      </c>
      <c r="C513" s="1">
        <v>12.208</v>
      </c>
      <c r="D513" s="1">
        <v>5.0999999999999997E-2</v>
      </c>
      <c r="E513" s="1" t="s">
        <v>1</v>
      </c>
      <c r="F513" s="1" t="s">
        <v>285</v>
      </c>
    </row>
    <row r="514" spans="1:6" ht="17.25" customHeight="1" x14ac:dyDescent="0.25">
      <c r="A514" s="1">
        <v>2458389.4544600002</v>
      </c>
      <c r="B514" s="1" t="s">
        <v>129</v>
      </c>
      <c r="C514" s="1">
        <v>12.162000000000001</v>
      </c>
      <c r="D514" s="1">
        <v>5.0999999999999997E-2</v>
      </c>
      <c r="E514" s="1" t="s">
        <v>1</v>
      </c>
      <c r="F514" s="1" t="s">
        <v>285</v>
      </c>
    </row>
    <row r="515" spans="1:6" ht="17.25" customHeight="1" x14ac:dyDescent="0.25">
      <c r="A515" s="1">
        <v>2458389.5137200002</v>
      </c>
      <c r="B515" s="1" t="s">
        <v>130</v>
      </c>
      <c r="C515" s="1">
        <v>12.263999999999999</v>
      </c>
      <c r="D515" s="1">
        <v>0.01</v>
      </c>
      <c r="E515" s="1" t="s">
        <v>1</v>
      </c>
      <c r="F515" s="1" t="s">
        <v>94</v>
      </c>
    </row>
    <row r="516" spans="1:6" ht="17.25" customHeight="1" x14ac:dyDescent="0.25">
      <c r="A516" s="1">
        <v>2458389.5140999998</v>
      </c>
      <c r="B516" s="1" t="s">
        <v>130</v>
      </c>
      <c r="C516" s="1">
        <v>12.26</v>
      </c>
      <c r="D516" s="1">
        <v>0.01</v>
      </c>
      <c r="E516" s="1" t="s">
        <v>1</v>
      </c>
      <c r="F516" s="1" t="s">
        <v>94</v>
      </c>
    </row>
    <row r="517" spans="1:6" ht="17.25" customHeight="1" x14ac:dyDescent="0.25">
      <c r="A517" s="1">
        <v>2458389.6844799998</v>
      </c>
      <c r="B517" s="1" t="s">
        <v>130</v>
      </c>
      <c r="C517" s="1">
        <v>12.162000000000001</v>
      </c>
      <c r="D517" s="1">
        <v>3.7999999999999999E-2</v>
      </c>
      <c r="E517" s="1" t="s">
        <v>1</v>
      </c>
      <c r="F517" s="1" t="s">
        <v>131</v>
      </c>
    </row>
    <row r="518" spans="1:6" ht="17.25" customHeight="1" x14ac:dyDescent="0.25">
      <c r="A518" s="1">
        <v>2458390.3028099998</v>
      </c>
      <c r="B518" s="1" t="s">
        <v>130</v>
      </c>
      <c r="C518" s="1">
        <v>12.255000000000001</v>
      </c>
      <c r="D518" s="1">
        <v>8.0000000000000002E-3</v>
      </c>
      <c r="E518" s="1" t="s">
        <v>1</v>
      </c>
      <c r="F518" s="1" t="s">
        <v>101</v>
      </c>
    </row>
    <row r="519" spans="1:6" ht="17.25" customHeight="1" x14ac:dyDescent="0.25">
      <c r="A519" s="1">
        <v>2458390.4548599999</v>
      </c>
      <c r="B519" s="1" t="s">
        <v>130</v>
      </c>
      <c r="C519" s="1">
        <v>12.214</v>
      </c>
      <c r="D519" s="1">
        <v>2.3E-2</v>
      </c>
      <c r="E519" s="1" t="s">
        <v>1</v>
      </c>
      <c r="F519" s="1" t="s">
        <v>285</v>
      </c>
    </row>
    <row r="520" spans="1:6" ht="17.25" customHeight="1" x14ac:dyDescent="0.25">
      <c r="A520" s="1">
        <v>2458390.51822</v>
      </c>
      <c r="B520" s="1" t="s">
        <v>132</v>
      </c>
      <c r="C520" s="1">
        <v>12.279</v>
      </c>
      <c r="D520" s="1">
        <v>0.01</v>
      </c>
      <c r="E520" s="1" t="s">
        <v>1</v>
      </c>
      <c r="F520" s="1" t="s">
        <v>94</v>
      </c>
    </row>
    <row r="521" spans="1:6" ht="17.25" customHeight="1" x14ac:dyDescent="0.25">
      <c r="A521" s="1">
        <v>2458390.5186100001</v>
      </c>
      <c r="B521" s="1" t="s">
        <v>132</v>
      </c>
      <c r="C521" s="1">
        <v>12.29</v>
      </c>
      <c r="D521" s="1">
        <v>0.01</v>
      </c>
      <c r="E521" s="1" t="s">
        <v>1</v>
      </c>
      <c r="F521" s="1" t="s">
        <v>94</v>
      </c>
    </row>
    <row r="522" spans="1:6" ht="17.25" customHeight="1" x14ac:dyDescent="0.25">
      <c r="A522" s="1">
        <v>2458390.5503799999</v>
      </c>
      <c r="B522" s="1" t="s">
        <v>132</v>
      </c>
      <c r="C522" s="1">
        <v>12.298</v>
      </c>
      <c r="D522" s="1">
        <v>1.4999999999999999E-2</v>
      </c>
      <c r="E522" s="1" t="s">
        <v>1</v>
      </c>
      <c r="F522" s="1" t="s">
        <v>273</v>
      </c>
    </row>
    <row r="523" spans="1:6" ht="17.25" customHeight="1" x14ac:dyDescent="0.25">
      <c r="A523" s="1">
        <v>2458390.5511599998</v>
      </c>
      <c r="B523" s="1" t="s">
        <v>132</v>
      </c>
      <c r="C523" s="1">
        <v>12.262</v>
      </c>
      <c r="D523" s="1">
        <v>1.4999999999999999E-2</v>
      </c>
      <c r="E523" s="1" t="s">
        <v>1</v>
      </c>
      <c r="F523" s="1" t="s">
        <v>273</v>
      </c>
    </row>
    <row r="524" spans="1:6" ht="17.25" customHeight="1" x14ac:dyDescent="0.25">
      <c r="A524" s="1">
        <v>2458390.5519500002</v>
      </c>
      <c r="B524" s="1" t="s">
        <v>132</v>
      </c>
      <c r="C524" s="1">
        <v>12.294</v>
      </c>
      <c r="D524" s="1">
        <v>1.4999999999999999E-2</v>
      </c>
      <c r="E524" s="1" t="s">
        <v>1</v>
      </c>
      <c r="F524" s="1" t="s">
        <v>273</v>
      </c>
    </row>
    <row r="525" spans="1:6" ht="17.25" customHeight="1" x14ac:dyDescent="0.25">
      <c r="A525" s="1">
        <v>2458390.5534399999</v>
      </c>
      <c r="B525" s="1" t="s">
        <v>132</v>
      </c>
      <c r="C525" s="1">
        <v>12.343999999999999</v>
      </c>
      <c r="D525" s="1">
        <v>2.1999999999999999E-2</v>
      </c>
      <c r="E525" s="1" t="s">
        <v>1</v>
      </c>
      <c r="F525" s="1" t="s">
        <v>273</v>
      </c>
    </row>
    <row r="526" spans="1:6" ht="17.25" customHeight="1" x14ac:dyDescent="0.25">
      <c r="A526" s="1">
        <v>2458391.46948</v>
      </c>
      <c r="B526" s="1" t="s">
        <v>132</v>
      </c>
      <c r="C526" s="1">
        <v>12.193</v>
      </c>
      <c r="D526" s="1">
        <v>2.5000000000000001E-2</v>
      </c>
      <c r="E526" s="1" t="s">
        <v>1</v>
      </c>
      <c r="F526" s="1" t="s">
        <v>285</v>
      </c>
    </row>
    <row r="527" spans="1:6" ht="17.25" customHeight="1" x14ac:dyDescent="0.25">
      <c r="A527" s="1">
        <v>2458391.47009</v>
      </c>
      <c r="B527" s="1" t="s">
        <v>132</v>
      </c>
      <c r="C527" s="1">
        <v>12.247</v>
      </c>
      <c r="D527" s="1">
        <v>2.5999999999999999E-2</v>
      </c>
      <c r="E527" s="1" t="s">
        <v>1</v>
      </c>
      <c r="F527" s="1" t="s">
        <v>285</v>
      </c>
    </row>
    <row r="528" spans="1:6" ht="17.25" customHeight="1" x14ac:dyDescent="0.25">
      <c r="A528" s="1">
        <v>2458392.4326599999</v>
      </c>
      <c r="B528" s="1" t="s">
        <v>305</v>
      </c>
      <c r="C528" s="1">
        <v>12.122999999999999</v>
      </c>
      <c r="D528" s="1">
        <v>5.5E-2</v>
      </c>
      <c r="E528" s="1" t="s">
        <v>1</v>
      </c>
      <c r="F528" s="1" t="s">
        <v>285</v>
      </c>
    </row>
    <row r="529" spans="1:6" ht="17.25" customHeight="1" x14ac:dyDescent="0.25">
      <c r="A529" s="1">
        <v>2458392.43322</v>
      </c>
      <c r="B529" s="1" t="s">
        <v>305</v>
      </c>
      <c r="C529" s="1">
        <v>12.202999999999999</v>
      </c>
      <c r="D529" s="1">
        <v>7.0999999999999994E-2</v>
      </c>
      <c r="E529" s="1" t="s">
        <v>1</v>
      </c>
      <c r="F529" s="1" t="s">
        <v>285</v>
      </c>
    </row>
    <row r="530" spans="1:6" ht="17.25" customHeight="1" x14ac:dyDescent="0.25">
      <c r="A530" s="1">
        <v>2458392.50789</v>
      </c>
      <c r="B530" s="1" t="s">
        <v>133</v>
      </c>
      <c r="C530" s="1">
        <v>12.3</v>
      </c>
      <c r="D530" s="1">
        <v>0.01</v>
      </c>
      <c r="E530" s="1" t="s">
        <v>1</v>
      </c>
      <c r="F530" s="1" t="s">
        <v>94</v>
      </c>
    </row>
    <row r="531" spans="1:6" ht="17.25" customHeight="1" x14ac:dyDescent="0.25">
      <c r="A531" s="1">
        <v>2458392.5082800002</v>
      </c>
      <c r="B531" s="1" t="s">
        <v>133</v>
      </c>
      <c r="C531" s="1">
        <v>12.327</v>
      </c>
      <c r="D531" s="1">
        <v>0.01</v>
      </c>
      <c r="E531" s="1" t="s">
        <v>1</v>
      </c>
      <c r="F531" s="1" t="s">
        <v>94</v>
      </c>
    </row>
    <row r="532" spans="1:6" ht="17.25" customHeight="1" x14ac:dyDescent="0.25">
      <c r="A532" s="1">
        <v>2458393.3143500001</v>
      </c>
      <c r="B532" s="1" t="s">
        <v>133</v>
      </c>
      <c r="C532" s="1">
        <v>12.263</v>
      </c>
      <c r="D532" s="1">
        <v>2.1000000000000001E-2</v>
      </c>
      <c r="E532" s="1" t="s">
        <v>1</v>
      </c>
      <c r="F532" s="1" t="s">
        <v>285</v>
      </c>
    </row>
    <row r="533" spans="1:6" ht="17.25" customHeight="1" x14ac:dyDescent="0.25">
      <c r="A533" s="1">
        <v>2458393.3149100002</v>
      </c>
      <c r="B533" s="1" t="s">
        <v>133</v>
      </c>
      <c r="C533" s="1">
        <v>12.231</v>
      </c>
      <c r="D533" s="1">
        <v>2.1000000000000001E-2</v>
      </c>
      <c r="E533" s="1" t="s">
        <v>1</v>
      </c>
      <c r="F533" s="1" t="s">
        <v>285</v>
      </c>
    </row>
    <row r="534" spans="1:6" ht="17.25" customHeight="1" x14ac:dyDescent="0.25">
      <c r="A534" s="1">
        <v>2458393.5115299998</v>
      </c>
      <c r="B534" s="1" t="s">
        <v>134</v>
      </c>
      <c r="C534" s="1">
        <v>12.33</v>
      </c>
      <c r="D534" s="1">
        <v>0.01</v>
      </c>
      <c r="E534" s="1" t="s">
        <v>1</v>
      </c>
      <c r="F534" s="1" t="s">
        <v>94</v>
      </c>
    </row>
    <row r="535" spans="1:6" ht="17.25" customHeight="1" x14ac:dyDescent="0.25">
      <c r="A535" s="1">
        <v>2458393.5119099999</v>
      </c>
      <c r="B535" s="1" t="s">
        <v>134</v>
      </c>
      <c r="C535" s="1">
        <v>12.327</v>
      </c>
      <c r="D535" s="1">
        <v>0.01</v>
      </c>
      <c r="E535" s="1" t="s">
        <v>1</v>
      </c>
      <c r="F535" s="1" t="s">
        <v>94</v>
      </c>
    </row>
    <row r="536" spans="1:6" ht="17.25" customHeight="1" x14ac:dyDescent="0.25">
      <c r="A536" s="1">
        <v>2458394.51609</v>
      </c>
      <c r="B536" s="1" t="s">
        <v>135</v>
      </c>
      <c r="C536" s="1">
        <v>12.321999999999999</v>
      </c>
      <c r="D536" s="1">
        <v>0.01</v>
      </c>
      <c r="E536" s="1" t="s">
        <v>1</v>
      </c>
      <c r="F536" s="1" t="s">
        <v>94</v>
      </c>
    </row>
    <row r="537" spans="1:6" ht="17.25" customHeight="1" x14ac:dyDescent="0.25">
      <c r="A537" s="1">
        <v>2458394.5164700001</v>
      </c>
      <c r="B537" s="1" t="s">
        <v>135</v>
      </c>
      <c r="C537" s="1">
        <v>12.356</v>
      </c>
      <c r="D537" s="1">
        <v>0.01</v>
      </c>
      <c r="E537" s="1" t="s">
        <v>1</v>
      </c>
      <c r="F537" s="1" t="s">
        <v>94</v>
      </c>
    </row>
    <row r="538" spans="1:6" ht="17.25" customHeight="1" x14ac:dyDescent="0.25">
      <c r="A538" s="1">
        <v>2458395.5088200001</v>
      </c>
      <c r="B538" s="1" t="s">
        <v>136</v>
      </c>
      <c r="C538" s="1">
        <v>12.347</v>
      </c>
      <c r="D538" s="1">
        <v>1.0999999999999999E-2</v>
      </c>
      <c r="E538" s="1" t="s">
        <v>1</v>
      </c>
      <c r="F538" s="1" t="s">
        <v>94</v>
      </c>
    </row>
    <row r="539" spans="1:6" ht="17.25" customHeight="1" x14ac:dyDescent="0.25">
      <c r="A539" s="1">
        <v>2458395.5092000002</v>
      </c>
      <c r="B539" s="1" t="s">
        <v>136</v>
      </c>
      <c r="C539" s="1">
        <v>12.342000000000001</v>
      </c>
      <c r="D539" s="1">
        <v>0.01</v>
      </c>
      <c r="E539" s="1" t="s">
        <v>1</v>
      </c>
      <c r="F539" s="1" t="s">
        <v>94</v>
      </c>
    </row>
    <row r="540" spans="1:6" ht="17.25" customHeight="1" x14ac:dyDescent="0.25">
      <c r="A540" s="1">
        <v>2458395.62806</v>
      </c>
      <c r="B540" s="1" t="s">
        <v>136</v>
      </c>
      <c r="C540" s="1">
        <v>12.249000000000001</v>
      </c>
      <c r="D540" s="1">
        <v>1.6E-2</v>
      </c>
      <c r="E540" s="1" t="s">
        <v>1</v>
      </c>
      <c r="F540" s="1" t="s">
        <v>131</v>
      </c>
    </row>
    <row r="541" spans="1:6" ht="17.25" customHeight="1" x14ac:dyDescent="0.25">
      <c r="A541" s="1">
        <v>2458396.5126200002</v>
      </c>
      <c r="B541" s="1" t="s">
        <v>137</v>
      </c>
      <c r="C541" s="1">
        <v>12.355</v>
      </c>
      <c r="D541" s="1">
        <v>1.0999999999999999E-2</v>
      </c>
      <c r="E541" s="1" t="s">
        <v>1</v>
      </c>
      <c r="F541" s="1" t="s">
        <v>94</v>
      </c>
    </row>
    <row r="542" spans="1:6" ht="17.25" customHeight="1" x14ac:dyDescent="0.25">
      <c r="A542" s="1">
        <v>2458396.5130099999</v>
      </c>
      <c r="B542" s="1" t="s">
        <v>137</v>
      </c>
      <c r="C542" s="1">
        <v>12.374000000000001</v>
      </c>
      <c r="D542" s="1">
        <v>1.0999999999999999E-2</v>
      </c>
      <c r="E542" s="1" t="s">
        <v>1</v>
      </c>
      <c r="F542" s="1" t="s">
        <v>94</v>
      </c>
    </row>
    <row r="543" spans="1:6" ht="17.25" customHeight="1" x14ac:dyDescent="0.25">
      <c r="A543" s="1">
        <v>2458397.5126200002</v>
      </c>
      <c r="B543" s="1" t="s">
        <v>138</v>
      </c>
      <c r="C543" s="1">
        <v>12.396000000000001</v>
      </c>
      <c r="D543" s="1">
        <v>1.0999999999999999E-2</v>
      </c>
      <c r="E543" s="1" t="s">
        <v>1</v>
      </c>
      <c r="F543" s="1" t="s">
        <v>94</v>
      </c>
    </row>
    <row r="544" spans="1:6" ht="17.25" customHeight="1" x14ac:dyDescent="0.25">
      <c r="A544" s="1">
        <v>2458397.5130099999</v>
      </c>
      <c r="B544" s="1" t="s">
        <v>138</v>
      </c>
      <c r="C544" s="1">
        <v>12.385999999999999</v>
      </c>
      <c r="D544" s="1">
        <v>1.2E-2</v>
      </c>
      <c r="E544" s="1" t="s">
        <v>1</v>
      </c>
      <c r="F544" s="1" t="s">
        <v>94</v>
      </c>
    </row>
    <row r="545" spans="1:6" ht="17.25" customHeight="1" x14ac:dyDescent="0.25">
      <c r="A545" s="1">
        <v>2458400.3708600001</v>
      </c>
      <c r="B545" s="1" t="s">
        <v>307</v>
      </c>
      <c r="C545" s="1">
        <v>11.667</v>
      </c>
      <c r="D545" s="1">
        <v>5.0000000000000001E-3</v>
      </c>
      <c r="E545" s="1" t="s">
        <v>1</v>
      </c>
      <c r="F545" s="1" t="s">
        <v>285</v>
      </c>
    </row>
    <row r="546" spans="1:6" ht="17.25" customHeight="1" x14ac:dyDescent="0.25">
      <c r="A546" s="1">
        <v>2458400.3716099998</v>
      </c>
      <c r="B546" s="1" t="s">
        <v>307</v>
      </c>
      <c r="C546" s="1">
        <v>12.326000000000001</v>
      </c>
      <c r="D546" s="1">
        <v>2.4E-2</v>
      </c>
      <c r="E546" s="1" t="s">
        <v>1</v>
      </c>
      <c r="F546" s="1" t="s">
        <v>285</v>
      </c>
    </row>
    <row r="547" spans="1:6" ht="17.25" customHeight="1" x14ac:dyDescent="0.25">
      <c r="A547" s="1">
        <v>2458400.57192</v>
      </c>
      <c r="B547" s="1" t="s">
        <v>139</v>
      </c>
      <c r="C547" s="1">
        <v>12.407</v>
      </c>
      <c r="D547" s="1">
        <v>1.0999999999999999E-2</v>
      </c>
      <c r="E547" s="1" t="s">
        <v>1</v>
      </c>
      <c r="F547" s="1" t="s">
        <v>94</v>
      </c>
    </row>
    <row r="548" spans="1:6" ht="17.25" customHeight="1" x14ac:dyDescent="0.25">
      <c r="A548" s="1">
        <v>2458400.5723000001</v>
      </c>
      <c r="B548" s="1" t="s">
        <v>139</v>
      </c>
      <c r="C548" s="1">
        <v>12.419</v>
      </c>
      <c r="D548" s="1">
        <v>1.0999999999999999E-2</v>
      </c>
      <c r="E548" s="1" t="s">
        <v>1</v>
      </c>
      <c r="F548" s="1" t="s">
        <v>94</v>
      </c>
    </row>
    <row r="549" spans="1:6" ht="17.25" customHeight="1" x14ac:dyDescent="0.25">
      <c r="A549" s="1">
        <v>2458401.27257</v>
      </c>
      <c r="B549" s="1" t="s">
        <v>139</v>
      </c>
      <c r="C549" s="1">
        <v>12.352</v>
      </c>
      <c r="D549" s="1">
        <v>8.9999999999999993E-3</v>
      </c>
      <c r="E549" s="1" t="s">
        <v>1</v>
      </c>
      <c r="F549" s="1" t="s">
        <v>101</v>
      </c>
    </row>
    <row r="550" spans="1:6" ht="17.25" customHeight="1" x14ac:dyDescent="0.25">
      <c r="A550" s="1">
        <v>2458401.2728800001</v>
      </c>
      <c r="B550" s="1" t="s">
        <v>139</v>
      </c>
      <c r="C550" s="1">
        <v>12.355</v>
      </c>
      <c r="D550" s="1">
        <v>8.9999999999999993E-3</v>
      </c>
      <c r="E550" s="1" t="s">
        <v>1</v>
      </c>
      <c r="F550" s="1" t="s">
        <v>101</v>
      </c>
    </row>
    <row r="551" spans="1:6" ht="17.25" customHeight="1" x14ac:dyDescent="0.25">
      <c r="A551" s="1">
        <v>2458401.5531500001</v>
      </c>
      <c r="B551" s="1" t="s">
        <v>140</v>
      </c>
      <c r="C551" s="1">
        <v>12.401</v>
      </c>
      <c r="D551" s="1">
        <v>1.0999999999999999E-2</v>
      </c>
      <c r="E551" s="1" t="s">
        <v>1</v>
      </c>
      <c r="F551" s="1" t="s">
        <v>94</v>
      </c>
    </row>
    <row r="552" spans="1:6" ht="17.25" customHeight="1" x14ac:dyDescent="0.25">
      <c r="A552" s="1">
        <v>2458401.5535300002</v>
      </c>
      <c r="B552" s="1" t="s">
        <v>140</v>
      </c>
      <c r="C552" s="1">
        <v>12.411</v>
      </c>
      <c r="D552" s="1">
        <v>1.0999999999999999E-2</v>
      </c>
      <c r="E552" s="1" t="s">
        <v>1</v>
      </c>
      <c r="F552" s="1" t="s">
        <v>94</v>
      </c>
    </row>
    <row r="553" spans="1:6" ht="17.25" customHeight="1" x14ac:dyDescent="0.25">
      <c r="A553" s="1">
        <v>2458402.2627900001</v>
      </c>
      <c r="B553" s="1" t="s">
        <v>140</v>
      </c>
      <c r="C553" s="1">
        <v>12.391</v>
      </c>
      <c r="D553" s="1">
        <v>1.0999999999999999E-2</v>
      </c>
      <c r="E553" s="1" t="s">
        <v>1</v>
      </c>
      <c r="F553" s="1" t="s">
        <v>101</v>
      </c>
    </row>
    <row r="554" spans="1:6" ht="17.25" customHeight="1" x14ac:dyDescent="0.25">
      <c r="A554" s="1">
        <v>2458402.2631000001</v>
      </c>
      <c r="B554" s="1" t="s">
        <v>140</v>
      </c>
      <c r="C554" s="1">
        <v>12.367000000000001</v>
      </c>
      <c r="D554" s="1">
        <v>1.0999999999999999E-2</v>
      </c>
      <c r="E554" s="1" t="s">
        <v>1</v>
      </c>
      <c r="F554" s="1" t="s">
        <v>101</v>
      </c>
    </row>
    <row r="555" spans="1:6" ht="17.25" customHeight="1" x14ac:dyDescent="0.25">
      <c r="A555" s="1">
        <v>2458402.3086399999</v>
      </c>
      <c r="B555" s="1" t="s">
        <v>140</v>
      </c>
      <c r="C555" s="1">
        <v>12.358000000000001</v>
      </c>
      <c r="D555" s="1">
        <v>0.02</v>
      </c>
      <c r="E555" s="1" t="s">
        <v>1</v>
      </c>
      <c r="F555" s="1" t="s">
        <v>285</v>
      </c>
    </row>
    <row r="556" spans="1:6" ht="17.25" customHeight="1" x14ac:dyDescent="0.25">
      <c r="A556" s="1">
        <v>2458402.3092700001</v>
      </c>
      <c r="B556" s="1" t="s">
        <v>140</v>
      </c>
      <c r="C556" s="1">
        <v>12.381</v>
      </c>
      <c r="D556" s="1">
        <v>0.02</v>
      </c>
      <c r="E556" s="1" t="s">
        <v>1</v>
      </c>
      <c r="F556" s="1" t="s">
        <v>285</v>
      </c>
    </row>
    <row r="557" spans="1:6" ht="17.25" customHeight="1" x14ac:dyDescent="0.25">
      <c r="A557" s="1">
        <v>2458402.5700900001</v>
      </c>
      <c r="B557" s="1" t="s">
        <v>141</v>
      </c>
      <c r="C557" s="1">
        <v>12.426</v>
      </c>
      <c r="D557" s="1">
        <v>1.0999999999999999E-2</v>
      </c>
      <c r="E557" s="1" t="s">
        <v>1</v>
      </c>
      <c r="F557" s="1" t="s">
        <v>94</v>
      </c>
    </row>
    <row r="558" spans="1:6" ht="17.25" customHeight="1" x14ac:dyDescent="0.25">
      <c r="A558" s="1">
        <v>2458402.5704700002</v>
      </c>
      <c r="B558" s="1" t="s">
        <v>141</v>
      </c>
      <c r="C558" s="1">
        <v>12.414999999999999</v>
      </c>
      <c r="D558" s="1">
        <v>1.0999999999999999E-2</v>
      </c>
      <c r="E558" s="1" t="s">
        <v>1</v>
      </c>
      <c r="F558" s="1" t="s">
        <v>94</v>
      </c>
    </row>
    <row r="559" spans="1:6" ht="17.25" customHeight="1" x14ac:dyDescent="0.25">
      <c r="A559" s="1">
        <v>2458403.5674800002</v>
      </c>
      <c r="B559" s="1" t="s">
        <v>142</v>
      </c>
      <c r="C559" s="1">
        <v>12.427</v>
      </c>
      <c r="D559" s="1">
        <v>1.2E-2</v>
      </c>
      <c r="E559" s="1" t="s">
        <v>1</v>
      </c>
      <c r="F559" s="1" t="s">
        <v>94</v>
      </c>
    </row>
    <row r="560" spans="1:6" ht="17.25" customHeight="1" x14ac:dyDescent="0.25">
      <c r="A560" s="1">
        <v>2458403.5678699999</v>
      </c>
      <c r="B560" s="1" t="s">
        <v>142</v>
      </c>
      <c r="C560" s="1">
        <v>12.427</v>
      </c>
      <c r="D560" s="1">
        <v>1.0999999999999999E-2</v>
      </c>
      <c r="E560" s="1" t="s">
        <v>1</v>
      </c>
      <c r="F560" s="1" t="s">
        <v>94</v>
      </c>
    </row>
    <row r="561" spans="1:6" ht="17.25" customHeight="1" x14ac:dyDescent="0.25">
      <c r="A561" s="1">
        <v>2458404.3459100001</v>
      </c>
      <c r="B561" s="1" t="s">
        <v>142</v>
      </c>
      <c r="C561" s="1">
        <v>12.398999999999999</v>
      </c>
      <c r="D561" s="1">
        <v>1.2E-2</v>
      </c>
      <c r="E561" s="1" t="s">
        <v>1</v>
      </c>
      <c r="F561" s="1" t="s">
        <v>101</v>
      </c>
    </row>
    <row r="562" spans="1:6" ht="17.25" customHeight="1" x14ac:dyDescent="0.25">
      <c r="A562" s="1">
        <v>2458404.3462299998</v>
      </c>
      <c r="B562" s="1" t="s">
        <v>142</v>
      </c>
      <c r="C562" s="1">
        <v>12.369</v>
      </c>
      <c r="D562" s="1">
        <v>1.0999999999999999E-2</v>
      </c>
      <c r="E562" s="1" t="s">
        <v>1</v>
      </c>
      <c r="F562" s="1" t="s">
        <v>101</v>
      </c>
    </row>
    <row r="563" spans="1:6" ht="17.25" customHeight="1" x14ac:dyDescent="0.25">
      <c r="A563" s="1">
        <v>2458404.4175300002</v>
      </c>
      <c r="B563" s="1" t="s">
        <v>142</v>
      </c>
      <c r="C563" s="1">
        <v>12.433999999999999</v>
      </c>
      <c r="D563" s="1">
        <v>4.1000000000000002E-2</v>
      </c>
      <c r="E563" s="1" t="s">
        <v>1</v>
      </c>
      <c r="F563" s="1" t="s">
        <v>285</v>
      </c>
    </row>
    <row r="564" spans="1:6" ht="17.25" customHeight="1" x14ac:dyDescent="0.25">
      <c r="A564" s="1">
        <v>2458404.4184099999</v>
      </c>
      <c r="B564" s="1" t="s">
        <v>142</v>
      </c>
      <c r="C564" s="1">
        <v>12.347</v>
      </c>
      <c r="D564" s="1">
        <v>3.9E-2</v>
      </c>
      <c r="E564" s="1" t="s">
        <v>1</v>
      </c>
      <c r="F564" s="1" t="s">
        <v>285</v>
      </c>
    </row>
    <row r="565" spans="1:6" ht="17.25" customHeight="1" x14ac:dyDescent="0.25">
      <c r="A565" s="1">
        <v>2458404.5646099998</v>
      </c>
      <c r="B565" s="1" t="s">
        <v>143</v>
      </c>
      <c r="C565" s="1">
        <v>12.451000000000001</v>
      </c>
      <c r="D565" s="1">
        <v>1.2E-2</v>
      </c>
      <c r="E565" s="1" t="s">
        <v>1</v>
      </c>
      <c r="F565" s="1" t="s">
        <v>94</v>
      </c>
    </row>
    <row r="566" spans="1:6" ht="17.25" customHeight="1" x14ac:dyDescent="0.25">
      <c r="A566" s="1">
        <v>2458404.5649999999</v>
      </c>
      <c r="B566" s="1" t="s">
        <v>143</v>
      </c>
      <c r="C566" s="1">
        <v>12.446999999999999</v>
      </c>
      <c r="D566" s="1">
        <v>1.2E-2</v>
      </c>
      <c r="E566" s="1" t="s">
        <v>1</v>
      </c>
      <c r="F566" s="1" t="s">
        <v>94</v>
      </c>
    </row>
    <row r="567" spans="1:6" ht="17.25" customHeight="1" x14ac:dyDescent="0.25">
      <c r="A567" s="1">
        <v>2458405.5618199999</v>
      </c>
      <c r="B567" s="1" t="s">
        <v>144</v>
      </c>
      <c r="C567" s="1">
        <v>12.428000000000001</v>
      </c>
      <c r="D567" s="1">
        <v>1.0999999999999999E-2</v>
      </c>
      <c r="E567" s="1" t="s">
        <v>1</v>
      </c>
      <c r="F567" s="1" t="s">
        <v>94</v>
      </c>
    </row>
    <row r="568" spans="1:6" ht="17.25" customHeight="1" x14ac:dyDescent="0.25">
      <c r="A568" s="1">
        <v>2458405.5622100001</v>
      </c>
      <c r="B568" s="1" t="s">
        <v>144</v>
      </c>
      <c r="C568" s="1">
        <v>12.436</v>
      </c>
      <c r="D568" s="1">
        <v>1.2E-2</v>
      </c>
      <c r="E568" s="1" t="s">
        <v>1</v>
      </c>
      <c r="F568" s="1" t="s">
        <v>94</v>
      </c>
    </row>
    <row r="569" spans="1:6" ht="17.25" customHeight="1" x14ac:dyDescent="0.25">
      <c r="A569" s="1">
        <v>2458406.2608599998</v>
      </c>
      <c r="B569" s="1" t="s">
        <v>144</v>
      </c>
      <c r="C569" s="1">
        <v>12.382</v>
      </c>
      <c r="D569" s="1">
        <v>1.0999999999999999E-2</v>
      </c>
      <c r="E569" s="1" t="s">
        <v>1</v>
      </c>
      <c r="F569" s="1" t="s">
        <v>101</v>
      </c>
    </row>
    <row r="570" spans="1:6" ht="17.25" customHeight="1" x14ac:dyDescent="0.25">
      <c r="A570" s="1">
        <v>2458406.2611699998</v>
      </c>
      <c r="B570" s="1" t="s">
        <v>144</v>
      </c>
      <c r="C570" s="1">
        <v>12.406000000000001</v>
      </c>
      <c r="D570" s="1">
        <v>1.0999999999999999E-2</v>
      </c>
      <c r="E570" s="1" t="s">
        <v>1</v>
      </c>
      <c r="F570" s="1" t="s">
        <v>101</v>
      </c>
    </row>
    <row r="571" spans="1:6" ht="17.25" customHeight="1" x14ac:dyDescent="0.25">
      <c r="A571" s="1">
        <v>2458406.3389499998</v>
      </c>
      <c r="B571" s="1" t="s">
        <v>144</v>
      </c>
      <c r="C571" s="1">
        <v>12.374000000000001</v>
      </c>
      <c r="D571" s="1">
        <v>2.1000000000000001E-2</v>
      </c>
      <c r="E571" s="1" t="s">
        <v>1</v>
      </c>
      <c r="F571" s="1" t="s">
        <v>285</v>
      </c>
    </row>
    <row r="572" spans="1:6" ht="17.25" customHeight="1" x14ac:dyDescent="0.25">
      <c r="A572" s="1">
        <v>2458406.3395500001</v>
      </c>
      <c r="B572" s="1" t="s">
        <v>144</v>
      </c>
      <c r="C572" s="1">
        <v>12.375</v>
      </c>
      <c r="D572" s="1">
        <v>0.02</v>
      </c>
      <c r="E572" s="1" t="s">
        <v>1</v>
      </c>
      <c r="F572" s="1" t="s">
        <v>285</v>
      </c>
    </row>
    <row r="573" spans="1:6" ht="17.25" customHeight="1" x14ac:dyDescent="0.25">
      <c r="A573" s="1">
        <v>2458406.5590900001</v>
      </c>
      <c r="B573" s="1" t="s">
        <v>145</v>
      </c>
      <c r="C573" s="1">
        <v>12.459</v>
      </c>
      <c r="D573" s="1">
        <v>1.2E-2</v>
      </c>
      <c r="E573" s="1" t="s">
        <v>1</v>
      </c>
      <c r="F573" s="1" t="s">
        <v>94</v>
      </c>
    </row>
    <row r="574" spans="1:6" ht="17.25" customHeight="1" x14ac:dyDescent="0.25">
      <c r="A574" s="1">
        <v>2458406.5594700002</v>
      </c>
      <c r="B574" s="1" t="s">
        <v>145</v>
      </c>
      <c r="C574" s="1">
        <v>12.44</v>
      </c>
      <c r="D574" s="1">
        <v>1.2E-2</v>
      </c>
      <c r="E574" s="1" t="s">
        <v>1</v>
      </c>
      <c r="F574" s="1" t="s">
        <v>94</v>
      </c>
    </row>
    <row r="575" spans="1:6" ht="17.25" customHeight="1" x14ac:dyDescent="0.25">
      <c r="A575" s="1">
        <v>2458407.29648</v>
      </c>
      <c r="B575" s="1" t="s">
        <v>145</v>
      </c>
      <c r="C575" s="1">
        <v>12.414</v>
      </c>
      <c r="D575" s="1">
        <v>0.01</v>
      </c>
      <c r="E575" s="1" t="s">
        <v>1</v>
      </c>
      <c r="F575" s="1" t="s">
        <v>101</v>
      </c>
    </row>
    <row r="576" spans="1:6" ht="17.25" customHeight="1" x14ac:dyDescent="0.25">
      <c r="A576" s="1">
        <v>2458407.2967900001</v>
      </c>
      <c r="B576" s="1" t="s">
        <v>145</v>
      </c>
      <c r="C576" s="1">
        <v>12.404</v>
      </c>
      <c r="D576" s="1">
        <v>0.01</v>
      </c>
      <c r="E576" s="1" t="s">
        <v>1</v>
      </c>
      <c r="F576" s="1" t="s">
        <v>101</v>
      </c>
    </row>
    <row r="577" spans="1:6" ht="17.25" customHeight="1" x14ac:dyDescent="0.25">
      <c r="A577" s="1">
        <v>2458407.5562999998</v>
      </c>
      <c r="B577" s="1" t="s">
        <v>146</v>
      </c>
      <c r="C577" s="1">
        <v>12.467000000000001</v>
      </c>
      <c r="D577" s="1">
        <v>1.2E-2</v>
      </c>
      <c r="E577" s="1" t="s">
        <v>1</v>
      </c>
      <c r="F577" s="1" t="s">
        <v>94</v>
      </c>
    </row>
    <row r="578" spans="1:6" ht="17.25" customHeight="1" x14ac:dyDescent="0.25">
      <c r="A578" s="1">
        <v>2458407.55669</v>
      </c>
      <c r="B578" s="1" t="s">
        <v>146</v>
      </c>
      <c r="C578" s="1">
        <v>12.452</v>
      </c>
      <c r="D578" s="1">
        <v>1.2E-2</v>
      </c>
      <c r="E578" s="1" t="s">
        <v>1</v>
      </c>
      <c r="F578" s="1" t="s">
        <v>94</v>
      </c>
    </row>
    <row r="579" spans="1:6" ht="17.25" customHeight="1" x14ac:dyDescent="0.25">
      <c r="A579" s="1">
        <v>2458408.3896400002</v>
      </c>
      <c r="B579" s="1" t="s">
        <v>146</v>
      </c>
      <c r="C579" s="1">
        <v>12.364000000000001</v>
      </c>
      <c r="D579" s="1">
        <v>3.9E-2</v>
      </c>
      <c r="E579" s="1" t="s">
        <v>1</v>
      </c>
      <c r="F579" s="1" t="s">
        <v>285</v>
      </c>
    </row>
    <row r="580" spans="1:6" ht="17.25" customHeight="1" x14ac:dyDescent="0.25">
      <c r="A580" s="1">
        <v>2458408.3903600001</v>
      </c>
      <c r="B580" s="1" t="s">
        <v>146</v>
      </c>
      <c r="C580" s="1">
        <v>12.374000000000001</v>
      </c>
      <c r="D580" s="1">
        <v>2.5999999999999999E-2</v>
      </c>
      <c r="E580" s="1" t="s">
        <v>1</v>
      </c>
      <c r="F580" s="1" t="s">
        <v>285</v>
      </c>
    </row>
    <row r="581" spans="1:6" ht="17.25" customHeight="1" x14ac:dyDescent="0.25">
      <c r="A581" s="1">
        <v>2458408.5534399999</v>
      </c>
      <c r="B581" s="1" t="s">
        <v>147</v>
      </c>
      <c r="C581" s="1">
        <v>12.475</v>
      </c>
      <c r="D581" s="1">
        <v>1.2E-2</v>
      </c>
      <c r="E581" s="1" t="s">
        <v>1</v>
      </c>
      <c r="F581" s="1" t="s">
        <v>94</v>
      </c>
    </row>
    <row r="582" spans="1:6" ht="17.25" customHeight="1" x14ac:dyDescent="0.25">
      <c r="A582" s="1">
        <v>2458408.55382</v>
      </c>
      <c r="B582" s="1" t="s">
        <v>147</v>
      </c>
      <c r="C582" s="1">
        <v>12.489000000000001</v>
      </c>
      <c r="D582" s="1">
        <v>1.2E-2</v>
      </c>
      <c r="E582" s="1" t="s">
        <v>1</v>
      </c>
      <c r="F582" s="1" t="s">
        <v>94</v>
      </c>
    </row>
    <row r="583" spans="1:6" ht="17.25" customHeight="1" x14ac:dyDescent="0.25">
      <c r="A583" s="1">
        <v>2458409.2549700001</v>
      </c>
      <c r="B583" s="1" t="s">
        <v>147</v>
      </c>
      <c r="C583" s="1">
        <v>12.333</v>
      </c>
      <c r="D583" s="1">
        <v>1.2999999999999999E-2</v>
      </c>
      <c r="E583" s="1" t="s">
        <v>1</v>
      </c>
      <c r="F583" s="1" t="s">
        <v>101</v>
      </c>
    </row>
    <row r="584" spans="1:6" ht="17.25" customHeight="1" x14ac:dyDescent="0.25">
      <c r="A584" s="1">
        <v>2458409.2552800002</v>
      </c>
      <c r="B584" s="1" t="s">
        <v>147</v>
      </c>
      <c r="C584" s="1">
        <v>12.33</v>
      </c>
      <c r="D584" s="1">
        <v>1.4E-2</v>
      </c>
      <c r="E584" s="1" t="s">
        <v>1</v>
      </c>
      <c r="F584" s="1" t="s">
        <v>101</v>
      </c>
    </row>
    <row r="585" spans="1:6" ht="17.25" customHeight="1" x14ac:dyDescent="0.25">
      <c r="A585" s="1">
        <v>2458409.5506699998</v>
      </c>
      <c r="B585" s="1" t="s">
        <v>148</v>
      </c>
      <c r="C585" s="1">
        <v>12.465</v>
      </c>
      <c r="D585" s="1">
        <v>1.2E-2</v>
      </c>
      <c r="E585" s="1" t="s">
        <v>1</v>
      </c>
      <c r="F585" s="1" t="s">
        <v>94</v>
      </c>
    </row>
    <row r="586" spans="1:6" ht="17.25" customHeight="1" x14ac:dyDescent="0.25">
      <c r="A586" s="1">
        <v>2458409.5510499999</v>
      </c>
      <c r="B586" s="1" t="s">
        <v>148</v>
      </c>
      <c r="C586" s="1">
        <v>12.467000000000001</v>
      </c>
      <c r="D586" s="1">
        <v>1.2E-2</v>
      </c>
      <c r="E586" s="1" t="s">
        <v>1</v>
      </c>
      <c r="F586" s="1" t="s">
        <v>94</v>
      </c>
    </row>
    <row r="587" spans="1:6" ht="17.25" customHeight="1" x14ac:dyDescent="0.25">
      <c r="A587" s="1">
        <v>2458410.5479299999</v>
      </c>
      <c r="B587" s="1" t="s">
        <v>149</v>
      </c>
      <c r="C587" s="1">
        <v>12.488</v>
      </c>
      <c r="D587" s="1">
        <v>1.2E-2</v>
      </c>
      <c r="E587" s="1" t="s">
        <v>1</v>
      </c>
      <c r="F587" s="1" t="s">
        <v>94</v>
      </c>
    </row>
    <row r="588" spans="1:6" ht="17.25" customHeight="1" x14ac:dyDescent="0.25">
      <c r="A588" s="1">
        <v>2458410.5483200001</v>
      </c>
      <c r="B588" s="1" t="s">
        <v>149</v>
      </c>
      <c r="C588" s="1">
        <v>12.465999999999999</v>
      </c>
      <c r="D588" s="1">
        <v>1.2999999999999999E-2</v>
      </c>
      <c r="E588" s="1" t="s">
        <v>1</v>
      </c>
      <c r="F588" s="1" t="s">
        <v>94</v>
      </c>
    </row>
    <row r="589" spans="1:6" ht="17.25" customHeight="1" x14ac:dyDescent="0.25">
      <c r="A589" s="1">
        <v>2458411.32125</v>
      </c>
      <c r="B589" s="1" t="s">
        <v>149</v>
      </c>
      <c r="C589" s="1">
        <v>12.41</v>
      </c>
      <c r="D589" s="1">
        <v>1.0999999999999999E-2</v>
      </c>
      <c r="E589" s="1" t="s">
        <v>1</v>
      </c>
      <c r="F589" s="1" t="s">
        <v>101</v>
      </c>
    </row>
    <row r="590" spans="1:6" ht="17.25" customHeight="1" x14ac:dyDescent="0.25">
      <c r="A590" s="1">
        <v>2458411.3215600001</v>
      </c>
      <c r="B590" s="1" t="s">
        <v>149</v>
      </c>
      <c r="C590" s="1">
        <v>12.416</v>
      </c>
      <c r="D590" s="1">
        <v>1.0999999999999999E-2</v>
      </c>
      <c r="E590" s="1" t="s">
        <v>1</v>
      </c>
      <c r="F590" s="1" t="s">
        <v>101</v>
      </c>
    </row>
    <row r="591" spans="1:6" ht="17.25" customHeight="1" x14ac:dyDescent="0.25">
      <c r="A591" s="1">
        <v>2458411.3835100001</v>
      </c>
      <c r="B591" s="1" t="s">
        <v>149</v>
      </c>
      <c r="C591" s="1">
        <v>12.407999999999999</v>
      </c>
      <c r="D591" s="1">
        <v>4.2000000000000003E-2</v>
      </c>
      <c r="E591" s="1" t="s">
        <v>1</v>
      </c>
      <c r="F591" s="1" t="s">
        <v>285</v>
      </c>
    </row>
    <row r="592" spans="1:6" ht="17.25" customHeight="1" x14ac:dyDescent="0.25">
      <c r="A592" s="1">
        <v>2458411.3842099998</v>
      </c>
      <c r="B592" s="1" t="s">
        <v>149</v>
      </c>
      <c r="C592" s="1">
        <v>12.452</v>
      </c>
      <c r="D592" s="1">
        <v>4.8000000000000001E-2</v>
      </c>
      <c r="E592" s="1" t="s">
        <v>1</v>
      </c>
      <c r="F592" s="1" t="s">
        <v>285</v>
      </c>
    </row>
    <row r="593" spans="1:6" ht="17.25" customHeight="1" x14ac:dyDescent="0.25">
      <c r="A593" s="1">
        <v>2458411.5450900001</v>
      </c>
      <c r="B593" s="1" t="s">
        <v>150</v>
      </c>
      <c r="C593" s="1">
        <v>12.483000000000001</v>
      </c>
      <c r="D593" s="1">
        <v>1.4E-2</v>
      </c>
      <c r="E593" s="1" t="s">
        <v>1</v>
      </c>
      <c r="F593" s="1" t="s">
        <v>94</v>
      </c>
    </row>
    <row r="594" spans="1:6" ht="17.25" customHeight="1" x14ac:dyDescent="0.25">
      <c r="A594" s="1">
        <v>2458411.5454899999</v>
      </c>
      <c r="B594" s="1" t="s">
        <v>150</v>
      </c>
      <c r="C594" s="1">
        <v>12.484</v>
      </c>
      <c r="D594" s="1">
        <v>1.4E-2</v>
      </c>
      <c r="E594" s="1" t="s">
        <v>1</v>
      </c>
      <c r="F594" s="1" t="s">
        <v>94</v>
      </c>
    </row>
    <row r="595" spans="1:6" ht="17.25" customHeight="1" x14ac:dyDescent="0.25">
      <c r="A595" s="1">
        <v>2458413.5402099998</v>
      </c>
      <c r="B595" s="1" t="s">
        <v>151</v>
      </c>
      <c r="C595" s="1">
        <v>12.465</v>
      </c>
      <c r="D595" s="1">
        <v>1.4999999999999999E-2</v>
      </c>
      <c r="E595" s="1" t="s">
        <v>1</v>
      </c>
      <c r="F595" s="1" t="s">
        <v>94</v>
      </c>
    </row>
    <row r="596" spans="1:6" ht="17.25" customHeight="1" x14ac:dyDescent="0.25">
      <c r="A596" s="1">
        <v>2458413.5405999999</v>
      </c>
      <c r="B596" s="1" t="s">
        <v>151</v>
      </c>
      <c r="C596" s="1">
        <v>12.509</v>
      </c>
      <c r="D596" s="1">
        <v>1.7000000000000001E-2</v>
      </c>
      <c r="E596" s="1" t="s">
        <v>1</v>
      </c>
      <c r="F596" s="1" t="s">
        <v>94</v>
      </c>
    </row>
    <row r="597" spans="1:6" ht="17.25" customHeight="1" x14ac:dyDescent="0.25">
      <c r="A597" s="1">
        <v>2458414.5374400001</v>
      </c>
      <c r="B597" s="1" t="s">
        <v>152</v>
      </c>
      <c r="C597" s="1">
        <v>12.522</v>
      </c>
      <c r="D597" s="1">
        <v>1.4999999999999999E-2</v>
      </c>
      <c r="E597" s="1" t="s">
        <v>1</v>
      </c>
      <c r="F597" s="1" t="s">
        <v>94</v>
      </c>
    </row>
    <row r="598" spans="1:6" ht="17.25" customHeight="1" x14ac:dyDescent="0.25">
      <c r="A598" s="1">
        <v>2458414.5378399999</v>
      </c>
      <c r="B598" s="1" t="s">
        <v>152</v>
      </c>
      <c r="C598" s="1">
        <v>12.521000000000001</v>
      </c>
      <c r="D598" s="1">
        <v>1.4999999999999999E-2</v>
      </c>
      <c r="E598" s="1" t="s">
        <v>1</v>
      </c>
      <c r="F598" s="1" t="s">
        <v>94</v>
      </c>
    </row>
    <row r="599" spans="1:6" ht="17.25" customHeight="1" x14ac:dyDescent="0.25">
      <c r="A599" s="1">
        <v>2458415.2427500002</v>
      </c>
      <c r="B599" s="1" t="s">
        <v>152</v>
      </c>
      <c r="C599" s="1">
        <v>12.451000000000001</v>
      </c>
      <c r="D599" s="1">
        <v>1.4E-2</v>
      </c>
      <c r="E599" s="1" t="s">
        <v>1</v>
      </c>
      <c r="F599" s="1" t="s">
        <v>101</v>
      </c>
    </row>
    <row r="600" spans="1:6" ht="17.25" customHeight="1" x14ac:dyDescent="0.25">
      <c r="A600" s="1">
        <v>2458415.2430699999</v>
      </c>
      <c r="B600" s="1" t="s">
        <v>152</v>
      </c>
      <c r="C600" s="1">
        <v>12.438000000000001</v>
      </c>
      <c r="D600" s="1">
        <v>1.4E-2</v>
      </c>
      <c r="E600" s="1" t="s">
        <v>1</v>
      </c>
      <c r="F600" s="1" t="s">
        <v>101</v>
      </c>
    </row>
    <row r="601" spans="1:6" ht="17.25" customHeight="1" x14ac:dyDescent="0.25">
      <c r="A601" s="1">
        <v>2458415.4175499999</v>
      </c>
      <c r="B601" s="1" t="s">
        <v>152</v>
      </c>
      <c r="C601" s="1">
        <v>12.432</v>
      </c>
      <c r="D601" s="1">
        <v>0.06</v>
      </c>
      <c r="E601" s="1" t="s">
        <v>1</v>
      </c>
      <c r="F601" s="1" t="s">
        <v>285</v>
      </c>
    </row>
    <row r="602" spans="1:6" ht="17.25" customHeight="1" x14ac:dyDescent="0.25">
      <c r="A602" s="1">
        <v>2458415.4182899999</v>
      </c>
      <c r="B602" s="1" t="s">
        <v>152</v>
      </c>
      <c r="C602" s="1">
        <v>12.518000000000001</v>
      </c>
      <c r="D602" s="1">
        <v>3.7999999999999999E-2</v>
      </c>
      <c r="E602" s="1" t="s">
        <v>1</v>
      </c>
      <c r="F602" s="1" t="s">
        <v>285</v>
      </c>
    </row>
    <row r="603" spans="1:6" ht="17.25" customHeight="1" x14ac:dyDescent="0.25">
      <c r="A603" s="1">
        <v>2458415.5347000002</v>
      </c>
      <c r="B603" s="1" t="s">
        <v>153</v>
      </c>
      <c r="C603" s="1">
        <v>12.484999999999999</v>
      </c>
      <c r="D603" s="1">
        <v>2.1999999999999999E-2</v>
      </c>
      <c r="E603" s="1" t="s">
        <v>1</v>
      </c>
      <c r="F603" s="1" t="s">
        <v>94</v>
      </c>
    </row>
    <row r="604" spans="1:6" ht="17.25" customHeight="1" x14ac:dyDescent="0.25">
      <c r="A604" s="1">
        <v>2458415.5350899999</v>
      </c>
      <c r="B604" s="1" t="s">
        <v>153</v>
      </c>
      <c r="C604" s="1">
        <v>12.539</v>
      </c>
      <c r="D604" s="1">
        <v>2.1000000000000001E-2</v>
      </c>
      <c r="E604" s="1" t="s">
        <v>1</v>
      </c>
      <c r="F604" s="1" t="s">
        <v>94</v>
      </c>
    </row>
    <row r="605" spans="1:6" ht="17.25" customHeight="1" x14ac:dyDescent="0.25">
      <c r="A605" s="1">
        <v>2458416.5318900002</v>
      </c>
      <c r="B605" s="1" t="s">
        <v>154</v>
      </c>
      <c r="C605" s="1">
        <v>12.541</v>
      </c>
      <c r="D605" s="1">
        <v>1.4E-2</v>
      </c>
      <c r="E605" s="1" t="s">
        <v>1</v>
      </c>
      <c r="F605" s="1" t="s">
        <v>94</v>
      </c>
    </row>
    <row r="606" spans="1:6" ht="17.25" customHeight="1" x14ac:dyDescent="0.25">
      <c r="A606" s="1">
        <v>2458416.5322699999</v>
      </c>
      <c r="B606" s="1" t="s">
        <v>154</v>
      </c>
      <c r="C606" s="1">
        <v>12.502000000000001</v>
      </c>
      <c r="D606" s="1">
        <v>1.4E-2</v>
      </c>
      <c r="E606" s="1" t="s">
        <v>1</v>
      </c>
      <c r="F606" s="1" t="s">
        <v>94</v>
      </c>
    </row>
    <row r="607" spans="1:6" ht="17.25" customHeight="1" x14ac:dyDescent="0.25">
      <c r="A607" s="1">
        <v>2458417.5326999999</v>
      </c>
      <c r="B607" s="1" t="s">
        <v>155</v>
      </c>
      <c r="C607" s="1">
        <v>12.483000000000001</v>
      </c>
      <c r="D607" s="1">
        <v>1.4999999999999999E-2</v>
      </c>
      <c r="E607" s="1" t="s">
        <v>1</v>
      </c>
      <c r="F607" s="1" t="s">
        <v>94</v>
      </c>
    </row>
    <row r="608" spans="1:6" ht="17.25" customHeight="1" x14ac:dyDescent="0.25">
      <c r="A608" s="1">
        <v>2458417.53308</v>
      </c>
      <c r="B608" s="1" t="s">
        <v>155</v>
      </c>
      <c r="C608" s="1">
        <v>12.488</v>
      </c>
      <c r="D608" s="1">
        <v>1.4999999999999999E-2</v>
      </c>
      <c r="E608" s="1" t="s">
        <v>1</v>
      </c>
      <c r="F608" s="1" t="s">
        <v>94</v>
      </c>
    </row>
    <row r="609" spans="1:6" ht="17.25" customHeight="1" x14ac:dyDescent="0.25">
      <c r="A609" s="1">
        <v>2458418.5272300001</v>
      </c>
      <c r="B609" s="1" t="s">
        <v>156</v>
      </c>
      <c r="C609" s="1">
        <v>12.553000000000001</v>
      </c>
      <c r="D609" s="1">
        <v>1.2E-2</v>
      </c>
      <c r="E609" s="1" t="s">
        <v>1</v>
      </c>
      <c r="F609" s="1" t="s">
        <v>94</v>
      </c>
    </row>
    <row r="610" spans="1:6" ht="17.25" customHeight="1" x14ac:dyDescent="0.25">
      <c r="A610" s="1">
        <v>2458418.5276199998</v>
      </c>
      <c r="B610" s="1" t="s">
        <v>156</v>
      </c>
      <c r="C610" s="1">
        <v>12.53</v>
      </c>
      <c r="D610" s="1">
        <v>1.2E-2</v>
      </c>
      <c r="E610" s="1" t="s">
        <v>1</v>
      </c>
      <c r="F610" s="1" t="s">
        <v>94</v>
      </c>
    </row>
    <row r="611" spans="1:6" ht="17.25" customHeight="1" x14ac:dyDescent="0.25">
      <c r="A611" s="1">
        <v>2458419.3721599998</v>
      </c>
      <c r="B611" s="1" t="s">
        <v>156</v>
      </c>
      <c r="C611" s="1">
        <v>12.481999999999999</v>
      </c>
      <c r="D611" s="1">
        <v>2.7E-2</v>
      </c>
      <c r="E611" s="1" t="s">
        <v>1</v>
      </c>
      <c r="F611" s="1" t="s">
        <v>285</v>
      </c>
    </row>
    <row r="612" spans="1:6" ht="17.25" customHeight="1" x14ac:dyDescent="0.25">
      <c r="A612" s="1">
        <v>2458419.3728999998</v>
      </c>
      <c r="B612" s="1" t="s">
        <v>156</v>
      </c>
      <c r="C612" s="1">
        <v>12.452</v>
      </c>
      <c r="D612" s="1">
        <v>3.5999999999999997E-2</v>
      </c>
      <c r="E612" s="1" t="s">
        <v>1</v>
      </c>
      <c r="F612" s="1" t="s">
        <v>285</v>
      </c>
    </row>
    <row r="613" spans="1:6" ht="17.25" customHeight="1" x14ac:dyDescent="0.25">
      <c r="A613" s="1">
        <v>2458419.52715</v>
      </c>
      <c r="B613" s="1" t="s">
        <v>157</v>
      </c>
      <c r="C613" s="1">
        <v>12.548999999999999</v>
      </c>
      <c r="D613" s="1">
        <v>1.2E-2</v>
      </c>
      <c r="E613" s="1" t="s">
        <v>1</v>
      </c>
      <c r="F613" s="1" t="s">
        <v>94</v>
      </c>
    </row>
    <row r="614" spans="1:6" ht="17.25" customHeight="1" x14ac:dyDescent="0.25">
      <c r="A614" s="1">
        <v>2458419.5275500002</v>
      </c>
      <c r="B614" s="1" t="s">
        <v>157</v>
      </c>
      <c r="C614" s="1">
        <v>12.537000000000001</v>
      </c>
      <c r="D614" s="1">
        <v>1.2E-2</v>
      </c>
      <c r="E614" s="1" t="s">
        <v>1</v>
      </c>
      <c r="F614" s="1" t="s">
        <v>94</v>
      </c>
    </row>
    <row r="615" spans="1:6" ht="17.25" customHeight="1" x14ac:dyDescent="0.25">
      <c r="A615" s="1">
        <v>2458420.2458299999</v>
      </c>
      <c r="B615" s="1" t="s">
        <v>157</v>
      </c>
      <c r="C615" s="1">
        <v>12.500999999999999</v>
      </c>
      <c r="D615" s="1">
        <v>8.9999999999999993E-3</v>
      </c>
      <c r="E615" s="1" t="s">
        <v>1</v>
      </c>
      <c r="F615" s="1" t="s">
        <v>101</v>
      </c>
    </row>
    <row r="616" spans="1:6" ht="17.25" customHeight="1" x14ac:dyDescent="0.25">
      <c r="A616" s="1">
        <v>2458420.2461299999</v>
      </c>
      <c r="B616" s="1" t="s">
        <v>157</v>
      </c>
      <c r="C616" s="1">
        <v>12.5</v>
      </c>
      <c r="D616" s="1">
        <v>8.9999999999999993E-3</v>
      </c>
      <c r="E616" s="1" t="s">
        <v>1</v>
      </c>
      <c r="F616" s="1" t="s">
        <v>101</v>
      </c>
    </row>
    <row r="617" spans="1:6" ht="17.25" customHeight="1" x14ac:dyDescent="0.25">
      <c r="A617" s="1">
        <v>2458420.3584199999</v>
      </c>
      <c r="B617" s="1" t="s">
        <v>157</v>
      </c>
      <c r="C617" s="1">
        <v>12.465999999999999</v>
      </c>
      <c r="D617" s="1">
        <v>2.7E-2</v>
      </c>
      <c r="E617" s="1" t="s">
        <v>1</v>
      </c>
      <c r="F617" s="1" t="s">
        <v>285</v>
      </c>
    </row>
    <row r="618" spans="1:6" ht="17.25" customHeight="1" x14ac:dyDescent="0.25">
      <c r="A618" s="1">
        <v>2458420.3591499999</v>
      </c>
      <c r="B618" s="1" t="s">
        <v>157</v>
      </c>
      <c r="C618" s="1">
        <v>12.47</v>
      </c>
      <c r="D618" s="1">
        <v>2.3E-2</v>
      </c>
      <c r="E618" s="1" t="s">
        <v>1</v>
      </c>
      <c r="F618" s="1" t="s">
        <v>285</v>
      </c>
    </row>
    <row r="619" spans="1:6" ht="17.25" customHeight="1" x14ac:dyDescent="0.25">
      <c r="A619" s="1">
        <v>2458420.5244700001</v>
      </c>
      <c r="B619" s="1" t="s">
        <v>158</v>
      </c>
      <c r="C619" s="1">
        <v>12.552</v>
      </c>
      <c r="D619" s="1">
        <v>1.2999999999999999E-2</v>
      </c>
      <c r="E619" s="1" t="s">
        <v>1</v>
      </c>
      <c r="F619" s="1" t="s">
        <v>94</v>
      </c>
    </row>
    <row r="620" spans="1:6" ht="17.25" customHeight="1" x14ac:dyDescent="0.25">
      <c r="A620" s="1">
        <v>2458420.5248500002</v>
      </c>
      <c r="B620" s="1" t="s">
        <v>158</v>
      </c>
      <c r="C620" s="1">
        <v>12.529</v>
      </c>
      <c r="D620" s="1">
        <v>1.2E-2</v>
      </c>
      <c r="E620" s="1" t="s">
        <v>1</v>
      </c>
      <c r="F620" s="1" t="s">
        <v>94</v>
      </c>
    </row>
    <row r="621" spans="1:6" ht="17.25" customHeight="1" x14ac:dyDescent="0.25">
      <c r="A621" s="1">
        <v>2458420.6217</v>
      </c>
      <c r="B621" s="1" t="s">
        <v>158</v>
      </c>
      <c r="C621" s="1">
        <v>12.43</v>
      </c>
      <c r="D621" s="1">
        <v>6.4000000000000001E-2</v>
      </c>
      <c r="E621" s="1" t="s">
        <v>1</v>
      </c>
      <c r="F621" s="1" t="s">
        <v>131</v>
      </c>
    </row>
    <row r="622" spans="1:6" ht="17.25" customHeight="1" x14ac:dyDescent="0.25">
      <c r="A622" s="1">
        <v>2458421.5215599998</v>
      </c>
      <c r="B622" s="1" t="s">
        <v>159</v>
      </c>
      <c r="C622" s="1">
        <v>12.573</v>
      </c>
      <c r="D622" s="1">
        <v>1.2E-2</v>
      </c>
      <c r="E622" s="1" t="s">
        <v>1</v>
      </c>
      <c r="F622" s="1" t="s">
        <v>94</v>
      </c>
    </row>
    <row r="623" spans="1:6" ht="17.25" customHeight="1" x14ac:dyDescent="0.25">
      <c r="A623" s="1">
        <v>2458421.52196</v>
      </c>
      <c r="B623" s="1" t="s">
        <v>159</v>
      </c>
      <c r="C623" s="1">
        <v>12.542</v>
      </c>
      <c r="D623" s="1">
        <v>1.2E-2</v>
      </c>
      <c r="E623" s="1" t="s">
        <v>1</v>
      </c>
      <c r="F623" s="1" t="s">
        <v>94</v>
      </c>
    </row>
    <row r="624" spans="1:6" ht="17.25" customHeight="1" x14ac:dyDescent="0.25">
      <c r="A624" s="1">
        <v>2458422.35837</v>
      </c>
      <c r="B624" s="1" t="s">
        <v>159</v>
      </c>
      <c r="C624" s="1">
        <v>12.547000000000001</v>
      </c>
      <c r="D624" s="1">
        <v>2.1999999999999999E-2</v>
      </c>
      <c r="E624" s="1" t="s">
        <v>1</v>
      </c>
      <c r="F624" s="1" t="s">
        <v>285</v>
      </c>
    </row>
    <row r="625" spans="1:6" ht="17.25" customHeight="1" x14ac:dyDescent="0.25">
      <c r="A625" s="1">
        <v>2458422.3590600002</v>
      </c>
      <c r="B625" s="1" t="s">
        <v>159</v>
      </c>
      <c r="C625" s="1">
        <v>12.476000000000001</v>
      </c>
      <c r="D625" s="1">
        <v>2.1000000000000001E-2</v>
      </c>
      <c r="E625" s="1" t="s">
        <v>1</v>
      </c>
      <c r="F625" s="1" t="s">
        <v>285</v>
      </c>
    </row>
    <row r="626" spans="1:6" ht="17.25" customHeight="1" x14ac:dyDescent="0.25">
      <c r="A626" s="1">
        <v>2458422.5189</v>
      </c>
      <c r="B626" s="1" t="s">
        <v>160</v>
      </c>
      <c r="C626" s="1">
        <v>12.576000000000001</v>
      </c>
      <c r="D626" s="1">
        <v>1.2E-2</v>
      </c>
      <c r="E626" s="1" t="s">
        <v>1</v>
      </c>
      <c r="F626" s="1" t="s">
        <v>94</v>
      </c>
    </row>
    <row r="627" spans="1:6" ht="17.25" customHeight="1" x14ac:dyDescent="0.25">
      <c r="A627" s="1">
        <v>2458422.5192800001</v>
      </c>
      <c r="B627" s="1" t="s">
        <v>160</v>
      </c>
      <c r="C627" s="1">
        <v>12.547000000000001</v>
      </c>
      <c r="D627" s="1">
        <v>1.2E-2</v>
      </c>
      <c r="E627" s="1" t="s">
        <v>1</v>
      </c>
      <c r="F627" s="1" t="s">
        <v>94</v>
      </c>
    </row>
    <row r="628" spans="1:6" ht="17.25" customHeight="1" x14ac:dyDescent="0.25">
      <c r="A628" s="1">
        <v>2458423.21667</v>
      </c>
      <c r="B628" s="1" t="s">
        <v>160</v>
      </c>
      <c r="C628" s="1">
        <v>12.6</v>
      </c>
      <c r="D628" s="1">
        <v>0.05</v>
      </c>
      <c r="E628" s="1" t="s">
        <v>1</v>
      </c>
      <c r="F628" s="1" t="s">
        <v>5</v>
      </c>
    </row>
    <row r="629" spans="1:6" ht="17.25" customHeight="1" x14ac:dyDescent="0.25">
      <c r="A629" s="1">
        <v>2458423.4013399999</v>
      </c>
      <c r="B629" s="1" t="s">
        <v>160</v>
      </c>
      <c r="C629" s="1">
        <v>12.563000000000001</v>
      </c>
      <c r="D629" s="1">
        <v>2.3E-2</v>
      </c>
      <c r="E629" s="1" t="s">
        <v>1</v>
      </c>
      <c r="F629" s="1" t="s">
        <v>285</v>
      </c>
    </row>
    <row r="630" spans="1:6" ht="17.25" customHeight="1" x14ac:dyDescent="0.25">
      <c r="A630" s="1">
        <v>2458423.5193400001</v>
      </c>
      <c r="B630" s="1" t="s">
        <v>161</v>
      </c>
      <c r="C630" s="1">
        <v>12.555999999999999</v>
      </c>
      <c r="D630" s="1">
        <v>1.2E-2</v>
      </c>
      <c r="E630" s="1" t="s">
        <v>1</v>
      </c>
      <c r="F630" s="1" t="s">
        <v>94</v>
      </c>
    </row>
    <row r="631" spans="1:6" ht="17.25" customHeight="1" x14ac:dyDescent="0.25">
      <c r="A631" s="1">
        <v>2458423.5197299998</v>
      </c>
      <c r="B631" s="1" t="s">
        <v>161</v>
      </c>
      <c r="C631" s="1">
        <v>12.569000000000001</v>
      </c>
      <c r="D631" s="1">
        <v>1.2E-2</v>
      </c>
      <c r="E631" s="1" t="s">
        <v>1</v>
      </c>
      <c r="F631" s="1" t="s">
        <v>94</v>
      </c>
    </row>
    <row r="632" spans="1:6" ht="17.25" customHeight="1" x14ac:dyDescent="0.25">
      <c r="A632" s="1">
        <v>2458424.34986</v>
      </c>
      <c r="B632" s="1" t="s">
        <v>161</v>
      </c>
      <c r="C632" s="1">
        <v>12.541</v>
      </c>
      <c r="D632" s="1">
        <v>3.2000000000000001E-2</v>
      </c>
      <c r="E632" s="1" t="s">
        <v>1</v>
      </c>
      <c r="F632" s="1" t="s">
        <v>285</v>
      </c>
    </row>
    <row r="633" spans="1:6" ht="17.25" customHeight="1" x14ac:dyDescent="0.25">
      <c r="A633" s="1">
        <v>2458424.3511600001</v>
      </c>
      <c r="B633" s="1" t="s">
        <v>161</v>
      </c>
      <c r="C633" s="1">
        <v>12.504</v>
      </c>
      <c r="D633" s="1">
        <v>4.7E-2</v>
      </c>
      <c r="E633" s="1" t="s">
        <v>1</v>
      </c>
      <c r="F633" s="1" t="s">
        <v>285</v>
      </c>
    </row>
    <row r="634" spans="1:6" ht="17.25" customHeight="1" x14ac:dyDescent="0.25">
      <c r="A634" s="1">
        <v>2458424.5132599999</v>
      </c>
      <c r="B634" s="1" t="s">
        <v>162</v>
      </c>
      <c r="C634" s="1">
        <v>12.561</v>
      </c>
      <c r="D634" s="1">
        <v>1.2E-2</v>
      </c>
      <c r="E634" s="1" t="s">
        <v>1</v>
      </c>
      <c r="F634" s="1" t="s">
        <v>94</v>
      </c>
    </row>
    <row r="635" spans="1:6" ht="17.25" customHeight="1" x14ac:dyDescent="0.25">
      <c r="A635" s="1">
        <v>2458424.5136600002</v>
      </c>
      <c r="B635" s="1" t="s">
        <v>162</v>
      </c>
      <c r="C635" s="1">
        <v>12.595000000000001</v>
      </c>
      <c r="D635" s="1">
        <v>1.2E-2</v>
      </c>
      <c r="E635" s="1" t="s">
        <v>1</v>
      </c>
      <c r="F635" s="1" t="s">
        <v>94</v>
      </c>
    </row>
    <row r="636" spans="1:6" ht="17.25" customHeight="1" x14ac:dyDescent="0.25">
      <c r="A636" s="1">
        <v>2458425.3478100002</v>
      </c>
      <c r="B636" s="1" t="s">
        <v>162</v>
      </c>
      <c r="C636" s="1">
        <v>12.532</v>
      </c>
      <c r="D636" s="1">
        <v>4.9000000000000002E-2</v>
      </c>
      <c r="E636" s="1" t="s">
        <v>1</v>
      </c>
      <c r="F636" s="1" t="s">
        <v>285</v>
      </c>
    </row>
    <row r="637" spans="1:6" ht="17.25" customHeight="1" x14ac:dyDescent="0.25">
      <c r="A637" s="1">
        <v>2458425.3485599998</v>
      </c>
      <c r="B637" s="1" t="s">
        <v>162</v>
      </c>
      <c r="C637" s="1">
        <v>12.446999999999999</v>
      </c>
      <c r="D637" s="1">
        <v>4.3999999999999997E-2</v>
      </c>
      <c r="E637" s="1" t="s">
        <v>1</v>
      </c>
      <c r="F637" s="1" t="s">
        <v>285</v>
      </c>
    </row>
    <row r="638" spans="1:6" ht="17.25" customHeight="1" x14ac:dyDescent="0.25">
      <c r="A638" s="1">
        <v>2458425.4294199999</v>
      </c>
      <c r="B638" s="1" t="s">
        <v>162</v>
      </c>
      <c r="C638" s="1">
        <v>12.593</v>
      </c>
      <c r="D638" s="1">
        <v>1.9E-2</v>
      </c>
      <c r="E638" s="1" t="s">
        <v>1</v>
      </c>
      <c r="F638" s="1" t="s">
        <v>101</v>
      </c>
    </row>
    <row r="639" spans="1:6" ht="17.25" customHeight="1" x14ac:dyDescent="0.25">
      <c r="A639" s="1">
        <v>2458425.42973</v>
      </c>
      <c r="B639" s="1" t="s">
        <v>162</v>
      </c>
      <c r="C639" s="1">
        <v>12.54</v>
      </c>
      <c r="D639" s="1">
        <v>1.9E-2</v>
      </c>
      <c r="E639" s="1" t="s">
        <v>1</v>
      </c>
      <c r="F639" s="1" t="s">
        <v>101</v>
      </c>
    </row>
    <row r="640" spans="1:6" ht="17.25" customHeight="1" x14ac:dyDescent="0.25">
      <c r="A640" s="1">
        <v>2458425.5107200001</v>
      </c>
      <c r="B640" s="1" t="s">
        <v>163</v>
      </c>
      <c r="C640" s="1">
        <v>12.589</v>
      </c>
      <c r="D640" s="1">
        <v>1.2E-2</v>
      </c>
      <c r="E640" s="1" t="s">
        <v>1</v>
      </c>
      <c r="F640" s="1" t="s">
        <v>94</v>
      </c>
    </row>
    <row r="641" spans="1:6" ht="17.25" customHeight="1" x14ac:dyDescent="0.25">
      <c r="A641" s="1">
        <v>2458425.5111099998</v>
      </c>
      <c r="B641" s="1" t="s">
        <v>163</v>
      </c>
      <c r="C641" s="1">
        <v>12.597</v>
      </c>
      <c r="D641" s="1">
        <v>1.2999999999999999E-2</v>
      </c>
      <c r="E641" s="1" t="s">
        <v>1</v>
      </c>
      <c r="F641" s="1" t="s">
        <v>94</v>
      </c>
    </row>
    <row r="642" spans="1:6" ht="17.25" customHeight="1" x14ac:dyDescent="0.25">
      <c r="A642" s="1">
        <v>2458425.62023</v>
      </c>
      <c r="B642" s="1" t="s">
        <v>163</v>
      </c>
      <c r="C642" s="1">
        <v>12.435</v>
      </c>
      <c r="D642" s="1">
        <v>4.2999999999999997E-2</v>
      </c>
      <c r="E642" s="1" t="s">
        <v>1</v>
      </c>
      <c r="F642" s="1" t="s">
        <v>131</v>
      </c>
    </row>
    <row r="643" spans="1:6" ht="17.25" customHeight="1" x14ac:dyDescent="0.25">
      <c r="A643" s="1">
        <v>2458426.3478600001</v>
      </c>
      <c r="B643" s="1" t="s">
        <v>163</v>
      </c>
      <c r="C643" s="1">
        <v>12.456</v>
      </c>
      <c r="D643" s="1">
        <v>3.4000000000000002E-2</v>
      </c>
      <c r="E643" s="1" t="s">
        <v>1</v>
      </c>
      <c r="F643" s="1" t="s">
        <v>285</v>
      </c>
    </row>
    <row r="644" spans="1:6" ht="17.25" customHeight="1" x14ac:dyDescent="0.25">
      <c r="A644" s="1">
        <v>2458426.3484700001</v>
      </c>
      <c r="B644" s="1" t="s">
        <v>163</v>
      </c>
      <c r="C644" s="1">
        <v>12.515000000000001</v>
      </c>
      <c r="D644" s="1">
        <v>3.5999999999999997E-2</v>
      </c>
      <c r="E644" s="1" t="s">
        <v>1</v>
      </c>
      <c r="F644" s="1" t="s">
        <v>285</v>
      </c>
    </row>
    <row r="645" spans="1:6" ht="17.25" customHeight="1" x14ac:dyDescent="0.25">
      <c r="A645" s="1">
        <v>2458427.5120000001</v>
      </c>
      <c r="B645" s="1" t="s">
        <v>164</v>
      </c>
      <c r="C645" s="1">
        <v>12.629</v>
      </c>
      <c r="D645" s="1">
        <v>1.2999999999999999E-2</v>
      </c>
      <c r="E645" s="1" t="s">
        <v>1</v>
      </c>
      <c r="F645" s="1" t="s">
        <v>94</v>
      </c>
    </row>
    <row r="646" spans="1:6" ht="17.25" customHeight="1" x14ac:dyDescent="0.25">
      <c r="A646" s="1">
        <v>2458427.5123800002</v>
      </c>
      <c r="B646" s="1" t="s">
        <v>164</v>
      </c>
      <c r="C646" s="1">
        <v>12.614000000000001</v>
      </c>
      <c r="D646" s="1">
        <v>1.2999999999999999E-2</v>
      </c>
      <c r="E646" s="1" t="s">
        <v>1</v>
      </c>
      <c r="F646" s="1" t="s">
        <v>94</v>
      </c>
    </row>
    <row r="647" spans="1:6" ht="17.25" customHeight="1" x14ac:dyDescent="0.25">
      <c r="A647" s="1">
        <v>2458428.2596200001</v>
      </c>
      <c r="B647" s="1" t="s">
        <v>164</v>
      </c>
      <c r="C647" s="1">
        <v>12.593</v>
      </c>
      <c r="D647" s="1">
        <v>1.2E-2</v>
      </c>
      <c r="E647" s="1" t="s">
        <v>1</v>
      </c>
      <c r="F647" s="1" t="s">
        <v>101</v>
      </c>
    </row>
    <row r="648" spans="1:6" ht="17.25" customHeight="1" x14ac:dyDescent="0.25">
      <c r="A648" s="1">
        <v>2458428.2599300002</v>
      </c>
      <c r="B648" s="1" t="s">
        <v>164</v>
      </c>
      <c r="C648" s="1">
        <v>12.555</v>
      </c>
      <c r="D648" s="1">
        <v>1.2E-2</v>
      </c>
      <c r="E648" s="1" t="s">
        <v>1</v>
      </c>
      <c r="F648" s="1" t="s">
        <v>101</v>
      </c>
    </row>
    <row r="649" spans="1:6" ht="17.25" customHeight="1" x14ac:dyDescent="0.25">
      <c r="A649" s="1">
        <v>2458428.5124300001</v>
      </c>
      <c r="B649" s="1" t="s">
        <v>165</v>
      </c>
      <c r="C649" s="1">
        <v>12.625999999999999</v>
      </c>
      <c r="D649" s="1">
        <v>1.4E-2</v>
      </c>
      <c r="E649" s="1" t="s">
        <v>1</v>
      </c>
      <c r="F649" s="1" t="s">
        <v>94</v>
      </c>
    </row>
    <row r="650" spans="1:6" ht="17.25" customHeight="1" x14ac:dyDescent="0.25">
      <c r="A650" s="1">
        <v>2458428.5128100002</v>
      </c>
      <c r="B650" s="1" t="s">
        <v>165</v>
      </c>
      <c r="C650" s="1">
        <v>12.631</v>
      </c>
      <c r="D650" s="1">
        <v>1.4E-2</v>
      </c>
      <c r="E650" s="1" t="s">
        <v>1</v>
      </c>
      <c r="F650" s="1" t="s">
        <v>94</v>
      </c>
    </row>
    <row r="651" spans="1:6" ht="17.25" customHeight="1" x14ac:dyDescent="0.25">
      <c r="A651" s="1">
        <v>2458429.5128899999</v>
      </c>
      <c r="B651" s="1" t="s">
        <v>166</v>
      </c>
      <c r="C651" s="1">
        <v>12.641</v>
      </c>
      <c r="D651" s="1">
        <v>1.2999999999999999E-2</v>
      </c>
      <c r="E651" s="1" t="s">
        <v>1</v>
      </c>
      <c r="F651" s="1" t="s">
        <v>94</v>
      </c>
    </row>
    <row r="652" spans="1:6" ht="17.25" customHeight="1" x14ac:dyDescent="0.25">
      <c r="A652" s="1">
        <v>2458429.5132800001</v>
      </c>
      <c r="B652" s="1" t="s">
        <v>166</v>
      </c>
      <c r="C652" s="1">
        <v>12.628</v>
      </c>
      <c r="D652" s="1">
        <v>1.4E-2</v>
      </c>
      <c r="E652" s="1" t="s">
        <v>1</v>
      </c>
      <c r="F652" s="1" t="s">
        <v>94</v>
      </c>
    </row>
    <row r="653" spans="1:6" ht="17.25" customHeight="1" x14ac:dyDescent="0.25">
      <c r="A653" s="1">
        <v>2458429.5956600001</v>
      </c>
      <c r="B653" s="1" t="s">
        <v>166</v>
      </c>
      <c r="C653" s="1">
        <v>12.515000000000001</v>
      </c>
      <c r="D653" s="1">
        <v>7.0000000000000001E-3</v>
      </c>
      <c r="E653" s="1" t="s">
        <v>1</v>
      </c>
      <c r="F653" s="1" t="s">
        <v>131</v>
      </c>
    </row>
    <row r="654" spans="1:6" ht="17.25" customHeight="1" x14ac:dyDescent="0.25">
      <c r="A654" s="1">
        <v>2458430.3755800002</v>
      </c>
      <c r="B654" s="1" t="s">
        <v>166</v>
      </c>
      <c r="C654" s="1">
        <v>12.567</v>
      </c>
      <c r="D654" s="1">
        <v>3.5000000000000003E-2</v>
      </c>
      <c r="E654" s="1" t="s">
        <v>1</v>
      </c>
      <c r="F654" s="1" t="s">
        <v>285</v>
      </c>
    </row>
    <row r="655" spans="1:6" ht="17.25" customHeight="1" x14ac:dyDescent="0.25">
      <c r="A655" s="1">
        <v>2458430.37622</v>
      </c>
      <c r="B655" s="1" t="s">
        <v>166</v>
      </c>
      <c r="C655" s="1">
        <v>12.494</v>
      </c>
      <c r="D655" s="1">
        <v>3.5000000000000003E-2</v>
      </c>
      <c r="E655" s="1" t="s">
        <v>1</v>
      </c>
      <c r="F655" s="1" t="s">
        <v>285</v>
      </c>
    </row>
    <row r="656" spans="1:6" ht="17.25" customHeight="1" x14ac:dyDescent="0.25">
      <c r="A656" s="1">
        <v>2458430.5131899999</v>
      </c>
      <c r="B656" s="1" t="s">
        <v>167</v>
      </c>
      <c r="C656" s="1">
        <v>12.631</v>
      </c>
      <c r="D656" s="1">
        <v>1.4E-2</v>
      </c>
      <c r="E656" s="1" t="s">
        <v>1</v>
      </c>
      <c r="F656" s="1" t="s">
        <v>94</v>
      </c>
    </row>
    <row r="657" spans="1:6" ht="17.25" customHeight="1" x14ac:dyDescent="0.25">
      <c r="A657" s="1">
        <v>2458430.51358</v>
      </c>
      <c r="B657" s="1" t="s">
        <v>167</v>
      </c>
      <c r="C657" s="1">
        <v>12.647</v>
      </c>
      <c r="D657" s="1">
        <v>1.4E-2</v>
      </c>
      <c r="E657" s="1" t="s">
        <v>1</v>
      </c>
      <c r="F657" s="1" t="s">
        <v>94</v>
      </c>
    </row>
    <row r="658" spans="1:6" ht="17.25" customHeight="1" x14ac:dyDescent="0.25">
      <c r="A658" s="1">
        <v>2458431.2256499999</v>
      </c>
      <c r="B658" s="1" t="s">
        <v>167</v>
      </c>
      <c r="C658" s="1">
        <v>12.622</v>
      </c>
      <c r="D658" s="1">
        <v>1.4E-2</v>
      </c>
      <c r="E658" s="1" t="s">
        <v>1</v>
      </c>
      <c r="F658" s="1" t="s">
        <v>101</v>
      </c>
    </row>
    <row r="659" spans="1:6" ht="17.25" customHeight="1" x14ac:dyDescent="0.25">
      <c r="A659" s="1">
        <v>2458431.5037699998</v>
      </c>
      <c r="B659" s="1" t="s">
        <v>168</v>
      </c>
      <c r="C659" s="1">
        <v>12.653</v>
      </c>
      <c r="D659" s="1">
        <v>1.4E-2</v>
      </c>
      <c r="E659" s="1" t="s">
        <v>1</v>
      </c>
      <c r="F659" s="1" t="s">
        <v>94</v>
      </c>
    </row>
    <row r="660" spans="1:6" ht="17.25" customHeight="1" x14ac:dyDescent="0.25">
      <c r="A660" s="1">
        <v>2458431.50416</v>
      </c>
      <c r="B660" s="1" t="s">
        <v>168</v>
      </c>
      <c r="C660" s="1">
        <v>12.675000000000001</v>
      </c>
      <c r="D660" s="1">
        <v>1.4E-2</v>
      </c>
      <c r="E660" s="1" t="s">
        <v>1</v>
      </c>
      <c r="F660" s="1" t="s">
        <v>94</v>
      </c>
    </row>
    <row r="661" spans="1:6" ht="17.25" customHeight="1" x14ac:dyDescent="0.25">
      <c r="A661" s="1">
        <v>2458432.5032100002</v>
      </c>
      <c r="B661" s="1" t="s">
        <v>169</v>
      </c>
      <c r="C661" s="1">
        <v>12.691000000000001</v>
      </c>
      <c r="D661" s="1">
        <v>1.4E-2</v>
      </c>
      <c r="E661" s="1" t="s">
        <v>1</v>
      </c>
      <c r="F661" s="1" t="s">
        <v>94</v>
      </c>
    </row>
    <row r="662" spans="1:6" ht="17.25" customHeight="1" x14ac:dyDescent="0.25">
      <c r="A662" s="1">
        <v>2458432.5035999999</v>
      </c>
      <c r="B662" s="1" t="s">
        <v>169</v>
      </c>
      <c r="C662" s="1">
        <v>12.68</v>
      </c>
      <c r="D662" s="1">
        <v>1.4E-2</v>
      </c>
      <c r="E662" s="1" t="s">
        <v>1</v>
      </c>
      <c r="F662" s="1" t="s">
        <v>94</v>
      </c>
    </row>
    <row r="663" spans="1:6" ht="17.25" customHeight="1" x14ac:dyDescent="0.25">
      <c r="A663" s="1">
        <v>2458433.2368399999</v>
      </c>
      <c r="B663" s="1" t="s">
        <v>169</v>
      </c>
      <c r="C663" s="1">
        <v>12.617000000000001</v>
      </c>
      <c r="D663" s="1">
        <v>1.0999999999999999E-2</v>
      </c>
      <c r="E663" s="1" t="s">
        <v>1</v>
      </c>
      <c r="F663" s="1" t="s">
        <v>101</v>
      </c>
    </row>
    <row r="664" spans="1:6" ht="17.25" customHeight="1" x14ac:dyDescent="0.25">
      <c r="A664" s="1">
        <v>2458433.2371499999</v>
      </c>
      <c r="B664" s="1" t="s">
        <v>169</v>
      </c>
      <c r="C664" s="1">
        <v>12.609</v>
      </c>
      <c r="D664" s="1">
        <v>1.2E-2</v>
      </c>
      <c r="E664" s="1" t="s">
        <v>1</v>
      </c>
      <c r="F664" s="1" t="s">
        <v>101</v>
      </c>
    </row>
    <row r="665" spans="1:6" ht="17.25" customHeight="1" x14ac:dyDescent="0.25">
      <c r="A665" s="1">
        <v>2458433.5035999999</v>
      </c>
      <c r="B665" s="1" t="s">
        <v>170</v>
      </c>
      <c r="C665" s="1">
        <v>12.708</v>
      </c>
      <c r="D665" s="1">
        <v>1.4E-2</v>
      </c>
      <c r="E665" s="1" t="s">
        <v>1</v>
      </c>
      <c r="F665" s="1" t="s">
        <v>94</v>
      </c>
    </row>
    <row r="666" spans="1:6" ht="17.25" customHeight="1" x14ac:dyDescent="0.25">
      <c r="A666" s="1">
        <v>2458433.50398</v>
      </c>
      <c r="B666" s="1" t="s">
        <v>170</v>
      </c>
      <c r="C666" s="1">
        <v>12.723000000000001</v>
      </c>
      <c r="D666" s="1">
        <v>1.4E-2</v>
      </c>
      <c r="E666" s="1" t="s">
        <v>1</v>
      </c>
      <c r="F666" s="1" t="s">
        <v>94</v>
      </c>
    </row>
    <row r="667" spans="1:6" ht="17.25" customHeight="1" x14ac:dyDescent="0.25">
      <c r="A667" s="1">
        <v>2458434.5039499998</v>
      </c>
      <c r="B667" s="1" t="s">
        <v>171</v>
      </c>
      <c r="C667" s="1">
        <v>12.707000000000001</v>
      </c>
      <c r="D667" s="1">
        <v>1.4999999999999999E-2</v>
      </c>
      <c r="E667" s="1" t="s">
        <v>1</v>
      </c>
      <c r="F667" s="1" t="s">
        <v>94</v>
      </c>
    </row>
    <row r="668" spans="1:6" ht="17.25" customHeight="1" x14ac:dyDescent="0.25">
      <c r="A668" s="1">
        <v>2458434.5043299999</v>
      </c>
      <c r="B668" s="1" t="s">
        <v>171</v>
      </c>
      <c r="C668" s="1">
        <v>12.706</v>
      </c>
      <c r="D668" s="1">
        <v>1.4999999999999999E-2</v>
      </c>
      <c r="E668" s="1" t="s">
        <v>1</v>
      </c>
      <c r="F668" s="1" t="s">
        <v>94</v>
      </c>
    </row>
    <row r="669" spans="1:6" ht="17.25" customHeight="1" x14ac:dyDescent="0.25">
      <c r="A669" s="1">
        <v>2458435.5048000002</v>
      </c>
      <c r="B669" s="1" t="s">
        <v>172</v>
      </c>
      <c r="C669" s="1">
        <v>12.75</v>
      </c>
      <c r="D669" s="1">
        <v>1.4E-2</v>
      </c>
      <c r="E669" s="1" t="s">
        <v>1</v>
      </c>
      <c r="F669" s="1" t="s">
        <v>94</v>
      </c>
    </row>
    <row r="670" spans="1:6" ht="17.25" customHeight="1" x14ac:dyDescent="0.25">
      <c r="A670" s="1">
        <v>2458435.5051899999</v>
      </c>
      <c r="B670" s="1" t="s">
        <v>172</v>
      </c>
      <c r="C670" s="1">
        <v>12.757</v>
      </c>
      <c r="D670" s="1">
        <v>1.4999999999999999E-2</v>
      </c>
      <c r="E670" s="1" t="s">
        <v>1</v>
      </c>
      <c r="F670" s="1" t="s">
        <v>94</v>
      </c>
    </row>
    <row r="671" spans="1:6" ht="17.25" customHeight="1" x14ac:dyDescent="0.25">
      <c r="A671" s="1">
        <v>2458436.5051600002</v>
      </c>
      <c r="B671" s="1" t="s">
        <v>173</v>
      </c>
      <c r="C671" s="1">
        <v>12.747</v>
      </c>
      <c r="D671" s="1">
        <v>1.4999999999999999E-2</v>
      </c>
      <c r="E671" s="1" t="s">
        <v>1</v>
      </c>
      <c r="F671" s="1" t="s">
        <v>94</v>
      </c>
    </row>
    <row r="672" spans="1:6" ht="17.25" customHeight="1" x14ac:dyDescent="0.25">
      <c r="A672" s="1">
        <v>2458436.50556</v>
      </c>
      <c r="B672" s="1" t="s">
        <v>173</v>
      </c>
      <c r="C672" s="1">
        <v>12.760999999999999</v>
      </c>
      <c r="D672" s="1">
        <v>1.4999999999999999E-2</v>
      </c>
      <c r="E672" s="1" t="s">
        <v>1</v>
      </c>
      <c r="F672" s="1" t="s">
        <v>94</v>
      </c>
    </row>
    <row r="673" spans="1:6" ht="17.25" customHeight="1" x14ac:dyDescent="0.25">
      <c r="A673" s="1">
        <v>2458436.61301</v>
      </c>
      <c r="B673" s="1" t="s">
        <v>173</v>
      </c>
      <c r="C673" s="1">
        <v>12.577</v>
      </c>
      <c r="D673" s="1">
        <v>0.09</v>
      </c>
      <c r="E673" s="1" t="s">
        <v>1</v>
      </c>
      <c r="F673" s="1" t="s">
        <v>131</v>
      </c>
    </row>
    <row r="674" spans="1:6" ht="17.25" customHeight="1" x14ac:dyDescent="0.25">
      <c r="A674" s="1">
        <v>2458437.27373</v>
      </c>
      <c r="B674" s="1" t="s">
        <v>173</v>
      </c>
      <c r="C674" s="1">
        <v>12.724</v>
      </c>
      <c r="D674" s="1">
        <v>1.9E-2</v>
      </c>
      <c r="E674" s="1" t="s">
        <v>1</v>
      </c>
      <c r="F674" s="1" t="s">
        <v>101</v>
      </c>
    </row>
    <row r="675" spans="1:6" ht="17.25" customHeight="1" x14ac:dyDescent="0.25">
      <c r="A675" s="1">
        <v>2458437.27403</v>
      </c>
      <c r="B675" s="1" t="s">
        <v>173</v>
      </c>
      <c r="C675" s="1">
        <v>12.74</v>
      </c>
      <c r="D675" s="1">
        <v>1.7999999999999999E-2</v>
      </c>
      <c r="E675" s="1" t="s">
        <v>1</v>
      </c>
      <c r="F675" s="1" t="s">
        <v>101</v>
      </c>
    </row>
    <row r="676" spans="1:6" ht="17.25" customHeight="1" x14ac:dyDescent="0.25">
      <c r="A676" s="1">
        <v>2458438.5057999999</v>
      </c>
      <c r="B676" s="1" t="s">
        <v>266</v>
      </c>
      <c r="C676" s="1">
        <v>12.782999999999999</v>
      </c>
      <c r="D676" s="1">
        <v>1.7000000000000001E-2</v>
      </c>
      <c r="E676" s="1" t="s">
        <v>1</v>
      </c>
      <c r="F676" s="1" t="s">
        <v>94</v>
      </c>
    </row>
    <row r="677" spans="1:6" ht="17.25" customHeight="1" x14ac:dyDescent="0.25">
      <c r="A677" s="1">
        <v>2458438.5061900001</v>
      </c>
      <c r="B677" s="1" t="s">
        <v>266</v>
      </c>
      <c r="C677" s="1">
        <v>12.794</v>
      </c>
      <c r="D677" s="1">
        <v>1.7000000000000001E-2</v>
      </c>
      <c r="E677" s="1" t="s">
        <v>1</v>
      </c>
      <c r="F677" s="1" t="s">
        <v>94</v>
      </c>
    </row>
    <row r="678" spans="1:6" ht="17.25" customHeight="1" x14ac:dyDescent="0.25">
      <c r="A678" s="1">
        <v>2458439.1979200002</v>
      </c>
      <c r="B678" s="1" t="s">
        <v>266</v>
      </c>
      <c r="C678" s="1">
        <v>12.75</v>
      </c>
      <c r="D678" s="1">
        <v>0.02</v>
      </c>
      <c r="E678" s="1" t="s">
        <v>1</v>
      </c>
      <c r="F678" s="1" t="s">
        <v>5</v>
      </c>
    </row>
    <row r="679" spans="1:6" ht="17.25" customHeight="1" x14ac:dyDescent="0.25">
      <c r="A679" s="1">
        <v>2458439.5065199998</v>
      </c>
      <c r="B679" s="1" t="s">
        <v>267</v>
      </c>
      <c r="C679" s="1">
        <v>12.819000000000001</v>
      </c>
      <c r="D679" s="1">
        <v>1.9E-2</v>
      </c>
      <c r="E679" s="1" t="s">
        <v>1</v>
      </c>
      <c r="F679" s="1" t="s">
        <v>94</v>
      </c>
    </row>
    <row r="680" spans="1:6" ht="17.25" customHeight="1" x14ac:dyDescent="0.25">
      <c r="A680" s="1">
        <v>2458439.5068999999</v>
      </c>
      <c r="B680" s="1" t="s">
        <v>267</v>
      </c>
      <c r="C680" s="1">
        <v>12.855</v>
      </c>
      <c r="D680" s="1">
        <v>1.9E-2</v>
      </c>
      <c r="E680" s="1" t="s">
        <v>1</v>
      </c>
      <c r="F680" s="1" t="s">
        <v>94</v>
      </c>
    </row>
    <row r="681" spans="1:6" ht="17.25" customHeight="1" x14ac:dyDescent="0.25">
      <c r="A681" s="1">
        <v>2458440.35091</v>
      </c>
      <c r="B681" s="1" t="s">
        <v>267</v>
      </c>
      <c r="C681" s="1">
        <v>12.826000000000001</v>
      </c>
      <c r="D681" s="1">
        <v>2.4E-2</v>
      </c>
      <c r="E681" s="1" t="s">
        <v>1</v>
      </c>
      <c r="F681" s="1" t="s">
        <v>101</v>
      </c>
    </row>
    <row r="682" spans="1:6" ht="17.25" customHeight="1" x14ac:dyDescent="0.25">
      <c r="A682" s="1">
        <v>2458440.3512300001</v>
      </c>
      <c r="B682" s="1" t="s">
        <v>267</v>
      </c>
      <c r="C682" s="1">
        <v>12.816000000000001</v>
      </c>
      <c r="D682" s="1">
        <v>2.4E-2</v>
      </c>
      <c r="E682" s="1" t="s">
        <v>1</v>
      </c>
      <c r="F682" s="1" t="s">
        <v>101</v>
      </c>
    </row>
    <row r="683" spans="1:6" ht="17.25" customHeight="1" x14ac:dyDescent="0.25">
      <c r="A683" s="1">
        <v>2458440.50728</v>
      </c>
      <c r="B683" s="1" t="s">
        <v>268</v>
      </c>
      <c r="C683" s="1">
        <v>12.834</v>
      </c>
      <c r="D683" s="1">
        <v>2.1000000000000001E-2</v>
      </c>
      <c r="E683" s="1" t="s">
        <v>1</v>
      </c>
      <c r="F683" s="1" t="s">
        <v>94</v>
      </c>
    </row>
    <row r="684" spans="1:6" ht="17.25" customHeight="1" x14ac:dyDescent="0.25">
      <c r="A684" s="1">
        <v>2458440.5076600001</v>
      </c>
      <c r="B684" s="1" t="s">
        <v>268</v>
      </c>
      <c r="C684" s="1">
        <v>12.801</v>
      </c>
      <c r="D684" s="1">
        <v>0.02</v>
      </c>
      <c r="E684" s="1" t="s">
        <v>1</v>
      </c>
      <c r="F684" s="1" t="s">
        <v>94</v>
      </c>
    </row>
    <row r="685" spans="1:6" ht="17.25" customHeight="1" x14ac:dyDescent="0.25">
      <c r="A685" s="1">
        <v>2458441.5106500001</v>
      </c>
      <c r="B685" s="1" t="s">
        <v>269</v>
      </c>
      <c r="C685" s="1">
        <v>12.86</v>
      </c>
      <c r="D685" s="1">
        <v>0.02</v>
      </c>
      <c r="E685" s="1" t="s">
        <v>1</v>
      </c>
      <c r="F685" s="1" t="s">
        <v>94</v>
      </c>
    </row>
    <row r="686" spans="1:6" ht="17.25" customHeight="1" x14ac:dyDescent="0.25">
      <c r="A686" s="1">
        <v>2458441.5110399998</v>
      </c>
      <c r="B686" s="1" t="s">
        <v>269</v>
      </c>
      <c r="C686" s="1">
        <v>12.855</v>
      </c>
      <c r="D686" s="1">
        <v>2.1000000000000001E-2</v>
      </c>
      <c r="E686" s="1" t="s">
        <v>1</v>
      </c>
      <c r="F686" s="1" t="s">
        <v>94</v>
      </c>
    </row>
    <row r="687" spans="1:6" ht="17.25" customHeight="1" x14ac:dyDescent="0.25">
      <c r="A687" s="1">
        <v>2458442.5107399998</v>
      </c>
      <c r="B687" s="1" t="s">
        <v>270</v>
      </c>
      <c r="C687" s="1">
        <v>12.86</v>
      </c>
      <c r="D687" s="1">
        <v>2.1999999999999999E-2</v>
      </c>
      <c r="E687" s="1" t="s">
        <v>1</v>
      </c>
      <c r="F687" s="1" t="s">
        <v>94</v>
      </c>
    </row>
    <row r="688" spans="1:6" ht="17.25" customHeight="1" x14ac:dyDescent="0.25">
      <c r="A688" s="1">
        <v>2458442.51113</v>
      </c>
      <c r="B688" s="1" t="s">
        <v>270</v>
      </c>
      <c r="C688" s="1">
        <v>12.898999999999999</v>
      </c>
      <c r="D688" s="1">
        <v>2.1999999999999999E-2</v>
      </c>
      <c r="E688" s="1" t="s">
        <v>1</v>
      </c>
      <c r="F688" s="1" t="s">
        <v>94</v>
      </c>
    </row>
    <row r="689" spans="1:6" ht="17.25" customHeight="1" x14ac:dyDescent="0.25">
      <c r="A689" s="1">
        <v>2458442.6449000002</v>
      </c>
      <c r="B689" s="1" t="s">
        <v>270</v>
      </c>
      <c r="C689" s="1">
        <v>12.583</v>
      </c>
      <c r="D689" s="1">
        <v>0.13300000000000001</v>
      </c>
      <c r="E689" s="1" t="s">
        <v>1</v>
      </c>
      <c r="F689" s="1" t="s">
        <v>131</v>
      </c>
    </row>
    <row r="690" spans="1:6" ht="17.25" customHeight="1" x14ac:dyDescent="0.25">
      <c r="A690" s="1">
        <v>2458443.5111699998</v>
      </c>
      <c r="B690" s="1" t="s">
        <v>271</v>
      </c>
      <c r="C690" s="1">
        <v>12.868</v>
      </c>
      <c r="D690" s="1">
        <v>2.8000000000000001E-2</v>
      </c>
      <c r="E690" s="1" t="s">
        <v>1</v>
      </c>
      <c r="F690" s="1" t="s">
        <v>94</v>
      </c>
    </row>
    <row r="691" spans="1:6" ht="17.25" customHeight="1" x14ac:dyDescent="0.25">
      <c r="A691" s="1">
        <v>2458443.51156</v>
      </c>
      <c r="B691" s="1" t="s">
        <v>271</v>
      </c>
      <c r="C691" s="1">
        <v>12.898</v>
      </c>
      <c r="D691" s="1">
        <v>2.9000000000000001E-2</v>
      </c>
      <c r="E691" s="1" t="s">
        <v>1</v>
      </c>
      <c r="F691" s="1" t="s">
        <v>94</v>
      </c>
    </row>
    <row r="692" spans="1:6" ht="17.25" customHeight="1" x14ac:dyDescent="0.25">
      <c r="A692" s="1">
        <v>2458444.5121200001</v>
      </c>
      <c r="B692" s="1" t="s">
        <v>272</v>
      </c>
      <c r="C692" s="1">
        <v>12.961</v>
      </c>
      <c r="D692" s="1">
        <v>3.4000000000000002E-2</v>
      </c>
      <c r="E692" s="1" t="s">
        <v>1</v>
      </c>
      <c r="F692" s="1" t="s">
        <v>94</v>
      </c>
    </row>
    <row r="693" spans="1:6" ht="17.25" customHeight="1" x14ac:dyDescent="0.25">
      <c r="A693" s="1">
        <v>2458444.5125099998</v>
      </c>
      <c r="B693" s="1" t="s">
        <v>272</v>
      </c>
      <c r="C693" s="1">
        <v>12.894</v>
      </c>
      <c r="D693" s="1">
        <v>3.3000000000000002E-2</v>
      </c>
      <c r="E693" s="1" t="s">
        <v>1</v>
      </c>
      <c r="F693" s="1" t="s">
        <v>94</v>
      </c>
    </row>
    <row r="694" spans="1:6" ht="17.25" customHeight="1" x14ac:dyDescent="0.25">
      <c r="A694" s="1">
        <v>2458445.5038000001</v>
      </c>
      <c r="B694" s="1" t="s">
        <v>274</v>
      </c>
      <c r="C694" s="1">
        <v>12.898999999999999</v>
      </c>
      <c r="D694" s="1">
        <v>3.3000000000000002E-2</v>
      </c>
      <c r="E694" s="1" t="s">
        <v>1</v>
      </c>
      <c r="F694" s="1" t="s">
        <v>94</v>
      </c>
    </row>
    <row r="695" spans="1:6" ht="17.25" customHeight="1" x14ac:dyDescent="0.25">
      <c r="A695" s="1">
        <v>2458445.5041800002</v>
      </c>
      <c r="B695" s="1" t="s">
        <v>274</v>
      </c>
      <c r="C695" s="1">
        <v>12.83</v>
      </c>
      <c r="D695" s="1">
        <v>3.1E-2</v>
      </c>
      <c r="E695" s="1" t="s">
        <v>1</v>
      </c>
      <c r="F695" s="1" t="s">
        <v>94</v>
      </c>
    </row>
    <row r="696" spans="1:6" ht="17.25" customHeight="1" x14ac:dyDescent="0.25">
      <c r="A696" s="1">
        <v>2458446.5043500001</v>
      </c>
      <c r="B696" s="1" t="s">
        <v>275</v>
      </c>
      <c r="C696" s="1">
        <v>12.914</v>
      </c>
      <c r="D696" s="1">
        <v>2.5999999999999999E-2</v>
      </c>
      <c r="E696" s="1" t="s">
        <v>1</v>
      </c>
      <c r="F696" s="1" t="s">
        <v>94</v>
      </c>
    </row>
    <row r="697" spans="1:6" ht="17.25" customHeight="1" x14ac:dyDescent="0.25">
      <c r="A697" s="1">
        <v>2458446.5047300002</v>
      </c>
      <c r="B697" s="1" t="s">
        <v>275</v>
      </c>
      <c r="C697" s="1">
        <v>13.005000000000001</v>
      </c>
      <c r="D697" s="1">
        <v>2.5999999999999999E-2</v>
      </c>
      <c r="E697" s="1" t="s">
        <v>1</v>
      </c>
      <c r="F697" s="1" t="s">
        <v>94</v>
      </c>
    </row>
    <row r="698" spans="1:6" ht="17.25" customHeight="1" x14ac:dyDescent="0.25">
      <c r="A698" s="1">
        <v>2458447.5047499998</v>
      </c>
      <c r="B698" s="1" t="s">
        <v>276</v>
      </c>
      <c r="C698" s="1">
        <v>12.925000000000001</v>
      </c>
      <c r="D698" s="1">
        <v>2.3E-2</v>
      </c>
      <c r="E698" s="1" t="s">
        <v>1</v>
      </c>
      <c r="F698" s="1" t="s">
        <v>94</v>
      </c>
    </row>
    <row r="699" spans="1:6" ht="17.25" customHeight="1" x14ac:dyDescent="0.25">
      <c r="A699" s="1">
        <v>2458447.50514</v>
      </c>
      <c r="B699" s="1" t="s">
        <v>276</v>
      </c>
      <c r="C699" s="1">
        <v>13.004</v>
      </c>
      <c r="D699" s="1">
        <v>2.3E-2</v>
      </c>
      <c r="E699" s="1" t="s">
        <v>1</v>
      </c>
      <c r="F699" s="1" t="s">
        <v>94</v>
      </c>
    </row>
    <row r="700" spans="1:6" ht="17.25" customHeight="1" x14ac:dyDescent="0.25">
      <c r="A700" s="1">
        <v>2458448.5054899999</v>
      </c>
      <c r="B700" s="1" t="s">
        <v>277</v>
      </c>
      <c r="C700" s="1">
        <v>12.957000000000001</v>
      </c>
      <c r="D700" s="1">
        <v>2.4E-2</v>
      </c>
      <c r="E700" s="1" t="s">
        <v>1</v>
      </c>
      <c r="F700" s="1" t="s">
        <v>94</v>
      </c>
    </row>
    <row r="701" spans="1:6" ht="17.25" customHeight="1" x14ac:dyDescent="0.25">
      <c r="A701" s="1">
        <v>2458448.5058800001</v>
      </c>
      <c r="B701" s="1" t="s">
        <v>277</v>
      </c>
      <c r="C701" s="1">
        <v>12.954000000000001</v>
      </c>
      <c r="D701" s="1">
        <v>2.1999999999999999E-2</v>
      </c>
      <c r="E701" s="1" t="s">
        <v>1</v>
      </c>
      <c r="F701" s="1" t="s">
        <v>94</v>
      </c>
    </row>
    <row r="702" spans="1:6" ht="17.25" customHeight="1" x14ac:dyDescent="0.25">
      <c r="A702" s="1">
        <v>2458449.5056400001</v>
      </c>
      <c r="B702" s="1" t="s">
        <v>278</v>
      </c>
      <c r="C702" s="1">
        <v>12.962999999999999</v>
      </c>
      <c r="D702" s="1">
        <v>2.3E-2</v>
      </c>
      <c r="E702" s="1" t="s">
        <v>1</v>
      </c>
      <c r="F702" s="1" t="s">
        <v>94</v>
      </c>
    </row>
    <row r="703" spans="1:6" ht="17.25" customHeight="1" x14ac:dyDescent="0.25">
      <c r="A703" s="1">
        <v>2458449.5060299998</v>
      </c>
      <c r="B703" s="1" t="s">
        <v>278</v>
      </c>
      <c r="C703" s="1">
        <v>12.968</v>
      </c>
      <c r="D703" s="1">
        <v>2.7E-2</v>
      </c>
      <c r="E703" s="1" t="s">
        <v>1</v>
      </c>
      <c r="F703" s="1" t="s">
        <v>94</v>
      </c>
    </row>
    <row r="704" spans="1:6" ht="17.25" customHeight="1" x14ac:dyDescent="0.25">
      <c r="A704" s="1">
        <v>2458450.5034500002</v>
      </c>
      <c r="B704" s="1" t="s">
        <v>279</v>
      </c>
      <c r="C704" s="1">
        <v>13.006</v>
      </c>
      <c r="D704" s="1">
        <v>2.7E-2</v>
      </c>
      <c r="E704" s="1" t="s">
        <v>1</v>
      </c>
      <c r="F704" s="1" t="s">
        <v>94</v>
      </c>
    </row>
    <row r="705" spans="1:6" ht="17.25" customHeight="1" x14ac:dyDescent="0.25">
      <c r="A705" s="1">
        <v>2458450.5038299998</v>
      </c>
      <c r="B705" s="1" t="s">
        <v>279</v>
      </c>
      <c r="C705" s="1">
        <v>12.997999999999999</v>
      </c>
      <c r="D705" s="1">
        <v>2.7E-2</v>
      </c>
      <c r="E705" s="1" t="s">
        <v>1</v>
      </c>
      <c r="F705" s="1" t="s">
        <v>94</v>
      </c>
    </row>
    <row r="706" spans="1:6" ht="17.25" customHeight="1" x14ac:dyDescent="0.25">
      <c r="A706" s="1">
        <v>2458451.5039900001</v>
      </c>
      <c r="B706" s="1" t="s">
        <v>280</v>
      </c>
      <c r="C706" s="1">
        <v>12.967000000000001</v>
      </c>
      <c r="D706" s="1">
        <v>2.9000000000000001E-2</v>
      </c>
      <c r="E706" s="1" t="s">
        <v>1</v>
      </c>
      <c r="F706" s="1" t="s">
        <v>94</v>
      </c>
    </row>
    <row r="707" spans="1:6" ht="17.25" customHeight="1" x14ac:dyDescent="0.25">
      <c r="A707" s="1">
        <v>2458451.5043799998</v>
      </c>
      <c r="B707" s="1" t="s">
        <v>280</v>
      </c>
      <c r="C707" s="1">
        <v>12.904</v>
      </c>
      <c r="D707" s="1">
        <v>2.8000000000000001E-2</v>
      </c>
      <c r="E707" s="1" t="s">
        <v>1</v>
      </c>
      <c r="F707" s="1" t="s">
        <v>94</v>
      </c>
    </row>
    <row r="708" spans="1:6" ht="17.25" customHeight="1" x14ac:dyDescent="0.25">
      <c r="A708" s="1">
        <v>2458453.2187199998</v>
      </c>
      <c r="B708" s="1" t="s">
        <v>281</v>
      </c>
      <c r="C708" s="1">
        <v>12.951000000000001</v>
      </c>
      <c r="D708" s="1">
        <v>1.4999999999999999E-2</v>
      </c>
      <c r="E708" s="1" t="s">
        <v>1</v>
      </c>
      <c r="F708" s="1" t="s">
        <v>101</v>
      </c>
    </row>
    <row r="709" spans="1:6" ht="17.25" customHeight="1" x14ac:dyDescent="0.25">
      <c r="A709" s="1">
        <v>2458453.2190299998</v>
      </c>
      <c r="B709" s="1" t="s">
        <v>281</v>
      </c>
      <c r="C709" s="1">
        <v>12.936</v>
      </c>
      <c r="D709" s="1">
        <v>1.4999999999999999E-2</v>
      </c>
      <c r="E709" s="1" t="s">
        <v>1</v>
      </c>
      <c r="F709" s="1" t="s">
        <v>101</v>
      </c>
    </row>
    <row r="710" spans="1:6" ht="17.25" customHeight="1" x14ac:dyDescent="0.25">
      <c r="A710" s="1">
        <v>2458462.2132999999</v>
      </c>
      <c r="B710" s="1" t="s">
        <v>282</v>
      </c>
      <c r="C710" s="1">
        <v>13.007</v>
      </c>
      <c r="D710" s="1">
        <v>1.7000000000000001E-2</v>
      </c>
      <c r="E710" s="1" t="s">
        <v>1</v>
      </c>
      <c r="F710" s="1" t="s">
        <v>101</v>
      </c>
    </row>
    <row r="711" spans="1:6" ht="17.25" customHeight="1" x14ac:dyDescent="0.25">
      <c r="A711" s="1">
        <v>2458462.21361</v>
      </c>
      <c r="B711" s="1" t="s">
        <v>282</v>
      </c>
      <c r="C711" s="1">
        <v>12.978</v>
      </c>
      <c r="D711" s="1">
        <v>1.7000000000000001E-2</v>
      </c>
      <c r="E711" s="1" t="s">
        <v>1</v>
      </c>
      <c r="F711" s="1" t="s">
        <v>101</v>
      </c>
    </row>
    <row r="712" spans="1:6" ht="17.25" customHeight="1" x14ac:dyDescent="0.25">
      <c r="A712" s="1">
        <v>2458464.25875</v>
      </c>
      <c r="B712" s="1" t="s">
        <v>283</v>
      </c>
      <c r="C712" s="1">
        <v>12.964</v>
      </c>
      <c r="D712" s="1">
        <v>1.4999999999999999E-2</v>
      </c>
      <c r="E712" s="1" t="s">
        <v>1</v>
      </c>
      <c r="F712" s="1" t="s">
        <v>101</v>
      </c>
    </row>
    <row r="713" spans="1:6" ht="17.25" customHeight="1" x14ac:dyDescent="0.25">
      <c r="A713" s="1">
        <v>2458464.2590600001</v>
      </c>
      <c r="B713" s="1" t="s">
        <v>283</v>
      </c>
      <c r="C713" s="1">
        <v>13.013</v>
      </c>
      <c r="D713" s="1">
        <v>1.6E-2</v>
      </c>
      <c r="E713" s="1" t="s">
        <v>1</v>
      </c>
      <c r="F713" s="1" t="s">
        <v>101</v>
      </c>
    </row>
    <row r="714" spans="1:6" ht="17.25" customHeight="1" x14ac:dyDescent="0.25">
      <c r="A714" s="1">
        <v>2458467.2542699999</v>
      </c>
      <c r="B714" s="1" t="s">
        <v>284</v>
      </c>
      <c r="C714" s="1">
        <v>13.015000000000001</v>
      </c>
      <c r="D714" s="1">
        <v>4.7E-2</v>
      </c>
      <c r="E714" s="1" t="s">
        <v>1</v>
      </c>
      <c r="F714" s="1" t="s">
        <v>285</v>
      </c>
    </row>
    <row r="715" spans="1:6" ht="17.25" customHeight="1" x14ac:dyDescent="0.25">
      <c r="A715" s="1">
        <v>2458467.2550599999</v>
      </c>
      <c r="B715" s="1" t="s">
        <v>284</v>
      </c>
      <c r="C715" s="1">
        <v>12.99</v>
      </c>
      <c r="D715" s="1">
        <v>4.8000000000000001E-2</v>
      </c>
      <c r="E715" s="1" t="s">
        <v>1</v>
      </c>
      <c r="F715" s="1" t="s">
        <v>285</v>
      </c>
    </row>
    <row r="716" spans="1:6" ht="17.25" customHeight="1" x14ac:dyDescent="0.25">
      <c r="A716" s="1">
        <v>2458470.2539599999</v>
      </c>
      <c r="B716" s="1" t="s">
        <v>286</v>
      </c>
      <c r="C716" s="1">
        <v>13.061</v>
      </c>
      <c r="D716" s="1">
        <v>5.5E-2</v>
      </c>
      <c r="E716" s="1" t="s">
        <v>1</v>
      </c>
      <c r="F716" s="1" t="s">
        <v>285</v>
      </c>
    </row>
    <row r="717" spans="1:6" ht="17.25" customHeight="1" x14ac:dyDescent="0.25">
      <c r="A717" s="1">
        <v>2458470.2546399999</v>
      </c>
      <c r="B717" s="1" t="s">
        <v>286</v>
      </c>
      <c r="C717" s="1">
        <v>12.981999999999999</v>
      </c>
      <c r="D717" s="1">
        <v>5.0999999999999997E-2</v>
      </c>
      <c r="E717" s="1" t="s">
        <v>1</v>
      </c>
      <c r="F717" s="1" t="s">
        <v>285</v>
      </c>
    </row>
    <row r="718" spans="1:6" ht="17.25" customHeight="1" x14ac:dyDescent="0.25">
      <c r="A718" s="1">
        <v>2458470.2554700002</v>
      </c>
      <c r="B718" s="1" t="s">
        <v>286</v>
      </c>
      <c r="C718" s="1">
        <v>13.044</v>
      </c>
      <c r="D718" s="1">
        <v>5.2999999999999999E-2</v>
      </c>
      <c r="E718" s="1" t="s">
        <v>1</v>
      </c>
      <c r="F718" s="1" t="s">
        <v>285</v>
      </c>
    </row>
    <row r="719" spans="1:6" ht="17.25" customHeight="1" x14ac:dyDescent="0.25">
      <c r="A719" s="1">
        <v>2458470.2561599999</v>
      </c>
      <c r="B719" s="1" t="s">
        <v>286</v>
      </c>
      <c r="C719" s="1">
        <v>13.019</v>
      </c>
      <c r="D719" s="1">
        <v>5.0999999999999997E-2</v>
      </c>
      <c r="E719" s="1" t="s">
        <v>1</v>
      </c>
      <c r="F719" s="1" t="s">
        <v>285</v>
      </c>
    </row>
    <row r="720" spans="1:6" ht="17.25" customHeight="1" x14ac:dyDescent="0.25">
      <c r="A720" s="1">
        <v>2458472.2867200002</v>
      </c>
      <c r="B720" s="1" t="s">
        <v>287</v>
      </c>
      <c r="C720" s="1">
        <v>13.005000000000001</v>
      </c>
      <c r="D720" s="1">
        <v>5.6000000000000001E-2</v>
      </c>
      <c r="E720" s="1" t="s">
        <v>1</v>
      </c>
      <c r="F720" s="1" t="s">
        <v>285</v>
      </c>
    </row>
    <row r="721" spans="1:6" ht="17.25" customHeight="1" x14ac:dyDescent="0.25">
      <c r="A721" s="1">
        <v>2458472.2873800001</v>
      </c>
      <c r="B721" s="1" t="s">
        <v>287</v>
      </c>
      <c r="C721" s="1">
        <v>13.276</v>
      </c>
      <c r="D721" s="1">
        <v>0.121</v>
      </c>
      <c r="E721" s="1" t="s">
        <v>1</v>
      </c>
      <c r="F721" s="1" t="s">
        <v>285</v>
      </c>
    </row>
    <row r="722" spans="1:6" ht="17.25" customHeight="1" x14ac:dyDescent="0.25">
      <c r="A722" s="1">
        <v>2458472.2880699998</v>
      </c>
      <c r="B722" s="1" t="s">
        <v>287</v>
      </c>
      <c r="C722" s="1">
        <v>13.117000000000001</v>
      </c>
      <c r="D722" s="1">
        <v>8.2000000000000003E-2</v>
      </c>
      <c r="E722" s="1" t="s">
        <v>1</v>
      </c>
      <c r="F722" s="1" t="s">
        <v>285</v>
      </c>
    </row>
    <row r="723" spans="1:6" ht="17.25" customHeight="1" x14ac:dyDescent="0.25">
      <c r="A723" s="1">
        <v>2458472.2887400002</v>
      </c>
      <c r="B723" s="1" t="s">
        <v>287</v>
      </c>
      <c r="C723" s="1">
        <v>12.856</v>
      </c>
      <c r="D723" s="1">
        <v>0.09</v>
      </c>
      <c r="E723" s="1" t="s">
        <v>1</v>
      </c>
      <c r="F723" s="1" t="s">
        <v>285</v>
      </c>
    </row>
    <row r="724" spans="1:6" ht="17.25" customHeight="1" x14ac:dyDescent="0.25">
      <c r="A724" s="1">
        <v>2458475.25991</v>
      </c>
      <c r="B724" s="1" t="s">
        <v>288</v>
      </c>
      <c r="C724" s="1">
        <v>12.875999999999999</v>
      </c>
      <c r="D724" s="1">
        <v>0.123</v>
      </c>
      <c r="E724" s="1" t="s">
        <v>1</v>
      </c>
      <c r="F724" s="1" t="s">
        <v>285</v>
      </c>
    </row>
    <row r="725" spans="1:6" ht="17.25" customHeight="1" x14ac:dyDescent="0.25">
      <c r="A725" s="1">
        <v>2458478.3030699999</v>
      </c>
      <c r="B725" s="1" t="s">
        <v>289</v>
      </c>
      <c r="C725" s="1">
        <v>13.141999999999999</v>
      </c>
      <c r="D725" s="1">
        <v>9.6000000000000002E-2</v>
      </c>
      <c r="E725" s="1" t="s">
        <v>1</v>
      </c>
      <c r="F725" s="1" t="s">
        <v>101</v>
      </c>
    </row>
    <row r="726" spans="1:6" ht="17.25" customHeight="1" x14ac:dyDescent="0.25">
      <c r="A726" s="1">
        <v>2458478.3033799999</v>
      </c>
      <c r="B726" s="1" t="s">
        <v>289</v>
      </c>
      <c r="C726" s="1">
        <v>13.265000000000001</v>
      </c>
      <c r="D726" s="1">
        <v>0.104</v>
      </c>
      <c r="E726" s="1" t="s">
        <v>1</v>
      </c>
      <c r="F726" s="1" t="s">
        <v>101</v>
      </c>
    </row>
    <row r="727" spans="1:6" ht="17.25" customHeight="1" x14ac:dyDescent="0.25">
      <c r="A727" s="1">
        <v>2458479.21074</v>
      </c>
      <c r="B727" s="1" t="s">
        <v>290</v>
      </c>
      <c r="C727" s="1">
        <v>13.186999999999999</v>
      </c>
      <c r="D727" s="1">
        <v>0.06</v>
      </c>
      <c r="E727" s="1" t="s">
        <v>1</v>
      </c>
      <c r="F727" s="1" t="s">
        <v>101</v>
      </c>
    </row>
    <row r="728" spans="1:6" ht="17.25" customHeight="1" x14ac:dyDescent="0.25">
      <c r="A728" s="1">
        <v>2458479.21105</v>
      </c>
      <c r="B728" s="1" t="s">
        <v>290</v>
      </c>
      <c r="C728" s="1">
        <v>13.103999999999999</v>
      </c>
      <c r="D728" s="1">
        <v>5.6000000000000001E-2</v>
      </c>
      <c r="E728" s="1" t="s">
        <v>1</v>
      </c>
      <c r="F728" s="1" t="s">
        <v>101</v>
      </c>
    </row>
    <row r="729" spans="1:6" ht="17.25" customHeight="1" x14ac:dyDescent="0.25">
      <c r="A729" s="1">
        <v>2458487.2130700001</v>
      </c>
      <c r="B729" s="1" t="s">
        <v>291</v>
      </c>
      <c r="C729" s="1">
        <v>13.237</v>
      </c>
      <c r="D729" s="1">
        <v>5.5E-2</v>
      </c>
      <c r="E729" s="1" t="s">
        <v>1</v>
      </c>
      <c r="F729" s="1" t="s">
        <v>101</v>
      </c>
    </row>
    <row r="730" spans="1:6" ht="17.25" customHeight="1" x14ac:dyDescent="0.25">
      <c r="A730" s="1">
        <v>2458487.2133800001</v>
      </c>
      <c r="B730" s="1" t="s">
        <v>291</v>
      </c>
      <c r="C730" s="1">
        <v>13.175000000000001</v>
      </c>
      <c r="D730" s="1">
        <v>5.0999999999999997E-2</v>
      </c>
      <c r="E730" s="1" t="s">
        <v>1</v>
      </c>
      <c r="F730" s="1" t="s">
        <v>101</v>
      </c>
    </row>
    <row r="731" spans="1:6" ht="17.25" customHeight="1" x14ac:dyDescent="0.25">
      <c r="A731" s="1">
        <v>2458577.62163</v>
      </c>
      <c r="B731" s="1" t="s">
        <v>310</v>
      </c>
      <c r="C731" s="1">
        <v>13.736000000000001</v>
      </c>
      <c r="D731" s="1">
        <v>2.8000000000000001E-2</v>
      </c>
      <c r="E731" s="1" t="s">
        <v>1</v>
      </c>
      <c r="F731" s="1" t="s">
        <v>101</v>
      </c>
    </row>
    <row r="732" spans="1:6" ht="17.25" customHeight="1" x14ac:dyDescent="0.25">
      <c r="A732" s="1">
        <v>2458577.62194</v>
      </c>
      <c r="B732" s="1" t="s">
        <v>310</v>
      </c>
      <c r="C732" s="1">
        <v>13.691000000000001</v>
      </c>
      <c r="D732" s="1">
        <v>2.5999999999999999E-2</v>
      </c>
      <c r="E732" s="1" t="s">
        <v>1</v>
      </c>
      <c r="F732" s="1" t="s">
        <v>101</v>
      </c>
    </row>
    <row r="733" spans="1:6" ht="17.25" customHeight="1" x14ac:dyDescent="0.25">
      <c r="A733" s="1">
        <v>2458597.6404300001</v>
      </c>
      <c r="B733" s="1" t="s">
        <v>311</v>
      </c>
      <c r="C733" s="1">
        <v>13.946</v>
      </c>
      <c r="D733" s="1">
        <v>6.9000000000000006E-2</v>
      </c>
      <c r="E733" s="1" t="s">
        <v>1</v>
      </c>
      <c r="F733" s="1" t="s">
        <v>101</v>
      </c>
    </row>
    <row r="734" spans="1:6" ht="17.25" customHeight="1" x14ac:dyDescent="0.25">
      <c r="A734" s="1">
        <v>2458597.6407400002</v>
      </c>
      <c r="B734" s="1" t="s">
        <v>311</v>
      </c>
      <c r="C734" s="1">
        <v>13.912000000000001</v>
      </c>
      <c r="D734" s="1">
        <v>6.6000000000000003E-2</v>
      </c>
      <c r="E734" s="1" t="s">
        <v>1</v>
      </c>
      <c r="F734" s="1" t="s">
        <v>101</v>
      </c>
    </row>
    <row r="735" spans="1:6" ht="17.25" customHeight="1" x14ac:dyDescent="0.25">
      <c r="A735" s="1">
        <v>2458643.44973</v>
      </c>
      <c r="B735" s="1" t="s">
        <v>312</v>
      </c>
      <c r="C735" s="1">
        <v>14.003</v>
      </c>
      <c r="D735" s="1">
        <v>6.6000000000000003E-2</v>
      </c>
      <c r="E735" s="1" t="s">
        <v>1</v>
      </c>
      <c r="F735" s="1" t="s">
        <v>101</v>
      </c>
    </row>
    <row r="736" spans="1:6" ht="17.25" customHeight="1" x14ac:dyDescent="0.25">
      <c r="A736" s="1">
        <v>2458643.4500500001</v>
      </c>
      <c r="B736" s="1" t="s">
        <v>312</v>
      </c>
      <c r="C736" s="1">
        <v>14.105</v>
      </c>
      <c r="D736" s="1">
        <v>8.3000000000000004E-2</v>
      </c>
      <c r="E736" s="1" t="s">
        <v>1</v>
      </c>
      <c r="F736" s="1" t="s">
        <v>101</v>
      </c>
    </row>
    <row r="737" spans="1:6" ht="17.25" customHeight="1" x14ac:dyDescent="0.25">
      <c r="A737" s="1">
        <v>2458649.7823999999</v>
      </c>
      <c r="B737" s="1" t="s">
        <v>313</v>
      </c>
      <c r="C737" s="1">
        <v>13.914999999999999</v>
      </c>
      <c r="D737" s="1">
        <v>1.9E-2</v>
      </c>
      <c r="E737" s="1" t="s">
        <v>1</v>
      </c>
      <c r="F737" s="1" t="s">
        <v>131</v>
      </c>
    </row>
    <row r="738" spans="1:6" ht="17.25" customHeight="1" x14ac:dyDescent="0.25">
      <c r="A738" s="1">
        <v>2458654.7356599998</v>
      </c>
      <c r="B738" s="1" t="s">
        <v>314</v>
      </c>
      <c r="C738" s="1">
        <v>13.852</v>
      </c>
      <c r="D738" s="1">
        <v>8.4000000000000005E-2</v>
      </c>
      <c r="E738" s="1" t="s">
        <v>1</v>
      </c>
      <c r="F738" s="1" t="s">
        <v>131</v>
      </c>
    </row>
    <row r="739" spans="1:6" ht="17.25" customHeight="1" x14ac:dyDescent="0.25">
      <c r="A739" s="1">
        <v>2458663.4421199998</v>
      </c>
      <c r="B739" s="1" t="s">
        <v>315</v>
      </c>
      <c r="C739" s="1">
        <v>13.877000000000001</v>
      </c>
      <c r="D739" s="1">
        <v>0.03</v>
      </c>
      <c r="E739" s="1" t="s">
        <v>1</v>
      </c>
      <c r="F739" s="1" t="s">
        <v>101</v>
      </c>
    </row>
    <row r="740" spans="1:6" ht="17.25" customHeight="1" x14ac:dyDescent="0.25">
      <c r="A740" s="1">
        <v>2458663.4424399999</v>
      </c>
      <c r="B740" s="1" t="s">
        <v>315</v>
      </c>
      <c r="C740" s="1">
        <v>13.831</v>
      </c>
      <c r="D740" s="1">
        <v>0.03</v>
      </c>
      <c r="E740" s="1" t="s">
        <v>1</v>
      </c>
      <c r="F740" s="1" t="s">
        <v>101</v>
      </c>
    </row>
    <row r="741" spans="1:6" ht="17.25" customHeight="1" x14ac:dyDescent="0.25">
      <c r="A741" s="1">
        <v>2458664.4152799998</v>
      </c>
      <c r="B741" s="1" t="s">
        <v>316</v>
      </c>
      <c r="C741" s="1">
        <v>13.87</v>
      </c>
      <c r="D741" s="1">
        <v>2.5000000000000001E-2</v>
      </c>
      <c r="E741" s="1" t="s">
        <v>1</v>
      </c>
      <c r="F741" s="1" t="s">
        <v>5</v>
      </c>
    </row>
    <row r="742" spans="1:6" ht="17.25" customHeight="1" x14ac:dyDescent="0.25">
      <c r="A742" s="1">
        <v>2458665.7539599999</v>
      </c>
      <c r="B742" s="1" t="s">
        <v>317</v>
      </c>
      <c r="C742" s="1">
        <v>13.835000000000001</v>
      </c>
      <c r="D742" s="1">
        <v>7.8E-2</v>
      </c>
      <c r="E742" s="1" t="s">
        <v>1</v>
      </c>
      <c r="F742" s="1" t="s">
        <v>131</v>
      </c>
    </row>
    <row r="743" spans="1:6" ht="17.25" customHeight="1" x14ac:dyDescent="0.25">
      <c r="A743" s="1">
        <v>2458672.4241300002</v>
      </c>
      <c r="B743" s="1" t="s">
        <v>318</v>
      </c>
      <c r="C743" s="1">
        <v>13.868</v>
      </c>
      <c r="D743" s="1">
        <v>3.5000000000000003E-2</v>
      </c>
      <c r="E743" s="1" t="s">
        <v>1</v>
      </c>
      <c r="F743" s="1" t="s">
        <v>101</v>
      </c>
    </row>
    <row r="744" spans="1:6" ht="17.25" customHeight="1" x14ac:dyDescent="0.25">
      <c r="A744" s="1">
        <v>2458672.4244400002</v>
      </c>
      <c r="B744" s="1" t="s">
        <v>318</v>
      </c>
      <c r="C744" s="1">
        <v>13.897</v>
      </c>
      <c r="D744" s="1">
        <v>3.5000000000000003E-2</v>
      </c>
      <c r="E744" s="1" t="s">
        <v>1</v>
      </c>
      <c r="F744" s="1" t="s">
        <v>101</v>
      </c>
    </row>
    <row r="745" spans="1:6" ht="17.25" customHeight="1" x14ac:dyDescent="0.25">
      <c r="A745" s="1">
        <v>2458677.7314800001</v>
      </c>
      <c r="B745" s="1" t="s">
        <v>319</v>
      </c>
      <c r="C745" s="1">
        <v>13.827999999999999</v>
      </c>
      <c r="D745" s="1">
        <v>2.7E-2</v>
      </c>
      <c r="E745" s="1" t="s">
        <v>1</v>
      </c>
      <c r="F745" s="1" t="s">
        <v>131</v>
      </c>
    </row>
    <row r="746" spans="1:6" ht="17.25" customHeight="1" x14ac:dyDescent="0.25">
      <c r="A746" s="1">
        <v>2458681.3988100002</v>
      </c>
      <c r="B746" s="1" t="s">
        <v>320</v>
      </c>
      <c r="C746" s="1">
        <v>13.968999999999999</v>
      </c>
      <c r="D746" s="1">
        <v>4.4999999999999998E-2</v>
      </c>
      <c r="E746" s="1" t="s">
        <v>1</v>
      </c>
      <c r="F746" s="1" t="s">
        <v>101</v>
      </c>
    </row>
    <row r="747" spans="1:6" ht="17.25" customHeight="1" x14ac:dyDescent="0.25">
      <c r="A747" s="1">
        <v>2458681.3991200002</v>
      </c>
      <c r="B747" s="1" t="s">
        <v>320</v>
      </c>
      <c r="C747" s="1">
        <v>13.836</v>
      </c>
      <c r="D747" s="1">
        <v>4.3999999999999997E-2</v>
      </c>
      <c r="E747" s="1" t="s">
        <v>1</v>
      </c>
      <c r="F747" s="1" t="s">
        <v>101</v>
      </c>
    </row>
    <row r="748" spans="1:6" ht="17.25" customHeight="1" x14ac:dyDescent="0.25">
      <c r="A748" s="1">
        <v>2458685.43199</v>
      </c>
      <c r="B748" s="1" t="s">
        <v>321</v>
      </c>
      <c r="C748" s="1">
        <v>13.797000000000001</v>
      </c>
      <c r="D748" s="1">
        <v>2.8000000000000001E-2</v>
      </c>
      <c r="E748" s="1" t="s">
        <v>1</v>
      </c>
      <c r="F748" s="1" t="s">
        <v>101</v>
      </c>
    </row>
    <row r="749" spans="1:6" ht="17.25" customHeight="1" x14ac:dyDescent="0.25">
      <c r="A749" s="1">
        <v>2458685.4323</v>
      </c>
      <c r="B749" s="1" t="s">
        <v>321</v>
      </c>
      <c r="C749" s="1">
        <v>13.891999999999999</v>
      </c>
      <c r="D749" s="1">
        <v>3.1E-2</v>
      </c>
      <c r="E749" s="1" t="s">
        <v>1</v>
      </c>
      <c r="F749" s="1" t="s">
        <v>101</v>
      </c>
    </row>
    <row r="750" spans="1:6" ht="17.25" customHeight="1" x14ac:dyDescent="0.25">
      <c r="A750" s="1">
        <v>2458685.71453</v>
      </c>
      <c r="B750" s="1" t="s">
        <v>322</v>
      </c>
      <c r="C750" s="1">
        <v>13.766999999999999</v>
      </c>
      <c r="D750" s="1">
        <v>2.7E-2</v>
      </c>
      <c r="E750" s="1" t="s">
        <v>1</v>
      </c>
      <c r="F750" s="1" t="s">
        <v>131</v>
      </c>
    </row>
    <row r="751" spans="1:6" ht="17.25" customHeight="1" x14ac:dyDescent="0.25">
      <c r="A751" s="1">
        <v>2458687.4005300002</v>
      </c>
      <c r="B751" s="1" t="s">
        <v>323</v>
      </c>
      <c r="C751" s="1">
        <v>13.757999999999999</v>
      </c>
      <c r="D751" s="1">
        <v>3.1E-2</v>
      </c>
      <c r="E751" s="1" t="s">
        <v>1</v>
      </c>
      <c r="F751" s="1" t="s">
        <v>101</v>
      </c>
    </row>
    <row r="752" spans="1:6" ht="17.25" customHeight="1" x14ac:dyDescent="0.25">
      <c r="A752" s="1">
        <v>2458687.4008399998</v>
      </c>
      <c r="B752" s="1" t="s">
        <v>323</v>
      </c>
      <c r="C752" s="1">
        <v>13.816000000000001</v>
      </c>
      <c r="D752" s="1">
        <v>3.2000000000000001E-2</v>
      </c>
      <c r="E752" s="1" t="s">
        <v>1</v>
      </c>
      <c r="F752" s="1" t="s">
        <v>101</v>
      </c>
    </row>
    <row r="753" spans="1:6" ht="17.25" customHeight="1" x14ac:dyDescent="0.25">
      <c r="A753" s="1">
        <v>2458688.39475</v>
      </c>
      <c r="B753" s="1" t="s">
        <v>324</v>
      </c>
      <c r="C753" s="1">
        <v>13.8</v>
      </c>
      <c r="D753" s="1">
        <v>4.2000000000000003E-2</v>
      </c>
      <c r="E753" s="1" t="s">
        <v>1</v>
      </c>
      <c r="F753" s="1" t="s">
        <v>101</v>
      </c>
    </row>
    <row r="754" spans="1:6" ht="17.25" customHeight="1" x14ac:dyDescent="0.25">
      <c r="A754" s="1">
        <v>2458688.39506</v>
      </c>
      <c r="B754" s="1" t="s">
        <v>324</v>
      </c>
      <c r="C754" s="1">
        <v>13.897</v>
      </c>
      <c r="D754" s="1">
        <v>4.3999999999999997E-2</v>
      </c>
      <c r="E754" s="1" t="s">
        <v>1</v>
      </c>
      <c r="F754" s="1" t="s">
        <v>101</v>
      </c>
    </row>
    <row r="755" spans="1:6" ht="17.25" customHeight="1" x14ac:dyDescent="0.25">
      <c r="A755" s="1">
        <v>2458690.5090299998</v>
      </c>
      <c r="B755" s="1" t="s">
        <v>325</v>
      </c>
      <c r="C755" s="1">
        <v>13.8</v>
      </c>
      <c r="D755" s="1">
        <v>2.5000000000000001E-2</v>
      </c>
      <c r="E755" s="1" t="s">
        <v>1</v>
      </c>
      <c r="F755" s="1" t="s">
        <v>5</v>
      </c>
    </row>
    <row r="756" spans="1:6" ht="17.25" customHeight="1" x14ac:dyDescent="0.25">
      <c r="A756" s="1">
        <v>2458693.39426</v>
      </c>
      <c r="B756" s="1" t="s">
        <v>326</v>
      </c>
      <c r="C756" s="1">
        <v>13.763999999999999</v>
      </c>
      <c r="D756" s="1">
        <v>3.1E-2</v>
      </c>
      <c r="E756" s="1" t="s">
        <v>1</v>
      </c>
      <c r="F756" s="1" t="s">
        <v>101</v>
      </c>
    </row>
    <row r="757" spans="1:6" ht="17.25" customHeight="1" x14ac:dyDescent="0.25">
      <c r="A757" s="1">
        <v>2458693.39457</v>
      </c>
      <c r="B757" s="1" t="s">
        <v>326</v>
      </c>
      <c r="C757" s="1">
        <v>13.757999999999999</v>
      </c>
      <c r="D757" s="1">
        <v>0.03</v>
      </c>
      <c r="E757" s="1" t="s">
        <v>1</v>
      </c>
      <c r="F757" s="1" t="s">
        <v>101</v>
      </c>
    </row>
    <row r="758" spans="1:6" ht="17.25" customHeight="1" x14ac:dyDescent="0.25">
      <c r="A758" s="1">
        <v>2458694.3867700002</v>
      </c>
      <c r="B758" s="1" t="s">
        <v>327</v>
      </c>
      <c r="C758" s="1">
        <v>13.707000000000001</v>
      </c>
      <c r="D758" s="1">
        <v>3.1E-2</v>
      </c>
      <c r="E758" s="1" t="s">
        <v>1</v>
      </c>
      <c r="F758" s="1" t="s">
        <v>101</v>
      </c>
    </row>
    <row r="759" spans="1:6" ht="17.25" customHeight="1" x14ac:dyDescent="0.25">
      <c r="A759" s="1">
        <v>2458694.3870799998</v>
      </c>
      <c r="B759" s="1" t="s">
        <v>327</v>
      </c>
      <c r="C759" s="1">
        <v>13.782999999999999</v>
      </c>
      <c r="D759" s="1">
        <v>3.3000000000000002E-2</v>
      </c>
      <c r="E759" s="1" t="s">
        <v>1</v>
      </c>
      <c r="F759" s="1" t="s">
        <v>101</v>
      </c>
    </row>
    <row r="760" spans="1:6" ht="17.25" customHeight="1" x14ac:dyDescent="0.25">
      <c r="A760" s="1">
        <v>2458697.3937400002</v>
      </c>
      <c r="B760" s="1" t="s">
        <v>328</v>
      </c>
      <c r="C760" s="1">
        <v>13.742000000000001</v>
      </c>
      <c r="D760" s="1">
        <v>3.6999999999999998E-2</v>
      </c>
      <c r="E760" s="1" t="s">
        <v>1</v>
      </c>
      <c r="F760" s="1" t="s">
        <v>101</v>
      </c>
    </row>
    <row r="761" spans="1:6" ht="17.25" customHeight="1" x14ac:dyDescent="0.25">
      <c r="A761" s="1">
        <v>2458697.3940499998</v>
      </c>
      <c r="B761" s="1" t="s">
        <v>328</v>
      </c>
      <c r="C761" s="1">
        <v>13.712999999999999</v>
      </c>
      <c r="D761" s="1">
        <v>3.5000000000000003E-2</v>
      </c>
      <c r="E761" s="1" t="s">
        <v>1</v>
      </c>
      <c r="F761" s="1" t="s">
        <v>101</v>
      </c>
    </row>
    <row r="762" spans="1:6" ht="17.25" customHeight="1" x14ac:dyDescent="0.25">
      <c r="A762" s="1">
        <v>2458698.3824300002</v>
      </c>
      <c r="B762" s="1" t="s">
        <v>329</v>
      </c>
      <c r="C762" s="1">
        <v>13.73</v>
      </c>
      <c r="D762" s="1">
        <v>3.2000000000000001E-2</v>
      </c>
      <c r="E762" s="1" t="s">
        <v>1</v>
      </c>
      <c r="F762" s="1" t="s">
        <v>101</v>
      </c>
    </row>
    <row r="763" spans="1:6" ht="17.25" customHeight="1" x14ac:dyDescent="0.25">
      <c r="A763" s="1">
        <v>2458698.3827399998</v>
      </c>
      <c r="B763" s="1" t="s">
        <v>329</v>
      </c>
      <c r="C763" s="1">
        <v>13.83</v>
      </c>
      <c r="D763" s="1">
        <v>3.3000000000000002E-2</v>
      </c>
      <c r="E763" s="1" t="s">
        <v>1</v>
      </c>
      <c r="F763" s="1" t="s">
        <v>101</v>
      </c>
    </row>
    <row r="764" spans="1:6" ht="17.25" customHeight="1" x14ac:dyDescent="0.25">
      <c r="A764" s="1">
        <v>2458699.4000900001</v>
      </c>
      <c r="B764" s="1" t="s">
        <v>330</v>
      </c>
      <c r="C764" s="1">
        <v>13.762</v>
      </c>
      <c r="D764" s="1">
        <v>3.9E-2</v>
      </c>
      <c r="E764" s="1" t="s">
        <v>1</v>
      </c>
      <c r="F764" s="1" t="s">
        <v>101</v>
      </c>
    </row>
    <row r="765" spans="1:6" ht="17.25" customHeight="1" x14ac:dyDescent="0.25">
      <c r="A765" s="1">
        <v>2458699.4004099998</v>
      </c>
      <c r="B765" s="1" t="s">
        <v>330</v>
      </c>
      <c r="C765" s="1">
        <v>13.813000000000001</v>
      </c>
      <c r="D765" s="1">
        <v>3.9E-2</v>
      </c>
      <c r="E765" s="1" t="s">
        <v>1</v>
      </c>
      <c r="F765" s="1" t="s">
        <v>101</v>
      </c>
    </row>
    <row r="766" spans="1:6" ht="17.25" customHeight="1" x14ac:dyDescent="0.25">
      <c r="A766" s="1">
        <v>2458703.37476</v>
      </c>
      <c r="B766" s="1" t="s">
        <v>331</v>
      </c>
      <c r="C766" s="1">
        <v>13.737</v>
      </c>
      <c r="D766" s="1">
        <v>3.2000000000000001E-2</v>
      </c>
      <c r="E766" s="1" t="s">
        <v>1</v>
      </c>
      <c r="F766" s="1" t="s">
        <v>101</v>
      </c>
    </row>
    <row r="767" spans="1:6" ht="17.25" customHeight="1" x14ac:dyDescent="0.25">
      <c r="A767" s="1">
        <v>2458703.3750700001</v>
      </c>
      <c r="B767" s="1" t="s">
        <v>331</v>
      </c>
      <c r="C767" s="1">
        <v>13.692</v>
      </c>
      <c r="D767" s="1">
        <v>0.03</v>
      </c>
      <c r="E767" s="1" t="s">
        <v>1</v>
      </c>
      <c r="F767" s="1" t="s">
        <v>101</v>
      </c>
    </row>
    <row r="768" spans="1:6" ht="17.25" customHeight="1" x14ac:dyDescent="0.25">
      <c r="A768" s="1">
        <v>2458706.37567</v>
      </c>
      <c r="B768" s="1" t="s">
        <v>332</v>
      </c>
      <c r="C768" s="1">
        <v>13.701000000000001</v>
      </c>
      <c r="D768" s="1">
        <v>3.7999999999999999E-2</v>
      </c>
      <c r="E768" s="1" t="s">
        <v>1</v>
      </c>
      <c r="F768" s="1" t="s">
        <v>101</v>
      </c>
    </row>
    <row r="769" spans="1:6" ht="17.25" customHeight="1" x14ac:dyDescent="0.25">
      <c r="A769" s="1">
        <v>2458706.37598</v>
      </c>
      <c r="B769" s="1" t="s">
        <v>332</v>
      </c>
      <c r="C769" s="1">
        <v>13.701000000000001</v>
      </c>
      <c r="D769" s="1">
        <v>3.7999999999999999E-2</v>
      </c>
      <c r="E769" s="1" t="s">
        <v>1</v>
      </c>
      <c r="F769" s="1" t="s">
        <v>101</v>
      </c>
    </row>
    <row r="770" spans="1:6" ht="17.25" customHeight="1" x14ac:dyDescent="0.25">
      <c r="A770" s="1">
        <v>2458707.7013900001</v>
      </c>
      <c r="B770" s="1" t="s">
        <v>333</v>
      </c>
      <c r="C770" s="1">
        <v>13.601000000000001</v>
      </c>
      <c r="D770" s="1">
        <v>1.7000000000000001E-2</v>
      </c>
      <c r="E770" s="1" t="s">
        <v>1</v>
      </c>
      <c r="F770" s="1" t="s">
        <v>131</v>
      </c>
    </row>
    <row r="771" spans="1:6" ht="17.25" customHeight="1" x14ac:dyDescent="0.25">
      <c r="A771" s="1">
        <v>2458708.3750700001</v>
      </c>
      <c r="B771" s="1" t="s">
        <v>333</v>
      </c>
      <c r="C771" s="1">
        <v>13.714</v>
      </c>
      <c r="D771" s="1">
        <v>4.2999999999999997E-2</v>
      </c>
      <c r="E771" s="1" t="s">
        <v>1</v>
      </c>
      <c r="F771" s="1" t="s">
        <v>101</v>
      </c>
    </row>
    <row r="772" spans="1:6" ht="17.25" customHeight="1" x14ac:dyDescent="0.25">
      <c r="A772" s="1">
        <v>2458708.3753800001</v>
      </c>
      <c r="B772" s="1" t="s">
        <v>333</v>
      </c>
      <c r="C772" s="1">
        <v>13.632</v>
      </c>
      <c r="D772" s="1">
        <v>3.9E-2</v>
      </c>
      <c r="E772" s="1" t="s">
        <v>1</v>
      </c>
      <c r="F772" s="1" t="s">
        <v>101</v>
      </c>
    </row>
    <row r="773" spans="1:6" ht="17.25" customHeight="1" x14ac:dyDescent="0.25">
      <c r="A773" s="1">
        <v>2458714.3640299998</v>
      </c>
      <c r="B773" s="1" t="s">
        <v>334</v>
      </c>
      <c r="C773" s="1">
        <v>13.688000000000001</v>
      </c>
      <c r="D773" s="1">
        <v>2.5999999999999999E-2</v>
      </c>
      <c r="E773" s="1" t="s">
        <v>1</v>
      </c>
      <c r="F773" s="1" t="s">
        <v>101</v>
      </c>
    </row>
    <row r="774" spans="1:6" ht="17.25" customHeight="1" x14ac:dyDescent="0.25">
      <c r="A774" s="1">
        <v>2458714.3643399999</v>
      </c>
      <c r="B774" s="1" t="s">
        <v>334</v>
      </c>
      <c r="C774" s="1">
        <v>13.664</v>
      </c>
      <c r="D774" s="1">
        <v>2.5000000000000001E-2</v>
      </c>
      <c r="E774" s="1" t="s">
        <v>1</v>
      </c>
      <c r="F774" s="1" t="s">
        <v>101</v>
      </c>
    </row>
    <row r="775" spans="1:6" ht="17.25" customHeight="1" x14ac:dyDescent="0.25">
      <c r="A775" s="1">
        <v>2458715.36735</v>
      </c>
      <c r="B775" s="1" t="s">
        <v>335</v>
      </c>
      <c r="C775" s="1">
        <v>13.725</v>
      </c>
      <c r="D775" s="1">
        <v>2.7E-2</v>
      </c>
      <c r="E775" s="1" t="s">
        <v>1</v>
      </c>
      <c r="F775" s="1" t="s">
        <v>101</v>
      </c>
    </row>
    <row r="776" spans="1:6" ht="17.25" customHeight="1" x14ac:dyDescent="0.25">
      <c r="A776" s="1">
        <v>2458715.36766</v>
      </c>
      <c r="B776" s="1" t="s">
        <v>335</v>
      </c>
      <c r="C776" s="1">
        <v>13.632</v>
      </c>
      <c r="D776" s="1">
        <v>2.3E-2</v>
      </c>
      <c r="E776" s="1" t="s">
        <v>1</v>
      </c>
      <c r="F776" s="1" t="s">
        <v>101</v>
      </c>
    </row>
    <row r="777" spans="1:6" ht="17.25" customHeight="1" x14ac:dyDescent="0.25">
      <c r="A777" s="1">
        <v>2458716.3479200001</v>
      </c>
      <c r="B777" s="1" t="s">
        <v>336</v>
      </c>
      <c r="C777" s="1">
        <v>13.66</v>
      </c>
      <c r="D777" s="1">
        <v>0.02</v>
      </c>
      <c r="E777" s="1" t="s">
        <v>1</v>
      </c>
      <c r="F777" s="1" t="s">
        <v>5</v>
      </c>
    </row>
    <row r="778" spans="1:6" ht="17.25" customHeight="1" x14ac:dyDescent="0.25">
      <c r="A778" s="1">
        <v>2458717.3642799999</v>
      </c>
      <c r="B778" s="1" t="s">
        <v>337</v>
      </c>
      <c r="C778" s="1">
        <v>13.62</v>
      </c>
      <c r="D778" s="1">
        <v>2.4E-2</v>
      </c>
      <c r="E778" s="1" t="s">
        <v>1</v>
      </c>
      <c r="F778" s="1" t="s">
        <v>101</v>
      </c>
    </row>
    <row r="779" spans="1:6" ht="17.25" customHeight="1" x14ac:dyDescent="0.25">
      <c r="A779" s="1">
        <v>2458717.3645899999</v>
      </c>
      <c r="B779" s="1" t="s">
        <v>337</v>
      </c>
      <c r="C779" s="1">
        <v>13.682</v>
      </c>
      <c r="D779" s="1">
        <v>2.5999999999999999E-2</v>
      </c>
      <c r="E779" s="1" t="s">
        <v>1</v>
      </c>
      <c r="F779" s="1" t="s">
        <v>101</v>
      </c>
    </row>
    <row r="780" spans="1:6" ht="17.25" customHeight="1" x14ac:dyDescent="0.25">
      <c r="A780" s="1">
        <v>2458720.3369900002</v>
      </c>
      <c r="B780" s="1" t="s">
        <v>338</v>
      </c>
      <c r="C780" s="1">
        <v>13.676</v>
      </c>
      <c r="D780" s="1">
        <v>4.3999999999999997E-2</v>
      </c>
      <c r="E780" s="1" t="s">
        <v>1</v>
      </c>
      <c r="F780" s="1" t="s">
        <v>101</v>
      </c>
    </row>
    <row r="781" spans="1:6" ht="17.25" customHeight="1" x14ac:dyDescent="0.25">
      <c r="A781" s="1">
        <v>2458720.3372999998</v>
      </c>
      <c r="B781" s="1" t="s">
        <v>338</v>
      </c>
      <c r="C781" s="1">
        <v>13.669</v>
      </c>
      <c r="D781" s="1">
        <v>4.3999999999999997E-2</v>
      </c>
      <c r="E781" s="1" t="s">
        <v>1</v>
      </c>
      <c r="F781" s="1" t="s">
        <v>101</v>
      </c>
    </row>
    <row r="782" spans="1:6" ht="17.25" customHeight="1" x14ac:dyDescent="0.25">
      <c r="A782" s="1">
        <v>2458721.6719200001</v>
      </c>
      <c r="B782" s="1" t="s">
        <v>339</v>
      </c>
      <c r="C782" s="1">
        <v>13.603999999999999</v>
      </c>
      <c r="D782" s="1">
        <v>5.5E-2</v>
      </c>
      <c r="E782" s="1" t="s">
        <v>1</v>
      </c>
      <c r="F782" s="1" t="s">
        <v>131</v>
      </c>
    </row>
    <row r="783" spans="1:6" ht="17.25" customHeight="1" x14ac:dyDescent="0.25">
      <c r="A783" s="1">
        <v>2458722.3399200002</v>
      </c>
      <c r="B783" s="1" t="s">
        <v>339</v>
      </c>
      <c r="C783" s="1">
        <v>13.64</v>
      </c>
      <c r="D783" s="1">
        <v>4.5999999999999999E-2</v>
      </c>
      <c r="E783" s="1" t="s">
        <v>1</v>
      </c>
      <c r="F783" s="1" t="s">
        <v>101</v>
      </c>
    </row>
    <row r="784" spans="1:6" ht="17.25" customHeight="1" x14ac:dyDescent="0.25">
      <c r="A784" s="1">
        <v>2458722.3402300002</v>
      </c>
      <c r="B784" s="1" t="s">
        <v>339</v>
      </c>
      <c r="C784" s="1">
        <v>13.64</v>
      </c>
      <c r="D784" s="1">
        <v>4.4999999999999998E-2</v>
      </c>
      <c r="E784" s="1" t="s">
        <v>1</v>
      </c>
      <c r="F784" s="1" t="s">
        <v>101</v>
      </c>
    </row>
    <row r="785" spans="1:6" ht="17.25" customHeight="1" x14ac:dyDescent="0.25">
      <c r="A785" s="1">
        <v>2458726.3368500001</v>
      </c>
      <c r="B785" s="1" t="s">
        <v>340</v>
      </c>
      <c r="C785" s="1">
        <v>13.6</v>
      </c>
      <c r="D785" s="1">
        <v>2.3E-2</v>
      </c>
      <c r="E785" s="1" t="s">
        <v>1</v>
      </c>
      <c r="F785" s="1" t="s">
        <v>101</v>
      </c>
    </row>
    <row r="786" spans="1:6" ht="17.25" customHeight="1" x14ac:dyDescent="0.25">
      <c r="A786" s="1">
        <v>2458726.3371600001</v>
      </c>
      <c r="B786" s="1" t="s">
        <v>340</v>
      </c>
      <c r="C786" s="1">
        <v>13.625999999999999</v>
      </c>
      <c r="D786" s="1">
        <v>2.3E-2</v>
      </c>
      <c r="E786" s="1" t="s">
        <v>1</v>
      </c>
      <c r="F786" s="1" t="s">
        <v>101</v>
      </c>
    </row>
    <row r="787" spans="1:6" ht="17.25" customHeight="1" x14ac:dyDescent="0.25">
      <c r="A787" s="1">
        <v>2458727.7861100002</v>
      </c>
      <c r="B787" s="1" t="s">
        <v>341</v>
      </c>
      <c r="C787" s="1">
        <v>13.603</v>
      </c>
      <c r="D787" s="1">
        <v>4.0000000000000001E-3</v>
      </c>
      <c r="E787" s="1" t="s">
        <v>1</v>
      </c>
      <c r="F787" s="1" t="s">
        <v>131</v>
      </c>
    </row>
    <row r="788" spans="1:6" ht="17.25" customHeight="1" x14ac:dyDescent="0.25">
      <c r="A788" s="1">
        <v>2458728.34822</v>
      </c>
      <c r="B788" s="1" t="s">
        <v>341</v>
      </c>
      <c r="C788" s="1">
        <v>13.645</v>
      </c>
      <c r="D788" s="1">
        <v>2.1999999999999999E-2</v>
      </c>
      <c r="E788" s="1" t="s">
        <v>1</v>
      </c>
      <c r="F788" s="1" t="s">
        <v>101</v>
      </c>
    </row>
    <row r="789" spans="1:6" ht="17.25" customHeight="1" x14ac:dyDescent="0.25">
      <c r="A789" s="1">
        <v>2458728.3485300001</v>
      </c>
      <c r="B789" s="1" t="s">
        <v>341</v>
      </c>
      <c r="C789" s="1">
        <v>13.726000000000001</v>
      </c>
      <c r="D789" s="1">
        <v>2.3E-2</v>
      </c>
      <c r="E789" s="1" t="s">
        <v>1</v>
      </c>
      <c r="F789" s="1" t="s">
        <v>101</v>
      </c>
    </row>
    <row r="790" spans="1:6" ht="17.25" customHeight="1" x14ac:dyDescent="0.25">
      <c r="A790" s="1">
        <v>2458731.3215899998</v>
      </c>
      <c r="B790" s="1" t="s">
        <v>342</v>
      </c>
      <c r="C790" s="1">
        <v>13.584</v>
      </c>
      <c r="D790" s="1">
        <v>3.1E-2</v>
      </c>
      <c r="E790" s="1" t="s">
        <v>1</v>
      </c>
      <c r="F790" s="1" t="s">
        <v>101</v>
      </c>
    </row>
    <row r="791" spans="1:6" ht="17.25" customHeight="1" x14ac:dyDescent="0.25">
      <c r="A791" s="1">
        <v>2458731.3219099999</v>
      </c>
      <c r="B791" s="1" t="s">
        <v>342</v>
      </c>
      <c r="C791" s="1">
        <v>13.574999999999999</v>
      </c>
      <c r="D791" s="1">
        <v>0.03</v>
      </c>
      <c r="E791" s="1" t="s">
        <v>1</v>
      </c>
      <c r="F791" s="1" t="s">
        <v>101</v>
      </c>
    </row>
    <row r="792" spans="1:6" ht="17.25" customHeight="1" x14ac:dyDescent="0.25">
      <c r="A792" s="1">
        <v>2458739.6523600002</v>
      </c>
      <c r="B792" s="1" t="s">
        <v>343</v>
      </c>
      <c r="C792" s="1">
        <v>13.615</v>
      </c>
      <c r="D792" s="1">
        <v>2.3E-2</v>
      </c>
      <c r="E792" s="1" t="s">
        <v>1</v>
      </c>
      <c r="F792" s="1" t="s">
        <v>344</v>
      </c>
    </row>
    <row r="793" spans="1:6" ht="17.25" customHeight="1" x14ac:dyDescent="0.25">
      <c r="A793" s="1">
        <v>2458739.7047600001</v>
      </c>
      <c r="B793" s="1" t="s">
        <v>343</v>
      </c>
      <c r="C793" s="1">
        <v>13.606999999999999</v>
      </c>
      <c r="D793" s="1">
        <v>1.6E-2</v>
      </c>
      <c r="E793" s="1" t="s">
        <v>1</v>
      </c>
      <c r="F793" s="1" t="s">
        <v>344</v>
      </c>
    </row>
    <row r="794" spans="1:6" ht="17.25" customHeight="1" x14ac:dyDescent="0.25">
      <c r="A794" s="1">
        <v>2458739.7606299999</v>
      </c>
      <c r="B794" s="1" t="s">
        <v>343</v>
      </c>
      <c r="C794" s="1">
        <v>13.615</v>
      </c>
      <c r="D794" s="1">
        <v>0.01</v>
      </c>
      <c r="E794" s="1" t="s">
        <v>1</v>
      </c>
      <c r="F794" s="1" t="s">
        <v>344</v>
      </c>
    </row>
    <row r="795" spans="1:6" ht="17.25" customHeight="1" x14ac:dyDescent="0.25">
      <c r="A795" s="1">
        <v>2458740.3062800001</v>
      </c>
      <c r="B795" s="1" t="s">
        <v>343</v>
      </c>
      <c r="C795" s="1">
        <v>13.493</v>
      </c>
      <c r="D795" s="1">
        <v>3.2000000000000001E-2</v>
      </c>
      <c r="E795" s="1" t="s">
        <v>1</v>
      </c>
      <c r="F795" s="1" t="s">
        <v>101</v>
      </c>
    </row>
    <row r="796" spans="1:6" ht="17.25" customHeight="1" x14ac:dyDescent="0.25">
      <c r="A796" s="1">
        <v>2458740.3065999998</v>
      </c>
      <c r="B796" s="1" t="s">
        <v>343</v>
      </c>
      <c r="C796" s="1">
        <v>13.510999999999999</v>
      </c>
      <c r="D796" s="1">
        <v>3.1E-2</v>
      </c>
      <c r="E796" s="1" t="s">
        <v>1</v>
      </c>
      <c r="F796" s="1" t="s">
        <v>101</v>
      </c>
    </row>
    <row r="797" spans="1:6" ht="17.25" customHeight="1" x14ac:dyDescent="0.25">
      <c r="A797" s="1">
        <v>2458744.3240200002</v>
      </c>
      <c r="B797" s="1" t="s">
        <v>345</v>
      </c>
      <c r="C797" s="1">
        <v>13.542</v>
      </c>
      <c r="D797" s="1">
        <v>2.1000000000000001E-2</v>
      </c>
      <c r="E797" s="1" t="s">
        <v>1</v>
      </c>
      <c r="F797" s="1" t="s">
        <v>101</v>
      </c>
    </row>
    <row r="798" spans="1:6" ht="17.25" customHeight="1" x14ac:dyDescent="0.25">
      <c r="A798" s="1">
        <v>2458744.3243300002</v>
      </c>
      <c r="B798" s="1" t="s">
        <v>345</v>
      </c>
      <c r="C798" s="1">
        <v>13.557</v>
      </c>
      <c r="D798" s="1">
        <v>2.1999999999999999E-2</v>
      </c>
      <c r="E798" s="1" t="s">
        <v>1</v>
      </c>
      <c r="F798" s="1" t="s">
        <v>101</v>
      </c>
    </row>
    <row r="799" spans="1:6" ht="17.25" customHeight="1" x14ac:dyDescent="0.25">
      <c r="A799" s="1">
        <v>2458745.3123400002</v>
      </c>
      <c r="B799" s="1" t="s">
        <v>346</v>
      </c>
      <c r="C799" s="1">
        <v>13.491</v>
      </c>
      <c r="D799" s="1">
        <v>0.02</v>
      </c>
      <c r="E799" s="1" t="s">
        <v>1</v>
      </c>
      <c r="F799" s="1" t="s">
        <v>101</v>
      </c>
    </row>
    <row r="800" spans="1:6" ht="17.25" customHeight="1" x14ac:dyDescent="0.25">
      <c r="A800" s="1">
        <v>2458745.3126500002</v>
      </c>
      <c r="B800" s="1" t="s">
        <v>346</v>
      </c>
      <c r="C800" s="1">
        <v>13.528</v>
      </c>
      <c r="D800" s="1">
        <v>1.9E-2</v>
      </c>
      <c r="E800" s="1" t="s">
        <v>1</v>
      </c>
      <c r="F800" s="1" t="s">
        <v>101</v>
      </c>
    </row>
    <row r="801" spans="1:6" ht="17.25" customHeight="1" x14ac:dyDescent="0.25">
      <c r="A801" s="1">
        <v>2458747.2906300002</v>
      </c>
      <c r="B801" s="1" t="s">
        <v>347</v>
      </c>
      <c r="C801" s="1">
        <v>13.472</v>
      </c>
      <c r="D801" s="1">
        <v>3.7999999999999999E-2</v>
      </c>
      <c r="E801" s="1" t="s">
        <v>1</v>
      </c>
      <c r="F801" s="1" t="s">
        <v>101</v>
      </c>
    </row>
    <row r="802" spans="1:6" ht="17.25" customHeight="1" x14ac:dyDescent="0.25">
      <c r="A802" s="1">
        <v>2458747.2909400002</v>
      </c>
      <c r="B802" s="1" t="s">
        <v>347</v>
      </c>
      <c r="C802" s="1">
        <v>13.566000000000001</v>
      </c>
      <c r="D802" s="1">
        <v>4.3999999999999997E-2</v>
      </c>
      <c r="E802" s="1" t="s">
        <v>1</v>
      </c>
      <c r="F802" s="1" t="s">
        <v>101</v>
      </c>
    </row>
    <row r="803" spans="1:6" ht="17.25" customHeight="1" x14ac:dyDescent="0.25">
      <c r="A803" s="1">
        <v>2458747.69563</v>
      </c>
      <c r="B803" s="1" t="s">
        <v>348</v>
      </c>
      <c r="C803" s="1">
        <v>13.59</v>
      </c>
      <c r="D803" s="1">
        <v>1.0999999999999999E-2</v>
      </c>
      <c r="E803" s="1" t="s">
        <v>1</v>
      </c>
      <c r="F803" s="1" t="s">
        <v>344</v>
      </c>
    </row>
    <row r="804" spans="1:6" ht="17.25" customHeight="1" x14ac:dyDescent="0.25">
      <c r="A804" s="1">
        <v>2458748.2513899999</v>
      </c>
      <c r="B804" s="1" t="s">
        <v>348</v>
      </c>
      <c r="C804" s="1">
        <v>13.53</v>
      </c>
      <c r="D804" s="1">
        <v>2.5000000000000001E-2</v>
      </c>
      <c r="E804" s="1" t="s">
        <v>1</v>
      </c>
      <c r="F804" s="1" t="s">
        <v>5</v>
      </c>
    </row>
    <row r="805" spans="1:6" ht="17.25" customHeight="1" x14ac:dyDescent="0.25">
      <c r="A805" s="1">
        <v>2458759.3125700001</v>
      </c>
      <c r="B805" s="1" t="s">
        <v>351</v>
      </c>
      <c r="C805" s="1">
        <v>13.467000000000001</v>
      </c>
      <c r="D805" s="1">
        <v>1.9E-2</v>
      </c>
      <c r="E805" s="1" t="s">
        <v>1</v>
      </c>
      <c r="F805" s="1" t="s">
        <v>101</v>
      </c>
    </row>
    <row r="806" spans="1:6" ht="17.25" customHeight="1" x14ac:dyDescent="0.25">
      <c r="A806" s="1">
        <v>2458759.3128900002</v>
      </c>
      <c r="B806" s="1" t="s">
        <v>351</v>
      </c>
      <c r="C806" s="1">
        <v>13.432</v>
      </c>
      <c r="D806" s="1">
        <v>1.9E-2</v>
      </c>
      <c r="E806" s="1" t="s">
        <v>1</v>
      </c>
      <c r="F806" s="1" t="s">
        <v>101</v>
      </c>
    </row>
    <row r="807" spans="1:6" ht="17.25" customHeight="1" x14ac:dyDescent="0.25">
      <c r="A807" s="1">
        <v>2458761.2957899999</v>
      </c>
      <c r="B807" s="1" t="s">
        <v>352</v>
      </c>
      <c r="C807" s="1">
        <v>13.414999999999999</v>
      </c>
      <c r="D807" s="1">
        <v>2.1999999999999999E-2</v>
      </c>
      <c r="E807" s="1" t="s">
        <v>1</v>
      </c>
      <c r="F807" s="1" t="s">
        <v>101</v>
      </c>
    </row>
    <row r="808" spans="1:6" ht="17.25" customHeight="1" x14ac:dyDescent="0.25">
      <c r="A808" s="1">
        <v>2458761.29611</v>
      </c>
      <c r="B808" s="1" t="s">
        <v>352</v>
      </c>
      <c r="C808" s="1">
        <v>13.481999999999999</v>
      </c>
      <c r="D808" s="1">
        <v>2.3E-2</v>
      </c>
      <c r="E808" s="1" t="s">
        <v>1</v>
      </c>
      <c r="F808" s="1" t="s">
        <v>101</v>
      </c>
    </row>
    <row r="809" spans="1:6" ht="17.25" customHeight="1" x14ac:dyDescent="0.25">
      <c r="A809" s="1">
        <v>2458762.64634</v>
      </c>
      <c r="B809" s="1" t="s">
        <v>353</v>
      </c>
      <c r="C809" s="1">
        <v>13.372999999999999</v>
      </c>
      <c r="D809" s="1">
        <v>3.3000000000000002E-2</v>
      </c>
      <c r="E809" s="1" t="s">
        <v>1</v>
      </c>
      <c r="F809" s="1" t="s">
        <v>131</v>
      </c>
    </row>
    <row r="810" spans="1:6" ht="17.25" customHeight="1" x14ac:dyDescent="0.25">
      <c r="A810" s="1">
        <v>2458765.2634299998</v>
      </c>
      <c r="B810" s="1" t="s">
        <v>354</v>
      </c>
      <c r="C810" s="1">
        <v>13.412000000000001</v>
      </c>
      <c r="D810" s="1">
        <v>3.5000000000000003E-2</v>
      </c>
      <c r="E810" s="1" t="s">
        <v>1</v>
      </c>
      <c r="F810" s="1" t="s">
        <v>101</v>
      </c>
    </row>
    <row r="811" spans="1:6" ht="17.25" customHeight="1" x14ac:dyDescent="0.25">
      <c r="A811" s="1">
        <v>2458765.2637399998</v>
      </c>
      <c r="B811" s="1" t="s">
        <v>354</v>
      </c>
      <c r="C811" s="1">
        <v>13.398999999999999</v>
      </c>
      <c r="D811" s="1">
        <v>3.5000000000000003E-2</v>
      </c>
      <c r="E811" s="1" t="s">
        <v>1</v>
      </c>
      <c r="F811" s="1" t="s">
        <v>101</v>
      </c>
    </row>
    <row r="812" spans="1:6" ht="17.25" customHeight="1" x14ac:dyDescent="0.25">
      <c r="A812" s="1">
        <v>2458768.69582</v>
      </c>
      <c r="B812" s="1" t="s">
        <v>355</v>
      </c>
      <c r="C812" s="1">
        <v>13.304</v>
      </c>
      <c r="D812" s="1">
        <v>6.2E-2</v>
      </c>
      <c r="E812" s="1" t="s">
        <v>1</v>
      </c>
      <c r="F812" s="1" t="s">
        <v>131</v>
      </c>
    </row>
    <row r="813" spans="1:6" ht="17.25" customHeight="1" x14ac:dyDescent="0.25">
      <c r="A813" s="1">
        <v>2458773.62415</v>
      </c>
      <c r="B813" s="1" t="s">
        <v>356</v>
      </c>
      <c r="C813" s="1">
        <v>13.259</v>
      </c>
      <c r="D813" s="1">
        <v>0.111</v>
      </c>
      <c r="E813" s="1" t="s">
        <v>1</v>
      </c>
      <c r="F813" s="1" t="s">
        <v>131</v>
      </c>
    </row>
    <row r="814" spans="1:6" ht="17.25" customHeight="1" x14ac:dyDescent="0.25">
      <c r="A814" s="1">
        <v>2458776.5971400002</v>
      </c>
      <c r="B814" s="1" t="s">
        <v>357</v>
      </c>
      <c r="C814" s="1">
        <v>13.260999999999999</v>
      </c>
      <c r="D814" s="1">
        <v>1.4E-2</v>
      </c>
      <c r="E814" s="1" t="s">
        <v>1</v>
      </c>
      <c r="F814" s="1" t="s">
        <v>131</v>
      </c>
    </row>
    <row r="815" spans="1:6" ht="17.25" customHeight="1" x14ac:dyDescent="0.25">
      <c r="A815" s="1">
        <v>2458780.5867400002</v>
      </c>
      <c r="B815" s="1" t="s">
        <v>358</v>
      </c>
      <c r="C815" s="1">
        <v>13.246</v>
      </c>
      <c r="D815" s="1">
        <v>0.111</v>
      </c>
      <c r="E815" s="1" t="s">
        <v>1</v>
      </c>
      <c r="F815" s="1" t="s">
        <v>131</v>
      </c>
    </row>
  </sheetData>
  <sortState xmlns:xlrd2="http://schemas.microsoft.com/office/spreadsheetml/2017/richdata2" ref="A1:F2037">
    <sortCondition ref="E1:E2037"/>
    <sortCondition ref="A1:A203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8304B-F458-4EE1-9EE5-A9CA9C50B19B}">
  <sheetPr codeName="Feuil5"/>
  <dimension ref="A1:D197"/>
  <sheetViews>
    <sheetView tabSelected="1" workbookViewId="0">
      <selection activeCell="J4" sqref="J4"/>
    </sheetView>
  </sheetViews>
  <sheetFormatPr baseColWidth="10" defaultRowHeight="15" x14ac:dyDescent="0.25"/>
  <sheetData>
    <row r="1" spans="1:4" x14ac:dyDescent="0.25">
      <c r="A1">
        <v>8341</v>
      </c>
      <c r="C1">
        <v>10.87</v>
      </c>
      <c r="D1">
        <f>+COUNTA(A:A)</f>
        <v>197</v>
      </c>
    </row>
    <row r="2" spans="1:4" x14ac:dyDescent="0.25">
      <c r="A2">
        <v>8342.5</v>
      </c>
      <c r="C2">
        <v>10.981661290322581</v>
      </c>
    </row>
    <row r="3" spans="1:4" x14ac:dyDescent="0.25">
      <c r="A3">
        <v>8343.25</v>
      </c>
      <c r="C3">
        <v>10.869</v>
      </c>
    </row>
    <row r="4" spans="1:4" x14ac:dyDescent="0.25">
      <c r="A4">
        <v>8343.5</v>
      </c>
      <c r="C4">
        <v>11.032744680851064</v>
      </c>
    </row>
    <row r="5" spans="1:4" x14ac:dyDescent="0.25">
      <c r="A5">
        <v>8344.25</v>
      </c>
      <c r="C5">
        <v>10.867532608695649</v>
      </c>
    </row>
    <row r="6" spans="1:4" x14ac:dyDescent="0.25">
      <c r="A6">
        <v>8344.5</v>
      </c>
      <c r="C6">
        <v>10.917999999999999</v>
      </c>
    </row>
    <row r="7" spans="1:4" x14ac:dyDescent="0.25">
      <c r="A7">
        <v>8345.25</v>
      </c>
      <c r="C7">
        <v>10.787819672131151</v>
      </c>
    </row>
    <row r="8" spans="1:4" x14ac:dyDescent="0.25">
      <c r="A8">
        <v>8345.5</v>
      </c>
      <c r="C8">
        <v>10.83640909090909</v>
      </c>
    </row>
    <row r="9" spans="1:4" x14ac:dyDescent="0.25">
      <c r="A9">
        <v>8345.75</v>
      </c>
      <c r="C9">
        <v>10.859499999999999</v>
      </c>
    </row>
    <row r="10" spans="1:4" x14ac:dyDescent="0.25">
      <c r="A10">
        <v>8346.5</v>
      </c>
      <c r="C10">
        <v>10.909647058823531</v>
      </c>
    </row>
    <row r="11" spans="1:4" x14ac:dyDescent="0.25">
      <c r="A11">
        <v>8346.75</v>
      </c>
      <c r="C11">
        <v>10.905208333333334</v>
      </c>
    </row>
    <row r="12" spans="1:4" x14ac:dyDescent="0.25">
      <c r="A12">
        <v>8347.25</v>
      </c>
      <c r="C12">
        <v>10.919</v>
      </c>
    </row>
    <row r="13" spans="1:4" x14ac:dyDescent="0.25">
      <c r="A13">
        <v>8349.5</v>
      </c>
      <c r="C13">
        <v>10.865500000000001</v>
      </c>
    </row>
    <row r="14" spans="1:4" x14ac:dyDescent="0.25">
      <c r="A14">
        <v>8350.5</v>
      </c>
      <c r="C14">
        <v>10.866</v>
      </c>
    </row>
    <row r="15" spans="1:4" x14ac:dyDescent="0.25">
      <c r="A15">
        <v>8351.5</v>
      </c>
      <c r="C15">
        <v>10.890499999999999</v>
      </c>
    </row>
    <row r="16" spans="1:4" x14ac:dyDescent="0.25">
      <c r="A16">
        <v>8352.25</v>
      </c>
      <c r="C16">
        <v>10.938500000000001</v>
      </c>
    </row>
    <row r="17" spans="1:3" x14ac:dyDescent="0.25">
      <c r="A17">
        <v>8353.25</v>
      </c>
      <c r="C17">
        <v>10.914999999999999</v>
      </c>
    </row>
    <row r="18" spans="1:3" x14ac:dyDescent="0.25">
      <c r="A18">
        <v>8354.5</v>
      </c>
      <c r="C18">
        <v>10.919499999999999</v>
      </c>
    </row>
    <row r="19" spans="1:3" x14ac:dyDescent="0.25">
      <c r="A19">
        <v>8355.5</v>
      </c>
      <c r="C19">
        <v>10.9175</v>
      </c>
    </row>
    <row r="20" spans="1:3" x14ac:dyDescent="0.25">
      <c r="A20">
        <v>8355.75</v>
      </c>
      <c r="C20">
        <v>10.933999999999999</v>
      </c>
    </row>
    <row r="21" spans="1:3" x14ac:dyDescent="0.25">
      <c r="A21">
        <v>8356.5</v>
      </c>
      <c r="C21">
        <v>10.917999999999999</v>
      </c>
    </row>
    <row r="22" spans="1:3" x14ac:dyDescent="0.25">
      <c r="A22">
        <v>8357.25</v>
      </c>
      <c r="C22">
        <v>10.961</v>
      </c>
    </row>
    <row r="23" spans="1:3" x14ac:dyDescent="0.25">
      <c r="A23">
        <v>8357.5</v>
      </c>
      <c r="C23">
        <v>10.959</v>
      </c>
    </row>
    <row r="24" spans="1:3" x14ac:dyDescent="0.25">
      <c r="A24">
        <v>8358.25</v>
      </c>
      <c r="C24">
        <v>10.981</v>
      </c>
    </row>
    <row r="25" spans="1:3" x14ac:dyDescent="0.25">
      <c r="A25">
        <v>8359.25</v>
      </c>
      <c r="C25">
        <v>11.016000000000002</v>
      </c>
    </row>
    <row r="26" spans="1:3" x14ac:dyDescent="0.25">
      <c r="A26">
        <v>8360.25</v>
      </c>
      <c r="C26">
        <v>11.0595</v>
      </c>
    </row>
    <row r="27" spans="1:3" x14ac:dyDescent="0.25">
      <c r="A27">
        <v>8361.25</v>
      </c>
      <c r="C27">
        <v>11.086</v>
      </c>
    </row>
    <row r="28" spans="1:3" x14ac:dyDescent="0.25">
      <c r="A28">
        <v>8362.25</v>
      </c>
      <c r="C28">
        <v>11.108666666666666</v>
      </c>
    </row>
    <row r="29" spans="1:3" x14ac:dyDescent="0.25">
      <c r="A29">
        <v>8363.5</v>
      </c>
      <c r="C29">
        <v>11.1325</v>
      </c>
    </row>
    <row r="30" spans="1:3" x14ac:dyDescent="0.25">
      <c r="A30">
        <v>8364.25</v>
      </c>
      <c r="C30">
        <v>11.135749003984067</v>
      </c>
    </row>
    <row r="31" spans="1:3" x14ac:dyDescent="0.25">
      <c r="A31">
        <v>8365.25</v>
      </c>
      <c r="C31">
        <v>11.136500000000002</v>
      </c>
    </row>
    <row r="32" spans="1:3" x14ac:dyDescent="0.25">
      <c r="A32">
        <v>8366.25</v>
      </c>
      <c r="C32">
        <v>11.161666666666667</v>
      </c>
    </row>
    <row r="33" spans="1:3" x14ac:dyDescent="0.25">
      <c r="A33">
        <v>8367.25</v>
      </c>
      <c r="C33">
        <v>11.190999999999999</v>
      </c>
    </row>
    <row r="34" spans="1:3" x14ac:dyDescent="0.25">
      <c r="A34">
        <v>8367.5</v>
      </c>
      <c r="C34">
        <v>11.124461538461539</v>
      </c>
    </row>
    <row r="35" spans="1:3" x14ac:dyDescent="0.25">
      <c r="A35">
        <v>8368.25</v>
      </c>
      <c r="C35">
        <v>11.2295</v>
      </c>
    </row>
    <row r="36" spans="1:3" x14ac:dyDescent="0.25">
      <c r="A36">
        <v>8368.5</v>
      </c>
      <c r="C36">
        <v>11.256</v>
      </c>
    </row>
    <row r="37" spans="1:3" x14ac:dyDescent="0.25">
      <c r="A37">
        <v>8369.25</v>
      </c>
      <c r="C37">
        <v>11.242750000000001</v>
      </c>
    </row>
    <row r="38" spans="1:3" x14ac:dyDescent="0.25">
      <c r="A38">
        <v>8370.25</v>
      </c>
      <c r="C38">
        <v>11.3</v>
      </c>
    </row>
    <row r="39" spans="1:3" x14ac:dyDescent="0.25">
      <c r="A39">
        <v>8370.5</v>
      </c>
      <c r="C39">
        <v>11.306999999999999</v>
      </c>
    </row>
    <row r="40" spans="1:3" x14ac:dyDescent="0.25">
      <c r="A40">
        <v>8371.25</v>
      </c>
      <c r="C40">
        <v>11.313500000000001</v>
      </c>
    </row>
    <row r="41" spans="1:3" x14ac:dyDescent="0.25">
      <c r="A41">
        <v>8372.25</v>
      </c>
      <c r="C41">
        <v>11.343499999999999</v>
      </c>
    </row>
    <row r="42" spans="1:3" x14ac:dyDescent="0.25">
      <c r="A42">
        <v>8373.25</v>
      </c>
      <c r="C42">
        <v>11.3705</v>
      </c>
    </row>
    <row r="43" spans="1:3" x14ac:dyDescent="0.25">
      <c r="A43">
        <v>8374.25</v>
      </c>
      <c r="C43">
        <v>11.39</v>
      </c>
    </row>
    <row r="44" spans="1:3" x14ac:dyDescent="0.25">
      <c r="A44">
        <v>8375.25</v>
      </c>
      <c r="C44">
        <v>11.366166666666667</v>
      </c>
    </row>
    <row r="45" spans="1:3" x14ac:dyDescent="0.25">
      <c r="A45">
        <v>8376.25</v>
      </c>
      <c r="C45">
        <v>11.370000000000001</v>
      </c>
    </row>
    <row r="46" spans="1:3" x14ac:dyDescent="0.25">
      <c r="A46">
        <v>8378.25</v>
      </c>
      <c r="C46">
        <v>11.368500000000001</v>
      </c>
    </row>
    <row r="47" spans="1:3" x14ac:dyDescent="0.25">
      <c r="A47">
        <v>8379.25</v>
      </c>
      <c r="C47">
        <v>11.41</v>
      </c>
    </row>
    <row r="48" spans="1:3" x14ac:dyDescent="0.25">
      <c r="A48">
        <v>8380.5</v>
      </c>
      <c r="C48">
        <v>11.423500000000001</v>
      </c>
    </row>
    <row r="49" spans="1:3" x14ac:dyDescent="0.25">
      <c r="A49">
        <v>8381.25</v>
      </c>
      <c r="C49">
        <v>11.429333333333332</v>
      </c>
    </row>
    <row r="50" spans="1:3" x14ac:dyDescent="0.25">
      <c r="A50">
        <v>8382.25</v>
      </c>
      <c r="C50">
        <v>11.438999999999998</v>
      </c>
    </row>
    <row r="51" spans="1:3" x14ac:dyDescent="0.25">
      <c r="A51">
        <v>8383.25</v>
      </c>
      <c r="C51">
        <v>11.429499999999999</v>
      </c>
    </row>
    <row r="52" spans="1:3" x14ac:dyDescent="0.25">
      <c r="A52">
        <v>8384.25</v>
      </c>
      <c r="C52">
        <v>11.478</v>
      </c>
    </row>
    <row r="53" spans="1:3" x14ac:dyDescent="0.25">
      <c r="A53">
        <v>8385.25</v>
      </c>
      <c r="C53">
        <v>11.472500000000002</v>
      </c>
    </row>
    <row r="54" spans="1:3" x14ac:dyDescent="0.25">
      <c r="A54">
        <v>8386.25</v>
      </c>
      <c r="C54">
        <v>11.45</v>
      </c>
    </row>
    <row r="55" spans="1:3" x14ac:dyDescent="0.25">
      <c r="A55">
        <v>8386.5</v>
      </c>
      <c r="C55">
        <v>11.504</v>
      </c>
    </row>
    <row r="56" spans="1:3" x14ac:dyDescent="0.25">
      <c r="A56">
        <v>8387.5</v>
      </c>
      <c r="C56">
        <v>11.531500000000001</v>
      </c>
    </row>
    <row r="57" spans="1:3" x14ac:dyDescent="0.25">
      <c r="A57">
        <v>8388.25</v>
      </c>
      <c r="C57">
        <v>11.495000000000001</v>
      </c>
    </row>
    <row r="58" spans="1:3" x14ac:dyDescent="0.25">
      <c r="A58">
        <v>8388.5</v>
      </c>
      <c r="C58">
        <v>11.5275</v>
      </c>
    </row>
    <row r="59" spans="1:3" x14ac:dyDescent="0.25">
      <c r="A59">
        <v>8389.25</v>
      </c>
      <c r="C59">
        <v>11.492666666666667</v>
      </c>
    </row>
    <row r="60" spans="1:3" x14ac:dyDescent="0.25">
      <c r="A60">
        <v>8389.5</v>
      </c>
      <c r="C60">
        <v>11.545333333333334</v>
      </c>
    </row>
    <row r="61" spans="1:3" x14ac:dyDescent="0.25">
      <c r="A61">
        <v>8390.25</v>
      </c>
      <c r="C61">
        <v>11.502000000000001</v>
      </c>
    </row>
    <row r="62" spans="1:3" x14ac:dyDescent="0.25">
      <c r="A62">
        <v>8390.5</v>
      </c>
      <c r="C62">
        <v>11.541499999999999</v>
      </c>
    </row>
    <row r="63" spans="1:3" x14ac:dyDescent="0.25">
      <c r="A63">
        <v>8392.5</v>
      </c>
      <c r="C63">
        <v>11.545500000000001</v>
      </c>
    </row>
    <row r="64" spans="1:3" x14ac:dyDescent="0.25">
      <c r="A64">
        <v>8393.5</v>
      </c>
      <c r="C64">
        <v>11.552499999999998</v>
      </c>
    </row>
    <row r="65" spans="1:3" x14ac:dyDescent="0.25">
      <c r="A65">
        <v>8394.25</v>
      </c>
      <c r="C65">
        <v>11.57</v>
      </c>
    </row>
    <row r="66" spans="1:3" x14ac:dyDescent="0.25">
      <c r="A66">
        <v>8394.5</v>
      </c>
      <c r="C66">
        <v>11.5945</v>
      </c>
    </row>
    <row r="67" spans="1:3" x14ac:dyDescent="0.25">
      <c r="A67">
        <v>8395.25</v>
      </c>
      <c r="C67">
        <v>11.58</v>
      </c>
    </row>
    <row r="68" spans="1:3" x14ac:dyDescent="0.25">
      <c r="A68">
        <v>8395.5</v>
      </c>
      <c r="C68">
        <v>11.597999999999999</v>
      </c>
    </row>
    <row r="69" spans="1:3" x14ac:dyDescent="0.25">
      <c r="A69">
        <v>8396.25</v>
      </c>
      <c r="C69">
        <v>11.59</v>
      </c>
    </row>
    <row r="70" spans="1:3" x14ac:dyDescent="0.25">
      <c r="A70">
        <v>8396.5</v>
      </c>
      <c r="C70">
        <v>11.6005</v>
      </c>
    </row>
    <row r="71" spans="1:3" x14ac:dyDescent="0.25">
      <c r="A71">
        <v>8397.5</v>
      </c>
      <c r="C71">
        <v>11.620000000000001</v>
      </c>
    </row>
    <row r="72" spans="1:3" x14ac:dyDescent="0.25">
      <c r="A72">
        <v>8398.25</v>
      </c>
      <c r="C72">
        <v>11.55</v>
      </c>
    </row>
    <row r="73" spans="1:3" x14ac:dyDescent="0.25">
      <c r="A73">
        <v>8400.5</v>
      </c>
      <c r="C73">
        <v>11.641999999999999</v>
      </c>
    </row>
    <row r="74" spans="1:3" x14ac:dyDescent="0.25">
      <c r="A74">
        <v>8401.25</v>
      </c>
      <c r="C74">
        <v>11.605499999999999</v>
      </c>
    </row>
    <row r="75" spans="1:3" x14ac:dyDescent="0.25">
      <c r="A75">
        <v>8401.5</v>
      </c>
      <c r="C75">
        <v>11.651</v>
      </c>
    </row>
    <row r="76" spans="1:3" x14ac:dyDescent="0.25">
      <c r="A76">
        <v>8402.25</v>
      </c>
      <c r="C76">
        <v>11.6205</v>
      </c>
    </row>
    <row r="77" spans="1:3" x14ac:dyDescent="0.25">
      <c r="A77">
        <v>8402.5</v>
      </c>
      <c r="C77">
        <v>11.6335</v>
      </c>
    </row>
    <row r="78" spans="1:3" x14ac:dyDescent="0.25">
      <c r="A78">
        <v>8403.5</v>
      </c>
      <c r="C78">
        <v>11.637499999999999</v>
      </c>
    </row>
    <row r="79" spans="1:3" x14ac:dyDescent="0.25">
      <c r="A79">
        <v>8404.25</v>
      </c>
      <c r="C79">
        <v>11.6195</v>
      </c>
    </row>
    <row r="80" spans="1:3" x14ac:dyDescent="0.25">
      <c r="A80">
        <v>8404.5</v>
      </c>
      <c r="C80">
        <v>11.657</v>
      </c>
    </row>
    <row r="81" spans="1:3" x14ac:dyDescent="0.25">
      <c r="A81">
        <v>8405.5</v>
      </c>
      <c r="C81">
        <v>11.678999999999998</v>
      </c>
    </row>
    <row r="82" spans="1:3" x14ac:dyDescent="0.25">
      <c r="A82">
        <v>8406.25</v>
      </c>
      <c r="C82">
        <v>11.638500000000001</v>
      </c>
    </row>
    <row r="83" spans="1:3" x14ac:dyDescent="0.25">
      <c r="A83">
        <v>8406.5</v>
      </c>
      <c r="C83">
        <v>11.670500000000001</v>
      </c>
    </row>
    <row r="84" spans="1:3" x14ac:dyDescent="0.25">
      <c r="A84">
        <v>8407.25</v>
      </c>
      <c r="C84">
        <v>11.629</v>
      </c>
    </row>
    <row r="85" spans="1:3" x14ac:dyDescent="0.25">
      <c r="A85">
        <v>8407.5</v>
      </c>
      <c r="C85">
        <v>11.696999999999999</v>
      </c>
    </row>
    <row r="86" spans="1:3" x14ac:dyDescent="0.25">
      <c r="A86">
        <v>8408.5</v>
      </c>
      <c r="C86">
        <v>11.6615</v>
      </c>
    </row>
    <row r="87" spans="1:3" x14ac:dyDescent="0.25">
      <c r="A87">
        <v>8409.25</v>
      </c>
      <c r="C87">
        <v>11.606999999999999</v>
      </c>
    </row>
    <row r="88" spans="1:3" x14ac:dyDescent="0.25">
      <c r="A88">
        <v>8409.5</v>
      </c>
      <c r="C88">
        <v>11.6745</v>
      </c>
    </row>
    <row r="89" spans="1:3" x14ac:dyDescent="0.25">
      <c r="A89">
        <v>8410.5</v>
      </c>
      <c r="C89">
        <v>11.684999999999999</v>
      </c>
    </row>
    <row r="90" spans="1:3" x14ac:dyDescent="0.25">
      <c r="A90">
        <v>8411.25</v>
      </c>
      <c r="C90">
        <v>11.640499999999999</v>
      </c>
    </row>
    <row r="91" spans="1:3" x14ac:dyDescent="0.25">
      <c r="A91">
        <v>8411.5</v>
      </c>
      <c r="C91">
        <v>11.668500000000002</v>
      </c>
    </row>
    <row r="92" spans="1:3" x14ac:dyDescent="0.25">
      <c r="A92">
        <v>8413.5</v>
      </c>
      <c r="C92">
        <v>11.669499999999999</v>
      </c>
    </row>
    <row r="93" spans="1:3" x14ac:dyDescent="0.25">
      <c r="A93">
        <v>8414.5</v>
      </c>
      <c r="C93">
        <v>11.714</v>
      </c>
    </row>
    <row r="94" spans="1:3" x14ac:dyDescent="0.25">
      <c r="A94">
        <v>8415</v>
      </c>
      <c r="C94">
        <v>11.660499999999999</v>
      </c>
    </row>
    <row r="95" spans="1:3" x14ac:dyDescent="0.25">
      <c r="A95">
        <v>8415.5</v>
      </c>
      <c r="C95">
        <v>11.7125</v>
      </c>
    </row>
    <row r="96" spans="1:3" x14ac:dyDescent="0.25">
      <c r="A96">
        <v>8416.5</v>
      </c>
      <c r="C96">
        <v>11.7165</v>
      </c>
    </row>
    <row r="97" spans="1:3" x14ac:dyDescent="0.25">
      <c r="A97">
        <v>8417.5</v>
      </c>
      <c r="C97">
        <v>11.686500000000001</v>
      </c>
    </row>
    <row r="98" spans="1:3" x14ac:dyDescent="0.25">
      <c r="A98">
        <v>8418.5</v>
      </c>
      <c r="C98">
        <v>11.7425</v>
      </c>
    </row>
    <row r="99" spans="1:3" x14ac:dyDescent="0.25">
      <c r="A99">
        <v>8419.5</v>
      </c>
      <c r="C99">
        <v>11.7295</v>
      </c>
    </row>
    <row r="100" spans="1:3" x14ac:dyDescent="0.25">
      <c r="A100">
        <v>8420</v>
      </c>
      <c r="C100">
        <v>11.7</v>
      </c>
    </row>
    <row r="101" spans="1:3" x14ac:dyDescent="0.25">
      <c r="A101">
        <v>8420.5</v>
      </c>
      <c r="C101">
        <v>11.731999999999999</v>
      </c>
    </row>
    <row r="102" spans="1:3" x14ac:dyDescent="0.25">
      <c r="A102">
        <v>8421.5</v>
      </c>
      <c r="C102">
        <v>11.734</v>
      </c>
    </row>
    <row r="103" spans="1:3" x14ac:dyDescent="0.25">
      <c r="A103">
        <v>8422.5</v>
      </c>
      <c r="C103">
        <v>11.736000000000001</v>
      </c>
    </row>
    <row r="104" spans="1:3" x14ac:dyDescent="0.25">
      <c r="A104">
        <v>8423</v>
      </c>
      <c r="C104">
        <v>11.66</v>
      </c>
    </row>
    <row r="105" spans="1:3" x14ac:dyDescent="0.25">
      <c r="A105">
        <v>8423.5</v>
      </c>
      <c r="C105">
        <v>11.7195</v>
      </c>
    </row>
    <row r="106" spans="1:3" x14ac:dyDescent="0.25">
      <c r="A106">
        <v>8424.5</v>
      </c>
      <c r="C106">
        <v>11.754999999999999</v>
      </c>
    </row>
    <row r="107" spans="1:3" x14ac:dyDescent="0.25">
      <c r="A107">
        <v>8425.25</v>
      </c>
      <c r="C107">
        <v>11.715</v>
      </c>
    </row>
    <row r="108" spans="1:3" x14ac:dyDescent="0.25">
      <c r="A108">
        <v>8425.5</v>
      </c>
      <c r="C108">
        <v>11.778666666666666</v>
      </c>
    </row>
    <row r="109" spans="1:3" x14ac:dyDescent="0.25">
      <c r="A109">
        <v>8427.5</v>
      </c>
      <c r="C109">
        <v>11.785</v>
      </c>
    </row>
    <row r="110" spans="1:3" x14ac:dyDescent="0.25">
      <c r="A110">
        <v>8428.25</v>
      </c>
      <c r="C110">
        <v>11.742999999999999</v>
      </c>
    </row>
    <row r="111" spans="1:3" x14ac:dyDescent="0.25">
      <c r="A111">
        <v>8428.5</v>
      </c>
      <c r="C111">
        <v>11.817499999999999</v>
      </c>
    </row>
    <row r="112" spans="1:3" x14ac:dyDescent="0.25">
      <c r="A112">
        <v>8429.5</v>
      </c>
      <c r="C112">
        <v>11.810666666666668</v>
      </c>
    </row>
    <row r="113" spans="1:3" x14ac:dyDescent="0.25">
      <c r="A113">
        <v>8430.5</v>
      </c>
      <c r="C113">
        <v>11.847000000000001</v>
      </c>
    </row>
    <row r="114" spans="1:3" x14ac:dyDescent="0.25">
      <c r="A114">
        <v>8431</v>
      </c>
      <c r="C114">
        <v>11.765000000000001</v>
      </c>
    </row>
    <row r="115" spans="1:3" x14ac:dyDescent="0.25">
      <c r="A115">
        <v>8431.5</v>
      </c>
      <c r="C115">
        <v>11.821999999999999</v>
      </c>
    </row>
    <row r="116" spans="1:3" x14ac:dyDescent="0.25">
      <c r="A116">
        <v>8432.5</v>
      </c>
      <c r="C116">
        <v>11.836</v>
      </c>
    </row>
    <row r="117" spans="1:3" x14ac:dyDescent="0.25">
      <c r="A117">
        <v>8433</v>
      </c>
      <c r="C117">
        <v>11.795</v>
      </c>
    </row>
    <row r="118" spans="1:3" x14ac:dyDescent="0.25">
      <c r="A118">
        <v>8433.5</v>
      </c>
      <c r="C118">
        <v>11.842500000000001</v>
      </c>
    </row>
    <row r="119" spans="1:3" x14ac:dyDescent="0.25">
      <c r="A119">
        <v>8434.5</v>
      </c>
      <c r="C119">
        <v>11.896000000000001</v>
      </c>
    </row>
    <row r="120" spans="1:3" x14ac:dyDescent="0.25">
      <c r="A120">
        <v>8435.5</v>
      </c>
      <c r="C120">
        <v>11.863</v>
      </c>
    </row>
    <row r="121" spans="1:3" x14ac:dyDescent="0.25">
      <c r="A121">
        <v>8436.5</v>
      </c>
      <c r="C121">
        <v>11.92</v>
      </c>
    </row>
    <row r="122" spans="1:3" x14ac:dyDescent="0.25">
      <c r="A122">
        <v>8437.25</v>
      </c>
      <c r="C122">
        <v>11.8705</v>
      </c>
    </row>
    <row r="123" spans="1:3" x14ac:dyDescent="0.25">
      <c r="A123">
        <v>8438.5</v>
      </c>
      <c r="C123">
        <v>11.951000000000001</v>
      </c>
    </row>
    <row r="124" spans="1:3" x14ac:dyDescent="0.25">
      <c r="A124">
        <v>8439</v>
      </c>
      <c r="C124">
        <v>11.9</v>
      </c>
    </row>
    <row r="125" spans="1:3" x14ac:dyDescent="0.25">
      <c r="A125">
        <v>8439.5</v>
      </c>
      <c r="C125">
        <v>11.9945</v>
      </c>
    </row>
    <row r="126" spans="1:3" x14ac:dyDescent="0.25">
      <c r="A126">
        <v>8440.25</v>
      </c>
      <c r="C126">
        <v>11.9495</v>
      </c>
    </row>
    <row r="127" spans="1:3" x14ac:dyDescent="0.25">
      <c r="A127">
        <v>8440.5</v>
      </c>
      <c r="C127">
        <v>11.994</v>
      </c>
    </row>
    <row r="128" spans="1:3" x14ac:dyDescent="0.25">
      <c r="A128">
        <v>8441.5</v>
      </c>
      <c r="C128">
        <v>12.0305</v>
      </c>
    </row>
    <row r="129" spans="1:3" x14ac:dyDescent="0.25">
      <c r="A129">
        <v>8442.5</v>
      </c>
      <c r="C129">
        <v>11.990333333333334</v>
      </c>
    </row>
    <row r="130" spans="1:3" x14ac:dyDescent="0.25">
      <c r="A130">
        <v>8443.5</v>
      </c>
      <c r="C130">
        <v>11.974499999999999</v>
      </c>
    </row>
    <row r="131" spans="1:3" x14ac:dyDescent="0.25">
      <c r="A131">
        <v>8444.5</v>
      </c>
      <c r="C131">
        <v>12.07</v>
      </c>
    </row>
    <row r="132" spans="1:3" x14ac:dyDescent="0.25">
      <c r="A132">
        <v>8445.5</v>
      </c>
      <c r="C132">
        <v>12.087</v>
      </c>
    </row>
    <row r="133" spans="1:3" x14ac:dyDescent="0.25">
      <c r="A133">
        <v>8446.5</v>
      </c>
      <c r="C133">
        <v>12.047000000000001</v>
      </c>
    </row>
    <row r="134" spans="1:3" x14ac:dyDescent="0.25">
      <c r="A134">
        <v>8447.5</v>
      </c>
      <c r="C134">
        <v>12.0915</v>
      </c>
    </row>
    <row r="135" spans="1:3" x14ac:dyDescent="0.25">
      <c r="A135">
        <v>8448.5</v>
      </c>
      <c r="C135">
        <v>12.071999999999999</v>
      </c>
    </row>
    <row r="136" spans="1:3" x14ac:dyDescent="0.25">
      <c r="A136">
        <v>8449.5</v>
      </c>
      <c r="C136">
        <v>12.118</v>
      </c>
    </row>
    <row r="137" spans="1:3" x14ac:dyDescent="0.25">
      <c r="A137">
        <v>8450.5</v>
      </c>
      <c r="C137">
        <v>12.126000000000001</v>
      </c>
    </row>
    <row r="138" spans="1:3" x14ac:dyDescent="0.25">
      <c r="A138">
        <v>8451.5</v>
      </c>
      <c r="C138">
        <v>12.115500000000001</v>
      </c>
    </row>
    <row r="139" spans="1:3" x14ac:dyDescent="0.25">
      <c r="A139">
        <v>8453</v>
      </c>
      <c r="C139">
        <v>12.0755</v>
      </c>
    </row>
    <row r="140" spans="1:3" x14ac:dyDescent="0.25">
      <c r="A140">
        <v>8462</v>
      </c>
      <c r="C140">
        <v>12.084</v>
      </c>
    </row>
    <row r="141" spans="1:3" x14ac:dyDescent="0.25">
      <c r="A141">
        <v>8464.25</v>
      </c>
      <c r="C141">
        <v>12.0815</v>
      </c>
    </row>
    <row r="142" spans="1:3" x14ac:dyDescent="0.25">
      <c r="A142">
        <v>8478.25</v>
      </c>
      <c r="C142">
        <v>12.170500000000001</v>
      </c>
    </row>
    <row r="143" spans="1:3" x14ac:dyDescent="0.25">
      <c r="A143">
        <v>8479</v>
      </c>
      <c r="C143">
        <v>12.1365</v>
      </c>
    </row>
    <row r="144" spans="1:3" x14ac:dyDescent="0.25">
      <c r="A144">
        <v>8487</v>
      </c>
      <c r="C144">
        <v>12.188500000000001</v>
      </c>
    </row>
    <row r="145" spans="1:3" x14ac:dyDescent="0.25">
      <c r="A145">
        <v>8503</v>
      </c>
      <c r="C145">
        <v>12.275500000000001</v>
      </c>
    </row>
    <row r="146" spans="1:3" x14ac:dyDescent="0.25">
      <c r="A146">
        <v>8577.5</v>
      </c>
      <c r="C146">
        <v>12.617000000000001</v>
      </c>
    </row>
    <row r="147" spans="1:3" x14ac:dyDescent="0.25">
      <c r="A147">
        <v>8597.5</v>
      </c>
      <c r="C147">
        <v>12.741</v>
      </c>
    </row>
    <row r="148" spans="1:3" x14ac:dyDescent="0.25">
      <c r="A148">
        <v>8643.25</v>
      </c>
      <c r="C148">
        <v>12.854500000000002</v>
      </c>
    </row>
    <row r="149" spans="1:3" x14ac:dyDescent="0.25">
      <c r="A149">
        <v>8649.75</v>
      </c>
      <c r="C149">
        <v>12.964</v>
      </c>
    </row>
    <row r="150" spans="1:3" x14ac:dyDescent="0.25">
      <c r="A150">
        <v>8654.5</v>
      </c>
      <c r="C150">
        <v>12.923999999999999</v>
      </c>
    </row>
    <row r="151" spans="1:3" x14ac:dyDescent="0.25">
      <c r="A151">
        <v>8663.25</v>
      </c>
      <c r="C151">
        <v>12.8225</v>
      </c>
    </row>
    <row r="152" spans="1:3" x14ac:dyDescent="0.25">
      <c r="A152">
        <v>8664.25</v>
      </c>
      <c r="C152">
        <v>12.79</v>
      </c>
    </row>
    <row r="153" spans="1:3" x14ac:dyDescent="0.25">
      <c r="A153">
        <v>8665.75</v>
      </c>
      <c r="C153">
        <v>12.88</v>
      </c>
    </row>
    <row r="154" spans="1:3" x14ac:dyDescent="0.25">
      <c r="A154">
        <v>8672.25</v>
      </c>
      <c r="C154">
        <v>12.7735</v>
      </c>
    </row>
    <row r="155" spans="1:3" x14ac:dyDescent="0.25">
      <c r="A155">
        <v>8677.5</v>
      </c>
      <c r="C155">
        <v>12.839</v>
      </c>
    </row>
    <row r="156" spans="1:3" x14ac:dyDescent="0.25">
      <c r="A156">
        <v>8681.25</v>
      </c>
      <c r="C156">
        <v>12.803000000000001</v>
      </c>
    </row>
    <row r="157" spans="1:3" x14ac:dyDescent="0.25">
      <c r="A157">
        <v>8685.25</v>
      </c>
      <c r="C157">
        <v>12.76</v>
      </c>
    </row>
    <row r="158" spans="1:3" x14ac:dyDescent="0.25">
      <c r="A158">
        <v>8685.5</v>
      </c>
      <c r="C158">
        <v>12.811999999999999</v>
      </c>
    </row>
    <row r="159" spans="1:3" x14ac:dyDescent="0.25">
      <c r="A159">
        <v>8687.25</v>
      </c>
      <c r="C159">
        <v>12.752500000000001</v>
      </c>
    </row>
    <row r="160" spans="1:3" x14ac:dyDescent="0.25">
      <c r="A160">
        <v>8688.25</v>
      </c>
      <c r="C160">
        <v>12.7575</v>
      </c>
    </row>
    <row r="161" spans="1:3" x14ac:dyDescent="0.25">
      <c r="A161">
        <v>8690.5</v>
      </c>
      <c r="C161">
        <v>12.7</v>
      </c>
    </row>
    <row r="162" spans="1:3" x14ac:dyDescent="0.25">
      <c r="A162">
        <v>8693.25</v>
      </c>
      <c r="C162">
        <v>12.701000000000001</v>
      </c>
    </row>
    <row r="163" spans="1:3" x14ac:dyDescent="0.25">
      <c r="A163">
        <v>8694.25</v>
      </c>
      <c r="C163">
        <v>12.704499999999999</v>
      </c>
    </row>
    <row r="164" spans="1:3" x14ac:dyDescent="0.25">
      <c r="A164">
        <v>8697.25</v>
      </c>
      <c r="C164">
        <v>12.693999999999999</v>
      </c>
    </row>
    <row r="165" spans="1:3" x14ac:dyDescent="0.25">
      <c r="A165">
        <v>8698.25</v>
      </c>
      <c r="C165">
        <v>12.6655</v>
      </c>
    </row>
    <row r="166" spans="1:3" x14ac:dyDescent="0.25">
      <c r="A166">
        <v>8699.25</v>
      </c>
      <c r="C166">
        <v>12.649000000000001</v>
      </c>
    </row>
    <row r="167" spans="1:3" x14ac:dyDescent="0.25">
      <c r="A167">
        <v>8703.25</v>
      </c>
      <c r="C167">
        <v>12.615500000000001</v>
      </c>
    </row>
    <row r="168" spans="1:3" x14ac:dyDescent="0.25">
      <c r="A168">
        <v>8706.25</v>
      </c>
      <c r="C168">
        <v>12.570499999999999</v>
      </c>
    </row>
    <row r="169" spans="1:3" x14ac:dyDescent="0.25">
      <c r="A169">
        <v>8707.5</v>
      </c>
      <c r="C169">
        <v>12.625</v>
      </c>
    </row>
    <row r="170" spans="1:3" x14ac:dyDescent="0.25">
      <c r="A170">
        <v>8708.25</v>
      </c>
      <c r="C170">
        <v>12.5535</v>
      </c>
    </row>
    <row r="171" spans="1:3" x14ac:dyDescent="0.25">
      <c r="A171">
        <v>8714.25</v>
      </c>
      <c r="C171">
        <v>12.568999999999999</v>
      </c>
    </row>
    <row r="172" spans="1:3" x14ac:dyDescent="0.25">
      <c r="A172">
        <v>8715.25</v>
      </c>
      <c r="C172">
        <v>12.561500000000001</v>
      </c>
    </row>
    <row r="173" spans="1:3" x14ac:dyDescent="0.25">
      <c r="A173">
        <v>8716.25</v>
      </c>
      <c r="C173">
        <v>12.54</v>
      </c>
    </row>
    <row r="174" spans="1:3" x14ac:dyDescent="0.25">
      <c r="A174">
        <v>8717.25</v>
      </c>
      <c r="C174">
        <v>12.5625</v>
      </c>
    </row>
    <row r="175" spans="1:3" x14ac:dyDescent="0.25">
      <c r="A175">
        <v>8720.25</v>
      </c>
      <c r="C175">
        <v>12.5465</v>
      </c>
    </row>
    <row r="176" spans="1:3" x14ac:dyDescent="0.25">
      <c r="A176">
        <v>8721.5</v>
      </c>
      <c r="C176">
        <v>12.622999999999999</v>
      </c>
    </row>
    <row r="177" spans="1:3" x14ac:dyDescent="0.25">
      <c r="A177">
        <v>8722.25</v>
      </c>
      <c r="C177">
        <v>12.576499999999999</v>
      </c>
    </row>
    <row r="178" spans="1:3" x14ac:dyDescent="0.25">
      <c r="A178">
        <v>8726.25</v>
      </c>
      <c r="C178">
        <v>12.542999999999999</v>
      </c>
    </row>
    <row r="179" spans="1:3" x14ac:dyDescent="0.25">
      <c r="A179">
        <v>8727.75</v>
      </c>
      <c r="C179">
        <v>12.584</v>
      </c>
    </row>
    <row r="180" spans="1:3" x14ac:dyDescent="0.25">
      <c r="A180">
        <v>8728.25</v>
      </c>
      <c r="C180">
        <v>12.5305</v>
      </c>
    </row>
    <row r="181" spans="1:3" x14ac:dyDescent="0.25">
      <c r="A181">
        <v>8731.25</v>
      </c>
      <c r="C181">
        <v>12.512</v>
      </c>
    </row>
    <row r="182" spans="1:3" x14ac:dyDescent="0.25">
      <c r="A182">
        <v>8739.5</v>
      </c>
      <c r="C182">
        <v>12.456</v>
      </c>
    </row>
    <row r="183" spans="1:3" x14ac:dyDescent="0.25">
      <c r="A183">
        <v>8739.75</v>
      </c>
      <c r="C183">
        <v>12.45</v>
      </c>
    </row>
    <row r="184" spans="1:3" x14ac:dyDescent="0.25">
      <c r="A184">
        <v>8740.25</v>
      </c>
      <c r="C184">
        <v>12.4415</v>
      </c>
    </row>
    <row r="185" spans="1:3" x14ac:dyDescent="0.25">
      <c r="A185">
        <v>8744.25</v>
      </c>
      <c r="C185">
        <v>12.4275</v>
      </c>
    </row>
    <row r="186" spans="1:3" x14ac:dyDescent="0.25">
      <c r="A186">
        <v>8745.25</v>
      </c>
      <c r="C186">
        <v>12.4245</v>
      </c>
    </row>
    <row r="187" spans="1:3" x14ac:dyDescent="0.25">
      <c r="A187">
        <v>8747.25</v>
      </c>
      <c r="C187">
        <v>12.3855</v>
      </c>
    </row>
    <row r="188" spans="1:3" x14ac:dyDescent="0.25">
      <c r="A188">
        <v>8747.5</v>
      </c>
      <c r="C188">
        <v>12.409000000000001</v>
      </c>
    </row>
    <row r="189" spans="1:3" x14ac:dyDescent="0.25">
      <c r="A189">
        <v>8748.25</v>
      </c>
      <c r="C189">
        <v>12.36</v>
      </c>
    </row>
    <row r="190" spans="1:3" x14ac:dyDescent="0.25">
      <c r="A190">
        <v>8753.5</v>
      </c>
      <c r="C190">
        <v>12.435</v>
      </c>
    </row>
    <row r="191" spans="1:3" x14ac:dyDescent="0.25">
      <c r="A191">
        <v>8759.25</v>
      </c>
      <c r="C191">
        <v>12.349499999999999</v>
      </c>
    </row>
    <row r="192" spans="1:3" x14ac:dyDescent="0.25">
      <c r="A192">
        <v>8761.25</v>
      </c>
      <c r="C192">
        <v>12.327500000000001</v>
      </c>
    </row>
    <row r="193" spans="1:3" x14ac:dyDescent="0.25">
      <c r="A193">
        <v>8762.5</v>
      </c>
      <c r="C193">
        <v>12.372</v>
      </c>
    </row>
    <row r="194" spans="1:3" x14ac:dyDescent="0.25">
      <c r="A194">
        <v>8765.25</v>
      </c>
      <c r="C194">
        <v>12.339500000000001</v>
      </c>
    </row>
    <row r="195" spans="1:3" x14ac:dyDescent="0.25">
      <c r="A195">
        <v>8768.5</v>
      </c>
      <c r="C195">
        <v>12.355</v>
      </c>
    </row>
    <row r="196" spans="1:3" x14ac:dyDescent="0.25">
      <c r="A196">
        <v>8773.5</v>
      </c>
      <c r="C196">
        <v>12.318</v>
      </c>
    </row>
    <row r="197" spans="1:3" x14ac:dyDescent="0.25">
      <c r="A197">
        <v>8780.5</v>
      </c>
      <c r="C197">
        <v>12.3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 filterMode="1"/>
  <dimension ref="A1:H1222"/>
  <sheetViews>
    <sheetView workbookViewId="0">
      <selection activeCell="H11" sqref="H11"/>
    </sheetView>
  </sheetViews>
  <sheetFormatPr baseColWidth="10" defaultRowHeight="15" x14ac:dyDescent="0.25"/>
  <cols>
    <col min="1" max="1" width="13.5703125" bestFit="1" customWidth="1"/>
    <col min="2" max="2" width="12" bestFit="1" customWidth="1"/>
    <col min="3" max="3" width="7.5703125" bestFit="1" customWidth="1"/>
    <col min="4" max="4" width="10" bestFit="1" customWidth="1"/>
    <col min="5" max="5" width="11.42578125" customWidth="1"/>
  </cols>
  <sheetData>
    <row r="1" spans="1:5" ht="17.25" customHeight="1" x14ac:dyDescent="0.25">
      <c r="A1" s="1">
        <v>2458340.3100800002</v>
      </c>
      <c r="B1" s="1" t="s">
        <v>92</v>
      </c>
      <c r="C1" s="1">
        <v>10.869</v>
      </c>
      <c r="D1" s="1" t="s">
        <v>292</v>
      </c>
      <c r="E1" s="1" t="s">
        <v>93</v>
      </c>
    </row>
    <row r="2" spans="1:5" ht="17.25" hidden="1" customHeight="1" x14ac:dyDescent="0.25">
      <c r="A2" s="1">
        <v>2458340.4035899998</v>
      </c>
      <c r="B2" s="1" t="s">
        <v>92</v>
      </c>
      <c r="C2" s="1">
        <v>10.848000000000001</v>
      </c>
      <c r="D2" s="1" t="s">
        <v>292</v>
      </c>
      <c r="E2" s="1" t="s">
        <v>285</v>
      </c>
    </row>
    <row r="3" spans="1:5" ht="17.25" hidden="1" customHeight="1" x14ac:dyDescent="0.25">
      <c r="A3" s="1">
        <v>2458340.40386</v>
      </c>
      <c r="B3" s="1" t="s">
        <v>92</v>
      </c>
      <c r="C3" s="1">
        <v>10.834</v>
      </c>
      <c r="D3" s="1" t="s">
        <v>292</v>
      </c>
      <c r="E3" s="1" t="s">
        <v>285</v>
      </c>
    </row>
    <row r="4" spans="1:5" ht="17.25" hidden="1" customHeight="1" x14ac:dyDescent="0.25">
      <c r="A4" s="1">
        <v>2458340.4041300002</v>
      </c>
      <c r="B4" s="1" t="s">
        <v>92</v>
      </c>
      <c r="C4" s="1">
        <v>10.89</v>
      </c>
      <c r="D4" s="1" t="s">
        <v>292</v>
      </c>
      <c r="E4" s="1" t="s">
        <v>285</v>
      </c>
    </row>
    <row r="5" spans="1:5" ht="17.25" customHeight="1" x14ac:dyDescent="0.25">
      <c r="A5" s="1">
        <v>2458341.1025999999</v>
      </c>
      <c r="B5" s="1" t="s">
        <v>76</v>
      </c>
      <c r="C5" s="1">
        <v>10.87</v>
      </c>
      <c r="D5" s="1" t="s">
        <v>292</v>
      </c>
      <c r="E5" s="1" t="s">
        <v>4</v>
      </c>
    </row>
    <row r="6" spans="1:5" ht="17.25" hidden="1" customHeight="1" x14ac:dyDescent="0.25">
      <c r="A6" s="1">
        <v>2458342.3941799998</v>
      </c>
      <c r="B6" s="1" t="s">
        <v>293</v>
      </c>
      <c r="C6" s="1">
        <v>10.807</v>
      </c>
      <c r="D6" s="1" t="s">
        <v>292</v>
      </c>
      <c r="E6" s="1" t="s">
        <v>285</v>
      </c>
    </row>
    <row r="7" spans="1:5" ht="17.25" hidden="1" customHeight="1" x14ac:dyDescent="0.25">
      <c r="A7" s="1">
        <v>2458342.3949899999</v>
      </c>
      <c r="B7" s="1" t="s">
        <v>293</v>
      </c>
      <c r="C7" s="1">
        <v>10.84</v>
      </c>
      <c r="D7" s="1" t="s">
        <v>292</v>
      </c>
      <c r="E7" s="1" t="s">
        <v>285</v>
      </c>
    </row>
    <row r="8" spans="1:5" ht="17.25" customHeight="1" x14ac:dyDescent="0.25">
      <c r="A8" s="1">
        <v>2458342.6465099999</v>
      </c>
      <c r="B8" s="1" t="s">
        <v>294</v>
      </c>
      <c r="C8" s="1">
        <v>10.952999999999999</v>
      </c>
      <c r="D8" s="1" t="s">
        <v>292</v>
      </c>
      <c r="E8" s="1" t="s">
        <v>295</v>
      </c>
    </row>
    <row r="9" spans="1:5" ht="17.25" customHeight="1" x14ac:dyDescent="0.25">
      <c r="A9" s="1">
        <v>2458342.6472499999</v>
      </c>
      <c r="B9" s="1" t="s">
        <v>294</v>
      </c>
      <c r="C9" s="1">
        <v>10.944000000000001</v>
      </c>
      <c r="D9" s="1" t="s">
        <v>292</v>
      </c>
      <c r="E9" s="1" t="s">
        <v>295</v>
      </c>
    </row>
    <row r="10" spans="1:5" ht="17.25" customHeight="1" x14ac:dyDescent="0.25">
      <c r="A10" s="1">
        <v>2458342.648</v>
      </c>
      <c r="B10" s="1" t="s">
        <v>294</v>
      </c>
      <c r="C10" s="1">
        <v>10.919</v>
      </c>
      <c r="D10" s="1" t="s">
        <v>292</v>
      </c>
      <c r="E10" s="1" t="s">
        <v>295</v>
      </c>
    </row>
    <row r="11" spans="1:5" ht="17.25" customHeight="1" x14ac:dyDescent="0.25">
      <c r="A11" s="1">
        <v>2458342.64873</v>
      </c>
      <c r="B11" s="1" t="s">
        <v>294</v>
      </c>
      <c r="C11" s="1">
        <v>10.952999999999999</v>
      </c>
      <c r="D11" s="1" t="s">
        <v>292</v>
      </c>
      <c r="E11" s="1" t="s">
        <v>295</v>
      </c>
    </row>
    <row r="12" spans="1:5" ht="17.25" customHeight="1" x14ac:dyDescent="0.25">
      <c r="A12" s="1">
        <v>2458342.6494700001</v>
      </c>
      <c r="B12" s="1" t="s">
        <v>294</v>
      </c>
      <c r="C12" s="1">
        <v>10.978999999999999</v>
      </c>
      <c r="D12" s="1" t="s">
        <v>292</v>
      </c>
      <c r="E12" s="1" t="s">
        <v>295</v>
      </c>
    </row>
    <row r="13" spans="1:5" ht="17.25" customHeight="1" x14ac:dyDescent="0.25">
      <c r="A13" s="1">
        <v>2458342.6502200002</v>
      </c>
      <c r="B13" s="1" t="s">
        <v>294</v>
      </c>
      <c r="C13" s="1">
        <v>10.955</v>
      </c>
      <c r="D13" s="1" t="s">
        <v>292</v>
      </c>
      <c r="E13" s="1" t="s">
        <v>295</v>
      </c>
    </row>
    <row r="14" spans="1:5" ht="17.25" customHeight="1" x14ac:dyDescent="0.25">
      <c r="A14" s="1">
        <v>2458342.6509600002</v>
      </c>
      <c r="B14" s="1" t="s">
        <v>294</v>
      </c>
      <c r="C14" s="1">
        <v>10.944000000000001</v>
      </c>
      <c r="D14" s="1" t="s">
        <v>292</v>
      </c>
      <c r="E14" s="1" t="s">
        <v>295</v>
      </c>
    </row>
    <row r="15" spans="1:5" ht="17.25" customHeight="1" x14ac:dyDescent="0.25">
      <c r="A15" s="1">
        <v>2458342.6516999998</v>
      </c>
      <c r="B15" s="1" t="s">
        <v>294</v>
      </c>
      <c r="C15" s="1">
        <v>10.955</v>
      </c>
      <c r="D15" s="1" t="s">
        <v>292</v>
      </c>
      <c r="E15" s="1" t="s">
        <v>295</v>
      </c>
    </row>
    <row r="16" spans="1:5" ht="17.25" customHeight="1" x14ac:dyDescent="0.25">
      <c r="A16" s="1">
        <v>2458342.6524499999</v>
      </c>
      <c r="B16" s="1" t="s">
        <v>294</v>
      </c>
      <c r="C16" s="1">
        <v>10.945</v>
      </c>
      <c r="D16" s="1" t="s">
        <v>292</v>
      </c>
      <c r="E16" s="1" t="s">
        <v>295</v>
      </c>
    </row>
    <row r="17" spans="1:8" ht="17.25" customHeight="1" x14ac:dyDescent="0.25">
      <c r="A17" s="1">
        <v>2458342.6531799999</v>
      </c>
      <c r="B17" s="1" t="s">
        <v>294</v>
      </c>
      <c r="C17" s="1">
        <v>10.997999999999999</v>
      </c>
      <c r="D17" s="1" t="s">
        <v>292</v>
      </c>
      <c r="E17" s="1" t="s">
        <v>295</v>
      </c>
    </row>
    <row r="18" spans="1:8" ht="17.25" customHeight="1" x14ac:dyDescent="0.25">
      <c r="A18" s="1">
        <v>2458342.65392</v>
      </c>
      <c r="B18" s="1" t="s">
        <v>294</v>
      </c>
      <c r="C18" s="1">
        <v>10.988</v>
      </c>
      <c r="D18" s="1" t="s">
        <v>292</v>
      </c>
      <c r="E18" s="1" t="s">
        <v>295</v>
      </c>
    </row>
    <row r="19" spans="1:8" ht="17.25" customHeight="1" x14ac:dyDescent="0.25">
      <c r="A19" s="1">
        <v>2458342.6546700001</v>
      </c>
      <c r="B19" s="1" t="s">
        <v>294</v>
      </c>
      <c r="C19" s="1">
        <v>10.968999999999999</v>
      </c>
      <c r="D19" s="1" t="s">
        <v>292</v>
      </c>
      <c r="E19" s="1" t="s">
        <v>295</v>
      </c>
    </row>
    <row r="20" spans="1:8" ht="17.25" customHeight="1" x14ac:dyDescent="0.25">
      <c r="A20" s="1">
        <v>2458342.6554100001</v>
      </c>
      <c r="B20" s="1" t="s">
        <v>294</v>
      </c>
      <c r="C20" s="1">
        <v>10.944000000000001</v>
      </c>
      <c r="D20" s="1" t="s">
        <v>292</v>
      </c>
      <c r="E20" s="1" t="s">
        <v>295</v>
      </c>
    </row>
    <row r="21" spans="1:8" ht="17.25" customHeight="1" x14ac:dyDescent="0.25">
      <c r="A21" s="1">
        <v>2458342.6561500002</v>
      </c>
      <c r="B21" s="1" t="s">
        <v>294</v>
      </c>
      <c r="C21" s="1">
        <v>10.914999999999999</v>
      </c>
      <c r="D21" s="1" t="s">
        <v>292</v>
      </c>
      <c r="E21" s="1" t="s">
        <v>295</v>
      </c>
    </row>
    <row r="22" spans="1:8" ht="17.25" customHeight="1" x14ac:dyDescent="0.25">
      <c r="A22" s="1">
        <v>2458342.6568999998</v>
      </c>
      <c r="B22" s="1" t="s">
        <v>294</v>
      </c>
      <c r="C22" s="1">
        <v>10.925000000000001</v>
      </c>
      <c r="D22" s="1" t="s">
        <v>292</v>
      </c>
      <c r="E22" s="1" t="s">
        <v>295</v>
      </c>
    </row>
    <row r="23" spans="1:8" ht="17.25" customHeight="1" x14ac:dyDescent="0.25">
      <c r="A23" s="1">
        <v>2458342.65765</v>
      </c>
      <c r="B23" s="1" t="s">
        <v>294</v>
      </c>
      <c r="C23" s="1">
        <v>10.983000000000001</v>
      </c>
      <c r="D23" s="1" t="s">
        <v>292</v>
      </c>
      <c r="E23" s="1" t="s">
        <v>295</v>
      </c>
    </row>
    <row r="24" spans="1:8" ht="17.25" customHeight="1" x14ac:dyDescent="0.25">
      <c r="A24" s="1">
        <v>2458342.65839</v>
      </c>
      <c r="B24" s="1" t="s">
        <v>294</v>
      </c>
      <c r="C24" s="1">
        <v>10.952</v>
      </c>
      <c r="D24" s="1" t="s">
        <v>292</v>
      </c>
      <c r="E24" s="1" t="s">
        <v>295</v>
      </c>
    </row>
    <row r="25" spans="1:8" ht="17.25" customHeight="1" x14ac:dyDescent="0.25">
      <c r="A25" s="1">
        <v>2458342.65913</v>
      </c>
      <c r="B25" s="1" t="s">
        <v>294</v>
      </c>
      <c r="C25" s="1">
        <v>10.949</v>
      </c>
      <c r="D25" s="1" t="s">
        <v>292</v>
      </c>
      <c r="E25" s="1" t="s">
        <v>295</v>
      </c>
      <c r="H25" t="s">
        <v>359</v>
      </c>
    </row>
    <row r="26" spans="1:8" ht="17.25" customHeight="1" x14ac:dyDescent="0.25">
      <c r="A26" s="1">
        <v>2458342.6598700001</v>
      </c>
      <c r="B26" s="1" t="s">
        <v>294</v>
      </c>
      <c r="C26" s="1">
        <v>10.975</v>
      </c>
      <c r="D26" s="1" t="s">
        <v>292</v>
      </c>
      <c r="E26" s="1" t="s">
        <v>295</v>
      </c>
      <c r="H26" t="s">
        <v>302</v>
      </c>
    </row>
    <row r="27" spans="1:8" ht="17.25" customHeight="1" x14ac:dyDescent="0.25">
      <c r="A27" s="1">
        <v>2458342.6606000001</v>
      </c>
      <c r="B27" s="1" t="s">
        <v>294</v>
      </c>
      <c r="C27" s="1">
        <v>10.951000000000001</v>
      </c>
      <c r="D27" s="1" t="s">
        <v>292</v>
      </c>
      <c r="E27" s="1" t="s">
        <v>295</v>
      </c>
      <c r="H27" t="s">
        <v>273</v>
      </c>
    </row>
    <row r="28" spans="1:8" ht="17.25" customHeight="1" x14ac:dyDescent="0.25">
      <c r="A28" s="1">
        <v>2458342.6613500002</v>
      </c>
      <c r="B28" s="1" t="s">
        <v>294</v>
      </c>
      <c r="C28" s="1">
        <v>10.911</v>
      </c>
      <c r="D28" s="1" t="s">
        <v>292</v>
      </c>
      <c r="E28" s="1" t="s">
        <v>295</v>
      </c>
      <c r="H28" t="s">
        <v>285</v>
      </c>
    </row>
    <row r="29" spans="1:8" ht="17.25" customHeight="1" x14ac:dyDescent="0.25">
      <c r="A29" s="1">
        <v>2458342.6620900002</v>
      </c>
      <c r="B29" s="1" t="s">
        <v>294</v>
      </c>
      <c r="C29" s="1">
        <v>10.991</v>
      </c>
      <c r="D29" s="1" t="s">
        <v>292</v>
      </c>
      <c r="E29" s="1" t="s">
        <v>295</v>
      </c>
    </row>
    <row r="30" spans="1:8" ht="17.25" customHeight="1" x14ac:dyDescent="0.25">
      <c r="A30" s="1">
        <v>2458342.6628299998</v>
      </c>
      <c r="B30" s="1" t="s">
        <v>294</v>
      </c>
      <c r="C30" s="1">
        <v>10.933</v>
      </c>
      <c r="D30" s="1" t="s">
        <v>292</v>
      </c>
      <c r="E30" s="1" t="s">
        <v>295</v>
      </c>
    </row>
    <row r="31" spans="1:8" ht="17.25" customHeight="1" x14ac:dyDescent="0.25">
      <c r="A31" s="1">
        <v>2458342.66359</v>
      </c>
      <c r="B31" s="1" t="s">
        <v>294</v>
      </c>
      <c r="C31" s="1">
        <v>11.015000000000001</v>
      </c>
      <c r="D31" s="1" t="s">
        <v>292</v>
      </c>
      <c r="E31" s="1" t="s">
        <v>295</v>
      </c>
    </row>
    <row r="32" spans="1:8" ht="17.25" customHeight="1" x14ac:dyDescent="0.25">
      <c r="A32" s="1">
        <v>2458342.6643300001</v>
      </c>
      <c r="B32" s="1" t="s">
        <v>294</v>
      </c>
      <c r="C32" s="1">
        <v>10.981999999999999</v>
      </c>
      <c r="D32" s="1" t="s">
        <v>292</v>
      </c>
      <c r="E32" s="1" t="s">
        <v>295</v>
      </c>
    </row>
    <row r="33" spans="1:5" ht="17.25" customHeight="1" x14ac:dyDescent="0.25">
      <c r="A33" s="1">
        <v>2458342.6650700001</v>
      </c>
      <c r="B33" s="1" t="s">
        <v>294</v>
      </c>
      <c r="C33" s="1">
        <v>10.95</v>
      </c>
      <c r="D33" s="1" t="s">
        <v>292</v>
      </c>
      <c r="E33" s="1" t="s">
        <v>295</v>
      </c>
    </row>
    <row r="34" spans="1:5" ht="17.25" customHeight="1" x14ac:dyDescent="0.25">
      <c r="A34" s="1">
        <v>2458342.6658100002</v>
      </c>
      <c r="B34" s="1" t="s">
        <v>294</v>
      </c>
      <c r="C34" s="1">
        <v>10.968</v>
      </c>
      <c r="D34" s="1" t="s">
        <v>292</v>
      </c>
      <c r="E34" s="1" t="s">
        <v>295</v>
      </c>
    </row>
    <row r="35" spans="1:5" ht="17.25" customHeight="1" x14ac:dyDescent="0.25">
      <c r="A35" s="1">
        <v>2458342.6665500002</v>
      </c>
      <c r="B35" s="1" t="s">
        <v>294</v>
      </c>
      <c r="C35" s="1">
        <v>11.045</v>
      </c>
      <c r="D35" s="1" t="s">
        <v>292</v>
      </c>
      <c r="E35" s="1" t="s">
        <v>295</v>
      </c>
    </row>
    <row r="36" spans="1:5" ht="17.25" customHeight="1" x14ac:dyDescent="0.25">
      <c r="A36" s="1">
        <v>2458342.6672800002</v>
      </c>
      <c r="B36" s="1" t="s">
        <v>294</v>
      </c>
      <c r="C36" s="1">
        <v>11.02</v>
      </c>
      <c r="D36" s="1" t="s">
        <v>292</v>
      </c>
      <c r="E36" s="1" t="s">
        <v>295</v>
      </c>
    </row>
    <row r="37" spans="1:5" ht="17.25" customHeight="1" x14ac:dyDescent="0.25">
      <c r="A37" s="1">
        <v>2458342.6680200002</v>
      </c>
      <c r="B37" s="1" t="s">
        <v>294</v>
      </c>
      <c r="C37" s="1">
        <v>11.000999999999999</v>
      </c>
      <c r="D37" s="1" t="s">
        <v>292</v>
      </c>
      <c r="E37" s="1" t="s">
        <v>295</v>
      </c>
    </row>
    <row r="38" spans="1:5" ht="17.25" customHeight="1" x14ac:dyDescent="0.25">
      <c r="A38" s="1">
        <v>2458342.6687599998</v>
      </c>
      <c r="B38" s="1" t="s">
        <v>294</v>
      </c>
      <c r="C38" s="1">
        <v>11.032999999999999</v>
      </c>
      <c r="D38" s="1" t="s">
        <v>292</v>
      </c>
      <c r="E38" s="1" t="s">
        <v>295</v>
      </c>
    </row>
    <row r="39" spans="1:5" ht="17.25" customHeight="1" x14ac:dyDescent="0.25">
      <c r="A39" s="1">
        <v>2458342.6694999998</v>
      </c>
      <c r="B39" s="1" t="s">
        <v>294</v>
      </c>
      <c r="C39" s="1">
        <v>10.973000000000001</v>
      </c>
      <c r="D39" s="1" t="s">
        <v>292</v>
      </c>
      <c r="E39" s="1" t="s">
        <v>295</v>
      </c>
    </row>
    <row r="40" spans="1:5" ht="17.25" customHeight="1" x14ac:dyDescent="0.25">
      <c r="A40" s="1">
        <v>2458342.6702399999</v>
      </c>
      <c r="B40" s="1" t="s">
        <v>294</v>
      </c>
      <c r="C40" s="1">
        <v>10.967000000000001</v>
      </c>
      <c r="D40" s="1" t="s">
        <v>292</v>
      </c>
      <c r="E40" s="1" t="s">
        <v>295</v>
      </c>
    </row>
    <row r="41" spans="1:5" ht="17.25" customHeight="1" x14ac:dyDescent="0.25">
      <c r="A41" s="1">
        <v>2458342.6709799999</v>
      </c>
      <c r="B41" s="1" t="s">
        <v>294</v>
      </c>
      <c r="C41" s="1">
        <v>11.009</v>
      </c>
      <c r="D41" s="1" t="s">
        <v>292</v>
      </c>
      <c r="E41" s="1" t="s">
        <v>295</v>
      </c>
    </row>
    <row r="42" spans="1:5" ht="17.25" customHeight="1" x14ac:dyDescent="0.25">
      <c r="A42" s="1">
        <v>2458342.67172</v>
      </c>
      <c r="B42" s="1" t="s">
        <v>294</v>
      </c>
      <c r="C42" s="1">
        <v>11.002000000000001</v>
      </c>
      <c r="D42" s="1" t="s">
        <v>292</v>
      </c>
      <c r="E42" s="1" t="s">
        <v>295</v>
      </c>
    </row>
    <row r="43" spans="1:5" ht="17.25" customHeight="1" x14ac:dyDescent="0.25">
      <c r="A43" s="1">
        <v>2458342.67246</v>
      </c>
      <c r="B43" s="1" t="s">
        <v>294</v>
      </c>
      <c r="C43" s="1">
        <v>11.012</v>
      </c>
      <c r="D43" s="1" t="s">
        <v>292</v>
      </c>
      <c r="E43" s="1" t="s">
        <v>295</v>
      </c>
    </row>
    <row r="44" spans="1:5" ht="17.25" customHeight="1" x14ac:dyDescent="0.25">
      <c r="A44" s="1">
        <v>2458342.6732000001</v>
      </c>
      <c r="B44" s="1" t="s">
        <v>294</v>
      </c>
      <c r="C44" s="1">
        <v>11.021000000000001</v>
      </c>
      <c r="D44" s="1" t="s">
        <v>292</v>
      </c>
      <c r="E44" s="1" t="s">
        <v>295</v>
      </c>
    </row>
    <row r="45" spans="1:5" ht="17.25" customHeight="1" x14ac:dyDescent="0.25">
      <c r="A45" s="1">
        <v>2458342.6739400001</v>
      </c>
      <c r="B45" s="1" t="s">
        <v>294</v>
      </c>
      <c r="C45" s="1">
        <v>11.023</v>
      </c>
      <c r="D45" s="1" t="s">
        <v>292</v>
      </c>
      <c r="E45" s="1" t="s">
        <v>295</v>
      </c>
    </row>
    <row r="46" spans="1:5" ht="17.25" customHeight="1" x14ac:dyDescent="0.25">
      <c r="A46" s="1">
        <v>2458342.6746800002</v>
      </c>
      <c r="B46" s="1" t="s">
        <v>294</v>
      </c>
      <c r="C46" s="1">
        <v>10.975</v>
      </c>
      <c r="D46" s="1" t="s">
        <v>292</v>
      </c>
      <c r="E46" s="1" t="s">
        <v>295</v>
      </c>
    </row>
    <row r="47" spans="1:5" ht="17.25" customHeight="1" x14ac:dyDescent="0.25">
      <c r="A47" s="1">
        <v>2458342.6754299998</v>
      </c>
      <c r="B47" s="1" t="s">
        <v>294</v>
      </c>
      <c r="C47" s="1">
        <v>11.005000000000001</v>
      </c>
      <c r="D47" s="1" t="s">
        <v>292</v>
      </c>
      <c r="E47" s="1" t="s">
        <v>295</v>
      </c>
    </row>
    <row r="48" spans="1:5" ht="17.25" customHeight="1" x14ac:dyDescent="0.25">
      <c r="A48" s="1">
        <v>2458342.6761699999</v>
      </c>
      <c r="B48" s="1" t="s">
        <v>294</v>
      </c>
      <c r="C48" s="1">
        <v>11.007</v>
      </c>
      <c r="D48" s="1" t="s">
        <v>292</v>
      </c>
      <c r="E48" s="1" t="s">
        <v>295</v>
      </c>
    </row>
    <row r="49" spans="1:5" ht="17.25" customHeight="1" x14ac:dyDescent="0.25">
      <c r="A49" s="1">
        <v>2458342.6769099999</v>
      </c>
      <c r="B49" s="1" t="s">
        <v>294</v>
      </c>
      <c r="C49" s="1">
        <v>10.991</v>
      </c>
      <c r="D49" s="1" t="s">
        <v>292</v>
      </c>
      <c r="E49" s="1" t="s">
        <v>295</v>
      </c>
    </row>
    <row r="50" spans="1:5" ht="17.25" customHeight="1" x14ac:dyDescent="0.25">
      <c r="A50" s="1">
        <v>2458342.67765</v>
      </c>
      <c r="B50" s="1" t="s">
        <v>294</v>
      </c>
      <c r="C50" s="1">
        <v>11.039</v>
      </c>
      <c r="D50" s="1" t="s">
        <v>292</v>
      </c>
      <c r="E50" s="1" t="s">
        <v>295</v>
      </c>
    </row>
    <row r="51" spans="1:5" ht="17.25" customHeight="1" x14ac:dyDescent="0.25">
      <c r="A51" s="1">
        <v>2458342.67839</v>
      </c>
      <c r="B51" s="1" t="s">
        <v>294</v>
      </c>
      <c r="C51" s="1">
        <v>10.992000000000001</v>
      </c>
      <c r="D51" s="1" t="s">
        <v>292</v>
      </c>
      <c r="E51" s="1" t="s">
        <v>295</v>
      </c>
    </row>
    <row r="52" spans="1:5" ht="17.25" customHeight="1" x14ac:dyDescent="0.25">
      <c r="A52" s="1">
        <v>2458342.6791300001</v>
      </c>
      <c r="B52" s="1" t="s">
        <v>294</v>
      </c>
      <c r="C52" s="1">
        <v>10.961</v>
      </c>
      <c r="D52" s="1" t="s">
        <v>292</v>
      </c>
      <c r="E52" s="1" t="s">
        <v>295</v>
      </c>
    </row>
    <row r="53" spans="1:5" ht="17.25" customHeight="1" x14ac:dyDescent="0.25">
      <c r="A53" s="1">
        <v>2458342.6798800002</v>
      </c>
      <c r="B53" s="1" t="s">
        <v>294</v>
      </c>
      <c r="C53" s="1">
        <v>11.02</v>
      </c>
      <c r="D53" s="1" t="s">
        <v>292</v>
      </c>
      <c r="E53" s="1" t="s">
        <v>295</v>
      </c>
    </row>
    <row r="54" spans="1:5" ht="17.25" customHeight="1" x14ac:dyDescent="0.25">
      <c r="A54" s="1">
        <v>2458342.6806100002</v>
      </c>
      <c r="B54" s="1" t="s">
        <v>294</v>
      </c>
      <c r="C54" s="1">
        <v>11.013999999999999</v>
      </c>
      <c r="D54" s="1" t="s">
        <v>292</v>
      </c>
      <c r="E54" s="1" t="s">
        <v>295</v>
      </c>
    </row>
    <row r="55" spans="1:5" ht="17.25" customHeight="1" x14ac:dyDescent="0.25">
      <c r="A55" s="1">
        <v>2458342.6813599998</v>
      </c>
      <c r="B55" s="1" t="s">
        <v>294</v>
      </c>
      <c r="C55" s="1">
        <v>11.013</v>
      </c>
      <c r="D55" s="1" t="s">
        <v>292</v>
      </c>
      <c r="E55" s="1" t="s">
        <v>295</v>
      </c>
    </row>
    <row r="56" spans="1:5" ht="17.25" customHeight="1" x14ac:dyDescent="0.25">
      <c r="A56" s="1">
        <v>2458342.6820899998</v>
      </c>
      <c r="B56" s="1" t="s">
        <v>294</v>
      </c>
      <c r="C56" s="1">
        <v>11.026</v>
      </c>
      <c r="D56" s="1" t="s">
        <v>292</v>
      </c>
      <c r="E56" s="1" t="s">
        <v>295</v>
      </c>
    </row>
    <row r="57" spans="1:5" ht="17.25" customHeight="1" x14ac:dyDescent="0.25">
      <c r="A57" s="1">
        <v>2458342.6828399999</v>
      </c>
      <c r="B57" s="1" t="s">
        <v>294</v>
      </c>
      <c r="C57" s="1">
        <v>10.977</v>
      </c>
      <c r="D57" s="1" t="s">
        <v>292</v>
      </c>
      <c r="E57" s="1" t="s">
        <v>295</v>
      </c>
    </row>
    <row r="58" spans="1:5" ht="17.25" customHeight="1" x14ac:dyDescent="0.25">
      <c r="A58" s="1">
        <v>2458342.68358</v>
      </c>
      <c r="B58" s="1" t="s">
        <v>294</v>
      </c>
      <c r="C58" s="1">
        <v>10.961</v>
      </c>
      <c r="D58" s="1" t="s">
        <v>292</v>
      </c>
      <c r="E58" s="1" t="s">
        <v>295</v>
      </c>
    </row>
    <row r="59" spans="1:5" ht="17.25" customHeight="1" x14ac:dyDescent="0.25">
      <c r="A59" s="1">
        <v>2458342.68432</v>
      </c>
      <c r="B59" s="1" t="s">
        <v>294</v>
      </c>
      <c r="C59" s="1">
        <v>11.015000000000001</v>
      </c>
      <c r="D59" s="1" t="s">
        <v>292</v>
      </c>
      <c r="E59" s="1" t="s">
        <v>295</v>
      </c>
    </row>
    <row r="60" spans="1:5" ht="17.25" customHeight="1" x14ac:dyDescent="0.25">
      <c r="A60" s="1">
        <v>2458342.68506</v>
      </c>
      <c r="B60" s="1" t="s">
        <v>294</v>
      </c>
      <c r="C60" s="1">
        <v>11.025</v>
      </c>
      <c r="D60" s="1" t="s">
        <v>292</v>
      </c>
      <c r="E60" s="1" t="s">
        <v>295</v>
      </c>
    </row>
    <row r="61" spans="1:5" ht="17.25" customHeight="1" x14ac:dyDescent="0.25">
      <c r="A61" s="1">
        <v>2458342.6858000001</v>
      </c>
      <c r="B61" s="1" t="s">
        <v>294</v>
      </c>
      <c r="C61" s="1">
        <v>10.994999999999999</v>
      </c>
      <c r="D61" s="1" t="s">
        <v>292</v>
      </c>
      <c r="E61" s="1" t="s">
        <v>295</v>
      </c>
    </row>
    <row r="62" spans="1:5" ht="17.25" customHeight="1" x14ac:dyDescent="0.25">
      <c r="A62" s="1">
        <v>2458342.6865400001</v>
      </c>
      <c r="B62" s="1" t="s">
        <v>294</v>
      </c>
      <c r="C62" s="1">
        <v>10.997999999999999</v>
      </c>
      <c r="D62" s="1" t="s">
        <v>292</v>
      </c>
      <c r="E62" s="1" t="s">
        <v>295</v>
      </c>
    </row>
    <row r="63" spans="1:5" ht="17.25" customHeight="1" x14ac:dyDescent="0.25">
      <c r="A63" s="1">
        <v>2458342.6872800002</v>
      </c>
      <c r="B63" s="1" t="s">
        <v>294</v>
      </c>
      <c r="C63" s="1">
        <v>10.975</v>
      </c>
      <c r="D63" s="1" t="s">
        <v>292</v>
      </c>
      <c r="E63" s="1" t="s">
        <v>295</v>
      </c>
    </row>
    <row r="64" spans="1:5" ht="17.25" customHeight="1" x14ac:dyDescent="0.25">
      <c r="A64" s="1">
        <v>2458342.6880100002</v>
      </c>
      <c r="B64" s="1" t="s">
        <v>294</v>
      </c>
      <c r="C64" s="1">
        <v>10.952999999999999</v>
      </c>
      <c r="D64" s="1" t="s">
        <v>292</v>
      </c>
      <c r="E64" s="1" t="s">
        <v>295</v>
      </c>
    </row>
    <row r="65" spans="1:5" ht="17.25" customHeight="1" x14ac:dyDescent="0.25">
      <c r="A65" s="1">
        <v>2458342.6887599998</v>
      </c>
      <c r="B65" s="1" t="s">
        <v>294</v>
      </c>
      <c r="C65" s="1">
        <v>10.98</v>
      </c>
      <c r="D65" s="1" t="s">
        <v>292</v>
      </c>
      <c r="E65" s="1" t="s">
        <v>295</v>
      </c>
    </row>
    <row r="66" spans="1:5" ht="17.25" customHeight="1" x14ac:dyDescent="0.25">
      <c r="A66" s="1">
        <v>2458342.6894999999</v>
      </c>
      <c r="B66" s="1" t="s">
        <v>294</v>
      </c>
      <c r="C66" s="1">
        <v>11.003</v>
      </c>
      <c r="D66" s="1" t="s">
        <v>292</v>
      </c>
      <c r="E66" s="1" t="s">
        <v>295</v>
      </c>
    </row>
    <row r="67" spans="1:5" ht="17.25" customHeight="1" x14ac:dyDescent="0.25">
      <c r="A67" s="1">
        <v>2458342.6902399999</v>
      </c>
      <c r="B67" s="1" t="s">
        <v>294</v>
      </c>
      <c r="C67" s="1">
        <v>10.986000000000001</v>
      </c>
      <c r="D67" s="1" t="s">
        <v>292</v>
      </c>
      <c r="E67" s="1" t="s">
        <v>295</v>
      </c>
    </row>
    <row r="68" spans="1:5" ht="17.25" customHeight="1" x14ac:dyDescent="0.25">
      <c r="A68" s="1">
        <v>2458342.69098</v>
      </c>
      <c r="B68" s="1" t="s">
        <v>294</v>
      </c>
      <c r="C68" s="1">
        <v>11.015000000000001</v>
      </c>
      <c r="D68" s="1" t="s">
        <v>292</v>
      </c>
      <c r="E68" s="1" t="s">
        <v>295</v>
      </c>
    </row>
    <row r="69" spans="1:5" ht="17.25" customHeight="1" x14ac:dyDescent="0.25">
      <c r="A69" s="1">
        <v>2458342.69172</v>
      </c>
      <c r="B69" s="1" t="s">
        <v>294</v>
      </c>
      <c r="C69" s="1">
        <v>10.984999999999999</v>
      </c>
      <c r="D69" s="1" t="s">
        <v>292</v>
      </c>
      <c r="E69" s="1" t="s">
        <v>295</v>
      </c>
    </row>
    <row r="70" spans="1:5" ht="17.25" customHeight="1" x14ac:dyDescent="0.25">
      <c r="A70" s="1">
        <v>2458343.3167099999</v>
      </c>
      <c r="B70" s="1" t="s">
        <v>294</v>
      </c>
      <c r="C70" s="1">
        <v>10.869</v>
      </c>
      <c r="D70" s="1" t="s">
        <v>292</v>
      </c>
      <c r="E70" s="1" t="s">
        <v>93</v>
      </c>
    </row>
    <row r="71" spans="1:5" ht="17.25" customHeight="1" x14ac:dyDescent="0.25">
      <c r="A71" s="1">
        <v>2458343.5097699999</v>
      </c>
      <c r="B71" s="1" t="s">
        <v>77</v>
      </c>
      <c r="C71" s="1">
        <v>10.895</v>
      </c>
      <c r="D71" s="1" t="s">
        <v>292</v>
      </c>
      <c r="E71" s="1" t="s">
        <v>94</v>
      </c>
    </row>
    <row r="72" spans="1:5" ht="17.25" customHeight="1" x14ac:dyDescent="0.25">
      <c r="A72" s="1">
        <v>2458343.51003</v>
      </c>
      <c r="B72" s="1" t="s">
        <v>77</v>
      </c>
      <c r="C72" s="1">
        <v>10.884</v>
      </c>
      <c r="D72" s="1" t="s">
        <v>292</v>
      </c>
      <c r="E72" s="1" t="s">
        <v>94</v>
      </c>
    </row>
    <row r="73" spans="1:5" ht="17.25" hidden="1" customHeight="1" x14ac:dyDescent="0.25">
      <c r="A73" s="1">
        <v>2458343.5316300001</v>
      </c>
      <c r="B73" s="1" t="s">
        <v>77</v>
      </c>
      <c r="C73" s="1">
        <v>10.933</v>
      </c>
      <c r="D73" s="1" t="s">
        <v>292</v>
      </c>
      <c r="E73" s="1" t="s">
        <v>285</v>
      </c>
    </row>
    <row r="74" spans="1:5" ht="17.25" hidden="1" customHeight="1" x14ac:dyDescent="0.25">
      <c r="A74" s="1">
        <v>2458343.5324200001</v>
      </c>
      <c r="B74" s="1" t="s">
        <v>77</v>
      </c>
      <c r="C74" s="1">
        <v>10.913</v>
      </c>
      <c r="D74" s="1" t="s">
        <v>292</v>
      </c>
      <c r="E74" s="1" t="s">
        <v>285</v>
      </c>
    </row>
    <row r="75" spans="1:5" ht="17.25" customHeight="1" x14ac:dyDescent="0.25">
      <c r="A75" s="1">
        <v>2458343.6608000002</v>
      </c>
      <c r="B75" s="1" t="s">
        <v>77</v>
      </c>
      <c r="C75" s="1">
        <v>11.057</v>
      </c>
      <c r="D75" s="1" t="s">
        <v>292</v>
      </c>
      <c r="E75" s="1" t="s">
        <v>295</v>
      </c>
    </row>
    <row r="76" spans="1:5" ht="17.25" customHeight="1" x14ac:dyDescent="0.25">
      <c r="A76" s="1">
        <v>2458343.6617299998</v>
      </c>
      <c r="B76" s="1" t="s">
        <v>77</v>
      </c>
      <c r="C76" s="1">
        <v>11.077999999999999</v>
      </c>
      <c r="D76" s="1" t="s">
        <v>292</v>
      </c>
      <c r="E76" s="1" t="s">
        <v>295</v>
      </c>
    </row>
    <row r="77" spans="1:5" ht="17.25" customHeight="1" x14ac:dyDescent="0.25">
      <c r="A77" s="1">
        <v>2458343.6626400002</v>
      </c>
      <c r="B77" s="1" t="s">
        <v>77</v>
      </c>
      <c r="C77" s="1">
        <v>11.071999999999999</v>
      </c>
      <c r="D77" s="1" t="s">
        <v>292</v>
      </c>
      <c r="E77" s="1" t="s">
        <v>295</v>
      </c>
    </row>
    <row r="78" spans="1:5" ht="17.25" customHeight="1" x14ac:dyDescent="0.25">
      <c r="A78" s="1">
        <v>2458343.6649099998</v>
      </c>
      <c r="B78" s="1" t="s">
        <v>77</v>
      </c>
      <c r="C78" s="1">
        <v>10.996</v>
      </c>
      <c r="D78" s="1" t="s">
        <v>292</v>
      </c>
      <c r="E78" s="1" t="s">
        <v>295</v>
      </c>
    </row>
    <row r="79" spans="1:5" ht="17.25" customHeight="1" x14ac:dyDescent="0.25">
      <c r="A79" s="1">
        <v>2458343.6658299998</v>
      </c>
      <c r="B79" s="1" t="s">
        <v>77</v>
      </c>
      <c r="C79" s="1">
        <v>11.061</v>
      </c>
      <c r="D79" s="1" t="s">
        <v>292</v>
      </c>
      <c r="E79" s="1" t="s">
        <v>295</v>
      </c>
    </row>
    <row r="80" spans="1:5" ht="17.25" customHeight="1" x14ac:dyDescent="0.25">
      <c r="A80" s="1">
        <v>2458343.6667399998</v>
      </c>
      <c r="B80" s="1" t="s">
        <v>77</v>
      </c>
      <c r="C80" s="1">
        <v>11.045</v>
      </c>
      <c r="D80" s="1" t="s">
        <v>292</v>
      </c>
      <c r="E80" s="1" t="s">
        <v>295</v>
      </c>
    </row>
    <row r="81" spans="1:5" ht="17.25" customHeight="1" x14ac:dyDescent="0.25">
      <c r="A81" s="1">
        <v>2458343.6690000002</v>
      </c>
      <c r="B81" s="1" t="s">
        <v>77</v>
      </c>
      <c r="C81" s="1">
        <v>11.01</v>
      </c>
      <c r="D81" s="1" t="s">
        <v>292</v>
      </c>
      <c r="E81" s="1" t="s">
        <v>295</v>
      </c>
    </row>
    <row r="82" spans="1:5" ht="17.25" customHeight="1" x14ac:dyDescent="0.25">
      <c r="A82" s="1">
        <v>2458343.6699100002</v>
      </c>
      <c r="B82" s="1" t="s">
        <v>77</v>
      </c>
      <c r="C82" s="1">
        <v>11.063000000000001</v>
      </c>
      <c r="D82" s="1" t="s">
        <v>292</v>
      </c>
      <c r="E82" s="1" t="s">
        <v>295</v>
      </c>
    </row>
    <row r="83" spans="1:5" ht="17.25" customHeight="1" x14ac:dyDescent="0.25">
      <c r="A83" s="1">
        <v>2458343.6708200001</v>
      </c>
      <c r="B83" s="1" t="s">
        <v>77</v>
      </c>
      <c r="C83" s="1">
        <v>11.06</v>
      </c>
      <c r="D83" s="1" t="s">
        <v>292</v>
      </c>
      <c r="E83" s="1" t="s">
        <v>295</v>
      </c>
    </row>
    <row r="84" spans="1:5" ht="17.25" customHeight="1" x14ac:dyDescent="0.25">
      <c r="A84" s="1">
        <v>2458343.6730999998</v>
      </c>
      <c r="B84" s="1" t="s">
        <v>77</v>
      </c>
      <c r="C84" s="1">
        <v>11.029</v>
      </c>
      <c r="D84" s="1" t="s">
        <v>292</v>
      </c>
      <c r="E84" s="1" t="s">
        <v>295</v>
      </c>
    </row>
    <row r="85" spans="1:5" ht="17.25" customHeight="1" x14ac:dyDescent="0.25">
      <c r="A85" s="1">
        <v>2458343.6740199998</v>
      </c>
      <c r="B85" s="1" t="s">
        <v>77</v>
      </c>
      <c r="C85" s="1">
        <v>11.041</v>
      </c>
      <c r="D85" s="1" t="s">
        <v>292</v>
      </c>
      <c r="E85" s="1" t="s">
        <v>295</v>
      </c>
    </row>
    <row r="86" spans="1:5" ht="17.25" customHeight="1" x14ac:dyDescent="0.25">
      <c r="A86" s="1">
        <v>2458343.6749399998</v>
      </c>
      <c r="B86" s="1" t="s">
        <v>77</v>
      </c>
      <c r="C86" s="1">
        <v>11.06</v>
      </c>
      <c r="D86" s="1" t="s">
        <v>292</v>
      </c>
      <c r="E86" s="1" t="s">
        <v>295</v>
      </c>
    </row>
    <row r="87" spans="1:5" ht="17.25" customHeight="1" x14ac:dyDescent="0.25">
      <c r="A87" s="1">
        <v>2458343.6771999998</v>
      </c>
      <c r="B87" s="1" t="s">
        <v>77</v>
      </c>
      <c r="C87" s="1">
        <v>11.002000000000001</v>
      </c>
      <c r="D87" s="1" t="s">
        <v>292</v>
      </c>
      <c r="E87" s="1" t="s">
        <v>295</v>
      </c>
    </row>
    <row r="88" spans="1:5" ht="17.25" customHeight="1" x14ac:dyDescent="0.25">
      <c r="A88" s="1">
        <v>2458343.6781199998</v>
      </c>
      <c r="B88" s="1" t="s">
        <v>77</v>
      </c>
      <c r="C88" s="1">
        <v>11.048999999999999</v>
      </c>
      <c r="D88" s="1" t="s">
        <v>292</v>
      </c>
      <c r="E88" s="1" t="s">
        <v>295</v>
      </c>
    </row>
    <row r="89" spans="1:5" ht="17.25" customHeight="1" x14ac:dyDescent="0.25">
      <c r="A89" s="1">
        <v>2458343.6790300002</v>
      </c>
      <c r="B89" s="1" t="s">
        <v>77</v>
      </c>
      <c r="C89" s="1">
        <v>11.095000000000001</v>
      </c>
      <c r="D89" s="1" t="s">
        <v>292</v>
      </c>
      <c r="E89" s="1" t="s">
        <v>295</v>
      </c>
    </row>
    <row r="90" spans="1:5" ht="17.25" customHeight="1" x14ac:dyDescent="0.25">
      <c r="A90" s="1">
        <v>2458343.6812999998</v>
      </c>
      <c r="B90" s="1" t="s">
        <v>77</v>
      </c>
      <c r="C90" s="1">
        <v>11.045999999999999</v>
      </c>
      <c r="D90" s="1" t="s">
        <v>292</v>
      </c>
      <c r="E90" s="1" t="s">
        <v>295</v>
      </c>
    </row>
    <row r="91" spans="1:5" ht="17.25" customHeight="1" x14ac:dyDescent="0.25">
      <c r="A91" s="1">
        <v>2458343.6822100002</v>
      </c>
      <c r="B91" s="1" t="s">
        <v>77</v>
      </c>
      <c r="C91" s="1">
        <v>11.045999999999999</v>
      </c>
      <c r="D91" s="1" t="s">
        <v>292</v>
      </c>
      <c r="E91" s="1" t="s">
        <v>295</v>
      </c>
    </row>
    <row r="92" spans="1:5" ht="17.25" customHeight="1" x14ac:dyDescent="0.25">
      <c r="A92" s="1">
        <v>2458343.6831299998</v>
      </c>
      <c r="B92" s="1" t="s">
        <v>77</v>
      </c>
      <c r="C92" s="1">
        <v>11.102</v>
      </c>
      <c r="D92" s="1" t="s">
        <v>292</v>
      </c>
      <c r="E92" s="1" t="s">
        <v>295</v>
      </c>
    </row>
    <row r="93" spans="1:5" ht="17.25" customHeight="1" x14ac:dyDescent="0.25">
      <c r="A93" s="1">
        <v>2458343.6853999998</v>
      </c>
      <c r="B93" s="1" t="s">
        <v>77</v>
      </c>
      <c r="C93" s="1">
        <v>11.074</v>
      </c>
      <c r="D93" s="1" t="s">
        <v>292</v>
      </c>
      <c r="E93" s="1" t="s">
        <v>295</v>
      </c>
    </row>
    <row r="94" spans="1:5" ht="17.25" customHeight="1" x14ac:dyDescent="0.25">
      <c r="A94" s="1">
        <v>2458343.6863099998</v>
      </c>
      <c r="B94" s="1" t="s">
        <v>77</v>
      </c>
      <c r="C94" s="1">
        <v>11.031000000000001</v>
      </c>
      <c r="D94" s="1" t="s">
        <v>292</v>
      </c>
      <c r="E94" s="1" t="s">
        <v>295</v>
      </c>
    </row>
    <row r="95" spans="1:5" ht="17.25" customHeight="1" x14ac:dyDescent="0.25">
      <c r="A95" s="1">
        <v>2458343.6872200002</v>
      </c>
      <c r="B95" s="1" t="s">
        <v>77</v>
      </c>
      <c r="C95" s="1">
        <v>11.07</v>
      </c>
      <c r="D95" s="1" t="s">
        <v>292</v>
      </c>
      <c r="E95" s="1" t="s">
        <v>295</v>
      </c>
    </row>
    <row r="96" spans="1:5" ht="17.25" customHeight="1" x14ac:dyDescent="0.25">
      <c r="A96" s="1">
        <v>2458343.6894899998</v>
      </c>
      <c r="B96" s="1" t="s">
        <v>77</v>
      </c>
      <c r="C96" s="1">
        <v>11.068</v>
      </c>
      <c r="D96" s="1" t="s">
        <v>292</v>
      </c>
      <c r="E96" s="1" t="s">
        <v>295</v>
      </c>
    </row>
    <row r="97" spans="1:5" ht="17.25" customHeight="1" x14ac:dyDescent="0.25">
      <c r="A97" s="1">
        <v>2458343.6904000002</v>
      </c>
      <c r="B97" s="1" t="s">
        <v>77</v>
      </c>
      <c r="C97" s="1">
        <v>11.026999999999999</v>
      </c>
      <c r="D97" s="1" t="s">
        <v>292</v>
      </c>
      <c r="E97" s="1" t="s">
        <v>295</v>
      </c>
    </row>
    <row r="98" spans="1:5" ht="17.25" customHeight="1" x14ac:dyDescent="0.25">
      <c r="A98" s="1">
        <v>2458343.6913200002</v>
      </c>
      <c r="B98" s="1" t="s">
        <v>77</v>
      </c>
      <c r="C98" s="1">
        <v>11.018000000000001</v>
      </c>
      <c r="D98" s="1" t="s">
        <v>292</v>
      </c>
      <c r="E98" s="1" t="s">
        <v>295</v>
      </c>
    </row>
    <row r="99" spans="1:5" ht="17.25" customHeight="1" x14ac:dyDescent="0.25">
      <c r="A99" s="1">
        <v>2458343.6935800002</v>
      </c>
      <c r="B99" s="1" t="s">
        <v>77</v>
      </c>
      <c r="C99" s="1">
        <v>11.057</v>
      </c>
      <c r="D99" s="1" t="s">
        <v>292</v>
      </c>
      <c r="E99" s="1" t="s">
        <v>295</v>
      </c>
    </row>
    <row r="100" spans="1:5" ht="17.25" customHeight="1" x14ac:dyDescent="0.25">
      <c r="A100" s="1">
        <v>2458343.6944900001</v>
      </c>
      <c r="B100" s="1" t="s">
        <v>77</v>
      </c>
      <c r="C100" s="1">
        <v>11.045</v>
      </c>
      <c r="D100" s="1" t="s">
        <v>292</v>
      </c>
      <c r="E100" s="1" t="s">
        <v>295</v>
      </c>
    </row>
    <row r="101" spans="1:5" ht="17.25" customHeight="1" x14ac:dyDescent="0.25">
      <c r="A101" s="1">
        <v>2458343.6954100002</v>
      </c>
      <c r="B101" s="1" t="s">
        <v>77</v>
      </c>
      <c r="C101" s="1">
        <v>11.012</v>
      </c>
      <c r="D101" s="1" t="s">
        <v>292</v>
      </c>
      <c r="E101" s="1" t="s">
        <v>295</v>
      </c>
    </row>
    <row r="102" spans="1:5" ht="17.25" customHeight="1" x14ac:dyDescent="0.25">
      <c r="A102" s="1">
        <v>2458343.6976700001</v>
      </c>
      <c r="B102" s="1" t="s">
        <v>77</v>
      </c>
      <c r="C102" s="1">
        <v>11.031000000000001</v>
      </c>
      <c r="D102" s="1" t="s">
        <v>292</v>
      </c>
      <c r="E102" s="1" t="s">
        <v>295</v>
      </c>
    </row>
    <row r="103" spans="1:5" ht="17.25" customHeight="1" x14ac:dyDescent="0.25">
      <c r="A103" s="1">
        <v>2458343.6985900002</v>
      </c>
      <c r="B103" s="1" t="s">
        <v>77</v>
      </c>
      <c r="C103" s="1">
        <v>11.05</v>
      </c>
      <c r="D103" s="1" t="s">
        <v>292</v>
      </c>
      <c r="E103" s="1" t="s">
        <v>295</v>
      </c>
    </row>
    <row r="104" spans="1:5" ht="17.25" customHeight="1" x14ac:dyDescent="0.25">
      <c r="A104" s="1">
        <v>2458343.6995100002</v>
      </c>
      <c r="B104" s="1" t="s">
        <v>77</v>
      </c>
      <c r="C104" s="1">
        <v>11.048999999999999</v>
      </c>
      <c r="D104" s="1" t="s">
        <v>292</v>
      </c>
      <c r="E104" s="1" t="s">
        <v>295</v>
      </c>
    </row>
    <row r="105" spans="1:5" ht="17.25" customHeight="1" x14ac:dyDescent="0.25">
      <c r="A105" s="1">
        <v>2458343.7017799998</v>
      </c>
      <c r="B105" s="1" t="s">
        <v>77</v>
      </c>
      <c r="C105" s="1">
        <v>11.028</v>
      </c>
      <c r="D105" s="1" t="s">
        <v>292</v>
      </c>
      <c r="E105" s="1" t="s">
        <v>295</v>
      </c>
    </row>
    <row r="106" spans="1:5" ht="17.25" customHeight="1" x14ac:dyDescent="0.25">
      <c r="A106" s="1">
        <v>2458343.7026900002</v>
      </c>
      <c r="B106" s="1" t="s">
        <v>77</v>
      </c>
      <c r="C106" s="1">
        <v>11.025</v>
      </c>
      <c r="D106" s="1" t="s">
        <v>292</v>
      </c>
      <c r="E106" s="1" t="s">
        <v>295</v>
      </c>
    </row>
    <row r="107" spans="1:5" ht="17.25" customHeight="1" x14ac:dyDescent="0.25">
      <c r="A107" s="1">
        <v>2458343.7036100002</v>
      </c>
      <c r="B107" s="1" t="s">
        <v>77</v>
      </c>
      <c r="C107" s="1">
        <v>11.003</v>
      </c>
      <c r="D107" s="1" t="s">
        <v>292</v>
      </c>
      <c r="E107" s="1" t="s">
        <v>295</v>
      </c>
    </row>
    <row r="108" spans="1:5" ht="17.25" customHeight="1" x14ac:dyDescent="0.25">
      <c r="A108" s="1">
        <v>2458343.7058700002</v>
      </c>
      <c r="B108" s="1" t="s">
        <v>77</v>
      </c>
      <c r="C108" s="1">
        <v>11.051</v>
      </c>
      <c r="D108" s="1" t="s">
        <v>292</v>
      </c>
      <c r="E108" s="1" t="s">
        <v>295</v>
      </c>
    </row>
    <row r="109" spans="1:5" ht="17.25" customHeight="1" x14ac:dyDescent="0.25">
      <c r="A109" s="1">
        <v>2458343.7067900002</v>
      </c>
      <c r="B109" s="1" t="s">
        <v>77</v>
      </c>
      <c r="C109" s="1">
        <v>11.069000000000001</v>
      </c>
      <c r="D109" s="1" t="s">
        <v>292</v>
      </c>
      <c r="E109" s="1" t="s">
        <v>295</v>
      </c>
    </row>
    <row r="110" spans="1:5" ht="17.25" customHeight="1" x14ac:dyDescent="0.25">
      <c r="A110" s="1">
        <v>2458343.7077100002</v>
      </c>
      <c r="B110" s="1" t="s">
        <v>77</v>
      </c>
      <c r="C110" s="1">
        <v>11.042</v>
      </c>
      <c r="D110" s="1" t="s">
        <v>292</v>
      </c>
      <c r="E110" s="1" t="s">
        <v>295</v>
      </c>
    </row>
    <row r="111" spans="1:5" ht="17.25" customHeight="1" x14ac:dyDescent="0.25">
      <c r="A111" s="1">
        <v>2458343.7099700002</v>
      </c>
      <c r="B111" s="1" t="s">
        <v>77</v>
      </c>
      <c r="C111" s="1">
        <v>11.044</v>
      </c>
      <c r="D111" s="1" t="s">
        <v>292</v>
      </c>
      <c r="E111" s="1" t="s">
        <v>295</v>
      </c>
    </row>
    <row r="112" spans="1:5" ht="17.25" customHeight="1" x14ac:dyDescent="0.25">
      <c r="A112" s="1">
        <v>2458343.7108900002</v>
      </c>
      <c r="B112" s="1" t="s">
        <v>77</v>
      </c>
      <c r="C112" s="1">
        <v>11.032</v>
      </c>
      <c r="D112" s="1" t="s">
        <v>292</v>
      </c>
      <c r="E112" s="1" t="s">
        <v>295</v>
      </c>
    </row>
    <row r="113" spans="1:5" ht="17.25" customHeight="1" x14ac:dyDescent="0.25">
      <c r="A113" s="1">
        <v>2458343.7118000002</v>
      </c>
      <c r="B113" s="1" t="s">
        <v>77</v>
      </c>
      <c r="C113" s="1">
        <v>11.025</v>
      </c>
      <c r="D113" s="1" t="s">
        <v>292</v>
      </c>
      <c r="E113" s="1" t="s">
        <v>295</v>
      </c>
    </row>
    <row r="114" spans="1:5" ht="17.25" customHeight="1" x14ac:dyDescent="0.25">
      <c r="A114" s="1">
        <v>2458343.7140700002</v>
      </c>
      <c r="B114" s="1" t="s">
        <v>77</v>
      </c>
      <c r="C114" s="1">
        <v>11.025</v>
      </c>
      <c r="D114" s="1" t="s">
        <v>292</v>
      </c>
      <c r="E114" s="1" t="s">
        <v>295</v>
      </c>
    </row>
    <row r="115" spans="1:5" ht="17.25" customHeight="1" x14ac:dyDescent="0.25">
      <c r="A115" s="1">
        <v>2458343.7149800002</v>
      </c>
      <c r="B115" s="1" t="s">
        <v>77</v>
      </c>
      <c r="C115" s="1">
        <v>11.012</v>
      </c>
      <c r="D115" s="1" t="s">
        <v>292</v>
      </c>
      <c r="E115" s="1" t="s">
        <v>295</v>
      </c>
    </row>
    <row r="116" spans="1:5" ht="17.25" customHeight="1" x14ac:dyDescent="0.25">
      <c r="A116" s="1">
        <v>2458343.7159000002</v>
      </c>
      <c r="B116" s="1" t="s">
        <v>77</v>
      </c>
      <c r="C116" s="1">
        <v>11.007</v>
      </c>
      <c r="D116" s="1" t="s">
        <v>292</v>
      </c>
      <c r="E116" s="1" t="s">
        <v>295</v>
      </c>
    </row>
    <row r="117" spans="1:5" ht="17.25" customHeight="1" x14ac:dyDescent="0.25">
      <c r="A117" s="1">
        <v>2458343.7181600002</v>
      </c>
      <c r="B117" s="1" t="s">
        <v>77</v>
      </c>
      <c r="C117" s="1">
        <v>10.988</v>
      </c>
      <c r="D117" s="1" t="s">
        <v>292</v>
      </c>
      <c r="E117" s="1" t="s">
        <v>295</v>
      </c>
    </row>
    <row r="118" spans="1:5" ht="17.25" customHeight="1" x14ac:dyDescent="0.25">
      <c r="A118" s="1">
        <v>2458343.7190700001</v>
      </c>
      <c r="B118" s="1" t="s">
        <v>77</v>
      </c>
      <c r="C118" s="1">
        <v>10.964</v>
      </c>
      <c r="D118" s="1" t="s">
        <v>292</v>
      </c>
      <c r="E118" s="1" t="s">
        <v>295</v>
      </c>
    </row>
    <row r="119" spans="1:5" ht="17.25" customHeight="1" x14ac:dyDescent="0.25">
      <c r="A119" s="1">
        <v>2458343.7199900001</v>
      </c>
      <c r="B119" s="1" t="s">
        <v>77</v>
      </c>
      <c r="C119" s="1">
        <v>11.000999999999999</v>
      </c>
      <c r="D119" s="1" t="s">
        <v>292</v>
      </c>
      <c r="E119" s="1" t="s">
        <v>295</v>
      </c>
    </row>
    <row r="120" spans="1:5" ht="17.25" customHeight="1" x14ac:dyDescent="0.25">
      <c r="A120" s="1">
        <v>2458344.3336200002</v>
      </c>
      <c r="B120" s="1" t="s">
        <v>77</v>
      </c>
      <c r="C120" s="1">
        <v>10.91</v>
      </c>
      <c r="D120" s="1" t="s">
        <v>292</v>
      </c>
      <c r="E120" s="1" t="s">
        <v>93</v>
      </c>
    </row>
    <row r="121" spans="1:5" ht="17.25" customHeight="1" x14ac:dyDescent="0.25">
      <c r="A121" s="1">
        <v>2458344.3338500001</v>
      </c>
      <c r="B121" s="1" t="s">
        <v>77</v>
      </c>
      <c r="C121" s="1">
        <v>10.917999999999999</v>
      </c>
      <c r="D121" s="1" t="s">
        <v>292</v>
      </c>
      <c r="E121" s="1" t="s">
        <v>93</v>
      </c>
    </row>
    <row r="122" spans="1:5" ht="17.25" customHeight="1" x14ac:dyDescent="0.25">
      <c r="A122" s="1">
        <v>2458344.3341000001</v>
      </c>
      <c r="B122" s="1" t="s">
        <v>77</v>
      </c>
      <c r="C122" s="1">
        <v>10.916</v>
      </c>
      <c r="D122" s="1" t="s">
        <v>292</v>
      </c>
      <c r="E122" s="1" t="s">
        <v>93</v>
      </c>
    </row>
    <row r="123" spans="1:5" ht="17.25" customHeight="1" x14ac:dyDescent="0.25">
      <c r="A123" s="1">
        <v>2458344.33433</v>
      </c>
      <c r="B123" s="1" t="s">
        <v>77</v>
      </c>
      <c r="C123" s="1">
        <v>10.896000000000001</v>
      </c>
      <c r="D123" s="1" t="s">
        <v>292</v>
      </c>
      <c r="E123" s="1" t="s">
        <v>93</v>
      </c>
    </row>
    <row r="124" spans="1:5" ht="17.25" customHeight="1" x14ac:dyDescent="0.25">
      <c r="A124" s="1">
        <v>2458344.3345699999</v>
      </c>
      <c r="B124" s="1" t="s">
        <v>77</v>
      </c>
      <c r="C124" s="1">
        <v>10.914</v>
      </c>
      <c r="D124" s="1" t="s">
        <v>292</v>
      </c>
      <c r="E124" s="1" t="s">
        <v>93</v>
      </c>
    </row>
    <row r="125" spans="1:5" ht="17.25" customHeight="1" x14ac:dyDescent="0.25">
      <c r="A125" s="1">
        <v>2458344.3348099999</v>
      </c>
      <c r="B125" s="1" t="s">
        <v>77</v>
      </c>
      <c r="C125" s="1">
        <v>10.920999999999999</v>
      </c>
      <c r="D125" s="1" t="s">
        <v>292</v>
      </c>
      <c r="E125" s="1" t="s">
        <v>93</v>
      </c>
    </row>
    <row r="126" spans="1:5" ht="17.25" customHeight="1" x14ac:dyDescent="0.25">
      <c r="A126" s="1">
        <v>2458344.3350499999</v>
      </c>
      <c r="B126" s="1" t="s">
        <v>77</v>
      </c>
      <c r="C126" s="1">
        <v>10.927</v>
      </c>
      <c r="D126" s="1" t="s">
        <v>292</v>
      </c>
      <c r="E126" s="1" t="s">
        <v>93</v>
      </c>
    </row>
    <row r="127" spans="1:5" ht="17.25" customHeight="1" x14ac:dyDescent="0.25">
      <c r="A127" s="1">
        <v>2458344.3352899998</v>
      </c>
      <c r="B127" s="1" t="s">
        <v>77</v>
      </c>
      <c r="C127" s="1">
        <v>10.92</v>
      </c>
      <c r="D127" s="1" t="s">
        <v>292</v>
      </c>
      <c r="E127" s="1" t="s">
        <v>93</v>
      </c>
    </row>
    <row r="128" spans="1:5" ht="17.25" customHeight="1" x14ac:dyDescent="0.25">
      <c r="A128" s="1">
        <v>2458344.3355200002</v>
      </c>
      <c r="B128" s="1" t="s">
        <v>77</v>
      </c>
      <c r="C128" s="1">
        <v>10.923</v>
      </c>
      <c r="D128" s="1" t="s">
        <v>292</v>
      </c>
      <c r="E128" s="1" t="s">
        <v>93</v>
      </c>
    </row>
    <row r="129" spans="1:5" ht="17.25" customHeight="1" x14ac:dyDescent="0.25">
      <c r="A129" s="1">
        <v>2458344.3357600002</v>
      </c>
      <c r="B129" s="1" t="s">
        <v>77</v>
      </c>
      <c r="C129" s="1">
        <v>10.914999999999999</v>
      </c>
      <c r="D129" s="1" t="s">
        <v>292</v>
      </c>
      <c r="E129" s="1" t="s">
        <v>93</v>
      </c>
    </row>
    <row r="130" spans="1:5" ht="17.25" customHeight="1" x14ac:dyDescent="0.25">
      <c r="A130" s="1">
        <v>2458344.3360100002</v>
      </c>
      <c r="B130" s="1" t="s">
        <v>77</v>
      </c>
      <c r="C130" s="1">
        <v>10.917999999999999</v>
      </c>
      <c r="D130" s="1" t="s">
        <v>292</v>
      </c>
      <c r="E130" s="1" t="s">
        <v>93</v>
      </c>
    </row>
    <row r="131" spans="1:5" ht="17.25" customHeight="1" x14ac:dyDescent="0.25">
      <c r="A131" s="1">
        <v>2458344.3362400001</v>
      </c>
      <c r="B131" s="1" t="s">
        <v>77</v>
      </c>
      <c r="C131" s="1">
        <v>10.914999999999999</v>
      </c>
      <c r="D131" s="1" t="s">
        <v>292</v>
      </c>
      <c r="E131" s="1" t="s">
        <v>93</v>
      </c>
    </row>
    <row r="132" spans="1:5" ht="17.25" customHeight="1" x14ac:dyDescent="0.25">
      <c r="A132" s="1">
        <v>2458344.3364800001</v>
      </c>
      <c r="B132" s="1" t="s">
        <v>77</v>
      </c>
      <c r="C132" s="1">
        <v>10.925000000000001</v>
      </c>
      <c r="D132" s="1" t="s">
        <v>292</v>
      </c>
      <c r="E132" s="1" t="s">
        <v>93</v>
      </c>
    </row>
    <row r="133" spans="1:5" ht="17.25" customHeight="1" x14ac:dyDescent="0.25">
      <c r="A133" s="1">
        <v>2458344.3367099999</v>
      </c>
      <c r="B133" s="1" t="s">
        <v>77</v>
      </c>
      <c r="C133" s="1">
        <v>10.914999999999999</v>
      </c>
      <c r="D133" s="1" t="s">
        <v>292</v>
      </c>
      <c r="E133" s="1" t="s">
        <v>93</v>
      </c>
    </row>
    <row r="134" spans="1:5" ht="17.25" customHeight="1" x14ac:dyDescent="0.25">
      <c r="A134" s="1">
        <v>2458344.33696</v>
      </c>
      <c r="B134" s="1" t="s">
        <v>77</v>
      </c>
      <c r="C134" s="1">
        <v>10.909000000000001</v>
      </c>
      <c r="D134" s="1" t="s">
        <v>292</v>
      </c>
      <c r="E134" s="1" t="s">
        <v>93</v>
      </c>
    </row>
    <row r="135" spans="1:5" ht="17.25" customHeight="1" x14ac:dyDescent="0.25">
      <c r="A135" s="1">
        <v>2458344.3372</v>
      </c>
      <c r="B135" s="1" t="s">
        <v>77</v>
      </c>
      <c r="C135" s="1">
        <v>10.91</v>
      </c>
      <c r="D135" s="1" t="s">
        <v>292</v>
      </c>
      <c r="E135" s="1" t="s">
        <v>93</v>
      </c>
    </row>
    <row r="136" spans="1:5" ht="17.25" customHeight="1" x14ac:dyDescent="0.25">
      <c r="A136" s="1">
        <v>2458344.3374299998</v>
      </c>
      <c r="B136" s="1" t="s">
        <v>77</v>
      </c>
      <c r="C136" s="1">
        <v>10.917</v>
      </c>
      <c r="D136" s="1" t="s">
        <v>292</v>
      </c>
      <c r="E136" s="1" t="s">
        <v>93</v>
      </c>
    </row>
    <row r="137" spans="1:5" ht="17.25" customHeight="1" x14ac:dyDescent="0.25">
      <c r="A137" s="1">
        <v>2458344.3376699998</v>
      </c>
      <c r="B137" s="1" t="s">
        <v>77</v>
      </c>
      <c r="C137" s="1">
        <v>10.913</v>
      </c>
      <c r="D137" s="1" t="s">
        <v>292</v>
      </c>
      <c r="E137" s="1" t="s">
        <v>93</v>
      </c>
    </row>
    <row r="138" spans="1:5" ht="17.25" customHeight="1" x14ac:dyDescent="0.25">
      <c r="A138" s="1">
        <v>2458344.3379099998</v>
      </c>
      <c r="B138" s="1" t="s">
        <v>77</v>
      </c>
      <c r="C138" s="1">
        <v>10.906000000000001</v>
      </c>
      <c r="D138" s="1" t="s">
        <v>292</v>
      </c>
      <c r="E138" s="1" t="s">
        <v>93</v>
      </c>
    </row>
    <row r="139" spans="1:5" ht="17.25" customHeight="1" x14ac:dyDescent="0.25">
      <c r="A139" s="1">
        <v>2458344.3381500002</v>
      </c>
      <c r="B139" s="1" t="s">
        <v>77</v>
      </c>
      <c r="C139" s="1">
        <v>10.911</v>
      </c>
      <c r="D139" s="1" t="s">
        <v>292</v>
      </c>
      <c r="E139" s="1" t="s">
        <v>93</v>
      </c>
    </row>
    <row r="140" spans="1:5" ht="17.25" customHeight="1" x14ac:dyDescent="0.25">
      <c r="A140" s="1">
        <v>2458344.3383900002</v>
      </c>
      <c r="B140" s="1" t="s">
        <v>77</v>
      </c>
      <c r="C140" s="1">
        <v>10.907</v>
      </c>
      <c r="D140" s="1" t="s">
        <v>292</v>
      </c>
      <c r="E140" s="1" t="s">
        <v>93</v>
      </c>
    </row>
    <row r="141" spans="1:5" ht="17.25" customHeight="1" x14ac:dyDescent="0.25">
      <c r="A141" s="1">
        <v>2458344.3386200001</v>
      </c>
      <c r="B141" s="1" t="s">
        <v>77</v>
      </c>
      <c r="C141" s="1">
        <v>10.917</v>
      </c>
      <c r="D141" s="1" t="s">
        <v>292</v>
      </c>
      <c r="E141" s="1" t="s">
        <v>93</v>
      </c>
    </row>
    <row r="142" spans="1:5" ht="17.25" customHeight="1" x14ac:dyDescent="0.25">
      <c r="A142" s="1">
        <v>2458344.3388700001</v>
      </c>
      <c r="B142" s="1" t="s">
        <v>77</v>
      </c>
      <c r="C142" s="1">
        <v>10.893000000000001</v>
      </c>
      <c r="D142" s="1" t="s">
        <v>292</v>
      </c>
      <c r="E142" s="1" t="s">
        <v>93</v>
      </c>
    </row>
    <row r="143" spans="1:5" ht="17.25" customHeight="1" x14ac:dyDescent="0.25">
      <c r="A143" s="1">
        <v>2458344.3391</v>
      </c>
      <c r="B143" s="1" t="s">
        <v>77</v>
      </c>
      <c r="C143" s="1">
        <v>10.917</v>
      </c>
      <c r="D143" s="1" t="s">
        <v>292</v>
      </c>
      <c r="E143" s="1" t="s">
        <v>93</v>
      </c>
    </row>
    <row r="144" spans="1:5" ht="17.25" customHeight="1" x14ac:dyDescent="0.25">
      <c r="A144" s="1">
        <v>2458344.3393399999</v>
      </c>
      <c r="B144" s="1" t="s">
        <v>77</v>
      </c>
      <c r="C144" s="1">
        <v>10.891</v>
      </c>
      <c r="D144" s="1" t="s">
        <v>292</v>
      </c>
      <c r="E144" s="1" t="s">
        <v>93</v>
      </c>
    </row>
    <row r="145" spans="1:5" ht="17.25" customHeight="1" x14ac:dyDescent="0.25">
      <c r="A145" s="1">
        <v>2458344.3395799999</v>
      </c>
      <c r="B145" s="1" t="s">
        <v>77</v>
      </c>
      <c r="C145" s="1">
        <v>10.914999999999999</v>
      </c>
      <c r="D145" s="1" t="s">
        <v>292</v>
      </c>
      <c r="E145" s="1" t="s">
        <v>93</v>
      </c>
    </row>
    <row r="146" spans="1:5" ht="17.25" customHeight="1" x14ac:dyDescent="0.25">
      <c r="A146" s="1">
        <v>2458344.3398099998</v>
      </c>
      <c r="B146" s="1" t="s">
        <v>77</v>
      </c>
      <c r="C146" s="1">
        <v>10.916</v>
      </c>
      <c r="D146" s="1" t="s">
        <v>292</v>
      </c>
      <c r="E146" s="1" t="s">
        <v>93</v>
      </c>
    </row>
    <row r="147" spans="1:5" ht="17.25" customHeight="1" x14ac:dyDescent="0.25">
      <c r="A147" s="1">
        <v>2458344.3400599998</v>
      </c>
      <c r="B147" s="1" t="s">
        <v>77</v>
      </c>
      <c r="C147" s="1">
        <v>10.903</v>
      </c>
      <c r="D147" s="1" t="s">
        <v>292</v>
      </c>
      <c r="E147" s="1" t="s">
        <v>93</v>
      </c>
    </row>
    <row r="148" spans="1:5" ht="17.25" customHeight="1" x14ac:dyDescent="0.25">
      <c r="A148" s="1">
        <v>2458344.3402999998</v>
      </c>
      <c r="B148" s="1" t="s">
        <v>77</v>
      </c>
      <c r="C148" s="1">
        <v>10.901</v>
      </c>
      <c r="D148" s="1" t="s">
        <v>292</v>
      </c>
      <c r="E148" s="1" t="s">
        <v>93</v>
      </c>
    </row>
    <row r="149" spans="1:5" ht="17.25" customHeight="1" x14ac:dyDescent="0.25">
      <c r="A149" s="1">
        <v>2458344.3405300002</v>
      </c>
      <c r="B149" s="1" t="s">
        <v>77</v>
      </c>
      <c r="C149" s="1">
        <v>10.911</v>
      </c>
      <c r="D149" s="1" t="s">
        <v>292</v>
      </c>
      <c r="E149" s="1" t="s">
        <v>93</v>
      </c>
    </row>
    <row r="150" spans="1:5" ht="17.25" customHeight="1" x14ac:dyDescent="0.25">
      <c r="A150" s="1">
        <v>2458344.3407800002</v>
      </c>
      <c r="B150" s="1" t="s">
        <v>77</v>
      </c>
      <c r="C150" s="1">
        <v>10.913</v>
      </c>
      <c r="D150" s="1" t="s">
        <v>292</v>
      </c>
      <c r="E150" s="1" t="s">
        <v>93</v>
      </c>
    </row>
    <row r="151" spans="1:5" ht="17.25" customHeight="1" x14ac:dyDescent="0.25">
      <c r="A151" s="1">
        <v>2458344.3410200002</v>
      </c>
      <c r="B151" s="1" t="s">
        <v>77</v>
      </c>
      <c r="C151" s="1">
        <v>10.904</v>
      </c>
      <c r="D151" s="1" t="s">
        <v>292</v>
      </c>
      <c r="E151" s="1" t="s">
        <v>93</v>
      </c>
    </row>
    <row r="152" spans="1:5" ht="17.25" customHeight="1" x14ac:dyDescent="0.25">
      <c r="A152" s="1">
        <v>2458344.3412500001</v>
      </c>
      <c r="B152" s="1" t="s">
        <v>77</v>
      </c>
      <c r="C152" s="1">
        <v>10.906000000000001</v>
      </c>
      <c r="D152" s="1" t="s">
        <v>292</v>
      </c>
      <c r="E152" s="1" t="s">
        <v>93</v>
      </c>
    </row>
    <row r="153" spans="1:5" ht="17.25" customHeight="1" x14ac:dyDescent="0.25">
      <c r="A153" s="1">
        <v>2458344.34149</v>
      </c>
      <c r="B153" s="1" t="s">
        <v>77</v>
      </c>
      <c r="C153" s="1">
        <v>10.907999999999999</v>
      </c>
      <c r="D153" s="1" t="s">
        <v>292</v>
      </c>
      <c r="E153" s="1" t="s">
        <v>93</v>
      </c>
    </row>
    <row r="154" spans="1:5" ht="17.25" customHeight="1" x14ac:dyDescent="0.25">
      <c r="A154" s="1">
        <v>2458344.3417400001</v>
      </c>
      <c r="B154" s="1" t="s">
        <v>77</v>
      </c>
      <c r="C154" s="1">
        <v>10.897</v>
      </c>
      <c r="D154" s="1" t="s">
        <v>292</v>
      </c>
      <c r="E154" s="1" t="s">
        <v>93</v>
      </c>
    </row>
    <row r="155" spans="1:5" ht="17.25" customHeight="1" x14ac:dyDescent="0.25">
      <c r="A155" s="1">
        <v>2458344.34197</v>
      </c>
      <c r="B155" s="1" t="s">
        <v>77</v>
      </c>
      <c r="C155" s="1">
        <v>10.922000000000001</v>
      </c>
      <c r="D155" s="1" t="s">
        <v>292</v>
      </c>
      <c r="E155" s="1" t="s">
        <v>93</v>
      </c>
    </row>
    <row r="156" spans="1:5" ht="17.25" customHeight="1" x14ac:dyDescent="0.25">
      <c r="A156" s="1">
        <v>2458344.3422099999</v>
      </c>
      <c r="B156" s="1" t="s">
        <v>77</v>
      </c>
      <c r="C156" s="1">
        <v>10.916</v>
      </c>
      <c r="D156" s="1" t="s">
        <v>292</v>
      </c>
      <c r="E156" s="1" t="s">
        <v>93</v>
      </c>
    </row>
    <row r="157" spans="1:5" ht="17.25" customHeight="1" x14ac:dyDescent="0.25">
      <c r="A157" s="1">
        <v>2458344.3424399998</v>
      </c>
      <c r="B157" s="1" t="s">
        <v>77</v>
      </c>
      <c r="C157" s="1">
        <v>10.917</v>
      </c>
      <c r="D157" s="1" t="s">
        <v>292</v>
      </c>
      <c r="E157" s="1" t="s">
        <v>93</v>
      </c>
    </row>
    <row r="158" spans="1:5" ht="17.25" customHeight="1" x14ac:dyDescent="0.25">
      <c r="A158" s="1">
        <v>2458344.3426899998</v>
      </c>
      <c r="B158" s="1" t="s">
        <v>77</v>
      </c>
      <c r="C158" s="1">
        <v>10.903</v>
      </c>
      <c r="D158" s="1" t="s">
        <v>292</v>
      </c>
      <c r="E158" s="1" t="s">
        <v>93</v>
      </c>
    </row>
    <row r="159" spans="1:5" ht="17.25" customHeight="1" x14ac:dyDescent="0.25">
      <c r="A159" s="1">
        <v>2458344.3429299998</v>
      </c>
      <c r="B159" s="1" t="s">
        <v>77</v>
      </c>
      <c r="C159" s="1">
        <v>10.891999999999999</v>
      </c>
      <c r="D159" s="1" t="s">
        <v>292</v>
      </c>
      <c r="E159" s="1" t="s">
        <v>93</v>
      </c>
    </row>
    <row r="160" spans="1:5" ht="17.25" customHeight="1" x14ac:dyDescent="0.25">
      <c r="A160" s="1">
        <v>2458344.3536299998</v>
      </c>
      <c r="B160" s="1" t="s">
        <v>77</v>
      </c>
      <c r="C160" s="1">
        <v>10.794</v>
      </c>
      <c r="D160" s="1" t="s">
        <v>292</v>
      </c>
      <c r="E160" s="1" t="s">
        <v>95</v>
      </c>
    </row>
    <row r="161" spans="1:5" ht="17.25" customHeight="1" x14ac:dyDescent="0.25">
      <c r="A161" s="1">
        <v>2458344.3539499999</v>
      </c>
      <c r="B161" s="1" t="s">
        <v>77</v>
      </c>
      <c r="C161" s="1">
        <v>10.843999999999999</v>
      </c>
      <c r="D161" s="1" t="s">
        <v>292</v>
      </c>
      <c r="E161" s="1" t="s">
        <v>95</v>
      </c>
    </row>
    <row r="162" spans="1:5" ht="17.25" customHeight="1" x14ac:dyDescent="0.25">
      <c r="A162" s="1">
        <v>2458344.35427</v>
      </c>
      <c r="B162" s="1" t="s">
        <v>77</v>
      </c>
      <c r="C162" s="1">
        <v>10.78</v>
      </c>
      <c r="D162" s="1" t="s">
        <v>292</v>
      </c>
      <c r="E162" s="1" t="s">
        <v>95</v>
      </c>
    </row>
    <row r="163" spans="1:5" ht="17.25" customHeight="1" x14ac:dyDescent="0.25">
      <c r="A163" s="1">
        <v>2458344.3545900001</v>
      </c>
      <c r="B163" s="1" t="s">
        <v>77</v>
      </c>
      <c r="C163" s="1">
        <v>10.763</v>
      </c>
      <c r="D163" s="1" t="s">
        <v>292</v>
      </c>
      <c r="E163" s="1" t="s">
        <v>95</v>
      </c>
    </row>
    <row r="164" spans="1:5" ht="17.25" customHeight="1" x14ac:dyDescent="0.25">
      <c r="A164" s="1">
        <v>2458344.3549000002</v>
      </c>
      <c r="B164" s="1" t="s">
        <v>77</v>
      </c>
      <c r="C164" s="1">
        <v>10.782999999999999</v>
      </c>
      <c r="D164" s="1" t="s">
        <v>292</v>
      </c>
      <c r="E164" s="1" t="s">
        <v>95</v>
      </c>
    </row>
    <row r="165" spans="1:5" ht="17.25" customHeight="1" x14ac:dyDescent="0.25">
      <c r="A165" s="1">
        <v>2458344.3552100002</v>
      </c>
      <c r="B165" s="1" t="s">
        <v>77</v>
      </c>
      <c r="C165" s="1">
        <v>10.849</v>
      </c>
      <c r="D165" s="1" t="s">
        <v>292</v>
      </c>
      <c r="E165" s="1" t="s">
        <v>95</v>
      </c>
    </row>
    <row r="166" spans="1:5" ht="17.25" customHeight="1" x14ac:dyDescent="0.25">
      <c r="A166" s="1">
        <v>2458344.3555399999</v>
      </c>
      <c r="B166" s="1" t="s">
        <v>77</v>
      </c>
      <c r="C166" s="1">
        <v>10.782</v>
      </c>
      <c r="D166" s="1" t="s">
        <v>292</v>
      </c>
      <c r="E166" s="1" t="s">
        <v>95</v>
      </c>
    </row>
    <row r="167" spans="1:5" ht="17.25" customHeight="1" x14ac:dyDescent="0.25">
      <c r="A167" s="1">
        <v>2458344.3558499999</v>
      </c>
      <c r="B167" s="1" t="s">
        <v>77</v>
      </c>
      <c r="C167" s="1">
        <v>10.807</v>
      </c>
      <c r="D167" s="1" t="s">
        <v>292</v>
      </c>
      <c r="E167" s="1" t="s">
        <v>95</v>
      </c>
    </row>
    <row r="168" spans="1:5" ht="17.25" customHeight="1" x14ac:dyDescent="0.25">
      <c r="A168" s="1">
        <v>2458344.35732</v>
      </c>
      <c r="B168" s="1" t="s">
        <v>77</v>
      </c>
      <c r="C168" s="1">
        <v>10.81</v>
      </c>
      <c r="D168" s="1" t="s">
        <v>292</v>
      </c>
      <c r="E168" s="1" t="s">
        <v>95</v>
      </c>
    </row>
    <row r="169" spans="1:5" ht="17.25" customHeight="1" x14ac:dyDescent="0.25">
      <c r="A169" s="1">
        <v>2458344.3576400001</v>
      </c>
      <c r="B169" s="1" t="s">
        <v>77</v>
      </c>
      <c r="C169" s="1">
        <v>10.763</v>
      </c>
      <c r="D169" s="1" t="s">
        <v>292</v>
      </c>
      <c r="E169" s="1" t="s">
        <v>95</v>
      </c>
    </row>
    <row r="170" spans="1:5" ht="17.25" customHeight="1" x14ac:dyDescent="0.25">
      <c r="A170" s="1">
        <v>2458344.3579600002</v>
      </c>
      <c r="B170" s="1" t="s">
        <v>77</v>
      </c>
      <c r="C170" s="1">
        <v>10.858000000000001</v>
      </c>
      <c r="D170" s="1" t="s">
        <v>292</v>
      </c>
      <c r="E170" s="1" t="s">
        <v>95</v>
      </c>
    </row>
    <row r="171" spans="1:5" ht="17.25" customHeight="1" x14ac:dyDescent="0.25">
      <c r="A171" s="1">
        <v>2458344.3582799998</v>
      </c>
      <c r="B171" s="1" t="s">
        <v>77</v>
      </c>
      <c r="C171" s="1">
        <v>10.816000000000001</v>
      </c>
      <c r="D171" s="1" t="s">
        <v>292</v>
      </c>
      <c r="E171" s="1" t="s">
        <v>95</v>
      </c>
    </row>
    <row r="172" spans="1:5" ht="17.25" customHeight="1" x14ac:dyDescent="0.25">
      <c r="A172" s="1">
        <v>2458344.36173</v>
      </c>
      <c r="B172" s="1" t="s">
        <v>77</v>
      </c>
      <c r="C172" s="1">
        <v>10.839</v>
      </c>
      <c r="D172" s="1" t="s">
        <v>292</v>
      </c>
      <c r="E172" s="1" t="s">
        <v>95</v>
      </c>
    </row>
    <row r="173" spans="1:5" ht="17.25" customHeight="1" x14ac:dyDescent="0.25">
      <c r="A173" s="1">
        <v>2458344.3623700002</v>
      </c>
      <c r="B173" s="1" t="s">
        <v>77</v>
      </c>
      <c r="C173" s="1">
        <v>10.86</v>
      </c>
      <c r="D173" s="1" t="s">
        <v>292</v>
      </c>
      <c r="E173" s="1" t="s">
        <v>95</v>
      </c>
    </row>
    <row r="174" spans="1:5" ht="17.25" customHeight="1" x14ac:dyDescent="0.25">
      <c r="A174" s="1">
        <v>2458344.3626899999</v>
      </c>
      <c r="B174" s="1" t="s">
        <v>77</v>
      </c>
      <c r="C174" s="1">
        <v>10.849</v>
      </c>
      <c r="D174" s="1" t="s">
        <v>292</v>
      </c>
      <c r="E174" s="1" t="s">
        <v>95</v>
      </c>
    </row>
    <row r="175" spans="1:5" ht="17.25" customHeight="1" x14ac:dyDescent="0.25">
      <c r="A175" s="1">
        <v>2458344.3629999999</v>
      </c>
      <c r="B175" s="1" t="s">
        <v>77</v>
      </c>
      <c r="C175" s="1">
        <v>10.849</v>
      </c>
      <c r="D175" s="1" t="s">
        <v>292</v>
      </c>
      <c r="E175" s="1" t="s">
        <v>95</v>
      </c>
    </row>
    <row r="176" spans="1:5" ht="17.25" customHeight="1" x14ac:dyDescent="0.25">
      <c r="A176" s="1">
        <v>2458344.3642799999</v>
      </c>
      <c r="B176" s="1" t="s">
        <v>77</v>
      </c>
      <c r="C176" s="1">
        <v>10.833</v>
      </c>
      <c r="D176" s="1" t="s">
        <v>292</v>
      </c>
      <c r="E176" s="1" t="s">
        <v>95</v>
      </c>
    </row>
    <row r="177" spans="1:5" ht="17.25" customHeight="1" x14ac:dyDescent="0.25">
      <c r="A177" s="1">
        <v>2458344.3645899999</v>
      </c>
      <c r="B177" s="1" t="s">
        <v>77</v>
      </c>
      <c r="C177" s="1">
        <v>10.842000000000001</v>
      </c>
      <c r="D177" s="1" t="s">
        <v>292</v>
      </c>
      <c r="E177" s="1" t="s">
        <v>95</v>
      </c>
    </row>
    <row r="178" spans="1:5" ht="17.25" customHeight="1" x14ac:dyDescent="0.25">
      <c r="A178" s="1">
        <v>2458344.3652300001</v>
      </c>
      <c r="B178" s="1" t="s">
        <v>77</v>
      </c>
      <c r="C178" s="1">
        <v>10.827</v>
      </c>
      <c r="D178" s="1" t="s">
        <v>292</v>
      </c>
      <c r="E178" s="1" t="s">
        <v>95</v>
      </c>
    </row>
    <row r="179" spans="1:5" ht="17.25" customHeight="1" x14ac:dyDescent="0.25">
      <c r="A179" s="1">
        <v>2458344.36619</v>
      </c>
      <c r="B179" s="1" t="s">
        <v>77</v>
      </c>
      <c r="C179" s="1">
        <v>10.847</v>
      </c>
      <c r="D179" s="1" t="s">
        <v>292</v>
      </c>
      <c r="E179" s="1" t="s">
        <v>95</v>
      </c>
    </row>
    <row r="180" spans="1:5" ht="17.25" customHeight="1" x14ac:dyDescent="0.25">
      <c r="A180" s="1">
        <v>2458344.3665</v>
      </c>
      <c r="B180" s="1" t="s">
        <v>77</v>
      </c>
      <c r="C180" s="1">
        <v>10.824</v>
      </c>
      <c r="D180" s="1" t="s">
        <v>292</v>
      </c>
      <c r="E180" s="1" t="s">
        <v>95</v>
      </c>
    </row>
    <row r="181" spans="1:5" ht="17.25" customHeight="1" x14ac:dyDescent="0.25">
      <c r="A181" s="1">
        <v>2458344.3668200001</v>
      </c>
      <c r="B181" s="1" t="s">
        <v>77</v>
      </c>
      <c r="C181" s="1">
        <v>10.817</v>
      </c>
      <c r="D181" s="1" t="s">
        <v>292</v>
      </c>
      <c r="E181" s="1" t="s">
        <v>95</v>
      </c>
    </row>
    <row r="182" spans="1:5" ht="17.25" customHeight="1" x14ac:dyDescent="0.25">
      <c r="A182" s="1">
        <v>2458344.3671400002</v>
      </c>
      <c r="B182" s="1" t="s">
        <v>77</v>
      </c>
      <c r="C182" s="1">
        <v>10.824999999999999</v>
      </c>
      <c r="D182" s="1" t="s">
        <v>292</v>
      </c>
      <c r="E182" s="1" t="s">
        <v>95</v>
      </c>
    </row>
    <row r="183" spans="1:5" ht="17.25" customHeight="1" x14ac:dyDescent="0.25">
      <c r="A183" s="1">
        <v>2458344.3674599999</v>
      </c>
      <c r="B183" s="1" t="s">
        <v>77</v>
      </c>
      <c r="C183" s="1">
        <v>10.81</v>
      </c>
      <c r="D183" s="1" t="s">
        <v>292</v>
      </c>
      <c r="E183" s="1" t="s">
        <v>95</v>
      </c>
    </row>
    <row r="184" spans="1:5" ht="17.25" customHeight="1" x14ac:dyDescent="0.25">
      <c r="A184" s="1">
        <v>2458344.3677699999</v>
      </c>
      <c r="B184" s="1" t="s">
        <v>77</v>
      </c>
      <c r="C184" s="1">
        <v>10.837999999999999</v>
      </c>
      <c r="D184" s="1" t="s">
        <v>292</v>
      </c>
      <c r="E184" s="1" t="s">
        <v>95</v>
      </c>
    </row>
    <row r="185" spans="1:5" ht="17.25" customHeight="1" x14ac:dyDescent="0.25">
      <c r="A185" s="1">
        <v>2458344.3681000001</v>
      </c>
      <c r="B185" s="1" t="s">
        <v>77</v>
      </c>
      <c r="C185" s="1">
        <v>10.795</v>
      </c>
      <c r="D185" s="1" t="s">
        <v>292</v>
      </c>
      <c r="E185" s="1" t="s">
        <v>95</v>
      </c>
    </row>
    <row r="186" spans="1:5" ht="17.25" customHeight="1" x14ac:dyDescent="0.25">
      <c r="A186" s="1">
        <v>2458344.3684100001</v>
      </c>
      <c r="B186" s="1" t="s">
        <v>77</v>
      </c>
      <c r="C186" s="1">
        <v>10.82</v>
      </c>
      <c r="D186" s="1" t="s">
        <v>292</v>
      </c>
      <c r="E186" s="1" t="s">
        <v>95</v>
      </c>
    </row>
    <row r="187" spans="1:5" ht="17.25" customHeight="1" x14ac:dyDescent="0.25">
      <c r="A187" s="1">
        <v>2458344.3687300002</v>
      </c>
      <c r="B187" s="1" t="s">
        <v>77</v>
      </c>
      <c r="C187" s="1">
        <v>10.832000000000001</v>
      </c>
      <c r="D187" s="1" t="s">
        <v>292</v>
      </c>
      <c r="E187" s="1" t="s">
        <v>95</v>
      </c>
    </row>
    <row r="188" spans="1:5" ht="17.25" customHeight="1" x14ac:dyDescent="0.25">
      <c r="A188" s="1">
        <v>2458344.3690499999</v>
      </c>
      <c r="B188" s="1" t="s">
        <v>77</v>
      </c>
      <c r="C188" s="1">
        <v>10.881</v>
      </c>
      <c r="D188" s="1" t="s">
        <v>292</v>
      </c>
      <c r="E188" s="1" t="s">
        <v>95</v>
      </c>
    </row>
    <row r="189" spans="1:5" ht="17.25" customHeight="1" x14ac:dyDescent="0.25">
      <c r="A189" s="1">
        <v>2458344.36937</v>
      </c>
      <c r="B189" s="1" t="s">
        <v>77</v>
      </c>
      <c r="C189" s="1">
        <v>10.872</v>
      </c>
      <c r="D189" s="1" t="s">
        <v>292</v>
      </c>
      <c r="E189" s="1" t="s">
        <v>95</v>
      </c>
    </row>
    <row r="190" spans="1:5" ht="17.25" customHeight="1" x14ac:dyDescent="0.25">
      <c r="A190" s="1">
        <v>2458344.36968</v>
      </c>
      <c r="B190" s="1" t="s">
        <v>77</v>
      </c>
      <c r="C190" s="1">
        <v>10.878</v>
      </c>
      <c r="D190" s="1" t="s">
        <v>292</v>
      </c>
      <c r="E190" s="1" t="s">
        <v>95</v>
      </c>
    </row>
    <row r="191" spans="1:5" ht="17.25" customHeight="1" x14ac:dyDescent="0.25">
      <c r="A191" s="1">
        <v>2458344.3703200002</v>
      </c>
      <c r="B191" s="1" t="s">
        <v>77</v>
      </c>
      <c r="C191" s="1">
        <v>10.879</v>
      </c>
      <c r="D191" s="1" t="s">
        <v>292</v>
      </c>
      <c r="E191" s="1" t="s">
        <v>95</v>
      </c>
    </row>
    <row r="192" spans="1:5" ht="17.25" customHeight="1" x14ac:dyDescent="0.25">
      <c r="A192" s="1">
        <v>2458344.3706399999</v>
      </c>
      <c r="B192" s="1" t="s">
        <v>77</v>
      </c>
      <c r="C192" s="1">
        <v>10.816000000000001</v>
      </c>
      <c r="D192" s="1" t="s">
        <v>292</v>
      </c>
      <c r="E192" s="1" t="s">
        <v>95</v>
      </c>
    </row>
    <row r="193" spans="1:5" ht="17.25" customHeight="1" x14ac:dyDescent="0.25">
      <c r="A193" s="1">
        <v>2458344.3709499999</v>
      </c>
      <c r="B193" s="1" t="s">
        <v>77</v>
      </c>
      <c r="C193" s="1">
        <v>10.867000000000001</v>
      </c>
      <c r="D193" s="1" t="s">
        <v>292</v>
      </c>
      <c r="E193" s="1" t="s">
        <v>95</v>
      </c>
    </row>
    <row r="194" spans="1:5" ht="17.25" customHeight="1" x14ac:dyDescent="0.25">
      <c r="A194" s="1">
        <v>2458344.37127</v>
      </c>
      <c r="B194" s="1" t="s">
        <v>77</v>
      </c>
      <c r="C194" s="1">
        <v>10.818</v>
      </c>
      <c r="D194" s="1" t="s">
        <v>292</v>
      </c>
      <c r="E194" s="1" t="s">
        <v>95</v>
      </c>
    </row>
    <row r="195" spans="1:5" ht="17.25" customHeight="1" x14ac:dyDescent="0.25">
      <c r="A195" s="1">
        <v>2458344.3856500001</v>
      </c>
      <c r="B195" s="1" t="s">
        <v>77</v>
      </c>
      <c r="C195" s="1">
        <v>10.877000000000001</v>
      </c>
      <c r="D195" s="1" t="s">
        <v>292</v>
      </c>
      <c r="E195" s="1" t="s">
        <v>95</v>
      </c>
    </row>
    <row r="196" spans="1:5" ht="17.25" customHeight="1" x14ac:dyDescent="0.25">
      <c r="A196" s="1">
        <v>2458344.3859799998</v>
      </c>
      <c r="B196" s="1" t="s">
        <v>77</v>
      </c>
      <c r="C196" s="1">
        <v>10.882</v>
      </c>
      <c r="D196" s="1" t="s">
        <v>292</v>
      </c>
      <c r="E196" s="1" t="s">
        <v>95</v>
      </c>
    </row>
    <row r="197" spans="1:5" ht="17.25" customHeight="1" x14ac:dyDescent="0.25">
      <c r="A197" s="1">
        <v>2458344.3862999999</v>
      </c>
      <c r="B197" s="1" t="s">
        <v>77</v>
      </c>
      <c r="C197" s="1">
        <v>10.868</v>
      </c>
      <c r="D197" s="1" t="s">
        <v>292</v>
      </c>
      <c r="E197" s="1" t="s">
        <v>95</v>
      </c>
    </row>
    <row r="198" spans="1:5" ht="17.25" customHeight="1" x14ac:dyDescent="0.25">
      <c r="A198" s="1">
        <v>2458344.3866099999</v>
      </c>
      <c r="B198" s="1" t="s">
        <v>77</v>
      </c>
      <c r="C198" s="1">
        <v>10.871</v>
      </c>
      <c r="D198" s="1" t="s">
        <v>292</v>
      </c>
      <c r="E198" s="1" t="s">
        <v>95</v>
      </c>
    </row>
    <row r="199" spans="1:5" ht="17.25" customHeight="1" x14ac:dyDescent="0.25">
      <c r="A199" s="1">
        <v>2458344.3869400001</v>
      </c>
      <c r="B199" s="1" t="s">
        <v>77</v>
      </c>
      <c r="C199" s="1">
        <v>10.829000000000001</v>
      </c>
      <c r="D199" s="1" t="s">
        <v>292</v>
      </c>
      <c r="E199" s="1" t="s">
        <v>95</v>
      </c>
    </row>
    <row r="200" spans="1:5" ht="17.25" customHeight="1" x14ac:dyDescent="0.25">
      <c r="A200" s="1">
        <v>2458344.3872500001</v>
      </c>
      <c r="B200" s="1" t="s">
        <v>77</v>
      </c>
      <c r="C200" s="1">
        <v>10.827999999999999</v>
      </c>
      <c r="D200" s="1" t="s">
        <v>292</v>
      </c>
      <c r="E200" s="1" t="s">
        <v>95</v>
      </c>
    </row>
    <row r="201" spans="1:5" ht="17.25" customHeight="1" x14ac:dyDescent="0.25">
      <c r="A201" s="1">
        <v>2458344.3875600002</v>
      </c>
      <c r="B201" s="1" t="s">
        <v>77</v>
      </c>
      <c r="C201" s="1">
        <v>10.851000000000001</v>
      </c>
      <c r="D201" s="1" t="s">
        <v>292</v>
      </c>
      <c r="E201" s="1" t="s">
        <v>95</v>
      </c>
    </row>
    <row r="202" spans="1:5" ht="17.25" customHeight="1" x14ac:dyDescent="0.25">
      <c r="A202" s="1">
        <v>2458344.3878899999</v>
      </c>
      <c r="B202" s="1" t="s">
        <v>77</v>
      </c>
      <c r="C202" s="1">
        <v>10.837</v>
      </c>
      <c r="D202" s="1" t="s">
        <v>292</v>
      </c>
      <c r="E202" s="1" t="s">
        <v>95</v>
      </c>
    </row>
    <row r="203" spans="1:5" ht="17.25" customHeight="1" x14ac:dyDescent="0.25">
      <c r="A203" s="1">
        <v>2458344.3881999999</v>
      </c>
      <c r="B203" s="1" t="s">
        <v>77</v>
      </c>
      <c r="C203" s="1">
        <v>10.855</v>
      </c>
      <c r="D203" s="1" t="s">
        <v>292</v>
      </c>
      <c r="E203" s="1" t="s">
        <v>95</v>
      </c>
    </row>
    <row r="204" spans="1:5" ht="17.25" customHeight="1" x14ac:dyDescent="0.25">
      <c r="A204" s="1">
        <v>2458344.38852</v>
      </c>
      <c r="B204" s="1" t="s">
        <v>77</v>
      </c>
      <c r="C204" s="1">
        <v>10.852</v>
      </c>
      <c r="D204" s="1" t="s">
        <v>292</v>
      </c>
      <c r="E204" s="1" t="s">
        <v>95</v>
      </c>
    </row>
    <row r="205" spans="1:5" ht="17.25" customHeight="1" x14ac:dyDescent="0.25">
      <c r="A205" s="1">
        <v>2458344.3888400001</v>
      </c>
      <c r="B205" s="1" t="s">
        <v>77</v>
      </c>
      <c r="C205" s="1">
        <v>10.846</v>
      </c>
      <c r="D205" s="1" t="s">
        <v>292</v>
      </c>
      <c r="E205" s="1" t="s">
        <v>95</v>
      </c>
    </row>
    <row r="206" spans="1:5" ht="17.25" customHeight="1" x14ac:dyDescent="0.25">
      <c r="A206" s="1">
        <v>2458344.3935099998</v>
      </c>
      <c r="B206" s="1" t="s">
        <v>77</v>
      </c>
      <c r="C206" s="1">
        <v>10.821999999999999</v>
      </c>
      <c r="D206" s="1" t="s">
        <v>292</v>
      </c>
      <c r="E206" s="1" t="s">
        <v>95</v>
      </c>
    </row>
    <row r="207" spans="1:5" ht="17.25" customHeight="1" x14ac:dyDescent="0.25">
      <c r="A207" s="1">
        <v>2458344.39384</v>
      </c>
      <c r="B207" s="1" t="s">
        <v>77</v>
      </c>
      <c r="C207" s="1">
        <v>10.86</v>
      </c>
      <c r="D207" s="1" t="s">
        <v>292</v>
      </c>
      <c r="E207" s="1" t="s">
        <v>95</v>
      </c>
    </row>
    <row r="208" spans="1:5" ht="17.25" customHeight="1" x14ac:dyDescent="0.25">
      <c r="A208" s="1">
        <v>2458344.3941500001</v>
      </c>
      <c r="B208" s="1" t="s">
        <v>77</v>
      </c>
      <c r="C208" s="1">
        <v>10.856</v>
      </c>
      <c r="D208" s="1" t="s">
        <v>292</v>
      </c>
      <c r="E208" s="1" t="s">
        <v>95</v>
      </c>
    </row>
    <row r="209" spans="1:5" ht="17.25" customHeight="1" x14ac:dyDescent="0.25">
      <c r="A209" s="1">
        <v>2458344.3944700002</v>
      </c>
      <c r="B209" s="1" t="s">
        <v>77</v>
      </c>
      <c r="C209" s="1">
        <v>10.808</v>
      </c>
      <c r="D209" s="1" t="s">
        <v>292</v>
      </c>
      <c r="E209" s="1" t="s">
        <v>95</v>
      </c>
    </row>
    <row r="210" spans="1:5" ht="17.25" customHeight="1" x14ac:dyDescent="0.25">
      <c r="A210" s="1">
        <v>2458344.3947899998</v>
      </c>
      <c r="B210" s="1" t="s">
        <v>77</v>
      </c>
      <c r="C210" s="1">
        <v>10.789</v>
      </c>
      <c r="D210" s="1" t="s">
        <v>292</v>
      </c>
      <c r="E210" s="1" t="s">
        <v>95</v>
      </c>
    </row>
    <row r="211" spans="1:5" ht="17.25" customHeight="1" x14ac:dyDescent="0.25">
      <c r="A211" s="1">
        <v>2458344.3951099999</v>
      </c>
      <c r="B211" s="1" t="s">
        <v>77</v>
      </c>
      <c r="C211" s="1">
        <v>10.867000000000001</v>
      </c>
      <c r="D211" s="1" t="s">
        <v>292</v>
      </c>
      <c r="E211" s="1" t="s">
        <v>95</v>
      </c>
    </row>
    <row r="212" spans="1:5" ht="17.25" hidden="1" customHeight="1" x14ac:dyDescent="0.25">
      <c r="A212" s="1">
        <v>2458344.5317500001</v>
      </c>
      <c r="B212" s="1" t="s">
        <v>96</v>
      </c>
      <c r="C212" s="1">
        <v>10.933999999999999</v>
      </c>
      <c r="D212" s="1" t="s">
        <v>292</v>
      </c>
      <c r="E212" s="1" t="s">
        <v>285</v>
      </c>
    </row>
    <row r="213" spans="1:5" ht="17.25" customHeight="1" x14ac:dyDescent="0.25">
      <c r="A213" s="1">
        <v>2458344.6056900001</v>
      </c>
      <c r="B213" s="1" t="s">
        <v>96</v>
      </c>
      <c r="C213" s="1">
        <v>10.917999999999999</v>
      </c>
      <c r="D213" s="1" t="s">
        <v>292</v>
      </c>
      <c r="E213" s="1" t="s">
        <v>97</v>
      </c>
    </row>
    <row r="214" spans="1:5" ht="17.25" customHeight="1" x14ac:dyDescent="0.25">
      <c r="A214" s="1">
        <v>2458345.4019499999</v>
      </c>
      <c r="B214" s="1" t="s">
        <v>96</v>
      </c>
      <c r="C214" s="1">
        <v>10.757999999999999</v>
      </c>
      <c r="D214" s="1" t="s">
        <v>292</v>
      </c>
      <c r="E214" s="1" t="s">
        <v>98</v>
      </c>
    </row>
    <row r="215" spans="1:5" ht="17.25" customHeight="1" x14ac:dyDescent="0.25">
      <c r="A215" s="1">
        <v>2458345.4035399999</v>
      </c>
      <c r="B215" s="1" t="s">
        <v>96</v>
      </c>
      <c r="C215" s="1">
        <v>10.771000000000001</v>
      </c>
      <c r="D215" s="1" t="s">
        <v>292</v>
      </c>
      <c r="E215" s="1" t="s">
        <v>98</v>
      </c>
    </row>
    <row r="216" spans="1:5" ht="17.25" customHeight="1" x14ac:dyDescent="0.25">
      <c r="A216" s="1">
        <v>2458345.4051299999</v>
      </c>
      <c r="B216" s="1" t="s">
        <v>96</v>
      </c>
      <c r="C216" s="1">
        <v>10.808</v>
      </c>
      <c r="D216" s="1" t="s">
        <v>292</v>
      </c>
      <c r="E216" s="1" t="s">
        <v>98</v>
      </c>
    </row>
    <row r="217" spans="1:5" ht="17.25" customHeight="1" x14ac:dyDescent="0.25">
      <c r="A217" s="1">
        <v>2458345.4067600002</v>
      </c>
      <c r="B217" s="1" t="s">
        <v>96</v>
      </c>
      <c r="C217" s="1">
        <v>10.794</v>
      </c>
      <c r="D217" s="1" t="s">
        <v>292</v>
      </c>
      <c r="E217" s="1" t="s">
        <v>98</v>
      </c>
    </row>
    <row r="218" spans="1:5" ht="17.25" customHeight="1" x14ac:dyDescent="0.25">
      <c r="A218" s="1">
        <v>2458345.4083500002</v>
      </c>
      <c r="B218" s="1" t="s">
        <v>96</v>
      </c>
      <c r="C218" s="1">
        <v>10.771000000000001</v>
      </c>
      <c r="D218" s="1" t="s">
        <v>292</v>
      </c>
      <c r="E218" s="1" t="s">
        <v>98</v>
      </c>
    </row>
    <row r="219" spans="1:5" ht="17.25" customHeight="1" x14ac:dyDescent="0.25">
      <c r="A219" s="1">
        <v>2458345.4099300001</v>
      </c>
      <c r="B219" s="1" t="s">
        <v>96</v>
      </c>
      <c r="C219" s="1">
        <v>10.768000000000001</v>
      </c>
      <c r="D219" s="1" t="s">
        <v>292</v>
      </c>
      <c r="E219" s="1" t="s">
        <v>98</v>
      </c>
    </row>
    <row r="220" spans="1:5" ht="17.25" customHeight="1" x14ac:dyDescent="0.25">
      <c r="A220" s="1">
        <v>2458345.4115200001</v>
      </c>
      <c r="B220" s="1" t="s">
        <v>96</v>
      </c>
      <c r="C220" s="1">
        <v>10.741</v>
      </c>
      <c r="D220" s="1" t="s">
        <v>292</v>
      </c>
      <c r="E220" s="1" t="s">
        <v>98</v>
      </c>
    </row>
    <row r="221" spans="1:5" ht="17.25" customHeight="1" x14ac:dyDescent="0.25">
      <c r="A221" s="1">
        <v>2458345.4131</v>
      </c>
      <c r="B221" s="1" t="s">
        <v>96</v>
      </c>
      <c r="C221" s="1">
        <v>10.746</v>
      </c>
      <c r="D221" s="1" t="s">
        <v>292</v>
      </c>
      <c r="E221" s="1" t="s">
        <v>98</v>
      </c>
    </row>
    <row r="222" spans="1:5" ht="17.25" customHeight="1" x14ac:dyDescent="0.25">
      <c r="A222" s="1">
        <v>2458345.41469</v>
      </c>
      <c r="B222" s="1" t="s">
        <v>96</v>
      </c>
      <c r="C222" s="1">
        <v>10.733000000000001</v>
      </c>
      <c r="D222" s="1" t="s">
        <v>292</v>
      </c>
      <c r="E222" s="1" t="s">
        <v>98</v>
      </c>
    </row>
    <row r="223" spans="1:5" ht="17.25" customHeight="1" x14ac:dyDescent="0.25">
      <c r="A223" s="1">
        <v>2458345.4162699999</v>
      </c>
      <c r="B223" s="1" t="s">
        <v>96</v>
      </c>
      <c r="C223" s="1">
        <v>10.747</v>
      </c>
      <c r="D223" s="1" t="s">
        <v>292</v>
      </c>
      <c r="E223" s="1" t="s">
        <v>98</v>
      </c>
    </row>
    <row r="224" spans="1:5" ht="17.25" customHeight="1" x14ac:dyDescent="0.25">
      <c r="A224" s="1">
        <v>2458345.4178599999</v>
      </c>
      <c r="B224" s="1" t="s">
        <v>96</v>
      </c>
      <c r="C224" s="1">
        <v>10.776</v>
      </c>
      <c r="D224" s="1" t="s">
        <v>292</v>
      </c>
      <c r="E224" s="1" t="s">
        <v>98</v>
      </c>
    </row>
    <row r="225" spans="1:5" ht="17.25" customHeight="1" x14ac:dyDescent="0.25">
      <c r="A225" s="1">
        <v>2458345.4194399999</v>
      </c>
      <c r="B225" s="1" t="s">
        <v>96</v>
      </c>
      <c r="C225" s="1">
        <v>10.801</v>
      </c>
      <c r="D225" s="1" t="s">
        <v>292</v>
      </c>
      <c r="E225" s="1" t="s">
        <v>98</v>
      </c>
    </row>
    <row r="226" spans="1:5" ht="17.25" customHeight="1" x14ac:dyDescent="0.25">
      <c r="A226" s="1">
        <v>2458345.4210299999</v>
      </c>
      <c r="B226" s="1" t="s">
        <v>96</v>
      </c>
      <c r="C226" s="1">
        <v>10.811</v>
      </c>
      <c r="D226" s="1" t="s">
        <v>292</v>
      </c>
      <c r="E226" s="1" t="s">
        <v>98</v>
      </c>
    </row>
    <row r="227" spans="1:5" ht="17.25" customHeight="1" x14ac:dyDescent="0.25">
      <c r="A227" s="1">
        <v>2458345.4226299999</v>
      </c>
      <c r="B227" s="1" t="s">
        <v>96</v>
      </c>
      <c r="C227" s="1">
        <v>10.781000000000001</v>
      </c>
      <c r="D227" s="1" t="s">
        <v>292</v>
      </c>
      <c r="E227" s="1" t="s">
        <v>98</v>
      </c>
    </row>
    <row r="228" spans="1:5" ht="17.25" customHeight="1" x14ac:dyDescent="0.25">
      <c r="A228" s="1">
        <v>2458345.4242099999</v>
      </c>
      <c r="B228" s="1" t="s">
        <v>96</v>
      </c>
      <c r="C228" s="1">
        <v>10.785</v>
      </c>
      <c r="D228" s="1" t="s">
        <v>292</v>
      </c>
      <c r="E228" s="1" t="s">
        <v>98</v>
      </c>
    </row>
    <row r="229" spans="1:5" ht="17.25" customHeight="1" x14ac:dyDescent="0.25">
      <c r="A229" s="1">
        <v>2458345.4257999999</v>
      </c>
      <c r="B229" s="1" t="s">
        <v>96</v>
      </c>
      <c r="C229" s="1">
        <v>10.801</v>
      </c>
      <c r="D229" s="1" t="s">
        <v>292</v>
      </c>
      <c r="E229" s="1" t="s">
        <v>98</v>
      </c>
    </row>
    <row r="230" spans="1:5" ht="17.25" customHeight="1" x14ac:dyDescent="0.25">
      <c r="A230" s="1">
        <v>2458345.4273700002</v>
      </c>
      <c r="B230" s="1" t="s">
        <v>96</v>
      </c>
      <c r="C230" s="1">
        <v>10.805999999999999</v>
      </c>
      <c r="D230" s="1" t="s">
        <v>292</v>
      </c>
      <c r="E230" s="1" t="s">
        <v>98</v>
      </c>
    </row>
    <row r="231" spans="1:5" ht="17.25" customHeight="1" x14ac:dyDescent="0.25">
      <c r="A231" s="1">
        <v>2458345.4289699998</v>
      </c>
      <c r="B231" s="1" t="s">
        <v>96</v>
      </c>
      <c r="C231" s="1">
        <v>10.798</v>
      </c>
      <c r="D231" s="1" t="s">
        <v>292</v>
      </c>
      <c r="E231" s="1" t="s">
        <v>98</v>
      </c>
    </row>
    <row r="232" spans="1:5" ht="17.25" customHeight="1" x14ac:dyDescent="0.25">
      <c r="A232" s="1">
        <v>2458345.4305500002</v>
      </c>
      <c r="B232" s="1" t="s">
        <v>96</v>
      </c>
      <c r="C232" s="1">
        <v>10.795999999999999</v>
      </c>
      <c r="D232" s="1" t="s">
        <v>292</v>
      </c>
      <c r="E232" s="1" t="s">
        <v>98</v>
      </c>
    </row>
    <row r="233" spans="1:5" ht="17.25" customHeight="1" x14ac:dyDescent="0.25">
      <c r="A233" s="1">
        <v>2458345.4321400002</v>
      </c>
      <c r="B233" s="1" t="s">
        <v>96</v>
      </c>
      <c r="C233" s="1">
        <v>10.79</v>
      </c>
      <c r="D233" s="1" t="s">
        <v>292</v>
      </c>
      <c r="E233" s="1" t="s">
        <v>98</v>
      </c>
    </row>
    <row r="234" spans="1:5" ht="17.25" customHeight="1" x14ac:dyDescent="0.25">
      <c r="A234" s="1">
        <v>2458345.4337300002</v>
      </c>
      <c r="B234" s="1" t="s">
        <v>96</v>
      </c>
      <c r="C234" s="1">
        <v>10.795</v>
      </c>
      <c r="D234" s="1" t="s">
        <v>292</v>
      </c>
      <c r="E234" s="1" t="s">
        <v>98</v>
      </c>
    </row>
    <row r="235" spans="1:5" ht="17.25" customHeight="1" x14ac:dyDescent="0.25">
      <c r="A235" s="1">
        <v>2458345.4353100001</v>
      </c>
      <c r="B235" s="1" t="s">
        <v>96</v>
      </c>
      <c r="C235" s="1">
        <v>10.794</v>
      </c>
      <c r="D235" s="1" t="s">
        <v>292</v>
      </c>
      <c r="E235" s="1" t="s">
        <v>98</v>
      </c>
    </row>
    <row r="236" spans="1:5" ht="17.25" customHeight="1" x14ac:dyDescent="0.25">
      <c r="A236" s="1">
        <v>2458345.4369000001</v>
      </c>
      <c r="B236" s="1" t="s">
        <v>96</v>
      </c>
      <c r="C236" s="1">
        <v>10.805999999999999</v>
      </c>
      <c r="D236" s="1" t="s">
        <v>292</v>
      </c>
      <c r="E236" s="1" t="s">
        <v>98</v>
      </c>
    </row>
    <row r="237" spans="1:5" ht="17.25" customHeight="1" x14ac:dyDescent="0.25">
      <c r="A237" s="1">
        <v>2458345.43848</v>
      </c>
      <c r="B237" s="1" t="s">
        <v>96</v>
      </c>
      <c r="C237" s="1">
        <v>10.779</v>
      </c>
      <c r="D237" s="1" t="s">
        <v>292</v>
      </c>
      <c r="E237" s="1" t="s">
        <v>98</v>
      </c>
    </row>
    <row r="238" spans="1:5" ht="17.25" customHeight="1" x14ac:dyDescent="0.25">
      <c r="A238" s="1">
        <v>2458345.44007</v>
      </c>
      <c r="B238" s="1" t="s">
        <v>96</v>
      </c>
      <c r="C238" s="1">
        <v>10.786</v>
      </c>
      <c r="D238" s="1" t="s">
        <v>292</v>
      </c>
      <c r="E238" s="1" t="s">
        <v>98</v>
      </c>
    </row>
    <row r="239" spans="1:5" ht="17.25" customHeight="1" x14ac:dyDescent="0.25">
      <c r="A239" s="1">
        <v>2458345.4416499999</v>
      </c>
      <c r="B239" s="1" t="s">
        <v>96</v>
      </c>
      <c r="C239" s="1">
        <v>10.776</v>
      </c>
      <c r="D239" s="1" t="s">
        <v>292</v>
      </c>
      <c r="E239" s="1" t="s">
        <v>98</v>
      </c>
    </row>
    <row r="240" spans="1:5" ht="17.25" customHeight="1" x14ac:dyDescent="0.25">
      <c r="A240" s="1">
        <v>2458345.4432399999</v>
      </c>
      <c r="B240" s="1" t="s">
        <v>96</v>
      </c>
      <c r="C240" s="1">
        <v>10.778</v>
      </c>
      <c r="D240" s="1" t="s">
        <v>292</v>
      </c>
      <c r="E240" s="1" t="s">
        <v>98</v>
      </c>
    </row>
    <row r="241" spans="1:5" ht="17.25" customHeight="1" x14ac:dyDescent="0.25">
      <c r="A241" s="1">
        <v>2458345.4448199999</v>
      </c>
      <c r="B241" s="1" t="s">
        <v>96</v>
      </c>
      <c r="C241" s="1">
        <v>10.768000000000001</v>
      </c>
      <c r="D241" s="1" t="s">
        <v>292</v>
      </c>
      <c r="E241" s="1" t="s">
        <v>98</v>
      </c>
    </row>
    <row r="242" spans="1:5" ht="17.25" customHeight="1" x14ac:dyDescent="0.25">
      <c r="A242" s="1">
        <v>2458345.4464099999</v>
      </c>
      <c r="B242" s="1" t="s">
        <v>96</v>
      </c>
      <c r="C242" s="1">
        <v>10.771000000000001</v>
      </c>
      <c r="D242" s="1" t="s">
        <v>292</v>
      </c>
      <c r="E242" s="1" t="s">
        <v>98</v>
      </c>
    </row>
    <row r="243" spans="1:5" ht="17.25" customHeight="1" x14ac:dyDescent="0.25">
      <c r="A243" s="1">
        <v>2458345.4479999999</v>
      </c>
      <c r="B243" s="1" t="s">
        <v>96</v>
      </c>
      <c r="C243" s="1">
        <v>10.781000000000001</v>
      </c>
      <c r="D243" s="1" t="s">
        <v>292</v>
      </c>
      <c r="E243" s="1" t="s">
        <v>98</v>
      </c>
    </row>
    <row r="244" spans="1:5" ht="17.25" customHeight="1" x14ac:dyDescent="0.25">
      <c r="A244" s="1">
        <v>2458345.4495799998</v>
      </c>
      <c r="B244" s="1" t="s">
        <v>96</v>
      </c>
      <c r="C244" s="1">
        <v>10.775</v>
      </c>
      <c r="D244" s="1" t="s">
        <v>292</v>
      </c>
      <c r="E244" s="1" t="s">
        <v>98</v>
      </c>
    </row>
    <row r="245" spans="1:5" ht="17.25" customHeight="1" x14ac:dyDescent="0.25">
      <c r="A245" s="1">
        <v>2458345.4511699998</v>
      </c>
      <c r="B245" s="1" t="s">
        <v>96</v>
      </c>
      <c r="C245" s="1">
        <v>10.782999999999999</v>
      </c>
      <c r="D245" s="1" t="s">
        <v>292</v>
      </c>
      <c r="E245" s="1" t="s">
        <v>98</v>
      </c>
    </row>
    <row r="246" spans="1:5" ht="17.25" customHeight="1" x14ac:dyDescent="0.25">
      <c r="A246" s="1">
        <v>2458345.4527500002</v>
      </c>
      <c r="B246" s="1" t="s">
        <v>96</v>
      </c>
      <c r="C246" s="1">
        <v>10.776999999999999</v>
      </c>
      <c r="D246" s="1" t="s">
        <v>292</v>
      </c>
      <c r="E246" s="1" t="s">
        <v>98</v>
      </c>
    </row>
    <row r="247" spans="1:5" ht="17.25" customHeight="1" x14ac:dyDescent="0.25">
      <c r="A247" s="1">
        <v>2458345.4543499998</v>
      </c>
      <c r="B247" s="1" t="s">
        <v>96</v>
      </c>
      <c r="C247" s="1">
        <v>10.789</v>
      </c>
      <c r="D247" s="1" t="s">
        <v>292</v>
      </c>
      <c r="E247" s="1" t="s">
        <v>98</v>
      </c>
    </row>
    <row r="248" spans="1:5" ht="17.25" customHeight="1" x14ac:dyDescent="0.25">
      <c r="A248" s="1">
        <v>2458345.4559399998</v>
      </c>
      <c r="B248" s="1" t="s">
        <v>96</v>
      </c>
      <c r="C248" s="1">
        <v>10.784000000000001</v>
      </c>
      <c r="D248" s="1" t="s">
        <v>292</v>
      </c>
      <c r="E248" s="1" t="s">
        <v>98</v>
      </c>
    </row>
    <row r="249" spans="1:5" ht="17.25" customHeight="1" x14ac:dyDescent="0.25">
      <c r="A249" s="1">
        <v>2458345.4575200002</v>
      </c>
      <c r="B249" s="1" t="s">
        <v>96</v>
      </c>
      <c r="C249" s="1">
        <v>10.769</v>
      </c>
      <c r="D249" s="1" t="s">
        <v>292</v>
      </c>
      <c r="E249" s="1" t="s">
        <v>98</v>
      </c>
    </row>
    <row r="250" spans="1:5" ht="17.25" customHeight="1" x14ac:dyDescent="0.25">
      <c r="A250" s="1">
        <v>2458345.4591100002</v>
      </c>
      <c r="B250" s="1" t="s">
        <v>96</v>
      </c>
      <c r="C250" s="1">
        <v>10.771000000000001</v>
      </c>
      <c r="D250" s="1" t="s">
        <v>292</v>
      </c>
      <c r="E250" s="1" t="s">
        <v>98</v>
      </c>
    </row>
    <row r="251" spans="1:5" ht="17.25" customHeight="1" x14ac:dyDescent="0.25">
      <c r="A251" s="1">
        <v>2458345.4606900001</v>
      </c>
      <c r="B251" s="1" t="s">
        <v>96</v>
      </c>
      <c r="C251" s="1">
        <v>10.757999999999999</v>
      </c>
      <c r="D251" s="1" t="s">
        <v>292</v>
      </c>
      <c r="E251" s="1" t="s">
        <v>98</v>
      </c>
    </row>
    <row r="252" spans="1:5" ht="17.25" customHeight="1" x14ac:dyDescent="0.25">
      <c r="A252" s="1">
        <v>2458345.4622800001</v>
      </c>
      <c r="B252" s="1" t="s">
        <v>96</v>
      </c>
      <c r="C252" s="1">
        <v>10.773</v>
      </c>
      <c r="D252" s="1" t="s">
        <v>292</v>
      </c>
      <c r="E252" s="1" t="s">
        <v>98</v>
      </c>
    </row>
    <row r="253" spans="1:5" ht="17.25" customHeight="1" x14ac:dyDescent="0.25">
      <c r="A253" s="1">
        <v>2458345.46386</v>
      </c>
      <c r="B253" s="1" t="s">
        <v>96</v>
      </c>
      <c r="C253" s="1">
        <v>10.75</v>
      </c>
      <c r="D253" s="1" t="s">
        <v>292</v>
      </c>
      <c r="E253" s="1" t="s">
        <v>98</v>
      </c>
    </row>
    <row r="254" spans="1:5" ht="17.25" customHeight="1" x14ac:dyDescent="0.25">
      <c r="A254" s="1">
        <v>2458345.46545</v>
      </c>
      <c r="B254" s="1" t="s">
        <v>96</v>
      </c>
      <c r="C254" s="1">
        <v>10.766</v>
      </c>
      <c r="D254" s="1" t="s">
        <v>292</v>
      </c>
      <c r="E254" s="1" t="s">
        <v>98</v>
      </c>
    </row>
    <row r="255" spans="1:5" ht="17.25" customHeight="1" x14ac:dyDescent="0.25">
      <c r="A255" s="1">
        <v>2458345.4670299999</v>
      </c>
      <c r="B255" s="1" t="s">
        <v>96</v>
      </c>
      <c r="C255" s="1">
        <v>10.744</v>
      </c>
      <c r="D255" s="1" t="s">
        <v>292</v>
      </c>
      <c r="E255" s="1" t="s">
        <v>98</v>
      </c>
    </row>
    <row r="256" spans="1:5" ht="17.25" customHeight="1" x14ac:dyDescent="0.25">
      <c r="A256" s="1">
        <v>2458345.4686199999</v>
      </c>
      <c r="B256" s="1" t="s">
        <v>96</v>
      </c>
      <c r="C256" s="1">
        <v>10.766999999999999</v>
      </c>
      <c r="D256" s="1" t="s">
        <v>292</v>
      </c>
      <c r="E256" s="1" t="s">
        <v>98</v>
      </c>
    </row>
    <row r="257" spans="1:5" ht="17.25" customHeight="1" x14ac:dyDescent="0.25">
      <c r="A257" s="1">
        <v>2458345.4702099999</v>
      </c>
      <c r="B257" s="1" t="s">
        <v>96</v>
      </c>
      <c r="C257" s="1">
        <v>10.778</v>
      </c>
      <c r="D257" s="1" t="s">
        <v>292</v>
      </c>
      <c r="E257" s="1" t="s">
        <v>98</v>
      </c>
    </row>
    <row r="258" spans="1:5" ht="17.25" customHeight="1" x14ac:dyDescent="0.25">
      <c r="A258" s="1">
        <v>2458345.4730600002</v>
      </c>
      <c r="B258" s="1" t="s">
        <v>96</v>
      </c>
      <c r="C258" s="1">
        <v>10.827</v>
      </c>
      <c r="D258" s="1" t="s">
        <v>292</v>
      </c>
      <c r="E258" s="1" t="s">
        <v>98</v>
      </c>
    </row>
    <row r="259" spans="1:5" ht="17.25" customHeight="1" x14ac:dyDescent="0.25">
      <c r="A259" s="1">
        <v>2458345.4746599998</v>
      </c>
      <c r="B259" s="1" t="s">
        <v>96</v>
      </c>
      <c r="C259" s="1">
        <v>10.813000000000001</v>
      </c>
      <c r="D259" s="1" t="s">
        <v>292</v>
      </c>
      <c r="E259" s="1" t="s">
        <v>98</v>
      </c>
    </row>
    <row r="260" spans="1:5" ht="17.25" customHeight="1" x14ac:dyDescent="0.25">
      <c r="A260" s="1">
        <v>2458345.4762499998</v>
      </c>
      <c r="B260" s="1" t="s">
        <v>96</v>
      </c>
      <c r="C260" s="1">
        <v>10.823</v>
      </c>
      <c r="D260" s="1" t="s">
        <v>292</v>
      </c>
      <c r="E260" s="1" t="s">
        <v>98</v>
      </c>
    </row>
    <row r="261" spans="1:5" ht="17.25" customHeight="1" x14ac:dyDescent="0.25">
      <c r="A261" s="1">
        <v>2458345.4778300002</v>
      </c>
      <c r="B261" s="1" t="s">
        <v>96</v>
      </c>
      <c r="C261" s="1">
        <v>10.817</v>
      </c>
      <c r="D261" s="1" t="s">
        <v>292</v>
      </c>
      <c r="E261" s="1" t="s">
        <v>98</v>
      </c>
    </row>
    <row r="262" spans="1:5" ht="17.25" customHeight="1" x14ac:dyDescent="0.25">
      <c r="A262" s="1">
        <v>2458345.4794200002</v>
      </c>
      <c r="B262" s="1" t="s">
        <v>96</v>
      </c>
      <c r="C262" s="1">
        <v>10.821</v>
      </c>
      <c r="D262" s="1" t="s">
        <v>292</v>
      </c>
      <c r="E262" s="1" t="s">
        <v>98</v>
      </c>
    </row>
    <row r="263" spans="1:5" ht="17.25" customHeight="1" x14ac:dyDescent="0.25">
      <c r="A263" s="1">
        <v>2458345.4810000001</v>
      </c>
      <c r="B263" s="1" t="s">
        <v>96</v>
      </c>
      <c r="C263" s="1">
        <v>10.811999999999999</v>
      </c>
      <c r="D263" s="1" t="s">
        <v>292</v>
      </c>
      <c r="E263" s="1" t="s">
        <v>98</v>
      </c>
    </row>
    <row r="264" spans="1:5" ht="17.25" customHeight="1" x14ac:dyDescent="0.25">
      <c r="A264" s="1">
        <v>2458345.4825900001</v>
      </c>
      <c r="B264" s="1" t="s">
        <v>96</v>
      </c>
      <c r="C264" s="1">
        <v>10.813000000000001</v>
      </c>
      <c r="D264" s="1" t="s">
        <v>292</v>
      </c>
      <c r="E264" s="1" t="s">
        <v>98</v>
      </c>
    </row>
    <row r="265" spans="1:5" ht="17.25" customHeight="1" x14ac:dyDescent="0.25">
      <c r="A265" s="1">
        <v>2458345.4841800001</v>
      </c>
      <c r="B265" s="1" t="s">
        <v>96</v>
      </c>
      <c r="C265" s="1">
        <v>10.798</v>
      </c>
      <c r="D265" s="1" t="s">
        <v>292</v>
      </c>
      <c r="E265" s="1" t="s">
        <v>98</v>
      </c>
    </row>
    <row r="266" spans="1:5" ht="17.25" customHeight="1" x14ac:dyDescent="0.25">
      <c r="A266" s="1">
        <v>2458345.4857600001</v>
      </c>
      <c r="B266" s="1" t="s">
        <v>96</v>
      </c>
      <c r="C266" s="1">
        <v>10.811</v>
      </c>
      <c r="D266" s="1" t="s">
        <v>292</v>
      </c>
      <c r="E266" s="1" t="s">
        <v>98</v>
      </c>
    </row>
    <row r="267" spans="1:5" ht="17.25" customHeight="1" x14ac:dyDescent="0.25">
      <c r="A267" s="1">
        <v>2458345.4873500001</v>
      </c>
      <c r="B267" s="1" t="s">
        <v>96</v>
      </c>
      <c r="C267" s="1">
        <v>10.795999999999999</v>
      </c>
      <c r="D267" s="1" t="s">
        <v>292</v>
      </c>
      <c r="E267" s="1" t="s">
        <v>98</v>
      </c>
    </row>
    <row r="268" spans="1:5" ht="17.25" customHeight="1" x14ac:dyDescent="0.25">
      <c r="A268" s="1">
        <v>2458345.48893</v>
      </c>
      <c r="B268" s="1" t="s">
        <v>96</v>
      </c>
      <c r="C268" s="1">
        <v>10.81</v>
      </c>
      <c r="D268" s="1" t="s">
        <v>292</v>
      </c>
      <c r="E268" s="1" t="s">
        <v>98</v>
      </c>
    </row>
    <row r="269" spans="1:5" ht="17.25" customHeight="1" x14ac:dyDescent="0.25">
      <c r="A269" s="1">
        <v>2458345.49052</v>
      </c>
      <c r="B269" s="1" t="s">
        <v>96</v>
      </c>
      <c r="C269" s="1">
        <v>10.815</v>
      </c>
      <c r="D269" s="1" t="s">
        <v>292</v>
      </c>
      <c r="E269" s="1" t="s">
        <v>98</v>
      </c>
    </row>
    <row r="270" spans="1:5" ht="17.25" customHeight="1" x14ac:dyDescent="0.25">
      <c r="A270" s="1">
        <v>2458345.4920999999</v>
      </c>
      <c r="B270" s="1" t="s">
        <v>96</v>
      </c>
      <c r="C270" s="1">
        <v>10.821</v>
      </c>
      <c r="D270" s="1" t="s">
        <v>292</v>
      </c>
      <c r="E270" s="1" t="s">
        <v>98</v>
      </c>
    </row>
    <row r="271" spans="1:5" ht="17.25" customHeight="1" x14ac:dyDescent="0.25">
      <c r="A271" s="1">
        <v>2458345.4936899999</v>
      </c>
      <c r="B271" s="1" t="s">
        <v>96</v>
      </c>
      <c r="C271" s="1">
        <v>10.82</v>
      </c>
      <c r="D271" s="1" t="s">
        <v>292</v>
      </c>
      <c r="E271" s="1" t="s">
        <v>98</v>
      </c>
    </row>
    <row r="272" spans="1:5" ht="17.25" customHeight="1" x14ac:dyDescent="0.25">
      <c r="A272" s="1">
        <v>2458345.4952699998</v>
      </c>
      <c r="B272" s="1" t="s">
        <v>96</v>
      </c>
      <c r="C272" s="1">
        <v>10.818</v>
      </c>
      <c r="D272" s="1" t="s">
        <v>292</v>
      </c>
      <c r="E272" s="1" t="s">
        <v>98</v>
      </c>
    </row>
    <row r="273" spans="1:5" ht="17.25" customHeight="1" x14ac:dyDescent="0.25">
      <c r="A273" s="1">
        <v>2458345.4968599998</v>
      </c>
      <c r="B273" s="1" t="s">
        <v>96</v>
      </c>
      <c r="C273" s="1">
        <v>10.82</v>
      </c>
      <c r="D273" s="1" t="s">
        <v>292</v>
      </c>
      <c r="E273" s="1" t="s">
        <v>98</v>
      </c>
    </row>
    <row r="274" spans="1:5" ht="17.25" customHeight="1" x14ac:dyDescent="0.25">
      <c r="A274" s="1">
        <v>2458345.4984599999</v>
      </c>
      <c r="B274" s="1" t="s">
        <v>96</v>
      </c>
      <c r="C274" s="1">
        <v>10.821999999999999</v>
      </c>
      <c r="D274" s="1" t="s">
        <v>292</v>
      </c>
      <c r="E274" s="1" t="s">
        <v>98</v>
      </c>
    </row>
    <row r="275" spans="1:5" ht="17.25" customHeight="1" x14ac:dyDescent="0.25">
      <c r="A275" s="1">
        <v>2458345.5000399998</v>
      </c>
      <c r="B275" s="1" t="s">
        <v>78</v>
      </c>
      <c r="C275" s="1">
        <v>10.823</v>
      </c>
      <c r="D275" s="1" t="s">
        <v>292</v>
      </c>
      <c r="E275" s="1" t="s">
        <v>98</v>
      </c>
    </row>
    <row r="276" spans="1:5" ht="17.25" customHeight="1" x14ac:dyDescent="0.25">
      <c r="A276" s="1">
        <v>2458345.5016299998</v>
      </c>
      <c r="B276" s="1" t="s">
        <v>78</v>
      </c>
      <c r="C276" s="1">
        <v>10.814</v>
      </c>
      <c r="D276" s="1" t="s">
        <v>292</v>
      </c>
      <c r="E276" s="1" t="s">
        <v>98</v>
      </c>
    </row>
    <row r="277" spans="1:5" ht="17.25" customHeight="1" x14ac:dyDescent="0.25">
      <c r="A277" s="1">
        <v>2458345.5032100002</v>
      </c>
      <c r="B277" s="1" t="s">
        <v>78</v>
      </c>
      <c r="C277" s="1">
        <v>10.816000000000001</v>
      </c>
      <c r="D277" s="1" t="s">
        <v>292</v>
      </c>
      <c r="E277" s="1" t="s">
        <v>98</v>
      </c>
    </row>
    <row r="278" spans="1:5" ht="17.25" customHeight="1" x14ac:dyDescent="0.25">
      <c r="A278" s="1">
        <v>2458345.5048000002</v>
      </c>
      <c r="B278" s="1" t="s">
        <v>78</v>
      </c>
      <c r="C278" s="1">
        <v>10.805999999999999</v>
      </c>
      <c r="D278" s="1" t="s">
        <v>292</v>
      </c>
      <c r="E278" s="1" t="s">
        <v>98</v>
      </c>
    </row>
    <row r="279" spans="1:5" ht="17.25" customHeight="1" x14ac:dyDescent="0.25">
      <c r="A279" s="1">
        <v>2458345.5063900002</v>
      </c>
      <c r="B279" s="1" t="s">
        <v>78</v>
      </c>
      <c r="C279" s="1">
        <v>10.824</v>
      </c>
      <c r="D279" s="1" t="s">
        <v>292</v>
      </c>
      <c r="E279" s="1" t="s">
        <v>98</v>
      </c>
    </row>
    <row r="280" spans="1:5" ht="17.25" customHeight="1" x14ac:dyDescent="0.25">
      <c r="A280" s="1">
        <v>2458345.5079700002</v>
      </c>
      <c r="B280" s="1" t="s">
        <v>78</v>
      </c>
      <c r="C280" s="1">
        <v>10.814</v>
      </c>
      <c r="D280" s="1" t="s">
        <v>292</v>
      </c>
      <c r="E280" s="1" t="s">
        <v>98</v>
      </c>
    </row>
    <row r="281" spans="1:5" ht="17.25" customHeight="1" x14ac:dyDescent="0.25">
      <c r="A281" s="1">
        <v>2458345.5095600002</v>
      </c>
      <c r="B281" s="1" t="s">
        <v>78</v>
      </c>
      <c r="C281" s="1">
        <v>10.817</v>
      </c>
      <c r="D281" s="1" t="s">
        <v>292</v>
      </c>
      <c r="E281" s="1" t="s">
        <v>98</v>
      </c>
    </row>
    <row r="282" spans="1:5" ht="17.25" customHeight="1" x14ac:dyDescent="0.25">
      <c r="A282" s="1">
        <v>2458345.5111500002</v>
      </c>
      <c r="B282" s="1" t="s">
        <v>78</v>
      </c>
      <c r="C282" s="1">
        <v>10.814</v>
      </c>
      <c r="D282" s="1" t="s">
        <v>292</v>
      </c>
      <c r="E282" s="1" t="s">
        <v>98</v>
      </c>
    </row>
    <row r="283" spans="1:5" ht="17.25" customHeight="1" x14ac:dyDescent="0.25">
      <c r="A283" s="1">
        <v>2458345.5127400002</v>
      </c>
      <c r="B283" s="1" t="s">
        <v>78</v>
      </c>
      <c r="C283" s="1">
        <v>10.816000000000001</v>
      </c>
      <c r="D283" s="1" t="s">
        <v>292</v>
      </c>
      <c r="E283" s="1" t="s">
        <v>98</v>
      </c>
    </row>
    <row r="284" spans="1:5" ht="17.25" customHeight="1" x14ac:dyDescent="0.25">
      <c r="A284" s="1">
        <v>2458345.5143300002</v>
      </c>
      <c r="B284" s="1" t="s">
        <v>78</v>
      </c>
      <c r="C284" s="1">
        <v>10.818</v>
      </c>
      <c r="D284" s="1" t="s">
        <v>292</v>
      </c>
      <c r="E284" s="1" t="s">
        <v>98</v>
      </c>
    </row>
    <row r="285" spans="1:5" ht="17.25" customHeight="1" x14ac:dyDescent="0.25">
      <c r="A285" s="1">
        <v>2458345.5159100001</v>
      </c>
      <c r="B285" s="1" t="s">
        <v>78</v>
      </c>
      <c r="C285" s="1">
        <v>10.801</v>
      </c>
      <c r="D285" s="1" t="s">
        <v>292</v>
      </c>
      <c r="E285" s="1" t="s">
        <v>98</v>
      </c>
    </row>
    <row r="286" spans="1:5" ht="17.25" customHeight="1" x14ac:dyDescent="0.25">
      <c r="A286" s="1">
        <v>2458345.5175000001</v>
      </c>
      <c r="B286" s="1" t="s">
        <v>78</v>
      </c>
      <c r="C286" s="1">
        <v>10.797000000000001</v>
      </c>
      <c r="D286" s="1" t="s">
        <v>292</v>
      </c>
      <c r="E286" s="1" t="s">
        <v>98</v>
      </c>
    </row>
    <row r="287" spans="1:5" ht="17.25" customHeight="1" x14ac:dyDescent="0.25">
      <c r="A287" s="1">
        <v>2458345.51908</v>
      </c>
      <c r="B287" s="1" t="s">
        <v>78</v>
      </c>
      <c r="C287" s="1">
        <v>10.815</v>
      </c>
      <c r="D287" s="1" t="s">
        <v>292</v>
      </c>
      <c r="E287" s="1" t="s">
        <v>98</v>
      </c>
    </row>
    <row r="288" spans="1:5" ht="17.25" customHeight="1" x14ac:dyDescent="0.25">
      <c r="A288" s="1">
        <v>2458345.5206800001</v>
      </c>
      <c r="B288" s="1" t="s">
        <v>78</v>
      </c>
      <c r="C288" s="1">
        <v>10.81</v>
      </c>
      <c r="D288" s="1" t="s">
        <v>292</v>
      </c>
      <c r="E288" s="1" t="s">
        <v>98</v>
      </c>
    </row>
    <row r="289" spans="1:5" ht="17.25" hidden="1" customHeight="1" x14ac:dyDescent="0.25">
      <c r="A289" s="1">
        <v>2458345.5224899999</v>
      </c>
      <c r="B289" s="1" t="s">
        <v>78</v>
      </c>
      <c r="C289" s="1">
        <v>10.840999999999999</v>
      </c>
      <c r="D289" s="1" t="s">
        <v>292</v>
      </c>
      <c r="E289" s="1" t="s">
        <v>285</v>
      </c>
    </row>
    <row r="290" spans="1:5" ht="17.25" customHeight="1" x14ac:dyDescent="0.25">
      <c r="A290" s="1">
        <v>2458345.7259399998</v>
      </c>
      <c r="B290" s="1" t="s">
        <v>78</v>
      </c>
      <c r="C290" s="1">
        <v>10.833</v>
      </c>
      <c r="D290" s="1" t="s">
        <v>292</v>
      </c>
      <c r="E290" s="1" t="s">
        <v>99</v>
      </c>
    </row>
    <row r="291" spans="1:5" ht="17.25" customHeight="1" x14ac:dyDescent="0.25">
      <c r="A291" s="1">
        <v>2458345.72633</v>
      </c>
      <c r="B291" s="1" t="s">
        <v>78</v>
      </c>
      <c r="C291" s="1">
        <v>10.867000000000001</v>
      </c>
      <c r="D291" s="1" t="s">
        <v>292</v>
      </c>
      <c r="E291" s="1" t="s">
        <v>99</v>
      </c>
    </row>
    <row r="292" spans="1:5" ht="17.25" customHeight="1" x14ac:dyDescent="0.25">
      <c r="A292" s="1">
        <v>2458345.7267399998</v>
      </c>
      <c r="B292" s="1" t="s">
        <v>78</v>
      </c>
      <c r="C292" s="1">
        <v>10.866</v>
      </c>
      <c r="D292" s="1" t="s">
        <v>292</v>
      </c>
      <c r="E292" s="1" t="s">
        <v>99</v>
      </c>
    </row>
    <row r="293" spans="1:5" ht="17.25" customHeight="1" x14ac:dyDescent="0.25">
      <c r="A293" s="1">
        <v>2458345.72713</v>
      </c>
      <c r="B293" s="1" t="s">
        <v>78</v>
      </c>
      <c r="C293" s="1">
        <v>10.827999999999999</v>
      </c>
      <c r="D293" s="1" t="s">
        <v>292</v>
      </c>
      <c r="E293" s="1" t="s">
        <v>99</v>
      </c>
    </row>
    <row r="294" spans="1:5" ht="17.25" customHeight="1" x14ac:dyDescent="0.25">
      <c r="A294" s="1">
        <v>2458345.7275200002</v>
      </c>
      <c r="B294" s="1" t="s">
        <v>78</v>
      </c>
      <c r="C294" s="1">
        <v>10.837999999999999</v>
      </c>
      <c r="D294" s="1" t="s">
        <v>292</v>
      </c>
      <c r="E294" s="1" t="s">
        <v>99</v>
      </c>
    </row>
    <row r="295" spans="1:5" ht="17.25" customHeight="1" x14ac:dyDescent="0.25">
      <c r="A295" s="1">
        <v>2458345.7279300001</v>
      </c>
      <c r="B295" s="1" t="s">
        <v>78</v>
      </c>
      <c r="C295" s="1">
        <v>10.847</v>
      </c>
      <c r="D295" s="1" t="s">
        <v>292</v>
      </c>
      <c r="E295" s="1" t="s">
        <v>99</v>
      </c>
    </row>
    <row r="296" spans="1:5" ht="17.25" customHeight="1" x14ac:dyDescent="0.25">
      <c r="A296" s="1">
        <v>2458345.7283299998</v>
      </c>
      <c r="B296" s="1" t="s">
        <v>78</v>
      </c>
      <c r="C296" s="1">
        <v>10.839</v>
      </c>
      <c r="D296" s="1" t="s">
        <v>292</v>
      </c>
      <c r="E296" s="1" t="s">
        <v>99</v>
      </c>
    </row>
    <row r="297" spans="1:5" ht="17.25" customHeight="1" x14ac:dyDescent="0.25">
      <c r="A297" s="1">
        <v>2458345.7287300001</v>
      </c>
      <c r="B297" s="1" t="s">
        <v>78</v>
      </c>
      <c r="C297" s="1">
        <v>10.859</v>
      </c>
      <c r="D297" s="1" t="s">
        <v>292</v>
      </c>
      <c r="E297" s="1" t="s">
        <v>99</v>
      </c>
    </row>
    <row r="298" spans="1:5" ht="17.25" customHeight="1" x14ac:dyDescent="0.25">
      <c r="A298" s="1">
        <v>2458345.7291199998</v>
      </c>
      <c r="B298" s="1" t="s">
        <v>78</v>
      </c>
      <c r="C298" s="1">
        <v>10.875</v>
      </c>
      <c r="D298" s="1" t="s">
        <v>292</v>
      </c>
      <c r="E298" s="1" t="s">
        <v>99</v>
      </c>
    </row>
    <row r="299" spans="1:5" ht="17.25" customHeight="1" x14ac:dyDescent="0.25">
      <c r="A299" s="1">
        <v>2458345.7295400002</v>
      </c>
      <c r="B299" s="1" t="s">
        <v>78</v>
      </c>
      <c r="C299" s="1">
        <v>10.863</v>
      </c>
      <c r="D299" s="1" t="s">
        <v>292</v>
      </c>
      <c r="E299" s="1" t="s">
        <v>99</v>
      </c>
    </row>
    <row r="300" spans="1:5" ht="17.25" customHeight="1" x14ac:dyDescent="0.25">
      <c r="A300" s="1">
        <v>2458345.72994</v>
      </c>
      <c r="B300" s="1" t="s">
        <v>78</v>
      </c>
      <c r="C300" s="1">
        <v>10.835000000000001</v>
      </c>
      <c r="D300" s="1" t="s">
        <v>292</v>
      </c>
      <c r="E300" s="1" t="s">
        <v>99</v>
      </c>
    </row>
    <row r="301" spans="1:5" ht="17.25" customHeight="1" x14ac:dyDescent="0.25">
      <c r="A301" s="1">
        <v>2458345.7303499999</v>
      </c>
      <c r="B301" s="1" t="s">
        <v>78</v>
      </c>
      <c r="C301" s="1">
        <v>10.867000000000001</v>
      </c>
      <c r="D301" s="1" t="s">
        <v>292</v>
      </c>
      <c r="E301" s="1" t="s">
        <v>99</v>
      </c>
    </row>
    <row r="302" spans="1:5" ht="17.25" customHeight="1" x14ac:dyDescent="0.25">
      <c r="A302" s="1">
        <v>2458345.73074</v>
      </c>
      <c r="B302" s="1" t="s">
        <v>78</v>
      </c>
      <c r="C302" s="1">
        <v>10.840999999999999</v>
      </c>
      <c r="D302" s="1" t="s">
        <v>292</v>
      </c>
      <c r="E302" s="1" t="s">
        <v>99</v>
      </c>
    </row>
    <row r="303" spans="1:5" ht="17.25" customHeight="1" x14ac:dyDescent="0.25">
      <c r="A303" s="1">
        <v>2458345.7311499999</v>
      </c>
      <c r="B303" s="1" t="s">
        <v>78</v>
      </c>
      <c r="C303" s="1">
        <v>10.837</v>
      </c>
      <c r="D303" s="1" t="s">
        <v>292</v>
      </c>
      <c r="E303" s="1" t="s">
        <v>99</v>
      </c>
    </row>
    <row r="304" spans="1:5" ht="17.25" hidden="1" customHeight="1" x14ac:dyDescent="0.25">
      <c r="A304" s="1">
        <v>2458345.7313000001</v>
      </c>
      <c r="B304" s="1" t="s">
        <v>78</v>
      </c>
      <c r="C304" s="1">
        <v>10.933999999999999</v>
      </c>
      <c r="D304" s="1" t="s">
        <v>292</v>
      </c>
      <c r="E304" s="1" t="s">
        <v>273</v>
      </c>
    </row>
    <row r="305" spans="1:5" ht="17.25" customHeight="1" x14ac:dyDescent="0.25">
      <c r="A305" s="1">
        <v>2458345.7315500001</v>
      </c>
      <c r="B305" s="1" t="s">
        <v>78</v>
      </c>
      <c r="C305" s="1">
        <v>10.861000000000001</v>
      </c>
      <c r="D305" s="1" t="s">
        <v>292</v>
      </c>
      <c r="E305" s="1" t="s">
        <v>99</v>
      </c>
    </row>
    <row r="306" spans="1:5" ht="17.25" customHeight="1" x14ac:dyDescent="0.25">
      <c r="A306" s="1">
        <v>2458345.7319399999</v>
      </c>
      <c r="B306" s="1" t="s">
        <v>78</v>
      </c>
      <c r="C306" s="1">
        <v>10.851000000000001</v>
      </c>
      <c r="D306" s="1" t="s">
        <v>292</v>
      </c>
      <c r="E306" s="1" t="s">
        <v>99</v>
      </c>
    </row>
    <row r="307" spans="1:5" ht="17.25" customHeight="1" x14ac:dyDescent="0.25">
      <c r="A307" s="1">
        <v>2458345.7323500002</v>
      </c>
      <c r="B307" s="1" t="s">
        <v>78</v>
      </c>
      <c r="C307" s="1">
        <v>10.839</v>
      </c>
      <c r="D307" s="1" t="s">
        <v>292</v>
      </c>
      <c r="E307" s="1" t="s">
        <v>99</v>
      </c>
    </row>
    <row r="308" spans="1:5" ht="17.25" customHeight="1" x14ac:dyDescent="0.25">
      <c r="A308" s="1">
        <v>2458345.73275</v>
      </c>
      <c r="B308" s="1" t="s">
        <v>78</v>
      </c>
      <c r="C308" s="1">
        <v>10.845000000000001</v>
      </c>
      <c r="D308" s="1" t="s">
        <v>292</v>
      </c>
      <c r="E308" s="1" t="s">
        <v>99</v>
      </c>
    </row>
    <row r="309" spans="1:5" ht="17.25" customHeight="1" x14ac:dyDescent="0.25">
      <c r="A309" s="1">
        <v>2458345.7331500002</v>
      </c>
      <c r="B309" s="1" t="s">
        <v>78</v>
      </c>
      <c r="C309" s="1">
        <v>10.837</v>
      </c>
      <c r="D309" s="1" t="s">
        <v>292</v>
      </c>
      <c r="E309" s="1" t="s">
        <v>99</v>
      </c>
    </row>
    <row r="310" spans="1:5" ht="17.25" customHeight="1" x14ac:dyDescent="0.25">
      <c r="A310" s="1">
        <v>2458345.73355</v>
      </c>
      <c r="B310" s="1" t="s">
        <v>78</v>
      </c>
      <c r="C310" s="1">
        <v>10.834</v>
      </c>
      <c r="D310" s="1" t="s">
        <v>292</v>
      </c>
      <c r="E310" s="1" t="s">
        <v>99</v>
      </c>
    </row>
    <row r="311" spans="1:5" ht="17.25" customHeight="1" x14ac:dyDescent="0.25">
      <c r="A311" s="1">
        <v>2458345.7339499998</v>
      </c>
      <c r="B311" s="1" t="s">
        <v>78</v>
      </c>
      <c r="C311" s="1">
        <v>10.853</v>
      </c>
      <c r="D311" s="1" t="s">
        <v>292</v>
      </c>
      <c r="E311" s="1" t="s">
        <v>99</v>
      </c>
    </row>
    <row r="312" spans="1:5" ht="17.25" customHeight="1" x14ac:dyDescent="0.25">
      <c r="A312" s="1">
        <v>2458345.73435</v>
      </c>
      <c r="B312" s="1" t="s">
        <v>78</v>
      </c>
      <c r="C312" s="1">
        <v>10.856999999999999</v>
      </c>
      <c r="D312" s="1" t="s">
        <v>292</v>
      </c>
      <c r="E312" s="1" t="s">
        <v>99</v>
      </c>
    </row>
    <row r="313" spans="1:5" ht="17.25" customHeight="1" x14ac:dyDescent="0.25">
      <c r="A313" s="1">
        <v>2458345.7347599999</v>
      </c>
      <c r="B313" s="1" t="s">
        <v>78</v>
      </c>
      <c r="C313" s="1">
        <v>10.852</v>
      </c>
      <c r="D313" s="1" t="s">
        <v>292</v>
      </c>
      <c r="E313" s="1" t="s">
        <v>99</v>
      </c>
    </row>
    <row r="314" spans="1:5" ht="17.25" customHeight="1" x14ac:dyDescent="0.25">
      <c r="A314" s="1">
        <v>2458345.7351600002</v>
      </c>
      <c r="B314" s="1" t="s">
        <v>78</v>
      </c>
      <c r="C314" s="1">
        <v>10.842000000000001</v>
      </c>
      <c r="D314" s="1" t="s">
        <v>292</v>
      </c>
      <c r="E314" s="1" t="s">
        <v>99</v>
      </c>
    </row>
    <row r="315" spans="1:5" ht="17.25" customHeight="1" x14ac:dyDescent="0.25">
      <c r="A315" s="1">
        <v>2458345.7355599999</v>
      </c>
      <c r="B315" s="1" t="s">
        <v>78</v>
      </c>
      <c r="C315" s="1">
        <v>10.829000000000001</v>
      </c>
      <c r="D315" s="1" t="s">
        <v>292</v>
      </c>
      <c r="E315" s="1" t="s">
        <v>99</v>
      </c>
    </row>
    <row r="316" spans="1:5" ht="17.25" customHeight="1" x14ac:dyDescent="0.25">
      <c r="A316" s="1">
        <v>2458345.7359600002</v>
      </c>
      <c r="B316" s="1" t="s">
        <v>78</v>
      </c>
      <c r="C316" s="1">
        <v>10.842000000000001</v>
      </c>
      <c r="D316" s="1" t="s">
        <v>292</v>
      </c>
      <c r="E316" s="1" t="s">
        <v>99</v>
      </c>
    </row>
    <row r="317" spans="1:5" ht="17.25" customHeight="1" x14ac:dyDescent="0.25">
      <c r="A317" s="1">
        <v>2458345.7363499999</v>
      </c>
      <c r="B317" s="1" t="s">
        <v>78</v>
      </c>
      <c r="C317" s="1">
        <v>10.852</v>
      </c>
      <c r="D317" s="1" t="s">
        <v>292</v>
      </c>
      <c r="E317" s="1" t="s">
        <v>99</v>
      </c>
    </row>
    <row r="318" spans="1:5" ht="17.25" customHeight="1" x14ac:dyDescent="0.25">
      <c r="A318" s="1">
        <v>2458345.7367600002</v>
      </c>
      <c r="B318" s="1" t="s">
        <v>78</v>
      </c>
      <c r="C318" s="1">
        <v>10.833</v>
      </c>
      <c r="D318" s="1" t="s">
        <v>292</v>
      </c>
      <c r="E318" s="1" t="s">
        <v>99</v>
      </c>
    </row>
    <row r="319" spans="1:5" ht="17.25" customHeight="1" x14ac:dyDescent="0.25">
      <c r="A319" s="1">
        <v>2458345.7371499999</v>
      </c>
      <c r="B319" s="1" t="s">
        <v>78</v>
      </c>
      <c r="C319" s="1">
        <v>10.848000000000001</v>
      </c>
      <c r="D319" s="1" t="s">
        <v>292</v>
      </c>
      <c r="E319" s="1" t="s">
        <v>99</v>
      </c>
    </row>
    <row r="320" spans="1:5" ht="17.25" customHeight="1" x14ac:dyDescent="0.25">
      <c r="A320" s="1">
        <v>2458345.7375599998</v>
      </c>
      <c r="B320" s="1" t="s">
        <v>78</v>
      </c>
      <c r="C320" s="1">
        <v>10.847</v>
      </c>
      <c r="D320" s="1" t="s">
        <v>292</v>
      </c>
      <c r="E320" s="1" t="s">
        <v>99</v>
      </c>
    </row>
    <row r="321" spans="1:5" ht="17.25" hidden="1" customHeight="1" x14ac:dyDescent="0.25">
      <c r="A321" s="1">
        <v>2458345.7377999998</v>
      </c>
      <c r="B321" s="1" t="s">
        <v>78</v>
      </c>
      <c r="C321" s="1">
        <v>10.925000000000001</v>
      </c>
      <c r="D321" s="1" t="s">
        <v>292</v>
      </c>
      <c r="E321" s="1" t="s">
        <v>273</v>
      </c>
    </row>
    <row r="322" spans="1:5" ht="17.25" customHeight="1" x14ac:dyDescent="0.25">
      <c r="A322" s="1">
        <v>2458345.7733700001</v>
      </c>
      <c r="B322" s="1" t="s">
        <v>78</v>
      </c>
      <c r="C322" s="1">
        <v>10.861000000000001</v>
      </c>
      <c r="D322" s="1" t="s">
        <v>292</v>
      </c>
      <c r="E322" s="1" t="s">
        <v>99</v>
      </c>
    </row>
    <row r="323" spans="1:5" ht="17.25" customHeight="1" x14ac:dyDescent="0.25">
      <c r="A323" s="1">
        <v>2458345.7737699999</v>
      </c>
      <c r="B323" s="1" t="s">
        <v>78</v>
      </c>
      <c r="C323" s="1">
        <v>10.856</v>
      </c>
      <c r="D323" s="1" t="s">
        <v>292</v>
      </c>
      <c r="E323" s="1" t="s">
        <v>99</v>
      </c>
    </row>
    <row r="324" spans="1:5" ht="17.25" customHeight="1" x14ac:dyDescent="0.25">
      <c r="A324" s="1">
        <v>2458345.7741700001</v>
      </c>
      <c r="B324" s="1" t="s">
        <v>78</v>
      </c>
      <c r="C324" s="1">
        <v>10.859</v>
      </c>
      <c r="D324" s="1" t="s">
        <v>292</v>
      </c>
      <c r="E324" s="1" t="s">
        <v>99</v>
      </c>
    </row>
    <row r="325" spans="1:5" ht="17.25" customHeight="1" x14ac:dyDescent="0.25">
      <c r="A325" s="1">
        <v>2458345.7745699999</v>
      </c>
      <c r="B325" s="1" t="s">
        <v>78</v>
      </c>
      <c r="C325" s="1">
        <v>10.847</v>
      </c>
      <c r="D325" s="1" t="s">
        <v>292</v>
      </c>
      <c r="E325" s="1" t="s">
        <v>99</v>
      </c>
    </row>
    <row r="326" spans="1:5" ht="17.25" customHeight="1" x14ac:dyDescent="0.25">
      <c r="A326" s="1">
        <v>2458345.7749800002</v>
      </c>
      <c r="B326" s="1" t="s">
        <v>78</v>
      </c>
      <c r="C326" s="1">
        <v>10.862</v>
      </c>
      <c r="D326" s="1" t="s">
        <v>292</v>
      </c>
      <c r="E326" s="1" t="s">
        <v>99</v>
      </c>
    </row>
    <row r="327" spans="1:5" ht="17.25" customHeight="1" x14ac:dyDescent="0.25">
      <c r="A327" s="1">
        <v>2458345.77538</v>
      </c>
      <c r="B327" s="1" t="s">
        <v>78</v>
      </c>
      <c r="C327" s="1">
        <v>10.84</v>
      </c>
      <c r="D327" s="1" t="s">
        <v>292</v>
      </c>
      <c r="E327" s="1" t="s">
        <v>99</v>
      </c>
    </row>
    <row r="328" spans="1:5" ht="17.25" customHeight="1" x14ac:dyDescent="0.25">
      <c r="A328" s="1">
        <v>2458345.7757899999</v>
      </c>
      <c r="B328" s="1" t="s">
        <v>78</v>
      </c>
      <c r="C328" s="1">
        <v>10.865</v>
      </c>
      <c r="D328" s="1" t="s">
        <v>292</v>
      </c>
      <c r="E328" s="1" t="s">
        <v>99</v>
      </c>
    </row>
    <row r="329" spans="1:5" ht="17.25" customHeight="1" x14ac:dyDescent="0.25">
      <c r="A329" s="1">
        <v>2458345.77618</v>
      </c>
      <c r="B329" s="1" t="s">
        <v>78</v>
      </c>
      <c r="C329" s="1">
        <v>10.884</v>
      </c>
      <c r="D329" s="1" t="s">
        <v>292</v>
      </c>
      <c r="E329" s="1" t="s">
        <v>99</v>
      </c>
    </row>
    <row r="330" spans="1:5" ht="17.25" customHeight="1" x14ac:dyDescent="0.25">
      <c r="A330" s="1">
        <v>2458345.7765700002</v>
      </c>
      <c r="B330" s="1" t="s">
        <v>78</v>
      </c>
      <c r="C330" s="1">
        <v>10.862</v>
      </c>
      <c r="D330" s="1" t="s">
        <v>292</v>
      </c>
      <c r="E330" s="1" t="s">
        <v>99</v>
      </c>
    </row>
    <row r="331" spans="1:5" ht="17.25" customHeight="1" x14ac:dyDescent="0.25">
      <c r="A331" s="1">
        <v>2458345.7769800001</v>
      </c>
      <c r="B331" s="1" t="s">
        <v>78</v>
      </c>
      <c r="C331" s="1">
        <v>10.859</v>
      </c>
      <c r="D331" s="1" t="s">
        <v>292</v>
      </c>
      <c r="E331" s="1" t="s">
        <v>99</v>
      </c>
    </row>
    <row r="332" spans="1:5" ht="17.25" hidden="1" customHeight="1" x14ac:dyDescent="0.25">
      <c r="A332" s="1">
        <v>2458346.5219800002</v>
      </c>
      <c r="B332" s="1" t="s">
        <v>79</v>
      </c>
      <c r="C332" s="1">
        <v>10.941000000000001</v>
      </c>
      <c r="D332" s="1" t="s">
        <v>292</v>
      </c>
      <c r="E332" s="1" t="s">
        <v>285</v>
      </c>
    </row>
    <row r="333" spans="1:5" ht="17.25" customHeight="1" x14ac:dyDescent="0.25">
      <c r="A333" s="1">
        <v>2458346.6564699998</v>
      </c>
      <c r="B333" s="1" t="s">
        <v>79</v>
      </c>
      <c r="C333" s="1">
        <v>10.914999999999999</v>
      </c>
      <c r="D333" s="1" t="s">
        <v>292</v>
      </c>
      <c r="E333" s="1" t="s">
        <v>100</v>
      </c>
    </row>
    <row r="334" spans="1:5" ht="17.25" customHeight="1" x14ac:dyDescent="0.25">
      <c r="A334" s="1">
        <v>2458346.6619000002</v>
      </c>
      <c r="B334" s="1" t="s">
        <v>79</v>
      </c>
      <c r="C334" s="1">
        <v>10.914</v>
      </c>
      <c r="D334" s="1" t="s">
        <v>292</v>
      </c>
      <c r="E334" s="1" t="s">
        <v>100</v>
      </c>
    </row>
    <row r="335" spans="1:5" ht="17.25" customHeight="1" x14ac:dyDescent="0.25">
      <c r="A335" s="1">
        <v>2458346.6673099999</v>
      </c>
      <c r="B335" s="1" t="s">
        <v>79</v>
      </c>
      <c r="C335" s="1">
        <v>10.92</v>
      </c>
      <c r="D335" s="1" t="s">
        <v>292</v>
      </c>
      <c r="E335" s="1" t="s">
        <v>100</v>
      </c>
    </row>
    <row r="336" spans="1:5" ht="17.25" customHeight="1" x14ac:dyDescent="0.25">
      <c r="A336" s="1">
        <v>2458346.6727399998</v>
      </c>
      <c r="B336" s="1" t="s">
        <v>79</v>
      </c>
      <c r="C336" s="1">
        <v>10.916</v>
      </c>
      <c r="D336" s="1" t="s">
        <v>292</v>
      </c>
      <c r="E336" s="1" t="s">
        <v>100</v>
      </c>
    </row>
    <row r="337" spans="1:5" ht="17.25" customHeight="1" x14ac:dyDescent="0.25">
      <c r="A337" s="1">
        <v>2458346.6781600001</v>
      </c>
      <c r="B337" s="1" t="s">
        <v>79</v>
      </c>
      <c r="C337" s="1">
        <v>10.909000000000001</v>
      </c>
      <c r="D337" s="1" t="s">
        <v>292</v>
      </c>
      <c r="E337" s="1" t="s">
        <v>100</v>
      </c>
    </row>
    <row r="338" spans="1:5" ht="17.25" customHeight="1" x14ac:dyDescent="0.25">
      <c r="A338" s="1">
        <v>2458346.68359</v>
      </c>
      <c r="B338" s="1" t="s">
        <v>79</v>
      </c>
      <c r="C338" s="1">
        <v>10.912000000000001</v>
      </c>
      <c r="D338" s="1" t="s">
        <v>292</v>
      </c>
      <c r="E338" s="1" t="s">
        <v>100</v>
      </c>
    </row>
    <row r="339" spans="1:5" ht="17.25" customHeight="1" x14ac:dyDescent="0.25">
      <c r="A339" s="1">
        <v>2458346.6890199999</v>
      </c>
      <c r="B339" s="1" t="s">
        <v>79</v>
      </c>
      <c r="C339" s="1">
        <v>10.92</v>
      </c>
      <c r="D339" s="1" t="s">
        <v>292</v>
      </c>
      <c r="E339" s="1" t="s">
        <v>100</v>
      </c>
    </row>
    <row r="340" spans="1:5" ht="17.25" customHeight="1" x14ac:dyDescent="0.25">
      <c r="A340" s="1">
        <v>2458346.6944300001</v>
      </c>
      <c r="B340" s="1" t="s">
        <v>79</v>
      </c>
      <c r="C340" s="1">
        <v>10.904</v>
      </c>
      <c r="D340" s="1" t="s">
        <v>292</v>
      </c>
      <c r="E340" s="1" t="s">
        <v>100</v>
      </c>
    </row>
    <row r="341" spans="1:5" ht="17.25" customHeight="1" x14ac:dyDescent="0.25">
      <c r="A341" s="1">
        <v>2458346.6998600001</v>
      </c>
      <c r="B341" s="1" t="s">
        <v>79</v>
      </c>
      <c r="C341" s="1">
        <v>10.92</v>
      </c>
      <c r="D341" s="1" t="s">
        <v>292</v>
      </c>
      <c r="E341" s="1" t="s">
        <v>100</v>
      </c>
    </row>
    <row r="342" spans="1:5" ht="17.25" hidden="1" customHeight="1" x14ac:dyDescent="0.25">
      <c r="A342" s="1">
        <v>2458346.7000299999</v>
      </c>
      <c r="B342" s="1" t="s">
        <v>79</v>
      </c>
      <c r="C342" s="1">
        <v>10.946</v>
      </c>
      <c r="D342" s="1" t="s">
        <v>292</v>
      </c>
      <c r="E342" s="1" t="s">
        <v>273</v>
      </c>
    </row>
    <row r="343" spans="1:5" ht="17.25" hidden="1" customHeight="1" x14ac:dyDescent="0.25">
      <c r="A343" s="1">
        <v>2458346.7006299999</v>
      </c>
      <c r="B343" s="1" t="s">
        <v>79</v>
      </c>
      <c r="C343" s="1">
        <v>11.004</v>
      </c>
      <c r="D343" s="1" t="s">
        <v>292</v>
      </c>
      <c r="E343" s="1" t="s">
        <v>273</v>
      </c>
    </row>
    <row r="344" spans="1:5" ht="17.25" hidden="1" customHeight="1" x14ac:dyDescent="0.25">
      <c r="A344" s="1">
        <v>2458346.7012299998</v>
      </c>
      <c r="B344" s="1" t="s">
        <v>79</v>
      </c>
      <c r="C344" s="1">
        <v>10.945</v>
      </c>
      <c r="D344" s="1" t="s">
        <v>292</v>
      </c>
      <c r="E344" s="1" t="s">
        <v>273</v>
      </c>
    </row>
    <row r="345" spans="1:5" ht="17.25" hidden="1" customHeight="1" x14ac:dyDescent="0.25">
      <c r="A345" s="1">
        <v>2458346.7018300002</v>
      </c>
      <c r="B345" s="1" t="s">
        <v>79</v>
      </c>
      <c r="C345" s="1">
        <v>11.03</v>
      </c>
      <c r="D345" s="1" t="s">
        <v>292</v>
      </c>
      <c r="E345" s="1" t="s">
        <v>273</v>
      </c>
    </row>
    <row r="346" spans="1:5" ht="17.25" hidden="1" customHeight="1" x14ac:dyDescent="0.25">
      <c r="A346" s="1">
        <v>2458346.7024300001</v>
      </c>
      <c r="B346" s="1" t="s">
        <v>79</v>
      </c>
      <c r="C346" s="1">
        <v>10.955</v>
      </c>
      <c r="D346" s="1" t="s">
        <v>292</v>
      </c>
      <c r="E346" s="1" t="s">
        <v>273</v>
      </c>
    </row>
    <row r="347" spans="1:5" ht="17.25" customHeight="1" x14ac:dyDescent="0.25">
      <c r="A347" s="1">
        <v>2458346.7053</v>
      </c>
      <c r="B347" s="1" t="s">
        <v>79</v>
      </c>
      <c r="C347" s="1">
        <v>10.906000000000001</v>
      </c>
      <c r="D347" s="1" t="s">
        <v>292</v>
      </c>
      <c r="E347" s="1" t="s">
        <v>100</v>
      </c>
    </row>
    <row r="348" spans="1:5" ht="17.25" customHeight="1" x14ac:dyDescent="0.25">
      <c r="A348" s="1">
        <v>2458346.71074</v>
      </c>
      <c r="B348" s="1" t="s">
        <v>79</v>
      </c>
      <c r="C348" s="1">
        <v>10.906000000000001</v>
      </c>
      <c r="D348" s="1" t="s">
        <v>292</v>
      </c>
      <c r="E348" s="1" t="s">
        <v>100</v>
      </c>
    </row>
    <row r="349" spans="1:5" ht="17.25" customHeight="1" x14ac:dyDescent="0.25">
      <c r="A349" s="1">
        <v>2458346.7161599998</v>
      </c>
      <c r="B349" s="1" t="s">
        <v>79</v>
      </c>
      <c r="C349" s="1">
        <v>10.903</v>
      </c>
      <c r="D349" s="1" t="s">
        <v>292</v>
      </c>
      <c r="E349" s="1" t="s">
        <v>100</v>
      </c>
    </row>
    <row r="350" spans="1:5" ht="17.25" customHeight="1" x14ac:dyDescent="0.25">
      <c r="A350" s="1">
        <v>2458346.7216099999</v>
      </c>
      <c r="B350" s="1" t="s">
        <v>79</v>
      </c>
      <c r="C350" s="1">
        <v>10.903</v>
      </c>
      <c r="D350" s="1" t="s">
        <v>292</v>
      </c>
      <c r="E350" s="1" t="s">
        <v>100</v>
      </c>
    </row>
    <row r="351" spans="1:5" ht="17.25" customHeight="1" x14ac:dyDescent="0.25">
      <c r="A351" s="1">
        <v>2458346.7270399998</v>
      </c>
      <c r="B351" s="1" t="s">
        <v>79</v>
      </c>
      <c r="C351" s="1">
        <v>10.901</v>
      </c>
      <c r="D351" s="1" t="s">
        <v>292</v>
      </c>
      <c r="E351" s="1" t="s">
        <v>100</v>
      </c>
    </row>
    <row r="352" spans="1:5" ht="17.25" customHeight="1" x14ac:dyDescent="0.25">
      <c r="A352" s="1">
        <v>2458346.7324700002</v>
      </c>
      <c r="B352" s="1" t="s">
        <v>79</v>
      </c>
      <c r="C352" s="1">
        <v>10.895</v>
      </c>
      <c r="D352" s="1" t="s">
        <v>292</v>
      </c>
      <c r="E352" s="1" t="s">
        <v>100</v>
      </c>
    </row>
    <row r="353" spans="1:5" ht="17.25" customHeight="1" x14ac:dyDescent="0.25">
      <c r="A353" s="1">
        <v>2458346.73789</v>
      </c>
      <c r="B353" s="1" t="s">
        <v>79</v>
      </c>
      <c r="C353" s="1">
        <v>10.901999999999999</v>
      </c>
      <c r="D353" s="1" t="s">
        <v>292</v>
      </c>
      <c r="E353" s="1" t="s">
        <v>100</v>
      </c>
    </row>
    <row r="354" spans="1:5" ht="17.25" customHeight="1" x14ac:dyDescent="0.25">
      <c r="A354" s="1">
        <v>2458346.7481800001</v>
      </c>
      <c r="B354" s="1" t="s">
        <v>79</v>
      </c>
      <c r="C354" s="1">
        <v>10.917999999999999</v>
      </c>
      <c r="D354" s="1" t="s">
        <v>292</v>
      </c>
      <c r="E354" s="1" t="s">
        <v>100</v>
      </c>
    </row>
    <row r="355" spans="1:5" ht="17.25" customHeight="1" x14ac:dyDescent="0.25">
      <c r="A355" s="1">
        <v>2458346.75361</v>
      </c>
      <c r="B355" s="1" t="s">
        <v>79</v>
      </c>
      <c r="C355" s="1">
        <v>10.914999999999999</v>
      </c>
      <c r="D355" s="1" t="s">
        <v>292</v>
      </c>
      <c r="E355" s="1" t="s">
        <v>100</v>
      </c>
    </row>
    <row r="356" spans="1:5" ht="17.25" customHeight="1" x14ac:dyDescent="0.25">
      <c r="A356" s="1">
        <v>2458346.7590600001</v>
      </c>
      <c r="B356" s="1" t="s">
        <v>79</v>
      </c>
      <c r="C356" s="1">
        <v>10.913</v>
      </c>
      <c r="D356" s="1" t="s">
        <v>292</v>
      </c>
      <c r="E356" s="1" t="s">
        <v>100</v>
      </c>
    </row>
    <row r="357" spans="1:5" ht="17.25" customHeight="1" x14ac:dyDescent="0.25">
      <c r="A357" s="1">
        <v>2458346.7644799999</v>
      </c>
      <c r="B357" s="1" t="s">
        <v>79</v>
      </c>
      <c r="C357" s="1">
        <v>10.916</v>
      </c>
      <c r="D357" s="1" t="s">
        <v>292</v>
      </c>
      <c r="E357" s="1" t="s">
        <v>100</v>
      </c>
    </row>
    <row r="358" spans="1:5" ht="17.25" customHeight="1" x14ac:dyDescent="0.25">
      <c r="A358" s="1">
        <v>2458346.76993</v>
      </c>
      <c r="B358" s="1" t="s">
        <v>79</v>
      </c>
      <c r="C358" s="1">
        <v>10.919</v>
      </c>
      <c r="D358" s="1" t="s">
        <v>292</v>
      </c>
      <c r="E358" s="1" t="s">
        <v>100</v>
      </c>
    </row>
    <row r="359" spans="1:5" ht="17.25" customHeight="1" x14ac:dyDescent="0.25">
      <c r="A359" s="1">
        <v>2458346.77538</v>
      </c>
      <c r="B359" s="1" t="s">
        <v>79</v>
      </c>
      <c r="C359" s="1">
        <v>10.894</v>
      </c>
      <c r="D359" s="1" t="s">
        <v>292</v>
      </c>
      <c r="E359" s="1" t="s">
        <v>100</v>
      </c>
    </row>
    <row r="360" spans="1:5" ht="17.25" customHeight="1" x14ac:dyDescent="0.25">
      <c r="A360" s="1">
        <v>2458346.7807999998</v>
      </c>
      <c r="B360" s="1" t="s">
        <v>79</v>
      </c>
      <c r="C360" s="1">
        <v>10.896000000000001</v>
      </c>
      <c r="D360" s="1" t="s">
        <v>292</v>
      </c>
      <c r="E360" s="1" t="s">
        <v>100</v>
      </c>
    </row>
    <row r="361" spans="1:5" ht="17.25" customHeight="1" x14ac:dyDescent="0.25">
      <c r="A361" s="1">
        <v>2458346.7862399998</v>
      </c>
      <c r="B361" s="1" t="s">
        <v>79</v>
      </c>
      <c r="C361" s="1">
        <v>10.904999999999999</v>
      </c>
      <c r="D361" s="1" t="s">
        <v>292</v>
      </c>
      <c r="E361" s="1" t="s">
        <v>100</v>
      </c>
    </row>
    <row r="362" spans="1:5" ht="17.25" customHeight="1" x14ac:dyDescent="0.25">
      <c r="A362" s="1">
        <v>2458346.7916899999</v>
      </c>
      <c r="B362" s="1" t="s">
        <v>79</v>
      </c>
      <c r="C362" s="1">
        <v>10.9</v>
      </c>
      <c r="D362" s="1" t="s">
        <v>292</v>
      </c>
      <c r="E362" s="1" t="s">
        <v>100</v>
      </c>
    </row>
    <row r="363" spans="1:5" ht="17.25" customHeight="1" x14ac:dyDescent="0.25">
      <c r="A363" s="1">
        <v>2458346.7971199998</v>
      </c>
      <c r="B363" s="1" t="s">
        <v>79</v>
      </c>
      <c r="C363" s="1">
        <v>10.9</v>
      </c>
      <c r="D363" s="1" t="s">
        <v>292</v>
      </c>
      <c r="E363" s="1" t="s">
        <v>100</v>
      </c>
    </row>
    <row r="364" spans="1:5" ht="17.25" customHeight="1" x14ac:dyDescent="0.25">
      <c r="A364" s="1">
        <v>2458346.80253</v>
      </c>
      <c r="B364" s="1" t="s">
        <v>79</v>
      </c>
      <c r="C364" s="1">
        <v>10.903</v>
      </c>
      <c r="D364" s="1" t="s">
        <v>292</v>
      </c>
      <c r="E364" s="1" t="s">
        <v>100</v>
      </c>
    </row>
    <row r="365" spans="1:5" ht="17.25" customHeight="1" x14ac:dyDescent="0.25">
      <c r="A365" s="1">
        <v>2458346.8079599999</v>
      </c>
      <c r="B365" s="1" t="s">
        <v>79</v>
      </c>
      <c r="C365" s="1">
        <v>10.907</v>
      </c>
      <c r="D365" s="1" t="s">
        <v>292</v>
      </c>
      <c r="E365" s="1" t="s">
        <v>100</v>
      </c>
    </row>
    <row r="366" spans="1:5" ht="17.25" customHeight="1" x14ac:dyDescent="0.25">
      <c r="A366" s="1">
        <v>2458346.8133800002</v>
      </c>
      <c r="B366" s="1" t="s">
        <v>79</v>
      </c>
      <c r="C366" s="1">
        <v>10.898999999999999</v>
      </c>
      <c r="D366" s="1" t="s">
        <v>292</v>
      </c>
      <c r="E366" s="1" t="s">
        <v>100</v>
      </c>
    </row>
    <row r="367" spans="1:5" ht="17.25" customHeight="1" x14ac:dyDescent="0.25">
      <c r="A367" s="1">
        <v>2458346.8188100001</v>
      </c>
      <c r="B367" s="1" t="s">
        <v>79</v>
      </c>
      <c r="C367" s="1">
        <v>10.913</v>
      </c>
      <c r="D367" s="1" t="s">
        <v>292</v>
      </c>
      <c r="E367" s="1" t="s">
        <v>100</v>
      </c>
    </row>
    <row r="368" spans="1:5" ht="17.25" customHeight="1" x14ac:dyDescent="0.25">
      <c r="A368" s="1">
        <v>2458346.8276999998</v>
      </c>
      <c r="B368" s="1" t="s">
        <v>79</v>
      </c>
      <c r="C368" s="1">
        <v>10.92</v>
      </c>
      <c r="D368" s="1" t="s">
        <v>292</v>
      </c>
      <c r="E368" s="1" t="s">
        <v>100</v>
      </c>
    </row>
    <row r="369" spans="1:5" ht="17.25" customHeight="1" x14ac:dyDescent="0.25">
      <c r="A369" s="1">
        <v>2458346.8331399998</v>
      </c>
      <c r="B369" s="1" t="s">
        <v>79</v>
      </c>
      <c r="C369" s="1">
        <v>10.917999999999999</v>
      </c>
      <c r="D369" s="1" t="s">
        <v>292</v>
      </c>
      <c r="E369" s="1" t="s">
        <v>100</v>
      </c>
    </row>
    <row r="370" spans="1:5" ht="17.25" customHeight="1" x14ac:dyDescent="0.25">
      <c r="A370" s="1">
        <v>2458346.8385800002</v>
      </c>
      <c r="B370" s="1" t="s">
        <v>79</v>
      </c>
      <c r="C370" s="1">
        <v>10.917</v>
      </c>
      <c r="D370" s="1" t="s">
        <v>292</v>
      </c>
      <c r="E370" s="1" t="s">
        <v>100</v>
      </c>
    </row>
    <row r="371" spans="1:5" ht="17.25" customHeight="1" x14ac:dyDescent="0.25">
      <c r="A371" s="1">
        <v>2458346.8440200002</v>
      </c>
      <c r="B371" s="1" t="s">
        <v>79</v>
      </c>
      <c r="C371" s="1">
        <v>10.919</v>
      </c>
      <c r="D371" s="1" t="s">
        <v>292</v>
      </c>
      <c r="E371" s="1" t="s">
        <v>100</v>
      </c>
    </row>
    <row r="372" spans="1:5" ht="17.25" customHeight="1" x14ac:dyDescent="0.25">
      <c r="A372" s="1">
        <v>2458346.84944</v>
      </c>
      <c r="B372" s="1" t="s">
        <v>79</v>
      </c>
      <c r="C372" s="1">
        <v>10.917</v>
      </c>
      <c r="D372" s="1" t="s">
        <v>292</v>
      </c>
      <c r="E372" s="1" t="s">
        <v>100</v>
      </c>
    </row>
    <row r="373" spans="1:5" ht="17.25" customHeight="1" x14ac:dyDescent="0.25">
      <c r="A373" s="1">
        <v>2458346.85488</v>
      </c>
      <c r="B373" s="1" t="s">
        <v>79</v>
      </c>
      <c r="C373" s="1">
        <v>10.923</v>
      </c>
      <c r="D373" s="1" t="s">
        <v>292</v>
      </c>
      <c r="E373" s="1" t="s">
        <v>100</v>
      </c>
    </row>
    <row r="374" spans="1:5" ht="17.25" customHeight="1" x14ac:dyDescent="0.25">
      <c r="A374" s="1">
        <v>2458346.8603099999</v>
      </c>
      <c r="B374" s="1" t="s">
        <v>79</v>
      </c>
      <c r="C374" s="1">
        <v>10.9</v>
      </c>
      <c r="D374" s="1" t="s">
        <v>292</v>
      </c>
      <c r="E374" s="1" t="s">
        <v>100</v>
      </c>
    </row>
    <row r="375" spans="1:5" ht="17.25" customHeight="1" x14ac:dyDescent="0.25">
      <c r="A375" s="1">
        <v>2458346.8657399998</v>
      </c>
      <c r="B375" s="1" t="s">
        <v>79</v>
      </c>
      <c r="C375" s="1">
        <v>10.914999999999999</v>
      </c>
      <c r="D375" s="1" t="s">
        <v>292</v>
      </c>
      <c r="E375" s="1" t="s">
        <v>100</v>
      </c>
    </row>
    <row r="376" spans="1:5" ht="17.25" customHeight="1" x14ac:dyDescent="0.25">
      <c r="A376" s="1">
        <v>2458346.8711799998</v>
      </c>
      <c r="B376" s="1" t="s">
        <v>79</v>
      </c>
      <c r="C376" s="1">
        <v>10.917999999999999</v>
      </c>
      <c r="D376" s="1" t="s">
        <v>292</v>
      </c>
      <c r="E376" s="1" t="s">
        <v>100</v>
      </c>
    </row>
    <row r="377" spans="1:5" ht="17.25" customHeight="1" x14ac:dyDescent="0.25">
      <c r="A377" s="1">
        <v>2458346.8766100002</v>
      </c>
      <c r="B377" s="1" t="s">
        <v>79</v>
      </c>
      <c r="C377" s="1">
        <v>10.875</v>
      </c>
      <c r="D377" s="1" t="s">
        <v>292</v>
      </c>
      <c r="E377" s="1" t="s">
        <v>100</v>
      </c>
    </row>
    <row r="378" spans="1:5" ht="17.25" customHeight="1" x14ac:dyDescent="0.25">
      <c r="A378" s="1">
        <v>2458346.8820400001</v>
      </c>
      <c r="B378" s="1" t="s">
        <v>79</v>
      </c>
      <c r="C378" s="1">
        <v>10.823</v>
      </c>
      <c r="D378" s="1" t="s">
        <v>292</v>
      </c>
      <c r="E378" s="1" t="s">
        <v>100</v>
      </c>
    </row>
    <row r="379" spans="1:5" ht="17.25" customHeight="1" x14ac:dyDescent="0.25">
      <c r="A379" s="1">
        <v>2458347.3645799998</v>
      </c>
      <c r="B379" s="1" t="s">
        <v>79</v>
      </c>
      <c r="C379" s="1">
        <v>10.99</v>
      </c>
      <c r="D379" s="1" t="s">
        <v>292</v>
      </c>
      <c r="E379" s="1" t="s">
        <v>297</v>
      </c>
    </row>
    <row r="380" spans="1:5" ht="17.25" customHeight="1" x14ac:dyDescent="0.25">
      <c r="A380" s="1">
        <v>2458347.3736200002</v>
      </c>
      <c r="B380" s="1" t="s">
        <v>79</v>
      </c>
      <c r="C380" s="1">
        <v>10.848000000000001</v>
      </c>
      <c r="D380" s="1" t="s">
        <v>292</v>
      </c>
      <c r="E380" s="1" t="s">
        <v>2</v>
      </c>
    </row>
    <row r="381" spans="1:5" ht="17.25" hidden="1" customHeight="1" x14ac:dyDescent="0.25">
      <c r="A381" s="1">
        <v>2458347.6225899998</v>
      </c>
      <c r="B381" s="1" t="s">
        <v>298</v>
      </c>
      <c r="C381" s="1">
        <v>10.808</v>
      </c>
      <c r="D381" s="1" t="s">
        <v>292</v>
      </c>
      <c r="E381" s="1" t="s">
        <v>285</v>
      </c>
    </row>
    <row r="382" spans="1:5" ht="17.25" hidden="1" customHeight="1" x14ac:dyDescent="0.25">
      <c r="A382" s="1">
        <v>2458347.6231499999</v>
      </c>
      <c r="B382" s="1" t="s">
        <v>298</v>
      </c>
      <c r="C382" s="1">
        <v>10.85</v>
      </c>
      <c r="D382" s="1" t="s">
        <v>292</v>
      </c>
      <c r="E382" s="1" t="s">
        <v>285</v>
      </c>
    </row>
    <row r="383" spans="1:5" ht="17.25" hidden="1" customHeight="1" x14ac:dyDescent="0.25">
      <c r="A383" s="1">
        <v>2458347.7013500002</v>
      </c>
      <c r="B383" s="1" t="s">
        <v>298</v>
      </c>
      <c r="C383" s="1">
        <v>10.897</v>
      </c>
      <c r="D383" s="1" t="s">
        <v>292</v>
      </c>
      <c r="E383" s="1" t="s">
        <v>273</v>
      </c>
    </row>
    <row r="384" spans="1:5" ht="17.25" hidden="1" customHeight="1" x14ac:dyDescent="0.25">
      <c r="A384" s="1">
        <v>2458347.7019500001</v>
      </c>
      <c r="B384" s="1" t="s">
        <v>298</v>
      </c>
      <c r="C384" s="1">
        <v>10.907999999999999</v>
      </c>
      <c r="D384" s="1" t="s">
        <v>292</v>
      </c>
      <c r="E384" s="1" t="s">
        <v>273</v>
      </c>
    </row>
    <row r="385" spans="1:5" ht="17.25" hidden="1" customHeight="1" x14ac:dyDescent="0.25">
      <c r="A385" s="1">
        <v>2458347.70255</v>
      </c>
      <c r="B385" s="1" t="s">
        <v>298</v>
      </c>
      <c r="C385" s="1">
        <v>10.901</v>
      </c>
      <c r="D385" s="1" t="s">
        <v>292</v>
      </c>
      <c r="E385" s="1" t="s">
        <v>273</v>
      </c>
    </row>
    <row r="386" spans="1:5" ht="17.25" hidden="1" customHeight="1" x14ac:dyDescent="0.25">
      <c r="A386" s="1">
        <v>2458347.70315</v>
      </c>
      <c r="B386" s="1" t="s">
        <v>298</v>
      </c>
      <c r="C386" s="1">
        <v>10.9</v>
      </c>
      <c r="D386" s="1" t="s">
        <v>292</v>
      </c>
      <c r="E386" s="1" t="s">
        <v>273</v>
      </c>
    </row>
    <row r="387" spans="1:5" ht="17.25" hidden="1" customHeight="1" x14ac:dyDescent="0.25">
      <c r="A387" s="1">
        <v>2458347.7037300002</v>
      </c>
      <c r="B387" s="1" t="s">
        <v>298</v>
      </c>
      <c r="C387" s="1">
        <v>10.884</v>
      </c>
      <c r="D387" s="1" t="s">
        <v>292</v>
      </c>
      <c r="E387" s="1" t="s">
        <v>273</v>
      </c>
    </row>
    <row r="388" spans="1:5" ht="17.25" customHeight="1" x14ac:dyDescent="0.25">
      <c r="A388" s="1">
        <v>2458349.5223599998</v>
      </c>
      <c r="B388" s="1" t="s">
        <v>80</v>
      </c>
      <c r="C388" s="1">
        <v>10.864000000000001</v>
      </c>
      <c r="D388" s="1" t="s">
        <v>292</v>
      </c>
      <c r="E388" s="1" t="s">
        <v>94</v>
      </c>
    </row>
    <row r="389" spans="1:5" ht="17.25" customHeight="1" x14ac:dyDescent="0.25">
      <c r="A389" s="1">
        <v>2458349.5225800001</v>
      </c>
      <c r="B389" s="1" t="s">
        <v>80</v>
      </c>
      <c r="C389" s="1">
        <v>10.867000000000001</v>
      </c>
      <c r="D389" s="1" t="s">
        <v>292</v>
      </c>
      <c r="E389" s="1" t="s">
        <v>94</v>
      </c>
    </row>
    <row r="390" spans="1:5" ht="17.25" hidden="1" customHeight="1" x14ac:dyDescent="0.25">
      <c r="A390" s="1">
        <v>2458349.5838500001</v>
      </c>
      <c r="B390" s="1" t="s">
        <v>80</v>
      </c>
      <c r="C390" s="1">
        <v>10.948</v>
      </c>
      <c r="D390" s="1" t="s">
        <v>292</v>
      </c>
      <c r="E390" s="1" t="s">
        <v>285</v>
      </c>
    </row>
    <row r="391" spans="1:5" ht="17.25" hidden="1" customHeight="1" x14ac:dyDescent="0.25">
      <c r="A391" s="1">
        <v>2458349.5843799999</v>
      </c>
      <c r="B391" s="1" t="s">
        <v>80</v>
      </c>
      <c r="C391" s="1">
        <v>10.846</v>
      </c>
      <c r="D391" s="1" t="s">
        <v>292</v>
      </c>
      <c r="E391" s="1" t="s">
        <v>285</v>
      </c>
    </row>
    <row r="392" spans="1:5" ht="17.25" customHeight="1" x14ac:dyDescent="0.25">
      <c r="A392" s="1">
        <v>2458350.5195399998</v>
      </c>
      <c r="B392" s="1" t="s">
        <v>81</v>
      </c>
      <c r="C392" s="1">
        <v>10.86</v>
      </c>
      <c r="D392" s="1" t="s">
        <v>292</v>
      </c>
      <c r="E392" s="1" t="s">
        <v>94</v>
      </c>
    </row>
    <row r="393" spans="1:5" ht="17.25" customHeight="1" x14ac:dyDescent="0.25">
      <c r="A393" s="1">
        <v>2458350.51975</v>
      </c>
      <c r="B393" s="1" t="s">
        <v>81</v>
      </c>
      <c r="C393" s="1">
        <v>10.872</v>
      </c>
      <c r="D393" s="1" t="s">
        <v>292</v>
      </c>
      <c r="E393" s="1" t="s">
        <v>94</v>
      </c>
    </row>
    <row r="394" spans="1:5" ht="17.25" hidden="1" customHeight="1" x14ac:dyDescent="0.25">
      <c r="A394" s="1">
        <v>2458350.5839900002</v>
      </c>
      <c r="B394" s="1" t="s">
        <v>81</v>
      </c>
      <c r="C394" s="1">
        <v>10.859</v>
      </c>
      <c r="D394" s="1" t="s">
        <v>292</v>
      </c>
      <c r="E394" s="1" t="s">
        <v>285</v>
      </c>
    </row>
    <row r="395" spans="1:5" ht="17.25" hidden="1" customHeight="1" x14ac:dyDescent="0.25">
      <c r="A395" s="1">
        <v>2458350.5845499998</v>
      </c>
      <c r="B395" s="1" t="s">
        <v>81</v>
      </c>
      <c r="C395" s="1">
        <v>10.859</v>
      </c>
      <c r="D395" s="1" t="s">
        <v>292</v>
      </c>
      <c r="E395" s="1" t="s">
        <v>285</v>
      </c>
    </row>
    <row r="396" spans="1:5" ht="17.25" customHeight="1" x14ac:dyDescent="0.25">
      <c r="A396" s="1">
        <v>2458351.5167399999</v>
      </c>
      <c r="B396" s="1" t="s">
        <v>82</v>
      </c>
      <c r="C396" s="1">
        <v>10.904</v>
      </c>
      <c r="D396" s="1" t="s">
        <v>292</v>
      </c>
      <c r="E396" s="1" t="s">
        <v>94</v>
      </c>
    </row>
    <row r="397" spans="1:5" ht="17.25" customHeight="1" x14ac:dyDescent="0.25">
      <c r="A397" s="1">
        <v>2458351.5169600002</v>
      </c>
      <c r="B397" s="1" t="s">
        <v>82</v>
      </c>
      <c r="C397" s="1">
        <v>10.877000000000001</v>
      </c>
      <c r="D397" s="1" t="s">
        <v>292</v>
      </c>
      <c r="E397" s="1" t="s">
        <v>94</v>
      </c>
    </row>
    <row r="398" spans="1:5" ht="17.25" hidden="1" customHeight="1" x14ac:dyDescent="0.25">
      <c r="A398" s="1">
        <v>2458351.6943600001</v>
      </c>
      <c r="B398" s="1" t="s">
        <v>82</v>
      </c>
      <c r="C398" s="1">
        <v>10.952</v>
      </c>
      <c r="D398" s="1" t="s">
        <v>292</v>
      </c>
      <c r="E398" s="1" t="s">
        <v>273</v>
      </c>
    </row>
    <row r="399" spans="1:5" ht="17.25" hidden="1" customHeight="1" x14ac:dyDescent="0.25">
      <c r="A399" s="1">
        <v>2458351.6951000001</v>
      </c>
      <c r="B399" s="1" t="s">
        <v>82</v>
      </c>
      <c r="C399" s="1">
        <v>10.89</v>
      </c>
      <c r="D399" s="1" t="s">
        <v>292</v>
      </c>
      <c r="E399" s="1" t="s">
        <v>273</v>
      </c>
    </row>
    <row r="400" spans="1:5" ht="17.25" hidden="1" customHeight="1" x14ac:dyDescent="0.25">
      <c r="A400" s="1">
        <v>2458351.6958400002</v>
      </c>
      <c r="B400" s="1" t="s">
        <v>82</v>
      </c>
      <c r="C400" s="1">
        <v>10.927</v>
      </c>
      <c r="D400" s="1" t="s">
        <v>292</v>
      </c>
      <c r="E400" s="1" t="s">
        <v>273</v>
      </c>
    </row>
    <row r="401" spans="1:5" ht="17.25" hidden="1" customHeight="1" x14ac:dyDescent="0.25">
      <c r="A401" s="1">
        <v>2458351.6965700001</v>
      </c>
      <c r="B401" s="1" t="s">
        <v>82</v>
      </c>
      <c r="C401" s="1">
        <v>10.893000000000001</v>
      </c>
      <c r="D401" s="1" t="s">
        <v>292</v>
      </c>
      <c r="E401" s="1" t="s">
        <v>273</v>
      </c>
    </row>
    <row r="402" spans="1:5" ht="17.25" hidden="1" customHeight="1" x14ac:dyDescent="0.25">
      <c r="A402" s="1">
        <v>2458351.6973100002</v>
      </c>
      <c r="B402" s="1" t="s">
        <v>82</v>
      </c>
      <c r="C402" s="1">
        <v>10.888999999999999</v>
      </c>
      <c r="D402" s="1" t="s">
        <v>292</v>
      </c>
      <c r="E402" s="1" t="s">
        <v>273</v>
      </c>
    </row>
    <row r="403" spans="1:5" ht="17.25" customHeight="1" x14ac:dyDescent="0.25">
      <c r="A403" s="1">
        <v>2458352.4991100002</v>
      </c>
      <c r="B403" s="1" t="s">
        <v>82</v>
      </c>
      <c r="C403" s="1">
        <v>10.942</v>
      </c>
      <c r="D403" s="1" t="s">
        <v>292</v>
      </c>
      <c r="E403" s="1" t="s">
        <v>94</v>
      </c>
    </row>
    <row r="404" spans="1:5" ht="17.25" customHeight="1" x14ac:dyDescent="0.25">
      <c r="A404" s="1">
        <v>2458352.4993199999</v>
      </c>
      <c r="B404" s="1" t="s">
        <v>82</v>
      </c>
      <c r="C404" s="1">
        <v>10.935</v>
      </c>
      <c r="D404" s="1" t="s">
        <v>292</v>
      </c>
      <c r="E404" s="1" t="s">
        <v>94</v>
      </c>
    </row>
    <row r="405" spans="1:5" ht="17.25" hidden="1" customHeight="1" x14ac:dyDescent="0.25">
      <c r="A405" s="1">
        <v>2458352.7020700001</v>
      </c>
      <c r="B405" s="1" t="s">
        <v>83</v>
      </c>
      <c r="C405" s="1">
        <v>11.003</v>
      </c>
      <c r="D405" s="1" t="s">
        <v>292</v>
      </c>
      <c r="E405" s="1" t="s">
        <v>273</v>
      </c>
    </row>
    <row r="406" spans="1:5" ht="17.25" hidden="1" customHeight="1" x14ac:dyDescent="0.25">
      <c r="A406" s="1">
        <v>2458352.70267</v>
      </c>
      <c r="B406" s="1" t="s">
        <v>83</v>
      </c>
      <c r="C406" s="1">
        <v>10.992000000000001</v>
      </c>
      <c r="D406" s="1" t="s">
        <v>292</v>
      </c>
      <c r="E406" s="1" t="s">
        <v>273</v>
      </c>
    </row>
    <row r="407" spans="1:5" ht="17.25" hidden="1" customHeight="1" x14ac:dyDescent="0.25">
      <c r="A407" s="1">
        <v>2458352.7032699999</v>
      </c>
      <c r="B407" s="1" t="s">
        <v>83</v>
      </c>
      <c r="C407" s="1">
        <v>10.997</v>
      </c>
      <c r="D407" s="1" t="s">
        <v>292</v>
      </c>
      <c r="E407" s="1" t="s">
        <v>273</v>
      </c>
    </row>
    <row r="408" spans="1:5" ht="17.25" hidden="1" customHeight="1" x14ac:dyDescent="0.25">
      <c r="A408" s="1">
        <v>2458352.7038699999</v>
      </c>
      <c r="B408" s="1" t="s">
        <v>83</v>
      </c>
      <c r="C408" s="1">
        <v>10.978</v>
      </c>
      <c r="D408" s="1" t="s">
        <v>292</v>
      </c>
      <c r="E408" s="1" t="s">
        <v>273</v>
      </c>
    </row>
    <row r="409" spans="1:5" ht="17.25" hidden="1" customHeight="1" x14ac:dyDescent="0.25">
      <c r="A409" s="1">
        <v>2458352.7044700002</v>
      </c>
      <c r="B409" s="1" t="s">
        <v>83</v>
      </c>
      <c r="C409" s="1">
        <v>10.956</v>
      </c>
      <c r="D409" s="1" t="s">
        <v>292</v>
      </c>
      <c r="E409" s="1" t="s">
        <v>273</v>
      </c>
    </row>
    <row r="410" spans="1:5" ht="17.25" customHeight="1" x14ac:dyDescent="0.25">
      <c r="A410" s="1">
        <v>2458353.3606500002</v>
      </c>
      <c r="B410" s="1" t="s">
        <v>83</v>
      </c>
      <c r="C410" s="1">
        <v>10.914999999999999</v>
      </c>
      <c r="D410" s="1" t="s">
        <v>292</v>
      </c>
      <c r="E410" s="1" t="s">
        <v>101</v>
      </c>
    </row>
    <row r="411" spans="1:5" ht="17.25" hidden="1" customHeight="1" x14ac:dyDescent="0.25">
      <c r="A411" s="1">
        <v>2458353.6543299998</v>
      </c>
      <c r="B411" s="1" t="s">
        <v>299</v>
      </c>
      <c r="C411" s="1">
        <v>10.951000000000001</v>
      </c>
      <c r="D411" s="1" t="s">
        <v>292</v>
      </c>
      <c r="E411" s="1" t="s">
        <v>273</v>
      </c>
    </row>
    <row r="412" spans="1:5" ht="17.25" hidden="1" customHeight="1" x14ac:dyDescent="0.25">
      <c r="A412" s="1">
        <v>2458353.6550400001</v>
      </c>
      <c r="B412" s="1" t="s">
        <v>299</v>
      </c>
      <c r="C412" s="1">
        <v>10.955</v>
      </c>
      <c r="D412" s="1" t="s">
        <v>292</v>
      </c>
      <c r="E412" s="1" t="s">
        <v>273</v>
      </c>
    </row>
    <row r="413" spans="1:5" ht="17.25" hidden="1" customHeight="1" x14ac:dyDescent="0.25">
      <c r="A413" s="1">
        <v>2458353.65576</v>
      </c>
      <c r="B413" s="1" t="s">
        <v>299</v>
      </c>
      <c r="C413" s="1">
        <v>10.987</v>
      </c>
      <c r="D413" s="1" t="s">
        <v>292</v>
      </c>
      <c r="E413" s="1" t="s">
        <v>273</v>
      </c>
    </row>
    <row r="414" spans="1:5" ht="17.25" hidden="1" customHeight="1" x14ac:dyDescent="0.25">
      <c r="A414" s="1">
        <v>2458353.6564799999</v>
      </c>
      <c r="B414" s="1" t="s">
        <v>299</v>
      </c>
      <c r="C414" s="1">
        <v>10.981</v>
      </c>
      <c r="D414" s="1" t="s">
        <v>292</v>
      </c>
      <c r="E414" s="1" t="s">
        <v>273</v>
      </c>
    </row>
    <row r="415" spans="1:5" ht="17.25" hidden="1" customHeight="1" x14ac:dyDescent="0.25">
      <c r="A415" s="1">
        <v>2458353.6571900002</v>
      </c>
      <c r="B415" s="1" t="s">
        <v>299</v>
      </c>
      <c r="C415" s="1">
        <v>10.975</v>
      </c>
      <c r="D415" s="1" t="s">
        <v>292</v>
      </c>
      <c r="E415" s="1" t="s">
        <v>273</v>
      </c>
    </row>
    <row r="416" spans="1:5" ht="17.25" hidden="1" customHeight="1" x14ac:dyDescent="0.25">
      <c r="A416" s="1">
        <v>2458353.6579100001</v>
      </c>
      <c r="B416" s="1" t="s">
        <v>299</v>
      </c>
      <c r="C416" s="1">
        <v>10.972</v>
      </c>
      <c r="D416" s="1" t="s">
        <v>292</v>
      </c>
      <c r="E416" s="1" t="s">
        <v>273</v>
      </c>
    </row>
    <row r="417" spans="1:5" ht="17.25" hidden="1" customHeight="1" x14ac:dyDescent="0.25">
      <c r="A417" s="1">
        <v>2458353.65863</v>
      </c>
      <c r="B417" s="1" t="s">
        <v>299</v>
      </c>
      <c r="C417" s="1">
        <v>10.97</v>
      </c>
      <c r="D417" s="1" t="s">
        <v>292</v>
      </c>
      <c r="E417" s="1" t="s">
        <v>273</v>
      </c>
    </row>
    <row r="418" spans="1:5" ht="17.25" hidden="1" customHeight="1" x14ac:dyDescent="0.25">
      <c r="A418" s="1">
        <v>2458353.6593399998</v>
      </c>
      <c r="B418" s="1" t="s">
        <v>299</v>
      </c>
      <c r="C418" s="1">
        <v>10.971</v>
      </c>
      <c r="D418" s="1" t="s">
        <v>292</v>
      </c>
      <c r="E418" s="1" t="s">
        <v>273</v>
      </c>
    </row>
    <row r="419" spans="1:5" ht="17.25" hidden="1" customHeight="1" x14ac:dyDescent="0.25">
      <c r="A419" s="1">
        <v>2458353.6600600001</v>
      </c>
      <c r="B419" s="1" t="s">
        <v>299</v>
      </c>
      <c r="C419" s="1">
        <v>10.939</v>
      </c>
      <c r="D419" s="1" t="s">
        <v>292</v>
      </c>
      <c r="E419" s="1" t="s">
        <v>273</v>
      </c>
    </row>
    <row r="420" spans="1:5" ht="17.25" hidden="1" customHeight="1" x14ac:dyDescent="0.25">
      <c r="A420" s="1">
        <v>2458353.66077</v>
      </c>
      <c r="B420" s="1" t="s">
        <v>299</v>
      </c>
      <c r="C420" s="1">
        <v>10.968</v>
      </c>
      <c r="D420" s="1" t="s">
        <v>292</v>
      </c>
      <c r="E420" s="1" t="s">
        <v>273</v>
      </c>
    </row>
    <row r="421" spans="1:5" ht="17.25" customHeight="1" x14ac:dyDescent="0.25">
      <c r="A421" s="1">
        <v>2458354.5084099998</v>
      </c>
      <c r="B421" s="1" t="s">
        <v>84</v>
      </c>
      <c r="C421" s="1">
        <v>10.929</v>
      </c>
      <c r="D421" s="1" t="s">
        <v>292</v>
      </c>
      <c r="E421" s="1" t="s">
        <v>94</v>
      </c>
    </row>
    <row r="422" spans="1:5" ht="17.25" customHeight="1" x14ac:dyDescent="0.25">
      <c r="A422" s="1">
        <v>2458354.5086300001</v>
      </c>
      <c r="B422" s="1" t="s">
        <v>84</v>
      </c>
      <c r="C422" s="1">
        <v>10.91</v>
      </c>
      <c r="D422" s="1" t="s">
        <v>292</v>
      </c>
      <c r="E422" s="1" t="s">
        <v>94</v>
      </c>
    </row>
    <row r="423" spans="1:5" ht="17.25" hidden="1" customHeight="1" x14ac:dyDescent="0.25">
      <c r="A423" s="1">
        <v>2458355.48006</v>
      </c>
      <c r="B423" s="1" t="s">
        <v>84</v>
      </c>
      <c r="C423" s="1">
        <v>10.956</v>
      </c>
      <c r="D423" s="1" t="s">
        <v>292</v>
      </c>
      <c r="E423" s="1" t="s">
        <v>285</v>
      </c>
    </row>
    <row r="424" spans="1:5" ht="17.25" customHeight="1" x14ac:dyDescent="0.25">
      <c r="A424" s="1">
        <v>2458355.5055</v>
      </c>
      <c r="B424" s="1" t="s">
        <v>85</v>
      </c>
      <c r="C424" s="1">
        <v>10.932</v>
      </c>
      <c r="D424" s="1" t="s">
        <v>292</v>
      </c>
      <c r="E424" s="1" t="s">
        <v>94</v>
      </c>
    </row>
    <row r="425" spans="1:5" ht="17.25" customHeight="1" x14ac:dyDescent="0.25">
      <c r="A425" s="1">
        <v>2458355.5057199998</v>
      </c>
      <c r="B425" s="1" t="s">
        <v>85</v>
      </c>
      <c r="C425" s="1">
        <v>10.903</v>
      </c>
      <c r="D425" s="1" t="s">
        <v>292</v>
      </c>
      <c r="E425" s="1" t="s">
        <v>94</v>
      </c>
    </row>
    <row r="426" spans="1:5" ht="17.25" customHeight="1" x14ac:dyDescent="0.25">
      <c r="A426" s="1">
        <v>2458355.7532100002</v>
      </c>
      <c r="B426" s="1" t="s">
        <v>85</v>
      </c>
      <c r="C426" s="1">
        <v>10.933999999999999</v>
      </c>
      <c r="D426" s="1" t="s">
        <v>292</v>
      </c>
      <c r="E426" s="1" t="s">
        <v>102</v>
      </c>
    </row>
    <row r="427" spans="1:5" ht="17.25" hidden="1" customHeight="1" x14ac:dyDescent="0.25">
      <c r="A427" s="1">
        <v>2458356.3449200001</v>
      </c>
      <c r="B427" s="1" t="s">
        <v>85</v>
      </c>
      <c r="C427" s="1">
        <v>10.942</v>
      </c>
      <c r="D427" s="1" t="s">
        <v>292</v>
      </c>
      <c r="E427" s="1" t="s">
        <v>285</v>
      </c>
    </row>
    <row r="428" spans="1:5" ht="17.25" hidden="1" customHeight="1" x14ac:dyDescent="0.25">
      <c r="A428" s="1">
        <v>2458356.3456000001</v>
      </c>
      <c r="B428" s="1" t="s">
        <v>85</v>
      </c>
      <c r="C428" s="1">
        <v>10.925000000000001</v>
      </c>
      <c r="D428" s="1" t="s">
        <v>292</v>
      </c>
      <c r="E428" s="1" t="s">
        <v>285</v>
      </c>
    </row>
    <row r="429" spans="1:5" ht="17.25" customHeight="1" x14ac:dyDescent="0.25">
      <c r="A429" s="1">
        <v>2458356.5029500001</v>
      </c>
      <c r="B429" s="1" t="s">
        <v>103</v>
      </c>
      <c r="C429" s="1">
        <v>10.923</v>
      </c>
      <c r="D429" s="1" t="s">
        <v>292</v>
      </c>
      <c r="E429" s="1" t="s">
        <v>94</v>
      </c>
    </row>
    <row r="430" spans="1:5" ht="17.25" customHeight="1" x14ac:dyDescent="0.25">
      <c r="A430" s="1">
        <v>2458356.5031699999</v>
      </c>
      <c r="B430" s="1" t="s">
        <v>103</v>
      </c>
      <c r="C430" s="1">
        <v>10.913</v>
      </c>
      <c r="D430" s="1" t="s">
        <v>292</v>
      </c>
      <c r="E430" s="1" t="s">
        <v>94</v>
      </c>
    </row>
    <row r="431" spans="1:5" ht="17.25" hidden="1" customHeight="1" x14ac:dyDescent="0.25">
      <c r="A431" s="1">
        <v>2458356.6224000002</v>
      </c>
      <c r="B431" s="1" t="s">
        <v>103</v>
      </c>
      <c r="C431" s="1">
        <v>11.177</v>
      </c>
      <c r="D431" s="1" t="s">
        <v>292</v>
      </c>
      <c r="E431" s="1" t="s">
        <v>273</v>
      </c>
    </row>
    <row r="432" spans="1:5" ht="17.25" hidden="1" customHeight="1" x14ac:dyDescent="0.25">
      <c r="A432" s="1">
        <v>2458357.3457999998</v>
      </c>
      <c r="B432" s="1" t="s">
        <v>103</v>
      </c>
      <c r="C432" s="1">
        <v>10.936</v>
      </c>
      <c r="D432" s="1" t="s">
        <v>292</v>
      </c>
      <c r="E432" s="1" t="s">
        <v>285</v>
      </c>
    </row>
    <row r="433" spans="1:5" ht="17.25" customHeight="1" x14ac:dyDescent="0.25">
      <c r="A433" s="1">
        <v>2458357.4999600002</v>
      </c>
      <c r="B433" s="1" t="s">
        <v>103</v>
      </c>
      <c r="C433" s="1">
        <v>10.961</v>
      </c>
      <c r="D433" s="1" t="s">
        <v>292</v>
      </c>
      <c r="E433" s="1" t="s">
        <v>94</v>
      </c>
    </row>
    <row r="434" spans="1:5" ht="17.25" customHeight="1" x14ac:dyDescent="0.25">
      <c r="A434" s="1">
        <v>2458357.5001699999</v>
      </c>
      <c r="B434" s="1" t="s">
        <v>86</v>
      </c>
      <c r="C434" s="1">
        <v>10.959</v>
      </c>
      <c r="D434" s="1" t="s">
        <v>292</v>
      </c>
      <c r="E434" s="1" t="s">
        <v>94</v>
      </c>
    </row>
    <row r="435" spans="1:5" ht="17.25" hidden="1" customHeight="1" x14ac:dyDescent="0.25">
      <c r="A435" s="1">
        <v>2458357.6205799999</v>
      </c>
      <c r="B435" s="1" t="s">
        <v>86</v>
      </c>
      <c r="C435" s="1">
        <v>11.004</v>
      </c>
      <c r="D435" s="1" t="s">
        <v>292</v>
      </c>
      <c r="E435" s="1" t="s">
        <v>273</v>
      </c>
    </row>
    <row r="436" spans="1:5" ht="17.25" hidden="1" customHeight="1" x14ac:dyDescent="0.25">
      <c r="A436" s="1">
        <v>2458357.6208600001</v>
      </c>
      <c r="B436" s="1" t="s">
        <v>86</v>
      </c>
      <c r="C436" s="1">
        <v>11.012</v>
      </c>
      <c r="D436" s="1" t="s">
        <v>292</v>
      </c>
      <c r="E436" s="1" t="s">
        <v>273</v>
      </c>
    </row>
    <row r="437" spans="1:5" ht="17.25" hidden="1" customHeight="1" x14ac:dyDescent="0.25">
      <c r="A437" s="1">
        <v>2458357.62115</v>
      </c>
      <c r="B437" s="1" t="s">
        <v>86</v>
      </c>
      <c r="C437" s="1">
        <v>11.034000000000001</v>
      </c>
      <c r="D437" s="1" t="s">
        <v>292</v>
      </c>
      <c r="E437" s="1" t="s">
        <v>273</v>
      </c>
    </row>
    <row r="438" spans="1:5" ht="17.25" hidden="1" customHeight="1" x14ac:dyDescent="0.25">
      <c r="A438" s="1">
        <v>2458357.6214399999</v>
      </c>
      <c r="B438" s="1" t="s">
        <v>86</v>
      </c>
      <c r="C438" s="1">
        <v>11.013</v>
      </c>
      <c r="D438" s="1" t="s">
        <v>292</v>
      </c>
      <c r="E438" s="1" t="s">
        <v>273</v>
      </c>
    </row>
    <row r="439" spans="1:5" ht="17.25" hidden="1" customHeight="1" x14ac:dyDescent="0.25">
      <c r="A439" s="1">
        <v>2458357.6217299998</v>
      </c>
      <c r="B439" s="1" t="s">
        <v>86</v>
      </c>
      <c r="C439" s="1">
        <v>11.018000000000001</v>
      </c>
      <c r="D439" s="1" t="s">
        <v>292</v>
      </c>
      <c r="E439" s="1" t="s">
        <v>273</v>
      </c>
    </row>
    <row r="440" spans="1:5" ht="17.25" hidden="1" customHeight="1" x14ac:dyDescent="0.25">
      <c r="A440" s="1">
        <v>2458358.34491</v>
      </c>
      <c r="B440" s="1" t="s">
        <v>86</v>
      </c>
      <c r="C440" s="1">
        <v>11</v>
      </c>
      <c r="D440" s="1" t="s">
        <v>292</v>
      </c>
      <c r="E440" s="1" t="s">
        <v>285</v>
      </c>
    </row>
    <row r="441" spans="1:5" ht="17.25" customHeight="1" x14ac:dyDescent="0.25">
      <c r="A441" s="1">
        <v>2458358.4885499999</v>
      </c>
      <c r="B441" s="1" t="s">
        <v>86</v>
      </c>
      <c r="C441" s="1">
        <v>10.964</v>
      </c>
      <c r="D441" s="1" t="s">
        <v>292</v>
      </c>
      <c r="E441" s="1" t="s">
        <v>94</v>
      </c>
    </row>
    <row r="442" spans="1:5" ht="17.25" customHeight="1" x14ac:dyDescent="0.25">
      <c r="A442" s="1">
        <v>2458358.4887600001</v>
      </c>
      <c r="B442" s="1" t="s">
        <v>86</v>
      </c>
      <c r="C442" s="1">
        <v>10.997999999999999</v>
      </c>
      <c r="D442" s="1" t="s">
        <v>292</v>
      </c>
      <c r="E442" s="1" t="s">
        <v>94</v>
      </c>
    </row>
    <row r="443" spans="1:5" ht="17.25" hidden="1" customHeight="1" x14ac:dyDescent="0.25">
      <c r="A443" s="1">
        <v>2458359.34143</v>
      </c>
      <c r="B443" s="1" t="s">
        <v>87</v>
      </c>
      <c r="C443" s="1">
        <v>10.997999999999999</v>
      </c>
      <c r="D443" s="1" t="s">
        <v>292</v>
      </c>
      <c r="E443" s="1" t="s">
        <v>285</v>
      </c>
    </row>
    <row r="444" spans="1:5" ht="17.25" hidden="1" customHeight="1" x14ac:dyDescent="0.25">
      <c r="A444" s="1">
        <v>2458359.3420899999</v>
      </c>
      <c r="B444" s="1" t="s">
        <v>87</v>
      </c>
      <c r="C444" s="1">
        <v>10.978</v>
      </c>
      <c r="D444" s="1" t="s">
        <v>292</v>
      </c>
      <c r="E444" s="1" t="s">
        <v>285</v>
      </c>
    </row>
    <row r="445" spans="1:5" ht="17.25" customHeight="1" x14ac:dyDescent="0.25">
      <c r="A445" s="1">
        <v>2458359.3707099999</v>
      </c>
      <c r="B445" s="1" t="s">
        <v>87</v>
      </c>
      <c r="C445" s="1">
        <v>11.002000000000001</v>
      </c>
      <c r="D445" s="1" t="s">
        <v>292</v>
      </c>
      <c r="E445" s="1" t="s">
        <v>101</v>
      </c>
    </row>
    <row r="446" spans="1:5" ht="17.25" customHeight="1" x14ac:dyDescent="0.25">
      <c r="A446" s="1">
        <v>2458359.3714399999</v>
      </c>
      <c r="B446" s="1" t="s">
        <v>87</v>
      </c>
      <c r="C446" s="1">
        <v>11</v>
      </c>
      <c r="D446" s="1" t="s">
        <v>292</v>
      </c>
      <c r="E446" s="1" t="s">
        <v>101</v>
      </c>
    </row>
    <row r="447" spans="1:5" ht="17.25" customHeight="1" x14ac:dyDescent="0.25">
      <c r="A447" s="1">
        <v>2458359.4889799999</v>
      </c>
      <c r="B447" s="1" t="s">
        <v>87</v>
      </c>
      <c r="C447" s="1">
        <v>11.013999999999999</v>
      </c>
      <c r="D447" s="1" t="s">
        <v>292</v>
      </c>
      <c r="E447" s="1" t="s">
        <v>94</v>
      </c>
    </row>
    <row r="448" spans="1:5" ht="17.25" customHeight="1" x14ac:dyDescent="0.25">
      <c r="A448" s="1">
        <v>2458359.48918</v>
      </c>
      <c r="B448" s="1" t="s">
        <v>87</v>
      </c>
      <c r="C448" s="1">
        <v>11.048</v>
      </c>
      <c r="D448" s="1" t="s">
        <v>292</v>
      </c>
      <c r="E448" s="1" t="s">
        <v>94</v>
      </c>
    </row>
    <row r="449" spans="1:5" ht="17.25" hidden="1" customHeight="1" x14ac:dyDescent="0.25">
      <c r="A449" s="1">
        <v>2458359.7017999999</v>
      </c>
      <c r="B449" s="1" t="s">
        <v>88</v>
      </c>
      <c r="C449" s="1">
        <v>11.234</v>
      </c>
      <c r="D449" s="1" t="s">
        <v>292</v>
      </c>
      <c r="E449" s="1" t="s">
        <v>273</v>
      </c>
    </row>
    <row r="450" spans="1:5" ht="17.25" hidden="1" customHeight="1" x14ac:dyDescent="0.25">
      <c r="A450" s="1">
        <v>2458360.3420899999</v>
      </c>
      <c r="B450" s="1" t="s">
        <v>88</v>
      </c>
      <c r="C450" s="1">
        <v>11.005000000000001</v>
      </c>
      <c r="D450" s="1" t="s">
        <v>292</v>
      </c>
      <c r="E450" s="1" t="s">
        <v>285</v>
      </c>
    </row>
    <row r="451" spans="1:5" ht="17.25" hidden="1" customHeight="1" x14ac:dyDescent="0.25">
      <c r="A451" s="1">
        <v>2458360.34277</v>
      </c>
      <c r="B451" s="1" t="s">
        <v>88</v>
      </c>
      <c r="C451" s="1">
        <v>11.032</v>
      </c>
      <c r="D451" s="1" t="s">
        <v>292</v>
      </c>
      <c r="E451" s="1" t="s">
        <v>285</v>
      </c>
    </row>
    <row r="452" spans="1:5" ht="17.25" customHeight="1" x14ac:dyDescent="0.25">
      <c r="A452" s="1">
        <v>2458360.4896499999</v>
      </c>
      <c r="B452" s="1" t="s">
        <v>88</v>
      </c>
      <c r="C452" s="1">
        <v>11.061</v>
      </c>
      <c r="D452" s="1" t="s">
        <v>292</v>
      </c>
      <c r="E452" s="1" t="s">
        <v>94</v>
      </c>
    </row>
    <row r="453" spans="1:5" ht="17.25" customHeight="1" x14ac:dyDescent="0.25">
      <c r="A453" s="1">
        <v>2458360.4898700002</v>
      </c>
      <c r="B453" s="1" t="s">
        <v>88</v>
      </c>
      <c r="C453" s="1">
        <v>11.058</v>
      </c>
      <c r="D453" s="1" t="s">
        <v>292</v>
      </c>
      <c r="E453" s="1" t="s">
        <v>94</v>
      </c>
    </row>
    <row r="454" spans="1:5" ht="17.25" hidden="1" customHeight="1" x14ac:dyDescent="0.25">
      <c r="A454" s="1">
        <v>2458360.5451000002</v>
      </c>
      <c r="B454" s="1" t="s">
        <v>89</v>
      </c>
      <c r="C454" s="1">
        <v>10.936999999999999</v>
      </c>
      <c r="D454" s="1" t="s">
        <v>292</v>
      </c>
      <c r="E454" s="1" t="s">
        <v>300</v>
      </c>
    </row>
    <row r="455" spans="1:5" ht="17.25" hidden="1" customHeight="1" x14ac:dyDescent="0.25">
      <c r="A455" s="1">
        <v>2458360.6620700001</v>
      </c>
      <c r="B455" s="1" t="s">
        <v>89</v>
      </c>
      <c r="C455" s="1">
        <v>11.122999999999999</v>
      </c>
      <c r="D455" s="1" t="s">
        <v>292</v>
      </c>
      <c r="E455" s="1" t="s">
        <v>273</v>
      </c>
    </row>
    <row r="456" spans="1:5" ht="17.25" hidden="1" customHeight="1" x14ac:dyDescent="0.25">
      <c r="A456" s="1">
        <v>2458360.66236</v>
      </c>
      <c r="B456" s="1" t="s">
        <v>89</v>
      </c>
      <c r="C456" s="1">
        <v>11.089</v>
      </c>
      <c r="D456" s="1" t="s">
        <v>292</v>
      </c>
      <c r="E456" s="1" t="s">
        <v>273</v>
      </c>
    </row>
    <row r="457" spans="1:5" ht="17.25" hidden="1" customHeight="1" x14ac:dyDescent="0.25">
      <c r="A457" s="1">
        <v>2458360.6626499998</v>
      </c>
      <c r="B457" s="1" t="s">
        <v>89</v>
      </c>
      <c r="C457" s="1">
        <v>11.087</v>
      </c>
      <c r="D457" s="1" t="s">
        <v>292</v>
      </c>
      <c r="E457" s="1" t="s">
        <v>273</v>
      </c>
    </row>
    <row r="458" spans="1:5" ht="17.25" hidden="1" customHeight="1" x14ac:dyDescent="0.25">
      <c r="A458" s="1">
        <v>2458360.6629400002</v>
      </c>
      <c r="B458" s="1" t="s">
        <v>89</v>
      </c>
      <c r="C458" s="1">
        <v>11.090999999999999</v>
      </c>
      <c r="D458" s="1" t="s">
        <v>292</v>
      </c>
      <c r="E458" s="1" t="s">
        <v>273</v>
      </c>
    </row>
    <row r="459" spans="1:5" ht="17.25" hidden="1" customHeight="1" x14ac:dyDescent="0.25">
      <c r="A459" s="1">
        <v>2458361.3411599998</v>
      </c>
      <c r="B459" s="1" t="s">
        <v>89</v>
      </c>
      <c r="C459" s="1">
        <v>11.025</v>
      </c>
      <c r="D459" s="1" t="s">
        <v>292</v>
      </c>
      <c r="E459" s="1" t="s">
        <v>285</v>
      </c>
    </row>
    <row r="460" spans="1:5" ht="17.25" customHeight="1" x14ac:dyDescent="0.25">
      <c r="A460" s="1">
        <v>2458361.4898999999</v>
      </c>
      <c r="B460" s="1" t="s">
        <v>89</v>
      </c>
      <c r="C460" s="1">
        <v>11.071</v>
      </c>
      <c r="D460" s="1" t="s">
        <v>292</v>
      </c>
      <c r="E460" s="1" t="s">
        <v>94</v>
      </c>
    </row>
    <row r="461" spans="1:5" ht="17.25" customHeight="1" x14ac:dyDescent="0.25">
      <c r="A461" s="1">
        <v>2458361.4901100001</v>
      </c>
      <c r="B461" s="1" t="s">
        <v>89</v>
      </c>
      <c r="C461" s="1">
        <v>11.101000000000001</v>
      </c>
      <c r="D461" s="1" t="s">
        <v>292</v>
      </c>
      <c r="E461" s="1" t="s">
        <v>94</v>
      </c>
    </row>
    <row r="462" spans="1:5" ht="17.25" hidden="1" customHeight="1" x14ac:dyDescent="0.25">
      <c r="A462" s="1">
        <v>2458362.3402999998</v>
      </c>
      <c r="B462" s="1" t="s">
        <v>104</v>
      </c>
      <c r="C462" s="1">
        <v>11.077999999999999</v>
      </c>
      <c r="D462" s="1" t="s">
        <v>292</v>
      </c>
      <c r="E462" s="1" t="s">
        <v>285</v>
      </c>
    </row>
    <row r="463" spans="1:5" ht="17.25" customHeight="1" x14ac:dyDescent="0.25">
      <c r="A463" s="1">
        <v>2458362.3596800002</v>
      </c>
      <c r="B463" s="1" t="s">
        <v>104</v>
      </c>
      <c r="C463" s="1">
        <v>11.096</v>
      </c>
      <c r="D463" s="1" t="s">
        <v>292</v>
      </c>
      <c r="E463" s="1" t="s">
        <v>101</v>
      </c>
    </row>
    <row r="464" spans="1:5" ht="17.25" customHeight="1" x14ac:dyDescent="0.25">
      <c r="A464" s="1">
        <v>2458362.48979</v>
      </c>
      <c r="B464" s="1" t="s">
        <v>104</v>
      </c>
      <c r="C464" s="1">
        <v>11.116</v>
      </c>
      <c r="D464" s="1" t="s">
        <v>292</v>
      </c>
      <c r="E464" s="1" t="s">
        <v>94</v>
      </c>
    </row>
    <row r="465" spans="1:5" ht="17.25" customHeight="1" x14ac:dyDescent="0.25">
      <c r="A465" s="1">
        <v>2458362.4899900001</v>
      </c>
      <c r="B465" s="1" t="s">
        <v>104</v>
      </c>
      <c r="C465" s="1">
        <v>11.114000000000001</v>
      </c>
      <c r="D465" s="1" t="s">
        <v>292</v>
      </c>
      <c r="E465" s="1" t="s">
        <v>94</v>
      </c>
    </row>
    <row r="466" spans="1:5" ht="17.25" hidden="1" customHeight="1" x14ac:dyDescent="0.25">
      <c r="A466" s="1">
        <v>2458362.6392999999</v>
      </c>
      <c r="B466" s="1" t="s">
        <v>303</v>
      </c>
      <c r="C466" s="1">
        <v>11.128</v>
      </c>
      <c r="D466" s="1" t="s">
        <v>292</v>
      </c>
      <c r="E466" s="1" t="s">
        <v>273</v>
      </c>
    </row>
    <row r="467" spans="1:5" ht="17.25" hidden="1" customHeight="1" x14ac:dyDescent="0.25">
      <c r="A467" s="1">
        <v>2458362.6406299998</v>
      </c>
      <c r="B467" s="1" t="s">
        <v>303</v>
      </c>
      <c r="C467" s="1">
        <v>11.18</v>
      </c>
      <c r="D467" s="1" t="s">
        <v>292</v>
      </c>
      <c r="E467" s="1" t="s">
        <v>273</v>
      </c>
    </row>
    <row r="468" spans="1:5" ht="17.25" hidden="1" customHeight="1" x14ac:dyDescent="0.25">
      <c r="A468" s="1">
        <v>2458362.64176</v>
      </c>
      <c r="B468" s="1" t="s">
        <v>303</v>
      </c>
      <c r="C468" s="1">
        <v>11.122</v>
      </c>
      <c r="D468" s="1" t="s">
        <v>292</v>
      </c>
      <c r="E468" s="1" t="s">
        <v>273</v>
      </c>
    </row>
    <row r="469" spans="1:5" ht="17.25" hidden="1" customHeight="1" x14ac:dyDescent="0.25">
      <c r="A469" s="1">
        <v>2458362.6427600002</v>
      </c>
      <c r="B469" s="1" t="s">
        <v>303</v>
      </c>
      <c r="C469" s="1">
        <v>11.148999999999999</v>
      </c>
      <c r="D469" s="1" t="s">
        <v>292</v>
      </c>
      <c r="E469" s="1" t="s">
        <v>273</v>
      </c>
    </row>
    <row r="470" spans="1:5" ht="17.25" hidden="1" customHeight="1" x14ac:dyDescent="0.25">
      <c r="A470" s="1">
        <v>2458363.3626199998</v>
      </c>
      <c r="B470" s="1" t="s">
        <v>303</v>
      </c>
      <c r="C470" s="1">
        <v>11.144</v>
      </c>
      <c r="D470" s="1" t="s">
        <v>292</v>
      </c>
      <c r="E470" s="1" t="s">
        <v>285</v>
      </c>
    </row>
    <row r="471" spans="1:5" ht="17.25" customHeight="1" x14ac:dyDescent="0.25">
      <c r="A471" s="1">
        <v>2458363.5060200002</v>
      </c>
      <c r="B471" s="1" t="s">
        <v>90</v>
      </c>
      <c r="C471" s="1">
        <v>11.134</v>
      </c>
      <c r="D471" s="1" t="s">
        <v>292</v>
      </c>
      <c r="E471" s="1" t="s">
        <v>94</v>
      </c>
    </row>
    <row r="472" spans="1:5" ht="17.25" customHeight="1" x14ac:dyDescent="0.25">
      <c r="A472" s="1">
        <v>2458363.50624</v>
      </c>
      <c r="B472" s="1" t="s">
        <v>90</v>
      </c>
      <c r="C472" s="1">
        <v>11.131</v>
      </c>
      <c r="D472" s="1" t="s">
        <v>292</v>
      </c>
      <c r="E472" s="1" t="s">
        <v>94</v>
      </c>
    </row>
    <row r="473" spans="1:5" ht="17.25" customHeight="1" x14ac:dyDescent="0.25">
      <c r="A473" s="1">
        <v>2458364.3155499999</v>
      </c>
      <c r="B473" s="1" t="s">
        <v>90</v>
      </c>
      <c r="C473" s="1">
        <v>11.128</v>
      </c>
      <c r="D473" s="1" t="s">
        <v>292</v>
      </c>
      <c r="E473" s="1" t="s">
        <v>105</v>
      </c>
    </row>
    <row r="474" spans="1:5" ht="17.25" customHeight="1" x14ac:dyDescent="0.25">
      <c r="A474" s="1">
        <v>2458364.31598</v>
      </c>
      <c r="B474" s="1" t="s">
        <v>90</v>
      </c>
      <c r="C474" s="1">
        <v>11.122</v>
      </c>
      <c r="D474" s="1" t="s">
        <v>292</v>
      </c>
      <c r="E474" s="1" t="s">
        <v>105</v>
      </c>
    </row>
    <row r="475" spans="1:5" ht="17.25" customHeight="1" x14ac:dyDescent="0.25">
      <c r="A475" s="1">
        <v>2458364.3163800002</v>
      </c>
      <c r="B475" s="1" t="s">
        <v>90</v>
      </c>
      <c r="C475" s="1">
        <v>11.129</v>
      </c>
      <c r="D475" s="1" t="s">
        <v>292</v>
      </c>
      <c r="E475" s="1" t="s">
        <v>105</v>
      </c>
    </row>
    <row r="476" spans="1:5" ht="17.25" customHeight="1" x14ac:dyDescent="0.25">
      <c r="A476" s="1">
        <v>2458364.3167699999</v>
      </c>
      <c r="B476" s="1" t="s">
        <v>90</v>
      </c>
      <c r="C476" s="1">
        <v>11.148</v>
      </c>
      <c r="D476" s="1" t="s">
        <v>292</v>
      </c>
      <c r="E476" s="1" t="s">
        <v>105</v>
      </c>
    </row>
    <row r="477" spans="1:5" ht="17.25" customHeight="1" x14ac:dyDescent="0.25">
      <c r="A477" s="1">
        <v>2458364.3171600001</v>
      </c>
      <c r="B477" s="1" t="s">
        <v>90</v>
      </c>
      <c r="C477" s="1">
        <v>11.14</v>
      </c>
      <c r="D477" s="1" t="s">
        <v>292</v>
      </c>
      <c r="E477" s="1" t="s">
        <v>105</v>
      </c>
    </row>
    <row r="478" spans="1:5" ht="17.25" customHeight="1" x14ac:dyDescent="0.25">
      <c r="A478" s="1">
        <v>2458364.3175599999</v>
      </c>
      <c r="B478" s="1" t="s">
        <v>90</v>
      </c>
      <c r="C478" s="1">
        <v>11.121</v>
      </c>
      <c r="D478" s="1" t="s">
        <v>292</v>
      </c>
      <c r="E478" s="1" t="s">
        <v>105</v>
      </c>
    </row>
    <row r="479" spans="1:5" ht="17.25" customHeight="1" x14ac:dyDescent="0.25">
      <c r="A479" s="1">
        <v>2458364.3179600001</v>
      </c>
      <c r="B479" s="1" t="s">
        <v>90</v>
      </c>
      <c r="C479" s="1">
        <v>11.161</v>
      </c>
      <c r="D479" s="1" t="s">
        <v>292</v>
      </c>
      <c r="E479" s="1" t="s">
        <v>105</v>
      </c>
    </row>
    <row r="480" spans="1:5" ht="17.25" customHeight="1" x14ac:dyDescent="0.25">
      <c r="A480" s="1">
        <v>2458364.31837</v>
      </c>
      <c r="B480" s="1" t="s">
        <v>90</v>
      </c>
      <c r="C480" s="1">
        <v>11.129</v>
      </c>
      <c r="D480" s="1" t="s">
        <v>292</v>
      </c>
      <c r="E480" s="1" t="s">
        <v>105</v>
      </c>
    </row>
    <row r="481" spans="1:5" ht="17.25" customHeight="1" x14ac:dyDescent="0.25">
      <c r="A481" s="1">
        <v>2458364.3188100001</v>
      </c>
      <c r="B481" s="1" t="s">
        <v>90</v>
      </c>
      <c r="C481" s="1">
        <v>11.134</v>
      </c>
      <c r="D481" s="1" t="s">
        <v>292</v>
      </c>
      <c r="E481" s="1" t="s">
        <v>105</v>
      </c>
    </row>
    <row r="482" spans="1:5" ht="17.25" customHeight="1" x14ac:dyDescent="0.25">
      <c r="A482" s="1">
        <v>2458364.3192099999</v>
      </c>
      <c r="B482" s="1" t="s">
        <v>90</v>
      </c>
      <c r="C482" s="1">
        <v>11.119</v>
      </c>
      <c r="D482" s="1" t="s">
        <v>292</v>
      </c>
      <c r="E482" s="1" t="s">
        <v>105</v>
      </c>
    </row>
    <row r="483" spans="1:5" ht="17.25" customHeight="1" x14ac:dyDescent="0.25">
      <c r="A483" s="1">
        <v>2458364.3196100001</v>
      </c>
      <c r="B483" s="1" t="s">
        <v>90</v>
      </c>
      <c r="C483" s="1">
        <v>11.14</v>
      </c>
      <c r="D483" s="1" t="s">
        <v>292</v>
      </c>
      <c r="E483" s="1" t="s">
        <v>105</v>
      </c>
    </row>
    <row r="484" spans="1:5" ht="17.25" customHeight="1" x14ac:dyDescent="0.25">
      <c r="A484" s="1">
        <v>2458364.3200599998</v>
      </c>
      <c r="B484" s="1" t="s">
        <v>90</v>
      </c>
      <c r="C484" s="1">
        <v>11.138</v>
      </c>
      <c r="D484" s="1" t="s">
        <v>292</v>
      </c>
      <c r="E484" s="1" t="s">
        <v>105</v>
      </c>
    </row>
    <row r="485" spans="1:5" ht="17.25" customHeight="1" x14ac:dyDescent="0.25">
      <c r="A485" s="1">
        <v>2458364.3204600001</v>
      </c>
      <c r="B485" s="1" t="s">
        <v>90</v>
      </c>
      <c r="C485" s="1">
        <v>11.122999999999999</v>
      </c>
      <c r="D485" s="1" t="s">
        <v>292</v>
      </c>
      <c r="E485" s="1" t="s">
        <v>105</v>
      </c>
    </row>
    <row r="486" spans="1:5" ht="17.25" customHeight="1" x14ac:dyDescent="0.25">
      <c r="A486" s="1">
        <v>2458364.3208699999</v>
      </c>
      <c r="B486" s="1" t="s">
        <v>90</v>
      </c>
      <c r="C486" s="1">
        <v>11.156000000000001</v>
      </c>
      <c r="D486" s="1" t="s">
        <v>292</v>
      </c>
      <c r="E486" s="1" t="s">
        <v>105</v>
      </c>
    </row>
    <row r="487" spans="1:5" ht="17.25" customHeight="1" x14ac:dyDescent="0.25">
      <c r="A487" s="1">
        <v>2458364.3212899999</v>
      </c>
      <c r="B487" s="1" t="s">
        <v>90</v>
      </c>
      <c r="C487" s="1">
        <v>11.166</v>
      </c>
      <c r="D487" s="1" t="s">
        <v>292</v>
      </c>
      <c r="E487" s="1" t="s">
        <v>105</v>
      </c>
    </row>
    <row r="488" spans="1:5" ht="17.25" customHeight="1" x14ac:dyDescent="0.25">
      <c r="A488" s="1">
        <v>2458364.3217000002</v>
      </c>
      <c r="B488" s="1" t="s">
        <v>90</v>
      </c>
      <c r="C488" s="1">
        <v>11.127000000000001</v>
      </c>
      <c r="D488" s="1" t="s">
        <v>292</v>
      </c>
      <c r="E488" s="1" t="s">
        <v>105</v>
      </c>
    </row>
    <row r="489" spans="1:5" ht="17.25" customHeight="1" x14ac:dyDescent="0.25">
      <c r="A489" s="1">
        <v>2458364.3221399998</v>
      </c>
      <c r="B489" s="1" t="s">
        <v>90</v>
      </c>
      <c r="C489" s="1">
        <v>11.135999999999999</v>
      </c>
      <c r="D489" s="1" t="s">
        <v>292</v>
      </c>
      <c r="E489" s="1" t="s">
        <v>105</v>
      </c>
    </row>
    <row r="490" spans="1:5" ht="17.25" customHeight="1" x14ac:dyDescent="0.25">
      <c r="A490" s="1">
        <v>2458364.3225400001</v>
      </c>
      <c r="B490" s="1" t="s">
        <v>90</v>
      </c>
      <c r="C490" s="1">
        <v>11.141</v>
      </c>
      <c r="D490" s="1" t="s">
        <v>292</v>
      </c>
      <c r="E490" s="1" t="s">
        <v>105</v>
      </c>
    </row>
    <row r="491" spans="1:5" ht="17.25" customHeight="1" x14ac:dyDescent="0.25">
      <c r="A491" s="1">
        <v>2458364.3229499999</v>
      </c>
      <c r="B491" s="1" t="s">
        <v>90</v>
      </c>
      <c r="C491" s="1">
        <v>11.141</v>
      </c>
      <c r="D491" s="1" t="s">
        <v>292</v>
      </c>
      <c r="E491" s="1" t="s">
        <v>105</v>
      </c>
    </row>
    <row r="492" spans="1:5" ht="17.25" customHeight="1" x14ac:dyDescent="0.25">
      <c r="A492" s="1">
        <v>2458364.3233599998</v>
      </c>
      <c r="B492" s="1" t="s">
        <v>90</v>
      </c>
      <c r="C492" s="1">
        <v>11.131</v>
      </c>
      <c r="D492" s="1" t="s">
        <v>292</v>
      </c>
      <c r="E492" s="1" t="s">
        <v>105</v>
      </c>
    </row>
    <row r="493" spans="1:5" ht="17.25" customHeight="1" x14ac:dyDescent="0.25">
      <c r="A493" s="1">
        <v>2458364.3237600001</v>
      </c>
      <c r="B493" s="1" t="s">
        <v>90</v>
      </c>
      <c r="C493" s="1">
        <v>11.141</v>
      </c>
      <c r="D493" s="1" t="s">
        <v>292</v>
      </c>
      <c r="E493" s="1" t="s">
        <v>105</v>
      </c>
    </row>
    <row r="494" spans="1:5" ht="17.25" customHeight="1" x14ac:dyDescent="0.25">
      <c r="A494" s="1">
        <v>2458364.3241699999</v>
      </c>
      <c r="B494" s="1" t="s">
        <v>90</v>
      </c>
      <c r="C494" s="1">
        <v>11.135</v>
      </c>
      <c r="D494" s="1" t="s">
        <v>292</v>
      </c>
      <c r="E494" s="1" t="s">
        <v>105</v>
      </c>
    </row>
    <row r="495" spans="1:5" ht="17.25" customHeight="1" x14ac:dyDescent="0.25">
      <c r="A495" s="1">
        <v>2458364.3245899999</v>
      </c>
      <c r="B495" s="1" t="s">
        <v>90</v>
      </c>
      <c r="C495" s="1">
        <v>11.143000000000001</v>
      </c>
      <c r="D495" s="1" t="s">
        <v>292</v>
      </c>
      <c r="E495" s="1" t="s">
        <v>105</v>
      </c>
    </row>
    <row r="496" spans="1:5" ht="17.25" customHeight="1" x14ac:dyDescent="0.25">
      <c r="A496" s="1">
        <v>2458364.3250000002</v>
      </c>
      <c r="B496" s="1" t="s">
        <v>90</v>
      </c>
      <c r="C496" s="1">
        <v>11.124000000000001</v>
      </c>
      <c r="D496" s="1" t="s">
        <v>292</v>
      </c>
      <c r="E496" s="1" t="s">
        <v>105</v>
      </c>
    </row>
    <row r="497" spans="1:5" ht="17.25" customHeight="1" x14ac:dyDescent="0.25">
      <c r="A497" s="1">
        <v>2458364.3254</v>
      </c>
      <c r="B497" s="1" t="s">
        <v>90</v>
      </c>
      <c r="C497" s="1">
        <v>11.134</v>
      </c>
      <c r="D497" s="1" t="s">
        <v>292</v>
      </c>
      <c r="E497" s="1" t="s">
        <v>105</v>
      </c>
    </row>
    <row r="498" spans="1:5" ht="17.25" customHeight="1" x14ac:dyDescent="0.25">
      <c r="A498" s="1">
        <v>2458364.3258400001</v>
      </c>
      <c r="B498" s="1" t="s">
        <v>90</v>
      </c>
      <c r="C498" s="1">
        <v>11.148999999999999</v>
      </c>
      <c r="D498" s="1" t="s">
        <v>292</v>
      </c>
      <c r="E498" s="1" t="s">
        <v>105</v>
      </c>
    </row>
    <row r="499" spans="1:5" ht="17.25" customHeight="1" x14ac:dyDescent="0.25">
      <c r="A499" s="1">
        <v>2458364.3262399998</v>
      </c>
      <c r="B499" s="1" t="s">
        <v>90</v>
      </c>
      <c r="C499" s="1">
        <v>11.135</v>
      </c>
      <c r="D499" s="1" t="s">
        <v>292</v>
      </c>
      <c r="E499" s="1" t="s">
        <v>105</v>
      </c>
    </row>
    <row r="500" spans="1:5" ht="17.25" customHeight="1" x14ac:dyDescent="0.25">
      <c r="A500" s="1">
        <v>2458364.3266799999</v>
      </c>
      <c r="B500" s="1" t="s">
        <v>90</v>
      </c>
      <c r="C500" s="1">
        <v>11.132999999999999</v>
      </c>
      <c r="D500" s="1" t="s">
        <v>292</v>
      </c>
      <c r="E500" s="1" t="s">
        <v>105</v>
      </c>
    </row>
    <row r="501" spans="1:5" ht="17.25" customHeight="1" x14ac:dyDescent="0.25">
      <c r="A501" s="1">
        <v>2458364.3270700001</v>
      </c>
      <c r="B501" s="1" t="s">
        <v>90</v>
      </c>
      <c r="C501" s="1">
        <v>11.14</v>
      </c>
      <c r="D501" s="1" t="s">
        <v>292</v>
      </c>
      <c r="E501" s="1" t="s">
        <v>105</v>
      </c>
    </row>
    <row r="502" spans="1:5" ht="17.25" customHeight="1" x14ac:dyDescent="0.25">
      <c r="A502" s="1">
        <v>2458364.3274599998</v>
      </c>
      <c r="B502" s="1" t="s">
        <v>90</v>
      </c>
      <c r="C502" s="1">
        <v>11.141999999999999</v>
      </c>
      <c r="D502" s="1" t="s">
        <v>292</v>
      </c>
      <c r="E502" s="1" t="s">
        <v>105</v>
      </c>
    </row>
    <row r="503" spans="1:5" ht="17.25" customHeight="1" x14ac:dyDescent="0.25">
      <c r="A503" s="1">
        <v>2458364.3278600001</v>
      </c>
      <c r="B503" s="1" t="s">
        <v>90</v>
      </c>
      <c r="C503" s="1">
        <v>11.134</v>
      </c>
      <c r="D503" s="1" t="s">
        <v>292</v>
      </c>
      <c r="E503" s="1" t="s">
        <v>105</v>
      </c>
    </row>
    <row r="504" spans="1:5" ht="17.25" customHeight="1" x14ac:dyDescent="0.25">
      <c r="A504" s="1">
        <v>2458364.3282499998</v>
      </c>
      <c r="B504" s="1" t="s">
        <v>90</v>
      </c>
      <c r="C504" s="1">
        <v>11.115</v>
      </c>
      <c r="D504" s="1" t="s">
        <v>292</v>
      </c>
      <c r="E504" s="1" t="s">
        <v>105</v>
      </c>
    </row>
    <row r="505" spans="1:5" ht="17.25" customHeight="1" x14ac:dyDescent="0.25">
      <c r="A505" s="1">
        <v>2458364.3286899999</v>
      </c>
      <c r="B505" s="1" t="s">
        <v>90</v>
      </c>
      <c r="C505" s="1">
        <v>11.132999999999999</v>
      </c>
      <c r="D505" s="1" t="s">
        <v>292</v>
      </c>
      <c r="E505" s="1" t="s">
        <v>105</v>
      </c>
    </row>
    <row r="506" spans="1:5" ht="17.25" customHeight="1" x14ac:dyDescent="0.25">
      <c r="A506" s="1">
        <v>2458364.3290800001</v>
      </c>
      <c r="B506" s="1" t="s">
        <v>90</v>
      </c>
      <c r="C506" s="1">
        <v>11.144</v>
      </c>
      <c r="D506" s="1" t="s">
        <v>292</v>
      </c>
      <c r="E506" s="1" t="s">
        <v>105</v>
      </c>
    </row>
    <row r="507" spans="1:5" ht="17.25" customHeight="1" x14ac:dyDescent="0.25">
      <c r="A507" s="1">
        <v>2458364.3294799998</v>
      </c>
      <c r="B507" s="1" t="s">
        <v>90</v>
      </c>
      <c r="C507" s="1">
        <v>11.129</v>
      </c>
      <c r="D507" s="1" t="s">
        <v>292</v>
      </c>
      <c r="E507" s="1" t="s">
        <v>105</v>
      </c>
    </row>
    <row r="508" spans="1:5" ht="17.25" customHeight="1" x14ac:dyDescent="0.25">
      <c r="A508" s="1">
        <v>2458364.3299199999</v>
      </c>
      <c r="B508" s="1" t="s">
        <v>90</v>
      </c>
      <c r="C508" s="1">
        <v>11.128</v>
      </c>
      <c r="D508" s="1" t="s">
        <v>292</v>
      </c>
      <c r="E508" s="1" t="s">
        <v>105</v>
      </c>
    </row>
    <row r="509" spans="1:5" ht="17.25" customHeight="1" x14ac:dyDescent="0.25">
      <c r="A509" s="1">
        <v>2458364.3303100001</v>
      </c>
      <c r="B509" s="1" t="s">
        <v>90</v>
      </c>
      <c r="C509" s="1">
        <v>11.132</v>
      </c>
      <c r="D509" s="1" t="s">
        <v>292</v>
      </c>
      <c r="E509" s="1" t="s">
        <v>105</v>
      </c>
    </row>
    <row r="510" spans="1:5" ht="17.25" customHeight="1" x14ac:dyDescent="0.25">
      <c r="A510" s="1">
        <v>2458364.3306999998</v>
      </c>
      <c r="B510" s="1" t="s">
        <v>90</v>
      </c>
      <c r="C510" s="1">
        <v>11.141</v>
      </c>
      <c r="D510" s="1" t="s">
        <v>292</v>
      </c>
      <c r="E510" s="1" t="s">
        <v>105</v>
      </c>
    </row>
    <row r="511" spans="1:5" ht="17.25" customHeight="1" x14ac:dyDescent="0.25">
      <c r="A511" s="1">
        <v>2458364.3311000001</v>
      </c>
      <c r="B511" s="1" t="s">
        <v>90</v>
      </c>
      <c r="C511" s="1">
        <v>11.138</v>
      </c>
      <c r="D511" s="1" t="s">
        <v>292</v>
      </c>
      <c r="E511" s="1" t="s">
        <v>105</v>
      </c>
    </row>
    <row r="512" spans="1:5" ht="17.25" customHeight="1" x14ac:dyDescent="0.25">
      <c r="A512" s="1">
        <v>2458364.3314899998</v>
      </c>
      <c r="B512" s="1" t="s">
        <v>90</v>
      </c>
      <c r="C512" s="1">
        <v>11.138999999999999</v>
      </c>
      <c r="D512" s="1" t="s">
        <v>292</v>
      </c>
      <c r="E512" s="1" t="s">
        <v>105</v>
      </c>
    </row>
    <row r="513" spans="1:5" ht="17.25" customHeight="1" x14ac:dyDescent="0.25">
      <c r="A513" s="1">
        <v>2458364.33189</v>
      </c>
      <c r="B513" s="1" t="s">
        <v>90</v>
      </c>
      <c r="C513" s="1">
        <v>11.134</v>
      </c>
      <c r="D513" s="1" t="s">
        <v>292</v>
      </c>
      <c r="E513" s="1" t="s">
        <v>105</v>
      </c>
    </row>
    <row r="514" spans="1:5" ht="17.25" customHeight="1" x14ac:dyDescent="0.25">
      <c r="A514" s="1">
        <v>2458364.3322800002</v>
      </c>
      <c r="B514" s="1" t="s">
        <v>90</v>
      </c>
      <c r="C514" s="1">
        <v>11.134</v>
      </c>
      <c r="D514" s="1" t="s">
        <v>292</v>
      </c>
      <c r="E514" s="1" t="s">
        <v>105</v>
      </c>
    </row>
    <row r="515" spans="1:5" ht="17.25" customHeight="1" x14ac:dyDescent="0.25">
      <c r="A515" s="1">
        <v>2458364.3326699999</v>
      </c>
      <c r="B515" s="1" t="s">
        <v>90</v>
      </c>
      <c r="C515" s="1">
        <v>11.141</v>
      </c>
      <c r="D515" s="1" t="s">
        <v>292</v>
      </c>
      <c r="E515" s="1" t="s">
        <v>105</v>
      </c>
    </row>
    <row r="516" spans="1:5" ht="17.25" customHeight="1" x14ac:dyDescent="0.25">
      <c r="A516" s="1">
        <v>2458364.3330700002</v>
      </c>
      <c r="B516" s="1" t="s">
        <v>90</v>
      </c>
      <c r="C516" s="1">
        <v>11.132999999999999</v>
      </c>
      <c r="D516" s="1" t="s">
        <v>292</v>
      </c>
      <c r="E516" s="1" t="s">
        <v>105</v>
      </c>
    </row>
    <row r="517" spans="1:5" ht="17.25" customHeight="1" x14ac:dyDescent="0.25">
      <c r="A517" s="1">
        <v>2458364.33347</v>
      </c>
      <c r="B517" s="1" t="s">
        <v>90</v>
      </c>
      <c r="C517" s="1">
        <v>11.153</v>
      </c>
      <c r="D517" s="1" t="s">
        <v>292</v>
      </c>
      <c r="E517" s="1" t="s">
        <v>105</v>
      </c>
    </row>
    <row r="518" spans="1:5" ht="17.25" customHeight="1" x14ac:dyDescent="0.25">
      <c r="A518" s="1">
        <v>2458364.3338600001</v>
      </c>
      <c r="B518" s="1" t="s">
        <v>90</v>
      </c>
      <c r="C518" s="1">
        <v>11.137</v>
      </c>
      <c r="D518" s="1" t="s">
        <v>292</v>
      </c>
      <c r="E518" s="1" t="s">
        <v>105</v>
      </c>
    </row>
    <row r="519" spans="1:5" ht="17.25" customHeight="1" x14ac:dyDescent="0.25">
      <c r="A519" s="1">
        <v>2458364.3342599999</v>
      </c>
      <c r="B519" s="1" t="s">
        <v>90</v>
      </c>
      <c r="C519" s="1">
        <v>11.14</v>
      </c>
      <c r="D519" s="1" t="s">
        <v>292</v>
      </c>
      <c r="E519" s="1" t="s">
        <v>105</v>
      </c>
    </row>
    <row r="520" spans="1:5" ht="17.25" customHeight="1" x14ac:dyDescent="0.25">
      <c r="A520" s="1">
        <v>2458364.3346500001</v>
      </c>
      <c r="B520" s="1" t="s">
        <v>90</v>
      </c>
      <c r="C520" s="1">
        <v>11.141999999999999</v>
      </c>
      <c r="D520" s="1" t="s">
        <v>292</v>
      </c>
      <c r="E520" s="1" t="s">
        <v>105</v>
      </c>
    </row>
    <row r="521" spans="1:5" ht="17.25" customHeight="1" x14ac:dyDescent="0.25">
      <c r="A521" s="1">
        <v>2458364.3350399998</v>
      </c>
      <c r="B521" s="1" t="s">
        <v>90</v>
      </c>
      <c r="C521" s="1">
        <v>11.137</v>
      </c>
      <c r="D521" s="1" t="s">
        <v>292</v>
      </c>
      <c r="E521" s="1" t="s">
        <v>105</v>
      </c>
    </row>
    <row r="522" spans="1:5" ht="17.25" customHeight="1" x14ac:dyDescent="0.25">
      <c r="A522" s="1">
        <v>2458364.3354400001</v>
      </c>
      <c r="B522" s="1" t="s">
        <v>90</v>
      </c>
      <c r="C522" s="1">
        <v>11.119</v>
      </c>
      <c r="D522" s="1" t="s">
        <v>292</v>
      </c>
      <c r="E522" s="1" t="s">
        <v>105</v>
      </c>
    </row>
    <row r="523" spans="1:5" ht="17.25" customHeight="1" x14ac:dyDescent="0.25">
      <c r="A523" s="1">
        <v>2458364.3358700001</v>
      </c>
      <c r="B523" s="1" t="s">
        <v>90</v>
      </c>
      <c r="C523" s="1">
        <v>11.132999999999999</v>
      </c>
      <c r="D523" s="1" t="s">
        <v>292</v>
      </c>
      <c r="E523" s="1" t="s">
        <v>105</v>
      </c>
    </row>
    <row r="524" spans="1:5" ht="17.25" customHeight="1" x14ac:dyDescent="0.25">
      <c r="A524" s="1">
        <v>2458364.3362599998</v>
      </c>
      <c r="B524" s="1" t="s">
        <v>90</v>
      </c>
      <c r="C524" s="1">
        <v>11.125</v>
      </c>
      <c r="D524" s="1" t="s">
        <v>292</v>
      </c>
      <c r="E524" s="1" t="s">
        <v>105</v>
      </c>
    </row>
    <row r="525" spans="1:5" ht="17.25" customHeight="1" x14ac:dyDescent="0.25">
      <c r="A525" s="1">
        <v>2458364.3366700001</v>
      </c>
      <c r="B525" s="1" t="s">
        <v>90</v>
      </c>
      <c r="C525" s="1">
        <v>11.125</v>
      </c>
      <c r="D525" s="1" t="s">
        <v>292</v>
      </c>
      <c r="E525" s="1" t="s">
        <v>105</v>
      </c>
    </row>
    <row r="526" spans="1:5" ht="17.25" customHeight="1" x14ac:dyDescent="0.25">
      <c r="A526" s="1">
        <v>2458364.33708</v>
      </c>
      <c r="B526" s="1" t="s">
        <v>90</v>
      </c>
      <c r="C526" s="1">
        <v>11.124000000000001</v>
      </c>
      <c r="D526" s="1" t="s">
        <v>292</v>
      </c>
      <c r="E526" s="1" t="s">
        <v>105</v>
      </c>
    </row>
    <row r="527" spans="1:5" ht="17.25" customHeight="1" x14ac:dyDescent="0.25">
      <c r="A527" s="1">
        <v>2458364.3374899998</v>
      </c>
      <c r="B527" s="1" t="s">
        <v>90</v>
      </c>
      <c r="C527" s="1">
        <v>11.163</v>
      </c>
      <c r="D527" s="1" t="s">
        <v>292</v>
      </c>
      <c r="E527" s="1" t="s">
        <v>105</v>
      </c>
    </row>
    <row r="528" spans="1:5" ht="17.25" customHeight="1" x14ac:dyDescent="0.25">
      <c r="A528" s="1">
        <v>2458364.33788</v>
      </c>
      <c r="B528" s="1" t="s">
        <v>90</v>
      </c>
      <c r="C528" s="1">
        <v>11.129</v>
      </c>
      <c r="D528" s="1" t="s">
        <v>292</v>
      </c>
      <c r="E528" s="1" t="s">
        <v>105</v>
      </c>
    </row>
    <row r="529" spans="1:5" ht="17.25" customHeight="1" x14ac:dyDescent="0.25">
      <c r="A529" s="1">
        <v>2458364.3382700002</v>
      </c>
      <c r="B529" s="1" t="s">
        <v>90</v>
      </c>
      <c r="C529" s="1">
        <v>11.129</v>
      </c>
      <c r="D529" s="1" t="s">
        <v>292</v>
      </c>
      <c r="E529" s="1" t="s">
        <v>105</v>
      </c>
    </row>
    <row r="530" spans="1:5" ht="17.25" customHeight="1" x14ac:dyDescent="0.25">
      <c r="A530" s="1">
        <v>2458364.33868</v>
      </c>
      <c r="B530" s="1" t="s">
        <v>90</v>
      </c>
      <c r="C530" s="1">
        <v>11.132999999999999</v>
      </c>
      <c r="D530" s="1" t="s">
        <v>292</v>
      </c>
      <c r="E530" s="1" t="s">
        <v>105</v>
      </c>
    </row>
    <row r="531" spans="1:5" ht="17.25" customHeight="1" x14ac:dyDescent="0.25">
      <c r="A531" s="1">
        <v>2458364.3390799998</v>
      </c>
      <c r="B531" s="1" t="s">
        <v>90</v>
      </c>
      <c r="C531" s="1">
        <v>11.118</v>
      </c>
      <c r="D531" s="1" t="s">
        <v>292</v>
      </c>
      <c r="E531" s="1" t="s">
        <v>105</v>
      </c>
    </row>
    <row r="532" spans="1:5" ht="17.25" customHeight="1" x14ac:dyDescent="0.25">
      <c r="A532" s="1">
        <v>2458364.3395099998</v>
      </c>
      <c r="B532" s="1" t="s">
        <v>90</v>
      </c>
      <c r="C532" s="1">
        <v>11.131</v>
      </c>
      <c r="D532" s="1" t="s">
        <v>292</v>
      </c>
      <c r="E532" s="1" t="s">
        <v>105</v>
      </c>
    </row>
    <row r="533" spans="1:5" ht="17.25" customHeight="1" x14ac:dyDescent="0.25">
      <c r="A533" s="1">
        <v>2458364.3399200002</v>
      </c>
      <c r="B533" s="1" t="s">
        <v>90</v>
      </c>
      <c r="C533" s="1">
        <v>11.128</v>
      </c>
      <c r="D533" s="1" t="s">
        <v>292</v>
      </c>
      <c r="E533" s="1" t="s">
        <v>105</v>
      </c>
    </row>
    <row r="534" spans="1:5" ht="17.25" customHeight="1" x14ac:dyDescent="0.25">
      <c r="A534" s="1">
        <v>2458364.34032</v>
      </c>
      <c r="B534" s="1" t="s">
        <v>90</v>
      </c>
      <c r="C534" s="1">
        <v>11.137</v>
      </c>
      <c r="D534" s="1" t="s">
        <v>292</v>
      </c>
      <c r="E534" s="1" t="s">
        <v>105</v>
      </c>
    </row>
    <row r="535" spans="1:5" ht="17.25" customHeight="1" x14ac:dyDescent="0.25">
      <c r="A535" s="1">
        <v>2458364.3407299998</v>
      </c>
      <c r="B535" s="1" t="s">
        <v>90</v>
      </c>
      <c r="C535" s="1">
        <v>11.143000000000001</v>
      </c>
      <c r="D535" s="1" t="s">
        <v>292</v>
      </c>
      <c r="E535" s="1" t="s">
        <v>105</v>
      </c>
    </row>
    <row r="536" spans="1:5" ht="17.25" customHeight="1" x14ac:dyDescent="0.25">
      <c r="A536" s="1">
        <v>2458364.34112</v>
      </c>
      <c r="B536" s="1" t="s">
        <v>90</v>
      </c>
      <c r="C536" s="1">
        <v>11.125</v>
      </c>
      <c r="D536" s="1" t="s">
        <v>292</v>
      </c>
      <c r="E536" s="1" t="s">
        <v>105</v>
      </c>
    </row>
    <row r="537" spans="1:5" ht="17.25" customHeight="1" x14ac:dyDescent="0.25">
      <c r="A537" s="1">
        <v>2458364.3415700002</v>
      </c>
      <c r="B537" s="1" t="s">
        <v>90</v>
      </c>
      <c r="C537" s="1">
        <v>11.145</v>
      </c>
      <c r="D537" s="1" t="s">
        <v>292</v>
      </c>
      <c r="E537" s="1" t="s">
        <v>105</v>
      </c>
    </row>
    <row r="538" spans="1:5" ht="17.25" customHeight="1" x14ac:dyDescent="0.25">
      <c r="A538" s="1">
        <v>2458364.3420099998</v>
      </c>
      <c r="B538" s="1" t="s">
        <v>90</v>
      </c>
      <c r="C538" s="1">
        <v>11.147</v>
      </c>
      <c r="D538" s="1" t="s">
        <v>292</v>
      </c>
      <c r="E538" s="1" t="s">
        <v>105</v>
      </c>
    </row>
    <row r="539" spans="1:5" ht="17.25" customHeight="1" x14ac:dyDescent="0.25">
      <c r="A539" s="1">
        <v>2458364.34246</v>
      </c>
      <c r="B539" s="1" t="s">
        <v>90</v>
      </c>
      <c r="C539" s="1">
        <v>11.138</v>
      </c>
      <c r="D539" s="1" t="s">
        <v>292</v>
      </c>
      <c r="E539" s="1" t="s">
        <v>105</v>
      </c>
    </row>
    <row r="540" spans="1:5" ht="17.25" customHeight="1" x14ac:dyDescent="0.25">
      <c r="A540" s="1">
        <v>2458364.3428699998</v>
      </c>
      <c r="B540" s="1" t="s">
        <v>90</v>
      </c>
      <c r="C540" s="1">
        <v>11.137</v>
      </c>
      <c r="D540" s="1" t="s">
        <v>292</v>
      </c>
      <c r="E540" s="1" t="s">
        <v>105</v>
      </c>
    </row>
    <row r="541" spans="1:5" ht="17.25" customHeight="1" x14ac:dyDescent="0.25">
      <c r="A541" s="1">
        <v>2458364.3432700001</v>
      </c>
      <c r="B541" s="1" t="s">
        <v>90</v>
      </c>
      <c r="C541" s="1">
        <v>11.12</v>
      </c>
      <c r="D541" s="1" t="s">
        <v>292</v>
      </c>
      <c r="E541" s="1" t="s">
        <v>105</v>
      </c>
    </row>
    <row r="542" spans="1:5" ht="17.25" customHeight="1" x14ac:dyDescent="0.25">
      <c r="A542" s="1">
        <v>2458364.3436799999</v>
      </c>
      <c r="B542" s="1" t="s">
        <v>90</v>
      </c>
      <c r="C542" s="1">
        <v>11.135</v>
      </c>
      <c r="D542" s="1" t="s">
        <v>292</v>
      </c>
      <c r="E542" s="1" t="s">
        <v>105</v>
      </c>
    </row>
    <row r="543" spans="1:5" ht="17.25" customHeight="1" x14ac:dyDescent="0.25">
      <c r="A543" s="1">
        <v>2458364.3440800002</v>
      </c>
      <c r="B543" s="1" t="s">
        <v>90</v>
      </c>
      <c r="C543" s="1">
        <v>11.129</v>
      </c>
      <c r="D543" s="1" t="s">
        <v>292</v>
      </c>
      <c r="E543" s="1" t="s">
        <v>105</v>
      </c>
    </row>
    <row r="544" spans="1:5" ht="17.25" customHeight="1" x14ac:dyDescent="0.25">
      <c r="A544" s="1">
        <v>2458364.34449</v>
      </c>
      <c r="B544" s="1" t="s">
        <v>90</v>
      </c>
      <c r="C544" s="1">
        <v>11.138999999999999</v>
      </c>
      <c r="D544" s="1" t="s">
        <v>292</v>
      </c>
      <c r="E544" s="1" t="s">
        <v>105</v>
      </c>
    </row>
    <row r="545" spans="1:5" ht="17.25" customHeight="1" x14ac:dyDescent="0.25">
      <c r="A545" s="1">
        <v>2458364.3448899998</v>
      </c>
      <c r="B545" s="1" t="s">
        <v>90</v>
      </c>
      <c r="C545" s="1">
        <v>11.144</v>
      </c>
      <c r="D545" s="1" t="s">
        <v>292</v>
      </c>
      <c r="E545" s="1" t="s">
        <v>105</v>
      </c>
    </row>
    <row r="546" spans="1:5" ht="17.25" customHeight="1" x14ac:dyDescent="0.25">
      <c r="A546" s="1">
        <v>2458364.3452900001</v>
      </c>
      <c r="B546" s="1" t="s">
        <v>90</v>
      </c>
      <c r="C546" s="1">
        <v>11.147</v>
      </c>
      <c r="D546" s="1" t="s">
        <v>292</v>
      </c>
      <c r="E546" s="1" t="s">
        <v>105</v>
      </c>
    </row>
    <row r="547" spans="1:5" ht="17.25" customHeight="1" x14ac:dyDescent="0.25">
      <c r="A547" s="1">
        <v>2458364.3457300002</v>
      </c>
      <c r="B547" s="1" t="s">
        <v>90</v>
      </c>
      <c r="C547" s="1">
        <v>11.116</v>
      </c>
      <c r="D547" s="1" t="s">
        <v>292</v>
      </c>
      <c r="E547" s="1" t="s">
        <v>105</v>
      </c>
    </row>
    <row r="548" spans="1:5" ht="17.25" customHeight="1" x14ac:dyDescent="0.25">
      <c r="A548" s="1">
        <v>2458364.34613</v>
      </c>
      <c r="B548" s="1" t="s">
        <v>90</v>
      </c>
      <c r="C548" s="1">
        <v>11.144</v>
      </c>
      <c r="D548" s="1" t="s">
        <v>292</v>
      </c>
      <c r="E548" s="1" t="s">
        <v>105</v>
      </c>
    </row>
    <row r="549" spans="1:5" ht="17.25" customHeight="1" x14ac:dyDescent="0.25">
      <c r="A549" s="1">
        <v>2458364.3465399998</v>
      </c>
      <c r="B549" s="1" t="s">
        <v>90</v>
      </c>
      <c r="C549" s="1">
        <v>11.146000000000001</v>
      </c>
      <c r="D549" s="1" t="s">
        <v>292</v>
      </c>
      <c r="E549" s="1" t="s">
        <v>105</v>
      </c>
    </row>
    <row r="550" spans="1:5" ht="17.25" customHeight="1" x14ac:dyDescent="0.25">
      <c r="A550" s="1">
        <v>2458364.34693</v>
      </c>
      <c r="B550" s="1" t="s">
        <v>90</v>
      </c>
      <c r="C550" s="1">
        <v>11.14</v>
      </c>
      <c r="D550" s="1" t="s">
        <v>292</v>
      </c>
      <c r="E550" s="1" t="s">
        <v>105</v>
      </c>
    </row>
    <row r="551" spans="1:5" ht="17.25" customHeight="1" x14ac:dyDescent="0.25">
      <c r="A551" s="1">
        <v>2458364.34736</v>
      </c>
      <c r="B551" s="1" t="s">
        <v>90</v>
      </c>
      <c r="C551" s="1">
        <v>11.114000000000001</v>
      </c>
      <c r="D551" s="1" t="s">
        <v>292</v>
      </c>
      <c r="E551" s="1" t="s">
        <v>105</v>
      </c>
    </row>
    <row r="552" spans="1:5" ht="17.25" customHeight="1" x14ac:dyDescent="0.25">
      <c r="A552" s="1">
        <v>2458364.3477500002</v>
      </c>
      <c r="B552" s="1" t="s">
        <v>90</v>
      </c>
      <c r="C552" s="1">
        <v>11.135999999999999</v>
      </c>
      <c r="D552" s="1" t="s">
        <v>292</v>
      </c>
      <c r="E552" s="1" t="s">
        <v>105</v>
      </c>
    </row>
    <row r="553" spans="1:5" ht="17.25" customHeight="1" x14ac:dyDescent="0.25">
      <c r="A553" s="1">
        <v>2458364.34815</v>
      </c>
      <c r="B553" s="1" t="s">
        <v>90</v>
      </c>
      <c r="C553" s="1">
        <v>11.151</v>
      </c>
      <c r="D553" s="1" t="s">
        <v>292</v>
      </c>
      <c r="E553" s="1" t="s">
        <v>105</v>
      </c>
    </row>
    <row r="554" spans="1:5" ht="17.25" customHeight="1" x14ac:dyDescent="0.25">
      <c r="A554" s="1">
        <v>2458364.3485400002</v>
      </c>
      <c r="B554" s="1" t="s">
        <v>90</v>
      </c>
      <c r="C554" s="1">
        <v>11.143000000000001</v>
      </c>
      <c r="D554" s="1" t="s">
        <v>292</v>
      </c>
      <c r="E554" s="1" t="s">
        <v>105</v>
      </c>
    </row>
    <row r="555" spans="1:5" ht="17.25" customHeight="1" x14ac:dyDescent="0.25">
      <c r="A555" s="1">
        <v>2458364.3489799998</v>
      </c>
      <c r="B555" s="1" t="s">
        <v>90</v>
      </c>
      <c r="C555" s="1">
        <v>11.147</v>
      </c>
      <c r="D555" s="1" t="s">
        <v>292</v>
      </c>
      <c r="E555" s="1" t="s">
        <v>105</v>
      </c>
    </row>
    <row r="556" spans="1:5" ht="17.25" customHeight="1" x14ac:dyDescent="0.25">
      <c r="A556" s="1">
        <v>2458364.34937</v>
      </c>
      <c r="B556" s="1" t="s">
        <v>90</v>
      </c>
      <c r="C556" s="1">
        <v>11.141</v>
      </c>
      <c r="D556" s="1" t="s">
        <v>292</v>
      </c>
      <c r="E556" s="1" t="s">
        <v>105</v>
      </c>
    </row>
    <row r="557" spans="1:5" ht="17.25" customHeight="1" x14ac:dyDescent="0.25">
      <c r="A557" s="1">
        <v>2458364.3497700002</v>
      </c>
      <c r="B557" s="1" t="s">
        <v>90</v>
      </c>
      <c r="C557" s="1">
        <v>11.143000000000001</v>
      </c>
      <c r="D557" s="1" t="s">
        <v>292</v>
      </c>
      <c r="E557" s="1" t="s">
        <v>105</v>
      </c>
    </row>
    <row r="558" spans="1:5" ht="17.25" customHeight="1" x14ac:dyDescent="0.25">
      <c r="A558" s="1">
        <v>2458364.3502000002</v>
      </c>
      <c r="B558" s="1" t="s">
        <v>90</v>
      </c>
      <c r="C558" s="1">
        <v>11.111000000000001</v>
      </c>
      <c r="D558" s="1" t="s">
        <v>292</v>
      </c>
      <c r="E558" s="1" t="s">
        <v>105</v>
      </c>
    </row>
    <row r="559" spans="1:5" ht="17.25" customHeight="1" x14ac:dyDescent="0.25">
      <c r="A559" s="1">
        <v>2458364.3505899999</v>
      </c>
      <c r="B559" s="1" t="s">
        <v>90</v>
      </c>
      <c r="C559" s="1">
        <v>11.134</v>
      </c>
      <c r="D559" s="1" t="s">
        <v>292</v>
      </c>
      <c r="E559" s="1" t="s">
        <v>105</v>
      </c>
    </row>
    <row r="560" spans="1:5" ht="17.25" customHeight="1" x14ac:dyDescent="0.25">
      <c r="A560" s="1">
        <v>2458364.3509800001</v>
      </c>
      <c r="B560" s="1" t="s">
        <v>90</v>
      </c>
      <c r="C560" s="1">
        <v>11.116</v>
      </c>
      <c r="D560" s="1" t="s">
        <v>292</v>
      </c>
      <c r="E560" s="1" t="s">
        <v>105</v>
      </c>
    </row>
    <row r="561" spans="1:5" ht="17.25" customHeight="1" x14ac:dyDescent="0.25">
      <c r="A561" s="1">
        <v>2458364.35182</v>
      </c>
      <c r="B561" s="1" t="s">
        <v>90</v>
      </c>
      <c r="C561" s="1">
        <v>11.145</v>
      </c>
      <c r="D561" s="1" t="s">
        <v>292</v>
      </c>
      <c r="E561" s="1" t="s">
        <v>105</v>
      </c>
    </row>
    <row r="562" spans="1:5" ht="17.25" customHeight="1" x14ac:dyDescent="0.25">
      <c r="A562" s="1">
        <v>2458364.35244</v>
      </c>
      <c r="B562" s="1" t="s">
        <v>90</v>
      </c>
      <c r="C562" s="1">
        <v>11.121</v>
      </c>
      <c r="D562" s="1" t="s">
        <v>292</v>
      </c>
      <c r="E562" s="1" t="s">
        <v>101</v>
      </c>
    </row>
    <row r="563" spans="1:5" ht="17.25" customHeight="1" x14ac:dyDescent="0.25">
      <c r="A563" s="1">
        <v>2458364.3530000001</v>
      </c>
      <c r="B563" s="1" t="s">
        <v>90</v>
      </c>
      <c r="C563" s="1">
        <v>11.159000000000001</v>
      </c>
      <c r="D563" s="1" t="s">
        <v>292</v>
      </c>
      <c r="E563" s="1" t="s">
        <v>105</v>
      </c>
    </row>
    <row r="564" spans="1:5" ht="17.25" customHeight="1" x14ac:dyDescent="0.25">
      <c r="A564" s="1">
        <v>2458364.3531800001</v>
      </c>
      <c r="B564" s="1" t="s">
        <v>90</v>
      </c>
      <c r="C564" s="1">
        <v>11.116</v>
      </c>
      <c r="D564" s="1" t="s">
        <v>292</v>
      </c>
      <c r="E564" s="1" t="s">
        <v>101</v>
      </c>
    </row>
    <row r="565" spans="1:5" ht="17.25" customHeight="1" x14ac:dyDescent="0.25">
      <c r="A565" s="1">
        <v>2458364.3534200001</v>
      </c>
      <c r="B565" s="1" t="s">
        <v>90</v>
      </c>
      <c r="C565" s="1">
        <v>11.147</v>
      </c>
      <c r="D565" s="1" t="s">
        <v>292</v>
      </c>
      <c r="E565" s="1" t="s">
        <v>105</v>
      </c>
    </row>
    <row r="566" spans="1:5" ht="17.25" customHeight="1" x14ac:dyDescent="0.25">
      <c r="A566" s="1">
        <v>2458364.3538199998</v>
      </c>
      <c r="B566" s="1" t="s">
        <v>90</v>
      </c>
      <c r="C566" s="1">
        <v>11.167</v>
      </c>
      <c r="D566" s="1" t="s">
        <v>292</v>
      </c>
      <c r="E566" s="1" t="s">
        <v>105</v>
      </c>
    </row>
    <row r="567" spans="1:5" ht="17.25" customHeight="1" x14ac:dyDescent="0.25">
      <c r="A567" s="1">
        <v>2458364.35421</v>
      </c>
      <c r="B567" s="1" t="s">
        <v>90</v>
      </c>
      <c r="C567" s="1">
        <v>11.134</v>
      </c>
      <c r="D567" s="1" t="s">
        <v>292</v>
      </c>
      <c r="E567" s="1" t="s">
        <v>105</v>
      </c>
    </row>
    <row r="568" spans="1:5" ht="17.25" customHeight="1" x14ac:dyDescent="0.25">
      <c r="A568" s="1">
        <v>2458364.3546099998</v>
      </c>
      <c r="B568" s="1" t="s">
        <v>90</v>
      </c>
      <c r="C568" s="1">
        <v>11.137</v>
      </c>
      <c r="D568" s="1" t="s">
        <v>292</v>
      </c>
      <c r="E568" s="1" t="s">
        <v>105</v>
      </c>
    </row>
    <row r="569" spans="1:5" ht="17.25" customHeight="1" x14ac:dyDescent="0.25">
      <c r="A569" s="1">
        <v>2458364.3550300002</v>
      </c>
      <c r="B569" s="1" t="s">
        <v>90</v>
      </c>
      <c r="C569" s="1">
        <v>11.148</v>
      </c>
      <c r="D569" s="1" t="s">
        <v>292</v>
      </c>
      <c r="E569" s="1" t="s">
        <v>105</v>
      </c>
    </row>
    <row r="570" spans="1:5" ht="17.25" customHeight="1" x14ac:dyDescent="0.25">
      <c r="A570" s="1">
        <v>2458364.3558200002</v>
      </c>
      <c r="B570" s="1" t="s">
        <v>90</v>
      </c>
      <c r="C570" s="1">
        <v>11.132</v>
      </c>
      <c r="D570" s="1" t="s">
        <v>292</v>
      </c>
      <c r="E570" s="1" t="s">
        <v>105</v>
      </c>
    </row>
    <row r="571" spans="1:5" ht="17.25" customHeight="1" x14ac:dyDescent="0.25">
      <c r="A571" s="1">
        <v>2458364.35623</v>
      </c>
      <c r="B571" s="1" t="s">
        <v>90</v>
      </c>
      <c r="C571" s="1">
        <v>11.137</v>
      </c>
      <c r="D571" s="1" t="s">
        <v>292</v>
      </c>
      <c r="E571" s="1" t="s">
        <v>105</v>
      </c>
    </row>
    <row r="572" spans="1:5" ht="17.25" customHeight="1" x14ac:dyDescent="0.25">
      <c r="A572" s="1">
        <v>2458364.35665</v>
      </c>
      <c r="B572" s="1" t="s">
        <v>90</v>
      </c>
      <c r="C572" s="1">
        <v>11.137</v>
      </c>
      <c r="D572" s="1" t="s">
        <v>292</v>
      </c>
      <c r="E572" s="1" t="s">
        <v>105</v>
      </c>
    </row>
    <row r="573" spans="1:5" ht="17.25" customHeight="1" x14ac:dyDescent="0.25">
      <c r="A573" s="1">
        <v>2458364.3570500002</v>
      </c>
      <c r="B573" s="1" t="s">
        <v>90</v>
      </c>
      <c r="C573" s="1">
        <v>11.15</v>
      </c>
      <c r="D573" s="1" t="s">
        <v>292</v>
      </c>
      <c r="E573" s="1" t="s">
        <v>105</v>
      </c>
    </row>
    <row r="574" spans="1:5" ht="17.25" customHeight="1" x14ac:dyDescent="0.25">
      <c r="A574" s="1">
        <v>2458364.3574399999</v>
      </c>
      <c r="B574" s="1" t="s">
        <v>90</v>
      </c>
      <c r="C574" s="1">
        <v>11.129</v>
      </c>
      <c r="D574" s="1" t="s">
        <v>292</v>
      </c>
      <c r="E574" s="1" t="s">
        <v>105</v>
      </c>
    </row>
    <row r="575" spans="1:5" ht="17.25" customHeight="1" x14ac:dyDescent="0.25">
      <c r="A575" s="1">
        <v>2458364.3578300001</v>
      </c>
      <c r="B575" s="1" t="s">
        <v>90</v>
      </c>
      <c r="C575" s="1">
        <v>11.164999999999999</v>
      </c>
      <c r="D575" s="1" t="s">
        <v>292</v>
      </c>
      <c r="E575" s="1" t="s">
        <v>105</v>
      </c>
    </row>
    <row r="576" spans="1:5" ht="17.25" customHeight="1" x14ac:dyDescent="0.25">
      <c r="A576" s="1">
        <v>2458364.3582600001</v>
      </c>
      <c r="B576" s="1" t="s">
        <v>90</v>
      </c>
      <c r="C576" s="1">
        <v>11.116</v>
      </c>
      <c r="D576" s="1" t="s">
        <v>292</v>
      </c>
      <c r="E576" s="1" t="s">
        <v>105</v>
      </c>
    </row>
    <row r="577" spans="1:5" ht="17.25" customHeight="1" x14ac:dyDescent="0.25">
      <c r="A577" s="1">
        <v>2458364.3586599999</v>
      </c>
      <c r="B577" s="1" t="s">
        <v>90</v>
      </c>
      <c r="C577" s="1">
        <v>11.135</v>
      </c>
      <c r="D577" s="1" t="s">
        <v>292</v>
      </c>
      <c r="E577" s="1" t="s">
        <v>105</v>
      </c>
    </row>
    <row r="578" spans="1:5" ht="17.25" customHeight="1" x14ac:dyDescent="0.25">
      <c r="A578" s="1">
        <v>2458364.3590500001</v>
      </c>
      <c r="B578" s="1" t="s">
        <v>90</v>
      </c>
      <c r="C578" s="1">
        <v>11.146000000000001</v>
      </c>
      <c r="D578" s="1" t="s">
        <v>292</v>
      </c>
      <c r="E578" s="1" t="s">
        <v>105</v>
      </c>
    </row>
    <row r="579" spans="1:5" ht="17.25" customHeight="1" x14ac:dyDescent="0.25">
      <c r="A579" s="1">
        <v>2458364.3594399998</v>
      </c>
      <c r="B579" s="1" t="s">
        <v>90</v>
      </c>
      <c r="C579" s="1">
        <v>11.122</v>
      </c>
      <c r="D579" s="1" t="s">
        <v>292</v>
      </c>
      <c r="E579" s="1" t="s">
        <v>105</v>
      </c>
    </row>
    <row r="580" spans="1:5" ht="17.25" customHeight="1" x14ac:dyDescent="0.25">
      <c r="A580" s="1">
        <v>2458364.35984</v>
      </c>
      <c r="B580" s="1" t="s">
        <v>90</v>
      </c>
      <c r="C580" s="1">
        <v>11.134</v>
      </c>
      <c r="D580" s="1" t="s">
        <v>292</v>
      </c>
      <c r="E580" s="1" t="s">
        <v>105</v>
      </c>
    </row>
    <row r="581" spans="1:5" ht="17.25" customHeight="1" x14ac:dyDescent="0.25">
      <c r="A581" s="1">
        <v>2458364.3602300002</v>
      </c>
      <c r="B581" s="1" t="s">
        <v>90</v>
      </c>
      <c r="C581" s="1">
        <v>11.137</v>
      </c>
      <c r="D581" s="1" t="s">
        <v>292</v>
      </c>
      <c r="E581" s="1" t="s">
        <v>105</v>
      </c>
    </row>
    <row r="582" spans="1:5" ht="17.25" customHeight="1" x14ac:dyDescent="0.25">
      <c r="A582" s="1">
        <v>2458364.3606400001</v>
      </c>
      <c r="B582" s="1" t="s">
        <v>90</v>
      </c>
      <c r="C582" s="1">
        <v>11.161</v>
      </c>
      <c r="D582" s="1" t="s">
        <v>292</v>
      </c>
      <c r="E582" s="1" t="s">
        <v>105</v>
      </c>
    </row>
    <row r="583" spans="1:5" ht="17.25" customHeight="1" x14ac:dyDescent="0.25">
      <c r="A583" s="1">
        <v>2458364.3610299998</v>
      </c>
      <c r="B583" s="1" t="s">
        <v>90</v>
      </c>
      <c r="C583" s="1">
        <v>11.132999999999999</v>
      </c>
      <c r="D583" s="1" t="s">
        <v>292</v>
      </c>
      <c r="E583" s="1" t="s">
        <v>105</v>
      </c>
    </row>
    <row r="584" spans="1:5" ht="17.25" customHeight="1" x14ac:dyDescent="0.25">
      <c r="A584" s="1">
        <v>2458364.36142</v>
      </c>
      <c r="B584" s="1" t="s">
        <v>90</v>
      </c>
      <c r="C584" s="1">
        <v>11.14</v>
      </c>
      <c r="D584" s="1" t="s">
        <v>292</v>
      </c>
      <c r="E584" s="1" t="s">
        <v>105</v>
      </c>
    </row>
    <row r="585" spans="1:5" ht="17.25" customHeight="1" x14ac:dyDescent="0.25">
      <c r="A585" s="1">
        <v>2458364.3618299998</v>
      </c>
      <c r="B585" s="1" t="s">
        <v>90</v>
      </c>
      <c r="C585" s="1">
        <v>11.138999999999999</v>
      </c>
      <c r="D585" s="1" t="s">
        <v>292</v>
      </c>
      <c r="E585" s="1" t="s">
        <v>105</v>
      </c>
    </row>
    <row r="586" spans="1:5" ht="17.25" customHeight="1" x14ac:dyDescent="0.25">
      <c r="A586" s="1">
        <v>2458364.3622300001</v>
      </c>
      <c r="B586" s="1" t="s">
        <v>90</v>
      </c>
      <c r="C586" s="1">
        <v>11.134</v>
      </c>
      <c r="D586" s="1" t="s">
        <v>292</v>
      </c>
      <c r="E586" s="1" t="s">
        <v>105</v>
      </c>
    </row>
    <row r="587" spans="1:5" ht="17.25" customHeight="1" x14ac:dyDescent="0.25">
      <c r="A587" s="1">
        <v>2458364.3626299999</v>
      </c>
      <c r="B587" s="1" t="s">
        <v>90</v>
      </c>
      <c r="C587" s="1">
        <v>11.119</v>
      </c>
      <c r="D587" s="1" t="s">
        <v>292</v>
      </c>
      <c r="E587" s="1" t="s">
        <v>105</v>
      </c>
    </row>
    <row r="588" spans="1:5" ht="17.25" customHeight="1" x14ac:dyDescent="0.25">
      <c r="A588" s="1">
        <v>2458364.3630300001</v>
      </c>
      <c r="B588" s="1" t="s">
        <v>90</v>
      </c>
      <c r="C588" s="1">
        <v>11.121</v>
      </c>
      <c r="D588" s="1" t="s">
        <v>292</v>
      </c>
      <c r="E588" s="1" t="s">
        <v>105</v>
      </c>
    </row>
    <row r="589" spans="1:5" ht="17.25" customHeight="1" x14ac:dyDescent="0.25">
      <c r="A589" s="1">
        <v>2458364.36344</v>
      </c>
      <c r="B589" s="1" t="s">
        <v>90</v>
      </c>
      <c r="C589" s="1">
        <v>11.141</v>
      </c>
      <c r="D589" s="1" t="s">
        <v>292</v>
      </c>
      <c r="E589" s="1" t="s">
        <v>105</v>
      </c>
    </row>
    <row r="590" spans="1:5" ht="17.25" customHeight="1" x14ac:dyDescent="0.25">
      <c r="A590" s="1">
        <v>2458364.3638399998</v>
      </c>
      <c r="B590" s="1" t="s">
        <v>90</v>
      </c>
      <c r="C590" s="1">
        <v>11.116</v>
      </c>
      <c r="D590" s="1" t="s">
        <v>292</v>
      </c>
      <c r="E590" s="1" t="s">
        <v>105</v>
      </c>
    </row>
    <row r="591" spans="1:5" ht="17.25" customHeight="1" x14ac:dyDescent="0.25">
      <c r="A591" s="1">
        <v>2458364.3642500001</v>
      </c>
      <c r="B591" s="1" t="s">
        <v>90</v>
      </c>
      <c r="C591" s="1">
        <v>11.137</v>
      </c>
      <c r="D591" s="1" t="s">
        <v>292</v>
      </c>
      <c r="E591" s="1" t="s">
        <v>105</v>
      </c>
    </row>
    <row r="592" spans="1:5" ht="17.25" customHeight="1" x14ac:dyDescent="0.25">
      <c r="A592" s="1">
        <v>2458364.3646399998</v>
      </c>
      <c r="B592" s="1" t="s">
        <v>90</v>
      </c>
      <c r="C592" s="1">
        <v>11.141</v>
      </c>
      <c r="D592" s="1" t="s">
        <v>292</v>
      </c>
      <c r="E592" s="1" t="s">
        <v>105</v>
      </c>
    </row>
    <row r="593" spans="1:5" ht="17.25" customHeight="1" x14ac:dyDescent="0.25">
      <c r="A593" s="1">
        <v>2458364.3650400001</v>
      </c>
      <c r="B593" s="1" t="s">
        <v>90</v>
      </c>
      <c r="C593" s="1">
        <v>11.135999999999999</v>
      </c>
      <c r="D593" s="1" t="s">
        <v>292</v>
      </c>
      <c r="E593" s="1" t="s">
        <v>105</v>
      </c>
    </row>
    <row r="594" spans="1:5" ht="17.25" customHeight="1" x14ac:dyDescent="0.25">
      <c r="A594" s="1">
        <v>2458364.3654499999</v>
      </c>
      <c r="B594" s="1" t="s">
        <v>90</v>
      </c>
      <c r="C594" s="1">
        <v>11.131</v>
      </c>
      <c r="D594" s="1" t="s">
        <v>292</v>
      </c>
      <c r="E594" s="1" t="s">
        <v>105</v>
      </c>
    </row>
    <row r="595" spans="1:5" ht="17.25" customHeight="1" x14ac:dyDescent="0.25">
      <c r="A595" s="1">
        <v>2458364.3658599998</v>
      </c>
      <c r="B595" s="1" t="s">
        <v>90</v>
      </c>
      <c r="C595" s="1">
        <v>11.153</v>
      </c>
      <c r="D595" s="1" t="s">
        <v>292</v>
      </c>
      <c r="E595" s="1" t="s">
        <v>105</v>
      </c>
    </row>
    <row r="596" spans="1:5" ht="17.25" customHeight="1" x14ac:dyDescent="0.25">
      <c r="A596" s="1">
        <v>2458364.36626</v>
      </c>
      <c r="B596" s="1" t="s">
        <v>90</v>
      </c>
      <c r="C596" s="1">
        <v>11.14</v>
      </c>
      <c r="D596" s="1" t="s">
        <v>292</v>
      </c>
      <c r="E596" s="1" t="s">
        <v>105</v>
      </c>
    </row>
    <row r="597" spans="1:5" ht="17.25" customHeight="1" x14ac:dyDescent="0.25">
      <c r="A597" s="1">
        <v>2458364.3666699999</v>
      </c>
      <c r="B597" s="1" t="s">
        <v>90</v>
      </c>
      <c r="C597" s="1">
        <v>11.138</v>
      </c>
      <c r="D597" s="1" t="s">
        <v>292</v>
      </c>
      <c r="E597" s="1" t="s">
        <v>105</v>
      </c>
    </row>
    <row r="598" spans="1:5" ht="17.25" customHeight="1" x14ac:dyDescent="0.25">
      <c r="A598" s="1">
        <v>2458364.3670700002</v>
      </c>
      <c r="B598" s="1" t="s">
        <v>90</v>
      </c>
      <c r="C598" s="1">
        <v>11.13</v>
      </c>
      <c r="D598" s="1" t="s">
        <v>292</v>
      </c>
      <c r="E598" s="1" t="s">
        <v>105</v>
      </c>
    </row>
    <row r="599" spans="1:5" ht="17.25" customHeight="1" x14ac:dyDescent="0.25">
      <c r="A599" s="1">
        <v>2458364.3675000002</v>
      </c>
      <c r="B599" s="1" t="s">
        <v>90</v>
      </c>
      <c r="C599" s="1">
        <v>11.144</v>
      </c>
      <c r="D599" s="1" t="s">
        <v>292</v>
      </c>
      <c r="E599" s="1" t="s">
        <v>105</v>
      </c>
    </row>
    <row r="600" spans="1:5" ht="17.25" customHeight="1" x14ac:dyDescent="0.25">
      <c r="A600" s="1">
        <v>2458364.3679</v>
      </c>
      <c r="B600" s="1" t="s">
        <v>90</v>
      </c>
      <c r="C600" s="1">
        <v>11.138999999999999</v>
      </c>
      <c r="D600" s="1" t="s">
        <v>292</v>
      </c>
      <c r="E600" s="1" t="s">
        <v>105</v>
      </c>
    </row>
    <row r="601" spans="1:5" ht="17.25" customHeight="1" x14ac:dyDescent="0.25">
      <c r="A601" s="1">
        <v>2458364.3683099998</v>
      </c>
      <c r="B601" s="1" t="s">
        <v>90</v>
      </c>
      <c r="C601" s="1">
        <v>11.143000000000001</v>
      </c>
      <c r="D601" s="1" t="s">
        <v>292</v>
      </c>
      <c r="E601" s="1" t="s">
        <v>105</v>
      </c>
    </row>
    <row r="602" spans="1:5" ht="17.25" customHeight="1" x14ac:dyDescent="0.25">
      <c r="A602" s="1">
        <v>2458364.3687100001</v>
      </c>
      <c r="B602" s="1" t="s">
        <v>90</v>
      </c>
      <c r="C602" s="1">
        <v>11.135999999999999</v>
      </c>
      <c r="D602" s="1" t="s">
        <v>292</v>
      </c>
      <c r="E602" s="1" t="s">
        <v>105</v>
      </c>
    </row>
    <row r="603" spans="1:5" ht="17.25" customHeight="1" x14ac:dyDescent="0.25">
      <c r="A603" s="1">
        <v>2458364.3691199999</v>
      </c>
      <c r="B603" s="1" t="s">
        <v>90</v>
      </c>
      <c r="C603" s="1">
        <v>11.138999999999999</v>
      </c>
      <c r="D603" s="1" t="s">
        <v>292</v>
      </c>
      <c r="E603" s="1" t="s">
        <v>105</v>
      </c>
    </row>
    <row r="604" spans="1:5" ht="17.25" customHeight="1" x14ac:dyDescent="0.25">
      <c r="A604" s="1">
        <v>2458364.3695200002</v>
      </c>
      <c r="B604" s="1" t="s">
        <v>90</v>
      </c>
      <c r="C604" s="1">
        <v>11.141999999999999</v>
      </c>
      <c r="D604" s="1" t="s">
        <v>292</v>
      </c>
      <c r="E604" s="1" t="s">
        <v>105</v>
      </c>
    </row>
    <row r="605" spans="1:5" ht="17.25" customHeight="1" x14ac:dyDescent="0.25">
      <c r="A605" s="1">
        <v>2458364.36993</v>
      </c>
      <c r="B605" s="1" t="s">
        <v>90</v>
      </c>
      <c r="C605" s="1">
        <v>11.137</v>
      </c>
      <c r="D605" s="1" t="s">
        <v>292</v>
      </c>
      <c r="E605" s="1" t="s">
        <v>105</v>
      </c>
    </row>
    <row r="606" spans="1:5" ht="17.25" customHeight="1" x14ac:dyDescent="0.25">
      <c r="A606" s="1">
        <v>2458364.3703299998</v>
      </c>
      <c r="B606" s="1" t="s">
        <v>90</v>
      </c>
      <c r="C606" s="1">
        <v>11.12</v>
      </c>
      <c r="D606" s="1" t="s">
        <v>292</v>
      </c>
      <c r="E606" s="1" t="s">
        <v>105</v>
      </c>
    </row>
    <row r="607" spans="1:5" ht="17.25" customHeight="1" x14ac:dyDescent="0.25">
      <c r="A607" s="1">
        <v>2458364.3707300001</v>
      </c>
      <c r="B607" s="1" t="s">
        <v>90</v>
      </c>
      <c r="C607" s="1">
        <v>11.147</v>
      </c>
      <c r="D607" s="1" t="s">
        <v>292</v>
      </c>
      <c r="E607" s="1" t="s">
        <v>105</v>
      </c>
    </row>
    <row r="608" spans="1:5" ht="17.25" customHeight="1" x14ac:dyDescent="0.25">
      <c r="A608" s="1">
        <v>2458364.3711700002</v>
      </c>
      <c r="B608" s="1" t="s">
        <v>90</v>
      </c>
      <c r="C608" s="1">
        <v>11.125</v>
      </c>
      <c r="D608" s="1" t="s">
        <v>292</v>
      </c>
      <c r="E608" s="1" t="s">
        <v>105</v>
      </c>
    </row>
    <row r="609" spans="1:5" ht="17.25" customHeight="1" x14ac:dyDescent="0.25">
      <c r="A609" s="1">
        <v>2458364.37157</v>
      </c>
      <c r="B609" s="1" t="s">
        <v>90</v>
      </c>
      <c r="C609" s="1">
        <v>11.144</v>
      </c>
      <c r="D609" s="1" t="s">
        <v>292</v>
      </c>
      <c r="E609" s="1" t="s">
        <v>105</v>
      </c>
    </row>
    <row r="610" spans="1:5" ht="17.25" customHeight="1" x14ac:dyDescent="0.25">
      <c r="A610" s="1">
        <v>2458364.3719799998</v>
      </c>
      <c r="B610" s="1" t="s">
        <v>90</v>
      </c>
      <c r="C610" s="1">
        <v>11.138999999999999</v>
      </c>
      <c r="D610" s="1" t="s">
        <v>292</v>
      </c>
      <c r="E610" s="1" t="s">
        <v>105</v>
      </c>
    </row>
    <row r="611" spans="1:5" ht="17.25" customHeight="1" x14ac:dyDescent="0.25">
      <c r="A611" s="1">
        <v>2458364.3723800001</v>
      </c>
      <c r="B611" s="1" t="s">
        <v>90</v>
      </c>
      <c r="C611" s="1">
        <v>11.148999999999999</v>
      </c>
      <c r="D611" s="1" t="s">
        <v>292</v>
      </c>
      <c r="E611" s="1" t="s">
        <v>105</v>
      </c>
    </row>
    <row r="612" spans="1:5" ht="17.25" customHeight="1" x14ac:dyDescent="0.25">
      <c r="A612" s="1">
        <v>2458364.3727899999</v>
      </c>
      <c r="B612" s="1" t="s">
        <v>90</v>
      </c>
      <c r="C612" s="1">
        <v>11.14</v>
      </c>
      <c r="D612" s="1" t="s">
        <v>292</v>
      </c>
      <c r="E612" s="1" t="s">
        <v>105</v>
      </c>
    </row>
    <row r="613" spans="1:5" ht="17.25" customHeight="1" x14ac:dyDescent="0.25">
      <c r="A613" s="1">
        <v>2458364.3731800001</v>
      </c>
      <c r="B613" s="1" t="s">
        <v>90</v>
      </c>
      <c r="C613" s="1">
        <v>11.125999999999999</v>
      </c>
      <c r="D613" s="1" t="s">
        <v>292</v>
      </c>
      <c r="E613" s="1" t="s">
        <v>105</v>
      </c>
    </row>
    <row r="614" spans="1:5" ht="17.25" customHeight="1" x14ac:dyDescent="0.25">
      <c r="A614" s="1">
        <v>2458364.3735699998</v>
      </c>
      <c r="B614" s="1" t="s">
        <v>90</v>
      </c>
      <c r="C614" s="1">
        <v>11.148999999999999</v>
      </c>
      <c r="D614" s="1" t="s">
        <v>292</v>
      </c>
      <c r="E614" s="1" t="s">
        <v>105</v>
      </c>
    </row>
    <row r="615" spans="1:5" ht="17.25" customHeight="1" x14ac:dyDescent="0.25">
      <c r="A615" s="1">
        <v>2458364.3739700001</v>
      </c>
      <c r="B615" s="1" t="s">
        <v>90</v>
      </c>
      <c r="C615" s="1">
        <v>11.138999999999999</v>
      </c>
      <c r="D615" s="1" t="s">
        <v>292</v>
      </c>
      <c r="E615" s="1" t="s">
        <v>105</v>
      </c>
    </row>
    <row r="616" spans="1:5" ht="17.25" customHeight="1" x14ac:dyDescent="0.25">
      <c r="A616" s="1">
        <v>2458364.3744000001</v>
      </c>
      <c r="B616" s="1" t="s">
        <v>90</v>
      </c>
      <c r="C616" s="1">
        <v>11.15</v>
      </c>
      <c r="D616" s="1" t="s">
        <v>292</v>
      </c>
      <c r="E616" s="1" t="s">
        <v>105</v>
      </c>
    </row>
    <row r="617" spans="1:5" ht="17.25" customHeight="1" x14ac:dyDescent="0.25">
      <c r="A617" s="1">
        <v>2458364.3747899998</v>
      </c>
      <c r="B617" s="1" t="s">
        <v>90</v>
      </c>
      <c r="C617" s="1">
        <v>11.122</v>
      </c>
      <c r="D617" s="1" t="s">
        <v>292</v>
      </c>
      <c r="E617" s="1" t="s">
        <v>105</v>
      </c>
    </row>
    <row r="618" spans="1:5" ht="17.25" customHeight="1" x14ac:dyDescent="0.25">
      <c r="A618" s="1">
        <v>2458364.3752100002</v>
      </c>
      <c r="B618" s="1" t="s">
        <v>90</v>
      </c>
      <c r="C618" s="1">
        <v>11.147</v>
      </c>
      <c r="D618" s="1" t="s">
        <v>292</v>
      </c>
      <c r="E618" s="1" t="s">
        <v>105</v>
      </c>
    </row>
    <row r="619" spans="1:5" ht="17.25" customHeight="1" x14ac:dyDescent="0.25">
      <c r="A619" s="1">
        <v>2458364.3755999999</v>
      </c>
      <c r="B619" s="1" t="s">
        <v>90</v>
      </c>
      <c r="C619" s="1">
        <v>11.163</v>
      </c>
      <c r="D619" s="1" t="s">
        <v>292</v>
      </c>
      <c r="E619" s="1" t="s">
        <v>105</v>
      </c>
    </row>
    <row r="620" spans="1:5" ht="17.25" customHeight="1" x14ac:dyDescent="0.25">
      <c r="A620" s="1">
        <v>2458364.3760099998</v>
      </c>
      <c r="B620" s="1" t="s">
        <v>90</v>
      </c>
      <c r="C620" s="1">
        <v>11.135</v>
      </c>
      <c r="D620" s="1" t="s">
        <v>292</v>
      </c>
      <c r="E620" s="1" t="s">
        <v>105</v>
      </c>
    </row>
    <row r="621" spans="1:5" ht="17.25" customHeight="1" x14ac:dyDescent="0.25">
      <c r="A621" s="1">
        <v>2458364.37641</v>
      </c>
      <c r="B621" s="1" t="s">
        <v>90</v>
      </c>
      <c r="C621" s="1">
        <v>11.143000000000001</v>
      </c>
      <c r="D621" s="1" t="s">
        <v>292</v>
      </c>
      <c r="E621" s="1" t="s">
        <v>105</v>
      </c>
    </row>
    <row r="622" spans="1:5" ht="17.25" customHeight="1" x14ac:dyDescent="0.25">
      <c r="A622" s="1">
        <v>2458364.3768199999</v>
      </c>
      <c r="B622" s="1" t="s">
        <v>90</v>
      </c>
      <c r="C622" s="1">
        <v>11.141</v>
      </c>
      <c r="D622" s="1" t="s">
        <v>292</v>
      </c>
      <c r="E622" s="1" t="s">
        <v>105</v>
      </c>
    </row>
    <row r="623" spans="1:5" ht="17.25" customHeight="1" x14ac:dyDescent="0.25">
      <c r="A623" s="1">
        <v>2458364.3772100001</v>
      </c>
      <c r="B623" s="1" t="s">
        <v>90</v>
      </c>
      <c r="C623" s="1">
        <v>11.135</v>
      </c>
      <c r="D623" s="1" t="s">
        <v>292</v>
      </c>
      <c r="E623" s="1" t="s">
        <v>105</v>
      </c>
    </row>
    <row r="624" spans="1:5" ht="17.25" customHeight="1" x14ac:dyDescent="0.25">
      <c r="A624" s="1">
        <v>2458364.3776099999</v>
      </c>
      <c r="B624" s="1" t="s">
        <v>90</v>
      </c>
      <c r="C624" s="1">
        <v>11.143000000000001</v>
      </c>
      <c r="D624" s="1" t="s">
        <v>292</v>
      </c>
      <c r="E624" s="1" t="s">
        <v>105</v>
      </c>
    </row>
    <row r="625" spans="1:5" ht="17.25" customHeight="1" x14ac:dyDescent="0.25">
      <c r="A625" s="1">
        <v>2458364.3780200002</v>
      </c>
      <c r="B625" s="1" t="s">
        <v>90</v>
      </c>
      <c r="C625" s="1">
        <v>11.151</v>
      </c>
      <c r="D625" s="1" t="s">
        <v>292</v>
      </c>
      <c r="E625" s="1" t="s">
        <v>105</v>
      </c>
    </row>
    <row r="626" spans="1:5" ht="17.25" customHeight="1" x14ac:dyDescent="0.25">
      <c r="A626" s="1">
        <v>2458364.3784599998</v>
      </c>
      <c r="B626" s="1" t="s">
        <v>90</v>
      </c>
      <c r="C626" s="1">
        <v>11.141</v>
      </c>
      <c r="D626" s="1" t="s">
        <v>292</v>
      </c>
      <c r="E626" s="1" t="s">
        <v>105</v>
      </c>
    </row>
    <row r="627" spans="1:5" ht="17.25" customHeight="1" x14ac:dyDescent="0.25">
      <c r="A627" s="1">
        <v>2458364.3788600001</v>
      </c>
      <c r="B627" s="1" t="s">
        <v>90</v>
      </c>
      <c r="C627" s="1">
        <v>11.138</v>
      </c>
      <c r="D627" s="1" t="s">
        <v>292</v>
      </c>
      <c r="E627" s="1" t="s">
        <v>105</v>
      </c>
    </row>
    <row r="628" spans="1:5" ht="17.25" customHeight="1" x14ac:dyDescent="0.25">
      <c r="A628" s="1">
        <v>2458364.3792599998</v>
      </c>
      <c r="B628" s="1" t="s">
        <v>90</v>
      </c>
      <c r="C628" s="1">
        <v>11.146000000000001</v>
      </c>
      <c r="D628" s="1" t="s">
        <v>292</v>
      </c>
      <c r="E628" s="1" t="s">
        <v>105</v>
      </c>
    </row>
    <row r="629" spans="1:5" ht="17.25" customHeight="1" x14ac:dyDescent="0.25">
      <c r="A629" s="1">
        <v>2458364.3796600001</v>
      </c>
      <c r="B629" s="1" t="s">
        <v>90</v>
      </c>
      <c r="C629" s="1">
        <v>11.138999999999999</v>
      </c>
      <c r="D629" s="1" t="s">
        <v>292</v>
      </c>
      <c r="E629" s="1" t="s">
        <v>105</v>
      </c>
    </row>
    <row r="630" spans="1:5" ht="17.25" customHeight="1" x14ac:dyDescent="0.25">
      <c r="A630" s="1">
        <v>2458364.38051</v>
      </c>
      <c r="B630" s="1" t="s">
        <v>90</v>
      </c>
      <c r="C630" s="1">
        <v>11.151</v>
      </c>
      <c r="D630" s="1" t="s">
        <v>292</v>
      </c>
      <c r="E630" s="1" t="s">
        <v>105</v>
      </c>
    </row>
    <row r="631" spans="1:5" ht="17.25" customHeight="1" x14ac:dyDescent="0.25">
      <c r="A631" s="1">
        <v>2458364.3809099998</v>
      </c>
      <c r="B631" s="1" t="s">
        <v>90</v>
      </c>
      <c r="C631" s="1">
        <v>11.135</v>
      </c>
      <c r="D631" s="1" t="s">
        <v>292</v>
      </c>
      <c r="E631" s="1" t="s">
        <v>105</v>
      </c>
    </row>
    <row r="632" spans="1:5" ht="17.25" customHeight="1" x14ac:dyDescent="0.25">
      <c r="A632" s="1">
        <v>2458364.3813200002</v>
      </c>
      <c r="B632" s="1" t="s">
        <v>90</v>
      </c>
      <c r="C632" s="1">
        <v>11.151999999999999</v>
      </c>
      <c r="D632" s="1" t="s">
        <v>292</v>
      </c>
      <c r="E632" s="1" t="s">
        <v>105</v>
      </c>
    </row>
    <row r="633" spans="1:5" ht="17.25" customHeight="1" x14ac:dyDescent="0.25">
      <c r="A633" s="1">
        <v>2458364.3817099999</v>
      </c>
      <c r="B633" s="1" t="s">
        <v>90</v>
      </c>
      <c r="C633" s="1">
        <v>11.135</v>
      </c>
      <c r="D633" s="1" t="s">
        <v>292</v>
      </c>
      <c r="E633" s="1" t="s">
        <v>105</v>
      </c>
    </row>
    <row r="634" spans="1:5" ht="17.25" customHeight="1" x14ac:dyDescent="0.25">
      <c r="A634" s="1">
        <v>2458364.3821200002</v>
      </c>
      <c r="B634" s="1" t="s">
        <v>90</v>
      </c>
      <c r="C634" s="1">
        <v>11.137</v>
      </c>
      <c r="D634" s="1" t="s">
        <v>292</v>
      </c>
      <c r="E634" s="1" t="s">
        <v>105</v>
      </c>
    </row>
    <row r="635" spans="1:5" ht="17.25" customHeight="1" x14ac:dyDescent="0.25">
      <c r="A635" s="1">
        <v>2458364.38252</v>
      </c>
      <c r="B635" s="1" t="s">
        <v>90</v>
      </c>
      <c r="C635" s="1">
        <v>11.135999999999999</v>
      </c>
      <c r="D635" s="1" t="s">
        <v>292</v>
      </c>
      <c r="E635" s="1" t="s">
        <v>105</v>
      </c>
    </row>
    <row r="636" spans="1:5" ht="17.25" customHeight="1" x14ac:dyDescent="0.25">
      <c r="A636" s="1">
        <v>2458364.3829299998</v>
      </c>
      <c r="B636" s="1" t="s">
        <v>90</v>
      </c>
      <c r="C636" s="1">
        <v>11.134</v>
      </c>
      <c r="D636" s="1" t="s">
        <v>292</v>
      </c>
      <c r="E636" s="1" t="s">
        <v>105</v>
      </c>
    </row>
    <row r="637" spans="1:5" ht="17.25" customHeight="1" x14ac:dyDescent="0.25">
      <c r="A637" s="1">
        <v>2458364.3833599999</v>
      </c>
      <c r="B637" s="1" t="s">
        <v>90</v>
      </c>
      <c r="C637" s="1">
        <v>11.132999999999999</v>
      </c>
      <c r="D637" s="1" t="s">
        <v>292</v>
      </c>
      <c r="E637" s="1" t="s">
        <v>105</v>
      </c>
    </row>
    <row r="638" spans="1:5" ht="17.25" customHeight="1" x14ac:dyDescent="0.25">
      <c r="A638" s="1">
        <v>2458364.3837600001</v>
      </c>
      <c r="B638" s="1" t="s">
        <v>90</v>
      </c>
      <c r="C638" s="1">
        <v>11.137</v>
      </c>
      <c r="D638" s="1" t="s">
        <v>292</v>
      </c>
      <c r="E638" s="1" t="s">
        <v>105</v>
      </c>
    </row>
    <row r="639" spans="1:5" ht="17.25" customHeight="1" x14ac:dyDescent="0.25">
      <c r="A639" s="1">
        <v>2458364.3841499998</v>
      </c>
      <c r="B639" s="1" t="s">
        <v>90</v>
      </c>
      <c r="C639" s="1">
        <v>11.151</v>
      </c>
      <c r="D639" s="1" t="s">
        <v>292</v>
      </c>
      <c r="E639" s="1" t="s">
        <v>105</v>
      </c>
    </row>
    <row r="640" spans="1:5" ht="17.25" customHeight="1" x14ac:dyDescent="0.25">
      <c r="A640" s="1">
        <v>2458364.3845500001</v>
      </c>
      <c r="B640" s="1" t="s">
        <v>90</v>
      </c>
      <c r="C640" s="1">
        <v>11.127000000000001</v>
      </c>
      <c r="D640" s="1" t="s">
        <v>292</v>
      </c>
      <c r="E640" s="1" t="s">
        <v>105</v>
      </c>
    </row>
    <row r="641" spans="1:5" ht="17.25" customHeight="1" x14ac:dyDescent="0.25">
      <c r="A641" s="1">
        <v>2458364.3849399998</v>
      </c>
      <c r="B641" s="1" t="s">
        <v>90</v>
      </c>
      <c r="C641" s="1">
        <v>11.14</v>
      </c>
      <c r="D641" s="1" t="s">
        <v>292</v>
      </c>
      <c r="E641" s="1" t="s">
        <v>105</v>
      </c>
    </row>
    <row r="642" spans="1:5" ht="17.25" customHeight="1" x14ac:dyDescent="0.25">
      <c r="A642" s="1">
        <v>2458364.38533</v>
      </c>
      <c r="B642" s="1" t="s">
        <v>90</v>
      </c>
      <c r="C642" s="1">
        <v>11.14</v>
      </c>
      <c r="D642" s="1" t="s">
        <v>292</v>
      </c>
      <c r="E642" s="1" t="s">
        <v>105</v>
      </c>
    </row>
    <row r="643" spans="1:5" ht="17.25" customHeight="1" x14ac:dyDescent="0.25">
      <c r="A643" s="1">
        <v>2458364.3857300002</v>
      </c>
      <c r="B643" s="1" t="s">
        <v>90</v>
      </c>
      <c r="C643" s="1">
        <v>11.132999999999999</v>
      </c>
      <c r="D643" s="1" t="s">
        <v>292</v>
      </c>
      <c r="E643" s="1" t="s">
        <v>105</v>
      </c>
    </row>
    <row r="644" spans="1:5" ht="17.25" customHeight="1" x14ac:dyDescent="0.25">
      <c r="A644" s="1">
        <v>2458364.3861199999</v>
      </c>
      <c r="B644" s="1" t="s">
        <v>90</v>
      </c>
      <c r="C644" s="1">
        <v>11.135</v>
      </c>
      <c r="D644" s="1" t="s">
        <v>292</v>
      </c>
      <c r="E644" s="1" t="s">
        <v>105</v>
      </c>
    </row>
    <row r="645" spans="1:5" ht="17.25" customHeight="1" x14ac:dyDescent="0.25">
      <c r="A645" s="1">
        <v>2458364.3865499999</v>
      </c>
      <c r="B645" s="1" t="s">
        <v>90</v>
      </c>
      <c r="C645" s="1">
        <v>11.138</v>
      </c>
      <c r="D645" s="1" t="s">
        <v>292</v>
      </c>
      <c r="E645" s="1" t="s">
        <v>105</v>
      </c>
    </row>
    <row r="646" spans="1:5" ht="17.25" customHeight="1" x14ac:dyDescent="0.25">
      <c r="A646" s="1">
        <v>2458364.3869400001</v>
      </c>
      <c r="B646" s="1" t="s">
        <v>90</v>
      </c>
      <c r="C646" s="1">
        <v>11.134</v>
      </c>
      <c r="D646" s="1" t="s">
        <v>292</v>
      </c>
      <c r="E646" s="1" t="s">
        <v>105</v>
      </c>
    </row>
    <row r="647" spans="1:5" ht="17.25" customHeight="1" x14ac:dyDescent="0.25">
      <c r="A647" s="1">
        <v>2458364.3873399999</v>
      </c>
      <c r="B647" s="1" t="s">
        <v>90</v>
      </c>
      <c r="C647" s="1">
        <v>11.144</v>
      </c>
      <c r="D647" s="1" t="s">
        <v>292</v>
      </c>
      <c r="E647" s="1" t="s">
        <v>105</v>
      </c>
    </row>
    <row r="648" spans="1:5" ht="17.25" customHeight="1" x14ac:dyDescent="0.25">
      <c r="A648" s="1">
        <v>2458364.3877300001</v>
      </c>
      <c r="B648" s="1" t="s">
        <v>90</v>
      </c>
      <c r="C648" s="1">
        <v>11.122999999999999</v>
      </c>
      <c r="D648" s="1" t="s">
        <v>292</v>
      </c>
      <c r="E648" s="1" t="s">
        <v>105</v>
      </c>
    </row>
    <row r="649" spans="1:5" ht="17.25" customHeight="1" x14ac:dyDescent="0.25">
      <c r="A649" s="1">
        <v>2458364.3881600001</v>
      </c>
      <c r="B649" s="1" t="s">
        <v>90</v>
      </c>
      <c r="C649" s="1">
        <v>11.141999999999999</v>
      </c>
      <c r="D649" s="1" t="s">
        <v>292</v>
      </c>
      <c r="E649" s="1" t="s">
        <v>105</v>
      </c>
    </row>
    <row r="650" spans="1:5" ht="17.25" customHeight="1" x14ac:dyDescent="0.25">
      <c r="A650" s="1">
        <v>2458364.3885499998</v>
      </c>
      <c r="B650" s="1" t="s">
        <v>90</v>
      </c>
      <c r="C650" s="1">
        <v>11.137</v>
      </c>
      <c r="D650" s="1" t="s">
        <v>292</v>
      </c>
      <c r="E650" s="1" t="s">
        <v>105</v>
      </c>
    </row>
    <row r="651" spans="1:5" ht="17.25" customHeight="1" x14ac:dyDescent="0.25">
      <c r="A651" s="1">
        <v>2458364.3889500001</v>
      </c>
      <c r="B651" s="1" t="s">
        <v>90</v>
      </c>
      <c r="C651" s="1">
        <v>11.135</v>
      </c>
      <c r="D651" s="1" t="s">
        <v>292</v>
      </c>
      <c r="E651" s="1" t="s">
        <v>105</v>
      </c>
    </row>
    <row r="652" spans="1:5" ht="17.25" customHeight="1" x14ac:dyDescent="0.25">
      <c r="A652" s="1">
        <v>2458364.3893400002</v>
      </c>
      <c r="B652" s="1" t="s">
        <v>90</v>
      </c>
      <c r="C652" s="1">
        <v>11.15</v>
      </c>
      <c r="D652" s="1" t="s">
        <v>292</v>
      </c>
      <c r="E652" s="1" t="s">
        <v>105</v>
      </c>
    </row>
    <row r="653" spans="1:5" ht="17.25" customHeight="1" x14ac:dyDescent="0.25">
      <c r="A653" s="1">
        <v>2458364.38974</v>
      </c>
      <c r="B653" s="1" t="s">
        <v>90</v>
      </c>
      <c r="C653" s="1">
        <v>11.121</v>
      </c>
      <c r="D653" s="1" t="s">
        <v>292</v>
      </c>
      <c r="E653" s="1" t="s">
        <v>105</v>
      </c>
    </row>
    <row r="654" spans="1:5" ht="17.25" customHeight="1" x14ac:dyDescent="0.25">
      <c r="A654" s="1">
        <v>2458364.3901399998</v>
      </c>
      <c r="B654" s="1" t="s">
        <v>90</v>
      </c>
      <c r="C654" s="1">
        <v>11.138</v>
      </c>
      <c r="D654" s="1" t="s">
        <v>292</v>
      </c>
      <c r="E654" s="1" t="s">
        <v>105</v>
      </c>
    </row>
    <row r="655" spans="1:5" ht="17.25" customHeight="1" x14ac:dyDescent="0.25">
      <c r="A655" s="1">
        <v>2458364.39053</v>
      </c>
      <c r="B655" s="1" t="s">
        <v>90</v>
      </c>
      <c r="C655" s="1">
        <v>11.135999999999999</v>
      </c>
      <c r="D655" s="1" t="s">
        <v>292</v>
      </c>
      <c r="E655" s="1" t="s">
        <v>105</v>
      </c>
    </row>
    <row r="656" spans="1:5" ht="17.25" customHeight="1" x14ac:dyDescent="0.25">
      <c r="A656" s="1">
        <v>2458364.3909200002</v>
      </c>
      <c r="B656" s="1" t="s">
        <v>90</v>
      </c>
      <c r="C656" s="1">
        <v>11.132999999999999</v>
      </c>
      <c r="D656" s="1" t="s">
        <v>292</v>
      </c>
      <c r="E656" s="1" t="s">
        <v>105</v>
      </c>
    </row>
    <row r="657" spans="1:5" ht="17.25" customHeight="1" x14ac:dyDescent="0.25">
      <c r="A657" s="1">
        <v>2458364.3913199999</v>
      </c>
      <c r="B657" s="1" t="s">
        <v>90</v>
      </c>
      <c r="C657" s="1">
        <v>11.128</v>
      </c>
      <c r="D657" s="1" t="s">
        <v>292</v>
      </c>
      <c r="E657" s="1" t="s">
        <v>105</v>
      </c>
    </row>
    <row r="658" spans="1:5" ht="17.25" customHeight="1" x14ac:dyDescent="0.25">
      <c r="A658" s="1">
        <v>2458364.3917100001</v>
      </c>
      <c r="B658" s="1" t="s">
        <v>90</v>
      </c>
      <c r="C658" s="1">
        <v>11.11</v>
      </c>
      <c r="D658" s="1" t="s">
        <v>292</v>
      </c>
      <c r="E658" s="1" t="s">
        <v>105</v>
      </c>
    </row>
    <row r="659" spans="1:5" ht="17.25" customHeight="1" x14ac:dyDescent="0.25">
      <c r="A659" s="1">
        <v>2458364.3921400001</v>
      </c>
      <c r="B659" s="1" t="s">
        <v>90</v>
      </c>
      <c r="C659" s="1">
        <v>11.163</v>
      </c>
      <c r="D659" s="1" t="s">
        <v>292</v>
      </c>
      <c r="E659" s="1" t="s">
        <v>105</v>
      </c>
    </row>
    <row r="660" spans="1:5" ht="17.25" customHeight="1" x14ac:dyDescent="0.25">
      <c r="A660" s="1">
        <v>2458364.3925299998</v>
      </c>
      <c r="B660" s="1" t="s">
        <v>90</v>
      </c>
      <c r="C660" s="1">
        <v>11.132999999999999</v>
      </c>
      <c r="D660" s="1" t="s">
        <v>292</v>
      </c>
      <c r="E660" s="1" t="s">
        <v>105</v>
      </c>
    </row>
    <row r="661" spans="1:5" ht="17.25" customHeight="1" x14ac:dyDescent="0.25">
      <c r="A661" s="1">
        <v>2458364.3929300001</v>
      </c>
      <c r="B661" s="1" t="s">
        <v>90</v>
      </c>
      <c r="C661" s="1">
        <v>11.151999999999999</v>
      </c>
      <c r="D661" s="1" t="s">
        <v>292</v>
      </c>
      <c r="E661" s="1" t="s">
        <v>105</v>
      </c>
    </row>
    <row r="662" spans="1:5" ht="17.25" customHeight="1" x14ac:dyDescent="0.25">
      <c r="A662" s="1">
        <v>2458364.3933299999</v>
      </c>
      <c r="B662" s="1" t="s">
        <v>90</v>
      </c>
      <c r="C662" s="1">
        <v>11.138999999999999</v>
      </c>
      <c r="D662" s="1" t="s">
        <v>292</v>
      </c>
      <c r="E662" s="1" t="s">
        <v>105</v>
      </c>
    </row>
    <row r="663" spans="1:5" ht="17.25" customHeight="1" x14ac:dyDescent="0.25">
      <c r="A663" s="1">
        <v>2458364.3937300001</v>
      </c>
      <c r="B663" s="1" t="s">
        <v>90</v>
      </c>
      <c r="C663" s="1">
        <v>11.134</v>
      </c>
      <c r="D663" s="1" t="s">
        <v>292</v>
      </c>
      <c r="E663" s="1" t="s">
        <v>105</v>
      </c>
    </row>
    <row r="664" spans="1:5" ht="17.25" customHeight="1" x14ac:dyDescent="0.25">
      <c r="A664" s="1">
        <v>2458364.3941199998</v>
      </c>
      <c r="B664" s="1" t="s">
        <v>90</v>
      </c>
      <c r="C664" s="1">
        <v>11.112</v>
      </c>
      <c r="D664" s="1" t="s">
        <v>292</v>
      </c>
      <c r="E664" s="1" t="s">
        <v>105</v>
      </c>
    </row>
    <row r="665" spans="1:5" ht="17.25" customHeight="1" x14ac:dyDescent="0.25">
      <c r="A665" s="1">
        <v>2458364.39451</v>
      </c>
      <c r="B665" s="1" t="s">
        <v>90</v>
      </c>
      <c r="C665" s="1">
        <v>11.131</v>
      </c>
      <c r="D665" s="1" t="s">
        <v>292</v>
      </c>
      <c r="E665" s="1" t="s">
        <v>105</v>
      </c>
    </row>
    <row r="666" spans="1:5" ht="17.25" customHeight="1" x14ac:dyDescent="0.25">
      <c r="A666" s="1">
        <v>2458364.3949099998</v>
      </c>
      <c r="B666" s="1" t="s">
        <v>90</v>
      </c>
      <c r="C666" s="1">
        <v>11.163</v>
      </c>
      <c r="D666" s="1" t="s">
        <v>292</v>
      </c>
      <c r="E666" s="1" t="s">
        <v>105</v>
      </c>
    </row>
    <row r="667" spans="1:5" ht="17.25" customHeight="1" x14ac:dyDescent="0.25">
      <c r="A667" s="1">
        <v>2458364.3953</v>
      </c>
      <c r="B667" s="1" t="s">
        <v>90</v>
      </c>
      <c r="C667" s="1">
        <v>11.117000000000001</v>
      </c>
      <c r="D667" s="1" t="s">
        <v>292</v>
      </c>
      <c r="E667" s="1" t="s">
        <v>105</v>
      </c>
    </row>
    <row r="668" spans="1:5" ht="17.25" customHeight="1" x14ac:dyDescent="0.25">
      <c r="A668" s="1">
        <v>2458364.39573</v>
      </c>
      <c r="B668" s="1" t="s">
        <v>90</v>
      </c>
      <c r="C668" s="1">
        <v>11.125999999999999</v>
      </c>
      <c r="D668" s="1" t="s">
        <v>292</v>
      </c>
      <c r="E668" s="1" t="s">
        <v>105</v>
      </c>
    </row>
    <row r="669" spans="1:5" ht="17.25" customHeight="1" x14ac:dyDescent="0.25">
      <c r="A669" s="1">
        <v>2458364.3961200002</v>
      </c>
      <c r="B669" s="1" t="s">
        <v>90</v>
      </c>
      <c r="C669" s="1">
        <v>11.135999999999999</v>
      </c>
      <c r="D669" s="1" t="s">
        <v>292</v>
      </c>
      <c r="E669" s="1" t="s">
        <v>105</v>
      </c>
    </row>
    <row r="670" spans="1:5" ht="17.25" customHeight="1" x14ac:dyDescent="0.25">
      <c r="A670" s="1">
        <v>2458364.3965099999</v>
      </c>
      <c r="B670" s="1" t="s">
        <v>90</v>
      </c>
      <c r="C670" s="1">
        <v>11.132999999999999</v>
      </c>
      <c r="D670" s="1" t="s">
        <v>292</v>
      </c>
      <c r="E670" s="1" t="s">
        <v>105</v>
      </c>
    </row>
    <row r="671" spans="1:5" ht="17.25" customHeight="1" x14ac:dyDescent="0.25">
      <c r="A671" s="1">
        <v>2458364.3969100001</v>
      </c>
      <c r="B671" s="1" t="s">
        <v>90</v>
      </c>
      <c r="C671" s="1">
        <v>11.135</v>
      </c>
      <c r="D671" s="1" t="s">
        <v>292</v>
      </c>
      <c r="E671" s="1" t="s">
        <v>105</v>
      </c>
    </row>
    <row r="672" spans="1:5" ht="17.25" customHeight="1" x14ac:dyDescent="0.25">
      <c r="A672" s="1">
        <v>2458364.3972999998</v>
      </c>
      <c r="B672" s="1" t="s">
        <v>90</v>
      </c>
      <c r="C672" s="1">
        <v>11.135999999999999</v>
      </c>
      <c r="D672" s="1" t="s">
        <v>292</v>
      </c>
      <c r="E672" s="1" t="s">
        <v>105</v>
      </c>
    </row>
    <row r="673" spans="1:5" ht="17.25" customHeight="1" x14ac:dyDescent="0.25">
      <c r="A673" s="1">
        <v>2458364.3977000001</v>
      </c>
      <c r="B673" s="1" t="s">
        <v>90</v>
      </c>
      <c r="C673" s="1">
        <v>11.117000000000001</v>
      </c>
      <c r="D673" s="1" t="s">
        <v>292</v>
      </c>
      <c r="E673" s="1" t="s">
        <v>105</v>
      </c>
    </row>
    <row r="674" spans="1:5" ht="17.25" customHeight="1" x14ac:dyDescent="0.25">
      <c r="A674" s="1">
        <v>2458364.3980999999</v>
      </c>
      <c r="B674" s="1" t="s">
        <v>90</v>
      </c>
      <c r="C674" s="1">
        <v>11.138</v>
      </c>
      <c r="D674" s="1" t="s">
        <v>292</v>
      </c>
      <c r="E674" s="1" t="s">
        <v>105</v>
      </c>
    </row>
    <row r="675" spans="1:5" ht="17.25" customHeight="1" x14ac:dyDescent="0.25">
      <c r="A675" s="1">
        <v>2458364.3984900001</v>
      </c>
      <c r="B675" s="1" t="s">
        <v>90</v>
      </c>
      <c r="C675" s="1">
        <v>11.148</v>
      </c>
      <c r="D675" s="1" t="s">
        <v>292</v>
      </c>
      <c r="E675" s="1" t="s">
        <v>105</v>
      </c>
    </row>
    <row r="676" spans="1:5" ht="17.25" customHeight="1" x14ac:dyDescent="0.25">
      <c r="A676" s="1">
        <v>2458364.3988999999</v>
      </c>
      <c r="B676" s="1" t="s">
        <v>90</v>
      </c>
      <c r="C676" s="1">
        <v>11.129</v>
      </c>
      <c r="D676" s="1" t="s">
        <v>292</v>
      </c>
      <c r="E676" s="1" t="s">
        <v>105</v>
      </c>
    </row>
    <row r="677" spans="1:5" ht="17.25" customHeight="1" x14ac:dyDescent="0.25">
      <c r="A677" s="1">
        <v>2458364.3993299999</v>
      </c>
      <c r="B677" s="1" t="s">
        <v>90</v>
      </c>
      <c r="C677" s="1">
        <v>11.122999999999999</v>
      </c>
      <c r="D677" s="1" t="s">
        <v>292</v>
      </c>
      <c r="E677" s="1" t="s">
        <v>105</v>
      </c>
    </row>
    <row r="678" spans="1:5" ht="17.25" customHeight="1" x14ac:dyDescent="0.25">
      <c r="A678" s="1">
        <v>2458364.3997300002</v>
      </c>
      <c r="B678" s="1" t="s">
        <v>90</v>
      </c>
      <c r="C678" s="1">
        <v>11.125999999999999</v>
      </c>
      <c r="D678" s="1" t="s">
        <v>292</v>
      </c>
      <c r="E678" s="1" t="s">
        <v>105</v>
      </c>
    </row>
    <row r="679" spans="1:5" ht="17.25" customHeight="1" x14ac:dyDescent="0.25">
      <c r="A679" s="1">
        <v>2458364.40013</v>
      </c>
      <c r="B679" s="1" t="s">
        <v>90</v>
      </c>
      <c r="C679" s="1">
        <v>11.135</v>
      </c>
      <c r="D679" s="1" t="s">
        <v>292</v>
      </c>
      <c r="E679" s="1" t="s">
        <v>105</v>
      </c>
    </row>
    <row r="680" spans="1:5" ht="17.25" customHeight="1" x14ac:dyDescent="0.25">
      <c r="A680" s="1">
        <v>2458364.4005200001</v>
      </c>
      <c r="B680" s="1" t="s">
        <v>90</v>
      </c>
      <c r="C680" s="1">
        <v>11.13</v>
      </c>
      <c r="D680" s="1" t="s">
        <v>292</v>
      </c>
      <c r="E680" s="1" t="s">
        <v>105</v>
      </c>
    </row>
    <row r="681" spans="1:5" ht="17.25" customHeight="1" x14ac:dyDescent="0.25">
      <c r="A681" s="1">
        <v>2458364.4009099999</v>
      </c>
      <c r="B681" s="1" t="s">
        <v>90</v>
      </c>
      <c r="C681" s="1">
        <v>11.13</v>
      </c>
      <c r="D681" s="1" t="s">
        <v>292</v>
      </c>
      <c r="E681" s="1" t="s">
        <v>105</v>
      </c>
    </row>
    <row r="682" spans="1:5" ht="17.25" customHeight="1" x14ac:dyDescent="0.25">
      <c r="A682" s="1">
        <v>2458364.4013</v>
      </c>
      <c r="B682" s="1" t="s">
        <v>90</v>
      </c>
      <c r="C682" s="1">
        <v>11.14</v>
      </c>
      <c r="D682" s="1" t="s">
        <v>292</v>
      </c>
      <c r="E682" s="1" t="s">
        <v>105</v>
      </c>
    </row>
    <row r="683" spans="1:5" ht="17.25" customHeight="1" x14ac:dyDescent="0.25">
      <c r="A683" s="1">
        <v>2458364.4016900002</v>
      </c>
      <c r="B683" s="1" t="s">
        <v>90</v>
      </c>
      <c r="C683" s="1">
        <v>11.135999999999999</v>
      </c>
      <c r="D683" s="1" t="s">
        <v>292</v>
      </c>
      <c r="E683" s="1" t="s">
        <v>105</v>
      </c>
    </row>
    <row r="684" spans="1:5" ht="17.25" customHeight="1" x14ac:dyDescent="0.25">
      <c r="A684" s="1">
        <v>2458364.4020799999</v>
      </c>
      <c r="B684" s="1" t="s">
        <v>90</v>
      </c>
      <c r="C684" s="1">
        <v>11.129</v>
      </c>
      <c r="D684" s="1" t="s">
        <v>292</v>
      </c>
      <c r="E684" s="1" t="s">
        <v>105</v>
      </c>
    </row>
    <row r="685" spans="1:5" ht="17.25" customHeight="1" x14ac:dyDescent="0.25">
      <c r="A685" s="1">
        <v>2458364.4024800002</v>
      </c>
      <c r="B685" s="1" t="s">
        <v>90</v>
      </c>
      <c r="C685" s="1">
        <v>11.138</v>
      </c>
      <c r="D685" s="1" t="s">
        <v>292</v>
      </c>
      <c r="E685" s="1" t="s">
        <v>105</v>
      </c>
    </row>
    <row r="686" spans="1:5" ht="17.25" customHeight="1" x14ac:dyDescent="0.25">
      <c r="A686" s="1">
        <v>2458364.40288</v>
      </c>
      <c r="B686" s="1" t="s">
        <v>90</v>
      </c>
      <c r="C686" s="1">
        <v>11.128</v>
      </c>
      <c r="D686" s="1" t="s">
        <v>292</v>
      </c>
      <c r="E686" s="1" t="s">
        <v>105</v>
      </c>
    </row>
    <row r="687" spans="1:5" ht="17.25" customHeight="1" x14ac:dyDescent="0.25">
      <c r="A687" s="1">
        <v>2458364.40331</v>
      </c>
      <c r="B687" s="1" t="s">
        <v>90</v>
      </c>
      <c r="C687" s="1">
        <v>11.135</v>
      </c>
      <c r="D687" s="1" t="s">
        <v>292</v>
      </c>
      <c r="E687" s="1" t="s">
        <v>105</v>
      </c>
    </row>
    <row r="688" spans="1:5" ht="17.25" customHeight="1" x14ac:dyDescent="0.25">
      <c r="A688" s="1">
        <v>2458364.4037000001</v>
      </c>
      <c r="B688" s="1" t="s">
        <v>90</v>
      </c>
      <c r="C688" s="1">
        <v>11.132999999999999</v>
      </c>
      <c r="D688" s="1" t="s">
        <v>292</v>
      </c>
      <c r="E688" s="1" t="s">
        <v>105</v>
      </c>
    </row>
    <row r="689" spans="1:5" ht="17.25" customHeight="1" x14ac:dyDescent="0.25">
      <c r="A689" s="1">
        <v>2458364.4040999999</v>
      </c>
      <c r="B689" s="1" t="s">
        <v>90</v>
      </c>
      <c r="C689" s="1">
        <v>11.144</v>
      </c>
      <c r="D689" s="1" t="s">
        <v>292</v>
      </c>
      <c r="E689" s="1" t="s">
        <v>105</v>
      </c>
    </row>
    <row r="690" spans="1:5" ht="17.25" customHeight="1" x14ac:dyDescent="0.25">
      <c r="A690" s="1">
        <v>2458364.4044900001</v>
      </c>
      <c r="B690" s="1" t="s">
        <v>90</v>
      </c>
      <c r="C690" s="1">
        <v>11.132999999999999</v>
      </c>
      <c r="D690" s="1" t="s">
        <v>292</v>
      </c>
      <c r="E690" s="1" t="s">
        <v>105</v>
      </c>
    </row>
    <row r="691" spans="1:5" ht="17.25" customHeight="1" x14ac:dyDescent="0.25">
      <c r="A691" s="1">
        <v>2458364.4048799998</v>
      </c>
      <c r="B691" s="1" t="s">
        <v>90</v>
      </c>
      <c r="C691" s="1">
        <v>11.134</v>
      </c>
      <c r="D691" s="1" t="s">
        <v>292</v>
      </c>
      <c r="E691" s="1" t="s">
        <v>105</v>
      </c>
    </row>
    <row r="692" spans="1:5" ht="17.25" customHeight="1" x14ac:dyDescent="0.25">
      <c r="A692" s="1">
        <v>2458364.4052800001</v>
      </c>
      <c r="B692" s="1" t="s">
        <v>90</v>
      </c>
      <c r="C692" s="1">
        <v>11.146000000000001</v>
      </c>
      <c r="D692" s="1" t="s">
        <v>292</v>
      </c>
      <c r="E692" s="1" t="s">
        <v>105</v>
      </c>
    </row>
    <row r="693" spans="1:5" ht="17.25" customHeight="1" x14ac:dyDescent="0.25">
      <c r="A693" s="1">
        <v>2458364.4057100001</v>
      </c>
      <c r="B693" s="1" t="s">
        <v>90</v>
      </c>
      <c r="C693" s="1">
        <v>11.131</v>
      </c>
      <c r="D693" s="1" t="s">
        <v>292</v>
      </c>
      <c r="E693" s="1" t="s">
        <v>105</v>
      </c>
    </row>
    <row r="694" spans="1:5" ht="17.25" customHeight="1" x14ac:dyDescent="0.25">
      <c r="A694" s="1">
        <v>2458364.4060999998</v>
      </c>
      <c r="B694" s="1" t="s">
        <v>90</v>
      </c>
      <c r="C694" s="1">
        <v>11.124000000000001</v>
      </c>
      <c r="D694" s="1" t="s">
        <v>292</v>
      </c>
      <c r="E694" s="1" t="s">
        <v>105</v>
      </c>
    </row>
    <row r="695" spans="1:5" ht="17.25" customHeight="1" x14ac:dyDescent="0.25">
      <c r="A695" s="1">
        <v>2458364.40649</v>
      </c>
      <c r="B695" s="1" t="s">
        <v>90</v>
      </c>
      <c r="C695" s="1">
        <v>11.128</v>
      </c>
      <c r="D695" s="1" t="s">
        <v>292</v>
      </c>
      <c r="E695" s="1" t="s">
        <v>105</v>
      </c>
    </row>
    <row r="696" spans="1:5" ht="17.25" customHeight="1" x14ac:dyDescent="0.25">
      <c r="A696" s="1">
        <v>2458364.4069300001</v>
      </c>
      <c r="B696" s="1" t="s">
        <v>90</v>
      </c>
      <c r="C696" s="1">
        <v>11.11</v>
      </c>
      <c r="D696" s="1" t="s">
        <v>292</v>
      </c>
      <c r="E696" s="1" t="s">
        <v>105</v>
      </c>
    </row>
    <row r="697" spans="1:5" ht="17.25" customHeight="1" x14ac:dyDescent="0.25">
      <c r="A697" s="1">
        <v>2458364.4073299998</v>
      </c>
      <c r="B697" s="1" t="s">
        <v>90</v>
      </c>
      <c r="C697" s="1">
        <v>11.135</v>
      </c>
      <c r="D697" s="1" t="s">
        <v>292</v>
      </c>
      <c r="E697" s="1" t="s">
        <v>105</v>
      </c>
    </row>
    <row r="698" spans="1:5" ht="17.25" customHeight="1" x14ac:dyDescent="0.25">
      <c r="A698" s="1">
        <v>2458364.4077499998</v>
      </c>
      <c r="B698" s="1" t="s">
        <v>90</v>
      </c>
      <c r="C698" s="1">
        <v>11.137</v>
      </c>
      <c r="D698" s="1" t="s">
        <v>292</v>
      </c>
      <c r="E698" s="1" t="s">
        <v>105</v>
      </c>
    </row>
    <row r="699" spans="1:5" ht="17.25" customHeight="1" x14ac:dyDescent="0.25">
      <c r="A699" s="1">
        <v>2458364.4081799998</v>
      </c>
      <c r="B699" s="1" t="s">
        <v>90</v>
      </c>
      <c r="C699" s="1">
        <v>11.135</v>
      </c>
      <c r="D699" s="1" t="s">
        <v>292</v>
      </c>
      <c r="E699" s="1" t="s">
        <v>105</v>
      </c>
    </row>
    <row r="700" spans="1:5" ht="17.25" customHeight="1" x14ac:dyDescent="0.25">
      <c r="A700" s="1">
        <v>2458364.40858</v>
      </c>
      <c r="B700" s="1" t="s">
        <v>90</v>
      </c>
      <c r="C700" s="1">
        <v>11.132999999999999</v>
      </c>
      <c r="D700" s="1" t="s">
        <v>292</v>
      </c>
      <c r="E700" s="1" t="s">
        <v>105</v>
      </c>
    </row>
    <row r="701" spans="1:5" ht="17.25" customHeight="1" x14ac:dyDescent="0.25">
      <c r="A701" s="1">
        <v>2458364.4089799998</v>
      </c>
      <c r="B701" s="1" t="s">
        <v>90</v>
      </c>
      <c r="C701" s="1">
        <v>11.132</v>
      </c>
      <c r="D701" s="1" t="s">
        <v>292</v>
      </c>
      <c r="E701" s="1" t="s">
        <v>105</v>
      </c>
    </row>
    <row r="702" spans="1:5" ht="17.25" customHeight="1" x14ac:dyDescent="0.25">
      <c r="A702" s="1">
        <v>2458364.4093999998</v>
      </c>
      <c r="B702" s="1" t="s">
        <v>90</v>
      </c>
      <c r="C702" s="1">
        <v>11.131</v>
      </c>
      <c r="D702" s="1" t="s">
        <v>292</v>
      </c>
      <c r="E702" s="1" t="s">
        <v>105</v>
      </c>
    </row>
    <row r="703" spans="1:5" ht="17.25" customHeight="1" x14ac:dyDescent="0.25">
      <c r="A703" s="1">
        <v>2458364.4097899999</v>
      </c>
      <c r="B703" s="1" t="s">
        <v>90</v>
      </c>
      <c r="C703" s="1">
        <v>11.115</v>
      </c>
      <c r="D703" s="1" t="s">
        <v>292</v>
      </c>
      <c r="E703" s="1" t="s">
        <v>105</v>
      </c>
    </row>
    <row r="704" spans="1:5" ht="17.25" customHeight="1" x14ac:dyDescent="0.25">
      <c r="A704" s="1">
        <v>2458364.41022</v>
      </c>
      <c r="B704" s="1" t="s">
        <v>90</v>
      </c>
      <c r="C704" s="1">
        <v>11.143000000000001</v>
      </c>
      <c r="D704" s="1" t="s">
        <v>292</v>
      </c>
      <c r="E704" s="1" t="s">
        <v>105</v>
      </c>
    </row>
    <row r="705" spans="1:5" ht="17.25" customHeight="1" x14ac:dyDescent="0.25">
      <c r="A705" s="1">
        <v>2458364.41065</v>
      </c>
      <c r="B705" s="1" t="s">
        <v>90</v>
      </c>
      <c r="C705" s="1">
        <v>11.127000000000001</v>
      </c>
      <c r="D705" s="1" t="s">
        <v>292</v>
      </c>
      <c r="E705" s="1" t="s">
        <v>105</v>
      </c>
    </row>
    <row r="706" spans="1:5" ht="17.25" customHeight="1" x14ac:dyDescent="0.25">
      <c r="A706" s="1">
        <v>2458364.4110400002</v>
      </c>
      <c r="B706" s="1" t="s">
        <v>90</v>
      </c>
      <c r="C706" s="1">
        <v>11.116</v>
      </c>
      <c r="D706" s="1" t="s">
        <v>292</v>
      </c>
      <c r="E706" s="1" t="s">
        <v>105</v>
      </c>
    </row>
    <row r="707" spans="1:5" ht="17.25" customHeight="1" x14ac:dyDescent="0.25">
      <c r="A707" s="1">
        <v>2458364.4114399999</v>
      </c>
      <c r="B707" s="1" t="s">
        <v>90</v>
      </c>
      <c r="C707" s="1">
        <v>11.125999999999999</v>
      </c>
      <c r="D707" s="1" t="s">
        <v>292</v>
      </c>
      <c r="E707" s="1" t="s">
        <v>105</v>
      </c>
    </row>
    <row r="708" spans="1:5" ht="17.25" customHeight="1" x14ac:dyDescent="0.25">
      <c r="A708" s="1">
        <v>2458364.4118400002</v>
      </c>
      <c r="B708" s="1" t="s">
        <v>90</v>
      </c>
      <c r="C708" s="1">
        <v>11.122</v>
      </c>
      <c r="D708" s="1" t="s">
        <v>292</v>
      </c>
      <c r="E708" s="1" t="s">
        <v>105</v>
      </c>
    </row>
    <row r="709" spans="1:5" ht="17.25" customHeight="1" x14ac:dyDescent="0.25">
      <c r="A709" s="1">
        <v>2458364.4122299999</v>
      </c>
      <c r="B709" s="1" t="s">
        <v>90</v>
      </c>
      <c r="C709" s="1">
        <v>11.132999999999999</v>
      </c>
      <c r="D709" s="1" t="s">
        <v>292</v>
      </c>
      <c r="E709" s="1" t="s">
        <v>105</v>
      </c>
    </row>
    <row r="710" spans="1:5" ht="17.25" customHeight="1" x14ac:dyDescent="0.25">
      <c r="A710" s="1">
        <v>2458364.4126499998</v>
      </c>
      <c r="B710" s="1" t="s">
        <v>90</v>
      </c>
      <c r="C710" s="1">
        <v>11.125999999999999</v>
      </c>
      <c r="D710" s="1" t="s">
        <v>292</v>
      </c>
      <c r="E710" s="1" t="s">
        <v>105</v>
      </c>
    </row>
    <row r="711" spans="1:5" ht="17.25" customHeight="1" x14ac:dyDescent="0.25">
      <c r="A711" s="1">
        <v>2458364.4130600002</v>
      </c>
      <c r="B711" s="1" t="s">
        <v>90</v>
      </c>
      <c r="C711" s="1">
        <v>11.144</v>
      </c>
      <c r="D711" s="1" t="s">
        <v>292</v>
      </c>
      <c r="E711" s="1" t="s">
        <v>105</v>
      </c>
    </row>
    <row r="712" spans="1:5" ht="17.25" customHeight="1" x14ac:dyDescent="0.25">
      <c r="A712" s="1">
        <v>2458364.4134499999</v>
      </c>
      <c r="B712" s="1" t="s">
        <v>90</v>
      </c>
      <c r="C712" s="1">
        <v>11.141</v>
      </c>
      <c r="D712" s="1" t="s">
        <v>292</v>
      </c>
      <c r="E712" s="1" t="s">
        <v>105</v>
      </c>
    </row>
    <row r="713" spans="1:5" ht="17.25" customHeight="1" x14ac:dyDescent="0.25">
      <c r="A713" s="1">
        <v>2458364.4138799999</v>
      </c>
      <c r="B713" s="1" t="s">
        <v>90</v>
      </c>
      <c r="C713" s="1">
        <v>11.114000000000001</v>
      </c>
      <c r="D713" s="1" t="s">
        <v>292</v>
      </c>
      <c r="E713" s="1" t="s">
        <v>105</v>
      </c>
    </row>
    <row r="714" spans="1:5" ht="17.25" customHeight="1" x14ac:dyDescent="0.25">
      <c r="A714" s="1">
        <v>2458364.4142700001</v>
      </c>
      <c r="B714" s="1" t="s">
        <v>90</v>
      </c>
      <c r="C714" s="1">
        <v>11.159000000000001</v>
      </c>
      <c r="D714" s="1" t="s">
        <v>292</v>
      </c>
      <c r="E714" s="1" t="s">
        <v>105</v>
      </c>
    </row>
    <row r="715" spans="1:5" ht="17.25" customHeight="1" x14ac:dyDescent="0.25">
      <c r="A715" s="1">
        <v>2458364.4147000001</v>
      </c>
      <c r="B715" s="1" t="s">
        <v>90</v>
      </c>
      <c r="C715" s="1">
        <v>11.131</v>
      </c>
      <c r="D715" s="1" t="s">
        <v>292</v>
      </c>
      <c r="E715" s="1" t="s">
        <v>105</v>
      </c>
    </row>
    <row r="716" spans="1:5" ht="17.25" customHeight="1" x14ac:dyDescent="0.25">
      <c r="A716" s="1">
        <v>2458364.4150899998</v>
      </c>
      <c r="B716" s="1" t="s">
        <v>90</v>
      </c>
      <c r="C716" s="1">
        <v>11.135</v>
      </c>
      <c r="D716" s="1" t="s">
        <v>292</v>
      </c>
      <c r="E716" s="1" t="s">
        <v>105</v>
      </c>
    </row>
    <row r="717" spans="1:5" ht="17.25" customHeight="1" x14ac:dyDescent="0.25">
      <c r="A717" s="1">
        <v>2458364.41549</v>
      </c>
      <c r="B717" s="1" t="s">
        <v>90</v>
      </c>
      <c r="C717" s="1">
        <v>11.117000000000001</v>
      </c>
      <c r="D717" s="1" t="s">
        <v>292</v>
      </c>
      <c r="E717" s="1" t="s">
        <v>105</v>
      </c>
    </row>
    <row r="718" spans="1:5" ht="17.25" customHeight="1" x14ac:dyDescent="0.25">
      <c r="A718" s="1">
        <v>2458364.4158899998</v>
      </c>
      <c r="B718" s="1" t="s">
        <v>90</v>
      </c>
      <c r="C718" s="1">
        <v>11.131</v>
      </c>
      <c r="D718" s="1" t="s">
        <v>292</v>
      </c>
      <c r="E718" s="1" t="s">
        <v>105</v>
      </c>
    </row>
    <row r="719" spans="1:5" ht="17.25" customHeight="1" x14ac:dyDescent="0.25">
      <c r="A719" s="1">
        <v>2458364.41628</v>
      </c>
      <c r="B719" s="1" t="s">
        <v>90</v>
      </c>
      <c r="C719" s="1">
        <v>11.124000000000001</v>
      </c>
      <c r="D719" s="1" t="s">
        <v>292</v>
      </c>
      <c r="E719" s="1" t="s">
        <v>105</v>
      </c>
    </row>
    <row r="720" spans="1:5" ht="17.25" customHeight="1" x14ac:dyDescent="0.25">
      <c r="A720" s="1">
        <v>2458364.4183100001</v>
      </c>
      <c r="B720" s="1" t="s">
        <v>90</v>
      </c>
      <c r="C720" s="1">
        <v>11.159000000000001</v>
      </c>
      <c r="D720" s="1" t="s">
        <v>292</v>
      </c>
      <c r="E720" s="1" t="s">
        <v>105</v>
      </c>
    </row>
    <row r="721" spans="1:5" ht="17.25" customHeight="1" x14ac:dyDescent="0.25">
      <c r="A721" s="1">
        <v>2458364.4186999998</v>
      </c>
      <c r="B721" s="1" t="s">
        <v>90</v>
      </c>
      <c r="C721" s="1">
        <v>11.113</v>
      </c>
      <c r="D721" s="1" t="s">
        <v>292</v>
      </c>
      <c r="E721" s="1" t="s">
        <v>105</v>
      </c>
    </row>
    <row r="722" spans="1:5" ht="17.25" customHeight="1" x14ac:dyDescent="0.25">
      <c r="A722" s="1">
        <v>2458364.4901800002</v>
      </c>
      <c r="B722" s="1" t="s">
        <v>90</v>
      </c>
      <c r="C722" s="1">
        <v>11.144</v>
      </c>
      <c r="D722" s="1" t="s">
        <v>292</v>
      </c>
      <c r="E722" s="1" t="s">
        <v>94</v>
      </c>
    </row>
    <row r="723" spans="1:5" ht="17.25" customHeight="1" x14ac:dyDescent="0.25">
      <c r="A723" s="1">
        <v>2458364.4904</v>
      </c>
      <c r="B723" s="1" t="s">
        <v>90</v>
      </c>
      <c r="C723" s="1">
        <v>11.138999999999999</v>
      </c>
      <c r="D723" s="1" t="s">
        <v>292</v>
      </c>
      <c r="E723" s="1" t="s">
        <v>94</v>
      </c>
    </row>
    <row r="724" spans="1:5" ht="17.25" hidden="1" customHeight="1" x14ac:dyDescent="0.25">
      <c r="A724" s="1">
        <v>2458364.5611</v>
      </c>
      <c r="B724" s="1" t="s">
        <v>91</v>
      </c>
      <c r="C724" s="1">
        <v>10.518000000000001</v>
      </c>
      <c r="D724" s="1" t="s">
        <v>292</v>
      </c>
      <c r="E724" s="1" t="s">
        <v>300</v>
      </c>
    </row>
    <row r="725" spans="1:5" ht="17.25" hidden="1" customHeight="1" x14ac:dyDescent="0.25">
      <c r="A725" s="1">
        <v>2458364.6093600001</v>
      </c>
      <c r="B725" s="1" t="s">
        <v>91</v>
      </c>
      <c r="C725" s="1">
        <v>11.167</v>
      </c>
      <c r="D725" s="1" t="s">
        <v>292</v>
      </c>
      <c r="E725" s="1" t="s">
        <v>273</v>
      </c>
    </row>
    <row r="726" spans="1:5" ht="17.25" hidden="1" customHeight="1" x14ac:dyDescent="0.25">
      <c r="A726" s="1">
        <v>2458364.6096600001</v>
      </c>
      <c r="B726" s="1" t="s">
        <v>91</v>
      </c>
      <c r="C726" s="1">
        <v>11.215</v>
      </c>
      <c r="D726" s="1" t="s">
        <v>292</v>
      </c>
      <c r="E726" s="1" t="s">
        <v>273</v>
      </c>
    </row>
    <row r="727" spans="1:5" ht="17.25" hidden="1" customHeight="1" x14ac:dyDescent="0.25">
      <c r="A727" s="1">
        <v>2458364.60996</v>
      </c>
      <c r="B727" s="1" t="s">
        <v>91</v>
      </c>
      <c r="C727" s="1">
        <v>11.177</v>
      </c>
      <c r="D727" s="1" t="s">
        <v>292</v>
      </c>
      <c r="E727" s="1" t="s">
        <v>273</v>
      </c>
    </row>
    <row r="728" spans="1:5" ht="17.25" hidden="1" customHeight="1" x14ac:dyDescent="0.25">
      <c r="A728" s="1">
        <v>2458364.61026</v>
      </c>
      <c r="B728" s="1" t="s">
        <v>91</v>
      </c>
      <c r="C728" s="1">
        <v>11.182</v>
      </c>
      <c r="D728" s="1" t="s">
        <v>292</v>
      </c>
      <c r="E728" s="1" t="s">
        <v>273</v>
      </c>
    </row>
    <row r="729" spans="1:5" ht="17.25" hidden="1" customHeight="1" x14ac:dyDescent="0.25">
      <c r="A729" s="1">
        <v>2458364.6105499999</v>
      </c>
      <c r="B729" s="1" t="s">
        <v>91</v>
      </c>
      <c r="C729" s="1">
        <v>11.186</v>
      </c>
      <c r="D729" s="1" t="s">
        <v>292</v>
      </c>
      <c r="E729" s="1" t="s">
        <v>273</v>
      </c>
    </row>
    <row r="730" spans="1:5" ht="17.25" hidden="1" customHeight="1" x14ac:dyDescent="0.25">
      <c r="A730" s="1">
        <v>2458364.6108499998</v>
      </c>
      <c r="B730" s="1" t="s">
        <v>91</v>
      </c>
      <c r="C730" s="1">
        <v>11.196999999999999</v>
      </c>
      <c r="D730" s="1" t="s">
        <v>292</v>
      </c>
      <c r="E730" s="1" t="s">
        <v>273</v>
      </c>
    </row>
    <row r="731" spans="1:5" ht="17.25" hidden="1" customHeight="1" x14ac:dyDescent="0.25">
      <c r="A731" s="1">
        <v>2458364.6111499998</v>
      </c>
      <c r="B731" s="1" t="s">
        <v>91</v>
      </c>
      <c r="C731" s="1">
        <v>11.189</v>
      </c>
      <c r="D731" s="1" t="s">
        <v>292</v>
      </c>
      <c r="E731" s="1" t="s">
        <v>273</v>
      </c>
    </row>
    <row r="732" spans="1:5" ht="17.25" hidden="1" customHeight="1" x14ac:dyDescent="0.25">
      <c r="A732" s="1">
        <v>2458364.6114500002</v>
      </c>
      <c r="B732" s="1" t="s">
        <v>91</v>
      </c>
      <c r="C732" s="1">
        <v>11.205</v>
      </c>
      <c r="D732" s="1" t="s">
        <v>292</v>
      </c>
      <c r="E732" s="1" t="s">
        <v>273</v>
      </c>
    </row>
    <row r="733" spans="1:5" ht="17.25" hidden="1" customHeight="1" x14ac:dyDescent="0.25">
      <c r="A733" s="1">
        <v>2458364.6117500002</v>
      </c>
      <c r="B733" s="1" t="s">
        <v>91</v>
      </c>
      <c r="C733" s="1">
        <v>11.186</v>
      </c>
      <c r="D733" s="1" t="s">
        <v>292</v>
      </c>
      <c r="E733" s="1" t="s">
        <v>273</v>
      </c>
    </row>
    <row r="734" spans="1:5" ht="17.25" hidden="1" customHeight="1" x14ac:dyDescent="0.25">
      <c r="A734" s="1">
        <v>2458364.6120500001</v>
      </c>
      <c r="B734" s="1" t="s">
        <v>91</v>
      </c>
      <c r="C734" s="1">
        <v>11.199</v>
      </c>
      <c r="D734" s="1" t="s">
        <v>292</v>
      </c>
      <c r="E734" s="1" t="s">
        <v>273</v>
      </c>
    </row>
    <row r="735" spans="1:5" ht="17.25" customHeight="1" x14ac:dyDescent="0.25">
      <c r="A735" s="1">
        <v>2458365.4907300002</v>
      </c>
      <c r="B735" s="1" t="s">
        <v>91</v>
      </c>
      <c r="C735" s="1">
        <v>11.13</v>
      </c>
      <c r="D735" s="1" t="s">
        <v>292</v>
      </c>
      <c r="E735" s="1" t="s">
        <v>94</v>
      </c>
    </row>
    <row r="736" spans="1:5" ht="17.25" customHeight="1" x14ac:dyDescent="0.25">
      <c r="A736" s="1">
        <v>2458365.49095</v>
      </c>
      <c r="B736" s="1" t="s">
        <v>91</v>
      </c>
      <c r="C736" s="1">
        <v>11.143000000000001</v>
      </c>
      <c r="D736" s="1" t="s">
        <v>292</v>
      </c>
      <c r="E736" s="1" t="s">
        <v>94</v>
      </c>
    </row>
    <row r="737" spans="1:5" ht="17.25" customHeight="1" x14ac:dyDescent="0.25">
      <c r="A737" s="1">
        <v>2458366.3880400001</v>
      </c>
      <c r="B737" s="1" t="s">
        <v>106</v>
      </c>
      <c r="C737" s="1">
        <v>11.12</v>
      </c>
      <c r="D737" s="1" t="s">
        <v>292</v>
      </c>
      <c r="E737" s="1" t="s">
        <v>107</v>
      </c>
    </row>
    <row r="738" spans="1:5" ht="17.25" customHeight="1" x14ac:dyDescent="0.25">
      <c r="A738" s="1">
        <v>2458366.4938400001</v>
      </c>
      <c r="B738" s="1" t="s">
        <v>106</v>
      </c>
      <c r="C738" s="1">
        <v>11.173999999999999</v>
      </c>
      <c r="D738" s="1" t="s">
        <v>292</v>
      </c>
      <c r="E738" s="1" t="s">
        <v>94</v>
      </c>
    </row>
    <row r="739" spans="1:5" ht="17.25" customHeight="1" x14ac:dyDescent="0.25">
      <c r="A739" s="1">
        <v>2458366.4940499999</v>
      </c>
      <c r="B739" s="1" t="s">
        <v>106</v>
      </c>
      <c r="C739" s="1">
        <v>11.191000000000001</v>
      </c>
      <c r="D739" s="1" t="s">
        <v>292</v>
      </c>
      <c r="E739" s="1" t="s">
        <v>94</v>
      </c>
    </row>
    <row r="740" spans="1:5" ht="17.25" hidden="1" customHeight="1" x14ac:dyDescent="0.25">
      <c r="A740" s="1">
        <v>2458366.5534000001</v>
      </c>
      <c r="B740" s="1" t="s">
        <v>108</v>
      </c>
      <c r="C740" s="1">
        <v>11</v>
      </c>
      <c r="D740" s="1" t="s">
        <v>292</v>
      </c>
      <c r="E740" s="1" t="s">
        <v>300</v>
      </c>
    </row>
    <row r="741" spans="1:5" ht="17.25" customHeight="1" x14ac:dyDescent="0.25">
      <c r="A741" s="1">
        <v>2458367.4917000001</v>
      </c>
      <c r="B741" s="1" t="s">
        <v>108</v>
      </c>
      <c r="C741" s="1">
        <v>11.186999999999999</v>
      </c>
      <c r="D741" s="1" t="s">
        <v>292</v>
      </c>
      <c r="E741" s="1" t="s">
        <v>94</v>
      </c>
    </row>
    <row r="742" spans="1:5" ht="17.25" customHeight="1" x14ac:dyDescent="0.25">
      <c r="A742" s="1">
        <v>2458367.4918999998</v>
      </c>
      <c r="B742" s="1" t="s">
        <v>108</v>
      </c>
      <c r="C742" s="1">
        <v>11.195</v>
      </c>
      <c r="D742" s="1" t="s">
        <v>292</v>
      </c>
      <c r="E742" s="1" t="s">
        <v>94</v>
      </c>
    </row>
    <row r="743" spans="1:5" ht="17.25" customHeight="1" x14ac:dyDescent="0.25">
      <c r="A743" s="1">
        <v>2458367.5932300002</v>
      </c>
      <c r="B743" s="1" t="s">
        <v>109</v>
      </c>
      <c r="C743" s="1">
        <v>11.125999999999999</v>
      </c>
      <c r="D743" s="1" t="s">
        <v>292</v>
      </c>
      <c r="E743" s="1" t="s">
        <v>102</v>
      </c>
    </row>
    <row r="744" spans="1:5" ht="17.25" customHeight="1" x14ac:dyDescent="0.25">
      <c r="A744" s="1">
        <v>2458367.59552</v>
      </c>
      <c r="B744" s="1" t="s">
        <v>109</v>
      </c>
      <c r="C744" s="1">
        <v>11.125999999999999</v>
      </c>
      <c r="D744" s="1" t="s">
        <v>292</v>
      </c>
      <c r="E744" s="1" t="s">
        <v>102</v>
      </c>
    </row>
    <row r="745" spans="1:5" ht="17.25" customHeight="1" x14ac:dyDescent="0.25">
      <c r="A745" s="1">
        <v>2458367.5978199998</v>
      </c>
      <c r="B745" s="1" t="s">
        <v>109</v>
      </c>
      <c r="C745" s="1">
        <v>11.113</v>
      </c>
      <c r="D745" s="1" t="s">
        <v>292</v>
      </c>
      <c r="E745" s="1" t="s">
        <v>102</v>
      </c>
    </row>
    <row r="746" spans="1:5" ht="17.25" customHeight="1" x14ac:dyDescent="0.25">
      <c r="A746" s="1">
        <v>2458367.6001200001</v>
      </c>
      <c r="B746" s="1" t="s">
        <v>109</v>
      </c>
      <c r="C746" s="1">
        <v>11.115</v>
      </c>
      <c r="D746" s="1" t="s">
        <v>292</v>
      </c>
      <c r="E746" s="1" t="s">
        <v>102</v>
      </c>
    </row>
    <row r="747" spans="1:5" ht="17.25" customHeight="1" x14ac:dyDescent="0.25">
      <c r="A747" s="1">
        <v>2458367.6024099998</v>
      </c>
      <c r="B747" s="1" t="s">
        <v>109</v>
      </c>
      <c r="C747" s="1">
        <v>11.132</v>
      </c>
      <c r="D747" s="1" t="s">
        <v>292</v>
      </c>
      <c r="E747" s="1" t="s">
        <v>102</v>
      </c>
    </row>
    <row r="748" spans="1:5" ht="17.25" customHeight="1" x14ac:dyDescent="0.25">
      <c r="A748" s="1">
        <v>2458367.6047</v>
      </c>
      <c r="B748" s="1" t="s">
        <v>109</v>
      </c>
      <c r="C748" s="1">
        <v>11.125999999999999</v>
      </c>
      <c r="D748" s="1" t="s">
        <v>292</v>
      </c>
      <c r="E748" s="1" t="s">
        <v>102</v>
      </c>
    </row>
    <row r="749" spans="1:5" ht="17.25" customHeight="1" x14ac:dyDescent="0.25">
      <c r="A749" s="1">
        <v>2458367.6069999998</v>
      </c>
      <c r="B749" s="1" t="s">
        <v>109</v>
      </c>
      <c r="C749" s="1">
        <v>11.122999999999999</v>
      </c>
      <c r="D749" s="1" t="s">
        <v>292</v>
      </c>
      <c r="E749" s="1" t="s">
        <v>102</v>
      </c>
    </row>
    <row r="750" spans="1:5" ht="17.25" customHeight="1" x14ac:dyDescent="0.25">
      <c r="A750" s="1">
        <v>2458367.6092900001</v>
      </c>
      <c r="B750" s="1" t="s">
        <v>109</v>
      </c>
      <c r="C750" s="1">
        <v>11.124000000000001</v>
      </c>
      <c r="D750" s="1" t="s">
        <v>292</v>
      </c>
      <c r="E750" s="1" t="s">
        <v>102</v>
      </c>
    </row>
    <row r="751" spans="1:5" ht="17.25" customHeight="1" x14ac:dyDescent="0.25">
      <c r="A751" s="1">
        <v>2458367.6115999999</v>
      </c>
      <c r="B751" s="1" t="s">
        <v>109</v>
      </c>
      <c r="C751" s="1">
        <v>11.125</v>
      </c>
      <c r="D751" s="1" t="s">
        <v>292</v>
      </c>
      <c r="E751" s="1" t="s">
        <v>102</v>
      </c>
    </row>
    <row r="752" spans="1:5" ht="17.25" customHeight="1" x14ac:dyDescent="0.25">
      <c r="A752" s="1">
        <v>2458367.6138900002</v>
      </c>
      <c r="B752" s="1" t="s">
        <v>109</v>
      </c>
      <c r="C752" s="1">
        <v>11.125999999999999</v>
      </c>
      <c r="D752" s="1" t="s">
        <v>292</v>
      </c>
      <c r="E752" s="1" t="s">
        <v>102</v>
      </c>
    </row>
    <row r="753" spans="1:5" ht="17.25" customHeight="1" x14ac:dyDescent="0.25">
      <c r="A753" s="1">
        <v>2458367.6161799999</v>
      </c>
      <c r="B753" s="1" t="s">
        <v>109</v>
      </c>
      <c r="C753" s="1">
        <v>11.118</v>
      </c>
      <c r="D753" s="1" t="s">
        <v>292</v>
      </c>
      <c r="E753" s="1" t="s">
        <v>102</v>
      </c>
    </row>
    <row r="754" spans="1:5" ht="17.25" customHeight="1" x14ac:dyDescent="0.25">
      <c r="A754" s="1">
        <v>2458367.6184700001</v>
      </c>
      <c r="B754" s="1" t="s">
        <v>109</v>
      </c>
      <c r="C754" s="1">
        <v>11.12</v>
      </c>
      <c r="D754" s="1" t="s">
        <v>292</v>
      </c>
      <c r="E754" s="1" t="s">
        <v>102</v>
      </c>
    </row>
    <row r="755" spans="1:5" ht="17.25" customHeight="1" x14ac:dyDescent="0.25">
      <c r="A755" s="1">
        <v>2458367.6209</v>
      </c>
      <c r="B755" s="1" t="s">
        <v>109</v>
      </c>
      <c r="C755" s="1">
        <v>11.122</v>
      </c>
      <c r="D755" s="1" t="s">
        <v>292</v>
      </c>
      <c r="E755" s="1" t="s">
        <v>102</v>
      </c>
    </row>
    <row r="756" spans="1:5" ht="17.25" customHeight="1" x14ac:dyDescent="0.25">
      <c r="A756" s="1">
        <v>2458367.6231900002</v>
      </c>
      <c r="B756" s="1" t="s">
        <v>109</v>
      </c>
      <c r="C756" s="1">
        <v>11.118</v>
      </c>
      <c r="D756" s="1" t="s">
        <v>292</v>
      </c>
      <c r="E756" s="1" t="s">
        <v>102</v>
      </c>
    </row>
    <row r="757" spans="1:5" ht="17.25" customHeight="1" x14ac:dyDescent="0.25">
      <c r="A757" s="1">
        <v>2458367.6255000001</v>
      </c>
      <c r="B757" s="1" t="s">
        <v>109</v>
      </c>
      <c r="C757" s="1">
        <v>11.132999999999999</v>
      </c>
      <c r="D757" s="1" t="s">
        <v>292</v>
      </c>
      <c r="E757" s="1" t="s">
        <v>102</v>
      </c>
    </row>
    <row r="758" spans="1:5" ht="17.25" customHeight="1" x14ac:dyDescent="0.25">
      <c r="A758" s="1">
        <v>2458367.6277899998</v>
      </c>
      <c r="B758" s="1" t="s">
        <v>109</v>
      </c>
      <c r="C758" s="1">
        <v>11.128</v>
      </c>
      <c r="D758" s="1" t="s">
        <v>292</v>
      </c>
      <c r="E758" s="1" t="s">
        <v>102</v>
      </c>
    </row>
    <row r="759" spans="1:5" ht="17.25" customHeight="1" x14ac:dyDescent="0.25">
      <c r="A759" s="1">
        <v>2458367.63008</v>
      </c>
      <c r="B759" s="1" t="s">
        <v>109</v>
      </c>
      <c r="C759" s="1">
        <v>11.124000000000001</v>
      </c>
      <c r="D759" s="1" t="s">
        <v>292</v>
      </c>
      <c r="E759" s="1" t="s">
        <v>102</v>
      </c>
    </row>
    <row r="760" spans="1:5" ht="17.25" customHeight="1" x14ac:dyDescent="0.25">
      <c r="A760" s="1">
        <v>2458367.6323799998</v>
      </c>
      <c r="B760" s="1" t="s">
        <v>109</v>
      </c>
      <c r="C760" s="1">
        <v>11.132999999999999</v>
      </c>
      <c r="D760" s="1" t="s">
        <v>292</v>
      </c>
      <c r="E760" s="1" t="s">
        <v>102</v>
      </c>
    </row>
    <row r="761" spans="1:5" ht="17.25" customHeight="1" x14ac:dyDescent="0.25">
      <c r="A761" s="1">
        <v>2458367.6346800001</v>
      </c>
      <c r="B761" s="1" t="s">
        <v>109</v>
      </c>
      <c r="C761" s="1">
        <v>11.13</v>
      </c>
      <c r="D761" s="1" t="s">
        <v>292</v>
      </c>
      <c r="E761" s="1" t="s">
        <v>102</v>
      </c>
    </row>
    <row r="762" spans="1:5" ht="17.25" customHeight="1" x14ac:dyDescent="0.25">
      <c r="A762" s="1">
        <v>2458367.63698</v>
      </c>
      <c r="B762" s="1" t="s">
        <v>109</v>
      </c>
      <c r="C762" s="1">
        <v>11.122999999999999</v>
      </c>
      <c r="D762" s="1" t="s">
        <v>292</v>
      </c>
      <c r="E762" s="1" t="s">
        <v>102</v>
      </c>
    </row>
    <row r="763" spans="1:5" ht="17.25" customHeight="1" x14ac:dyDescent="0.25">
      <c r="A763" s="1">
        <v>2458367.6392700002</v>
      </c>
      <c r="B763" s="1" t="s">
        <v>109</v>
      </c>
      <c r="C763" s="1">
        <v>11.128</v>
      </c>
      <c r="D763" s="1" t="s">
        <v>292</v>
      </c>
      <c r="E763" s="1" t="s">
        <v>102</v>
      </c>
    </row>
    <row r="764" spans="1:5" ht="17.25" customHeight="1" x14ac:dyDescent="0.25">
      <c r="A764" s="1">
        <v>2458367.6415599999</v>
      </c>
      <c r="B764" s="1" t="s">
        <v>109</v>
      </c>
      <c r="C764" s="1">
        <v>11.125</v>
      </c>
      <c r="D764" s="1" t="s">
        <v>292</v>
      </c>
      <c r="E764" s="1" t="s">
        <v>102</v>
      </c>
    </row>
    <row r="765" spans="1:5" ht="17.25" customHeight="1" x14ac:dyDescent="0.25">
      <c r="A765" s="1">
        <v>2458367.6438699998</v>
      </c>
      <c r="B765" s="1" t="s">
        <v>109</v>
      </c>
      <c r="C765" s="1">
        <v>11.131</v>
      </c>
      <c r="D765" s="1" t="s">
        <v>292</v>
      </c>
      <c r="E765" s="1" t="s">
        <v>102</v>
      </c>
    </row>
    <row r="766" spans="1:5" ht="17.25" customHeight="1" x14ac:dyDescent="0.25">
      <c r="A766" s="1">
        <v>2458367.64616</v>
      </c>
      <c r="B766" s="1" t="s">
        <v>109</v>
      </c>
      <c r="C766" s="1">
        <v>11.124000000000001</v>
      </c>
      <c r="D766" s="1" t="s">
        <v>292</v>
      </c>
      <c r="E766" s="1" t="s">
        <v>102</v>
      </c>
    </row>
    <row r="767" spans="1:5" ht="17.25" customHeight="1" x14ac:dyDescent="0.25">
      <c r="A767" s="1">
        <v>2458367.6484500002</v>
      </c>
      <c r="B767" s="1" t="s">
        <v>109</v>
      </c>
      <c r="C767" s="1">
        <v>11.122</v>
      </c>
      <c r="D767" s="1" t="s">
        <v>292</v>
      </c>
      <c r="E767" s="1" t="s">
        <v>102</v>
      </c>
    </row>
    <row r="768" spans="1:5" ht="17.25" customHeight="1" x14ac:dyDescent="0.25">
      <c r="A768" s="1">
        <v>2458367.65075</v>
      </c>
      <c r="B768" s="1" t="s">
        <v>109</v>
      </c>
      <c r="C768" s="1">
        <v>11.121</v>
      </c>
      <c r="D768" s="1" t="s">
        <v>292</v>
      </c>
      <c r="E768" s="1" t="s">
        <v>102</v>
      </c>
    </row>
    <row r="769" spans="1:5" ht="17.25" customHeight="1" x14ac:dyDescent="0.25">
      <c r="A769" s="1">
        <v>2458368.4934299998</v>
      </c>
      <c r="B769" s="1" t="s">
        <v>109</v>
      </c>
      <c r="C769" s="1">
        <v>11.237</v>
      </c>
      <c r="D769" s="1" t="s">
        <v>292</v>
      </c>
      <c r="E769" s="1" t="s">
        <v>94</v>
      </c>
    </row>
    <row r="770" spans="1:5" ht="17.25" customHeight="1" x14ac:dyDescent="0.25">
      <c r="A770" s="1">
        <v>2458368.49364</v>
      </c>
      <c r="B770" s="1" t="s">
        <v>109</v>
      </c>
      <c r="C770" s="1">
        <v>11.222</v>
      </c>
      <c r="D770" s="1" t="s">
        <v>292</v>
      </c>
      <c r="E770" s="1" t="s">
        <v>94</v>
      </c>
    </row>
    <row r="771" spans="1:5" ht="17.25" customHeight="1" x14ac:dyDescent="0.25">
      <c r="A771" s="1">
        <v>2458368.5691200001</v>
      </c>
      <c r="B771" s="1" t="s">
        <v>110</v>
      </c>
      <c r="C771" s="1">
        <v>11.256</v>
      </c>
      <c r="D771" s="1" t="s">
        <v>292</v>
      </c>
      <c r="E771" s="1" t="s">
        <v>97</v>
      </c>
    </row>
    <row r="772" spans="1:5" ht="17.25" customHeight="1" x14ac:dyDescent="0.25">
      <c r="A772" s="1">
        <v>2458369.31586</v>
      </c>
      <c r="B772" s="1" t="s">
        <v>110</v>
      </c>
      <c r="C772" s="1">
        <v>11.231</v>
      </c>
      <c r="D772" s="1" t="s">
        <v>292</v>
      </c>
      <c r="E772" s="1" t="s">
        <v>101</v>
      </c>
    </row>
    <row r="773" spans="1:5" ht="17.25" customHeight="1" x14ac:dyDescent="0.25">
      <c r="A773" s="1">
        <v>2458369.3161800001</v>
      </c>
      <c r="B773" s="1" t="s">
        <v>110</v>
      </c>
      <c r="C773" s="1">
        <v>11.228999999999999</v>
      </c>
      <c r="D773" s="1" t="s">
        <v>292</v>
      </c>
      <c r="E773" s="1" t="s">
        <v>101</v>
      </c>
    </row>
    <row r="774" spans="1:5" ht="17.25" customHeight="1" x14ac:dyDescent="0.25">
      <c r="A774" s="1">
        <v>2458369.4948999998</v>
      </c>
      <c r="B774" s="1" t="s">
        <v>110</v>
      </c>
      <c r="C774" s="1">
        <v>11.249000000000001</v>
      </c>
      <c r="D774" s="1" t="s">
        <v>292</v>
      </c>
      <c r="E774" s="1" t="s">
        <v>94</v>
      </c>
    </row>
    <row r="775" spans="1:5" ht="17.25" customHeight="1" x14ac:dyDescent="0.25">
      <c r="A775" s="1">
        <v>2458369.49511</v>
      </c>
      <c r="B775" s="1" t="s">
        <v>110</v>
      </c>
      <c r="C775" s="1">
        <v>11.262</v>
      </c>
      <c r="D775" s="1" t="s">
        <v>292</v>
      </c>
      <c r="E775" s="1" t="s">
        <v>94</v>
      </c>
    </row>
    <row r="776" spans="1:5" ht="17.25" hidden="1" customHeight="1" x14ac:dyDescent="0.25">
      <c r="A776" s="1">
        <v>2458369.5554999998</v>
      </c>
      <c r="B776" s="1" t="s">
        <v>111</v>
      </c>
      <c r="C776" s="1">
        <v>11.005000000000001</v>
      </c>
      <c r="D776" s="1" t="s">
        <v>292</v>
      </c>
      <c r="E776" s="1" t="s">
        <v>300</v>
      </c>
    </row>
    <row r="777" spans="1:5" ht="17.25" customHeight="1" x14ac:dyDescent="0.25">
      <c r="A777" s="1">
        <v>2458370.3423600001</v>
      </c>
      <c r="B777" s="1" t="s">
        <v>111</v>
      </c>
      <c r="C777" s="1">
        <v>11.3</v>
      </c>
      <c r="D777" s="1" t="s">
        <v>292</v>
      </c>
      <c r="E777" s="1" t="s">
        <v>5</v>
      </c>
    </row>
    <row r="778" spans="1:5" ht="17.25" hidden="1" customHeight="1" x14ac:dyDescent="0.25">
      <c r="A778" s="1">
        <v>2458370.4240000001</v>
      </c>
      <c r="B778" s="1" t="s">
        <v>111</v>
      </c>
      <c r="C778" s="1">
        <v>11.31</v>
      </c>
      <c r="D778" s="1" t="s">
        <v>292</v>
      </c>
      <c r="E778" s="1" t="s">
        <v>285</v>
      </c>
    </row>
    <row r="779" spans="1:5" ht="17.25" hidden="1" customHeight="1" x14ac:dyDescent="0.25">
      <c r="A779" s="1">
        <v>2458370.4245699998</v>
      </c>
      <c r="B779" s="1" t="s">
        <v>111</v>
      </c>
      <c r="C779" s="1">
        <v>11.304</v>
      </c>
      <c r="D779" s="1" t="s">
        <v>292</v>
      </c>
      <c r="E779" s="1" t="s">
        <v>285</v>
      </c>
    </row>
    <row r="780" spans="1:5" ht="17.25" customHeight="1" x14ac:dyDescent="0.25">
      <c r="A780" s="1">
        <v>2458370.5057000001</v>
      </c>
      <c r="B780" s="1" t="s">
        <v>112</v>
      </c>
      <c r="C780" s="1">
        <v>11.308</v>
      </c>
      <c r="D780" s="1" t="s">
        <v>292</v>
      </c>
      <c r="E780" s="1" t="s">
        <v>94</v>
      </c>
    </row>
    <row r="781" spans="1:5" ht="17.25" customHeight="1" x14ac:dyDescent="0.25">
      <c r="A781" s="1">
        <v>2458370.5059099998</v>
      </c>
      <c r="B781" s="1" t="s">
        <v>112</v>
      </c>
      <c r="C781" s="1">
        <v>11.305999999999999</v>
      </c>
      <c r="D781" s="1" t="s">
        <v>292</v>
      </c>
      <c r="E781" s="1" t="s">
        <v>94</v>
      </c>
    </row>
    <row r="782" spans="1:5" ht="17.25" customHeight="1" x14ac:dyDescent="0.25">
      <c r="A782" s="1">
        <v>2458371.4945800002</v>
      </c>
      <c r="B782" s="1" t="s">
        <v>112</v>
      </c>
      <c r="C782" s="1">
        <v>11.304</v>
      </c>
      <c r="D782" s="1" t="s">
        <v>292</v>
      </c>
      <c r="E782" s="1" t="s">
        <v>94</v>
      </c>
    </row>
    <row r="783" spans="1:5" ht="17.25" customHeight="1" x14ac:dyDescent="0.25">
      <c r="A783" s="1">
        <v>2458371.4948</v>
      </c>
      <c r="B783" s="1" t="s">
        <v>112</v>
      </c>
      <c r="C783" s="1">
        <v>11.323</v>
      </c>
      <c r="D783" s="1" t="s">
        <v>292</v>
      </c>
      <c r="E783" s="1" t="s">
        <v>94</v>
      </c>
    </row>
    <row r="784" spans="1:5" ht="17.25" customHeight="1" x14ac:dyDescent="0.25">
      <c r="A784" s="1">
        <v>2458372.4944000002</v>
      </c>
      <c r="B784" s="1" t="s">
        <v>113</v>
      </c>
      <c r="C784" s="1">
        <v>11.337</v>
      </c>
      <c r="D784" s="1" t="s">
        <v>292</v>
      </c>
      <c r="E784" s="1" t="s">
        <v>94</v>
      </c>
    </row>
    <row r="785" spans="1:5" ht="17.25" customHeight="1" x14ac:dyDescent="0.25">
      <c r="A785" s="1">
        <v>2458372.49462</v>
      </c>
      <c r="B785" s="1" t="s">
        <v>113</v>
      </c>
      <c r="C785" s="1">
        <v>11.35</v>
      </c>
      <c r="D785" s="1" t="s">
        <v>292</v>
      </c>
      <c r="E785" s="1" t="s">
        <v>94</v>
      </c>
    </row>
    <row r="786" spans="1:5" ht="17.25" customHeight="1" x14ac:dyDescent="0.25">
      <c r="A786" s="1">
        <v>2458373.4962300002</v>
      </c>
      <c r="B786" s="1" t="s">
        <v>114</v>
      </c>
      <c r="C786" s="1">
        <v>11.377000000000001</v>
      </c>
      <c r="D786" s="1" t="s">
        <v>292</v>
      </c>
      <c r="E786" s="1" t="s">
        <v>94</v>
      </c>
    </row>
    <row r="787" spans="1:5" ht="17.25" customHeight="1" x14ac:dyDescent="0.25">
      <c r="A787" s="1">
        <v>2458373.49645</v>
      </c>
      <c r="B787" s="1" t="s">
        <v>114</v>
      </c>
      <c r="C787" s="1">
        <v>11.364000000000001</v>
      </c>
      <c r="D787" s="1" t="s">
        <v>292</v>
      </c>
      <c r="E787" s="1" t="s">
        <v>94</v>
      </c>
    </row>
    <row r="788" spans="1:5" ht="17.25" hidden="1" customHeight="1" x14ac:dyDescent="0.25">
      <c r="A788" s="1">
        <v>2458373.5981399999</v>
      </c>
      <c r="B788" s="1" t="s">
        <v>115</v>
      </c>
      <c r="C788" s="1">
        <v>11.403</v>
      </c>
      <c r="D788" s="1" t="s">
        <v>292</v>
      </c>
      <c r="E788" s="1" t="s">
        <v>273</v>
      </c>
    </row>
    <row r="789" spans="1:5" ht="17.25" hidden="1" customHeight="1" x14ac:dyDescent="0.25">
      <c r="A789" s="1">
        <v>2458373.5984299998</v>
      </c>
      <c r="B789" s="1" t="s">
        <v>115</v>
      </c>
      <c r="C789" s="1">
        <v>11.411</v>
      </c>
      <c r="D789" s="1" t="s">
        <v>292</v>
      </c>
      <c r="E789" s="1" t="s">
        <v>273</v>
      </c>
    </row>
    <row r="790" spans="1:5" ht="17.25" hidden="1" customHeight="1" x14ac:dyDescent="0.25">
      <c r="A790" s="1">
        <v>2458373.5987300002</v>
      </c>
      <c r="B790" s="1" t="s">
        <v>115</v>
      </c>
      <c r="C790" s="1">
        <v>11.413</v>
      </c>
      <c r="D790" s="1" t="s">
        <v>292</v>
      </c>
      <c r="E790" s="1" t="s">
        <v>273</v>
      </c>
    </row>
    <row r="791" spans="1:5" ht="17.25" hidden="1" customHeight="1" x14ac:dyDescent="0.25">
      <c r="A791" s="1">
        <v>2458373.5990300002</v>
      </c>
      <c r="B791" s="1" t="s">
        <v>115</v>
      </c>
      <c r="C791" s="1">
        <v>11.404999999999999</v>
      </c>
      <c r="D791" s="1" t="s">
        <v>292</v>
      </c>
      <c r="E791" s="1" t="s">
        <v>273</v>
      </c>
    </row>
    <row r="792" spans="1:5" ht="17.25" hidden="1" customHeight="1" x14ac:dyDescent="0.25">
      <c r="A792" s="1">
        <v>2458373.5993300001</v>
      </c>
      <c r="B792" s="1" t="s">
        <v>115</v>
      </c>
      <c r="C792" s="1">
        <v>11.39</v>
      </c>
      <c r="D792" s="1" t="s">
        <v>292</v>
      </c>
      <c r="E792" s="1" t="s">
        <v>273</v>
      </c>
    </row>
    <row r="793" spans="1:5" ht="17.25" customHeight="1" x14ac:dyDescent="0.25">
      <c r="A793" s="1">
        <v>2458374.4963600002</v>
      </c>
      <c r="B793" s="1" t="s">
        <v>115</v>
      </c>
      <c r="C793" s="1">
        <v>11.393000000000001</v>
      </c>
      <c r="D793" s="1" t="s">
        <v>292</v>
      </c>
      <c r="E793" s="1" t="s">
        <v>94</v>
      </c>
    </row>
    <row r="794" spans="1:5" ht="17.25" customHeight="1" x14ac:dyDescent="0.25">
      <c r="A794" s="1">
        <v>2458374.49658</v>
      </c>
      <c r="B794" s="1" t="s">
        <v>115</v>
      </c>
      <c r="C794" s="1">
        <v>11.387</v>
      </c>
      <c r="D794" s="1" t="s">
        <v>292</v>
      </c>
      <c r="E794" s="1" t="s">
        <v>94</v>
      </c>
    </row>
    <row r="795" spans="1:5" ht="17.25" customHeight="1" x14ac:dyDescent="0.25">
      <c r="A795" s="1">
        <v>2458375.3075600001</v>
      </c>
      <c r="B795" s="1" t="s">
        <v>116</v>
      </c>
      <c r="C795" s="1">
        <v>11.347</v>
      </c>
      <c r="D795" s="1" t="s">
        <v>292</v>
      </c>
      <c r="E795" s="1" t="s">
        <v>101</v>
      </c>
    </row>
    <row r="796" spans="1:5" ht="17.25" customHeight="1" x14ac:dyDescent="0.25">
      <c r="A796" s="1">
        <v>2458375.3075600001</v>
      </c>
      <c r="B796" s="1" t="s">
        <v>116</v>
      </c>
      <c r="C796" s="1">
        <v>11.343999999999999</v>
      </c>
      <c r="D796" s="1" t="s">
        <v>292</v>
      </c>
      <c r="E796" s="1" t="s">
        <v>101</v>
      </c>
    </row>
    <row r="797" spans="1:5" ht="17.25" customHeight="1" x14ac:dyDescent="0.25">
      <c r="A797" s="1">
        <v>2458375.3078700001</v>
      </c>
      <c r="B797" s="1" t="s">
        <v>116</v>
      </c>
      <c r="C797" s="1">
        <v>11.358000000000001</v>
      </c>
      <c r="D797" s="1" t="s">
        <v>292</v>
      </c>
      <c r="E797" s="1" t="s">
        <v>101</v>
      </c>
    </row>
    <row r="798" spans="1:5" ht="17.25" customHeight="1" x14ac:dyDescent="0.25">
      <c r="A798" s="1">
        <v>2458375.3078700001</v>
      </c>
      <c r="B798" s="1" t="s">
        <v>116</v>
      </c>
      <c r="C798" s="1">
        <v>11.356</v>
      </c>
      <c r="D798" s="1" t="s">
        <v>292</v>
      </c>
      <c r="E798" s="1" t="s">
        <v>101</v>
      </c>
    </row>
    <row r="799" spans="1:5" ht="17.25" hidden="1" customHeight="1" x14ac:dyDescent="0.25">
      <c r="A799" s="1">
        <v>2458375.3828199999</v>
      </c>
      <c r="B799" s="1" t="s">
        <v>116</v>
      </c>
      <c r="C799" s="1">
        <v>11.372</v>
      </c>
      <c r="D799" s="1" t="s">
        <v>292</v>
      </c>
      <c r="E799" s="1" t="s">
        <v>285</v>
      </c>
    </row>
    <row r="800" spans="1:5" ht="17.25" hidden="1" customHeight="1" x14ac:dyDescent="0.25">
      <c r="A800" s="1">
        <v>2458375.3834199999</v>
      </c>
      <c r="B800" s="1" t="s">
        <v>116</v>
      </c>
      <c r="C800" s="1">
        <v>11.361000000000001</v>
      </c>
      <c r="D800" s="1" t="s">
        <v>292</v>
      </c>
      <c r="E800" s="1" t="s">
        <v>285</v>
      </c>
    </row>
    <row r="801" spans="1:5" ht="17.25" customHeight="1" x14ac:dyDescent="0.25">
      <c r="A801" s="1">
        <v>2458375.4983600001</v>
      </c>
      <c r="B801" s="1" t="s">
        <v>116</v>
      </c>
      <c r="C801" s="1">
        <v>11.388999999999999</v>
      </c>
      <c r="D801" s="1" t="s">
        <v>292</v>
      </c>
      <c r="E801" s="1" t="s">
        <v>94</v>
      </c>
    </row>
    <row r="802" spans="1:5" ht="17.25" customHeight="1" x14ac:dyDescent="0.25">
      <c r="A802" s="1">
        <v>2458375.4985699998</v>
      </c>
      <c r="B802" s="1" t="s">
        <v>116</v>
      </c>
      <c r="C802" s="1">
        <v>11.403</v>
      </c>
      <c r="D802" s="1" t="s">
        <v>292</v>
      </c>
      <c r="E802" s="1" t="s">
        <v>94</v>
      </c>
    </row>
    <row r="803" spans="1:5" ht="17.25" hidden="1" customHeight="1" x14ac:dyDescent="0.25">
      <c r="A803" s="1">
        <v>2458375.5055</v>
      </c>
      <c r="B803" s="1" t="s">
        <v>117</v>
      </c>
      <c r="C803" s="1">
        <v>10.817</v>
      </c>
      <c r="D803" s="1" t="s">
        <v>292</v>
      </c>
      <c r="E803" s="1" t="s">
        <v>300</v>
      </c>
    </row>
    <row r="804" spans="1:5" ht="17.25" customHeight="1" x14ac:dyDescent="0.25">
      <c r="A804" s="1">
        <v>2458376.3046400002</v>
      </c>
      <c r="B804" s="1" t="s">
        <v>117</v>
      </c>
      <c r="C804" s="1">
        <v>11.367000000000001</v>
      </c>
      <c r="D804" s="1" t="s">
        <v>292</v>
      </c>
      <c r="E804" s="1" t="s">
        <v>101</v>
      </c>
    </row>
    <row r="805" spans="1:5" ht="17.25" customHeight="1" x14ac:dyDescent="0.25">
      <c r="A805" s="1">
        <v>2458376.3049499998</v>
      </c>
      <c r="B805" s="1" t="s">
        <v>117</v>
      </c>
      <c r="C805" s="1">
        <v>11.372999999999999</v>
      </c>
      <c r="D805" s="1" t="s">
        <v>292</v>
      </c>
      <c r="E805" s="1" t="s">
        <v>101</v>
      </c>
    </row>
    <row r="806" spans="1:5" ht="17.25" hidden="1" customHeight="1" x14ac:dyDescent="0.25">
      <c r="A806" s="1">
        <v>2458377.5249999999</v>
      </c>
      <c r="B806" s="1" t="s">
        <v>118</v>
      </c>
      <c r="C806" s="1">
        <v>11.433</v>
      </c>
      <c r="D806" s="1" t="s">
        <v>292</v>
      </c>
      <c r="E806" s="1" t="s">
        <v>300</v>
      </c>
    </row>
    <row r="807" spans="1:5" ht="17.25" customHeight="1" x14ac:dyDescent="0.25">
      <c r="A807" s="1">
        <v>2458378.301</v>
      </c>
      <c r="B807" s="1" t="s">
        <v>118</v>
      </c>
      <c r="C807" s="1">
        <v>11.368</v>
      </c>
      <c r="D807" s="1" t="s">
        <v>292</v>
      </c>
      <c r="E807" s="1" t="s">
        <v>101</v>
      </c>
    </row>
    <row r="808" spans="1:5" ht="17.25" customHeight="1" x14ac:dyDescent="0.25">
      <c r="A808" s="1">
        <v>2458378.3013300002</v>
      </c>
      <c r="B808" s="1" t="s">
        <v>118</v>
      </c>
      <c r="C808" s="1">
        <v>11.369</v>
      </c>
      <c r="D808" s="1" t="s">
        <v>292</v>
      </c>
      <c r="E808" s="1" t="s">
        <v>101</v>
      </c>
    </row>
    <row r="809" spans="1:5" ht="17.25" hidden="1" customHeight="1" x14ac:dyDescent="0.25">
      <c r="A809" s="1">
        <v>2458378.5944400001</v>
      </c>
      <c r="B809" s="1" t="s">
        <v>119</v>
      </c>
      <c r="C809" s="1">
        <v>11.458</v>
      </c>
      <c r="D809" s="1" t="s">
        <v>292</v>
      </c>
      <c r="E809" s="1" t="s">
        <v>273</v>
      </c>
    </row>
    <row r="810" spans="1:5" ht="17.25" hidden="1" customHeight="1" x14ac:dyDescent="0.25">
      <c r="A810" s="1">
        <v>2458378.5947400001</v>
      </c>
      <c r="B810" s="1" t="s">
        <v>119</v>
      </c>
      <c r="C810" s="1">
        <v>11.42</v>
      </c>
      <c r="D810" s="1" t="s">
        <v>292</v>
      </c>
      <c r="E810" s="1" t="s">
        <v>273</v>
      </c>
    </row>
    <row r="811" spans="1:5" ht="17.25" hidden="1" customHeight="1" x14ac:dyDescent="0.25">
      <c r="A811" s="1">
        <v>2458378.59504</v>
      </c>
      <c r="B811" s="1" t="s">
        <v>119</v>
      </c>
      <c r="C811" s="1">
        <v>11.425000000000001</v>
      </c>
      <c r="D811" s="1" t="s">
        <v>292</v>
      </c>
      <c r="E811" s="1" t="s">
        <v>273</v>
      </c>
    </row>
    <row r="812" spans="1:5" ht="17.25" hidden="1" customHeight="1" x14ac:dyDescent="0.25">
      <c r="A812" s="1">
        <v>2458378.59534</v>
      </c>
      <c r="B812" s="1" t="s">
        <v>119</v>
      </c>
      <c r="C812" s="1">
        <v>11.422000000000001</v>
      </c>
      <c r="D812" s="1" t="s">
        <v>292</v>
      </c>
      <c r="E812" s="1" t="s">
        <v>273</v>
      </c>
    </row>
    <row r="813" spans="1:5" ht="17.25" hidden="1" customHeight="1" x14ac:dyDescent="0.25">
      <c r="A813" s="1">
        <v>2458378.59564</v>
      </c>
      <c r="B813" s="1" t="s">
        <v>119</v>
      </c>
      <c r="C813" s="1">
        <v>11.433</v>
      </c>
      <c r="D813" s="1" t="s">
        <v>292</v>
      </c>
      <c r="E813" s="1" t="s">
        <v>273</v>
      </c>
    </row>
    <row r="814" spans="1:5" ht="17.25" customHeight="1" x14ac:dyDescent="0.25">
      <c r="A814" s="1">
        <v>2458379.3897799999</v>
      </c>
      <c r="B814" s="1" t="s">
        <v>119</v>
      </c>
      <c r="C814" s="1">
        <v>11.41</v>
      </c>
      <c r="D814" s="1" t="s">
        <v>292</v>
      </c>
      <c r="E814" s="1" t="s">
        <v>120</v>
      </c>
    </row>
    <row r="815" spans="1:5" ht="17.25" hidden="1" customHeight="1" x14ac:dyDescent="0.25">
      <c r="A815" s="1">
        <v>2458379.5899399999</v>
      </c>
      <c r="B815" s="1" t="s">
        <v>304</v>
      </c>
      <c r="C815" s="1">
        <v>11.454000000000001</v>
      </c>
      <c r="D815" s="1" t="s">
        <v>292</v>
      </c>
      <c r="E815" s="1" t="s">
        <v>273</v>
      </c>
    </row>
    <row r="816" spans="1:5" ht="17.25" hidden="1" customHeight="1" x14ac:dyDescent="0.25">
      <c r="A816" s="1">
        <v>2458379.5902399998</v>
      </c>
      <c r="B816" s="1" t="s">
        <v>304</v>
      </c>
      <c r="C816" s="1">
        <v>11.47</v>
      </c>
      <c r="D816" s="1" t="s">
        <v>292</v>
      </c>
      <c r="E816" s="1" t="s">
        <v>273</v>
      </c>
    </row>
    <row r="817" spans="1:5" ht="17.25" hidden="1" customHeight="1" x14ac:dyDescent="0.25">
      <c r="A817" s="1">
        <v>2458379.5905300002</v>
      </c>
      <c r="B817" s="1" t="s">
        <v>304</v>
      </c>
      <c r="C817" s="1">
        <v>11.448</v>
      </c>
      <c r="D817" s="1" t="s">
        <v>292</v>
      </c>
      <c r="E817" s="1" t="s">
        <v>273</v>
      </c>
    </row>
    <row r="818" spans="1:5" ht="17.25" hidden="1" customHeight="1" x14ac:dyDescent="0.25">
      <c r="A818" s="1">
        <v>2458379.5911300001</v>
      </c>
      <c r="B818" s="1" t="s">
        <v>304</v>
      </c>
      <c r="C818" s="1">
        <v>11.464</v>
      </c>
      <c r="D818" s="1" t="s">
        <v>292</v>
      </c>
      <c r="E818" s="1" t="s">
        <v>273</v>
      </c>
    </row>
    <row r="819" spans="1:5" ht="17.25" hidden="1" customHeight="1" x14ac:dyDescent="0.25">
      <c r="A819" s="1">
        <v>2458379.5916400002</v>
      </c>
      <c r="B819" s="1" t="s">
        <v>304</v>
      </c>
      <c r="C819" s="1">
        <v>11.458</v>
      </c>
      <c r="D819" s="1" t="s">
        <v>292</v>
      </c>
      <c r="E819" s="1" t="s">
        <v>273</v>
      </c>
    </row>
    <row r="820" spans="1:5" ht="17.25" customHeight="1" x14ac:dyDescent="0.25">
      <c r="A820" s="1">
        <v>2458380.5132599999</v>
      </c>
      <c r="B820" s="1" t="s">
        <v>121</v>
      </c>
      <c r="C820" s="1">
        <v>11.43</v>
      </c>
      <c r="D820" s="1" t="s">
        <v>292</v>
      </c>
      <c r="E820" s="1" t="s">
        <v>94</v>
      </c>
    </row>
    <row r="821" spans="1:5" ht="17.25" customHeight="1" x14ac:dyDescent="0.25">
      <c r="A821" s="1">
        <v>2458380.5134700001</v>
      </c>
      <c r="B821" s="1" t="s">
        <v>121</v>
      </c>
      <c r="C821" s="1">
        <v>11.417</v>
      </c>
      <c r="D821" s="1" t="s">
        <v>292</v>
      </c>
      <c r="E821" s="1" t="s">
        <v>94</v>
      </c>
    </row>
    <row r="822" spans="1:5" ht="17.25" customHeight="1" x14ac:dyDescent="0.25">
      <c r="A822" s="1">
        <v>2458381.3846900002</v>
      </c>
      <c r="B822" s="1" t="s">
        <v>121</v>
      </c>
      <c r="C822" s="1">
        <v>11.43</v>
      </c>
      <c r="D822" s="1" t="s">
        <v>292</v>
      </c>
      <c r="E822" s="1" t="s">
        <v>120</v>
      </c>
    </row>
    <row r="823" spans="1:5" ht="17.25" customHeight="1" x14ac:dyDescent="0.25">
      <c r="A823" s="1">
        <v>2458381.4966000002</v>
      </c>
      <c r="B823" s="1" t="s">
        <v>121</v>
      </c>
      <c r="C823" s="1">
        <v>11.427</v>
      </c>
      <c r="D823" s="1" t="s">
        <v>292</v>
      </c>
      <c r="E823" s="1" t="s">
        <v>94</v>
      </c>
    </row>
    <row r="824" spans="1:5" ht="17.25" customHeight="1" x14ac:dyDescent="0.25">
      <c r="A824" s="1">
        <v>2458381.49682</v>
      </c>
      <c r="B824" s="1" t="s">
        <v>121</v>
      </c>
      <c r="C824" s="1">
        <v>11.430999999999999</v>
      </c>
      <c r="D824" s="1" t="s">
        <v>292</v>
      </c>
      <c r="E824" s="1" t="s">
        <v>94</v>
      </c>
    </row>
    <row r="825" spans="1:5" ht="17.25" customHeight="1" x14ac:dyDescent="0.25">
      <c r="A825" s="1">
        <v>2458382.3648100002</v>
      </c>
      <c r="B825" s="1" t="s">
        <v>122</v>
      </c>
      <c r="C825" s="1">
        <v>11.44</v>
      </c>
      <c r="D825" s="1" t="s">
        <v>292</v>
      </c>
      <c r="E825" s="1" t="s">
        <v>120</v>
      </c>
    </row>
    <row r="826" spans="1:5" ht="17.25" hidden="1" customHeight="1" x14ac:dyDescent="0.25">
      <c r="A826" s="1">
        <v>2458382.4095700001</v>
      </c>
      <c r="B826" s="1" t="s">
        <v>122</v>
      </c>
      <c r="C826" s="1">
        <v>11.484</v>
      </c>
      <c r="D826" s="1" t="s">
        <v>292</v>
      </c>
      <c r="E826" s="1" t="s">
        <v>285</v>
      </c>
    </row>
    <row r="827" spans="1:5" ht="17.25" hidden="1" customHeight="1" x14ac:dyDescent="0.25">
      <c r="A827" s="1">
        <v>2458382.41023</v>
      </c>
      <c r="B827" s="1" t="s">
        <v>122</v>
      </c>
      <c r="C827" s="1">
        <v>11.484</v>
      </c>
      <c r="D827" s="1" t="s">
        <v>292</v>
      </c>
      <c r="E827" s="1" t="s">
        <v>285</v>
      </c>
    </row>
    <row r="828" spans="1:5" ht="17.25" customHeight="1" x14ac:dyDescent="0.25">
      <c r="A828" s="1">
        <v>2458382.4913699999</v>
      </c>
      <c r="B828" s="1" t="s">
        <v>122</v>
      </c>
      <c r="C828" s="1">
        <v>11.417999999999999</v>
      </c>
      <c r="D828" s="1" t="s">
        <v>292</v>
      </c>
      <c r="E828" s="1" t="s">
        <v>94</v>
      </c>
    </row>
    <row r="829" spans="1:5" ht="17.25" customHeight="1" x14ac:dyDescent="0.25">
      <c r="A829" s="1">
        <v>2458382.4915800001</v>
      </c>
      <c r="B829" s="1" t="s">
        <v>122</v>
      </c>
      <c r="C829" s="1">
        <v>11.459</v>
      </c>
      <c r="D829" s="1" t="s">
        <v>292</v>
      </c>
      <c r="E829" s="1" t="s">
        <v>94</v>
      </c>
    </row>
    <row r="830" spans="1:5" ht="17.25" customHeight="1" x14ac:dyDescent="0.25">
      <c r="A830" s="1">
        <v>2458383.3724099998</v>
      </c>
      <c r="B830" s="1" t="s">
        <v>123</v>
      </c>
      <c r="C830" s="1">
        <v>11.413</v>
      </c>
      <c r="D830" s="1" t="s">
        <v>292</v>
      </c>
      <c r="E830" s="1" t="s">
        <v>101</v>
      </c>
    </row>
    <row r="831" spans="1:5" ht="17.25" customHeight="1" x14ac:dyDescent="0.25">
      <c r="A831" s="1">
        <v>2458383.3727199999</v>
      </c>
      <c r="B831" s="1" t="s">
        <v>123</v>
      </c>
      <c r="C831" s="1">
        <v>11.414999999999999</v>
      </c>
      <c r="D831" s="1" t="s">
        <v>292</v>
      </c>
      <c r="E831" s="1" t="s">
        <v>101</v>
      </c>
    </row>
    <row r="832" spans="1:5" ht="17.25" hidden="1" customHeight="1" x14ac:dyDescent="0.25">
      <c r="A832" s="1">
        <v>2458383.4346099999</v>
      </c>
      <c r="B832" s="1" t="s">
        <v>123</v>
      </c>
      <c r="C832" s="1">
        <v>11.478</v>
      </c>
      <c r="D832" s="1" t="s">
        <v>292</v>
      </c>
      <c r="E832" s="1" t="s">
        <v>285</v>
      </c>
    </row>
    <row r="833" spans="1:5" ht="17.25" customHeight="1" x14ac:dyDescent="0.25">
      <c r="A833" s="1">
        <v>2458383.4951999998</v>
      </c>
      <c r="B833" s="1" t="s">
        <v>123</v>
      </c>
      <c r="C833" s="1">
        <v>11.444000000000001</v>
      </c>
      <c r="D833" s="1" t="s">
        <v>292</v>
      </c>
      <c r="E833" s="1" t="s">
        <v>94</v>
      </c>
    </row>
    <row r="834" spans="1:5" ht="17.25" customHeight="1" x14ac:dyDescent="0.25">
      <c r="A834" s="1">
        <v>2458383.4954200001</v>
      </c>
      <c r="B834" s="1" t="s">
        <v>123</v>
      </c>
      <c r="C834" s="1">
        <v>11.446</v>
      </c>
      <c r="D834" s="1" t="s">
        <v>292</v>
      </c>
      <c r="E834" s="1" t="s">
        <v>94</v>
      </c>
    </row>
    <row r="835" spans="1:5" ht="17.25" hidden="1" customHeight="1" x14ac:dyDescent="0.25">
      <c r="A835" s="1">
        <v>2458383.5600999999</v>
      </c>
      <c r="B835" s="1" t="s">
        <v>124</v>
      </c>
      <c r="C835" s="1">
        <v>11.442</v>
      </c>
      <c r="D835" s="1" t="s">
        <v>292</v>
      </c>
      <c r="E835" s="1" t="s">
        <v>273</v>
      </c>
    </row>
    <row r="836" spans="1:5" ht="17.25" hidden="1" customHeight="1" x14ac:dyDescent="0.25">
      <c r="A836" s="1">
        <v>2458383.5604099999</v>
      </c>
      <c r="B836" s="1" t="s">
        <v>124</v>
      </c>
      <c r="C836" s="1">
        <v>11.477</v>
      </c>
      <c r="D836" s="1" t="s">
        <v>292</v>
      </c>
      <c r="E836" s="1" t="s">
        <v>273</v>
      </c>
    </row>
    <row r="837" spans="1:5" ht="17.25" hidden="1" customHeight="1" x14ac:dyDescent="0.25">
      <c r="A837" s="1">
        <v>2458383.56072</v>
      </c>
      <c r="B837" s="1" t="s">
        <v>124</v>
      </c>
      <c r="C837" s="1">
        <v>11.449</v>
      </c>
      <c r="D837" s="1" t="s">
        <v>292</v>
      </c>
      <c r="E837" s="1" t="s">
        <v>273</v>
      </c>
    </row>
    <row r="838" spans="1:5" ht="17.25" hidden="1" customHeight="1" x14ac:dyDescent="0.25">
      <c r="A838" s="1">
        <v>2458383.56103</v>
      </c>
      <c r="B838" s="1" t="s">
        <v>124</v>
      </c>
      <c r="C838" s="1">
        <v>11.456</v>
      </c>
      <c r="D838" s="1" t="s">
        <v>292</v>
      </c>
      <c r="E838" s="1" t="s">
        <v>273</v>
      </c>
    </row>
    <row r="839" spans="1:5" ht="17.25" hidden="1" customHeight="1" x14ac:dyDescent="0.25">
      <c r="A839" s="1">
        <v>2458383.56134</v>
      </c>
      <c r="B839" s="1" t="s">
        <v>124</v>
      </c>
      <c r="C839" s="1">
        <v>11.446</v>
      </c>
      <c r="D839" s="1" t="s">
        <v>292</v>
      </c>
      <c r="E839" s="1" t="s">
        <v>273</v>
      </c>
    </row>
    <row r="840" spans="1:5" ht="17.25" hidden="1" customHeight="1" x14ac:dyDescent="0.25">
      <c r="A840" s="1">
        <v>2458384.4629299999</v>
      </c>
      <c r="B840" s="1" t="s">
        <v>124</v>
      </c>
      <c r="C840" s="1">
        <v>11.448</v>
      </c>
      <c r="D840" s="1" t="s">
        <v>292</v>
      </c>
      <c r="E840" s="1" t="s">
        <v>285</v>
      </c>
    </row>
    <row r="841" spans="1:5" ht="17.25" customHeight="1" x14ac:dyDescent="0.25">
      <c r="A841" s="1">
        <v>2458384.4955799999</v>
      </c>
      <c r="B841" s="1" t="s">
        <v>124</v>
      </c>
      <c r="C841" s="1">
        <v>11.475</v>
      </c>
      <c r="D841" s="1" t="s">
        <v>292</v>
      </c>
      <c r="E841" s="1" t="s">
        <v>94</v>
      </c>
    </row>
    <row r="842" spans="1:5" ht="17.25" customHeight="1" x14ac:dyDescent="0.25">
      <c r="A842" s="1">
        <v>2458384.4957900001</v>
      </c>
      <c r="B842" s="1" t="s">
        <v>124</v>
      </c>
      <c r="C842" s="1">
        <v>11.481</v>
      </c>
      <c r="D842" s="1" t="s">
        <v>292</v>
      </c>
      <c r="E842" s="1" t="s">
        <v>94</v>
      </c>
    </row>
    <row r="843" spans="1:5" ht="17.25" hidden="1" customHeight="1" x14ac:dyDescent="0.25">
      <c r="A843" s="1">
        <v>2458384.62194</v>
      </c>
      <c r="B843" s="1" t="s">
        <v>125</v>
      </c>
      <c r="C843" s="1">
        <v>11.497999999999999</v>
      </c>
      <c r="D843" s="1" t="s">
        <v>292</v>
      </c>
      <c r="E843" s="1" t="s">
        <v>273</v>
      </c>
    </row>
    <row r="844" spans="1:5" ht="17.25" hidden="1" customHeight="1" x14ac:dyDescent="0.25">
      <c r="A844" s="1">
        <v>2458384.6228200002</v>
      </c>
      <c r="B844" s="1" t="s">
        <v>125</v>
      </c>
      <c r="C844" s="1">
        <v>11.497</v>
      </c>
      <c r="D844" s="1" t="s">
        <v>292</v>
      </c>
      <c r="E844" s="1" t="s">
        <v>273</v>
      </c>
    </row>
    <row r="845" spans="1:5" ht="17.25" hidden="1" customHeight="1" x14ac:dyDescent="0.25">
      <c r="A845" s="1">
        <v>2458384.6231300002</v>
      </c>
      <c r="B845" s="1" t="s">
        <v>125</v>
      </c>
      <c r="C845" s="1">
        <v>11.499000000000001</v>
      </c>
      <c r="D845" s="1" t="s">
        <v>292</v>
      </c>
      <c r="E845" s="1" t="s">
        <v>273</v>
      </c>
    </row>
    <row r="846" spans="1:5" ht="17.25" hidden="1" customHeight="1" x14ac:dyDescent="0.25">
      <c r="A846" s="1">
        <v>2458384.6234400002</v>
      </c>
      <c r="B846" s="1" t="s">
        <v>125</v>
      </c>
      <c r="C846" s="1">
        <v>11.523</v>
      </c>
      <c r="D846" s="1" t="s">
        <v>292</v>
      </c>
      <c r="E846" s="1" t="s">
        <v>273</v>
      </c>
    </row>
    <row r="847" spans="1:5" ht="17.25" hidden="1" customHeight="1" x14ac:dyDescent="0.25">
      <c r="A847" s="1">
        <v>2458384.6237499998</v>
      </c>
      <c r="B847" s="1" t="s">
        <v>125</v>
      </c>
      <c r="C847" s="1">
        <v>11.545</v>
      </c>
      <c r="D847" s="1" t="s">
        <v>292</v>
      </c>
      <c r="E847" s="1" t="s">
        <v>273</v>
      </c>
    </row>
    <row r="848" spans="1:5" ht="17.25" customHeight="1" x14ac:dyDescent="0.25">
      <c r="A848" s="1">
        <v>2458385.3724099998</v>
      </c>
      <c r="B848" s="1" t="s">
        <v>125</v>
      </c>
      <c r="C848" s="1">
        <v>11.449</v>
      </c>
      <c r="D848" s="1" t="s">
        <v>292</v>
      </c>
      <c r="E848" s="1" t="s">
        <v>107</v>
      </c>
    </row>
    <row r="849" spans="1:5" ht="17.25" customHeight="1" x14ac:dyDescent="0.25">
      <c r="A849" s="1">
        <v>2458385.37335</v>
      </c>
      <c r="B849" s="1" t="s">
        <v>125</v>
      </c>
      <c r="C849" s="1">
        <v>11.48</v>
      </c>
      <c r="D849" s="1" t="s">
        <v>292</v>
      </c>
      <c r="E849" s="1" t="s">
        <v>120</v>
      </c>
    </row>
    <row r="850" spans="1:5" ht="17.25" hidden="1" customHeight="1" x14ac:dyDescent="0.25">
      <c r="A850" s="1">
        <v>2458385.4651000001</v>
      </c>
      <c r="B850" s="1" t="s">
        <v>125</v>
      </c>
      <c r="C850" s="1">
        <v>11.53</v>
      </c>
      <c r="D850" s="1" t="s">
        <v>292</v>
      </c>
      <c r="E850" s="1" t="s">
        <v>285</v>
      </c>
    </row>
    <row r="851" spans="1:5" ht="17.25" customHeight="1" x14ac:dyDescent="0.25">
      <c r="A851" s="1">
        <v>2458385.49547</v>
      </c>
      <c r="B851" s="1" t="s">
        <v>125</v>
      </c>
      <c r="C851" s="1">
        <v>11.48</v>
      </c>
      <c r="D851" s="1" t="s">
        <v>292</v>
      </c>
      <c r="E851" s="1" t="s">
        <v>94</v>
      </c>
    </row>
    <row r="852" spans="1:5" ht="17.25" customHeight="1" x14ac:dyDescent="0.25">
      <c r="A852" s="1">
        <v>2458385.4956800002</v>
      </c>
      <c r="B852" s="1" t="s">
        <v>125</v>
      </c>
      <c r="C852" s="1">
        <v>11.481</v>
      </c>
      <c r="D852" s="1" t="s">
        <v>292</v>
      </c>
      <c r="E852" s="1" t="s">
        <v>94</v>
      </c>
    </row>
    <row r="853" spans="1:5" ht="17.25" hidden="1" customHeight="1" x14ac:dyDescent="0.25">
      <c r="A853" s="1">
        <v>2458385.5861300002</v>
      </c>
      <c r="B853" s="1" t="s">
        <v>126</v>
      </c>
      <c r="C853" s="1">
        <v>11.473000000000001</v>
      </c>
      <c r="D853" s="1" t="s">
        <v>292</v>
      </c>
      <c r="E853" s="1" t="s">
        <v>273</v>
      </c>
    </row>
    <row r="854" spans="1:5" ht="17.25" hidden="1" customHeight="1" x14ac:dyDescent="0.25">
      <c r="A854" s="1">
        <v>2458385.5868700002</v>
      </c>
      <c r="B854" s="1" t="s">
        <v>126</v>
      </c>
      <c r="C854" s="1">
        <v>11.484</v>
      </c>
      <c r="D854" s="1" t="s">
        <v>292</v>
      </c>
      <c r="E854" s="1" t="s">
        <v>273</v>
      </c>
    </row>
    <row r="855" spans="1:5" ht="17.25" hidden="1" customHeight="1" x14ac:dyDescent="0.25">
      <c r="A855" s="1">
        <v>2458385.5883499999</v>
      </c>
      <c r="B855" s="1" t="s">
        <v>126</v>
      </c>
      <c r="C855" s="1">
        <v>11.510999999999999</v>
      </c>
      <c r="D855" s="1" t="s">
        <v>292</v>
      </c>
      <c r="E855" s="1" t="s">
        <v>273</v>
      </c>
    </row>
    <row r="856" spans="1:5" ht="17.25" hidden="1" customHeight="1" x14ac:dyDescent="0.25">
      <c r="A856" s="1">
        <v>2458385.59057</v>
      </c>
      <c r="B856" s="1" t="s">
        <v>126</v>
      </c>
      <c r="C856" s="1">
        <v>11.492000000000001</v>
      </c>
      <c r="D856" s="1" t="s">
        <v>292</v>
      </c>
      <c r="E856" s="1" t="s">
        <v>273</v>
      </c>
    </row>
    <row r="857" spans="1:5" ht="17.25" hidden="1" customHeight="1" x14ac:dyDescent="0.25">
      <c r="A857" s="1">
        <v>2458385.5913</v>
      </c>
      <c r="B857" s="1" t="s">
        <v>126</v>
      </c>
      <c r="C857" s="1">
        <v>11.509</v>
      </c>
      <c r="D857" s="1" t="s">
        <v>292</v>
      </c>
      <c r="E857" s="1" t="s">
        <v>273</v>
      </c>
    </row>
    <row r="858" spans="1:5" ht="17.25" customHeight="1" x14ac:dyDescent="0.25">
      <c r="A858" s="1">
        <v>2458386.2860500002</v>
      </c>
      <c r="B858" s="1" t="s">
        <v>126</v>
      </c>
      <c r="C858" s="1">
        <v>11.451000000000001</v>
      </c>
      <c r="D858" s="1" t="s">
        <v>292</v>
      </c>
      <c r="E858" s="1" t="s">
        <v>101</v>
      </c>
    </row>
    <row r="859" spans="1:5" ht="17.25" customHeight="1" x14ac:dyDescent="0.25">
      <c r="A859" s="1">
        <v>2458386.2863699999</v>
      </c>
      <c r="B859" s="1" t="s">
        <v>126</v>
      </c>
      <c r="C859" s="1">
        <v>11.449</v>
      </c>
      <c r="D859" s="1" t="s">
        <v>292</v>
      </c>
      <c r="E859" s="1" t="s">
        <v>101</v>
      </c>
    </row>
    <row r="860" spans="1:5" ht="17.25" hidden="1" customHeight="1" x14ac:dyDescent="0.25">
      <c r="A860" s="1">
        <v>2458386.4541600002</v>
      </c>
      <c r="B860" s="1" t="s">
        <v>126</v>
      </c>
      <c r="C860" s="1">
        <v>11.548</v>
      </c>
      <c r="D860" s="1" t="s">
        <v>292</v>
      </c>
      <c r="E860" s="1" t="s">
        <v>285</v>
      </c>
    </row>
    <row r="861" spans="1:5" ht="17.25" hidden="1" customHeight="1" x14ac:dyDescent="0.25">
      <c r="A861" s="1">
        <v>2458386.4548300002</v>
      </c>
      <c r="B861" s="1" t="s">
        <v>126</v>
      </c>
      <c r="C861" s="1">
        <v>11.489000000000001</v>
      </c>
      <c r="D861" s="1" t="s">
        <v>292</v>
      </c>
      <c r="E861" s="1" t="s">
        <v>285</v>
      </c>
    </row>
    <row r="862" spans="1:5" ht="17.25" customHeight="1" x14ac:dyDescent="0.25">
      <c r="A862" s="1">
        <v>2458386.5143300002</v>
      </c>
      <c r="B862" s="1" t="s">
        <v>127</v>
      </c>
      <c r="C862" s="1">
        <v>11.504</v>
      </c>
      <c r="D862" s="1" t="s">
        <v>292</v>
      </c>
      <c r="E862" s="1" t="s">
        <v>94</v>
      </c>
    </row>
    <row r="863" spans="1:5" ht="17.25" customHeight="1" x14ac:dyDescent="0.25">
      <c r="A863" s="1">
        <v>2458386.5145399999</v>
      </c>
      <c r="B863" s="1" t="s">
        <v>127</v>
      </c>
      <c r="C863" s="1">
        <v>11.504</v>
      </c>
      <c r="D863" s="1" t="s">
        <v>292</v>
      </c>
      <c r="E863" s="1" t="s">
        <v>94</v>
      </c>
    </row>
    <row r="864" spans="1:5" ht="17.25" hidden="1" customHeight="1" x14ac:dyDescent="0.25">
      <c r="A864" s="1">
        <v>2458387.4550299998</v>
      </c>
      <c r="B864" s="1" t="s">
        <v>127</v>
      </c>
      <c r="C864" s="1">
        <v>11.569000000000001</v>
      </c>
      <c r="D864" s="1" t="s">
        <v>292</v>
      </c>
      <c r="E864" s="1" t="s">
        <v>285</v>
      </c>
    </row>
    <row r="865" spans="1:5" ht="17.25" customHeight="1" x14ac:dyDescent="0.25">
      <c r="A865" s="1">
        <v>2458387.5057600001</v>
      </c>
      <c r="B865" s="1" t="s">
        <v>128</v>
      </c>
      <c r="C865" s="1">
        <v>11.526</v>
      </c>
      <c r="D865" s="1" t="s">
        <v>292</v>
      </c>
      <c r="E865" s="1" t="s">
        <v>94</v>
      </c>
    </row>
    <row r="866" spans="1:5" ht="17.25" customHeight="1" x14ac:dyDescent="0.25">
      <c r="A866" s="1">
        <v>2458387.5059699998</v>
      </c>
      <c r="B866" s="1" t="s">
        <v>128</v>
      </c>
      <c r="C866" s="1">
        <v>11.537000000000001</v>
      </c>
      <c r="D866" s="1" t="s">
        <v>292</v>
      </c>
      <c r="E866" s="1" t="s">
        <v>94</v>
      </c>
    </row>
    <row r="867" spans="1:5" ht="17.25" hidden="1" customHeight="1" x14ac:dyDescent="0.25">
      <c r="A867" s="1">
        <v>2458387.5658999998</v>
      </c>
      <c r="B867" s="1" t="s">
        <v>128</v>
      </c>
      <c r="C867" s="1">
        <v>11.679</v>
      </c>
      <c r="D867" s="1" t="s">
        <v>292</v>
      </c>
      <c r="E867" s="1" t="s">
        <v>273</v>
      </c>
    </row>
    <row r="868" spans="1:5" ht="17.25" customHeight="1" x14ac:dyDescent="0.25">
      <c r="A868" s="1">
        <v>2458388.2853399999</v>
      </c>
      <c r="B868" s="1" t="s">
        <v>128</v>
      </c>
      <c r="C868" s="1">
        <v>11.478999999999999</v>
      </c>
      <c r="D868" s="1" t="s">
        <v>292</v>
      </c>
      <c r="E868" s="1" t="s">
        <v>101</v>
      </c>
    </row>
    <row r="869" spans="1:5" ht="17.25" customHeight="1" x14ac:dyDescent="0.25">
      <c r="A869" s="1">
        <v>2458388.28565</v>
      </c>
      <c r="B869" s="1" t="s">
        <v>128</v>
      </c>
      <c r="C869" s="1">
        <v>11.484</v>
      </c>
      <c r="D869" s="1" t="s">
        <v>292</v>
      </c>
      <c r="E869" s="1" t="s">
        <v>101</v>
      </c>
    </row>
    <row r="870" spans="1:5" ht="17.25" customHeight="1" x14ac:dyDescent="0.25">
      <c r="A870" s="1">
        <v>2458388.3413300002</v>
      </c>
      <c r="B870" s="1" t="s">
        <v>128</v>
      </c>
      <c r="C870" s="1">
        <v>11.516999999999999</v>
      </c>
      <c r="D870" s="1" t="s">
        <v>292</v>
      </c>
      <c r="E870" s="1" t="s">
        <v>2</v>
      </c>
    </row>
    <row r="871" spans="1:5" ht="17.25" customHeight="1" x14ac:dyDescent="0.25">
      <c r="A871" s="1">
        <v>2458388.3536700001</v>
      </c>
      <c r="B871" s="1" t="s">
        <v>128</v>
      </c>
      <c r="C871" s="1">
        <v>11.5</v>
      </c>
      <c r="D871" s="1" t="s">
        <v>292</v>
      </c>
      <c r="E871" s="1" t="s">
        <v>120</v>
      </c>
    </row>
    <row r="872" spans="1:5" ht="17.25" customHeight="1" x14ac:dyDescent="0.25">
      <c r="A872" s="1">
        <v>2458388.51388</v>
      </c>
      <c r="B872" s="1" t="s">
        <v>129</v>
      </c>
      <c r="C872" s="1">
        <v>11.526999999999999</v>
      </c>
      <c r="D872" s="1" t="s">
        <v>292</v>
      </c>
      <c r="E872" s="1" t="s">
        <v>94</v>
      </c>
    </row>
    <row r="873" spans="1:5" ht="17.25" customHeight="1" x14ac:dyDescent="0.25">
      <c r="A873" s="1">
        <v>2458388.5140900002</v>
      </c>
      <c r="B873" s="1" t="s">
        <v>129</v>
      </c>
      <c r="C873" s="1">
        <v>11.528</v>
      </c>
      <c r="D873" s="1" t="s">
        <v>292</v>
      </c>
      <c r="E873" s="1" t="s">
        <v>94</v>
      </c>
    </row>
    <row r="874" spans="1:5" ht="17.25" customHeight="1" x14ac:dyDescent="0.25">
      <c r="A874" s="1">
        <v>2458389.2865900001</v>
      </c>
      <c r="B874" s="1" t="s">
        <v>129</v>
      </c>
      <c r="C874" s="1">
        <v>11.484</v>
      </c>
      <c r="D874" s="1" t="s">
        <v>292</v>
      </c>
      <c r="E874" s="1" t="s">
        <v>101</v>
      </c>
    </row>
    <row r="875" spans="1:5" ht="17.25" customHeight="1" x14ac:dyDescent="0.25">
      <c r="A875" s="1">
        <v>2458389.2869000002</v>
      </c>
      <c r="B875" s="1" t="s">
        <v>129</v>
      </c>
      <c r="C875" s="1">
        <v>11.484</v>
      </c>
      <c r="D875" s="1" t="s">
        <v>292</v>
      </c>
      <c r="E875" s="1" t="s">
        <v>101</v>
      </c>
    </row>
    <row r="876" spans="1:5" ht="17.25" customHeight="1" x14ac:dyDescent="0.25">
      <c r="A876" s="1">
        <v>2458389.3335600002</v>
      </c>
      <c r="B876" s="1" t="s">
        <v>129</v>
      </c>
      <c r="C876" s="1">
        <v>11.51</v>
      </c>
      <c r="D876" s="1" t="s">
        <v>292</v>
      </c>
      <c r="E876" s="1" t="s">
        <v>120</v>
      </c>
    </row>
    <row r="877" spans="1:5" ht="17.25" hidden="1" customHeight="1" x14ac:dyDescent="0.25">
      <c r="A877" s="1">
        <v>2458389.4542800002</v>
      </c>
      <c r="B877" s="1" t="s">
        <v>129</v>
      </c>
      <c r="C877" s="1">
        <v>11.525</v>
      </c>
      <c r="D877" s="1" t="s">
        <v>292</v>
      </c>
      <c r="E877" s="1" t="s">
        <v>285</v>
      </c>
    </row>
    <row r="878" spans="1:5" ht="17.25" customHeight="1" x14ac:dyDescent="0.25">
      <c r="A878" s="1">
        <v>2458389.51443</v>
      </c>
      <c r="B878" s="1" t="s">
        <v>130</v>
      </c>
      <c r="C878" s="1">
        <v>11.54</v>
      </c>
      <c r="D878" s="1" t="s">
        <v>292</v>
      </c>
      <c r="E878" s="1" t="s">
        <v>94</v>
      </c>
    </row>
    <row r="879" spans="1:5" ht="17.25" customHeight="1" x14ac:dyDescent="0.25">
      <c r="A879" s="1">
        <v>2458389.5146400002</v>
      </c>
      <c r="B879" s="1" t="s">
        <v>130</v>
      </c>
      <c r="C879" s="1">
        <v>11.557</v>
      </c>
      <c r="D879" s="1" t="s">
        <v>292</v>
      </c>
      <c r="E879" s="1" t="s">
        <v>94</v>
      </c>
    </row>
    <row r="880" spans="1:5" ht="17.25" customHeight="1" x14ac:dyDescent="0.25">
      <c r="A880" s="1">
        <v>2458389.6833700002</v>
      </c>
      <c r="B880" s="1" t="s">
        <v>130</v>
      </c>
      <c r="C880" s="1">
        <v>11.539</v>
      </c>
      <c r="D880" s="1" t="s">
        <v>292</v>
      </c>
      <c r="E880" s="1" t="s">
        <v>131</v>
      </c>
    </row>
    <row r="881" spans="1:5" ht="17.25" customHeight="1" x14ac:dyDescent="0.25">
      <c r="A881" s="1">
        <v>2458390.3020799998</v>
      </c>
      <c r="B881" s="1" t="s">
        <v>130</v>
      </c>
      <c r="C881" s="1">
        <v>11.494999999999999</v>
      </c>
      <c r="D881" s="1" t="s">
        <v>292</v>
      </c>
      <c r="E881" s="1" t="s">
        <v>101</v>
      </c>
    </row>
    <row r="882" spans="1:5" ht="17.25" customHeight="1" x14ac:dyDescent="0.25">
      <c r="A882" s="1">
        <v>2458390.3023999999</v>
      </c>
      <c r="B882" s="1" t="s">
        <v>130</v>
      </c>
      <c r="C882" s="1">
        <v>11.491</v>
      </c>
      <c r="D882" s="1" t="s">
        <v>292</v>
      </c>
      <c r="E882" s="1" t="s">
        <v>101</v>
      </c>
    </row>
    <row r="883" spans="1:5" ht="17.25" customHeight="1" x14ac:dyDescent="0.25">
      <c r="A883" s="1">
        <v>2458390.3675799998</v>
      </c>
      <c r="B883" s="1" t="s">
        <v>130</v>
      </c>
      <c r="C883" s="1">
        <v>11.52</v>
      </c>
      <c r="D883" s="1" t="s">
        <v>292</v>
      </c>
      <c r="E883" s="1" t="s">
        <v>120</v>
      </c>
    </row>
    <row r="884" spans="1:5" ht="17.25" hidden="1" customHeight="1" x14ac:dyDescent="0.25">
      <c r="A884" s="1">
        <v>2458390.4546500002</v>
      </c>
      <c r="B884" s="1" t="s">
        <v>130</v>
      </c>
      <c r="C884" s="1">
        <v>11.513999999999999</v>
      </c>
      <c r="D884" s="1" t="s">
        <v>292</v>
      </c>
      <c r="E884" s="1" t="s">
        <v>285</v>
      </c>
    </row>
    <row r="885" spans="1:5" ht="17.25" customHeight="1" x14ac:dyDescent="0.25">
      <c r="A885" s="1">
        <v>2458390.5189399999</v>
      </c>
      <c r="B885" s="1" t="s">
        <v>132</v>
      </c>
      <c r="C885" s="1">
        <v>11.54</v>
      </c>
      <c r="D885" s="1" t="s">
        <v>292</v>
      </c>
      <c r="E885" s="1" t="s">
        <v>94</v>
      </c>
    </row>
    <row r="886" spans="1:5" ht="17.25" customHeight="1" x14ac:dyDescent="0.25">
      <c r="A886" s="1">
        <v>2458390.5191500001</v>
      </c>
      <c r="B886" s="1" t="s">
        <v>132</v>
      </c>
      <c r="C886" s="1">
        <v>11.542999999999999</v>
      </c>
      <c r="D886" s="1" t="s">
        <v>292</v>
      </c>
      <c r="E886" s="1" t="s">
        <v>94</v>
      </c>
    </row>
    <row r="887" spans="1:5" ht="17.25" hidden="1" customHeight="1" x14ac:dyDescent="0.25">
      <c r="A887" s="1">
        <v>2458390.54281</v>
      </c>
      <c r="B887" s="1" t="s">
        <v>132</v>
      </c>
      <c r="C887" s="1">
        <v>11.564</v>
      </c>
      <c r="D887" s="1" t="s">
        <v>292</v>
      </c>
      <c r="E887" s="1" t="s">
        <v>273</v>
      </c>
    </row>
    <row r="888" spans="1:5" ht="17.25" hidden="1" customHeight="1" x14ac:dyDescent="0.25">
      <c r="A888" s="1">
        <v>2458390.5434400002</v>
      </c>
      <c r="B888" s="1" t="s">
        <v>132</v>
      </c>
      <c r="C888" s="1">
        <v>11.564</v>
      </c>
      <c r="D888" s="1" t="s">
        <v>292</v>
      </c>
      <c r="E888" s="1" t="s">
        <v>273</v>
      </c>
    </row>
    <row r="889" spans="1:5" ht="17.25" hidden="1" customHeight="1" x14ac:dyDescent="0.25">
      <c r="A889" s="1">
        <v>2458390.5440600002</v>
      </c>
      <c r="B889" s="1" t="s">
        <v>132</v>
      </c>
      <c r="C889" s="1">
        <v>11.532999999999999</v>
      </c>
      <c r="D889" s="1" t="s">
        <v>292</v>
      </c>
      <c r="E889" s="1" t="s">
        <v>273</v>
      </c>
    </row>
    <row r="890" spans="1:5" ht="17.25" hidden="1" customHeight="1" x14ac:dyDescent="0.25">
      <c r="A890" s="1">
        <v>2458390.5446899999</v>
      </c>
      <c r="B890" s="1" t="s">
        <v>132</v>
      </c>
      <c r="C890" s="1">
        <v>11.547000000000001</v>
      </c>
      <c r="D890" s="1" t="s">
        <v>292</v>
      </c>
      <c r="E890" s="1" t="s">
        <v>273</v>
      </c>
    </row>
    <row r="891" spans="1:5" ht="17.25" hidden="1" customHeight="1" x14ac:dyDescent="0.25">
      <c r="A891" s="1">
        <v>2458390.54531</v>
      </c>
      <c r="B891" s="1" t="s">
        <v>132</v>
      </c>
      <c r="C891" s="1">
        <v>11.534000000000001</v>
      </c>
      <c r="D891" s="1" t="s">
        <v>292</v>
      </c>
      <c r="E891" s="1" t="s">
        <v>273</v>
      </c>
    </row>
    <row r="892" spans="1:5" ht="17.25" hidden="1" customHeight="1" x14ac:dyDescent="0.25">
      <c r="A892" s="1">
        <v>2458391.4698899998</v>
      </c>
      <c r="B892" s="1" t="s">
        <v>132</v>
      </c>
      <c r="C892" s="1">
        <v>11.491</v>
      </c>
      <c r="D892" s="1" t="s">
        <v>292</v>
      </c>
      <c r="E892" s="1" t="s">
        <v>285</v>
      </c>
    </row>
    <row r="893" spans="1:5" ht="17.25" hidden="1" customHeight="1" x14ac:dyDescent="0.25">
      <c r="A893" s="1">
        <v>2458392.43303</v>
      </c>
      <c r="B893" s="1" t="s">
        <v>305</v>
      </c>
      <c r="C893" s="1">
        <v>11.548999999999999</v>
      </c>
      <c r="D893" s="1" t="s">
        <v>292</v>
      </c>
      <c r="E893" s="1" t="s">
        <v>285</v>
      </c>
    </row>
    <row r="894" spans="1:5" ht="17.25" hidden="1" customHeight="1" x14ac:dyDescent="0.25">
      <c r="A894" s="1">
        <v>2458392.43359</v>
      </c>
      <c r="B894" s="1" t="s">
        <v>305</v>
      </c>
      <c r="C894" s="1">
        <v>11.568</v>
      </c>
      <c r="D894" s="1" t="s">
        <v>292</v>
      </c>
      <c r="E894" s="1" t="s">
        <v>285</v>
      </c>
    </row>
    <row r="895" spans="1:5" ht="17.25" customHeight="1" x14ac:dyDescent="0.25">
      <c r="A895" s="1">
        <v>2458392.5086099999</v>
      </c>
      <c r="B895" s="1" t="s">
        <v>133</v>
      </c>
      <c r="C895" s="1">
        <v>11.554</v>
      </c>
      <c r="D895" s="1" t="s">
        <v>292</v>
      </c>
      <c r="E895" s="1" t="s">
        <v>94</v>
      </c>
    </row>
    <row r="896" spans="1:5" ht="17.25" customHeight="1" x14ac:dyDescent="0.25">
      <c r="A896" s="1">
        <v>2458392.50881</v>
      </c>
      <c r="B896" s="1" t="s">
        <v>133</v>
      </c>
      <c r="C896" s="1">
        <v>11.537000000000001</v>
      </c>
      <c r="D896" s="1" t="s">
        <v>292</v>
      </c>
      <c r="E896" s="1" t="s">
        <v>94</v>
      </c>
    </row>
    <row r="897" spans="1:5" ht="17.25" customHeight="1" x14ac:dyDescent="0.25">
      <c r="A897" s="1">
        <v>2458393.5122400001</v>
      </c>
      <c r="B897" s="1" t="s">
        <v>134</v>
      </c>
      <c r="C897" s="1">
        <v>11.555999999999999</v>
      </c>
      <c r="D897" s="1" t="s">
        <v>292</v>
      </c>
      <c r="E897" s="1" t="s">
        <v>94</v>
      </c>
    </row>
    <row r="898" spans="1:5" ht="17.25" customHeight="1" x14ac:dyDescent="0.25">
      <c r="A898" s="1">
        <v>2458393.5124499998</v>
      </c>
      <c r="B898" s="1" t="s">
        <v>134</v>
      </c>
      <c r="C898" s="1">
        <v>11.548999999999999</v>
      </c>
      <c r="D898" s="1" t="s">
        <v>292</v>
      </c>
      <c r="E898" s="1" t="s">
        <v>94</v>
      </c>
    </row>
    <row r="899" spans="1:5" ht="17.25" hidden="1" customHeight="1" x14ac:dyDescent="0.25">
      <c r="A899" s="1">
        <v>2458393.5131000001</v>
      </c>
      <c r="B899" s="1" t="s">
        <v>134</v>
      </c>
      <c r="C899" s="1">
        <v>11.462</v>
      </c>
      <c r="D899" s="1" t="s">
        <v>292</v>
      </c>
      <c r="E899" s="1" t="s">
        <v>300</v>
      </c>
    </row>
    <row r="900" spans="1:5" ht="17.25" customHeight="1" x14ac:dyDescent="0.25">
      <c r="A900" s="1">
        <v>2458394.3505199999</v>
      </c>
      <c r="B900" s="1" t="s">
        <v>134</v>
      </c>
      <c r="C900" s="1">
        <v>11.57</v>
      </c>
      <c r="D900" s="1" t="s">
        <v>292</v>
      </c>
      <c r="E900" s="1" t="s">
        <v>120</v>
      </c>
    </row>
    <row r="901" spans="1:5" ht="17.25" customHeight="1" x14ac:dyDescent="0.25">
      <c r="A901" s="1">
        <v>2458394.5167999999</v>
      </c>
      <c r="B901" s="1" t="s">
        <v>135</v>
      </c>
      <c r="C901" s="1">
        <v>11.587</v>
      </c>
      <c r="D901" s="1" t="s">
        <v>292</v>
      </c>
      <c r="E901" s="1" t="s">
        <v>94</v>
      </c>
    </row>
    <row r="902" spans="1:5" ht="17.25" customHeight="1" x14ac:dyDescent="0.25">
      <c r="A902" s="1">
        <v>2458394.5170100001</v>
      </c>
      <c r="B902" s="1" t="s">
        <v>135</v>
      </c>
      <c r="C902" s="1">
        <v>11.602</v>
      </c>
      <c r="D902" s="1" t="s">
        <v>292</v>
      </c>
      <c r="E902" s="1" t="s">
        <v>94</v>
      </c>
    </row>
    <row r="903" spans="1:5" ht="17.25" customHeight="1" x14ac:dyDescent="0.25">
      <c r="A903" s="1">
        <v>2458395.3368199999</v>
      </c>
      <c r="B903" s="1" t="s">
        <v>135</v>
      </c>
      <c r="C903" s="1">
        <v>11.58</v>
      </c>
      <c r="D903" s="1" t="s">
        <v>292</v>
      </c>
      <c r="E903" s="1" t="s">
        <v>120</v>
      </c>
    </row>
    <row r="904" spans="1:5" ht="17.25" customHeight="1" x14ac:dyDescent="0.25">
      <c r="A904" s="1">
        <v>2458395.5095299999</v>
      </c>
      <c r="B904" s="1" t="s">
        <v>136</v>
      </c>
      <c r="C904" s="1">
        <v>11.597</v>
      </c>
      <c r="D904" s="1" t="s">
        <v>292</v>
      </c>
      <c r="E904" s="1" t="s">
        <v>94</v>
      </c>
    </row>
    <row r="905" spans="1:5" ht="17.25" customHeight="1" x14ac:dyDescent="0.25">
      <c r="A905" s="1">
        <v>2458395.5097400001</v>
      </c>
      <c r="B905" s="1" t="s">
        <v>136</v>
      </c>
      <c r="C905" s="1">
        <v>11.590999999999999</v>
      </c>
      <c r="D905" s="1" t="s">
        <v>292</v>
      </c>
      <c r="E905" s="1" t="s">
        <v>94</v>
      </c>
    </row>
    <row r="906" spans="1:5" ht="17.25" customHeight="1" x14ac:dyDescent="0.25">
      <c r="A906" s="1">
        <v>2458395.62659</v>
      </c>
      <c r="B906" s="1" t="s">
        <v>136</v>
      </c>
      <c r="C906" s="1">
        <v>11.606</v>
      </c>
      <c r="D906" s="1" t="s">
        <v>292</v>
      </c>
      <c r="E906" s="1" t="s">
        <v>131</v>
      </c>
    </row>
    <row r="907" spans="1:5" ht="17.25" customHeight="1" x14ac:dyDescent="0.25">
      <c r="A907" s="1">
        <v>2458396.41298</v>
      </c>
      <c r="B907" s="1" t="s">
        <v>136</v>
      </c>
      <c r="C907" s="1">
        <v>11.59</v>
      </c>
      <c r="D907" s="1" t="s">
        <v>292</v>
      </c>
      <c r="E907" s="1" t="s">
        <v>120</v>
      </c>
    </row>
    <row r="908" spans="1:5" ht="17.25" customHeight="1" x14ac:dyDescent="0.25">
      <c r="A908" s="1">
        <v>2458396.5133400001</v>
      </c>
      <c r="B908" s="1" t="s">
        <v>137</v>
      </c>
      <c r="C908" s="1">
        <v>11.583</v>
      </c>
      <c r="D908" s="1" t="s">
        <v>292</v>
      </c>
      <c r="E908" s="1" t="s">
        <v>94</v>
      </c>
    </row>
    <row r="909" spans="1:5" ht="17.25" customHeight="1" x14ac:dyDescent="0.25">
      <c r="A909" s="1">
        <v>2458396.5135599999</v>
      </c>
      <c r="B909" s="1" t="s">
        <v>137</v>
      </c>
      <c r="C909" s="1">
        <v>11.618</v>
      </c>
      <c r="D909" s="1" t="s">
        <v>292</v>
      </c>
      <c r="E909" s="1" t="s">
        <v>94</v>
      </c>
    </row>
    <row r="910" spans="1:5" ht="17.25" customHeight="1" x14ac:dyDescent="0.25">
      <c r="A910" s="1">
        <v>2458397.5133400001</v>
      </c>
      <c r="B910" s="1" t="s">
        <v>138</v>
      </c>
      <c r="C910" s="1">
        <v>11.627000000000001</v>
      </c>
      <c r="D910" s="1" t="s">
        <v>292</v>
      </c>
      <c r="E910" s="1" t="s">
        <v>94</v>
      </c>
    </row>
    <row r="911" spans="1:5" ht="17.25" customHeight="1" x14ac:dyDescent="0.25">
      <c r="A911" s="1">
        <v>2458397.5135499998</v>
      </c>
      <c r="B911" s="1" t="s">
        <v>138</v>
      </c>
      <c r="C911" s="1">
        <v>11.613</v>
      </c>
      <c r="D911" s="1" t="s">
        <v>292</v>
      </c>
      <c r="E911" s="1" t="s">
        <v>94</v>
      </c>
    </row>
    <row r="912" spans="1:5" ht="17.25" customHeight="1" x14ac:dyDescent="0.25">
      <c r="A912" s="1">
        <v>2458398.2902799998</v>
      </c>
      <c r="B912" s="1" t="s">
        <v>138</v>
      </c>
      <c r="C912" s="1">
        <v>11.55</v>
      </c>
      <c r="D912" s="1" t="s">
        <v>292</v>
      </c>
      <c r="E912" s="1" t="s">
        <v>5</v>
      </c>
    </row>
    <row r="913" spans="1:5" ht="17.25" hidden="1" customHeight="1" x14ac:dyDescent="0.25">
      <c r="A913" s="1">
        <v>2458398.5255999998</v>
      </c>
      <c r="B913" s="1" t="s">
        <v>306</v>
      </c>
      <c r="C913" s="1">
        <v>11.302</v>
      </c>
      <c r="D913" s="1" t="s">
        <v>292</v>
      </c>
      <c r="E913" s="1" t="s">
        <v>300</v>
      </c>
    </row>
    <row r="914" spans="1:5" ht="17.25" hidden="1" customHeight="1" x14ac:dyDescent="0.25">
      <c r="A914" s="1">
        <v>2458400.3713799999</v>
      </c>
      <c r="B914" s="1" t="s">
        <v>307</v>
      </c>
      <c r="C914" s="1">
        <v>11.680999999999999</v>
      </c>
      <c r="D914" s="1" t="s">
        <v>292</v>
      </c>
      <c r="E914" s="1" t="s">
        <v>285</v>
      </c>
    </row>
    <row r="915" spans="1:5" ht="17.25" customHeight="1" x14ac:dyDescent="0.25">
      <c r="A915" s="1">
        <v>2458400.5726299998</v>
      </c>
      <c r="B915" s="1" t="s">
        <v>139</v>
      </c>
      <c r="C915" s="1">
        <v>11.638999999999999</v>
      </c>
      <c r="D915" s="1" t="s">
        <v>292</v>
      </c>
      <c r="E915" s="1" t="s">
        <v>94</v>
      </c>
    </row>
    <row r="916" spans="1:5" ht="17.25" customHeight="1" x14ac:dyDescent="0.25">
      <c r="A916" s="1">
        <v>2458400.57284</v>
      </c>
      <c r="B916" s="1" t="s">
        <v>139</v>
      </c>
      <c r="C916" s="1">
        <v>11.645</v>
      </c>
      <c r="D916" s="1" t="s">
        <v>292</v>
      </c>
      <c r="E916" s="1" t="s">
        <v>94</v>
      </c>
    </row>
    <row r="917" spans="1:5" ht="17.25" customHeight="1" x14ac:dyDescent="0.25">
      <c r="A917" s="1">
        <v>2458401.27183</v>
      </c>
      <c r="B917" s="1" t="s">
        <v>139</v>
      </c>
      <c r="C917" s="1">
        <v>11.602</v>
      </c>
      <c r="D917" s="1" t="s">
        <v>292</v>
      </c>
      <c r="E917" s="1" t="s">
        <v>101</v>
      </c>
    </row>
    <row r="918" spans="1:5" ht="17.25" customHeight="1" x14ac:dyDescent="0.25">
      <c r="A918" s="1">
        <v>2458401.2721500001</v>
      </c>
      <c r="B918" s="1" t="s">
        <v>139</v>
      </c>
      <c r="C918" s="1">
        <v>11.609</v>
      </c>
      <c r="D918" s="1" t="s">
        <v>292</v>
      </c>
      <c r="E918" s="1" t="s">
        <v>101</v>
      </c>
    </row>
    <row r="919" spans="1:5" ht="17.25" customHeight="1" x14ac:dyDescent="0.25">
      <c r="A919" s="1">
        <v>2458401.5538699999</v>
      </c>
      <c r="B919" s="1" t="s">
        <v>140</v>
      </c>
      <c r="C919" s="1">
        <v>11.651</v>
      </c>
      <c r="D919" s="1" t="s">
        <v>292</v>
      </c>
      <c r="E919" s="1" t="s">
        <v>94</v>
      </c>
    </row>
    <row r="920" spans="1:5" ht="17.25" customHeight="1" x14ac:dyDescent="0.25">
      <c r="A920" s="1">
        <v>2458401.5540800001</v>
      </c>
      <c r="B920" s="1" t="s">
        <v>140</v>
      </c>
      <c r="C920" s="1">
        <v>11.651</v>
      </c>
      <c r="D920" s="1" t="s">
        <v>292</v>
      </c>
      <c r="E920" s="1" t="s">
        <v>94</v>
      </c>
    </row>
    <row r="921" spans="1:5" ht="17.25" customHeight="1" x14ac:dyDescent="0.25">
      <c r="A921" s="1">
        <v>2458402.2620600001</v>
      </c>
      <c r="B921" s="1" t="s">
        <v>140</v>
      </c>
      <c r="C921" s="1">
        <v>11.627000000000001</v>
      </c>
      <c r="D921" s="1" t="s">
        <v>292</v>
      </c>
      <c r="E921" s="1" t="s">
        <v>101</v>
      </c>
    </row>
    <row r="922" spans="1:5" ht="17.25" customHeight="1" x14ac:dyDescent="0.25">
      <c r="A922" s="1">
        <v>2458402.2623700001</v>
      </c>
      <c r="B922" s="1" t="s">
        <v>140</v>
      </c>
      <c r="C922" s="1">
        <v>11.614000000000001</v>
      </c>
      <c r="D922" s="1" t="s">
        <v>292</v>
      </c>
      <c r="E922" s="1" t="s">
        <v>101</v>
      </c>
    </row>
    <row r="923" spans="1:5" ht="17.25" hidden="1" customHeight="1" x14ac:dyDescent="0.25">
      <c r="A923" s="1">
        <v>2458402.3090599999</v>
      </c>
      <c r="B923" s="1" t="s">
        <v>140</v>
      </c>
      <c r="C923" s="1">
        <v>11.689</v>
      </c>
      <c r="D923" s="1" t="s">
        <v>292</v>
      </c>
      <c r="E923" s="1" t="s">
        <v>285</v>
      </c>
    </row>
    <row r="924" spans="1:5" ht="17.25" customHeight="1" x14ac:dyDescent="0.25">
      <c r="A924" s="1">
        <v>2458402.5707999999</v>
      </c>
      <c r="B924" s="1" t="s">
        <v>141</v>
      </c>
      <c r="C924" s="1">
        <v>11.638999999999999</v>
      </c>
      <c r="D924" s="1" t="s">
        <v>292</v>
      </c>
      <c r="E924" s="1" t="s">
        <v>94</v>
      </c>
    </row>
    <row r="925" spans="1:5" ht="17.25" customHeight="1" x14ac:dyDescent="0.25">
      <c r="A925" s="1">
        <v>2458402.5710200001</v>
      </c>
      <c r="B925" s="1" t="s">
        <v>141</v>
      </c>
      <c r="C925" s="1">
        <v>11.628</v>
      </c>
      <c r="D925" s="1" t="s">
        <v>292</v>
      </c>
      <c r="E925" s="1" t="s">
        <v>94</v>
      </c>
    </row>
    <row r="926" spans="1:5" ht="17.25" customHeight="1" x14ac:dyDescent="0.25">
      <c r="A926" s="1">
        <v>2458403.5682000001</v>
      </c>
      <c r="B926" s="1" t="s">
        <v>142</v>
      </c>
      <c r="C926" s="1">
        <v>11.645</v>
      </c>
      <c r="D926" s="1" t="s">
        <v>292</v>
      </c>
      <c r="E926" s="1" t="s">
        <v>94</v>
      </c>
    </row>
    <row r="927" spans="1:5" ht="17.25" customHeight="1" x14ac:dyDescent="0.25">
      <c r="A927" s="1">
        <v>2458403.5684099998</v>
      </c>
      <c r="B927" s="1" t="s">
        <v>142</v>
      </c>
      <c r="C927" s="1">
        <v>11.63</v>
      </c>
      <c r="D927" s="1" t="s">
        <v>292</v>
      </c>
      <c r="E927" s="1" t="s">
        <v>94</v>
      </c>
    </row>
    <row r="928" spans="1:5" ht="17.25" customHeight="1" x14ac:dyDescent="0.25">
      <c r="A928" s="1">
        <v>2458404.34516</v>
      </c>
      <c r="B928" s="1" t="s">
        <v>142</v>
      </c>
      <c r="C928" s="1">
        <v>11.611000000000001</v>
      </c>
      <c r="D928" s="1" t="s">
        <v>292</v>
      </c>
      <c r="E928" s="1" t="s">
        <v>101</v>
      </c>
    </row>
    <row r="929" spans="1:5" ht="17.25" customHeight="1" x14ac:dyDescent="0.25">
      <c r="A929" s="1">
        <v>2458404.3454999998</v>
      </c>
      <c r="B929" s="1" t="s">
        <v>142</v>
      </c>
      <c r="C929" s="1">
        <v>11.628</v>
      </c>
      <c r="D929" s="1" t="s">
        <v>292</v>
      </c>
      <c r="E929" s="1" t="s">
        <v>101</v>
      </c>
    </row>
    <row r="930" spans="1:5" ht="17.25" hidden="1" customHeight="1" x14ac:dyDescent="0.25">
      <c r="A930" s="1">
        <v>2458404.4173099999</v>
      </c>
      <c r="B930" s="1" t="s">
        <v>142</v>
      </c>
      <c r="C930" s="1">
        <v>11.731999999999999</v>
      </c>
      <c r="D930" s="1" t="s">
        <v>292</v>
      </c>
      <c r="E930" s="1" t="s">
        <v>285</v>
      </c>
    </row>
    <row r="931" spans="1:5" ht="17.25" hidden="1" customHeight="1" x14ac:dyDescent="0.25">
      <c r="A931" s="1">
        <v>2458404.4180000001</v>
      </c>
      <c r="B931" s="1" t="s">
        <v>142</v>
      </c>
      <c r="C931" s="1">
        <v>11.635999999999999</v>
      </c>
      <c r="D931" s="1" t="s">
        <v>292</v>
      </c>
      <c r="E931" s="1" t="s">
        <v>285</v>
      </c>
    </row>
    <row r="932" spans="1:5" ht="17.25" hidden="1" customHeight="1" x14ac:dyDescent="0.25">
      <c r="A932" s="1">
        <v>2458404.5384</v>
      </c>
      <c r="B932" s="1" t="s">
        <v>143</v>
      </c>
      <c r="C932" s="1">
        <v>11.693</v>
      </c>
      <c r="D932" s="1" t="s">
        <v>292</v>
      </c>
      <c r="E932" s="1" t="s">
        <v>273</v>
      </c>
    </row>
    <row r="933" spans="1:5" ht="17.25" hidden="1" customHeight="1" x14ac:dyDescent="0.25">
      <c r="A933" s="1">
        <v>2458404.5419000001</v>
      </c>
      <c r="B933" s="1" t="s">
        <v>143</v>
      </c>
      <c r="C933" s="1">
        <v>11.666</v>
      </c>
      <c r="D933" s="1" t="s">
        <v>292</v>
      </c>
      <c r="E933" s="1" t="s">
        <v>273</v>
      </c>
    </row>
    <row r="934" spans="1:5" ht="17.25" hidden="1" customHeight="1" x14ac:dyDescent="0.25">
      <c r="A934" s="1">
        <v>2458404.5427999999</v>
      </c>
      <c r="B934" s="1" t="s">
        <v>143</v>
      </c>
      <c r="C934" s="1">
        <v>11.664</v>
      </c>
      <c r="D934" s="1" t="s">
        <v>292</v>
      </c>
      <c r="E934" s="1" t="s">
        <v>273</v>
      </c>
    </row>
    <row r="935" spans="1:5" ht="17.25" hidden="1" customHeight="1" x14ac:dyDescent="0.25">
      <c r="A935" s="1">
        <v>2458404.5436900002</v>
      </c>
      <c r="B935" s="1" t="s">
        <v>143</v>
      </c>
      <c r="C935" s="1">
        <v>11.669</v>
      </c>
      <c r="D935" s="1" t="s">
        <v>292</v>
      </c>
      <c r="E935" s="1" t="s">
        <v>273</v>
      </c>
    </row>
    <row r="936" spans="1:5" ht="17.25" hidden="1" customHeight="1" x14ac:dyDescent="0.25">
      <c r="A936" s="1">
        <v>2458404.5445900001</v>
      </c>
      <c r="B936" s="1" t="s">
        <v>143</v>
      </c>
      <c r="C936" s="1">
        <v>11.675000000000001</v>
      </c>
      <c r="D936" s="1" t="s">
        <v>292</v>
      </c>
      <c r="E936" s="1" t="s">
        <v>273</v>
      </c>
    </row>
    <row r="937" spans="1:5" ht="17.25" customHeight="1" x14ac:dyDescent="0.25">
      <c r="A937" s="1">
        <v>2458404.5653300001</v>
      </c>
      <c r="B937" s="1" t="s">
        <v>143</v>
      </c>
      <c r="C937" s="1">
        <v>11.653</v>
      </c>
      <c r="D937" s="1" t="s">
        <v>292</v>
      </c>
      <c r="E937" s="1" t="s">
        <v>94</v>
      </c>
    </row>
    <row r="938" spans="1:5" ht="17.25" customHeight="1" x14ac:dyDescent="0.25">
      <c r="A938" s="1">
        <v>2458404.5655399999</v>
      </c>
      <c r="B938" s="1" t="s">
        <v>143</v>
      </c>
      <c r="C938" s="1">
        <v>11.661</v>
      </c>
      <c r="D938" s="1" t="s">
        <v>292</v>
      </c>
      <c r="E938" s="1" t="s">
        <v>94</v>
      </c>
    </row>
    <row r="939" spans="1:5" ht="17.25" customHeight="1" x14ac:dyDescent="0.25">
      <c r="A939" s="1">
        <v>2458405.5625399998</v>
      </c>
      <c r="B939" s="1" t="s">
        <v>144</v>
      </c>
      <c r="C939" s="1">
        <v>11.667999999999999</v>
      </c>
      <c r="D939" s="1" t="s">
        <v>292</v>
      </c>
      <c r="E939" s="1" t="s">
        <v>94</v>
      </c>
    </row>
    <row r="940" spans="1:5" ht="17.25" customHeight="1" x14ac:dyDescent="0.25">
      <c r="A940" s="1">
        <v>2458405.56275</v>
      </c>
      <c r="B940" s="1" t="s">
        <v>144</v>
      </c>
      <c r="C940" s="1">
        <v>11.69</v>
      </c>
      <c r="D940" s="1" t="s">
        <v>292</v>
      </c>
      <c r="E940" s="1" t="s">
        <v>94</v>
      </c>
    </row>
    <row r="941" spans="1:5" ht="17.25" customHeight="1" x14ac:dyDescent="0.25">
      <c r="A941" s="1">
        <v>2458406.2601299998</v>
      </c>
      <c r="B941" s="1" t="s">
        <v>144</v>
      </c>
      <c r="C941" s="1">
        <v>11.641</v>
      </c>
      <c r="D941" s="1" t="s">
        <v>292</v>
      </c>
      <c r="E941" s="1" t="s">
        <v>101</v>
      </c>
    </row>
    <row r="942" spans="1:5" ht="17.25" customHeight="1" x14ac:dyDescent="0.25">
      <c r="A942" s="1">
        <v>2458406.2604399999</v>
      </c>
      <c r="B942" s="1" t="s">
        <v>144</v>
      </c>
      <c r="C942" s="1">
        <v>11.635999999999999</v>
      </c>
      <c r="D942" s="1" t="s">
        <v>292</v>
      </c>
      <c r="E942" s="1" t="s">
        <v>101</v>
      </c>
    </row>
    <row r="943" spans="1:5" ht="17.25" hidden="1" customHeight="1" x14ac:dyDescent="0.25">
      <c r="A943" s="1">
        <v>2458406.33874</v>
      </c>
      <c r="B943" s="1" t="s">
        <v>144</v>
      </c>
      <c r="C943" s="1">
        <v>11.771000000000001</v>
      </c>
      <c r="D943" s="1" t="s">
        <v>292</v>
      </c>
      <c r="E943" s="1" t="s">
        <v>285</v>
      </c>
    </row>
    <row r="944" spans="1:5" ht="17.25" hidden="1" customHeight="1" x14ac:dyDescent="0.25">
      <c r="A944" s="1">
        <v>2458406.3393600001</v>
      </c>
      <c r="B944" s="1" t="s">
        <v>144</v>
      </c>
      <c r="C944" s="1">
        <v>11.68</v>
      </c>
      <c r="D944" s="1" t="s">
        <v>292</v>
      </c>
      <c r="E944" s="1" t="s">
        <v>285</v>
      </c>
    </row>
    <row r="945" spans="1:5" ht="17.25" hidden="1" customHeight="1" x14ac:dyDescent="0.25">
      <c r="A945" s="1">
        <v>2458406.4854000001</v>
      </c>
      <c r="B945" s="1" t="s">
        <v>144</v>
      </c>
      <c r="C945" s="1">
        <v>11.36</v>
      </c>
      <c r="D945" s="1" t="s">
        <v>292</v>
      </c>
      <c r="E945" s="1" t="s">
        <v>300</v>
      </c>
    </row>
    <row r="946" spans="1:5" ht="17.25" customHeight="1" x14ac:dyDescent="0.25">
      <c r="A946" s="1">
        <v>2458406.5597999999</v>
      </c>
      <c r="B946" s="1" t="s">
        <v>145</v>
      </c>
      <c r="C946" s="1">
        <v>11.69</v>
      </c>
      <c r="D946" s="1" t="s">
        <v>292</v>
      </c>
      <c r="E946" s="1" t="s">
        <v>94</v>
      </c>
    </row>
    <row r="947" spans="1:5" ht="17.25" customHeight="1" x14ac:dyDescent="0.25">
      <c r="A947" s="1">
        <v>2458406.5600100001</v>
      </c>
      <c r="B947" s="1" t="s">
        <v>145</v>
      </c>
      <c r="C947" s="1">
        <v>11.651</v>
      </c>
      <c r="D947" s="1" t="s">
        <v>292</v>
      </c>
      <c r="E947" s="1" t="s">
        <v>94</v>
      </c>
    </row>
    <row r="948" spans="1:5" ht="17.25" customHeight="1" x14ac:dyDescent="0.25">
      <c r="A948" s="1">
        <v>2458407.29575</v>
      </c>
      <c r="B948" s="1" t="s">
        <v>145</v>
      </c>
      <c r="C948" s="1">
        <v>11.629</v>
      </c>
      <c r="D948" s="1" t="s">
        <v>292</v>
      </c>
      <c r="E948" s="1" t="s">
        <v>101</v>
      </c>
    </row>
    <row r="949" spans="1:5" ht="17.25" customHeight="1" x14ac:dyDescent="0.25">
      <c r="A949" s="1">
        <v>2458407.2960600001</v>
      </c>
      <c r="B949" s="1" t="s">
        <v>145</v>
      </c>
      <c r="C949" s="1">
        <v>11.629</v>
      </c>
      <c r="D949" s="1" t="s">
        <v>292</v>
      </c>
      <c r="E949" s="1" t="s">
        <v>101</v>
      </c>
    </row>
    <row r="950" spans="1:5" ht="17.25" customHeight="1" x14ac:dyDescent="0.25">
      <c r="A950" s="1">
        <v>2458407.5570200002</v>
      </c>
      <c r="B950" s="1" t="s">
        <v>146</v>
      </c>
      <c r="C950" s="1">
        <v>11.696</v>
      </c>
      <c r="D950" s="1" t="s">
        <v>292</v>
      </c>
      <c r="E950" s="1" t="s">
        <v>94</v>
      </c>
    </row>
    <row r="951" spans="1:5" ht="17.25" customHeight="1" x14ac:dyDescent="0.25">
      <c r="A951" s="1">
        <v>2458407.5572299999</v>
      </c>
      <c r="B951" s="1" t="s">
        <v>146</v>
      </c>
      <c r="C951" s="1">
        <v>11.698</v>
      </c>
      <c r="D951" s="1" t="s">
        <v>292</v>
      </c>
      <c r="E951" s="1" t="s">
        <v>94</v>
      </c>
    </row>
    <row r="952" spans="1:5" ht="17.25" hidden="1" customHeight="1" x14ac:dyDescent="0.25">
      <c r="A952" s="1">
        <v>2458408.3901200001</v>
      </c>
      <c r="B952" s="1" t="s">
        <v>146</v>
      </c>
      <c r="C952" s="1">
        <v>11.615</v>
      </c>
      <c r="D952" s="1" t="s">
        <v>292</v>
      </c>
      <c r="E952" s="1" t="s">
        <v>285</v>
      </c>
    </row>
    <row r="953" spans="1:5" ht="17.25" customHeight="1" x14ac:dyDescent="0.25">
      <c r="A953" s="1">
        <v>2458408.5541500002</v>
      </c>
      <c r="B953" s="1" t="s">
        <v>147</v>
      </c>
      <c r="C953" s="1">
        <v>11.641</v>
      </c>
      <c r="D953" s="1" t="s">
        <v>292</v>
      </c>
      <c r="E953" s="1" t="s">
        <v>94</v>
      </c>
    </row>
    <row r="954" spans="1:5" ht="17.25" customHeight="1" x14ac:dyDescent="0.25">
      <c r="A954" s="1">
        <v>2458408.55437</v>
      </c>
      <c r="B954" s="1" t="s">
        <v>147</v>
      </c>
      <c r="C954" s="1">
        <v>11.682</v>
      </c>
      <c r="D954" s="1" t="s">
        <v>292</v>
      </c>
      <c r="E954" s="1" t="s">
        <v>94</v>
      </c>
    </row>
    <row r="955" spans="1:5" ht="17.25" customHeight="1" x14ac:dyDescent="0.25">
      <c r="A955" s="1">
        <v>2458409.2542400002</v>
      </c>
      <c r="B955" s="1" t="s">
        <v>147</v>
      </c>
      <c r="C955" s="1">
        <v>11.601000000000001</v>
      </c>
      <c r="D955" s="1" t="s">
        <v>292</v>
      </c>
      <c r="E955" s="1" t="s">
        <v>101</v>
      </c>
    </row>
    <row r="956" spans="1:5" ht="17.25" customHeight="1" x14ac:dyDescent="0.25">
      <c r="A956" s="1">
        <v>2458409.2545500002</v>
      </c>
      <c r="B956" s="1" t="s">
        <v>147</v>
      </c>
      <c r="C956" s="1">
        <v>11.613</v>
      </c>
      <c r="D956" s="1" t="s">
        <v>292</v>
      </c>
      <c r="E956" s="1" t="s">
        <v>101</v>
      </c>
    </row>
    <row r="957" spans="1:5" ht="17.25" customHeight="1" x14ac:dyDescent="0.25">
      <c r="A957" s="1">
        <v>2458409.5513800001</v>
      </c>
      <c r="B957" s="1" t="s">
        <v>148</v>
      </c>
      <c r="C957" s="1">
        <v>11.686999999999999</v>
      </c>
      <c r="D957" s="1" t="s">
        <v>292</v>
      </c>
      <c r="E957" s="1" t="s">
        <v>94</v>
      </c>
    </row>
    <row r="958" spans="1:5" ht="17.25" customHeight="1" x14ac:dyDescent="0.25">
      <c r="A958" s="1">
        <v>2458409.5515899998</v>
      </c>
      <c r="B958" s="1" t="s">
        <v>148</v>
      </c>
      <c r="C958" s="1">
        <v>11.662000000000001</v>
      </c>
      <c r="D958" s="1" t="s">
        <v>292</v>
      </c>
      <c r="E958" s="1" t="s">
        <v>94</v>
      </c>
    </row>
    <row r="959" spans="1:5" ht="17.25" hidden="1" customHeight="1" x14ac:dyDescent="0.25">
      <c r="A959" s="1">
        <v>2458409.58702</v>
      </c>
      <c r="B959" s="1" t="s">
        <v>148</v>
      </c>
      <c r="C959" s="1">
        <v>11.725</v>
      </c>
      <c r="D959" s="1" t="s">
        <v>292</v>
      </c>
      <c r="E959" s="1" t="s">
        <v>273</v>
      </c>
    </row>
    <row r="960" spans="1:5" ht="17.25" hidden="1" customHeight="1" x14ac:dyDescent="0.25">
      <c r="A960" s="1">
        <v>2458409.5873199999</v>
      </c>
      <c r="B960" s="1" t="s">
        <v>148</v>
      </c>
      <c r="C960" s="1">
        <v>11.721</v>
      </c>
      <c r="D960" s="1" t="s">
        <v>292</v>
      </c>
      <c r="E960" s="1" t="s">
        <v>273</v>
      </c>
    </row>
    <row r="961" spans="1:5" ht="17.25" hidden="1" customHeight="1" x14ac:dyDescent="0.25">
      <c r="A961" s="1">
        <v>2458409.5876199999</v>
      </c>
      <c r="B961" s="1" t="s">
        <v>148</v>
      </c>
      <c r="C961" s="1">
        <v>11.715999999999999</v>
      </c>
      <c r="D961" s="1" t="s">
        <v>292</v>
      </c>
      <c r="E961" s="1" t="s">
        <v>273</v>
      </c>
    </row>
    <row r="962" spans="1:5" ht="17.25" hidden="1" customHeight="1" x14ac:dyDescent="0.25">
      <c r="A962" s="1">
        <v>2458409.5879099998</v>
      </c>
      <c r="B962" s="1" t="s">
        <v>148</v>
      </c>
      <c r="C962" s="1">
        <v>11.722</v>
      </c>
      <c r="D962" s="1" t="s">
        <v>292</v>
      </c>
      <c r="E962" s="1" t="s">
        <v>273</v>
      </c>
    </row>
    <row r="963" spans="1:5" ht="17.25" hidden="1" customHeight="1" x14ac:dyDescent="0.25">
      <c r="A963" s="1">
        <v>2458409.5882100002</v>
      </c>
      <c r="B963" s="1" t="s">
        <v>148</v>
      </c>
      <c r="C963" s="1">
        <v>11.715</v>
      </c>
      <c r="D963" s="1" t="s">
        <v>292</v>
      </c>
      <c r="E963" s="1" t="s">
        <v>273</v>
      </c>
    </row>
    <row r="964" spans="1:5" ht="17.25" customHeight="1" x14ac:dyDescent="0.25">
      <c r="A964" s="1">
        <v>2458410.5486499998</v>
      </c>
      <c r="B964" s="1" t="s">
        <v>149</v>
      </c>
      <c r="C964" s="1">
        <v>11.683</v>
      </c>
      <c r="D964" s="1" t="s">
        <v>292</v>
      </c>
      <c r="E964" s="1" t="s">
        <v>94</v>
      </c>
    </row>
    <row r="965" spans="1:5" ht="17.25" customHeight="1" x14ac:dyDescent="0.25">
      <c r="A965" s="1">
        <v>2458410.54886</v>
      </c>
      <c r="B965" s="1" t="s">
        <v>149</v>
      </c>
      <c r="C965" s="1">
        <v>11.686999999999999</v>
      </c>
      <c r="D965" s="1" t="s">
        <v>292</v>
      </c>
      <c r="E965" s="1" t="s">
        <v>94</v>
      </c>
    </row>
    <row r="966" spans="1:5" ht="17.25" customHeight="1" x14ac:dyDescent="0.25">
      <c r="A966" s="1">
        <v>2458411.3205300001</v>
      </c>
      <c r="B966" s="1" t="s">
        <v>149</v>
      </c>
      <c r="C966" s="1">
        <v>11.645</v>
      </c>
      <c r="D966" s="1" t="s">
        <v>292</v>
      </c>
      <c r="E966" s="1" t="s">
        <v>101</v>
      </c>
    </row>
    <row r="967" spans="1:5" ht="17.25" customHeight="1" x14ac:dyDescent="0.25">
      <c r="A967" s="1">
        <v>2458411.3208400002</v>
      </c>
      <c r="B967" s="1" t="s">
        <v>149</v>
      </c>
      <c r="C967" s="1">
        <v>11.635999999999999</v>
      </c>
      <c r="D967" s="1" t="s">
        <v>292</v>
      </c>
      <c r="E967" s="1" t="s">
        <v>101</v>
      </c>
    </row>
    <row r="968" spans="1:5" ht="17.25" hidden="1" customHeight="1" x14ac:dyDescent="0.25">
      <c r="A968" s="1">
        <v>2458411.3832700001</v>
      </c>
      <c r="B968" s="1" t="s">
        <v>149</v>
      </c>
      <c r="C968" s="1">
        <v>11.816000000000001</v>
      </c>
      <c r="D968" s="1" t="s">
        <v>292</v>
      </c>
      <c r="E968" s="1" t="s">
        <v>285</v>
      </c>
    </row>
    <row r="969" spans="1:5" ht="17.25" hidden="1" customHeight="1" x14ac:dyDescent="0.25">
      <c r="A969" s="1">
        <v>2458411.38399</v>
      </c>
      <c r="B969" s="1" t="s">
        <v>149</v>
      </c>
      <c r="C969" s="1">
        <v>11.737</v>
      </c>
      <c r="D969" s="1" t="s">
        <v>292</v>
      </c>
      <c r="E969" s="1" t="s">
        <v>285</v>
      </c>
    </row>
    <row r="970" spans="1:5" ht="17.25" customHeight="1" x14ac:dyDescent="0.25">
      <c r="A970" s="1">
        <v>2458411.5458200001</v>
      </c>
      <c r="B970" s="1" t="s">
        <v>150</v>
      </c>
      <c r="C970" s="1">
        <v>11.659000000000001</v>
      </c>
      <c r="D970" s="1" t="s">
        <v>292</v>
      </c>
      <c r="E970" s="1" t="s">
        <v>94</v>
      </c>
    </row>
    <row r="971" spans="1:5" ht="17.25" customHeight="1" x14ac:dyDescent="0.25">
      <c r="A971" s="1">
        <v>2458411.5460199998</v>
      </c>
      <c r="B971" s="1" t="s">
        <v>150</v>
      </c>
      <c r="C971" s="1">
        <v>11.678000000000001</v>
      </c>
      <c r="D971" s="1" t="s">
        <v>292</v>
      </c>
      <c r="E971" s="1" t="s">
        <v>94</v>
      </c>
    </row>
    <row r="972" spans="1:5" ht="17.25" hidden="1" customHeight="1" x14ac:dyDescent="0.25">
      <c r="A972" s="1">
        <v>2458411.5567999999</v>
      </c>
      <c r="B972" s="1" t="s">
        <v>150</v>
      </c>
      <c r="C972" s="1">
        <v>11.85</v>
      </c>
      <c r="D972" s="1" t="s">
        <v>292</v>
      </c>
      <c r="E972" s="1" t="s">
        <v>273</v>
      </c>
    </row>
    <row r="973" spans="1:5" ht="17.25" hidden="1" customHeight="1" x14ac:dyDescent="0.25">
      <c r="A973" s="1">
        <v>2458412.5512000001</v>
      </c>
      <c r="B973" s="1" t="s">
        <v>308</v>
      </c>
      <c r="C973" s="1">
        <v>11.885999999999999</v>
      </c>
      <c r="D973" s="1" t="s">
        <v>292</v>
      </c>
      <c r="E973" s="1" t="s">
        <v>273</v>
      </c>
    </row>
    <row r="974" spans="1:5" ht="17.25" hidden="1" customHeight="1" x14ac:dyDescent="0.25">
      <c r="A974" s="1">
        <v>2458413.5354900002</v>
      </c>
      <c r="B974" s="1" t="s">
        <v>151</v>
      </c>
      <c r="C974" s="1">
        <v>11.756</v>
      </c>
      <c r="D974" s="1" t="s">
        <v>292</v>
      </c>
      <c r="E974" s="1" t="s">
        <v>273</v>
      </c>
    </row>
    <row r="975" spans="1:5" ht="17.25" hidden="1" customHeight="1" x14ac:dyDescent="0.25">
      <c r="A975" s="1">
        <v>2458413.5357900001</v>
      </c>
      <c r="B975" s="1" t="s">
        <v>151</v>
      </c>
      <c r="C975" s="1">
        <v>11.747</v>
      </c>
      <c r="D975" s="1" t="s">
        <v>292</v>
      </c>
      <c r="E975" s="1" t="s">
        <v>273</v>
      </c>
    </row>
    <row r="976" spans="1:5" ht="17.25" hidden="1" customHeight="1" x14ac:dyDescent="0.25">
      <c r="A976" s="1">
        <v>2458413.53639</v>
      </c>
      <c r="B976" s="1" t="s">
        <v>151</v>
      </c>
      <c r="C976" s="1">
        <v>11.77</v>
      </c>
      <c r="D976" s="1" t="s">
        <v>292</v>
      </c>
      <c r="E976" s="1" t="s">
        <v>273</v>
      </c>
    </row>
    <row r="977" spans="1:5" ht="17.25" hidden="1" customHeight="1" x14ac:dyDescent="0.25">
      <c r="A977" s="1">
        <v>2458413.53669</v>
      </c>
      <c r="B977" s="1" t="s">
        <v>151</v>
      </c>
      <c r="C977" s="1">
        <v>11.743</v>
      </c>
      <c r="D977" s="1" t="s">
        <v>292</v>
      </c>
      <c r="E977" s="1" t="s">
        <v>273</v>
      </c>
    </row>
    <row r="978" spans="1:5" ht="17.25" hidden="1" customHeight="1" x14ac:dyDescent="0.25">
      <c r="A978" s="1">
        <v>2458413.5369899999</v>
      </c>
      <c r="B978" s="1" t="s">
        <v>151</v>
      </c>
      <c r="C978" s="1">
        <v>11.766999999999999</v>
      </c>
      <c r="D978" s="1" t="s">
        <v>292</v>
      </c>
      <c r="E978" s="1" t="s">
        <v>273</v>
      </c>
    </row>
    <row r="979" spans="1:5" ht="17.25" customHeight="1" x14ac:dyDescent="0.25">
      <c r="A979" s="1">
        <v>2458413.5409200001</v>
      </c>
      <c r="B979" s="1" t="s">
        <v>151</v>
      </c>
      <c r="C979" s="1">
        <v>11.691000000000001</v>
      </c>
      <c r="D979" s="1" t="s">
        <v>292</v>
      </c>
      <c r="E979" s="1" t="s">
        <v>94</v>
      </c>
    </row>
    <row r="980" spans="1:5" ht="17.25" customHeight="1" x14ac:dyDescent="0.25">
      <c r="A980" s="1">
        <v>2458413.5411399999</v>
      </c>
      <c r="B980" s="1" t="s">
        <v>151</v>
      </c>
      <c r="C980" s="1">
        <v>11.648</v>
      </c>
      <c r="D980" s="1" t="s">
        <v>292</v>
      </c>
      <c r="E980" s="1" t="s">
        <v>94</v>
      </c>
    </row>
    <row r="981" spans="1:5" ht="17.25" customHeight="1" x14ac:dyDescent="0.25">
      <c r="A981" s="1">
        <v>2458414.5381700001</v>
      </c>
      <c r="B981" s="1" t="s">
        <v>152</v>
      </c>
      <c r="C981" s="1">
        <v>11.711</v>
      </c>
      <c r="D981" s="1" t="s">
        <v>292</v>
      </c>
      <c r="E981" s="1" t="s">
        <v>94</v>
      </c>
    </row>
    <row r="982" spans="1:5" ht="17.25" customHeight="1" x14ac:dyDescent="0.25">
      <c r="A982" s="1">
        <v>2458414.5383700002</v>
      </c>
      <c r="B982" s="1" t="s">
        <v>152</v>
      </c>
      <c r="C982" s="1">
        <v>11.717000000000001</v>
      </c>
      <c r="D982" s="1" t="s">
        <v>292</v>
      </c>
      <c r="E982" s="1" t="s">
        <v>94</v>
      </c>
    </row>
    <row r="983" spans="1:5" ht="17.25" hidden="1" customHeight="1" x14ac:dyDescent="0.25">
      <c r="A983" s="1">
        <v>2458414.5495099998</v>
      </c>
      <c r="B983" s="1" t="s">
        <v>152</v>
      </c>
      <c r="C983" s="1">
        <v>11.75</v>
      </c>
      <c r="D983" s="1" t="s">
        <v>292</v>
      </c>
      <c r="E983" s="1" t="s">
        <v>273</v>
      </c>
    </row>
    <row r="984" spans="1:5" ht="17.25" hidden="1" customHeight="1" x14ac:dyDescent="0.25">
      <c r="A984" s="1">
        <v>2458414.5498100002</v>
      </c>
      <c r="B984" s="1" t="s">
        <v>152</v>
      </c>
      <c r="C984" s="1">
        <v>11.755000000000001</v>
      </c>
      <c r="D984" s="1" t="s">
        <v>292</v>
      </c>
      <c r="E984" s="1" t="s">
        <v>273</v>
      </c>
    </row>
    <row r="985" spans="1:5" ht="17.25" hidden="1" customHeight="1" x14ac:dyDescent="0.25">
      <c r="A985" s="1">
        <v>2458414.5501000001</v>
      </c>
      <c r="B985" s="1" t="s">
        <v>152</v>
      </c>
      <c r="C985" s="1">
        <v>11.757</v>
      </c>
      <c r="D985" s="1" t="s">
        <v>292</v>
      </c>
      <c r="E985" s="1" t="s">
        <v>273</v>
      </c>
    </row>
    <row r="986" spans="1:5" ht="17.25" hidden="1" customHeight="1" x14ac:dyDescent="0.25">
      <c r="A986" s="1">
        <v>2458414.5504000001</v>
      </c>
      <c r="B986" s="1" t="s">
        <v>152</v>
      </c>
      <c r="C986" s="1">
        <v>11.712999999999999</v>
      </c>
      <c r="D986" s="1" t="s">
        <v>292</v>
      </c>
      <c r="E986" s="1" t="s">
        <v>273</v>
      </c>
    </row>
    <row r="987" spans="1:5" ht="17.25" hidden="1" customHeight="1" x14ac:dyDescent="0.25">
      <c r="A987" s="1">
        <v>2458414.5507</v>
      </c>
      <c r="B987" s="1" t="s">
        <v>152</v>
      </c>
      <c r="C987" s="1">
        <v>11.750999999999999</v>
      </c>
      <c r="D987" s="1" t="s">
        <v>292</v>
      </c>
      <c r="E987" s="1" t="s">
        <v>273</v>
      </c>
    </row>
    <row r="988" spans="1:5" ht="17.25" customHeight="1" x14ac:dyDescent="0.25">
      <c r="A988" s="1">
        <v>2458415.2420299998</v>
      </c>
      <c r="B988" s="1" t="s">
        <v>152</v>
      </c>
      <c r="C988" s="1">
        <v>11.657999999999999</v>
      </c>
      <c r="D988" s="1" t="s">
        <v>292</v>
      </c>
      <c r="E988" s="1" t="s">
        <v>101</v>
      </c>
    </row>
    <row r="989" spans="1:5" ht="17.25" customHeight="1" x14ac:dyDescent="0.25">
      <c r="A989" s="1">
        <v>2458415.2423399999</v>
      </c>
      <c r="B989" s="1" t="s">
        <v>152</v>
      </c>
      <c r="C989" s="1">
        <v>11.663</v>
      </c>
      <c r="D989" s="1" t="s">
        <v>292</v>
      </c>
      <c r="E989" s="1" t="s">
        <v>101</v>
      </c>
    </row>
    <row r="990" spans="1:5" ht="17.25" hidden="1" customHeight="1" x14ac:dyDescent="0.25">
      <c r="A990" s="1">
        <v>2458415.4173300001</v>
      </c>
      <c r="B990" s="1" t="s">
        <v>152</v>
      </c>
      <c r="C990" s="1">
        <v>11.867000000000001</v>
      </c>
      <c r="D990" s="1" t="s">
        <v>292</v>
      </c>
      <c r="E990" s="1" t="s">
        <v>285</v>
      </c>
    </row>
    <row r="991" spans="1:5" ht="17.25" hidden="1" customHeight="1" x14ac:dyDescent="0.25">
      <c r="A991" s="1">
        <v>2458415.41805</v>
      </c>
      <c r="B991" s="1" t="s">
        <v>152</v>
      </c>
      <c r="C991" s="1">
        <v>11.753</v>
      </c>
      <c r="D991" s="1" t="s">
        <v>292</v>
      </c>
      <c r="E991" s="1" t="s">
        <v>285</v>
      </c>
    </row>
    <row r="992" spans="1:5" ht="17.25" customHeight="1" x14ac:dyDescent="0.25">
      <c r="A992" s="1">
        <v>2458415.53541</v>
      </c>
      <c r="B992" s="1" t="s">
        <v>153</v>
      </c>
      <c r="C992" s="1">
        <v>11.715</v>
      </c>
      <c r="D992" s="1" t="s">
        <v>292</v>
      </c>
      <c r="E992" s="1" t="s">
        <v>94</v>
      </c>
    </row>
    <row r="993" spans="1:5" ht="17.25" customHeight="1" x14ac:dyDescent="0.25">
      <c r="A993" s="1">
        <v>2458415.5356299998</v>
      </c>
      <c r="B993" s="1" t="s">
        <v>153</v>
      </c>
      <c r="C993" s="1">
        <v>11.71</v>
      </c>
      <c r="D993" s="1" t="s">
        <v>292</v>
      </c>
      <c r="E993" s="1" t="s">
        <v>94</v>
      </c>
    </row>
    <row r="994" spans="1:5" ht="17.25" hidden="1" customHeight="1" x14ac:dyDescent="0.25">
      <c r="A994" s="1">
        <v>2458415.5839999998</v>
      </c>
      <c r="B994" s="1" t="s">
        <v>153</v>
      </c>
      <c r="C994" s="1">
        <v>11.823</v>
      </c>
      <c r="D994" s="1" t="s">
        <v>292</v>
      </c>
      <c r="E994" s="1" t="s">
        <v>273</v>
      </c>
    </row>
    <row r="995" spans="1:5" ht="17.25" customHeight="1" x14ac:dyDescent="0.25">
      <c r="A995" s="1">
        <v>2458416.5326</v>
      </c>
      <c r="B995" s="1" t="s">
        <v>154</v>
      </c>
      <c r="C995" s="1">
        <v>11.714</v>
      </c>
      <c r="D995" s="1" t="s">
        <v>292</v>
      </c>
      <c r="E995" s="1" t="s">
        <v>94</v>
      </c>
    </row>
    <row r="996" spans="1:5" ht="17.25" customHeight="1" x14ac:dyDescent="0.25">
      <c r="A996" s="1">
        <v>2458416.5328199998</v>
      </c>
      <c r="B996" s="1" t="s">
        <v>154</v>
      </c>
      <c r="C996" s="1">
        <v>11.718999999999999</v>
      </c>
      <c r="D996" s="1" t="s">
        <v>292</v>
      </c>
      <c r="E996" s="1" t="s">
        <v>94</v>
      </c>
    </row>
    <row r="997" spans="1:5" ht="17.25" hidden="1" customHeight="1" x14ac:dyDescent="0.25">
      <c r="A997" s="1">
        <v>2458416.6244999999</v>
      </c>
      <c r="B997" s="1" t="s">
        <v>154</v>
      </c>
      <c r="C997" s="1">
        <v>11.86</v>
      </c>
      <c r="D997" s="1" t="s">
        <v>292</v>
      </c>
      <c r="E997" s="1" t="s">
        <v>273</v>
      </c>
    </row>
    <row r="998" spans="1:5" ht="17.25" customHeight="1" x14ac:dyDescent="0.25">
      <c r="A998" s="1">
        <v>2458417.5334100001</v>
      </c>
      <c r="B998" s="1" t="s">
        <v>155</v>
      </c>
      <c r="C998" s="1">
        <v>11.685</v>
      </c>
      <c r="D998" s="1" t="s">
        <v>292</v>
      </c>
      <c r="E998" s="1" t="s">
        <v>94</v>
      </c>
    </row>
    <row r="999" spans="1:5" ht="17.25" customHeight="1" x14ac:dyDescent="0.25">
      <c r="A999" s="1">
        <v>2458417.53363</v>
      </c>
      <c r="B999" s="1" t="s">
        <v>155</v>
      </c>
      <c r="C999" s="1">
        <v>11.688000000000001</v>
      </c>
      <c r="D999" s="1" t="s">
        <v>292</v>
      </c>
      <c r="E999" s="1" t="s">
        <v>94</v>
      </c>
    </row>
    <row r="1000" spans="1:5" ht="17.25" customHeight="1" x14ac:dyDescent="0.25">
      <c r="A1000" s="1">
        <v>2458418.52795</v>
      </c>
      <c r="B1000" s="1" t="s">
        <v>156</v>
      </c>
      <c r="C1000" s="1">
        <v>11.754</v>
      </c>
      <c r="D1000" s="1" t="s">
        <v>292</v>
      </c>
      <c r="E1000" s="1" t="s">
        <v>94</v>
      </c>
    </row>
    <row r="1001" spans="1:5" ht="17.25" customHeight="1" x14ac:dyDescent="0.25">
      <c r="A1001" s="1">
        <v>2458418.5281699998</v>
      </c>
      <c r="B1001" s="1" t="s">
        <v>156</v>
      </c>
      <c r="C1001" s="1">
        <v>11.731</v>
      </c>
      <c r="D1001" s="1" t="s">
        <v>292</v>
      </c>
      <c r="E1001" s="1" t="s">
        <v>94</v>
      </c>
    </row>
    <row r="1002" spans="1:5" ht="17.25" hidden="1" customHeight="1" x14ac:dyDescent="0.25">
      <c r="A1002" s="1">
        <v>2458419.3718900001</v>
      </c>
      <c r="B1002" s="1" t="s">
        <v>156</v>
      </c>
      <c r="C1002" s="1">
        <v>11.872999999999999</v>
      </c>
      <c r="D1002" s="1" t="s">
        <v>292</v>
      </c>
      <c r="E1002" s="1" t="s">
        <v>285</v>
      </c>
    </row>
    <row r="1003" spans="1:5" ht="17.25" hidden="1" customHeight="1" x14ac:dyDescent="0.25">
      <c r="A1003" s="1">
        <v>2458419.3726300001</v>
      </c>
      <c r="B1003" s="1" t="s">
        <v>156</v>
      </c>
      <c r="C1003" s="1">
        <v>11.68</v>
      </c>
      <c r="D1003" s="1" t="s">
        <v>292</v>
      </c>
      <c r="E1003" s="1" t="s">
        <v>285</v>
      </c>
    </row>
    <row r="1004" spans="1:5" ht="17.25" customHeight="1" x14ac:dyDescent="0.25">
      <c r="A1004" s="1">
        <v>2458419.52788</v>
      </c>
      <c r="B1004" s="1" t="s">
        <v>157</v>
      </c>
      <c r="C1004" s="1">
        <v>11.73</v>
      </c>
      <c r="D1004" s="1" t="s">
        <v>292</v>
      </c>
      <c r="E1004" s="1" t="s">
        <v>94</v>
      </c>
    </row>
    <row r="1005" spans="1:5" ht="17.25" customHeight="1" x14ac:dyDescent="0.25">
      <c r="A1005" s="1">
        <v>2458419.5280800001</v>
      </c>
      <c r="B1005" s="1" t="s">
        <v>157</v>
      </c>
      <c r="C1005" s="1">
        <v>11.728999999999999</v>
      </c>
      <c r="D1005" s="1" t="s">
        <v>292</v>
      </c>
      <c r="E1005" s="1" t="s">
        <v>94</v>
      </c>
    </row>
    <row r="1006" spans="1:5" ht="17.25" customHeight="1" x14ac:dyDescent="0.25">
      <c r="A1006" s="1">
        <v>2458420.2450999999</v>
      </c>
      <c r="B1006" s="1" t="s">
        <v>157</v>
      </c>
      <c r="C1006" s="1">
        <v>11.7</v>
      </c>
      <c r="D1006" s="1" t="s">
        <v>292</v>
      </c>
      <c r="E1006" s="1" t="s">
        <v>101</v>
      </c>
    </row>
    <row r="1007" spans="1:5" ht="17.25" customHeight="1" x14ac:dyDescent="0.25">
      <c r="A1007" s="1">
        <v>2458420.2454200001</v>
      </c>
      <c r="B1007" s="1" t="s">
        <v>157</v>
      </c>
      <c r="C1007" s="1">
        <v>11.7</v>
      </c>
      <c r="D1007" s="1" t="s">
        <v>292</v>
      </c>
      <c r="E1007" s="1" t="s">
        <v>101</v>
      </c>
    </row>
    <row r="1008" spans="1:5" ht="17.25" hidden="1" customHeight="1" x14ac:dyDescent="0.25">
      <c r="A1008" s="1">
        <v>2458420.3581900001</v>
      </c>
      <c r="B1008" s="1" t="s">
        <v>157</v>
      </c>
      <c r="C1008" s="1">
        <v>11.851000000000001</v>
      </c>
      <c r="D1008" s="1" t="s">
        <v>292</v>
      </c>
      <c r="E1008" s="1" t="s">
        <v>285</v>
      </c>
    </row>
    <row r="1009" spans="1:5" ht="17.25" hidden="1" customHeight="1" x14ac:dyDescent="0.25">
      <c r="A1009" s="1">
        <v>2458420.35891</v>
      </c>
      <c r="B1009" s="1" t="s">
        <v>157</v>
      </c>
      <c r="C1009" s="1">
        <v>11.712</v>
      </c>
      <c r="D1009" s="1" t="s">
        <v>292</v>
      </c>
      <c r="E1009" s="1" t="s">
        <v>285</v>
      </c>
    </row>
    <row r="1010" spans="1:5" ht="17.25" customHeight="1" x14ac:dyDescent="0.25">
      <c r="A1010" s="1">
        <v>2458420.5251799999</v>
      </c>
      <c r="B1010" s="1" t="s">
        <v>158</v>
      </c>
      <c r="C1010" s="1">
        <v>11.715</v>
      </c>
      <c r="D1010" s="1" t="s">
        <v>292</v>
      </c>
      <c r="E1010" s="1" t="s">
        <v>94</v>
      </c>
    </row>
    <row r="1011" spans="1:5" ht="17.25" customHeight="1" x14ac:dyDescent="0.25">
      <c r="A1011" s="1">
        <v>2458420.5253900001</v>
      </c>
      <c r="B1011" s="1" t="s">
        <v>158</v>
      </c>
      <c r="C1011" s="1">
        <v>11.722</v>
      </c>
      <c r="D1011" s="1" t="s">
        <v>292</v>
      </c>
      <c r="E1011" s="1" t="s">
        <v>94</v>
      </c>
    </row>
    <row r="1012" spans="1:5" ht="17.25" customHeight="1" x14ac:dyDescent="0.25">
      <c r="A1012" s="1">
        <v>2458420.6235400001</v>
      </c>
      <c r="B1012" s="1" t="s">
        <v>158</v>
      </c>
      <c r="C1012" s="1">
        <v>11.759</v>
      </c>
      <c r="D1012" s="1" t="s">
        <v>292</v>
      </c>
      <c r="E1012" s="1" t="s">
        <v>131</v>
      </c>
    </row>
    <row r="1013" spans="1:5" ht="17.25" customHeight="1" x14ac:dyDescent="0.25">
      <c r="A1013" s="1">
        <v>2458421.5222700001</v>
      </c>
      <c r="B1013" s="1" t="s">
        <v>159</v>
      </c>
      <c r="C1013" s="1">
        <v>11.74</v>
      </c>
      <c r="D1013" s="1" t="s">
        <v>292</v>
      </c>
      <c r="E1013" s="1" t="s">
        <v>94</v>
      </c>
    </row>
    <row r="1014" spans="1:5" ht="17.25" customHeight="1" x14ac:dyDescent="0.25">
      <c r="A1014" s="1">
        <v>2458421.5224899999</v>
      </c>
      <c r="B1014" s="1" t="s">
        <v>159</v>
      </c>
      <c r="C1014" s="1">
        <v>11.728</v>
      </c>
      <c r="D1014" s="1" t="s">
        <v>292</v>
      </c>
      <c r="E1014" s="1" t="s">
        <v>94</v>
      </c>
    </row>
    <row r="1015" spans="1:5" ht="17.25" hidden="1" customHeight="1" x14ac:dyDescent="0.25">
      <c r="A1015" s="1">
        <v>2458422.3581400001</v>
      </c>
      <c r="B1015" s="1" t="s">
        <v>159</v>
      </c>
      <c r="C1015" s="1">
        <v>11.852</v>
      </c>
      <c r="D1015" s="1" t="s">
        <v>292</v>
      </c>
      <c r="E1015" s="1" t="s">
        <v>285</v>
      </c>
    </row>
    <row r="1016" spans="1:5" ht="17.25" customHeight="1" x14ac:dyDescent="0.25">
      <c r="A1016" s="1">
        <v>2458422.5196099998</v>
      </c>
      <c r="B1016" s="1" t="s">
        <v>160</v>
      </c>
      <c r="C1016" s="1">
        <v>11.741</v>
      </c>
      <c r="D1016" s="1" t="s">
        <v>292</v>
      </c>
      <c r="E1016" s="1" t="s">
        <v>94</v>
      </c>
    </row>
    <row r="1017" spans="1:5" ht="17.25" customHeight="1" x14ac:dyDescent="0.25">
      <c r="A1017" s="1">
        <v>2458422.51982</v>
      </c>
      <c r="B1017" s="1" t="s">
        <v>160</v>
      </c>
      <c r="C1017" s="1">
        <v>11.731</v>
      </c>
      <c r="D1017" s="1" t="s">
        <v>292</v>
      </c>
      <c r="E1017" s="1" t="s">
        <v>94</v>
      </c>
    </row>
    <row r="1018" spans="1:5" ht="17.25" customHeight="1" x14ac:dyDescent="0.25">
      <c r="A1018" s="1">
        <v>2458423.21667</v>
      </c>
      <c r="B1018" s="1" t="s">
        <v>160</v>
      </c>
      <c r="C1018" s="1">
        <v>11.66</v>
      </c>
      <c r="D1018" s="1" t="s">
        <v>292</v>
      </c>
      <c r="E1018" s="1" t="s">
        <v>5</v>
      </c>
    </row>
    <row r="1019" spans="1:5" ht="17.25" hidden="1" customHeight="1" x14ac:dyDescent="0.25">
      <c r="A1019" s="1">
        <v>2458423.40111</v>
      </c>
      <c r="B1019" s="1" t="s">
        <v>160</v>
      </c>
      <c r="C1019" s="1">
        <v>11.891</v>
      </c>
      <c r="D1019" s="1" t="s">
        <v>292</v>
      </c>
      <c r="E1019" s="1" t="s">
        <v>285</v>
      </c>
    </row>
    <row r="1020" spans="1:5" ht="17.25" customHeight="1" x14ac:dyDescent="0.25">
      <c r="A1020" s="1">
        <v>2458423.5200499999</v>
      </c>
      <c r="B1020" s="1" t="s">
        <v>161</v>
      </c>
      <c r="C1020" s="1">
        <v>11.727</v>
      </c>
      <c r="D1020" s="1" t="s">
        <v>292</v>
      </c>
      <c r="E1020" s="1" t="s">
        <v>94</v>
      </c>
    </row>
    <row r="1021" spans="1:5" ht="17.25" customHeight="1" x14ac:dyDescent="0.25">
      <c r="A1021" s="1">
        <v>2458423.5202700002</v>
      </c>
      <c r="B1021" s="1" t="s">
        <v>161</v>
      </c>
      <c r="C1021" s="1">
        <v>11.712</v>
      </c>
      <c r="D1021" s="1" t="s">
        <v>292</v>
      </c>
      <c r="E1021" s="1" t="s">
        <v>94</v>
      </c>
    </row>
    <row r="1022" spans="1:5" ht="17.25" hidden="1" customHeight="1" x14ac:dyDescent="0.25">
      <c r="A1022" s="1">
        <v>2458424.34938</v>
      </c>
      <c r="B1022" s="1" t="s">
        <v>161</v>
      </c>
      <c r="C1022" s="1">
        <v>11.942</v>
      </c>
      <c r="D1022" s="1" t="s">
        <v>292</v>
      </c>
      <c r="E1022" s="1" t="s">
        <v>285</v>
      </c>
    </row>
    <row r="1023" spans="1:5" ht="17.25" hidden="1" customHeight="1" x14ac:dyDescent="0.25">
      <c r="A1023" s="1">
        <v>2458424.3509200001</v>
      </c>
      <c r="B1023" s="1" t="s">
        <v>161</v>
      </c>
      <c r="C1023" s="1">
        <v>11.711</v>
      </c>
      <c r="D1023" s="1" t="s">
        <v>292</v>
      </c>
      <c r="E1023" s="1" t="s">
        <v>285</v>
      </c>
    </row>
    <row r="1024" spans="1:5" ht="17.25" customHeight="1" x14ac:dyDescent="0.25">
      <c r="A1024" s="1">
        <v>2458424.5139899999</v>
      </c>
      <c r="B1024" s="1" t="s">
        <v>162</v>
      </c>
      <c r="C1024" s="1">
        <v>11.757</v>
      </c>
      <c r="D1024" s="1" t="s">
        <v>292</v>
      </c>
      <c r="E1024" s="1" t="s">
        <v>94</v>
      </c>
    </row>
    <row r="1025" spans="1:5" ht="17.25" customHeight="1" x14ac:dyDescent="0.25">
      <c r="A1025" s="1">
        <v>2458424.5142000001</v>
      </c>
      <c r="B1025" s="1" t="s">
        <v>162</v>
      </c>
      <c r="C1025" s="1">
        <v>11.753</v>
      </c>
      <c r="D1025" s="1" t="s">
        <v>292</v>
      </c>
      <c r="E1025" s="1" t="s">
        <v>94</v>
      </c>
    </row>
    <row r="1026" spans="1:5" ht="17.25" hidden="1" customHeight="1" x14ac:dyDescent="0.25">
      <c r="A1026" s="1">
        <v>2458425.3475500001</v>
      </c>
      <c r="B1026" s="1" t="s">
        <v>162</v>
      </c>
      <c r="C1026" s="1">
        <v>11.986000000000001</v>
      </c>
      <c r="D1026" s="1" t="s">
        <v>292</v>
      </c>
      <c r="E1026" s="1" t="s">
        <v>285</v>
      </c>
    </row>
    <row r="1027" spans="1:5" ht="17.25" hidden="1" customHeight="1" x14ac:dyDescent="0.25">
      <c r="A1027" s="1">
        <v>2458425.3483199999</v>
      </c>
      <c r="B1027" s="1" t="s">
        <v>162</v>
      </c>
      <c r="C1027" s="1">
        <v>11.824999999999999</v>
      </c>
      <c r="D1027" s="1" t="s">
        <v>292</v>
      </c>
      <c r="E1027" s="1" t="s">
        <v>285</v>
      </c>
    </row>
    <row r="1028" spans="1:5" ht="17.25" customHeight="1" x14ac:dyDescent="0.25">
      <c r="A1028" s="1">
        <v>2458425.4286699998</v>
      </c>
      <c r="B1028" s="1" t="s">
        <v>162</v>
      </c>
      <c r="C1028" s="1">
        <v>11.712</v>
      </c>
      <c r="D1028" s="1" t="s">
        <v>292</v>
      </c>
      <c r="E1028" s="1" t="s">
        <v>101</v>
      </c>
    </row>
    <row r="1029" spans="1:5" ht="17.25" customHeight="1" x14ac:dyDescent="0.25">
      <c r="A1029" s="1">
        <v>2458425.4289899999</v>
      </c>
      <c r="B1029" s="1" t="s">
        <v>162</v>
      </c>
      <c r="C1029" s="1">
        <v>11.718</v>
      </c>
      <c r="D1029" s="1" t="s">
        <v>292</v>
      </c>
      <c r="E1029" s="1" t="s">
        <v>101</v>
      </c>
    </row>
    <row r="1030" spans="1:5" ht="17.25" customHeight="1" x14ac:dyDescent="0.25">
      <c r="A1030" s="1">
        <v>2458425.51144</v>
      </c>
      <c r="B1030" s="1" t="s">
        <v>163</v>
      </c>
      <c r="C1030" s="1">
        <v>11.779</v>
      </c>
      <c r="D1030" s="1" t="s">
        <v>292</v>
      </c>
      <c r="E1030" s="1" t="s">
        <v>94</v>
      </c>
    </row>
    <row r="1031" spans="1:5" ht="17.25" customHeight="1" x14ac:dyDescent="0.25">
      <c r="A1031" s="1">
        <v>2458425.5116599998</v>
      </c>
      <c r="B1031" s="1" t="s">
        <v>163</v>
      </c>
      <c r="C1031" s="1">
        <v>11.789</v>
      </c>
      <c r="D1031" s="1" t="s">
        <v>292</v>
      </c>
      <c r="E1031" s="1" t="s">
        <v>94</v>
      </c>
    </row>
    <row r="1032" spans="1:5" ht="17.25" hidden="1" customHeight="1" x14ac:dyDescent="0.25">
      <c r="A1032" s="1">
        <v>2458425.5680999998</v>
      </c>
      <c r="B1032" s="1" t="s">
        <v>163</v>
      </c>
      <c r="C1032" s="1">
        <v>11.992000000000001</v>
      </c>
      <c r="D1032" s="1" t="s">
        <v>292</v>
      </c>
      <c r="E1032" s="1" t="s">
        <v>273</v>
      </c>
    </row>
    <row r="1033" spans="1:5" ht="17.25" hidden="1" customHeight="1" x14ac:dyDescent="0.25">
      <c r="A1033" s="1">
        <v>2458425.5726999999</v>
      </c>
      <c r="B1033" s="1" t="s">
        <v>163</v>
      </c>
      <c r="C1033" s="1">
        <v>12.02</v>
      </c>
      <c r="D1033" s="1" t="s">
        <v>292</v>
      </c>
      <c r="E1033" s="1" t="s">
        <v>273</v>
      </c>
    </row>
    <row r="1034" spans="1:5" ht="17.25" customHeight="1" x14ac:dyDescent="0.25">
      <c r="A1034" s="1">
        <v>2458425.6217</v>
      </c>
      <c r="B1034" s="1" t="s">
        <v>163</v>
      </c>
      <c r="C1034" s="1">
        <v>11.768000000000001</v>
      </c>
      <c r="D1034" s="1" t="s">
        <v>292</v>
      </c>
      <c r="E1034" s="1" t="s">
        <v>131</v>
      </c>
    </row>
    <row r="1035" spans="1:5" ht="17.25" hidden="1" customHeight="1" x14ac:dyDescent="0.25">
      <c r="A1035" s="1">
        <v>2458426.34767</v>
      </c>
      <c r="B1035" s="1" t="s">
        <v>163</v>
      </c>
      <c r="C1035" s="1">
        <v>11.941000000000001</v>
      </c>
      <c r="D1035" s="1" t="s">
        <v>292</v>
      </c>
      <c r="E1035" s="1" t="s">
        <v>285</v>
      </c>
    </row>
    <row r="1036" spans="1:5" ht="17.25" hidden="1" customHeight="1" x14ac:dyDescent="0.25">
      <c r="A1036" s="1">
        <v>2458426.34827</v>
      </c>
      <c r="B1036" s="1" t="s">
        <v>163</v>
      </c>
      <c r="C1036" s="1">
        <v>11.785</v>
      </c>
      <c r="D1036" s="1" t="s">
        <v>292</v>
      </c>
      <c r="E1036" s="1" t="s">
        <v>285</v>
      </c>
    </row>
    <row r="1037" spans="1:5" ht="17.25" customHeight="1" x14ac:dyDescent="0.25">
      <c r="A1037" s="1">
        <v>2458427.5127099999</v>
      </c>
      <c r="B1037" s="1" t="s">
        <v>164</v>
      </c>
      <c r="C1037" s="1">
        <v>11.787000000000001</v>
      </c>
      <c r="D1037" s="1" t="s">
        <v>292</v>
      </c>
      <c r="E1037" s="1" t="s">
        <v>94</v>
      </c>
    </row>
    <row r="1038" spans="1:5" ht="17.25" customHeight="1" x14ac:dyDescent="0.25">
      <c r="A1038" s="1">
        <v>2458427.5129300002</v>
      </c>
      <c r="B1038" s="1" t="s">
        <v>164</v>
      </c>
      <c r="C1038" s="1">
        <v>11.782999999999999</v>
      </c>
      <c r="D1038" s="1" t="s">
        <v>292</v>
      </c>
      <c r="E1038" s="1" t="s">
        <v>94</v>
      </c>
    </row>
    <row r="1039" spans="1:5" ht="17.25" customHeight="1" x14ac:dyDescent="0.25">
      <c r="A1039" s="1">
        <v>2458428.2588900002</v>
      </c>
      <c r="B1039" s="1" t="s">
        <v>164</v>
      </c>
      <c r="C1039" s="1">
        <v>11.744999999999999</v>
      </c>
      <c r="D1039" s="1" t="s">
        <v>292</v>
      </c>
      <c r="E1039" s="1" t="s">
        <v>101</v>
      </c>
    </row>
    <row r="1040" spans="1:5" ht="17.25" customHeight="1" x14ac:dyDescent="0.25">
      <c r="A1040" s="1">
        <v>2458428.2592099998</v>
      </c>
      <c r="B1040" s="1" t="s">
        <v>164</v>
      </c>
      <c r="C1040" s="1">
        <v>11.741</v>
      </c>
      <c r="D1040" s="1" t="s">
        <v>292</v>
      </c>
      <c r="E1040" s="1" t="s">
        <v>101</v>
      </c>
    </row>
    <row r="1041" spans="1:5" ht="17.25" customHeight="1" x14ac:dyDescent="0.25">
      <c r="A1041" s="1">
        <v>2458428.5131399999</v>
      </c>
      <c r="B1041" s="1" t="s">
        <v>165</v>
      </c>
      <c r="C1041" s="1">
        <v>11.826000000000001</v>
      </c>
      <c r="D1041" s="1" t="s">
        <v>292</v>
      </c>
      <c r="E1041" s="1" t="s">
        <v>94</v>
      </c>
    </row>
    <row r="1042" spans="1:5" ht="17.25" customHeight="1" x14ac:dyDescent="0.25">
      <c r="A1042" s="1">
        <v>2458428.5133500001</v>
      </c>
      <c r="B1042" s="1" t="s">
        <v>165</v>
      </c>
      <c r="C1042" s="1">
        <v>11.808999999999999</v>
      </c>
      <c r="D1042" s="1" t="s">
        <v>292</v>
      </c>
      <c r="E1042" s="1" t="s">
        <v>94</v>
      </c>
    </row>
    <row r="1043" spans="1:5" ht="17.25" customHeight="1" x14ac:dyDescent="0.25">
      <c r="A1043" s="1">
        <v>2458429.5136099998</v>
      </c>
      <c r="B1043" s="1" t="s">
        <v>166</v>
      </c>
      <c r="C1043" s="1">
        <v>11.817</v>
      </c>
      <c r="D1043" s="1" t="s">
        <v>292</v>
      </c>
      <c r="E1043" s="1" t="s">
        <v>94</v>
      </c>
    </row>
    <row r="1044" spans="1:5" ht="17.25" customHeight="1" x14ac:dyDescent="0.25">
      <c r="A1044" s="1">
        <v>2458429.5138300001</v>
      </c>
      <c r="B1044" s="1" t="s">
        <v>166</v>
      </c>
      <c r="C1044" s="1">
        <v>11.805</v>
      </c>
      <c r="D1044" s="1" t="s">
        <v>292</v>
      </c>
      <c r="E1044" s="1" t="s">
        <v>94</v>
      </c>
    </row>
    <row r="1045" spans="1:5" ht="17.25" customHeight="1" x14ac:dyDescent="0.25">
      <c r="A1045" s="1">
        <v>2458429.5971599999</v>
      </c>
      <c r="B1045" s="1" t="s">
        <v>166</v>
      </c>
      <c r="C1045" s="1">
        <v>11.81</v>
      </c>
      <c r="D1045" s="1" t="s">
        <v>292</v>
      </c>
      <c r="E1045" s="1" t="s">
        <v>131</v>
      </c>
    </row>
    <row r="1046" spans="1:5" ht="17.25" hidden="1" customHeight="1" x14ac:dyDescent="0.25">
      <c r="A1046" s="1">
        <v>2458430.3753599999</v>
      </c>
      <c r="B1046" s="1" t="s">
        <v>166</v>
      </c>
      <c r="C1046" s="1">
        <v>11.983000000000001</v>
      </c>
      <c r="D1046" s="1" t="s">
        <v>292</v>
      </c>
      <c r="E1046" s="1" t="s">
        <v>285</v>
      </c>
    </row>
    <row r="1047" spans="1:5" ht="17.25" hidden="1" customHeight="1" x14ac:dyDescent="0.25">
      <c r="A1047" s="1">
        <v>2458430.3760099998</v>
      </c>
      <c r="B1047" s="1" t="s">
        <v>166</v>
      </c>
      <c r="C1047" s="1">
        <v>11.772</v>
      </c>
      <c r="D1047" s="1" t="s">
        <v>292</v>
      </c>
      <c r="E1047" s="1" t="s">
        <v>285</v>
      </c>
    </row>
    <row r="1048" spans="1:5" ht="17.25" hidden="1" customHeight="1" x14ac:dyDescent="0.25">
      <c r="A1048" s="1">
        <v>2458430.477</v>
      </c>
      <c r="B1048" s="1" t="s">
        <v>166</v>
      </c>
      <c r="C1048" s="1">
        <v>11.833</v>
      </c>
      <c r="D1048" s="1" t="s">
        <v>292</v>
      </c>
      <c r="E1048" s="1" t="s">
        <v>300</v>
      </c>
    </row>
    <row r="1049" spans="1:5" ht="17.25" customHeight="1" x14ac:dyDescent="0.25">
      <c r="A1049" s="1">
        <v>2458430.5139100002</v>
      </c>
      <c r="B1049" s="1" t="s">
        <v>167</v>
      </c>
      <c r="C1049" s="1">
        <v>11.849</v>
      </c>
      <c r="D1049" s="1" t="s">
        <v>292</v>
      </c>
      <c r="E1049" s="1" t="s">
        <v>94</v>
      </c>
    </row>
    <row r="1050" spans="1:5" ht="17.25" customHeight="1" x14ac:dyDescent="0.25">
      <c r="A1050" s="1">
        <v>2458430.5141099999</v>
      </c>
      <c r="B1050" s="1" t="s">
        <v>167</v>
      </c>
      <c r="C1050" s="1">
        <v>11.845000000000001</v>
      </c>
      <c r="D1050" s="1" t="s">
        <v>292</v>
      </c>
      <c r="E1050" s="1" t="s">
        <v>94</v>
      </c>
    </row>
    <row r="1051" spans="1:5" ht="17.25" customHeight="1" x14ac:dyDescent="0.25">
      <c r="A1051" s="1">
        <v>2458431.22523</v>
      </c>
      <c r="B1051" s="1" t="s">
        <v>167</v>
      </c>
      <c r="C1051" s="1">
        <v>11.765000000000001</v>
      </c>
      <c r="D1051" s="1" t="s">
        <v>292</v>
      </c>
      <c r="E1051" s="1" t="s">
        <v>101</v>
      </c>
    </row>
    <row r="1052" spans="1:5" ht="17.25" customHeight="1" x14ac:dyDescent="0.25">
      <c r="A1052" s="1">
        <v>2458431.5044800001</v>
      </c>
      <c r="B1052" s="1" t="s">
        <v>168</v>
      </c>
      <c r="C1052" s="1">
        <v>11.853</v>
      </c>
      <c r="D1052" s="1" t="s">
        <v>292</v>
      </c>
      <c r="E1052" s="1" t="s">
        <v>94</v>
      </c>
    </row>
    <row r="1053" spans="1:5" ht="17.25" customHeight="1" x14ac:dyDescent="0.25">
      <c r="A1053" s="1">
        <v>2458431.5046999999</v>
      </c>
      <c r="B1053" s="1" t="s">
        <v>168</v>
      </c>
      <c r="C1053" s="1">
        <v>11.791</v>
      </c>
      <c r="D1053" s="1" t="s">
        <v>292</v>
      </c>
      <c r="E1053" s="1" t="s">
        <v>94</v>
      </c>
    </row>
    <row r="1054" spans="1:5" ht="17.25" customHeight="1" x14ac:dyDescent="0.25">
      <c r="A1054" s="1">
        <v>2458432.5039300001</v>
      </c>
      <c r="B1054" s="1" t="s">
        <v>169</v>
      </c>
      <c r="C1054" s="1">
        <v>11.839</v>
      </c>
      <c r="D1054" s="1" t="s">
        <v>292</v>
      </c>
      <c r="E1054" s="1" t="s">
        <v>94</v>
      </c>
    </row>
    <row r="1055" spans="1:5" ht="17.25" customHeight="1" x14ac:dyDescent="0.25">
      <c r="A1055" s="1">
        <v>2458432.5041399999</v>
      </c>
      <c r="B1055" s="1" t="s">
        <v>169</v>
      </c>
      <c r="C1055" s="1">
        <v>11.833</v>
      </c>
      <c r="D1055" s="1" t="s">
        <v>292</v>
      </c>
      <c r="E1055" s="1" t="s">
        <v>94</v>
      </c>
    </row>
    <row r="1056" spans="1:5" ht="17.25" customHeight="1" x14ac:dyDescent="0.25">
      <c r="A1056" s="1">
        <v>2458433.2361099999</v>
      </c>
      <c r="B1056" s="1" t="s">
        <v>169</v>
      </c>
      <c r="C1056" s="1">
        <v>11.795999999999999</v>
      </c>
      <c r="D1056" s="1" t="s">
        <v>292</v>
      </c>
      <c r="E1056" s="1" t="s">
        <v>101</v>
      </c>
    </row>
    <row r="1057" spans="1:5" ht="17.25" customHeight="1" x14ac:dyDescent="0.25">
      <c r="A1057" s="1">
        <v>2458433.23642</v>
      </c>
      <c r="B1057" s="1" t="s">
        <v>169</v>
      </c>
      <c r="C1057" s="1">
        <v>11.794</v>
      </c>
      <c r="D1057" s="1" t="s">
        <v>292</v>
      </c>
      <c r="E1057" s="1" t="s">
        <v>101</v>
      </c>
    </row>
    <row r="1058" spans="1:5" ht="17.25" customHeight="1" x14ac:dyDescent="0.25">
      <c r="A1058" s="1">
        <v>2458433.5043100002</v>
      </c>
      <c r="B1058" s="1" t="s">
        <v>170</v>
      </c>
      <c r="C1058" s="1">
        <v>11.829000000000001</v>
      </c>
      <c r="D1058" s="1" t="s">
        <v>292</v>
      </c>
      <c r="E1058" s="1" t="s">
        <v>94</v>
      </c>
    </row>
    <row r="1059" spans="1:5" ht="17.25" customHeight="1" x14ac:dyDescent="0.25">
      <c r="A1059" s="1">
        <v>2458433.50453</v>
      </c>
      <c r="B1059" s="1" t="s">
        <v>170</v>
      </c>
      <c r="C1059" s="1">
        <v>11.856</v>
      </c>
      <c r="D1059" s="1" t="s">
        <v>292</v>
      </c>
      <c r="E1059" s="1" t="s">
        <v>94</v>
      </c>
    </row>
    <row r="1060" spans="1:5" ht="17.25" customHeight="1" x14ac:dyDescent="0.25">
      <c r="A1060" s="1">
        <v>2458434.5046600001</v>
      </c>
      <c r="B1060" s="1" t="s">
        <v>171</v>
      </c>
      <c r="C1060" s="1">
        <v>11.911</v>
      </c>
      <c r="D1060" s="1" t="s">
        <v>292</v>
      </c>
      <c r="E1060" s="1" t="s">
        <v>94</v>
      </c>
    </row>
    <row r="1061" spans="1:5" ht="17.25" customHeight="1" x14ac:dyDescent="0.25">
      <c r="A1061" s="1">
        <v>2458434.5048799999</v>
      </c>
      <c r="B1061" s="1" t="s">
        <v>171</v>
      </c>
      <c r="C1061" s="1">
        <v>11.881</v>
      </c>
      <c r="D1061" s="1" t="s">
        <v>292</v>
      </c>
      <c r="E1061" s="1" t="s">
        <v>94</v>
      </c>
    </row>
    <row r="1062" spans="1:5" ht="17.25" customHeight="1" x14ac:dyDescent="0.25">
      <c r="A1062" s="1">
        <v>2458435.5055200001</v>
      </c>
      <c r="B1062" s="1" t="s">
        <v>172</v>
      </c>
      <c r="C1062" s="1">
        <v>11.858000000000001</v>
      </c>
      <c r="D1062" s="1" t="s">
        <v>292</v>
      </c>
      <c r="E1062" s="1" t="s">
        <v>94</v>
      </c>
    </row>
    <row r="1063" spans="1:5" ht="17.25" customHeight="1" x14ac:dyDescent="0.25">
      <c r="A1063" s="1">
        <v>2458435.5057299999</v>
      </c>
      <c r="B1063" s="1" t="s">
        <v>172</v>
      </c>
      <c r="C1063" s="1">
        <v>11.868</v>
      </c>
      <c r="D1063" s="1" t="s">
        <v>292</v>
      </c>
      <c r="E1063" s="1" t="s">
        <v>94</v>
      </c>
    </row>
    <row r="1064" spans="1:5" ht="17.25" customHeight="1" x14ac:dyDescent="0.25">
      <c r="A1064" s="1">
        <v>2458436.5058900001</v>
      </c>
      <c r="B1064" s="1" t="s">
        <v>173</v>
      </c>
      <c r="C1064" s="1">
        <v>11.930999999999999</v>
      </c>
      <c r="D1064" s="1" t="s">
        <v>292</v>
      </c>
      <c r="E1064" s="1" t="s">
        <v>94</v>
      </c>
    </row>
    <row r="1065" spans="1:5" ht="17.25" customHeight="1" x14ac:dyDescent="0.25">
      <c r="A1065" s="1">
        <v>2458436.5060899998</v>
      </c>
      <c r="B1065" s="1" t="s">
        <v>173</v>
      </c>
      <c r="C1065" s="1">
        <v>11.914</v>
      </c>
      <c r="D1065" s="1" t="s">
        <v>292</v>
      </c>
      <c r="E1065" s="1" t="s">
        <v>94</v>
      </c>
    </row>
    <row r="1066" spans="1:5" ht="17.25" customHeight="1" x14ac:dyDescent="0.25">
      <c r="A1066" s="1">
        <v>2458436.6137899999</v>
      </c>
      <c r="B1066" s="1" t="s">
        <v>173</v>
      </c>
      <c r="C1066" s="1">
        <v>11.914999999999999</v>
      </c>
      <c r="D1066" s="1" t="s">
        <v>292</v>
      </c>
      <c r="E1066" s="1" t="s">
        <v>131</v>
      </c>
    </row>
    <row r="1067" spans="1:5" ht="17.25" customHeight="1" x14ac:dyDescent="0.25">
      <c r="A1067" s="1">
        <v>2458437.273</v>
      </c>
      <c r="B1067" s="1" t="s">
        <v>173</v>
      </c>
      <c r="C1067" s="1">
        <v>11.867000000000001</v>
      </c>
      <c r="D1067" s="1" t="s">
        <v>292</v>
      </c>
      <c r="E1067" s="1" t="s">
        <v>101</v>
      </c>
    </row>
    <row r="1068" spans="1:5" ht="17.25" customHeight="1" x14ac:dyDescent="0.25">
      <c r="A1068" s="1">
        <v>2458437.2733100001</v>
      </c>
      <c r="B1068" s="1" t="s">
        <v>173</v>
      </c>
      <c r="C1068" s="1">
        <v>11.874000000000001</v>
      </c>
      <c r="D1068" s="1" t="s">
        <v>292</v>
      </c>
      <c r="E1068" s="1" t="s">
        <v>101</v>
      </c>
    </row>
    <row r="1069" spans="1:5" ht="17.25" customHeight="1" x14ac:dyDescent="0.25">
      <c r="A1069" s="1">
        <v>2458438.5065100002</v>
      </c>
      <c r="B1069" s="1" t="s">
        <v>266</v>
      </c>
      <c r="C1069" s="1">
        <v>11.962</v>
      </c>
      <c r="D1069" s="1" t="s">
        <v>292</v>
      </c>
      <c r="E1069" s="1" t="s">
        <v>94</v>
      </c>
    </row>
    <row r="1070" spans="1:5" ht="17.25" customHeight="1" x14ac:dyDescent="0.25">
      <c r="A1070" s="1">
        <v>2458438.50673</v>
      </c>
      <c r="B1070" s="1" t="s">
        <v>266</v>
      </c>
      <c r="C1070" s="1">
        <v>11.94</v>
      </c>
      <c r="D1070" s="1" t="s">
        <v>292</v>
      </c>
      <c r="E1070" s="1" t="s">
        <v>94</v>
      </c>
    </row>
    <row r="1071" spans="1:5" ht="17.25" customHeight="1" x14ac:dyDescent="0.25">
      <c r="A1071" s="1">
        <v>2458439.1979200002</v>
      </c>
      <c r="B1071" s="1" t="s">
        <v>266</v>
      </c>
      <c r="C1071" s="1">
        <v>11.9</v>
      </c>
      <c r="D1071" s="1" t="s">
        <v>292</v>
      </c>
      <c r="E1071" s="1" t="s">
        <v>5</v>
      </c>
    </row>
    <row r="1072" spans="1:5" ht="17.25" customHeight="1" x14ac:dyDescent="0.25">
      <c r="A1072" s="1">
        <v>2458439.5072300001</v>
      </c>
      <c r="B1072" s="1" t="s">
        <v>267</v>
      </c>
      <c r="C1072" s="1">
        <v>12.003</v>
      </c>
      <c r="D1072" s="1" t="s">
        <v>292</v>
      </c>
      <c r="E1072" s="1" t="s">
        <v>94</v>
      </c>
    </row>
    <row r="1073" spans="1:5" ht="17.25" customHeight="1" x14ac:dyDescent="0.25">
      <c r="A1073" s="1">
        <v>2458439.5074399998</v>
      </c>
      <c r="B1073" s="1" t="s">
        <v>267</v>
      </c>
      <c r="C1073" s="1">
        <v>11.986000000000001</v>
      </c>
      <c r="D1073" s="1" t="s">
        <v>292</v>
      </c>
      <c r="E1073" s="1" t="s">
        <v>94</v>
      </c>
    </row>
    <row r="1074" spans="1:5" ht="17.25" customHeight="1" x14ac:dyDescent="0.25">
      <c r="A1074" s="1">
        <v>2458440.3501900001</v>
      </c>
      <c r="B1074" s="1" t="s">
        <v>267</v>
      </c>
      <c r="C1074" s="1">
        <v>11.95</v>
      </c>
      <c r="D1074" s="1" t="s">
        <v>292</v>
      </c>
      <c r="E1074" s="1" t="s">
        <v>101</v>
      </c>
    </row>
    <row r="1075" spans="1:5" ht="17.25" customHeight="1" x14ac:dyDescent="0.25">
      <c r="A1075" s="1">
        <v>2458440.3505000002</v>
      </c>
      <c r="B1075" s="1" t="s">
        <v>267</v>
      </c>
      <c r="C1075" s="1">
        <v>11.949</v>
      </c>
      <c r="D1075" s="1" t="s">
        <v>292</v>
      </c>
      <c r="E1075" s="1" t="s">
        <v>101</v>
      </c>
    </row>
    <row r="1076" spans="1:5" ht="17.25" customHeight="1" x14ac:dyDescent="0.25">
      <c r="A1076" s="1">
        <v>2458440.5079899998</v>
      </c>
      <c r="B1076" s="1" t="s">
        <v>268</v>
      </c>
      <c r="C1076" s="1">
        <v>11.99</v>
      </c>
      <c r="D1076" s="1" t="s">
        <v>292</v>
      </c>
      <c r="E1076" s="1" t="s">
        <v>94</v>
      </c>
    </row>
    <row r="1077" spans="1:5" ht="17.25" customHeight="1" x14ac:dyDescent="0.25">
      <c r="A1077" s="1">
        <v>2458440.5082100001</v>
      </c>
      <c r="B1077" s="1" t="s">
        <v>268</v>
      </c>
      <c r="C1077" s="1">
        <v>11.997999999999999</v>
      </c>
      <c r="D1077" s="1" t="s">
        <v>292</v>
      </c>
      <c r="E1077" s="1" t="s">
        <v>94</v>
      </c>
    </row>
    <row r="1078" spans="1:5" ht="17.25" customHeight="1" x14ac:dyDescent="0.25">
      <c r="A1078" s="1">
        <v>2458441.5113599999</v>
      </c>
      <c r="B1078" s="1" t="s">
        <v>269</v>
      </c>
      <c r="C1078" s="1">
        <v>12.05</v>
      </c>
      <c r="D1078" s="1" t="s">
        <v>292</v>
      </c>
      <c r="E1078" s="1" t="s">
        <v>94</v>
      </c>
    </row>
    <row r="1079" spans="1:5" ht="17.25" customHeight="1" x14ac:dyDescent="0.25">
      <c r="A1079" s="1">
        <v>2458441.5115800002</v>
      </c>
      <c r="B1079" s="1" t="s">
        <v>269</v>
      </c>
      <c r="C1079" s="1">
        <v>12.010999999999999</v>
      </c>
      <c r="D1079" s="1" t="s">
        <v>292</v>
      </c>
      <c r="E1079" s="1" t="s">
        <v>94</v>
      </c>
    </row>
    <row r="1080" spans="1:5" ht="17.25" customHeight="1" x14ac:dyDescent="0.25">
      <c r="A1080" s="1">
        <v>2458442.5114500001</v>
      </c>
      <c r="B1080" s="1" t="s">
        <v>270</v>
      </c>
      <c r="C1080" s="1">
        <v>11.997999999999999</v>
      </c>
      <c r="D1080" s="1" t="s">
        <v>292</v>
      </c>
      <c r="E1080" s="1" t="s">
        <v>94</v>
      </c>
    </row>
    <row r="1081" spans="1:5" ht="17.25" customHeight="1" x14ac:dyDescent="0.25">
      <c r="A1081" s="1">
        <v>2458442.5116699999</v>
      </c>
      <c r="B1081" s="1" t="s">
        <v>270</v>
      </c>
      <c r="C1081" s="1">
        <v>12.013999999999999</v>
      </c>
      <c r="D1081" s="1" t="s">
        <v>292</v>
      </c>
      <c r="E1081" s="1" t="s">
        <v>94</v>
      </c>
    </row>
    <row r="1082" spans="1:5" ht="17.25" customHeight="1" x14ac:dyDescent="0.25">
      <c r="A1082" s="1">
        <v>2458442.64567</v>
      </c>
      <c r="B1082" s="1" t="s">
        <v>270</v>
      </c>
      <c r="C1082" s="1">
        <v>11.959</v>
      </c>
      <c r="D1082" s="1" t="s">
        <v>292</v>
      </c>
      <c r="E1082" s="1" t="s">
        <v>131</v>
      </c>
    </row>
    <row r="1083" spans="1:5" ht="17.25" customHeight="1" x14ac:dyDescent="0.25">
      <c r="A1083" s="1">
        <v>2458443.5118900002</v>
      </c>
      <c r="B1083" s="1" t="s">
        <v>271</v>
      </c>
      <c r="C1083" s="1">
        <v>11.964</v>
      </c>
      <c r="D1083" s="1" t="s">
        <v>292</v>
      </c>
      <c r="E1083" s="1" t="s">
        <v>94</v>
      </c>
    </row>
    <row r="1084" spans="1:5" ht="17.25" customHeight="1" x14ac:dyDescent="0.25">
      <c r="A1084" s="1">
        <v>2458443.5120999999</v>
      </c>
      <c r="B1084" s="1" t="s">
        <v>271</v>
      </c>
      <c r="C1084" s="1">
        <v>11.984999999999999</v>
      </c>
      <c r="D1084" s="1" t="s">
        <v>292</v>
      </c>
      <c r="E1084" s="1" t="s">
        <v>94</v>
      </c>
    </row>
    <row r="1085" spans="1:5" ht="17.25" customHeight="1" x14ac:dyDescent="0.25">
      <c r="A1085" s="1">
        <v>2458444.5128299999</v>
      </c>
      <c r="B1085" s="1" t="s">
        <v>272</v>
      </c>
      <c r="C1085" s="1">
        <v>12.074999999999999</v>
      </c>
      <c r="D1085" s="1" t="s">
        <v>292</v>
      </c>
      <c r="E1085" s="1" t="s">
        <v>94</v>
      </c>
    </row>
    <row r="1086" spans="1:5" ht="17.25" customHeight="1" x14ac:dyDescent="0.25">
      <c r="A1086" s="1">
        <v>2458444.5130500002</v>
      </c>
      <c r="B1086" s="1" t="s">
        <v>272</v>
      </c>
      <c r="C1086" s="1">
        <v>12.065</v>
      </c>
      <c r="D1086" s="1" t="s">
        <v>292</v>
      </c>
      <c r="E1086" s="1" t="s">
        <v>94</v>
      </c>
    </row>
    <row r="1087" spans="1:5" ht="17.25" hidden="1" customHeight="1" x14ac:dyDescent="0.25">
      <c r="A1087" s="1">
        <v>2458444.5323999999</v>
      </c>
      <c r="B1087" s="1" t="s">
        <v>272</v>
      </c>
      <c r="C1087" s="1">
        <v>12.228</v>
      </c>
      <c r="D1087" s="1" t="s">
        <v>292</v>
      </c>
      <c r="E1087" s="1" t="s">
        <v>273</v>
      </c>
    </row>
    <row r="1088" spans="1:5" ht="17.25" hidden="1" customHeight="1" x14ac:dyDescent="0.25">
      <c r="A1088" s="1">
        <v>2458444.5351</v>
      </c>
      <c r="B1088" s="1" t="s">
        <v>272</v>
      </c>
      <c r="C1088" s="1">
        <v>12.227</v>
      </c>
      <c r="D1088" s="1" t="s">
        <v>292</v>
      </c>
      <c r="E1088" s="1" t="s">
        <v>273</v>
      </c>
    </row>
    <row r="1089" spans="1:5" ht="17.25" customHeight="1" x14ac:dyDescent="0.25">
      <c r="A1089" s="1">
        <v>2458445.5045099999</v>
      </c>
      <c r="B1089" s="1" t="s">
        <v>274</v>
      </c>
      <c r="C1089" s="1">
        <v>12.079000000000001</v>
      </c>
      <c r="D1089" s="1" t="s">
        <v>292</v>
      </c>
      <c r="E1089" s="1" t="s">
        <v>94</v>
      </c>
    </row>
    <row r="1090" spans="1:5" ht="17.25" customHeight="1" x14ac:dyDescent="0.25">
      <c r="A1090" s="1">
        <v>2458445.5047200001</v>
      </c>
      <c r="B1090" s="1" t="s">
        <v>274</v>
      </c>
      <c r="C1090" s="1">
        <v>12.095000000000001</v>
      </c>
      <c r="D1090" s="1" t="s">
        <v>292</v>
      </c>
      <c r="E1090" s="1" t="s">
        <v>94</v>
      </c>
    </row>
    <row r="1091" spans="1:5" ht="17.25" customHeight="1" x14ac:dyDescent="0.25">
      <c r="A1091" s="1">
        <v>2458446.5050599999</v>
      </c>
      <c r="B1091" s="1" t="s">
        <v>275</v>
      </c>
      <c r="C1091" s="1">
        <v>12.045</v>
      </c>
      <c r="D1091" s="1" t="s">
        <v>292</v>
      </c>
      <c r="E1091" s="1" t="s">
        <v>94</v>
      </c>
    </row>
    <row r="1092" spans="1:5" ht="17.25" customHeight="1" x14ac:dyDescent="0.25">
      <c r="A1092" s="1">
        <v>2458446.5052800002</v>
      </c>
      <c r="B1092" s="1" t="s">
        <v>275</v>
      </c>
      <c r="C1092" s="1">
        <v>12.048999999999999</v>
      </c>
      <c r="D1092" s="1" t="s">
        <v>292</v>
      </c>
      <c r="E1092" s="1" t="s">
        <v>94</v>
      </c>
    </row>
    <row r="1093" spans="1:5" ht="17.25" customHeight="1" x14ac:dyDescent="0.25">
      <c r="A1093" s="1">
        <v>2458447.5054600001</v>
      </c>
      <c r="B1093" s="1" t="s">
        <v>276</v>
      </c>
      <c r="C1093" s="1">
        <v>12.077</v>
      </c>
      <c r="D1093" s="1" t="s">
        <v>292</v>
      </c>
      <c r="E1093" s="1" t="s">
        <v>94</v>
      </c>
    </row>
    <row r="1094" spans="1:5" ht="17.25" customHeight="1" x14ac:dyDescent="0.25">
      <c r="A1094" s="1">
        <v>2458447.5056799999</v>
      </c>
      <c r="B1094" s="1" t="s">
        <v>276</v>
      </c>
      <c r="C1094" s="1">
        <v>12.106</v>
      </c>
      <c r="D1094" s="1" t="s">
        <v>292</v>
      </c>
      <c r="E1094" s="1" t="s">
        <v>94</v>
      </c>
    </row>
    <row r="1095" spans="1:5" ht="17.25" customHeight="1" x14ac:dyDescent="0.25">
      <c r="A1095" s="1">
        <v>2458448.5062099998</v>
      </c>
      <c r="B1095" s="1" t="s">
        <v>277</v>
      </c>
      <c r="C1095" s="1">
        <v>12.054</v>
      </c>
      <c r="D1095" s="1" t="s">
        <v>292</v>
      </c>
      <c r="E1095" s="1" t="s">
        <v>94</v>
      </c>
    </row>
    <row r="1096" spans="1:5" ht="17.25" customHeight="1" x14ac:dyDescent="0.25">
      <c r="A1096" s="1">
        <v>2458448.50642</v>
      </c>
      <c r="B1096" s="1" t="s">
        <v>277</v>
      </c>
      <c r="C1096" s="1">
        <v>12.09</v>
      </c>
      <c r="D1096" s="1" t="s">
        <v>292</v>
      </c>
      <c r="E1096" s="1" t="s">
        <v>94</v>
      </c>
    </row>
    <row r="1097" spans="1:5" ht="17.25" hidden="1" customHeight="1" x14ac:dyDescent="0.25">
      <c r="A1097" s="1">
        <v>2458448.5240000002</v>
      </c>
      <c r="B1097" s="1" t="s">
        <v>277</v>
      </c>
      <c r="C1097" s="1">
        <v>12.287000000000001</v>
      </c>
      <c r="D1097" s="1" t="s">
        <v>292</v>
      </c>
      <c r="E1097" s="1" t="s">
        <v>273</v>
      </c>
    </row>
    <row r="1098" spans="1:5" ht="17.25" hidden="1" customHeight="1" x14ac:dyDescent="0.25">
      <c r="A1098" s="1">
        <v>2458448.5284000002</v>
      </c>
      <c r="B1098" s="1" t="s">
        <v>277</v>
      </c>
      <c r="C1098" s="1">
        <v>12.260999999999999</v>
      </c>
      <c r="D1098" s="1" t="s">
        <v>292</v>
      </c>
      <c r="E1098" s="1" t="s">
        <v>273</v>
      </c>
    </row>
    <row r="1099" spans="1:5" ht="17.25" hidden="1" customHeight="1" x14ac:dyDescent="0.25">
      <c r="A1099" s="1">
        <v>2458448.5362</v>
      </c>
      <c r="B1099" s="1" t="s">
        <v>277</v>
      </c>
      <c r="C1099" s="1">
        <v>12.284000000000001</v>
      </c>
      <c r="D1099" s="1" t="s">
        <v>292</v>
      </c>
      <c r="E1099" s="1" t="s">
        <v>273</v>
      </c>
    </row>
    <row r="1100" spans="1:5" ht="17.25" customHeight="1" x14ac:dyDescent="0.25">
      <c r="A1100" s="1">
        <v>2458449.5063499999</v>
      </c>
      <c r="B1100" s="1" t="s">
        <v>278</v>
      </c>
      <c r="C1100" s="1">
        <v>12.106</v>
      </c>
      <c r="D1100" s="1" t="s">
        <v>292</v>
      </c>
      <c r="E1100" s="1" t="s">
        <v>94</v>
      </c>
    </row>
    <row r="1101" spans="1:5" ht="17.25" customHeight="1" x14ac:dyDescent="0.25">
      <c r="A1101" s="1">
        <v>2458449.5065700002</v>
      </c>
      <c r="B1101" s="1" t="s">
        <v>278</v>
      </c>
      <c r="C1101" s="1">
        <v>12.13</v>
      </c>
      <c r="D1101" s="1" t="s">
        <v>292</v>
      </c>
      <c r="E1101" s="1" t="s">
        <v>94</v>
      </c>
    </row>
    <row r="1102" spans="1:5" ht="17.25" hidden="1" customHeight="1" x14ac:dyDescent="0.25">
      <c r="A1102" s="1">
        <v>2458449.52</v>
      </c>
      <c r="B1102" s="1" t="s">
        <v>278</v>
      </c>
      <c r="C1102" s="1">
        <v>12.282</v>
      </c>
      <c r="D1102" s="1" t="s">
        <v>292</v>
      </c>
      <c r="E1102" s="1" t="s">
        <v>273</v>
      </c>
    </row>
    <row r="1103" spans="1:5" ht="17.25" hidden="1" customHeight="1" x14ac:dyDescent="0.25">
      <c r="A1103" s="1">
        <v>2458449.5266999998</v>
      </c>
      <c r="B1103" s="1" t="s">
        <v>278</v>
      </c>
      <c r="C1103" s="1">
        <v>12.276</v>
      </c>
      <c r="D1103" s="1" t="s">
        <v>292</v>
      </c>
      <c r="E1103" s="1" t="s">
        <v>273</v>
      </c>
    </row>
    <row r="1104" spans="1:5" ht="17.25" hidden="1" customHeight="1" x14ac:dyDescent="0.25">
      <c r="A1104" s="1">
        <v>2458449.5309000001</v>
      </c>
      <c r="B1104" s="1" t="s">
        <v>278</v>
      </c>
      <c r="C1104" s="1">
        <v>12.29</v>
      </c>
      <c r="D1104" s="1" t="s">
        <v>292</v>
      </c>
      <c r="E1104" s="1" t="s">
        <v>273</v>
      </c>
    </row>
    <row r="1105" spans="1:5" ht="17.25" customHeight="1" x14ac:dyDescent="0.25">
      <c r="A1105" s="1">
        <v>2458450.50416</v>
      </c>
      <c r="B1105" s="1" t="s">
        <v>279</v>
      </c>
      <c r="C1105" s="1">
        <v>12.144</v>
      </c>
      <c r="D1105" s="1" t="s">
        <v>292</v>
      </c>
      <c r="E1105" s="1" t="s">
        <v>94</v>
      </c>
    </row>
    <row r="1106" spans="1:5" ht="17.25" customHeight="1" x14ac:dyDescent="0.25">
      <c r="A1106" s="1">
        <v>2458450.5043799998</v>
      </c>
      <c r="B1106" s="1" t="s">
        <v>279</v>
      </c>
      <c r="C1106" s="1">
        <v>12.108000000000001</v>
      </c>
      <c r="D1106" s="1" t="s">
        <v>292</v>
      </c>
      <c r="E1106" s="1" t="s">
        <v>94</v>
      </c>
    </row>
    <row r="1107" spans="1:5" ht="17.25" hidden="1" customHeight="1" x14ac:dyDescent="0.25">
      <c r="A1107" s="1">
        <v>2458450.5147000002</v>
      </c>
      <c r="B1107" s="1" t="s">
        <v>279</v>
      </c>
      <c r="C1107" s="1">
        <v>12.308999999999999</v>
      </c>
      <c r="D1107" s="1" t="s">
        <v>292</v>
      </c>
      <c r="E1107" s="1" t="s">
        <v>273</v>
      </c>
    </row>
    <row r="1108" spans="1:5" ht="17.25" hidden="1" customHeight="1" x14ac:dyDescent="0.25">
      <c r="A1108" s="1">
        <v>2458450.5230999999</v>
      </c>
      <c r="B1108" s="1" t="s">
        <v>279</v>
      </c>
      <c r="C1108" s="1">
        <v>12.297000000000001</v>
      </c>
      <c r="D1108" s="1" t="s">
        <v>292</v>
      </c>
      <c r="E1108" s="1" t="s">
        <v>273</v>
      </c>
    </row>
    <row r="1109" spans="1:5" ht="17.25" hidden="1" customHeight="1" x14ac:dyDescent="0.25">
      <c r="A1109" s="1">
        <v>2458450.5274999999</v>
      </c>
      <c r="B1109" s="1" t="s">
        <v>279</v>
      </c>
      <c r="C1109" s="1">
        <v>12.301</v>
      </c>
      <c r="D1109" s="1" t="s">
        <v>292</v>
      </c>
      <c r="E1109" s="1" t="s">
        <v>273</v>
      </c>
    </row>
    <row r="1110" spans="1:5" ht="17.25" customHeight="1" x14ac:dyDescent="0.25">
      <c r="A1110" s="1">
        <v>2458451.5046999999</v>
      </c>
      <c r="B1110" s="1" t="s">
        <v>280</v>
      </c>
      <c r="C1110" s="1">
        <v>12.109</v>
      </c>
      <c r="D1110" s="1" t="s">
        <v>292</v>
      </c>
      <c r="E1110" s="1" t="s">
        <v>94</v>
      </c>
    </row>
    <row r="1111" spans="1:5" ht="17.25" customHeight="1" x14ac:dyDescent="0.25">
      <c r="A1111" s="1">
        <v>2458451.5049200002</v>
      </c>
      <c r="B1111" s="1" t="s">
        <v>280</v>
      </c>
      <c r="C1111" s="1">
        <v>12.122</v>
      </c>
      <c r="D1111" s="1" t="s">
        <v>292</v>
      </c>
      <c r="E1111" s="1" t="s">
        <v>94</v>
      </c>
    </row>
    <row r="1112" spans="1:5" ht="17.25" customHeight="1" x14ac:dyDescent="0.25">
      <c r="A1112" s="1">
        <v>2458453.2179899998</v>
      </c>
      <c r="B1112" s="1" t="s">
        <v>281</v>
      </c>
      <c r="C1112" s="1">
        <v>12.074999999999999</v>
      </c>
      <c r="D1112" s="1" t="s">
        <v>292</v>
      </c>
      <c r="E1112" s="1" t="s">
        <v>101</v>
      </c>
    </row>
    <row r="1113" spans="1:5" ht="17.25" customHeight="1" x14ac:dyDescent="0.25">
      <c r="A1113" s="1">
        <v>2458453.2183099999</v>
      </c>
      <c r="B1113" s="1" t="s">
        <v>281</v>
      </c>
      <c r="C1113" s="1">
        <v>12.076000000000001</v>
      </c>
      <c r="D1113" s="1" t="s">
        <v>292</v>
      </c>
      <c r="E1113" s="1" t="s">
        <v>101</v>
      </c>
    </row>
    <row r="1114" spans="1:5" ht="17.25" customHeight="1" x14ac:dyDescent="0.25">
      <c r="A1114" s="1">
        <v>2458462.21257</v>
      </c>
      <c r="B1114" s="1" t="s">
        <v>282</v>
      </c>
      <c r="C1114" s="1">
        <v>12.086</v>
      </c>
      <c r="D1114" s="1" t="s">
        <v>292</v>
      </c>
      <c r="E1114" s="1" t="s">
        <v>101</v>
      </c>
    </row>
    <row r="1115" spans="1:5" ht="17.25" customHeight="1" x14ac:dyDescent="0.25">
      <c r="A1115" s="1">
        <v>2458462.21288</v>
      </c>
      <c r="B1115" s="1" t="s">
        <v>282</v>
      </c>
      <c r="C1115" s="1">
        <v>12.082000000000001</v>
      </c>
      <c r="D1115" s="1" t="s">
        <v>292</v>
      </c>
      <c r="E1115" s="1" t="s">
        <v>101</v>
      </c>
    </row>
    <row r="1116" spans="1:5" ht="17.25" customHeight="1" x14ac:dyDescent="0.25">
      <c r="A1116" s="1">
        <v>2458464.25801</v>
      </c>
      <c r="B1116" s="1" t="s">
        <v>283</v>
      </c>
      <c r="C1116" s="1">
        <v>12.093</v>
      </c>
      <c r="D1116" s="1" t="s">
        <v>292</v>
      </c>
      <c r="E1116" s="1" t="s">
        <v>101</v>
      </c>
    </row>
    <row r="1117" spans="1:5" ht="17.25" customHeight="1" x14ac:dyDescent="0.25">
      <c r="A1117" s="1">
        <v>2458464.2583300001</v>
      </c>
      <c r="B1117" s="1" t="s">
        <v>283</v>
      </c>
      <c r="C1117" s="1">
        <v>12.07</v>
      </c>
      <c r="D1117" s="1" t="s">
        <v>292</v>
      </c>
      <c r="E1117" s="1" t="s">
        <v>101</v>
      </c>
    </row>
    <row r="1118" spans="1:5" ht="17.25" hidden="1" customHeight="1" x14ac:dyDescent="0.25">
      <c r="A1118" s="1">
        <v>2458467.2540099998</v>
      </c>
      <c r="B1118" s="1" t="s">
        <v>284</v>
      </c>
      <c r="C1118" s="1">
        <v>12.244</v>
      </c>
      <c r="D1118" s="1" t="s">
        <v>292</v>
      </c>
      <c r="E1118" s="1" t="s">
        <v>285</v>
      </c>
    </row>
    <row r="1119" spans="1:5" ht="17.25" hidden="1" customHeight="1" x14ac:dyDescent="0.25">
      <c r="A1119" s="1">
        <v>2458467.2548000002</v>
      </c>
      <c r="B1119" s="1" t="s">
        <v>284</v>
      </c>
      <c r="C1119" s="1">
        <v>12.101000000000001</v>
      </c>
      <c r="D1119" s="1" t="s">
        <v>292</v>
      </c>
      <c r="E1119" s="1" t="s">
        <v>285</v>
      </c>
    </row>
    <row r="1120" spans="1:5" ht="17.25" hidden="1" customHeight="1" x14ac:dyDescent="0.25">
      <c r="A1120" s="1">
        <v>2458470.2537600002</v>
      </c>
      <c r="B1120" s="1" t="s">
        <v>286</v>
      </c>
      <c r="C1120" s="1">
        <v>12.244999999999999</v>
      </c>
      <c r="D1120" s="1" t="s">
        <v>292</v>
      </c>
      <c r="E1120" s="1" t="s">
        <v>285</v>
      </c>
    </row>
    <row r="1121" spans="1:5" ht="17.25" hidden="1" customHeight="1" x14ac:dyDescent="0.25">
      <c r="A1121" s="1">
        <v>2458470.2544200001</v>
      </c>
      <c r="B1121" s="1" t="s">
        <v>286</v>
      </c>
      <c r="C1121" s="1">
        <v>12.125999999999999</v>
      </c>
      <c r="D1121" s="1" t="s">
        <v>292</v>
      </c>
      <c r="E1121" s="1" t="s">
        <v>285</v>
      </c>
    </row>
    <row r="1122" spans="1:5" ht="17.25" hidden="1" customHeight="1" x14ac:dyDescent="0.25">
      <c r="A1122" s="1">
        <v>2458470.2552499999</v>
      </c>
      <c r="B1122" s="1" t="s">
        <v>286</v>
      </c>
      <c r="C1122" s="1">
        <v>12.31</v>
      </c>
      <c r="D1122" s="1" t="s">
        <v>292</v>
      </c>
      <c r="E1122" s="1" t="s">
        <v>285</v>
      </c>
    </row>
    <row r="1123" spans="1:5" ht="17.25" hidden="1" customHeight="1" x14ac:dyDescent="0.25">
      <c r="A1123" s="1">
        <v>2458470.25593</v>
      </c>
      <c r="B1123" s="1" t="s">
        <v>286</v>
      </c>
      <c r="C1123" s="1">
        <v>12.194000000000001</v>
      </c>
      <c r="D1123" s="1" t="s">
        <v>292</v>
      </c>
      <c r="E1123" s="1" t="s">
        <v>285</v>
      </c>
    </row>
    <row r="1124" spans="1:5" ht="17.25" hidden="1" customHeight="1" x14ac:dyDescent="0.25">
      <c r="A1124" s="1">
        <v>2458472.2864600001</v>
      </c>
      <c r="B1124" s="1" t="s">
        <v>287</v>
      </c>
      <c r="C1124" s="1">
        <v>12.282999999999999</v>
      </c>
      <c r="D1124" s="1" t="s">
        <v>292</v>
      </c>
      <c r="E1124" s="1" t="s">
        <v>285</v>
      </c>
    </row>
    <row r="1125" spans="1:5" ht="17.25" hidden="1" customHeight="1" x14ac:dyDescent="0.25">
      <c r="A1125" s="1">
        <v>2458472.2871599998</v>
      </c>
      <c r="B1125" s="1" t="s">
        <v>287</v>
      </c>
      <c r="C1125" s="1">
        <v>12.192</v>
      </c>
      <c r="D1125" s="1" t="s">
        <v>292</v>
      </c>
      <c r="E1125" s="1" t="s">
        <v>285</v>
      </c>
    </row>
    <row r="1126" spans="1:5" ht="17.25" hidden="1" customHeight="1" x14ac:dyDescent="0.25">
      <c r="A1126" s="1">
        <v>2458472.28785</v>
      </c>
      <c r="B1126" s="1" t="s">
        <v>287</v>
      </c>
      <c r="C1126" s="1">
        <v>12.423</v>
      </c>
      <c r="D1126" s="1" t="s">
        <v>292</v>
      </c>
      <c r="E1126" s="1" t="s">
        <v>285</v>
      </c>
    </row>
    <row r="1127" spans="1:5" ht="17.25" hidden="1" customHeight="1" x14ac:dyDescent="0.25">
      <c r="A1127" s="1">
        <v>2458472.2885099999</v>
      </c>
      <c r="B1127" s="1" t="s">
        <v>287</v>
      </c>
      <c r="C1127" s="1">
        <v>12.286</v>
      </c>
      <c r="D1127" s="1" t="s">
        <v>292</v>
      </c>
      <c r="E1127" s="1" t="s">
        <v>285</v>
      </c>
    </row>
    <row r="1128" spans="1:5" ht="17.25" hidden="1" customHeight="1" x14ac:dyDescent="0.25">
      <c r="A1128" s="1">
        <v>2458475.2596900002</v>
      </c>
      <c r="B1128" s="1" t="s">
        <v>288</v>
      </c>
      <c r="C1128" s="1">
        <v>12.175000000000001</v>
      </c>
      <c r="D1128" s="1" t="s">
        <v>292</v>
      </c>
      <c r="E1128" s="1" t="s">
        <v>285</v>
      </c>
    </row>
    <row r="1129" spans="1:5" ht="17.25" hidden="1" customHeight="1" x14ac:dyDescent="0.25">
      <c r="A1129" s="1">
        <v>2458475.2603600002</v>
      </c>
      <c r="B1129" s="1" t="s">
        <v>288</v>
      </c>
      <c r="C1129" s="1">
        <v>12.127000000000001</v>
      </c>
      <c r="D1129" s="1" t="s">
        <v>292</v>
      </c>
      <c r="E1129" s="1" t="s">
        <v>285</v>
      </c>
    </row>
    <row r="1130" spans="1:5" ht="17.25" customHeight="1" x14ac:dyDescent="0.25">
      <c r="A1130" s="1">
        <v>2458478.30235</v>
      </c>
      <c r="B1130" s="1" t="s">
        <v>289</v>
      </c>
      <c r="C1130" s="1">
        <v>12.179</v>
      </c>
      <c r="D1130" s="1" t="s">
        <v>292</v>
      </c>
      <c r="E1130" s="1" t="s">
        <v>101</v>
      </c>
    </row>
    <row r="1131" spans="1:5" ht="17.25" customHeight="1" x14ac:dyDescent="0.25">
      <c r="A1131" s="1">
        <v>2458478.30266</v>
      </c>
      <c r="B1131" s="1" t="s">
        <v>289</v>
      </c>
      <c r="C1131" s="1">
        <v>12.162000000000001</v>
      </c>
      <c r="D1131" s="1" t="s">
        <v>292</v>
      </c>
      <c r="E1131" s="1" t="s">
        <v>101</v>
      </c>
    </row>
    <row r="1132" spans="1:5" ht="17.25" customHeight="1" x14ac:dyDescent="0.25">
      <c r="A1132" s="1">
        <v>2458479.21</v>
      </c>
      <c r="B1132" s="1" t="s">
        <v>290</v>
      </c>
      <c r="C1132" s="1">
        <v>12.151999999999999</v>
      </c>
      <c r="D1132" s="1" t="s">
        <v>292</v>
      </c>
      <c r="E1132" s="1" t="s">
        <v>101</v>
      </c>
    </row>
    <row r="1133" spans="1:5" ht="17.25" customHeight="1" x14ac:dyDescent="0.25">
      <c r="A1133" s="1">
        <v>2458479.2103200001</v>
      </c>
      <c r="B1133" s="1" t="s">
        <v>290</v>
      </c>
      <c r="C1133" s="1">
        <v>12.121</v>
      </c>
      <c r="D1133" s="1" t="s">
        <v>292</v>
      </c>
      <c r="E1133" s="1" t="s">
        <v>101</v>
      </c>
    </row>
    <row r="1134" spans="1:5" ht="17.25" customHeight="1" x14ac:dyDescent="0.25">
      <c r="A1134" s="1">
        <v>2458487.2123400001</v>
      </c>
      <c r="B1134" s="1" t="s">
        <v>291</v>
      </c>
      <c r="C1134" s="1">
        <v>12.211</v>
      </c>
      <c r="D1134" s="1" t="s">
        <v>292</v>
      </c>
      <c r="E1134" s="1" t="s">
        <v>101</v>
      </c>
    </row>
    <row r="1135" spans="1:5" ht="17.25" customHeight="1" x14ac:dyDescent="0.25">
      <c r="A1135" s="1">
        <v>2458487.2126500001</v>
      </c>
      <c r="B1135" s="1" t="s">
        <v>291</v>
      </c>
      <c r="C1135" s="1">
        <v>12.166</v>
      </c>
      <c r="D1135" s="1" t="s">
        <v>292</v>
      </c>
      <c r="E1135" s="1" t="s">
        <v>101</v>
      </c>
    </row>
    <row r="1136" spans="1:5" ht="17.25" customHeight="1" x14ac:dyDescent="0.25">
      <c r="A1136" s="1">
        <v>2458503.2306400002</v>
      </c>
      <c r="B1136" s="1" t="s">
        <v>309</v>
      </c>
      <c r="C1136" s="1">
        <v>12.366</v>
      </c>
      <c r="D1136" s="1" t="s">
        <v>292</v>
      </c>
      <c r="E1136" s="1" t="s">
        <v>101</v>
      </c>
    </row>
    <row r="1137" spans="1:5" ht="17.25" customHeight="1" x14ac:dyDescent="0.25">
      <c r="A1137" s="1">
        <v>2458503.23098</v>
      </c>
      <c r="B1137" s="1" t="s">
        <v>309</v>
      </c>
      <c r="C1137" s="1">
        <v>12.185</v>
      </c>
      <c r="D1137" s="1" t="s">
        <v>292</v>
      </c>
      <c r="E1137" s="1" t="s">
        <v>101</v>
      </c>
    </row>
    <row r="1138" spans="1:5" ht="17.25" customHeight="1" x14ac:dyDescent="0.25">
      <c r="A1138" s="1">
        <v>2458577.6209</v>
      </c>
      <c r="B1138" s="1" t="s">
        <v>310</v>
      </c>
      <c r="C1138" s="1">
        <v>12.61</v>
      </c>
      <c r="D1138" s="1" t="s">
        <v>292</v>
      </c>
      <c r="E1138" s="1" t="s">
        <v>101</v>
      </c>
    </row>
    <row r="1139" spans="1:5" ht="17.25" customHeight="1" x14ac:dyDescent="0.25">
      <c r="A1139" s="1">
        <v>2458577.6212200001</v>
      </c>
      <c r="B1139" s="1" t="s">
        <v>310</v>
      </c>
      <c r="C1139" s="1">
        <v>12.624000000000001</v>
      </c>
      <c r="D1139" s="1" t="s">
        <v>292</v>
      </c>
      <c r="E1139" s="1" t="s">
        <v>101</v>
      </c>
    </row>
    <row r="1140" spans="1:5" ht="17.25" customHeight="1" x14ac:dyDescent="0.25">
      <c r="A1140" s="1">
        <v>2458597.6397000002</v>
      </c>
      <c r="B1140" s="1" t="s">
        <v>311</v>
      </c>
      <c r="C1140" s="1">
        <v>12.718999999999999</v>
      </c>
      <c r="D1140" s="1" t="s">
        <v>292</v>
      </c>
      <c r="E1140" s="1" t="s">
        <v>101</v>
      </c>
    </row>
    <row r="1141" spans="1:5" ht="17.25" customHeight="1" x14ac:dyDescent="0.25">
      <c r="A1141" s="1">
        <v>2458597.6400100002</v>
      </c>
      <c r="B1141" s="1" t="s">
        <v>311</v>
      </c>
      <c r="C1141" s="1">
        <v>12.763</v>
      </c>
      <c r="D1141" s="1" t="s">
        <v>292</v>
      </c>
      <c r="E1141" s="1" t="s">
        <v>101</v>
      </c>
    </row>
    <row r="1142" spans="1:5" ht="17.25" customHeight="1" x14ac:dyDescent="0.25">
      <c r="A1142" s="1">
        <v>2458643.4489899999</v>
      </c>
      <c r="B1142" s="1" t="s">
        <v>312</v>
      </c>
      <c r="C1142" s="1">
        <v>12.858000000000001</v>
      </c>
      <c r="D1142" s="1" t="s">
        <v>292</v>
      </c>
      <c r="E1142" s="1" t="s">
        <v>101</v>
      </c>
    </row>
    <row r="1143" spans="1:5" ht="17.25" customHeight="1" x14ac:dyDescent="0.25">
      <c r="A1143" s="1">
        <v>2458643.4493200001</v>
      </c>
      <c r="B1143" s="1" t="s">
        <v>312</v>
      </c>
      <c r="C1143" s="1">
        <v>12.851000000000001</v>
      </c>
      <c r="D1143" s="1" t="s">
        <v>292</v>
      </c>
      <c r="E1143" s="1" t="s">
        <v>101</v>
      </c>
    </row>
    <row r="1144" spans="1:5" ht="17.25" customHeight="1" x14ac:dyDescent="0.25">
      <c r="A1144" s="1">
        <v>2458649.7807800001</v>
      </c>
      <c r="B1144" s="1" t="s">
        <v>313</v>
      </c>
      <c r="C1144" s="1">
        <v>12.964</v>
      </c>
      <c r="D1144" s="1" t="s">
        <v>292</v>
      </c>
      <c r="E1144" s="1" t="s">
        <v>131</v>
      </c>
    </row>
    <row r="1145" spans="1:5" ht="17.25" customHeight="1" x14ac:dyDescent="0.25">
      <c r="A1145" s="1">
        <v>2458654.7340000002</v>
      </c>
      <c r="B1145" s="1" t="s">
        <v>314</v>
      </c>
      <c r="C1145" s="1">
        <v>12.923999999999999</v>
      </c>
      <c r="D1145" s="1" t="s">
        <v>292</v>
      </c>
      <c r="E1145" s="1" t="s">
        <v>131</v>
      </c>
    </row>
    <row r="1146" spans="1:5" ht="17.25" customHeight="1" x14ac:dyDescent="0.25">
      <c r="A1146" s="1">
        <v>2458663.4413800002</v>
      </c>
      <c r="B1146" s="1" t="s">
        <v>315</v>
      </c>
      <c r="C1146" s="1">
        <v>12.824999999999999</v>
      </c>
      <c r="D1146" s="1" t="s">
        <v>292</v>
      </c>
      <c r="E1146" s="1" t="s">
        <v>101</v>
      </c>
    </row>
    <row r="1147" spans="1:5" ht="17.25" customHeight="1" x14ac:dyDescent="0.25">
      <c r="A1147" s="1">
        <v>2458663.4416999999</v>
      </c>
      <c r="B1147" s="1" t="s">
        <v>315</v>
      </c>
      <c r="C1147" s="1">
        <v>12.82</v>
      </c>
      <c r="D1147" s="1" t="s">
        <v>292</v>
      </c>
      <c r="E1147" s="1" t="s">
        <v>101</v>
      </c>
    </row>
    <row r="1148" spans="1:5" ht="17.25" customHeight="1" x14ac:dyDescent="0.25">
      <c r="A1148" s="1">
        <v>2458664.4152799998</v>
      </c>
      <c r="B1148" s="1" t="s">
        <v>316</v>
      </c>
      <c r="C1148" s="1">
        <v>12.79</v>
      </c>
      <c r="D1148" s="1" t="s">
        <v>292</v>
      </c>
      <c r="E1148" s="1" t="s">
        <v>5</v>
      </c>
    </row>
    <row r="1149" spans="1:5" ht="17.25" customHeight="1" x14ac:dyDescent="0.25">
      <c r="A1149" s="1">
        <v>2458665.75238</v>
      </c>
      <c r="B1149" s="1" t="s">
        <v>317</v>
      </c>
      <c r="C1149" s="1">
        <v>12.88</v>
      </c>
      <c r="D1149" s="1" t="s">
        <v>292</v>
      </c>
      <c r="E1149" s="1" t="s">
        <v>131</v>
      </c>
    </row>
    <row r="1150" spans="1:5" ht="17.25" customHeight="1" x14ac:dyDescent="0.25">
      <c r="A1150" s="1">
        <v>2458672.4233900001</v>
      </c>
      <c r="B1150" s="1" t="s">
        <v>318</v>
      </c>
      <c r="C1150" s="1">
        <v>12.791</v>
      </c>
      <c r="D1150" s="1" t="s">
        <v>292</v>
      </c>
      <c r="E1150" s="1" t="s">
        <v>101</v>
      </c>
    </row>
    <row r="1151" spans="1:5" ht="17.25" customHeight="1" x14ac:dyDescent="0.25">
      <c r="A1151" s="1">
        <v>2458672.4237199998</v>
      </c>
      <c r="B1151" s="1" t="s">
        <v>318</v>
      </c>
      <c r="C1151" s="1">
        <v>12.756</v>
      </c>
      <c r="D1151" s="1" t="s">
        <v>292</v>
      </c>
      <c r="E1151" s="1" t="s">
        <v>101</v>
      </c>
    </row>
    <row r="1152" spans="1:5" ht="17.25" customHeight="1" x14ac:dyDescent="0.25">
      <c r="A1152" s="1">
        <v>2458677.7299100002</v>
      </c>
      <c r="B1152" s="1" t="s">
        <v>319</v>
      </c>
      <c r="C1152" s="1">
        <v>12.839</v>
      </c>
      <c r="D1152" s="1" t="s">
        <v>292</v>
      </c>
      <c r="E1152" s="1" t="s">
        <v>131</v>
      </c>
    </row>
    <row r="1153" spans="1:5" ht="17.25" customHeight="1" x14ac:dyDescent="0.25">
      <c r="A1153" s="1">
        <v>2458681.3980800002</v>
      </c>
      <c r="B1153" s="1" t="s">
        <v>320</v>
      </c>
      <c r="C1153" s="1">
        <v>12.821</v>
      </c>
      <c r="D1153" s="1" t="s">
        <v>292</v>
      </c>
      <c r="E1153" s="1" t="s">
        <v>101</v>
      </c>
    </row>
    <row r="1154" spans="1:5" ht="17.25" customHeight="1" x14ac:dyDescent="0.25">
      <c r="A1154" s="1">
        <v>2458681.3983900002</v>
      </c>
      <c r="B1154" s="1" t="s">
        <v>320</v>
      </c>
      <c r="C1154" s="1">
        <v>12.785</v>
      </c>
      <c r="D1154" s="1" t="s">
        <v>292</v>
      </c>
      <c r="E1154" s="1" t="s">
        <v>101</v>
      </c>
    </row>
    <row r="1155" spans="1:5" ht="17.25" customHeight="1" x14ac:dyDescent="0.25">
      <c r="A1155" s="1">
        <v>2458685.43126</v>
      </c>
      <c r="B1155" s="1" t="s">
        <v>321</v>
      </c>
      <c r="C1155" s="1">
        <v>12.756</v>
      </c>
      <c r="D1155" s="1" t="s">
        <v>292</v>
      </c>
      <c r="E1155" s="1" t="s">
        <v>101</v>
      </c>
    </row>
    <row r="1156" spans="1:5" ht="17.25" customHeight="1" x14ac:dyDescent="0.25">
      <c r="A1156" s="1">
        <v>2458685.43157</v>
      </c>
      <c r="B1156" s="1" t="s">
        <v>321</v>
      </c>
      <c r="C1156" s="1">
        <v>12.763999999999999</v>
      </c>
      <c r="D1156" s="1" t="s">
        <v>292</v>
      </c>
      <c r="E1156" s="1" t="s">
        <v>101</v>
      </c>
    </row>
    <row r="1157" spans="1:5" ht="17.25" customHeight="1" x14ac:dyDescent="0.25">
      <c r="A1157" s="1">
        <v>2458685.7128499998</v>
      </c>
      <c r="B1157" s="1" t="s">
        <v>322</v>
      </c>
      <c r="C1157" s="1">
        <v>12.811999999999999</v>
      </c>
      <c r="D1157" s="1" t="s">
        <v>292</v>
      </c>
      <c r="E1157" s="1" t="s">
        <v>131</v>
      </c>
    </row>
    <row r="1158" spans="1:5" ht="17.25" customHeight="1" x14ac:dyDescent="0.25">
      <c r="A1158" s="1">
        <v>2458687.3997999998</v>
      </c>
      <c r="B1158" s="1" t="s">
        <v>323</v>
      </c>
      <c r="C1158" s="1">
        <v>12.742000000000001</v>
      </c>
      <c r="D1158" s="1" t="s">
        <v>292</v>
      </c>
      <c r="E1158" s="1" t="s">
        <v>101</v>
      </c>
    </row>
    <row r="1159" spans="1:5" ht="17.25" customHeight="1" x14ac:dyDescent="0.25">
      <c r="A1159" s="1">
        <v>2458687.4001199999</v>
      </c>
      <c r="B1159" s="1" t="s">
        <v>323</v>
      </c>
      <c r="C1159" s="1">
        <v>12.763</v>
      </c>
      <c r="D1159" s="1" t="s">
        <v>292</v>
      </c>
      <c r="E1159" s="1" t="s">
        <v>101</v>
      </c>
    </row>
    <row r="1160" spans="1:5" ht="17.25" customHeight="1" x14ac:dyDescent="0.25">
      <c r="A1160" s="1">
        <v>2458688.3939999999</v>
      </c>
      <c r="B1160" s="1" t="s">
        <v>324</v>
      </c>
      <c r="C1160" s="1">
        <v>12.768000000000001</v>
      </c>
      <c r="D1160" s="1" t="s">
        <v>292</v>
      </c>
      <c r="E1160" s="1" t="s">
        <v>101</v>
      </c>
    </row>
    <row r="1161" spans="1:5" ht="17.25" customHeight="1" x14ac:dyDescent="0.25">
      <c r="A1161" s="1">
        <v>2458688.39433</v>
      </c>
      <c r="B1161" s="1" t="s">
        <v>324</v>
      </c>
      <c r="C1161" s="1">
        <v>12.747</v>
      </c>
      <c r="D1161" s="1" t="s">
        <v>292</v>
      </c>
      <c r="E1161" s="1" t="s">
        <v>101</v>
      </c>
    </row>
    <row r="1162" spans="1:5" ht="17.25" customHeight="1" x14ac:dyDescent="0.25">
      <c r="A1162" s="1">
        <v>2458690.5090299998</v>
      </c>
      <c r="B1162" s="1" t="s">
        <v>325</v>
      </c>
      <c r="C1162" s="1">
        <v>12.7</v>
      </c>
      <c r="D1162" s="1" t="s">
        <v>292</v>
      </c>
      <c r="E1162" s="1" t="s">
        <v>5</v>
      </c>
    </row>
    <row r="1163" spans="1:5" ht="17.25" customHeight="1" x14ac:dyDescent="0.25">
      <c r="A1163" s="1">
        <v>2458693.39353</v>
      </c>
      <c r="B1163" s="1" t="s">
        <v>326</v>
      </c>
      <c r="C1163" s="1">
        <v>12.715999999999999</v>
      </c>
      <c r="D1163" s="1" t="s">
        <v>292</v>
      </c>
      <c r="E1163" s="1" t="s">
        <v>101</v>
      </c>
    </row>
    <row r="1164" spans="1:5" ht="17.25" customHeight="1" x14ac:dyDescent="0.25">
      <c r="A1164" s="1">
        <v>2458693.39384</v>
      </c>
      <c r="B1164" s="1" t="s">
        <v>326</v>
      </c>
      <c r="C1164" s="1">
        <v>12.686</v>
      </c>
      <c r="D1164" s="1" t="s">
        <v>292</v>
      </c>
      <c r="E1164" s="1" t="s">
        <v>101</v>
      </c>
    </row>
    <row r="1165" spans="1:5" ht="17.25" customHeight="1" x14ac:dyDescent="0.25">
      <c r="A1165" s="1">
        <v>2458694.3860399998</v>
      </c>
      <c r="B1165" s="1" t="s">
        <v>327</v>
      </c>
      <c r="C1165" s="1">
        <v>12.695</v>
      </c>
      <c r="D1165" s="1" t="s">
        <v>292</v>
      </c>
      <c r="E1165" s="1" t="s">
        <v>101</v>
      </c>
    </row>
    <row r="1166" spans="1:5" ht="17.25" customHeight="1" x14ac:dyDescent="0.25">
      <c r="A1166" s="1">
        <v>2458694.3863499998</v>
      </c>
      <c r="B1166" s="1" t="s">
        <v>327</v>
      </c>
      <c r="C1166" s="1">
        <v>12.714</v>
      </c>
      <c r="D1166" s="1" t="s">
        <v>292</v>
      </c>
      <c r="E1166" s="1" t="s">
        <v>101</v>
      </c>
    </row>
    <row r="1167" spans="1:5" ht="17.25" customHeight="1" x14ac:dyDescent="0.25">
      <c r="A1167" s="1">
        <v>2458697.3930000002</v>
      </c>
      <c r="B1167" s="1" t="s">
        <v>328</v>
      </c>
      <c r="C1167" s="1">
        <v>12.685</v>
      </c>
      <c r="D1167" s="1" t="s">
        <v>292</v>
      </c>
      <c r="E1167" s="1" t="s">
        <v>101</v>
      </c>
    </row>
    <row r="1168" spans="1:5" ht="17.25" customHeight="1" x14ac:dyDescent="0.25">
      <c r="A1168" s="1">
        <v>2458697.3933199998</v>
      </c>
      <c r="B1168" s="1" t="s">
        <v>328</v>
      </c>
      <c r="C1168" s="1">
        <v>12.702999999999999</v>
      </c>
      <c r="D1168" s="1" t="s">
        <v>292</v>
      </c>
      <c r="E1168" s="1" t="s">
        <v>101</v>
      </c>
    </row>
    <row r="1169" spans="1:5" ht="17.25" customHeight="1" x14ac:dyDescent="0.25">
      <c r="A1169" s="1">
        <v>2458698.3816999998</v>
      </c>
      <c r="B1169" s="1" t="s">
        <v>329</v>
      </c>
      <c r="C1169" s="1">
        <v>12.657</v>
      </c>
      <c r="D1169" s="1" t="s">
        <v>292</v>
      </c>
      <c r="E1169" s="1" t="s">
        <v>101</v>
      </c>
    </row>
    <row r="1170" spans="1:5" ht="17.25" customHeight="1" x14ac:dyDescent="0.25">
      <c r="A1170" s="1">
        <v>2458698.3820099998</v>
      </c>
      <c r="B1170" s="1" t="s">
        <v>329</v>
      </c>
      <c r="C1170" s="1">
        <v>12.673999999999999</v>
      </c>
      <c r="D1170" s="1" t="s">
        <v>292</v>
      </c>
      <c r="E1170" s="1" t="s">
        <v>101</v>
      </c>
    </row>
    <row r="1171" spans="1:5" ht="17.25" customHeight="1" x14ac:dyDescent="0.25">
      <c r="A1171" s="1">
        <v>2458699.3993500001</v>
      </c>
      <c r="B1171" s="1" t="s">
        <v>330</v>
      </c>
      <c r="C1171" s="1">
        <v>12.644</v>
      </c>
      <c r="D1171" s="1" t="s">
        <v>292</v>
      </c>
      <c r="E1171" s="1" t="s">
        <v>101</v>
      </c>
    </row>
    <row r="1172" spans="1:5" ht="17.25" customHeight="1" x14ac:dyDescent="0.25">
      <c r="A1172" s="1">
        <v>2458699.3996799998</v>
      </c>
      <c r="B1172" s="1" t="s">
        <v>330</v>
      </c>
      <c r="C1172" s="1">
        <v>12.654</v>
      </c>
      <c r="D1172" s="1" t="s">
        <v>292</v>
      </c>
      <c r="E1172" s="1" t="s">
        <v>101</v>
      </c>
    </row>
    <row r="1173" spans="1:5" ht="17.25" customHeight="1" x14ac:dyDescent="0.25">
      <c r="A1173" s="1">
        <v>2458703.37402</v>
      </c>
      <c r="B1173" s="1" t="s">
        <v>331</v>
      </c>
      <c r="C1173" s="1">
        <v>12.625999999999999</v>
      </c>
      <c r="D1173" s="1" t="s">
        <v>292</v>
      </c>
      <c r="E1173" s="1" t="s">
        <v>101</v>
      </c>
    </row>
    <row r="1174" spans="1:5" ht="17.25" customHeight="1" x14ac:dyDescent="0.25">
      <c r="A1174" s="1">
        <v>2458703.3743400001</v>
      </c>
      <c r="B1174" s="1" t="s">
        <v>331</v>
      </c>
      <c r="C1174" s="1">
        <v>12.605</v>
      </c>
      <c r="D1174" s="1" t="s">
        <v>292</v>
      </c>
      <c r="E1174" s="1" t="s">
        <v>101</v>
      </c>
    </row>
    <row r="1175" spans="1:5" ht="17.25" customHeight="1" x14ac:dyDescent="0.25">
      <c r="A1175" s="1">
        <v>2458706.3749299999</v>
      </c>
      <c r="B1175" s="1" t="s">
        <v>332</v>
      </c>
      <c r="C1175" s="1">
        <v>12.573</v>
      </c>
      <c r="D1175" s="1" t="s">
        <v>292</v>
      </c>
      <c r="E1175" s="1" t="s">
        <v>101</v>
      </c>
    </row>
    <row r="1176" spans="1:5" ht="17.25" customHeight="1" x14ac:dyDescent="0.25">
      <c r="A1176" s="1">
        <v>2458706.37525</v>
      </c>
      <c r="B1176" s="1" t="s">
        <v>332</v>
      </c>
      <c r="C1176" s="1">
        <v>12.568</v>
      </c>
      <c r="D1176" s="1" t="s">
        <v>292</v>
      </c>
      <c r="E1176" s="1" t="s">
        <v>101</v>
      </c>
    </row>
    <row r="1177" spans="1:5" ht="17.25" customHeight="1" x14ac:dyDescent="0.25">
      <c r="A1177" s="1">
        <v>2458707.6997099998</v>
      </c>
      <c r="B1177" s="1" t="s">
        <v>333</v>
      </c>
      <c r="C1177" s="1">
        <v>12.625</v>
      </c>
      <c r="D1177" s="1" t="s">
        <v>292</v>
      </c>
      <c r="E1177" s="1" t="s">
        <v>131</v>
      </c>
    </row>
    <row r="1178" spans="1:5" ht="17.25" customHeight="1" x14ac:dyDescent="0.25">
      <c r="A1178" s="1">
        <v>2458708.3743099999</v>
      </c>
      <c r="B1178" s="1" t="s">
        <v>333</v>
      </c>
      <c r="C1178" s="1">
        <v>12.579000000000001</v>
      </c>
      <c r="D1178" s="1" t="s">
        <v>292</v>
      </c>
      <c r="E1178" s="1" t="s">
        <v>101</v>
      </c>
    </row>
    <row r="1179" spans="1:5" ht="17.25" customHeight="1" x14ac:dyDescent="0.25">
      <c r="A1179" s="1">
        <v>2458708.3746500001</v>
      </c>
      <c r="B1179" s="1" t="s">
        <v>333</v>
      </c>
      <c r="C1179" s="1">
        <v>12.528</v>
      </c>
      <c r="D1179" s="1" t="s">
        <v>292</v>
      </c>
      <c r="E1179" s="1" t="s">
        <v>101</v>
      </c>
    </row>
    <row r="1180" spans="1:5" ht="17.25" customHeight="1" x14ac:dyDescent="0.25">
      <c r="A1180" s="1">
        <v>2458714.3632499999</v>
      </c>
      <c r="B1180" s="1" t="s">
        <v>334</v>
      </c>
      <c r="C1180" s="1">
        <v>12.555999999999999</v>
      </c>
      <c r="D1180" s="1" t="s">
        <v>292</v>
      </c>
      <c r="E1180" s="1" t="s">
        <v>101</v>
      </c>
    </row>
    <row r="1181" spans="1:5" ht="17.25" customHeight="1" x14ac:dyDescent="0.25">
      <c r="A1181" s="1">
        <v>2458714.3636099999</v>
      </c>
      <c r="B1181" s="1" t="s">
        <v>334</v>
      </c>
      <c r="C1181" s="1">
        <v>12.582000000000001</v>
      </c>
      <c r="D1181" s="1" t="s">
        <v>292</v>
      </c>
      <c r="E1181" s="1" t="s">
        <v>101</v>
      </c>
    </row>
    <row r="1182" spans="1:5" ht="17.25" customHeight="1" x14ac:dyDescent="0.25">
      <c r="A1182" s="1">
        <v>2458715.3665900002</v>
      </c>
      <c r="B1182" s="1" t="s">
        <v>335</v>
      </c>
      <c r="C1182" s="1">
        <v>12.56</v>
      </c>
      <c r="D1182" s="1" t="s">
        <v>292</v>
      </c>
      <c r="E1182" s="1" t="s">
        <v>101</v>
      </c>
    </row>
    <row r="1183" spans="1:5" ht="17.25" customHeight="1" x14ac:dyDescent="0.25">
      <c r="A1183" s="1">
        <v>2458715.36693</v>
      </c>
      <c r="B1183" s="1" t="s">
        <v>335</v>
      </c>
      <c r="C1183" s="1">
        <v>12.563000000000001</v>
      </c>
      <c r="D1183" s="1" t="s">
        <v>292</v>
      </c>
      <c r="E1183" s="1" t="s">
        <v>101</v>
      </c>
    </row>
    <row r="1184" spans="1:5" ht="17.25" customHeight="1" x14ac:dyDescent="0.25">
      <c r="A1184" s="1">
        <v>2458716.3479200001</v>
      </c>
      <c r="B1184" s="1" t="s">
        <v>336</v>
      </c>
      <c r="C1184" s="1">
        <v>12.54</v>
      </c>
      <c r="D1184" s="1" t="s">
        <v>292</v>
      </c>
      <c r="E1184" s="1" t="s">
        <v>5</v>
      </c>
    </row>
    <row r="1185" spans="1:5" ht="17.25" customHeight="1" x14ac:dyDescent="0.25">
      <c r="A1185" s="1">
        <v>2458717.3635499999</v>
      </c>
      <c r="B1185" s="1" t="s">
        <v>337</v>
      </c>
      <c r="C1185" s="1">
        <v>12.564</v>
      </c>
      <c r="D1185" s="1" t="s">
        <v>292</v>
      </c>
      <c r="E1185" s="1" t="s">
        <v>101</v>
      </c>
    </row>
    <row r="1186" spans="1:5" ht="17.25" customHeight="1" x14ac:dyDescent="0.25">
      <c r="A1186" s="1">
        <v>2458717.36387</v>
      </c>
      <c r="B1186" s="1" t="s">
        <v>337</v>
      </c>
      <c r="C1186" s="1">
        <v>12.561</v>
      </c>
      <c r="D1186" s="1" t="s">
        <v>292</v>
      </c>
      <c r="E1186" s="1" t="s">
        <v>101</v>
      </c>
    </row>
    <row r="1187" spans="1:5" ht="17.25" customHeight="1" x14ac:dyDescent="0.25">
      <c r="A1187" s="1">
        <v>2458720.3362500002</v>
      </c>
      <c r="B1187" s="1" t="s">
        <v>338</v>
      </c>
      <c r="C1187" s="1">
        <v>12.552</v>
      </c>
      <c r="D1187" s="1" t="s">
        <v>292</v>
      </c>
      <c r="E1187" s="1" t="s">
        <v>101</v>
      </c>
    </row>
    <row r="1188" spans="1:5" ht="17.25" customHeight="1" x14ac:dyDescent="0.25">
      <c r="A1188" s="1">
        <v>2458720.3365699998</v>
      </c>
      <c r="B1188" s="1" t="s">
        <v>338</v>
      </c>
      <c r="C1188" s="1">
        <v>12.541</v>
      </c>
      <c r="D1188" s="1" t="s">
        <v>292</v>
      </c>
      <c r="E1188" s="1" t="s">
        <v>101</v>
      </c>
    </row>
    <row r="1189" spans="1:5" ht="17.25" customHeight="1" x14ac:dyDescent="0.25">
      <c r="A1189" s="1">
        <v>2458721.6703599999</v>
      </c>
      <c r="B1189" s="1" t="s">
        <v>339</v>
      </c>
      <c r="C1189" s="1">
        <v>12.622999999999999</v>
      </c>
      <c r="D1189" s="1" t="s">
        <v>292</v>
      </c>
      <c r="E1189" s="1" t="s">
        <v>131</v>
      </c>
    </row>
    <row r="1190" spans="1:5" ht="17.25" customHeight="1" x14ac:dyDescent="0.25">
      <c r="A1190" s="1">
        <v>2458722.3391900002</v>
      </c>
      <c r="B1190" s="1" t="s">
        <v>339</v>
      </c>
      <c r="C1190" s="1">
        <v>12.586</v>
      </c>
      <c r="D1190" s="1" t="s">
        <v>292</v>
      </c>
      <c r="E1190" s="1" t="s">
        <v>101</v>
      </c>
    </row>
    <row r="1191" spans="1:5" ht="17.25" customHeight="1" x14ac:dyDescent="0.25">
      <c r="A1191" s="1">
        <v>2458722.3394999998</v>
      </c>
      <c r="B1191" s="1" t="s">
        <v>339</v>
      </c>
      <c r="C1191" s="1">
        <v>12.567</v>
      </c>
      <c r="D1191" s="1" t="s">
        <v>292</v>
      </c>
      <c r="E1191" s="1" t="s">
        <v>101</v>
      </c>
    </row>
    <row r="1192" spans="1:5" ht="17.25" customHeight="1" x14ac:dyDescent="0.25">
      <c r="A1192" s="1">
        <v>2458726.3361200001</v>
      </c>
      <c r="B1192" s="1" t="s">
        <v>340</v>
      </c>
      <c r="C1192" s="1">
        <v>12.555</v>
      </c>
      <c r="D1192" s="1" t="s">
        <v>292</v>
      </c>
      <c r="E1192" s="1" t="s">
        <v>101</v>
      </c>
    </row>
    <row r="1193" spans="1:5" ht="17.25" customHeight="1" x14ac:dyDescent="0.25">
      <c r="A1193" s="1">
        <v>2458726.3364400002</v>
      </c>
      <c r="B1193" s="1" t="s">
        <v>340</v>
      </c>
      <c r="C1193" s="1">
        <v>12.531000000000001</v>
      </c>
      <c r="D1193" s="1" t="s">
        <v>292</v>
      </c>
      <c r="E1193" s="1" t="s">
        <v>101</v>
      </c>
    </row>
    <row r="1194" spans="1:5" ht="17.25" customHeight="1" x14ac:dyDescent="0.25">
      <c r="A1194" s="1">
        <v>2458727.7845299998</v>
      </c>
      <c r="B1194" s="1" t="s">
        <v>341</v>
      </c>
      <c r="C1194" s="1">
        <v>12.584</v>
      </c>
      <c r="D1194" s="1" t="s">
        <v>292</v>
      </c>
      <c r="E1194" s="1" t="s">
        <v>131</v>
      </c>
    </row>
    <row r="1195" spans="1:5" ht="17.25" customHeight="1" x14ac:dyDescent="0.25">
      <c r="A1195" s="1">
        <v>2458728.3474499998</v>
      </c>
      <c r="B1195" s="1" t="s">
        <v>341</v>
      </c>
      <c r="C1195" s="1">
        <v>12.531000000000001</v>
      </c>
      <c r="D1195" s="1" t="s">
        <v>292</v>
      </c>
      <c r="E1195" s="1" t="s">
        <v>101</v>
      </c>
    </row>
    <row r="1196" spans="1:5" ht="17.25" customHeight="1" x14ac:dyDescent="0.25">
      <c r="A1196" s="1">
        <v>2458728.3478000001</v>
      </c>
      <c r="B1196" s="1" t="s">
        <v>341</v>
      </c>
      <c r="C1196" s="1">
        <v>12.53</v>
      </c>
      <c r="D1196" s="1" t="s">
        <v>292</v>
      </c>
      <c r="E1196" s="1" t="s">
        <v>101</v>
      </c>
    </row>
    <row r="1197" spans="1:5" ht="17.25" customHeight="1" x14ac:dyDescent="0.25">
      <c r="A1197" s="1">
        <v>2458731.3208400002</v>
      </c>
      <c r="B1197" s="1" t="s">
        <v>342</v>
      </c>
      <c r="C1197" s="1">
        <v>12.507</v>
      </c>
      <c r="D1197" s="1" t="s">
        <v>292</v>
      </c>
      <c r="E1197" s="1" t="s">
        <v>101</v>
      </c>
    </row>
    <row r="1198" spans="1:5" ht="17.25" customHeight="1" x14ac:dyDescent="0.25">
      <c r="A1198" s="1">
        <v>2458731.3211699999</v>
      </c>
      <c r="B1198" s="1" t="s">
        <v>342</v>
      </c>
      <c r="C1198" s="1">
        <v>12.516999999999999</v>
      </c>
      <c r="D1198" s="1" t="s">
        <v>292</v>
      </c>
      <c r="E1198" s="1" t="s">
        <v>101</v>
      </c>
    </row>
    <row r="1199" spans="1:5" ht="17.25" customHeight="1" x14ac:dyDescent="0.25">
      <c r="A1199" s="1">
        <v>2458739.6613099999</v>
      </c>
      <c r="B1199" s="1" t="s">
        <v>343</v>
      </c>
      <c r="C1199" s="1">
        <v>12.456</v>
      </c>
      <c r="D1199" s="1" t="s">
        <v>292</v>
      </c>
      <c r="E1199" s="1" t="s">
        <v>344</v>
      </c>
    </row>
    <row r="1200" spans="1:5" ht="17.25" customHeight="1" x14ac:dyDescent="0.25">
      <c r="A1200" s="1">
        <v>2458739.7137000002</v>
      </c>
      <c r="B1200" s="1" t="s">
        <v>343</v>
      </c>
      <c r="C1200" s="1">
        <v>12.456</v>
      </c>
      <c r="D1200" s="1" t="s">
        <v>292</v>
      </c>
      <c r="E1200" s="1" t="s">
        <v>344</v>
      </c>
    </row>
    <row r="1201" spans="1:5" ht="17.25" customHeight="1" x14ac:dyDescent="0.25">
      <c r="A1201" s="1">
        <v>2458739.76957</v>
      </c>
      <c r="B1201" s="1" t="s">
        <v>343</v>
      </c>
      <c r="C1201" s="1">
        <v>12.45</v>
      </c>
      <c r="D1201" s="1" t="s">
        <v>292</v>
      </c>
      <c r="E1201" s="1" t="s">
        <v>344</v>
      </c>
    </row>
    <row r="1202" spans="1:5" ht="17.25" customHeight="1" x14ac:dyDescent="0.25">
      <c r="A1202" s="1">
        <v>2458740.3055599998</v>
      </c>
      <c r="B1202" s="1" t="s">
        <v>343</v>
      </c>
      <c r="C1202" s="1">
        <v>12.433</v>
      </c>
      <c r="D1202" s="1" t="s">
        <v>292</v>
      </c>
      <c r="E1202" s="1" t="s">
        <v>101</v>
      </c>
    </row>
    <row r="1203" spans="1:5" ht="17.25" customHeight="1" x14ac:dyDescent="0.25">
      <c r="A1203" s="1">
        <v>2458740.3058699998</v>
      </c>
      <c r="B1203" s="1" t="s">
        <v>343</v>
      </c>
      <c r="C1203" s="1">
        <v>12.45</v>
      </c>
      <c r="D1203" s="1" t="s">
        <v>292</v>
      </c>
      <c r="E1203" s="1" t="s">
        <v>101</v>
      </c>
    </row>
    <row r="1204" spans="1:5" ht="17.25" customHeight="1" x14ac:dyDescent="0.25">
      <c r="A1204" s="1">
        <v>2458744.3232900002</v>
      </c>
      <c r="B1204" s="1" t="s">
        <v>345</v>
      </c>
      <c r="C1204" s="1">
        <v>12.423</v>
      </c>
      <c r="D1204" s="1" t="s">
        <v>292</v>
      </c>
      <c r="E1204" s="1" t="s">
        <v>101</v>
      </c>
    </row>
    <row r="1205" spans="1:5" ht="17.25" customHeight="1" x14ac:dyDescent="0.25">
      <c r="A1205" s="1">
        <v>2458744.3235999998</v>
      </c>
      <c r="B1205" s="1" t="s">
        <v>345</v>
      </c>
      <c r="C1205" s="1">
        <v>12.432</v>
      </c>
      <c r="D1205" s="1" t="s">
        <v>292</v>
      </c>
      <c r="E1205" s="1" t="s">
        <v>101</v>
      </c>
    </row>
    <row r="1206" spans="1:5" ht="17.25" customHeight="1" x14ac:dyDescent="0.25">
      <c r="A1206" s="1">
        <v>2458745.3116100002</v>
      </c>
      <c r="B1206" s="1" t="s">
        <v>346</v>
      </c>
      <c r="C1206" s="1">
        <v>12.428000000000001</v>
      </c>
      <c r="D1206" s="1" t="s">
        <v>292</v>
      </c>
      <c r="E1206" s="1" t="s">
        <v>101</v>
      </c>
    </row>
    <row r="1207" spans="1:5" ht="17.25" customHeight="1" x14ac:dyDescent="0.25">
      <c r="A1207" s="1">
        <v>2458745.3119199998</v>
      </c>
      <c r="B1207" s="1" t="s">
        <v>346</v>
      </c>
      <c r="C1207" s="1">
        <v>12.420999999999999</v>
      </c>
      <c r="D1207" s="1" t="s">
        <v>292</v>
      </c>
      <c r="E1207" s="1" t="s">
        <v>101</v>
      </c>
    </row>
    <row r="1208" spans="1:5" ht="17.25" customHeight="1" x14ac:dyDescent="0.25">
      <c r="A1208" s="1">
        <v>2458747.2899000002</v>
      </c>
      <c r="B1208" s="1" t="s">
        <v>347</v>
      </c>
      <c r="C1208" s="1">
        <v>12.412000000000001</v>
      </c>
      <c r="D1208" s="1" t="s">
        <v>292</v>
      </c>
      <c r="E1208" s="1" t="s">
        <v>101</v>
      </c>
    </row>
    <row r="1209" spans="1:5" ht="17.25" customHeight="1" x14ac:dyDescent="0.25">
      <c r="A1209" s="1">
        <v>2458747.2902099998</v>
      </c>
      <c r="B1209" s="1" t="s">
        <v>347</v>
      </c>
      <c r="C1209" s="1">
        <v>12.359</v>
      </c>
      <c r="D1209" s="1" t="s">
        <v>292</v>
      </c>
      <c r="E1209" s="1" t="s">
        <v>101</v>
      </c>
    </row>
    <row r="1210" spans="1:5" ht="17.25" customHeight="1" x14ac:dyDescent="0.25">
      <c r="A1210" s="1">
        <v>2458747.7045800001</v>
      </c>
      <c r="B1210" s="1" t="s">
        <v>348</v>
      </c>
      <c r="C1210" s="1">
        <v>12.409000000000001</v>
      </c>
      <c r="D1210" s="1" t="s">
        <v>292</v>
      </c>
      <c r="E1210" s="1" t="s">
        <v>344</v>
      </c>
    </row>
    <row r="1211" spans="1:5" ht="17.25" customHeight="1" x14ac:dyDescent="0.25">
      <c r="A1211" s="1">
        <v>2458748.2513899999</v>
      </c>
      <c r="B1211" s="1" t="s">
        <v>348</v>
      </c>
      <c r="C1211" s="1">
        <v>12.36</v>
      </c>
      <c r="D1211" s="1" t="s">
        <v>292</v>
      </c>
      <c r="E1211" s="1" t="s">
        <v>5</v>
      </c>
    </row>
    <row r="1212" spans="1:5" ht="17.25" customHeight="1" x14ac:dyDescent="0.25">
      <c r="A1212" s="1">
        <v>2458753.63582</v>
      </c>
      <c r="B1212" s="1" t="s">
        <v>349</v>
      </c>
      <c r="C1212" s="1">
        <v>12.435</v>
      </c>
      <c r="D1212" s="1" t="s">
        <v>292</v>
      </c>
      <c r="E1212" s="1" t="s">
        <v>131</v>
      </c>
    </row>
    <row r="1213" spans="1:5" ht="17.25" customHeight="1" x14ac:dyDescent="0.25">
      <c r="A1213" s="1">
        <v>2458759.31183</v>
      </c>
      <c r="B1213" s="1" t="s">
        <v>351</v>
      </c>
      <c r="C1213" s="1">
        <v>12.342000000000001</v>
      </c>
      <c r="D1213" s="1" t="s">
        <v>292</v>
      </c>
      <c r="E1213" s="1" t="s">
        <v>101</v>
      </c>
    </row>
    <row r="1214" spans="1:5" ht="17.25" customHeight="1" x14ac:dyDescent="0.25">
      <c r="A1214" s="1">
        <v>2458759.3121500001</v>
      </c>
      <c r="B1214" s="1" t="s">
        <v>351</v>
      </c>
      <c r="C1214" s="1">
        <v>12.356999999999999</v>
      </c>
      <c r="D1214" s="1" t="s">
        <v>292</v>
      </c>
      <c r="E1214" s="1" t="s">
        <v>101</v>
      </c>
    </row>
    <row r="1215" spans="1:5" ht="17.25" customHeight="1" x14ac:dyDescent="0.25">
      <c r="A1215" s="1">
        <v>2458761.2950599999</v>
      </c>
      <c r="B1215" s="1" t="s">
        <v>352</v>
      </c>
      <c r="C1215" s="1">
        <v>12.337999999999999</v>
      </c>
      <c r="D1215" s="1" t="s">
        <v>292</v>
      </c>
      <c r="E1215" s="1" t="s">
        <v>101</v>
      </c>
    </row>
    <row r="1216" spans="1:5" ht="17.25" customHeight="1" x14ac:dyDescent="0.25">
      <c r="A1216" s="1">
        <v>2458761.2953699999</v>
      </c>
      <c r="B1216" s="1" t="s">
        <v>352</v>
      </c>
      <c r="C1216" s="1">
        <v>12.317</v>
      </c>
      <c r="D1216" s="1" t="s">
        <v>292</v>
      </c>
      <c r="E1216" s="1" t="s">
        <v>101</v>
      </c>
    </row>
    <row r="1217" spans="1:5" ht="17.25" customHeight="1" x14ac:dyDescent="0.25">
      <c r="A1217" s="1">
        <v>2458762.64475</v>
      </c>
      <c r="B1217" s="1" t="s">
        <v>353</v>
      </c>
      <c r="C1217" s="1">
        <v>12.372</v>
      </c>
      <c r="D1217" s="1" t="s">
        <v>292</v>
      </c>
      <c r="E1217" s="1" t="s">
        <v>131</v>
      </c>
    </row>
    <row r="1218" spans="1:5" ht="17.25" customHeight="1" x14ac:dyDescent="0.25">
      <c r="A1218" s="1">
        <v>2458765.2626999998</v>
      </c>
      <c r="B1218" s="1" t="s">
        <v>354</v>
      </c>
      <c r="C1218" s="1">
        <v>12.346</v>
      </c>
      <c r="D1218" s="1" t="s">
        <v>292</v>
      </c>
      <c r="E1218" s="1" t="s">
        <v>101</v>
      </c>
    </row>
    <row r="1219" spans="1:5" ht="17.25" customHeight="1" x14ac:dyDescent="0.25">
      <c r="A1219" s="1">
        <v>2458765.2630099999</v>
      </c>
      <c r="B1219" s="1" t="s">
        <v>354</v>
      </c>
      <c r="C1219" s="1">
        <v>12.333</v>
      </c>
      <c r="D1219" s="1" t="s">
        <v>292</v>
      </c>
      <c r="E1219" s="1" t="s">
        <v>101</v>
      </c>
    </row>
    <row r="1220" spans="1:5" ht="17.25" customHeight="1" x14ac:dyDescent="0.25">
      <c r="A1220" s="1">
        <v>2458768.69416</v>
      </c>
      <c r="B1220" s="1" t="s">
        <v>355</v>
      </c>
      <c r="C1220" s="1">
        <v>12.355</v>
      </c>
      <c r="D1220" s="1" t="s">
        <v>292</v>
      </c>
      <c r="E1220" s="1" t="s">
        <v>131</v>
      </c>
    </row>
    <row r="1221" spans="1:5" ht="17.25" customHeight="1" x14ac:dyDescent="0.25">
      <c r="A1221" s="1">
        <v>2458773.62249</v>
      </c>
      <c r="B1221" s="1" t="s">
        <v>356</v>
      </c>
      <c r="C1221" s="1">
        <v>12.318</v>
      </c>
      <c r="D1221" s="1" t="s">
        <v>292</v>
      </c>
      <c r="E1221" s="1" t="s">
        <v>131</v>
      </c>
    </row>
    <row r="1222" spans="1:5" ht="17.25" customHeight="1" x14ac:dyDescent="0.25">
      <c r="A1222" s="1">
        <v>2458780.5840699999</v>
      </c>
      <c r="B1222" s="1" t="s">
        <v>358</v>
      </c>
      <c r="C1222" s="1">
        <v>12.3</v>
      </c>
      <c r="D1222" s="1" t="s">
        <v>292</v>
      </c>
      <c r="E1222" s="1" t="s">
        <v>131</v>
      </c>
    </row>
  </sheetData>
  <autoFilter ref="A1:E1222" xr:uid="{F7047E61-8E7F-45B7-A5B6-2301AEF40686}">
    <filterColumn colId="4">
      <filters>
        <filter val="ATE"/>
        <filter val="BDG"/>
        <filter val="DFS"/>
        <filter val="DUBF"/>
        <filter val="HJW"/>
        <filter val="HMB"/>
        <filter val="HMH"/>
        <filter val="KCLA"/>
        <filter val="LGIB"/>
        <filter val="LPAC"/>
        <filter val="OCN"/>
        <filter val="PXR"/>
        <filter val="RCCA"/>
        <filter val="RZD"/>
        <filter val="SDM"/>
        <filter val="SRIC"/>
        <filter val="TIA"/>
        <filter val="TRT"/>
        <filter val="VBPA"/>
      </filters>
    </filterColumn>
  </autoFilter>
  <sortState xmlns:xlrd2="http://schemas.microsoft.com/office/spreadsheetml/2017/richdata2" ref="A1:C949">
    <sortCondition ref="A1:A949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3D61E-1860-4383-AF2D-8E68D4F8A303}">
  <sheetPr codeName="Feuil7"/>
  <dimension ref="A3:E227"/>
  <sheetViews>
    <sheetView workbookViewId="0">
      <selection activeCell="D1" sqref="D1:E1048576"/>
    </sheetView>
  </sheetViews>
  <sheetFormatPr baseColWidth="10" defaultRowHeight="15" x14ac:dyDescent="0.25"/>
  <cols>
    <col min="1" max="1" width="21" bestFit="1" customWidth="1"/>
    <col min="2" max="2" width="16.5703125" bestFit="1" customWidth="1"/>
  </cols>
  <sheetData>
    <row r="3" spans="1:5" x14ac:dyDescent="0.25">
      <c r="A3" s="58" t="s">
        <v>362</v>
      </c>
      <c r="B3" t="s">
        <v>365</v>
      </c>
    </row>
    <row r="4" spans="1:5" x14ac:dyDescent="0.25">
      <c r="A4" s="59">
        <v>8341.1</v>
      </c>
      <c r="B4" s="60">
        <v>10.87</v>
      </c>
      <c r="D4">
        <f>+A4</f>
        <v>8341.1</v>
      </c>
      <c r="E4">
        <f>+B4</f>
        <v>10.87</v>
      </c>
    </row>
    <row r="5" spans="1:5" x14ac:dyDescent="0.25">
      <c r="A5" s="59">
        <v>8342.6</v>
      </c>
      <c r="B5" s="60">
        <v>10.9496</v>
      </c>
      <c r="D5">
        <f t="shared" ref="D5:D68" si="0">+A5</f>
        <v>8342.6</v>
      </c>
      <c r="E5">
        <f t="shared" ref="E5:E68" si="1">+B5</f>
        <v>10.9496</v>
      </c>
    </row>
    <row r="6" spans="1:5" x14ac:dyDescent="0.25">
      <c r="A6" s="59">
        <v>8342.7000000000007</v>
      </c>
      <c r="B6" s="60">
        <v>10.984473684210528</v>
      </c>
      <c r="D6">
        <f t="shared" si="0"/>
        <v>8342.7000000000007</v>
      </c>
      <c r="E6">
        <f t="shared" si="1"/>
        <v>10.984473684210528</v>
      </c>
    </row>
    <row r="7" spans="1:5" x14ac:dyDescent="0.25">
      <c r="A7" s="59">
        <v>8343.2999999999993</v>
      </c>
      <c r="B7" s="60">
        <v>10.869</v>
      </c>
      <c r="D7">
        <f t="shared" si="0"/>
        <v>8343.2999999999993</v>
      </c>
      <c r="E7">
        <f t="shared" si="1"/>
        <v>10.869</v>
      </c>
    </row>
    <row r="8" spans="1:5" x14ac:dyDescent="0.25">
      <c r="A8" s="59">
        <v>8343.5</v>
      </c>
      <c r="B8" s="60">
        <v>10.8895</v>
      </c>
      <c r="D8">
        <f t="shared" si="0"/>
        <v>8343.5</v>
      </c>
      <c r="E8">
        <f t="shared" si="1"/>
        <v>10.8895</v>
      </c>
    </row>
    <row r="9" spans="1:5" x14ac:dyDescent="0.25">
      <c r="A9" s="59">
        <v>8343.7000000000007</v>
      </c>
      <c r="B9" s="60">
        <v>11.03911111111111</v>
      </c>
      <c r="D9">
        <f t="shared" si="0"/>
        <v>8343.7000000000007</v>
      </c>
      <c r="E9">
        <f t="shared" si="1"/>
        <v>11.03911111111111</v>
      </c>
    </row>
    <row r="10" spans="1:5" x14ac:dyDescent="0.25">
      <c r="A10" s="59">
        <v>8344.2999999999993</v>
      </c>
      <c r="B10" s="60">
        <v>10.911200000000003</v>
      </c>
      <c r="D10">
        <f t="shared" si="0"/>
        <v>8344.2999999999993</v>
      </c>
      <c r="E10">
        <f t="shared" si="1"/>
        <v>10.911200000000003</v>
      </c>
    </row>
    <row r="11" spans="1:5" x14ac:dyDescent="0.25">
      <c r="A11" s="59">
        <v>8344.4</v>
      </c>
      <c r="B11" s="60">
        <v>10.833942307692306</v>
      </c>
      <c r="D11">
        <f t="shared" si="0"/>
        <v>8344.4</v>
      </c>
      <c r="E11">
        <f t="shared" si="1"/>
        <v>10.833942307692306</v>
      </c>
    </row>
    <row r="12" spans="1:5" x14ac:dyDescent="0.25">
      <c r="A12" s="59">
        <v>8344.6</v>
      </c>
      <c r="B12" s="60">
        <v>10.917999999999999</v>
      </c>
      <c r="D12">
        <f t="shared" si="0"/>
        <v>8344.6</v>
      </c>
      <c r="E12">
        <f t="shared" si="1"/>
        <v>10.917999999999999</v>
      </c>
    </row>
    <row r="13" spans="1:5" x14ac:dyDescent="0.25">
      <c r="A13" s="59">
        <v>8345.4</v>
      </c>
      <c r="B13" s="60">
        <v>10.780354838709679</v>
      </c>
      <c r="D13">
        <f t="shared" si="0"/>
        <v>8345.4</v>
      </c>
      <c r="E13">
        <f t="shared" si="1"/>
        <v>10.780354838709679</v>
      </c>
    </row>
    <row r="14" spans="1:5" x14ac:dyDescent="0.25">
      <c r="A14" s="59">
        <v>8345.5</v>
      </c>
      <c r="B14" s="60">
        <v>10.80115909090909</v>
      </c>
      <c r="D14">
        <f t="shared" si="0"/>
        <v>8345.5</v>
      </c>
      <c r="E14">
        <f t="shared" si="1"/>
        <v>10.80115909090909</v>
      </c>
    </row>
    <row r="15" spans="1:5" x14ac:dyDescent="0.25">
      <c r="A15" s="59">
        <v>8345.7000000000007</v>
      </c>
      <c r="B15" s="60">
        <v>10.847233333333332</v>
      </c>
      <c r="D15">
        <f t="shared" si="0"/>
        <v>8345.7000000000007</v>
      </c>
      <c r="E15">
        <f t="shared" si="1"/>
        <v>10.847233333333332</v>
      </c>
    </row>
    <row r="16" spans="1:5" x14ac:dyDescent="0.25">
      <c r="A16" s="59">
        <v>8345.7999999999993</v>
      </c>
      <c r="B16" s="60">
        <v>10.859499999999999</v>
      </c>
      <c r="D16">
        <f t="shared" si="0"/>
        <v>8345.7999999999993</v>
      </c>
      <c r="E16">
        <f t="shared" si="1"/>
        <v>10.859499999999999</v>
      </c>
    </row>
    <row r="17" spans="1:5" x14ac:dyDescent="0.25">
      <c r="A17" s="59">
        <v>8346.7000000000007</v>
      </c>
      <c r="B17" s="60">
        <v>10.909647058823531</v>
      </c>
      <c r="D17">
        <f t="shared" si="0"/>
        <v>8346.7000000000007</v>
      </c>
      <c r="E17">
        <f t="shared" si="1"/>
        <v>10.909647058823531</v>
      </c>
    </row>
    <row r="18" spans="1:5" x14ac:dyDescent="0.25">
      <c r="A18" s="59">
        <v>8346.7999999999993</v>
      </c>
      <c r="B18" s="60">
        <v>10.909500000000001</v>
      </c>
      <c r="D18">
        <f t="shared" si="0"/>
        <v>8346.7999999999993</v>
      </c>
      <c r="E18">
        <f t="shared" si="1"/>
        <v>10.909500000000001</v>
      </c>
    </row>
    <row r="19" spans="1:5" x14ac:dyDescent="0.25">
      <c r="A19" s="59">
        <v>8346.9</v>
      </c>
      <c r="B19" s="60">
        <v>10.892333333333333</v>
      </c>
      <c r="D19">
        <f t="shared" si="0"/>
        <v>8346.9</v>
      </c>
      <c r="E19">
        <f t="shared" si="1"/>
        <v>10.892333333333333</v>
      </c>
    </row>
    <row r="20" spans="1:5" x14ac:dyDescent="0.25">
      <c r="A20" s="59">
        <v>8347.4</v>
      </c>
      <c r="B20" s="60">
        <v>10.919</v>
      </c>
      <c r="D20">
        <f t="shared" si="0"/>
        <v>8347.4</v>
      </c>
      <c r="E20">
        <f t="shared" si="1"/>
        <v>10.919</v>
      </c>
    </row>
    <row r="21" spans="1:5" x14ac:dyDescent="0.25">
      <c r="A21" s="59">
        <v>8349.5</v>
      </c>
      <c r="B21" s="60">
        <v>10.865500000000001</v>
      </c>
      <c r="D21">
        <f t="shared" si="0"/>
        <v>8349.5</v>
      </c>
      <c r="E21">
        <f t="shared" si="1"/>
        <v>10.865500000000001</v>
      </c>
    </row>
    <row r="22" spans="1:5" x14ac:dyDescent="0.25">
      <c r="A22" s="59">
        <v>8350.5</v>
      </c>
      <c r="B22" s="60">
        <v>10.866</v>
      </c>
      <c r="D22">
        <f t="shared" si="0"/>
        <v>8350.5</v>
      </c>
      <c r="E22">
        <f t="shared" si="1"/>
        <v>10.866</v>
      </c>
    </row>
    <row r="23" spans="1:5" x14ac:dyDescent="0.25">
      <c r="A23" s="59">
        <v>8351.5</v>
      </c>
      <c r="B23" s="60">
        <v>10.890499999999999</v>
      </c>
      <c r="D23">
        <f t="shared" si="0"/>
        <v>8351.5</v>
      </c>
      <c r="E23">
        <f t="shared" si="1"/>
        <v>10.890499999999999</v>
      </c>
    </row>
    <row r="24" spans="1:5" x14ac:dyDescent="0.25">
      <c r="A24" s="59">
        <v>8352.5</v>
      </c>
      <c r="B24" s="60">
        <v>10.938500000000001</v>
      </c>
      <c r="D24">
        <f t="shared" si="0"/>
        <v>8352.5</v>
      </c>
      <c r="E24">
        <f t="shared" si="1"/>
        <v>10.938500000000001</v>
      </c>
    </row>
    <row r="25" spans="1:5" x14ac:dyDescent="0.25">
      <c r="A25" s="59">
        <v>8353.4</v>
      </c>
      <c r="B25" s="60">
        <v>10.914999999999999</v>
      </c>
      <c r="D25">
        <f t="shared" si="0"/>
        <v>8353.4</v>
      </c>
      <c r="E25">
        <f t="shared" si="1"/>
        <v>10.914999999999999</v>
      </c>
    </row>
    <row r="26" spans="1:5" x14ac:dyDescent="0.25">
      <c r="A26" s="59">
        <v>8354.5</v>
      </c>
      <c r="B26" s="60">
        <v>10.919499999999999</v>
      </c>
      <c r="D26">
        <f t="shared" si="0"/>
        <v>8354.5</v>
      </c>
      <c r="E26">
        <f t="shared" si="1"/>
        <v>10.919499999999999</v>
      </c>
    </row>
    <row r="27" spans="1:5" x14ac:dyDescent="0.25">
      <c r="A27" s="59">
        <v>8355.5</v>
      </c>
      <c r="B27" s="60">
        <v>10.9175</v>
      </c>
      <c r="D27">
        <f t="shared" si="0"/>
        <v>8355.5</v>
      </c>
      <c r="E27">
        <f t="shared" si="1"/>
        <v>10.9175</v>
      </c>
    </row>
    <row r="28" spans="1:5" x14ac:dyDescent="0.25">
      <c r="A28" s="59">
        <v>8355.7999999999993</v>
      </c>
      <c r="B28" s="60">
        <v>10.933999999999999</v>
      </c>
      <c r="D28">
        <f t="shared" si="0"/>
        <v>8355.7999999999993</v>
      </c>
      <c r="E28">
        <f t="shared" si="1"/>
        <v>10.933999999999999</v>
      </c>
    </row>
    <row r="29" spans="1:5" x14ac:dyDescent="0.25">
      <c r="A29" s="59">
        <v>8356.5</v>
      </c>
      <c r="B29" s="60">
        <v>10.917999999999999</v>
      </c>
      <c r="D29">
        <f t="shared" si="0"/>
        <v>8356.5</v>
      </c>
      <c r="E29">
        <f t="shared" si="1"/>
        <v>10.917999999999999</v>
      </c>
    </row>
    <row r="30" spans="1:5" x14ac:dyDescent="0.25">
      <c r="A30" s="59">
        <v>8357.5</v>
      </c>
      <c r="B30" s="60">
        <v>10.96</v>
      </c>
      <c r="D30">
        <f t="shared" si="0"/>
        <v>8357.5</v>
      </c>
      <c r="E30">
        <f t="shared" si="1"/>
        <v>10.96</v>
      </c>
    </row>
    <row r="31" spans="1:5" x14ac:dyDescent="0.25">
      <c r="A31" s="59">
        <v>8358.5</v>
      </c>
      <c r="B31" s="60">
        <v>10.981</v>
      </c>
      <c r="D31">
        <f t="shared" si="0"/>
        <v>8358.5</v>
      </c>
      <c r="E31">
        <f t="shared" si="1"/>
        <v>10.981</v>
      </c>
    </row>
    <row r="32" spans="1:5" x14ac:dyDescent="0.25">
      <c r="A32" s="59">
        <v>8359.4</v>
      </c>
      <c r="B32" s="60">
        <v>11.001000000000001</v>
      </c>
      <c r="D32">
        <f t="shared" si="0"/>
        <v>8359.4</v>
      </c>
      <c r="E32">
        <f t="shared" si="1"/>
        <v>11.001000000000001</v>
      </c>
    </row>
    <row r="33" spans="1:5" x14ac:dyDescent="0.25">
      <c r="A33" s="59">
        <v>8359.5</v>
      </c>
      <c r="B33" s="60">
        <v>11.030999999999999</v>
      </c>
      <c r="D33">
        <f t="shared" si="0"/>
        <v>8359.5</v>
      </c>
      <c r="E33">
        <f t="shared" si="1"/>
        <v>11.030999999999999</v>
      </c>
    </row>
    <row r="34" spans="1:5" x14ac:dyDescent="0.25">
      <c r="A34" s="59">
        <v>8360.5</v>
      </c>
      <c r="B34" s="60">
        <v>11.0595</v>
      </c>
      <c r="D34">
        <f t="shared" si="0"/>
        <v>8360.5</v>
      </c>
      <c r="E34">
        <f t="shared" si="1"/>
        <v>11.0595</v>
      </c>
    </row>
    <row r="35" spans="1:5" x14ac:dyDescent="0.25">
      <c r="A35" s="59">
        <v>8361.5</v>
      </c>
      <c r="B35" s="60">
        <v>11.086</v>
      </c>
      <c r="D35">
        <f t="shared" si="0"/>
        <v>8361.5</v>
      </c>
      <c r="E35">
        <f t="shared" si="1"/>
        <v>11.086</v>
      </c>
    </row>
    <row r="36" spans="1:5" x14ac:dyDescent="0.25">
      <c r="A36" s="59">
        <v>8362.4</v>
      </c>
      <c r="B36" s="60">
        <v>11.096</v>
      </c>
      <c r="D36">
        <f t="shared" si="0"/>
        <v>8362.4</v>
      </c>
      <c r="E36">
        <f t="shared" si="1"/>
        <v>11.096</v>
      </c>
    </row>
    <row r="37" spans="1:5" x14ac:dyDescent="0.25">
      <c r="A37" s="59">
        <v>8362.5</v>
      </c>
      <c r="B37" s="60">
        <v>11.115</v>
      </c>
      <c r="D37">
        <f t="shared" si="0"/>
        <v>8362.5</v>
      </c>
      <c r="E37">
        <f t="shared" si="1"/>
        <v>11.115</v>
      </c>
    </row>
    <row r="38" spans="1:5" x14ac:dyDescent="0.25">
      <c r="A38" s="59">
        <v>8363.5</v>
      </c>
      <c r="B38" s="60">
        <v>11.1325</v>
      </c>
      <c r="D38">
        <f t="shared" si="0"/>
        <v>8363.5</v>
      </c>
      <c r="E38">
        <f t="shared" si="1"/>
        <v>11.1325</v>
      </c>
    </row>
    <row r="39" spans="1:5" x14ac:dyDescent="0.25">
      <c r="A39" s="59">
        <v>8364.2999999999993</v>
      </c>
      <c r="B39" s="60">
        <v>11.13592941176471</v>
      </c>
      <c r="D39">
        <f t="shared" si="0"/>
        <v>8364.2999999999993</v>
      </c>
      <c r="E39">
        <f t="shared" si="1"/>
        <v>11.13592941176471</v>
      </c>
    </row>
    <row r="40" spans="1:5" x14ac:dyDescent="0.25">
      <c r="A40" s="59">
        <v>8364.4</v>
      </c>
      <c r="B40" s="60">
        <v>11.135585365853661</v>
      </c>
      <c r="D40">
        <f t="shared" si="0"/>
        <v>8364.4</v>
      </c>
      <c r="E40">
        <f t="shared" si="1"/>
        <v>11.135585365853661</v>
      </c>
    </row>
    <row r="41" spans="1:5" x14ac:dyDescent="0.25">
      <c r="A41" s="59">
        <v>8364.5</v>
      </c>
      <c r="B41" s="60">
        <v>11.141500000000001</v>
      </c>
      <c r="D41">
        <f t="shared" si="0"/>
        <v>8364.5</v>
      </c>
      <c r="E41">
        <f t="shared" si="1"/>
        <v>11.141500000000001</v>
      </c>
    </row>
    <row r="42" spans="1:5" x14ac:dyDescent="0.25">
      <c r="A42" s="59">
        <v>8365.5</v>
      </c>
      <c r="B42" s="60">
        <v>11.136500000000002</v>
      </c>
      <c r="D42">
        <f t="shared" si="0"/>
        <v>8365.5</v>
      </c>
      <c r="E42">
        <f t="shared" si="1"/>
        <v>11.136500000000002</v>
      </c>
    </row>
    <row r="43" spans="1:5" x14ac:dyDescent="0.25">
      <c r="A43" s="59">
        <v>8366.4</v>
      </c>
      <c r="B43" s="60">
        <v>11.12</v>
      </c>
      <c r="D43">
        <f t="shared" si="0"/>
        <v>8366.4</v>
      </c>
      <c r="E43">
        <f t="shared" si="1"/>
        <v>11.12</v>
      </c>
    </row>
    <row r="44" spans="1:5" x14ac:dyDescent="0.25">
      <c r="A44" s="59">
        <v>8366.5</v>
      </c>
      <c r="B44" s="60">
        <v>11.182500000000001</v>
      </c>
      <c r="D44">
        <f t="shared" si="0"/>
        <v>8366.5</v>
      </c>
      <c r="E44">
        <f t="shared" si="1"/>
        <v>11.182500000000001</v>
      </c>
    </row>
    <row r="45" spans="1:5" x14ac:dyDescent="0.25">
      <c r="A45" s="59">
        <v>8367.5</v>
      </c>
      <c r="B45" s="60">
        <v>11.190999999999999</v>
      </c>
      <c r="D45">
        <f t="shared" si="0"/>
        <v>8367.5</v>
      </c>
      <c r="E45">
        <f t="shared" si="1"/>
        <v>11.190999999999999</v>
      </c>
    </row>
    <row r="46" spans="1:5" x14ac:dyDescent="0.25">
      <c r="A46" s="59">
        <v>8367.6</v>
      </c>
      <c r="B46" s="60">
        <v>11.124600000000001</v>
      </c>
      <c r="D46">
        <f t="shared" si="0"/>
        <v>8367.6</v>
      </c>
      <c r="E46">
        <f t="shared" si="1"/>
        <v>11.124600000000001</v>
      </c>
    </row>
    <row r="47" spans="1:5" x14ac:dyDescent="0.25">
      <c r="A47" s="59">
        <v>8367.7000000000007</v>
      </c>
      <c r="B47" s="60">
        <v>11.121</v>
      </c>
      <c r="D47">
        <f t="shared" si="0"/>
        <v>8367.7000000000007</v>
      </c>
      <c r="E47">
        <f t="shared" si="1"/>
        <v>11.121</v>
      </c>
    </row>
    <row r="48" spans="1:5" x14ac:dyDescent="0.25">
      <c r="A48" s="59">
        <v>8368.5</v>
      </c>
      <c r="B48" s="60">
        <v>11.2295</v>
      </c>
      <c r="D48">
        <f t="shared" si="0"/>
        <v>8368.5</v>
      </c>
      <c r="E48">
        <f t="shared" si="1"/>
        <v>11.2295</v>
      </c>
    </row>
    <row r="49" spans="1:5" x14ac:dyDescent="0.25">
      <c r="A49" s="59">
        <v>8368.6</v>
      </c>
      <c r="B49" s="60">
        <v>11.256</v>
      </c>
      <c r="D49">
        <f t="shared" si="0"/>
        <v>8368.6</v>
      </c>
      <c r="E49">
        <f t="shared" si="1"/>
        <v>11.256</v>
      </c>
    </row>
    <row r="50" spans="1:5" x14ac:dyDescent="0.25">
      <c r="A50" s="59">
        <v>8369.2999999999993</v>
      </c>
      <c r="B50" s="60">
        <v>11.23</v>
      </c>
      <c r="D50">
        <f t="shared" si="0"/>
        <v>8369.2999999999993</v>
      </c>
      <c r="E50">
        <f t="shared" si="1"/>
        <v>11.23</v>
      </c>
    </row>
    <row r="51" spans="1:5" x14ac:dyDescent="0.25">
      <c r="A51" s="59">
        <v>8369.5</v>
      </c>
      <c r="B51" s="60">
        <v>11.255500000000001</v>
      </c>
      <c r="D51">
        <f t="shared" si="0"/>
        <v>8369.5</v>
      </c>
      <c r="E51">
        <f t="shared" si="1"/>
        <v>11.255500000000001</v>
      </c>
    </row>
    <row r="52" spans="1:5" x14ac:dyDescent="0.25">
      <c r="A52" s="59">
        <v>8370.2999999999993</v>
      </c>
      <c r="B52" s="60">
        <v>11.3</v>
      </c>
      <c r="D52">
        <f t="shared" si="0"/>
        <v>8370.2999999999993</v>
      </c>
      <c r="E52">
        <f t="shared" si="1"/>
        <v>11.3</v>
      </c>
    </row>
    <row r="53" spans="1:5" x14ac:dyDescent="0.25">
      <c r="A53" s="59">
        <v>8370.5</v>
      </c>
      <c r="B53" s="60">
        <v>11.306999999999999</v>
      </c>
      <c r="D53">
        <f t="shared" si="0"/>
        <v>8370.5</v>
      </c>
      <c r="E53">
        <f t="shared" si="1"/>
        <v>11.306999999999999</v>
      </c>
    </row>
    <row r="54" spans="1:5" x14ac:dyDescent="0.25">
      <c r="A54" s="59">
        <v>8371.5</v>
      </c>
      <c r="B54" s="60">
        <v>11.313500000000001</v>
      </c>
      <c r="D54">
        <f t="shared" si="0"/>
        <v>8371.5</v>
      </c>
      <c r="E54">
        <f t="shared" si="1"/>
        <v>11.313500000000001</v>
      </c>
    </row>
    <row r="55" spans="1:5" x14ac:dyDescent="0.25">
      <c r="A55" s="59">
        <v>8372.5</v>
      </c>
      <c r="B55" s="60">
        <v>11.343499999999999</v>
      </c>
      <c r="D55">
        <f t="shared" si="0"/>
        <v>8372.5</v>
      </c>
      <c r="E55">
        <f t="shared" si="1"/>
        <v>11.343499999999999</v>
      </c>
    </row>
    <row r="56" spans="1:5" x14ac:dyDescent="0.25">
      <c r="A56" s="59">
        <v>8373.5</v>
      </c>
      <c r="B56" s="60">
        <v>11.3705</v>
      </c>
      <c r="D56">
        <f t="shared" si="0"/>
        <v>8373.5</v>
      </c>
      <c r="E56">
        <f t="shared" si="1"/>
        <v>11.3705</v>
      </c>
    </row>
    <row r="57" spans="1:5" x14ac:dyDescent="0.25">
      <c r="A57" s="59">
        <v>8374.5</v>
      </c>
      <c r="B57" s="60">
        <v>11.39</v>
      </c>
      <c r="D57">
        <f t="shared" si="0"/>
        <v>8374.5</v>
      </c>
      <c r="E57">
        <f t="shared" si="1"/>
        <v>11.39</v>
      </c>
    </row>
    <row r="58" spans="1:5" x14ac:dyDescent="0.25">
      <c r="A58" s="59">
        <v>8375.2999999999993</v>
      </c>
      <c r="B58" s="60">
        <v>11.35125</v>
      </c>
      <c r="D58">
        <f t="shared" si="0"/>
        <v>8375.2999999999993</v>
      </c>
      <c r="E58">
        <f t="shared" si="1"/>
        <v>11.35125</v>
      </c>
    </row>
    <row r="59" spans="1:5" x14ac:dyDescent="0.25">
      <c r="A59" s="59">
        <v>8375.5</v>
      </c>
      <c r="B59" s="60">
        <v>11.396000000000001</v>
      </c>
      <c r="D59">
        <f t="shared" si="0"/>
        <v>8375.5</v>
      </c>
      <c r="E59">
        <f t="shared" si="1"/>
        <v>11.396000000000001</v>
      </c>
    </row>
    <row r="60" spans="1:5" x14ac:dyDescent="0.25">
      <c r="A60" s="59">
        <v>8376.2999999999993</v>
      </c>
      <c r="B60" s="60">
        <v>11.370000000000001</v>
      </c>
      <c r="D60">
        <f t="shared" si="0"/>
        <v>8376.2999999999993</v>
      </c>
      <c r="E60">
        <f t="shared" si="1"/>
        <v>11.370000000000001</v>
      </c>
    </row>
    <row r="61" spans="1:5" x14ac:dyDescent="0.25">
      <c r="A61" s="59">
        <v>8378.2999999999993</v>
      </c>
      <c r="B61" s="60">
        <v>11.368500000000001</v>
      </c>
      <c r="D61">
        <f t="shared" si="0"/>
        <v>8378.2999999999993</v>
      </c>
      <c r="E61">
        <f t="shared" si="1"/>
        <v>11.368500000000001</v>
      </c>
    </row>
    <row r="62" spans="1:5" x14ac:dyDescent="0.25">
      <c r="A62" s="59">
        <v>8379.4</v>
      </c>
      <c r="B62" s="60">
        <v>11.41</v>
      </c>
      <c r="D62">
        <f t="shared" si="0"/>
        <v>8379.4</v>
      </c>
      <c r="E62">
        <f t="shared" si="1"/>
        <v>11.41</v>
      </c>
    </row>
    <row r="63" spans="1:5" x14ac:dyDescent="0.25">
      <c r="A63" s="59">
        <v>8380.5</v>
      </c>
      <c r="B63" s="60">
        <v>11.423500000000001</v>
      </c>
      <c r="D63">
        <f t="shared" si="0"/>
        <v>8380.5</v>
      </c>
      <c r="E63">
        <f t="shared" si="1"/>
        <v>11.423500000000001</v>
      </c>
    </row>
    <row r="64" spans="1:5" x14ac:dyDescent="0.25">
      <c r="A64" s="59">
        <v>8381.4</v>
      </c>
      <c r="B64" s="60">
        <v>11.43</v>
      </c>
      <c r="D64">
        <f t="shared" si="0"/>
        <v>8381.4</v>
      </c>
      <c r="E64">
        <f t="shared" si="1"/>
        <v>11.43</v>
      </c>
    </row>
    <row r="65" spans="1:5" x14ac:dyDescent="0.25">
      <c r="A65" s="59">
        <v>8381.5</v>
      </c>
      <c r="B65" s="60">
        <v>11.428999999999998</v>
      </c>
      <c r="D65">
        <f t="shared" si="0"/>
        <v>8381.5</v>
      </c>
      <c r="E65">
        <f t="shared" si="1"/>
        <v>11.428999999999998</v>
      </c>
    </row>
    <row r="66" spans="1:5" x14ac:dyDescent="0.25">
      <c r="A66" s="59">
        <v>8382.4</v>
      </c>
      <c r="B66" s="60">
        <v>11.44</v>
      </c>
      <c r="D66">
        <f t="shared" si="0"/>
        <v>8382.4</v>
      </c>
      <c r="E66">
        <f t="shared" si="1"/>
        <v>11.44</v>
      </c>
    </row>
    <row r="67" spans="1:5" x14ac:dyDescent="0.25">
      <c r="A67" s="59">
        <v>8382.5</v>
      </c>
      <c r="B67" s="60">
        <v>11.438499999999999</v>
      </c>
      <c r="D67">
        <f t="shared" si="0"/>
        <v>8382.5</v>
      </c>
      <c r="E67">
        <f t="shared" si="1"/>
        <v>11.438499999999999</v>
      </c>
    </row>
    <row r="68" spans="1:5" x14ac:dyDescent="0.25">
      <c r="A68" s="59">
        <v>8383.4</v>
      </c>
      <c r="B68" s="60">
        <v>11.414</v>
      </c>
      <c r="D68">
        <f t="shared" si="0"/>
        <v>8383.4</v>
      </c>
      <c r="E68">
        <f t="shared" si="1"/>
        <v>11.414</v>
      </c>
    </row>
    <row r="69" spans="1:5" x14ac:dyDescent="0.25">
      <c r="A69" s="59">
        <v>8383.5</v>
      </c>
      <c r="B69" s="60">
        <v>11.445</v>
      </c>
      <c r="D69">
        <f t="shared" ref="D69:D132" si="2">+A69</f>
        <v>8383.5</v>
      </c>
      <c r="E69">
        <f t="shared" ref="E69:E132" si="3">+B69</f>
        <v>11.445</v>
      </c>
    </row>
    <row r="70" spans="1:5" x14ac:dyDescent="0.25">
      <c r="A70" s="59">
        <v>8384.5</v>
      </c>
      <c r="B70" s="60">
        <v>11.478</v>
      </c>
      <c r="D70">
        <f t="shared" si="2"/>
        <v>8384.5</v>
      </c>
      <c r="E70">
        <f t="shared" si="3"/>
        <v>11.478</v>
      </c>
    </row>
    <row r="71" spans="1:5" x14ac:dyDescent="0.25">
      <c r="A71" s="59">
        <v>8385.4</v>
      </c>
      <c r="B71" s="60">
        <v>11.464500000000001</v>
      </c>
      <c r="D71">
        <f t="shared" si="2"/>
        <v>8385.4</v>
      </c>
      <c r="E71">
        <f t="shared" si="3"/>
        <v>11.464500000000001</v>
      </c>
    </row>
    <row r="72" spans="1:5" x14ac:dyDescent="0.25">
      <c r="A72" s="59">
        <v>8385.5</v>
      </c>
      <c r="B72" s="60">
        <v>11.480499999999999</v>
      </c>
      <c r="D72">
        <f t="shared" si="2"/>
        <v>8385.5</v>
      </c>
      <c r="E72">
        <f t="shared" si="3"/>
        <v>11.480499999999999</v>
      </c>
    </row>
    <row r="73" spans="1:5" x14ac:dyDescent="0.25">
      <c r="A73" s="59">
        <v>8386.2999999999993</v>
      </c>
      <c r="B73" s="60">
        <v>11.45</v>
      </c>
      <c r="D73">
        <f t="shared" si="2"/>
        <v>8386.2999999999993</v>
      </c>
      <c r="E73">
        <f t="shared" si="3"/>
        <v>11.45</v>
      </c>
    </row>
    <row r="74" spans="1:5" x14ac:dyDescent="0.25">
      <c r="A74" s="59">
        <v>8386.5</v>
      </c>
      <c r="B74" s="60">
        <v>11.504</v>
      </c>
      <c r="D74">
        <f t="shared" si="2"/>
        <v>8386.5</v>
      </c>
      <c r="E74">
        <f t="shared" si="3"/>
        <v>11.504</v>
      </c>
    </row>
    <row r="75" spans="1:5" x14ac:dyDescent="0.25">
      <c r="A75" s="59">
        <v>8387.5</v>
      </c>
      <c r="B75" s="60">
        <v>11.531500000000001</v>
      </c>
      <c r="D75">
        <f t="shared" si="2"/>
        <v>8387.5</v>
      </c>
      <c r="E75">
        <f t="shared" si="3"/>
        <v>11.531500000000001</v>
      </c>
    </row>
    <row r="76" spans="1:5" x14ac:dyDescent="0.25">
      <c r="A76" s="59">
        <v>8388.2999999999993</v>
      </c>
      <c r="B76" s="60">
        <v>11.493333333333334</v>
      </c>
      <c r="D76">
        <f t="shared" si="2"/>
        <v>8388.2999999999993</v>
      </c>
      <c r="E76">
        <f t="shared" si="3"/>
        <v>11.493333333333334</v>
      </c>
    </row>
    <row r="77" spans="1:5" x14ac:dyDescent="0.25">
      <c r="A77" s="59">
        <v>8388.4</v>
      </c>
      <c r="B77" s="60">
        <v>11.5</v>
      </c>
      <c r="D77">
        <f t="shared" si="2"/>
        <v>8388.4</v>
      </c>
      <c r="E77">
        <f t="shared" si="3"/>
        <v>11.5</v>
      </c>
    </row>
    <row r="78" spans="1:5" x14ac:dyDescent="0.25">
      <c r="A78" s="59">
        <v>8388.5</v>
      </c>
      <c r="B78" s="60">
        <v>11.5275</v>
      </c>
      <c r="D78">
        <f t="shared" si="2"/>
        <v>8388.5</v>
      </c>
      <c r="E78">
        <f t="shared" si="3"/>
        <v>11.5275</v>
      </c>
    </row>
    <row r="79" spans="1:5" x14ac:dyDescent="0.25">
      <c r="A79" s="59">
        <v>8389.2999999999993</v>
      </c>
      <c r="B79" s="60">
        <v>11.492666666666667</v>
      </c>
      <c r="D79">
        <f t="shared" si="2"/>
        <v>8389.2999999999993</v>
      </c>
      <c r="E79">
        <f t="shared" si="3"/>
        <v>11.492666666666667</v>
      </c>
    </row>
    <row r="80" spans="1:5" x14ac:dyDescent="0.25">
      <c r="A80" s="59">
        <v>8389.5</v>
      </c>
      <c r="B80" s="60">
        <v>11.548500000000001</v>
      </c>
      <c r="D80">
        <f t="shared" si="2"/>
        <v>8389.5</v>
      </c>
      <c r="E80">
        <f t="shared" si="3"/>
        <v>11.548500000000001</v>
      </c>
    </row>
    <row r="81" spans="1:5" x14ac:dyDescent="0.25">
      <c r="A81" s="59">
        <v>8389.7000000000007</v>
      </c>
      <c r="B81" s="60">
        <v>11.539</v>
      </c>
      <c r="D81">
        <f t="shared" si="2"/>
        <v>8389.7000000000007</v>
      </c>
      <c r="E81">
        <f t="shared" si="3"/>
        <v>11.539</v>
      </c>
    </row>
    <row r="82" spans="1:5" x14ac:dyDescent="0.25">
      <c r="A82" s="59">
        <v>8390.2999999999993</v>
      </c>
      <c r="B82" s="60">
        <v>11.492999999999999</v>
      </c>
      <c r="D82">
        <f t="shared" si="2"/>
        <v>8390.2999999999993</v>
      </c>
      <c r="E82">
        <f t="shared" si="3"/>
        <v>11.492999999999999</v>
      </c>
    </row>
    <row r="83" spans="1:5" x14ac:dyDescent="0.25">
      <c r="A83" s="59">
        <v>8390.4</v>
      </c>
      <c r="B83" s="60">
        <v>11.52</v>
      </c>
      <c r="D83">
        <f t="shared" si="2"/>
        <v>8390.4</v>
      </c>
      <c r="E83">
        <f t="shared" si="3"/>
        <v>11.52</v>
      </c>
    </row>
    <row r="84" spans="1:5" x14ac:dyDescent="0.25">
      <c r="A84" s="59">
        <v>8390.5</v>
      </c>
      <c r="B84" s="60">
        <v>11.541499999999999</v>
      </c>
      <c r="D84">
        <f t="shared" si="2"/>
        <v>8390.5</v>
      </c>
      <c r="E84">
        <f t="shared" si="3"/>
        <v>11.541499999999999</v>
      </c>
    </row>
    <row r="85" spans="1:5" x14ac:dyDescent="0.25">
      <c r="A85" s="59">
        <v>8392.5</v>
      </c>
      <c r="B85" s="60">
        <v>11.545500000000001</v>
      </c>
      <c r="D85">
        <f t="shared" si="2"/>
        <v>8392.5</v>
      </c>
      <c r="E85">
        <f t="shared" si="3"/>
        <v>11.545500000000001</v>
      </c>
    </row>
    <row r="86" spans="1:5" x14ac:dyDescent="0.25">
      <c r="A86" s="59">
        <v>8393.5</v>
      </c>
      <c r="B86" s="60">
        <v>11.552499999999998</v>
      </c>
      <c r="D86">
        <f t="shared" si="2"/>
        <v>8393.5</v>
      </c>
      <c r="E86">
        <f t="shared" si="3"/>
        <v>11.552499999999998</v>
      </c>
    </row>
    <row r="87" spans="1:5" x14ac:dyDescent="0.25">
      <c r="A87" s="59">
        <v>8394.4</v>
      </c>
      <c r="B87" s="60">
        <v>11.57</v>
      </c>
      <c r="D87">
        <f t="shared" si="2"/>
        <v>8394.4</v>
      </c>
      <c r="E87">
        <f t="shared" si="3"/>
        <v>11.57</v>
      </c>
    </row>
    <row r="88" spans="1:5" x14ac:dyDescent="0.25">
      <c r="A88" s="59">
        <v>8394.5</v>
      </c>
      <c r="B88" s="60">
        <v>11.5945</v>
      </c>
      <c r="D88">
        <f t="shared" si="2"/>
        <v>8394.5</v>
      </c>
      <c r="E88">
        <f t="shared" si="3"/>
        <v>11.5945</v>
      </c>
    </row>
    <row r="89" spans="1:5" x14ac:dyDescent="0.25">
      <c r="A89" s="59">
        <v>8395.2999999999993</v>
      </c>
      <c r="B89" s="60">
        <v>11.58</v>
      </c>
      <c r="D89">
        <f t="shared" si="2"/>
        <v>8395.2999999999993</v>
      </c>
      <c r="E89">
        <f t="shared" si="3"/>
        <v>11.58</v>
      </c>
    </row>
    <row r="90" spans="1:5" x14ac:dyDescent="0.25">
      <c r="A90" s="59">
        <v>8395.5</v>
      </c>
      <c r="B90" s="60">
        <v>11.593999999999999</v>
      </c>
      <c r="D90">
        <f t="shared" si="2"/>
        <v>8395.5</v>
      </c>
      <c r="E90">
        <f t="shared" si="3"/>
        <v>11.593999999999999</v>
      </c>
    </row>
    <row r="91" spans="1:5" x14ac:dyDescent="0.25">
      <c r="A91" s="59">
        <v>8395.6</v>
      </c>
      <c r="B91" s="60">
        <v>11.606</v>
      </c>
      <c r="D91">
        <f t="shared" si="2"/>
        <v>8395.6</v>
      </c>
      <c r="E91">
        <f t="shared" si="3"/>
        <v>11.606</v>
      </c>
    </row>
    <row r="92" spans="1:5" x14ac:dyDescent="0.25">
      <c r="A92" s="59">
        <v>8396.4</v>
      </c>
      <c r="B92" s="60">
        <v>11.59</v>
      </c>
      <c r="D92">
        <f t="shared" si="2"/>
        <v>8396.4</v>
      </c>
      <c r="E92">
        <f t="shared" si="3"/>
        <v>11.59</v>
      </c>
    </row>
    <row r="93" spans="1:5" x14ac:dyDescent="0.25">
      <c r="A93" s="59">
        <v>8396.5</v>
      </c>
      <c r="B93" s="60">
        <v>11.6005</v>
      </c>
      <c r="D93">
        <f t="shared" si="2"/>
        <v>8396.5</v>
      </c>
      <c r="E93">
        <f t="shared" si="3"/>
        <v>11.6005</v>
      </c>
    </row>
    <row r="94" spans="1:5" x14ac:dyDescent="0.25">
      <c r="A94" s="59">
        <v>8397.5</v>
      </c>
      <c r="B94" s="60">
        <v>11.620000000000001</v>
      </c>
      <c r="D94">
        <f t="shared" si="2"/>
        <v>8397.5</v>
      </c>
      <c r="E94">
        <f t="shared" si="3"/>
        <v>11.620000000000001</v>
      </c>
    </row>
    <row r="95" spans="1:5" x14ac:dyDescent="0.25">
      <c r="A95" s="59">
        <v>8398.2999999999993</v>
      </c>
      <c r="B95" s="60">
        <v>11.55</v>
      </c>
      <c r="D95">
        <f t="shared" si="2"/>
        <v>8398.2999999999993</v>
      </c>
      <c r="E95">
        <f t="shared" si="3"/>
        <v>11.55</v>
      </c>
    </row>
    <row r="96" spans="1:5" x14ac:dyDescent="0.25">
      <c r="A96" s="59">
        <v>8400.6</v>
      </c>
      <c r="B96" s="60">
        <v>11.641999999999999</v>
      </c>
      <c r="D96">
        <f t="shared" si="2"/>
        <v>8400.6</v>
      </c>
      <c r="E96">
        <f t="shared" si="3"/>
        <v>11.641999999999999</v>
      </c>
    </row>
    <row r="97" spans="1:5" x14ac:dyDescent="0.25">
      <c r="A97" s="59">
        <v>8401.2999999999993</v>
      </c>
      <c r="B97" s="60">
        <v>11.605499999999999</v>
      </c>
      <c r="D97">
        <f t="shared" si="2"/>
        <v>8401.2999999999993</v>
      </c>
      <c r="E97">
        <f t="shared" si="3"/>
        <v>11.605499999999999</v>
      </c>
    </row>
    <row r="98" spans="1:5" x14ac:dyDescent="0.25">
      <c r="A98" s="59">
        <v>8401.6</v>
      </c>
      <c r="B98" s="60">
        <v>11.651</v>
      </c>
      <c r="D98">
        <f t="shared" si="2"/>
        <v>8401.6</v>
      </c>
      <c r="E98">
        <f t="shared" si="3"/>
        <v>11.651</v>
      </c>
    </row>
    <row r="99" spans="1:5" x14ac:dyDescent="0.25">
      <c r="A99" s="59">
        <v>8402.2999999999993</v>
      </c>
      <c r="B99" s="60">
        <v>11.6205</v>
      </c>
      <c r="D99">
        <f t="shared" si="2"/>
        <v>8402.2999999999993</v>
      </c>
      <c r="E99">
        <f t="shared" si="3"/>
        <v>11.6205</v>
      </c>
    </row>
    <row r="100" spans="1:5" x14ac:dyDescent="0.25">
      <c r="A100" s="59">
        <v>8402.6</v>
      </c>
      <c r="B100" s="60">
        <v>11.6335</v>
      </c>
      <c r="D100">
        <f t="shared" si="2"/>
        <v>8402.6</v>
      </c>
      <c r="E100">
        <f t="shared" si="3"/>
        <v>11.6335</v>
      </c>
    </row>
    <row r="101" spans="1:5" x14ac:dyDescent="0.25">
      <c r="A101" s="59">
        <v>8403.6</v>
      </c>
      <c r="B101" s="60">
        <v>11.637499999999999</v>
      </c>
      <c r="D101">
        <f t="shared" si="2"/>
        <v>8403.6</v>
      </c>
      <c r="E101">
        <f t="shared" si="3"/>
        <v>11.637499999999999</v>
      </c>
    </row>
    <row r="102" spans="1:5" x14ac:dyDescent="0.25">
      <c r="A102" s="59">
        <v>8404.2999999999993</v>
      </c>
      <c r="B102" s="60">
        <v>11.6195</v>
      </c>
      <c r="D102">
        <f t="shared" si="2"/>
        <v>8404.2999999999993</v>
      </c>
      <c r="E102">
        <f t="shared" si="3"/>
        <v>11.6195</v>
      </c>
    </row>
    <row r="103" spans="1:5" x14ac:dyDescent="0.25">
      <c r="A103" s="59">
        <v>8404.6</v>
      </c>
      <c r="B103" s="60">
        <v>11.657</v>
      </c>
      <c r="D103">
        <f t="shared" si="2"/>
        <v>8404.6</v>
      </c>
      <c r="E103">
        <f t="shared" si="3"/>
        <v>11.657</v>
      </c>
    </row>
    <row r="104" spans="1:5" x14ac:dyDescent="0.25">
      <c r="A104" s="59">
        <v>8405.6</v>
      </c>
      <c r="B104" s="60">
        <v>11.678999999999998</v>
      </c>
      <c r="D104">
        <f t="shared" si="2"/>
        <v>8405.6</v>
      </c>
      <c r="E104">
        <f t="shared" si="3"/>
        <v>11.678999999999998</v>
      </c>
    </row>
    <row r="105" spans="1:5" x14ac:dyDescent="0.25">
      <c r="A105" s="59">
        <v>8406.2999999999993</v>
      </c>
      <c r="B105" s="60">
        <v>11.638500000000001</v>
      </c>
      <c r="D105">
        <f t="shared" si="2"/>
        <v>8406.2999999999993</v>
      </c>
      <c r="E105">
        <f t="shared" si="3"/>
        <v>11.638500000000001</v>
      </c>
    </row>
    <row r="106" spans="1:5" x14ac:dyDescent="0.25">
      <c r="A106" s="59">
        <v>8406.6</v>
      </c>
      <c r="B106" s="60">
        <v>11.670500000000001</v>
      </c>
      <c r="D106">
        <f t="shared" si="2"/>
        <v>8406.6</v>
      </c>
      <c r="E106">
        <f t="shared" si="3"/>
        <v>11.670500000000001</v>
      </c>
    </row>
    <row r="107" spans="1:5" x14ac:dyDescent="0.25">
      <c r="A107" s="59">
        <v>8407.2999999999993</v>
      </c>
      <c r="B107" s="60">
        <v>11.629</v>
      </c>
      <c r="D107">
        <f t="shared" si="2"/>
        <v>8407.2999999999993</v>
      </c>
      <c r="E107">
        <f t="shared" si="3"/>
        <v>11.629</v>
      </c>
    </row>
    <row r="108" spans="1:5" x14ac:dyDescent="0.25">
      <c r="A108" s="59">
        <v>8407.6</v>
      </c>
      <c r="B108" s="60">
        <v>11.696999999999999</v>
      </c>
      <c r="D108">
        <f t="shared" si="2"/>
        <v>8407.6</v>
      </c>
      <c r="E108">
        <f t="shared" si="3"/>
        <v>11.696999999999999</v>
      </c>
    </row>
    <row r="109" spans="1:5" x14ac:dyDescent="0.25">
      <c r="A109" s="59">
        <v>8408.6</v>
      </c>
      <c r="B109" s="60">
        <v>11.6615</v>
      </c>
      <c r="D109">
        <f t="shared" si="2"/>
        <v>8408.6</v>
      </c>
      <c r="E109">
        <f t="shared" si="3"/>
        <v>11.6615</v>
      </c>
    </row>
    <row r="110" spans="1:5" x14ac:dyDescent="0.25">
      <c r="A110" s="59">
        <v>8409.2999999999993</v>
      </c>
      <c r="B110" s="60">
        <v>11.606999999999999</v>
      </c>
      <c r="D110">
        <f t="shared" si="2"/>
        <v>8409.2999999999993</v>
      </c>
      <c r="E110">
        <f t="shared" si="3"/>
        <v>11.606999999999999</v>
      </c>
    </row>
    <row r="111" spans="1:5" x14ac:dyDescent="0.25">
      <c r="A111" s="59">
        <v>8409.6</v>
      </c>
      <c r="B111" s="60">
        <v>11.6745</v>
      </c>
      <c r="D111">
        <f t="shared" si="2"/>
        <v>8409.6</v>
      </c>
      <c r="E111">
        <f t="shared" si="3"/>
        <v>11.6745</v>
      </c>
    </row>
    <row r="112" spans="1:5" x14ac:dyDescent="0.25">
      <c r="A112" s="59">
        <v>8410.5</v>
      </c>
      <c r="B112" s="60">
        <v>11.684999999999999</v>
      </c>
      <c r="D112">
        <f t="shared" si="2"/>
        <v>8410.5</v>
      </c>
      <c r="E112">
        <f t="shared" si="3"/>
        <v>11.684999999999999</v>
      </c>
    </row>
    <row r="113" spans="1:5" x14ac:dyDescent="0.25">
      <c r="A113" s="59">
        <v>8411.2999999999993</v>
      </c>
      <c r="B113" s="60">
        <v>11.640499999999999</v>
      </c>
      <c r="D113">
        <f t="shared" si="2"/>
        <v>8411.2999999999993</v>
      </c>
      <c r="E113">
        <f t="shared" si="3"/>
        <v>11.640499999999999</v>
      </c>
    </row>
    <row r="114" spans="1:5" x14ac:dyDescent="0.25">
      <c r="A114" s="59">
        <v>8411.5</v>
      </c>
      <c r="B114" s="60">
        <v>11.668500000000002</v>
      </c>
      <c r="D114">
        <f t="shared" si="2"/>
        <v>8411.5</v>
      </c>
      <c r="E114">
        <f t="shared" si="3"/>
        <v>11.668500000000002</v>
      </c>
    </row>
    <row r="115" spans="1:5" x14ac:dyDescent="0.25">
      <c r="A115" s="59">
        <v>8413.5</v>
      </c>
      <c r="B115" s="60">
        <v>11.669499999999999</v>
      </c>
      <c r="D115">
        <f t="shared" si="2"/>
        <v>8413.5</v>
      </c>
      <c r="E115">
        <f t="shared" si="3"/>
        <v>11.669499999999999</v>
      </c>
    </row>
    <row r="116" spans="1:5" x14ac:dyDescent="0.25">
      <c r="A116" s="59">
        <v>8414.5</v>
      </c>
      <c r="B116" s="60">
        <v>11.714</v>
      </c>
      <c r="D116">
        <f t="shared" si="2"/>
        <v>8414.5</v>
      </c>
      <c r="E116">
        <f t="shared" si="3"/>
        <v>11.714</v>
      </c>
    </row>
    <row r="117" spans="1:5" x14ac:dyDescent="0.25">
      <c r="A117" s="59">
        <v>8415.2000000000007</v>
      </c>
      <c r="B117" s="60">
        <v>11.660499999999999</v>
      </c>
      <c r="D117">
        <f t="shared" si="2"/>
        <v>8415.2000000000007</v>
      </c>
      <c r="E117">
        <f t="shared" si="3"/>
        <v>11.660499999999999</v>
      </c>
    </row>
    <row r="118" spans="1:5" x14ac:dyDescent="0.25">
      <c r="A118" s="59">
        <v>8415.5</v>
      </c>
      <c r="B118" s="60">
        <v>11.7125</v>
      </c>
      <c r="D118">
        <f t="shared" si="2"/>
        <v>8415.5</v>
      </c>
      <c r="E118">
        <f t="shared" si="3"/>
        <v>11.7125</v>
      </c>
    </row>
    <row r="119" spans="1:5" x14ac:dyDescent="0.25">
      <c r="A119" s="59">
        <v>8416.5</v>
      </c>
      <c r="B119" s="60">
        <v>11.7165</v>
      </c>
      <c r="D119">
        <f t="shared" si="2"/>
        <v>8416.5</v>
      </c>
      <c r="E119">
        <f t="shared" si="3"/>
        <v>11.7165</v>
      </c>
    </row>
    <row r="120" spans="1:5" x14ac:dyDescent="0.25">
      <c r="A120" s="59">
        <v>8417.5</v>
      </c>
      <c r="B120" s="60">
        <v>11.686500000000001</v>
      </c>
      <c r="D120">
        <f t="shared" si="2"/>
        <v>8417.5</v>
      </c>
      <c r="E120">
        <f t="shared" si="3"/>
        <v>11.686500000000001</v>
      </c>
    </row>
    <row r="121" spans="1:5" x14ac:dyDescent="0.25">
      <c r="A121" s="59">
        <v>8418.5</v>
      </c>
      <c r="B121" s="60">
        <v>11.7425</v>
      </c>
      <c r="D121">
        <f t="shared" si="2"/>
        <v>8418.5</v>
      </c>
      <c r="E121">
        <f t="shared" si="3"/>
        <v>11.7425</v>
      </c>
    </row>
    <row r="122" spans="1:5" x14ac:dyDescent="0.25">
      <c r="A122" s="59">
        <v>8419.5</v>
      </c>
      <c r="B122" s="60">
        <v>11.7295</v>
      </c>
      <c r="D122">
        <f t="shared" si="2"/>
        <v>8419.5</v>
      </c>
      <c r="E122">
        <f t="shared" si="3"/>
        <v>11.7295</v>
      </c>
    </row>
    <row r="123" spans="1:5" x14ac:dyDescent="0.25">
      <c r="A123" s="59">
        <v>8420.2000000000007</v>
      </c>
      <c r="B123" s="60">
        <v>11.7</v>
      </c>
      <c r="D123">
        <f t="shared" si="2"/>
        <v>8420.2000000000007</v>
      </c>
      <c r="E123">
        <f t="shared" si="3"/>
        <v>11.7</v>
      </c>
    </row>
    <row r="124" spans="1:5" x14ac:dyDescent="0.25">
      <c r="A124" s="59">
        <v>8420.5</v>
      </c>
      <c r="B124" s="60">
        <v>11.718499999999999</v>
      </c>
      <c r="D124">
        <f t="shared" si="2"/>
        <v>8420.5</v>
      </c>
      <c r="E124">
        <f t="shared" si="3"/>
        <v>11.718499999999999</v>
      </c>
    </row>
    <row r="125" spans="1:5" x14ac:dyDescent="0.25">
      <c r="A125" s="59">
        <v>8420.6</v>
      </c>
      <c r="B125" s="60">
        <v>11.759</v>
      </c>
      <c r="D125">
        <f t="shared" si="2"/>
        <v>8420.6</v>
      </c>
      <c r="E125">
        <f t="shared" si="3"/>
        <v>11.759</v>
      </c>
    </row>
    <row r="126" spans="1:5" x14ac:dyDescent="0.25">
      <c r="A126" s="59">
        <v>8421.5</v>
      </c>
      <c r="B126" s="60">
        <v>11.734</v>
      </c>
      <c r="D126">
        <f t="shared" si="2"/>
        <v>8421.5</v>
      </c>
      <c r="E126">
        <f t="shared" si="3"/>
        <v>11.734</v>
      </c>
    </row>
    <row r="127" spans="1:5" x14ac:dyDescent="0.25">
      <c r="A127" s="59">
        <v>8422.5</v>
      </c>
      <c r="B127" s="60">
        <v>11.736000000000001</v>
      </c>
      <c r="D127">
        <f t="shared" si="2"/>
        <v>8422.5</v>
      </c>
      <c r="E127">
        <f t="shared" si="3"/>
        <v>11.736000000000001</v>
      </c>
    </row>
    <row r="128" spans="1:5" x14ac:dyDescent="0.25">
      <c r="A128" s="59">
        <v>8423.2000000000007</v>
      </c>
      <c r="B128" s="60">
        <v>11.66</v>
      </c>
      <c r="D128">
        <f t="shared" si="2"/>
        <v>8423.2000000000007</v>
      </c>
      <c r="E128">
        <f t="shared" si="3"/>
        <v>11.66</v>
      </c>
    </row>
    <row r="129" spans="1:5" x14ac:dyDescent="0.25">
      <c r="A129" s="59">
        <v>8423.5</v>
      </c>
      <c r="B129" s="60">
        <v>11.7195</v>
      </c>
      <c r="D129">
        <f t="shared" si="2"/>
        <v>8423.5</v>
      </c>
      <c r="E129">
        <f t="shared" si="3"/>
        <v>11.7195</v>
      </c>
    </row>
    <row r="130" spans="1:5" x14ac:dyDescent="0.25">
      <c r="A130" s="59">
        <v>8424.5</v>
      </c>
      <c r="B130" s="60">
        <v>11.754999999999999</v>
      </c>
      <c r="D130">
        <f t="shared" si="2"/>
        <v>8424.5</v>
      </c>
      <c r="E130">
        <f t="shared" si="3"/>
        <v>11.754999999999999</v>
      </c>
    </row>
    <row r="131" spans="1:5" x14ac:dyDescent="0.25">
      <c r="A131" s="59">
        <v>8425.4</v>
      </c>
      <c r="B131" s="60">
        <v>11.715</v>
      </c>
      <c r="D131">
        <f t="shared" si="2"/>
        <v>8425.4</v>
      </c>
      <c r="E131">
        <f t="shared" si="3"/>
        <v>11.715</v>
      </c>
    </row>
    <row r="132" spans="1:5" x14ac:dyDescent="0.25">
      <c r="A132" s="59">
        <v>8425.5</v>
      </c>
      <c r="B132" s="60">
        <v>11.783999999999999</v>
      </c>
      <c r="D132">
        <f t="shared" si="2"/>
        <v>8425.5</v>
      </c>
      <c r="E132">
        <f t="shared" si="3"/>
        <v>11.783999999999999</v>
      </c>
    </row>
    <row r="133" spans="1:5" x14ac:dyDescent="0.25">
      <c r="A133" s="59">
        <v>8425.6</v>
      </c>
      <c r="B133" s="60">
        <v>11.768000000000001</v>
      </c>
      <c r="D133">
        <f t="shared" ref="D133:D196" si="4">+A133</f>
        <v>8425.6</v>
      </c>
      <c r="E133">
        <f t="shared" ref="E133:E196" si="5">+B133</f>
        <v>11.768000000000001</v>
      </c>
    </row>
    <row r="134" spans="1:5" x14ac:dyDescent="0.25">
      <c r="A134" s="59">
        <v>8427.5</v>
      </c>
      <c r="B134" s="60">
        <v>11.785</v>
      </c>
      <c r="D134">
        <f t="shared" si="4"/>
        <v>8427.5</v>
      </c>
      <c r="E134">
        <f t="shared" si="5"/>
        <v>11.785</v>
      </c>
    </row>
    <row r="135" spans="1:5" x14ac:dyDescent="0.25">
      <c r="A135" s="59">
        <v>8428.2999999999993</v>
      </c>
      <c r="B135" s="60">
        <v>11.742999999999999</v>
      </c>
      <c r="D135">
        <f t="shared" si="4"/>
        <v>8428.2999999999993</v>
      </c>
      <c r="E135">
        <f t="shared" si="5"/>
        <v>11.742999999999999</v>
      </c>
    </row>
    <row r="136" spans="1:5" x14ac:dyDescent="0.25">
      <c r="A136" s="59">
        <v>8428.5</v>
      </c>
      <c r="B136" s="60">
        <v>11.817499999999999</v>
      </c>
      <c r="D136">
        <f t="shared" si="4"/>
        <v>8428.5</v>
      </c>
      <c r="E136">
        <f t="shared" si="5"/>
        <v>11.817499999999999</v>
      </c>
    </row>
    <row r="137" spans="1:5" x14ac:dyDescent="0.25">
      <c r="A137" s="59">
        <v>8429.5</v>
      </c>
      <c r="B137" s="60">
        <v>11.811</v>
      </c>
      <c r="D137">
        <f t="shared" si="4"/>
        <v>8429.5</v>
      </c>
      <c r="E137">
        <f t="shared" si="5"/>
        <v>11.811</v>
      </c>
    </row>
    <row r="138" spans="1:5" x14ac:dyDescent="0.25">
      <c r="A138" s="59">
        <v>8429.6</v>
      </c>
      <c r="B138" s="60">
        <v>11.81</v>
      </c>
      <c r="D138">
        <f t="shared" si="4"/>
        <v>8429.6</v>
      </c>
      <c r="E138">
        <f t="shared" si="5"/>
        <v>11.81</v>
      </c>
    </row>
    <row r="139" spans="1:5" x14ac:dyDescent="0.25">
      <c r="A139" s="59">
        <v>8430.5</v>
      </c>
      <c r="B139" s="60">
        <v>11.847000000000001</v>
      </c>
      <c r="D139">
        <f t="shared" si="4"/>
        <v>8430.5</v>
      </c>
      <c r="E139">
        <f t="shared" si="5"/>
        <v>11.847000000000001</v>
      </c>
    </row>
    <row r="140" spans="1:5" x14ac:dyDescent="0.25">
      <c r="A140" s="59">
        <v>8431.2000000000007</v>
      </c>
      <c r="B140" s="60">
        <v>11.765000000000001</v>
      </c>
      <c r="D140">
        <f t="shared" si="4"/>
        <v>8431.2000000000007</v>
      </c>
      <c r="E140">
        <f t="shared" si="5"/>
        <v>11.765000000000001</v>
      </c>
    </row>
    <row r="141" spans="1:5" x14ac:dyDescent="0.25">
      <c r="A141" s="59">
        <v>8431.5</v>
      </c>
      <c r="B141" s="60">
        <v>11.821999999999999</v>
      </c>
      <c r="D141">
        <f t="shared" si="4"/>
        <v>8431.5</v>
      </c>
      <c r="E141">
        <f t="shared" si="5"/>
        <v>11.821999999999999</v>
      </c>
    </row>
    <row r="142" spans="1:5" x14ac:dyDescent="0.25">
      <c r="A142" s="59">
        <v>8432.5</v>
      </c>
      <c r="B142" s="60">
        <v>11.836</v>
      </c>
      <c r="D142">
        <f t="shared" si="4"/>
        <v>8432.5</v>
      </c>
      <c r="E142">
        <f t="shared" si="5"/>
        <v>11.836</v>
      </c>
    </row>
    <row r="143" spans="1:5" x14ac:dyDescent="0.25">
      <c r="A143" s="59">
        <v>8433.2000000000007</v>
      </c>
      <c r="B143" s="60">
        <v>11.795</v>
      </c>
      <c r="D143">
        <f t="shared" si="4"/>
        <v>8433.2000000000007</v>
      </c>
      <c r="E143">
        <f t="shared" si="5"/>
        <v>11.795</v>
      </c>
    </row>
    <row r="144" spans="1:5" x14ac:dyDescent="0.25">
      <c r="A144" s="59">
        <v>8433.5</v>
      </c>
      <c r="B144" s="60">
        <v>11.842500000000001</v>
      </c>
      <c r="D144">
        <f t="shared" si="4"/>
        <v>8433.5</v>
      </c>
      <c r="E144">
        <f t="shared" si="5"/>
        <v>11.842500000000001</v>
      </c>
    </row>
    <row r="145" spans="1:5" x14ac:dyDescent="0.25">
      <c r="A145" s="59">
        <v>8434.5</v>
      </c>
      <c r="B145" s="60">
        <v>11.896000000000001</v>
      </c>
      <c r="D145">
        <f t="shared" si="4"/>
        <v>8434.5</v>
      </c>
      <c r="E145">
        <f t="shared" si="5"/>
        <v>11.896000000000001</v>
      </c>
    </row>
    <row r="146" spans="1:5" x14ac:dyDescent="0.25">
      <c r="A146" s="59">
        <v>8435.5</v>
      </c>
      <c r="B146" s="60">
        <v>11.863</v>
      </c>
      <c r="D146">
        <f t="shared" si="4"/>
        <v>8435.5</v>
      </c>
      <c r="E146">
        <f t="shared" si="5"/>
        <v>11.863</v>
      </c>
    </row>
    <row r="147" spans="1:5" x14ac:dyDescent="0.25">
      <c r="A147" s="59">
        <v>8436.5</v>
      </c>
      <c r="B147" s="60">
        <v>11.922499999999999</v>
      </c>
      <c r="D147">
        <f t="shared" si="4"/>
        <v>8436.5</v>
      </c>
      <c r="E147">
        <f t="shared" si="5"/>
        <v>11.922499999999999</v>
      </c>
    </row>
    <row r="148" spans="1:5" x14ac:dyDescent="0.25">
      <c r="A148" s="59">
        <v>8436.6</v>
      </c>
      <c r="B148" s="60">
        <v>11.914999999999999</v>
      </c>
      <c r="D148">
        <f t="shared" si="4"/>
        <v>8436.6</v>
      </c>
      <c r="E148">
        <f t="shared" si="5"/>
        <v>11.914999999999999</v>
      </c>
    </row>
    <row r="149" spans="1:5" x14ac:dyDescent="0.25">
      <c r="A149" s="59">
        <v>8437.2999999999993</v>
      </c>
      <c r="B149" s="60">
        <v>11.8705</v>
      </c>
      <c r="D149">
        <f t="shared" si="4"/>
        <v>8437.2999999999993</v>
      </c>
      <c r="E149">
        <f t="shared" si="5"/>
        <v>11.8705</v>
      </c>
    </row>
    <row r="150" spans="1:5" x14ac:dyDescent="0.25">
      <c r="A150" s="59">
        <v>8438.5</v>
      </c>
      <c r="B150" s="60">
        <v>11.951000000000001</v>
      </c>
      <c r="D150">
        <f t="shared" si="4"/>
        <v>8438.5</v>
      </c>
      <c r="E150">
        <f t="shared" si="5"/>
        <v>11.951000000000001</v>
      </c>
    </row>
    <row r="151" spans="1:5" x14ac:dyDescent="0.25">
      <c r="A151" s="59">
        <v>8439.2000000000007</v>
      </c>
      <c r="B151" s="60">
        <v>11.9</v>
      </c>
      <c r="D151">
        <f t="shared" si="4"/>
        <v>8439.2000000000007</v>
      </c>
      <c r="E151">
        <f t="shared" si="5"/>
        <v>11.9</v>
      </c>
    </row>
    <row r="152" spans="1:5" x14ac:dyDescent="0.25">
      <c r="A152" s="59">
        <v>8439.5</v>
      </c>
      <c r="B152" s="60">
        <v>11.9945</v>
      </c>
      <c r="D152">
        <f t="shared" si="4"/>
        <v>8439.5</v>
      </c>
      <c r="E152">
        <f t="shared" si="5"/>
        <v>11.9945</v>
      </c>
    </row>
    <row r="153" spans="1:5" x14ac:dyDescent="0.25">
      <c r="A153" s="59">
        <v>8440.4</v>
      </c>
      <c r="B153" s="60">
        <v>11.9495</v>
      </c>
      <c r="D153">
        <f t="shared" si="4"/>
        <v>8440.4</v>
      </c>
      <c r="E153">
        <f t="shared" si="5"/>
        <v>11.9495</v>
      </c>
    </row>
    <row r="154" spans="1:5" x14ac:dyDescent="0.25">
      <c r="A154" s="59">
        <v>8440.5</v>
      </c>
      <c r="B154" s="60">
        <v>11.994</v>
      </c>
      <c r="D154">
        <f t="shared" si="4"/>
        <v>8440.5</v>
      </c>
      <c r="E154">
        <f t="shared" si="5"/>
        <v>11.994</v>
      </c>
    </row>
    <row r="155" spans="1:5" x14ac:dyDescent="0.25">
      <c r="A155" s="59">
        <v>8441.5</v>
      </c>
      <c r="B155" s="60">
        <v>12.0305</v>
      </c>
      <c r="D155">
        <f t="shared" si="4"/>
        <v>8441.5</v>
      </c>
      <c r="E155">
        <f t="shared" si="5"/>
        <v>12.0305</v>
      </c>
    </row>
    <row r="156" spans="1:5" x14ac:dyDescent="0.25">
      <c r="A156" s="59">
        <v>8442.5</v>
      </c>
      <c r="B156" s="60">
        <v>12.006</v>
      </c>
      <c r="D156">
        <f t="shared" si="4"/>
        <v>8442.5</v>
      </c>
      <c r="E156">
        <f t="shared" si="5"/>
        <v>12.006</v>
      </c>
    </row>
    <row r="157" spans="1:5" x14ac:dyDescent="0.25">
      <c r="A157" s="59">
        <v>8442.6</v>
      </c>
      <c r="B157" s="60">
        <v>11.959</v>
      </c>
      <c r="D157">
        <f t="shared" si="4"/>
        <v>8442.6</v>
      </c>
      <c r="E157">
        <f t="shared" si="5"/>
        <v>11.959</v>
      </c>
    </row>
    <row r="158" spans="1:5" x14ac:dyDescent="0.25">
      <c r="A158" s="59">
        <v>8443.5</v>
      </c>
      <c r="B158" s="60">
        <v>11.974499999999999</v>
      </c>
      <c r="D158">
        <f t="shared" si="4"/>
        <v>8443.5</v>
      </c>
      <c r="E158">
        <f t="shared" si="5"/>
        <v>11.974499999999999</v>
      </c>
    </row>
    <row r="159" spans="1:5" x14ac:dyDescent="0.25">
      <c r="A159" s="59">
        <v>8444.5</v>
      </c>
      <c r="B159" s="60">
        <v>12.07</v>
      </c>
      <c r="D159">
        <f t="shared" si="4"/>
        <v>8444.5</v>
      </c>
      <c r="E159">
        <f t="shared" si="5"/>
        <v>12.07</v>
      </c>
    </row>
    <row r="160" spans="1:5" x14ac:dyDescent="0.25">
      <c r="A160" s="59">
        <v>8445.5</v>
      </c>
      <c r="B160" s="60">
        <v>12.087</v>
      </c>
      <c r="D160">
        <f t="shared" si="4"/>
        <v>8445.5</v>
      </c>
      <c r="E160">
        <f t="shared" si="5"/>
        <v>12.087</v>
      </c>
    </row>
    <row r="161" spans="1:5" x14ac:dyDescent="0.25">
      <c r="A161" s="59">
        <v>8446.5</v>
      </c>
      <c r="B161" s="60">
        <v>12.047000000000001</v>
      </c>
      <c r="D161">
        <f t="shared" si="4"/>
        <v>8446.5</v>
      </c>
      <c r="E161">
        <f t="shared" si="5"/>
        <v>12.047000000000001</v>
      </c>
    </row>
    <row r="162" spans="1:5" x14ac:dyDescent="0.25">
      <c r="A162" s="59">
        <v>8447.5</v>
      </c>
      <c r="B162" s="60">
        <v>12.0915</v>
      </c>
      <c r="D162">
        <f t="shared" si="4"/>
        <v>8447.5</v>
      </c>
      <c r="E162">
        <f t="shared" si="5"/>
        <v>12.0915</v>
      </c>
    </row>
    <row r="163" spans="1:5" x14ac:dyDescent="0.25">
      <c r="A163" s="59">
        <v>8448.5</v>
      </c>
      <c r="B163" s="60">
        <v>12.071999999999999</v>
      </c>
      <c r="D163">
        <f t="shared" si="4"/>
        <v>8448.5</v>
      </c>
      <c r="E163">
        <f t="shared" si="5"/>
        <v>12.071999999999999</v>
      </c>
    </row>
    <row r="164" spans="1:5" x14ac:dyDescent="0.25">
      <c r="A164" s="59">
        <v>8449.5</v>
      </c>
      <c r="B164" s="60">
        <v>12.118</v>
      </c>
      <c r="D164">
        <f t="shared" si="4"/>
        <v>8449.5</v>
      </c>
      <c r="E164">
        <f t="shared" si="5"/>
        <v>12.118</v>
      </c>
    </row>
    <row r="165" spans="1:5" x14ac:dyDescent="0.25">
      <c r="A165" s="59">
        <v>8450.5</v>
      </c>
      <c r="B165" s="60">
        <v>12.126000000000001</v>
      </c>
      <c r="D165">
        <f t="shared" si="4"/>
        <v>8450.5</v>
      </c>
      <c r="E165">
        <f t="shared" si="5"/>
        <v>12.126000000000001</v>
      </c>
    </row>
    <row r="166" spans="1:5" x14ac:dyDescent="0.25">
      <c r="A166" s="59">
        <v>8451.5</v>
      </c>
      <c r="B166" s="60">
        <v>12.115500000000001</v>
      </c>
      <c r="D166">
        <f t="shared" si="4"/>
        <v>8451.5</v>
      </c>
      <c r="E166">
        <f t="shared" si="5"/>
        <v>12.115500000000001</v>
      </c>
    </row>
    <row r="167" spans="1:5" x14ac:dyDescent="0.25">
      <c r="A167" s="59">
        <v>8453.2000000000007</v>
      </c>
      <c r="B167" s="60">
        <v>12.0755</v>
      </c>
      <c r="D167">
        <f t="shared" si="4"/>
        <v>8453.2000000000007</v>
      </c>
      <c r="E167">
        <f t="shared" si="5"/>
        <v>12.0755</v>
      </c>
    </row>
    <row r="168" spans="1:5" x14ac:dyDescent="0.25">
      <c r="A168" s="59">
        <v>8462.2000000000007</v>
      </c>
      <c r="B168" s="60">
        <v>12.084</v>
      </c>
      <c r="D168">
        <f t="shared" si="4"/>
        <v>8462.2000000000007</v>
      </c>
      <c r="E168">
        <f t="shared" si="5"/>
        <v>12.084</v>
      </c>
    </row>
    <row r="169" spans="1:5" x14ac:dyDescent="0.25">
      <c r="A169" s="59">
        <v>8464.2999999999993</v>
      </c>
      <c r="B169" s="60">
        <v>12.0815</v>
      </c>
      <c r="D169">
        <f t="shared" si="4"/>
        <v>8464.2999999999993</v>
      </c>
      <c r="E169">
        <f t="shared" si="5"/>
        <v>12.0815</v>
      </c>
    </row>
    <row r="170" spans="1:5" x14ac:dyDescent="0.25">
      <c r="A170" s="59">
        <v>8478.2999999999993</v>
      </c>
      <c r="B170" s="60">
        <v>12.170500000000001</v>
      </c>
      <c r="D170">
        <f t="shared" si="4"/>
        <v>8478.2999999999993</v>
      </c>
      <c r="E170">
        <f t="shared" si="5"/>
        <v>12.170500000000001</v>
      </c>
    </row>
    <row r="171" spans="1:5" x14ac:dyDescent="0.25">
      <c r="A171" s="59">
        <v>8479.2000000000007</v>
      </c>
      <c r="B171" s="60">
        <v>12.1365</v>
      </c>
      <c r="D171">
        <f t="shared" si="4"/>
        <v>8479.2000000000007</v>
      </c>
      <c r="E171">
        <f t="shared" si="5"/>
        <v>12.1365</v>
      </c>
    </row>
    <row r="172" spans="1:5" x14ac:dyDescent="0.25">
      <c r="A172" s="59">
        <v>8487.2000000000007</v>
      </c>
      <c r="B172" s="60">
        <v>12.188500000000001</v>
      </c>
      <c r="D172">
        <f t="shared" si="4"/>
        <v>8487.2000000000007</v>
      </c>
      <c r="E172">
        <f t="shared" si="5"/>
        <v>12.188500000000001</v>
      </c>
    </row>
    <row r="173" spans="1:5" x14ac:dyDescent="0.25">
      <c r="A173" s="59">
        <v>8503.2000000000007</v>
      </c>
      <c r="B173" s="60">
        <v>12.275500000000001</v>
      </c>
      <c r="D173">
        <f t="shared" si="4"/>
        <v>8503.2000000000007</v>
      </c>
      <c r="E173">
        <f t="shared" si="5"/>
        <v>12.275500000000001</v>
      </c>
    </row>
    <row r="174" spans="1:5" x14ac:dyDescent="0.25">
      <c r="A174" s="59">
        <v>8577.6</v>
      </c>
      <c r="B174" s="60">
        <v>12.617000000000001</v>
      </c>
      <c r="D174">
        <f t="shared" si="4"/>
        <v>8577.6</v>
      </c>
      <c r="E174">
        <f t="shared" si="5"/>
        <v>12.617000000000001</v>
      </c>
    </row>
    <row r="175" spans="1:5" x14ac:dyDescent="0.25">
      <c r="A175" s="59">
        <v>8597.6</v>
      </c>
      <c r="B175" s="60">
        <v>12.741</v>
      </c>
      <c r="D175">
        <f t="shared" si="4"/>
        <v>8597.6</v>
      </c>
      <c r="E175">
        <f t="shared" si="5"/>
        <v>12.741</v>
      </c>
    </row>
    <row r="176" spans="1:5" x14ac:dyDescent="0.25">
      <c r="A176" s="59">
        <v>8643.4</v>
      </c>
      <c r="B176" s="60">
        <v>12.854500000000002</v>
      </c>
      <c r="D176">
        <f t="shared" si="4"/>
        <v>8643.4</v>
      </c>
      <c r="E176">
        <f t="shared" si="5"/>
        <v>12.854500000000002</v>
      </c>
    </row>
    <row r="177" spans="1:5" x14ac:dyDescent="0.25">
      <c r="A177" s="59">
        <v>8649.7999999999993</v>
      </c>
      <c r="B177" s="60">
        <v>12.964</v>
      </c>
      <c r="D177">
        <f t="shared" si="4"/>
        <v>8649.7999999999993</v>
      </c>
      <c r="E177">
        <f t="shared" si="5"/>
        <v>12.964</v>
      </c>
    </row>
    <row r="178" spans="1:5" x14ac:dyDescent="0.25">
      <c r="A178" s="59">
        <v>8654.7000000000007</v>
      </c>
      <c r="B178" s="60">
        <v>12.923999999999999</v>
      </c>
      <c r="D178">
        <f t="shared" si="4"/>
        <v>8654.7000000000007</v>
      </c>
      <c r="E178">
        <f t="shared" si="5"/>
        <v>12.923999999999999</v>
      </c>
    </row>
    <row r="179" spans="1:5" x14ac:dyDescent="0.25">
      <c r="A179" s="59">
        <v>8663.4</v>
      </c>
      <c r="B179" s="60">
        <v>12.8225</v>
      </c>
      <c r="D179">
        <f t="shared" si="4"/>
        <v>8663.4</v>
      </c>
      <c r="E179">
        <f t="shared" si="5"/>
        <v>12.8225</v>
      </c>
    </row>
    <row r="180" spans="1:5" x14ac:dyDescent="0.25">
      <c r="A180" s="59">
        <v>8664.4</v>
      </c>
      <c r="B180" s="60">
        <v>12.79</v>
      </c>
      <c r="D180">
        <f t="shared" si="4"/>
        <v>8664.4</v>
      </c>
      <c r="E180">
        <f t="shared" si="5"/>
        <v>12.79</v>
      </c>
    </row>
    <row r="181" spans="1:5" x14ac:dyDescent="0.25">
      <c r="A181" s="59">
        <v>8665.7999999999993</v>
      </c>
      <c r="B181" s="60">
        <v>12.88</v>
      </c>
      <c r="D181">
        <f t="shared" si="4"/>
        <v>8665.7999999999993</v>
      </c>
      <c r="E181">
        <f t="shared" si="5"/>
        <v>12.88</v>
      </c>
    </row>
    <row r="182" spans="1:5" x14ac:dyDescent="0.25">
      <c r="A182" s="59">
        <v>8672.4</v>
      </c>
      <c r="B182" s="60">
        <v>12.7735</v>
      </c>
      <c r="D182">
        <f t="shared" si="4"/>
        <v>8672.4</v>
      </c>
      <c r="E182">
        <f t="shared" si="5"/>
        <v>12.7735</v>
      </c>
    </row>
    <row r="183" spans="1:5" x14ac:dyDescent="0.25">
      <c r="A183" s="59">
        <v>8677.7000000000007</v>
      </c>
      <c r="B183" s="60">
        <v>12.839</v>
      </c>
      <c r="D183">
        <f t="shared" si="4"/>
        <v>8677.7000000000007</v>
      </c>
      <c r="E183">
        <f t="shared" si="5"/>
        <v>12.839</v>
      </c>
    </row>
    <row r="184" spans="1:5" x14ac:dyDescent="0.25">
      <c r="A184" s="59">
        <v>8681.4</v>
      </c>
      <c r="B184" s="60">
        <v>12.803000000000001</v>
      </c>
      <c r="D184">
        <f t="shared" si="4"/>
        <v>8681.4</v>
      </c>
      <c r="E184">
        <f t="shared" si="5"/>
        <v>12.803000000000001</v>
      </c>
    </row>
    <row r="185" spans="1:5" x14ac:dyDescent="0.25">
      <c r="A185" s="59">
        <v>8685.4</v>
      </c>
      <c r="B185" s="60">
        <v>12.76</v>
      </c>
      <c r="D185">
        <f t="shared" si="4"/>
        <v>8685.4</v>
      </c>
      <c r="E185">
        <f t="shared" si="5"/>
        <v>12.76</v>
      </c>
    </row>
    <row r="186" spans="1:5" x14ac:dyDescent="0.25">
      <c r="A186" s="59">
        <v>8685.7000000000007</v>
      </c>
      <c r="B186" s="60">
        <v>12.811999999999999</v>
      </c>
      <c r="D186">
        <f t="shared" si="4"/>
        <v>8685.7000000000007</v>
      </c>
      <c r="E186">
        <f t="shared" si="5"/>
        <v>12.811999999999999</v>
      </c>
    </row>
    <row r="187" spans="1:5" x14ac:dyDescent="0.25">
      <c r="A187" s="59">
        <v>8687.4</v>
      </c>
      <c r="B187" s="60">
        <v>12.752500000000001</v>
      </c>
      <c r="D187">
        <f t="shared" si="4"/>
        <v>8687.4</v>
      </c>
      <c r="E187">
        <f t="shared" si="5"/>
        <v>12.752500000000001</v>
      </c>
    </row>
    <row r="188" spans="1:5" x14ac:dyDescent="0.25">
      <c r="A188" s="59">
        <v>8688.4</v>
      </c>
      <c r="B188" s="60">
        <v>12.7575</v>
      </c>
      <c r="D188">
        <f t="shared" si="4"/>
        <v>8688.4</v>
      </c>
      <c r="E188">
        <f t="shared" si="5"/>
        <v>12.7575</v>
      </c>
    </row>
    <row r="189" spans="1:5" x14ac:dyDescent="0.25">
      <c r="A189" s="59">
        <v>8690.5</v>
      </c>
      <c r="B189" s="60">
        <v>12.7</v>
      </c>
      <c r="D189">
        <f t="shared" si="4"/>
        <v>8690.5</v>
      </c>
      <c r="E189">
        <f t="shared" si="5"/>
        <v>12.7</v>
      </c>
    </row>
    <row r="190" spans="1:5" x14ac:dyDescent="0.25">
      <c r="A190" s="59">
        <v>8693.4</v>
      </c>
      <c r="B190" s="60">
        <v>12.701000000000001</v>
      </c>
      <c r="D190">
        <f t="shared" si="4"/>
        <v>8693.4</v>
      </c>
      <c r="E190">
        <f t="shared" si="5"/>
        <v>12.701000000000001</v>
      </c>
    </row>
    <row r="191" spans="1:5" x14ac:dyDescent="0.25">
      <c r="A191" s="59">
        <v>8694.4</v>
      </c>
      <c r="B191" s="60">
        <v>12.704499999999999</v>
      </c>
      <c r="D191">
        <f t="shared" si="4"/>
        <v>8694.4</v>
      </c>
      <c r="E191">
        <f t="shared" si="5"/>
        <v>12.704499999999999</v>
      </c>
    </row>
    <row r="192" spans="1:5" x14ac:dyDescent="0.25">
      <c r="A192" s="59">
        <v>8697.4</v>
      </c>
      <c r="B192" s="60">
        <v>12.693999999999999</v>
      </c>
      <c r="D192">
        <f t="shared" si="4"/>
        <v>8697.4</v>
      </c>
      <c r="E192">
        <f t="shared" si="5"/>
        <v>12.693999999999999</v>
      </c>
    </row>
    <row r="193" spans="1:5" x14ac:dyDescent="0.25">
      <c r="A193" s="59">
        <v>8698.4</v>
      </c>
      <c r="B193" s="60">
        <v>12.6655</v>
      </c>
      <c r="D193">
        <f t="shared" si="4"/>
        <v>8698.4</v>
      </c>
      <c r="E193">
        <f t="shared" si="5"/>
        <v>12.6655</v>
      </c>
    </row>
    <row r="194" spans="1:5" x14ac:dyDescent="0.25">
      <c r="A194" s="59">
        <v>8699.4</v>
      </c>
      <c r="B194" s="60">
        <v>12.649000000000001</v>
      </c>
      <c r="D194">
        <f t="shared" si="4"/>
        <v>8699.4</v>
      </c>
      <c r="E194">
        <f t="shared" si="5"/>
        <v>12.649000000000001</v>
      </c>
    </row>
    <row r="195" spans="1:5" x14ac:dyDescent="0.25">
      <c r="A195" s="59">
        <v>8703.4</v>
      </c>
      <c r="B195" s="60">
        <v>12.615500000000001</v>
      </c>
      <c r="D195">
        <f t="shared" si="4"/>
        <v>8703.4</v>
      </c>
      <c r="E195">
        <f t="shared" si="5"/>
        <v>12.615500000000001</v>
      </c>
    </row>
    <row r="196" spans="1:5" x14ac:dyDescent="0.25">
      <c r="A196" s="59">
        <v>8706.4</v>
      </c>
      <c r="B196" s="60">
        <v>12.570499999999999</v>
      </c>
      <c r="D196">
        <f t="shared" si="4"/>
        <v>8706.4</v>
      </c>
      <c r="E196">
        <f t="shared" si="5"/>
        <v>12.570499999999999</v>
      </c>
    </row>
    <row r="197" spans="1:5" x14ac:dyDescent="0.25">
      <c r="A197" s="59">
        <v>8707.7000000000007</v>
      </c>
      <c r="B197" s="60">
        <v>12.625</v>
      </c>
      <c r="D197">
        <f t="shared" ref="D197:D225" si="6">+A197</f>
        <v>8707.7000000000007</v>
      </c>
      <c r="E197">
        <f t="shared" ref="E197:E225" si="7">+B197</f>
        <v>12.625</v>
      </c>
    </row>
    <row r="198" spans="1:5" x14ac:dyDescent="0.25">
      <c r="A198" s="59">
        <v>8708.4</v>
      </c>
      <c r="B198" s="60">
        <v>12.5535</v>
      </c>
      <c r="D198">
        <f t="shared" si="6"/>
        <v>8708.4</v>
      </c>
      <c r="E198">
        <f t="shared" si="7"/>
        <v>12.5535</v>
      </c>
    </row>
    <row r="199" spans="1:5" x14ac:dyDescent="0.25">
      <c r="A199" s="59">
        <v>8714.4</v>
      </c>
      <c r="B199" s="60">
        <v>12.568999999999999</v>
      </c>
      <c r="D199">
        <f t="shared" si="6"/>
        <v>8714.4</v>
      </c>
      <c r="E199">
        <f t="shared" si="7"/>
        <v>12.568999999999999</v>
      </c>
    </row>
    <row r="200" spans="1:5" x14ac:dyDescent="0.25">
      <c r="A200" s="59">
        <v>8715.4</v>
      </c>
      <c r="B200" s="60">
        <v>12.561500000000001</v>
      </c>
      <c r="D200">
        <f t="shared" si="6"/>
        <v>8715.4</v>
      </c>
      <c r="E200">
        <f t="shared" si="7"/>
        <v>12.561500000000001</v>
      </c>
    </row>
    <row r="201" spans="1:5" x14ac:dyDescent="0.25">
      <c r="A201" s="59">
        <v>8716.2999999999993</v>
      </c>
      <c r="B201" s="60">
        <v>12.54</v>
      </c>
      <c r="D201">
        <f t="shared" si="6"/>
        <v>8716.2999999999993</v>
      </c>
      <c r="E201">
        <f t="shared" si="7"/>
        <v>12.54</v>
      </c>
    </row>
    <row r="202" spans="1:5" x14ac:dyDescent="0.25">
      <c r="A202" s="59">
        <v>8717.4</v>
      </c>
      <c r="B202" s="60">
        <v>12.5625</v>
      </c>
      <c r="D202">
        <f t="shared" si="6"/>
        <v>8717.4</v>
      </c>
      <c r="E202">
        <f t="shared" si="7"/>
        <v>12.5625</v>
      </c>
    </row>
    <row r="203" spans="1:5" x14ac:dyDescent="0.25">
      <c r="A203" s="59">
        <v>8720.2999999999993</v>
      </c>
      <c r="B203" s="60">
        <v>12.5465</v>
      </c>
      <c r="D203">
        <f t="shared" si="6"/>
        <v>8720.2999999999993</v>
      </c>
      <c r="E203">
        <f t="shared" si="7"/>
        <v>12.5465</v>
      </c>
    </row>
    <row r="204" spans="1:5" x14ac:dyDescent="0.25">
      <c r="A204" s="59">
        <v>8721.7000000000007</v>
      </c>
      <c r="B204" s="60">
        <v>12.622999999999999</v>
      </c>
      <c r="D204">
        <f t="shared" si="6"/>
        <v>8721.7000000000007</v>
      </c>
      <c r="E204">
        <f t="shared" si="7"/>
        <v>12.622999999999999</v>
      </c>
    </row>
    <row r="205" spans="1:5" x14ac:dyDescent="0.25">
      <c r="A205" s="59">
        <v>8722.2999999999993</v>
      </c>
      <c r="B205" s="60">
        <v>12.576499999999999</v>
      </c>
      <c r="D205">
        <f t="shared" si="6"/>
        <v>8722.2999999999993</v>
      </c>
      <c r="E205">
        <f t="shared" si="7"/>
        <v>12.576499999999999</v>
      </c>
    </row>
    <row r="206" spans="1:5" x14ac:dyDescent="0.25">
      <c r="A206" s="59">
        <v>8726.2999999999993</v>
      </c>
      <c r="B206" s="60">
        <v>12.542999999999999</v>
      </c>
      <c r="D206">
        <f t="shared" si="6"/>
        <v>8726.2999999999993</v>
      </c>
      <c r="E206">
        <f t="shared" si="7"/>
        <v>12.542999999999999</v>
      </c>
    </row>
    <row r="207" spans="1:5" x14ac:dyDescent="0.25">
      <c r="A207" s="59">
        <v>8727.7999999999993</v>
      </c>
      <c r="B207" s="60">
        <v>12.584</v>
      </c>
      <c r="D207">
        <f t="shared" si="6"/>
        <v>8727.7999999999993</v>
      </c>
      <c r="E207">
        <f t="shared" si="7"/>
        <v>12.584</v>
      </c>
    </row>
    <row r="208" spans="1:5" x14ac:dyDescent="0.25">
      <c r="A208" s="59">
        <v>8728.2999999999993</v>
      </c>
      <c r="B208" s="60">
        <v>12.5305</v>
      </c>
      <c r="D208">
        <f t="shared" si="6"/>
        <v>8728.2999999999993</v>
      </c>
      <c r="E208">
        <f t="shared" si="7"/>
        <v>12.5305</v>
      </c>
    </row>
    <row r="209" spans="1:5" x14ac:dyDescent="0.25">
      <c r="A209" s="59">
        <v>8731.2999999999993</v>
      </c>
      <c r="B209" s="60">
        <v>12.512</v>
      </c>
      <c r="D209">
        <f t="shared" si="6"/>
        <v>8731.2999999999993</v>
      </c>
      <c r="E209">
        <f t="shared" si="7"/>
        <v>12.512</v>
      </c>
    </row>
    <row r="210" spans="1:5" x14ac:dyDescent="0.25">
      <c r="A210" s="59">
        <v>8739.7000000000007</v>
      </c>
      <c r="B210" s="60">
        <v>12.456</v>
      </c>
      <c r="D210">
        <f t="shared" si="6"/>
        <v>8739.7000000000007</v>
      </c>
      <c r="E210">
        <f t="shared" si="7"/>
        <v>12.456</v>
      </c>
    </row>
    <row r="211" spans="1:5" x14ac:dyDescent="0.25">
      <c r="A211" s="59">
        <v>8739.7999999999993</v>
      </c>
      <c r="B211" s="60">
        <v>12.45</v>
      </c>
      <c r="D211">
        <f t="shared" si="6"/>
        <v>8739.7999999999993</v>
      </c>
      <c r="E211">
        <f t="shared" si="7"/>
        <v>12.45</v>
      </c>
    </row>
    <row r="212" spans="1:5" x14ac:dyDescent="0.25">
      <c r="A212" s="59">
        <v>8740.2999999999993</v>
      </c>
      <c r="B212" s="60">
        <v>12.4415</v>
      </c>
      <c r="D212">
        <f t="shared" si="6"/>
        <v>8740.2999999999993</v>
      </c>
      <c r="E212">
        <f t="shared" si="7"/>
        <v>12.4415</v>
      </c>
    </row>
    <row r="213" spans="1:5" x14ac:dyDescent="0.25">
      <c r="A213" s="59">
        <v>8744.2999999999993</v>
      </c>
      <c r="B213" s="60">
        <v>12.4275</v>
      </c>
      <c r="D213">
        <f t="shared" si="6"/>
        <v>8744.2999999999993</v>
      </c>
      <c r="E213">
        <f t="shared" si="7"/>
        <v>12.4275</v>
      </c>
    </row>
    <row r="214" spans="1:5" x14ac:dyDescent="0.25">
      <c r="A214" s="59">
        <v>8745.2999999999993</v>
      </c>
      <c r="B214" s="60">
        <v>12.4245</v>
      </c>
      <c r="D214">
        <f t="shared" si="6"/>
        <v>8745.2999999999993</v>
      </c>
      <c r="E214">
        <f t="shared" si="7"/>
        <v>12.4245</v>
      </c>
    </row>
    <row r="215" spans="1:5" x14ac:dyDescent="0.25">
      <c r="A215" s="59">
        <v>8747.2999999999993</v>
      </c>
      <c r="B215" s="60">
        <v>12.3855</v>
      </c>
      <c r="D215">
        <f t="shared" si="6"/>
        <v>8747.2999999999993</v>
      </c>
      <c r="E215">
        <f t="shared" si="7"/>
        <v>12.3855</v>
      </c>
    </row>
    <row r="216" spans="1:5" x14ac:dyDescent="0.25">
      <c r="A216" s="59">
        <v>8747.7000000000007</v>
      </c>
      <c r="B216" s="60">
        <v>12.409000000000001</v>
      </c>
      <c r="D216">
        <f t="shared" si="6"/>
        <v>8747.7000000000007</v>
      </c>
      <c r="E216">
        <f t="shared" si="7"/>
        <v>12.409000000000001</v>
      </c>
    </row>
    <row r="217" spans="1:5" x14ac:dyDescent="0.25">
      <c r="A217" s="59">
        <v>8748.2999999999993</v>
      </c>
      <c r="B217" s="60">
        <v>12.36</v>
      </c>
      <c r="D217">
        <f t="shared" si="6"/>
        <v>8748.2999999999993</v>
      </c>
      <c r="E217">
        <f t="shared" si="7"/>
        <v>12.36</v>
      </c>
    </row>
    <row r="218" spans="1:5" x14ac:dyDescent="0.25">
      <c r="A218" s="59">
        <v>8753.6</v>
      </c>
      <c r="B218" s="60">
        <v>12.435</v>
      </c>
      <c r="D218">
        <f t="shared" si="6"/>
        <v>8753.6</v>
      </c>
      <c r="E218">
        <f t="shared" si="7"/>
        <v>12.435</v>
      </c>
    </row>
    <row r="219" spans="1:5" x14ac:dyDescent="0.25">
      <c r="A219" s="59">
        <v>8759.2999999999993</v>
      </c>
      <c r="B219" s="60">
        <v>12.349499999999999</v>
      </c>
      <c r="D219">
        <f t="shared" si="6"/>
        <v>8759.2999999999993</v>
      </c>
      <c r="E219">
        <f t="shared" si="7"/>
        <v>12.349499999999999</v>
      </c>
    </row>
    <row r="220" spans="1:5" x14ac:dyDescent="0.25">
      <c r="A220" s="59">
        <v>8761.2999999999993</v>
      </c>
      <c r="B220" s="60">
        <v>12.327500000000001</v>
      </c>
      <c r="D220">
        <f t="shared" si="6"/>
        <v>8761.2999999999993</v>
      </c>
      <c r="E220">
        <f t="shared" si="7"/>
        <v>12.327500000000001</v>
      </c>
    </row>
    <row r="221" spans="1:5" x14ac:dyDescent="0.25">
      <c r="A221" s="59">
        <v>8762.6</v>
      </c>
      <c r="B221" s="60">
        <v>12.372</v>
      </c>
      <c r="D221">
        <f t="shared" si="6"/>
        <v>8762.6</v>
      </c>
      <c r="E221">
        <f t="shared" si="7"/>
        <v>12.372</v>
      </c>
    </row>
    <row r="222" spans="1:5" x14ac:dyDescent="0.25">
      <c r="A222" s="59">
        <v>8765.2999999999993</v>
      </c>
      <c r="B222" s="60">
        <v>12.339500000000001</v>
      </c>
      <c r="D222">
        <f t="shared" si="6"/>
        <v>8765.2999999999993</v>
      </c>
      <c r="E222">
        <f t="shared" si="7"/>
        <v>12.339500000000001</v>
      </c>
    </row>
    <row r="223" spans="1:5" x14ac:dyDescent="0.25">
      <c r="A223" s="59">
        <v>8768.7000000000007</v>
      </c>
      <c r="B223" s="60">
        <v>12.355</v>
      </c>
      <c r="D223">
        <f t="shared" si="6"/>
        <v>8768.7000000000007</v>
      </c>
      <c r="E223">
        <f t="shared" si="7"/>
        <v>12.355</v>
      </c>
    </row>
    <row r="224" spans="1:5" x14ac:dyDescent="0.25">
      <c r="A224" s="59">
        <v>8773.6</v>
      </c>
      <c r="B224" s="60">
        <v>12.318</v>
      </c>
      <c r="D224">
        <f t="shared" si="6"/>
        <v>8773.6</v>
      </c>
      <c r="E224">
        <f t="shared" si="7"/>
        <v>12.318</v>
      </c>
    </row>
    <row r="225" spans="1:5" x14ac:dyDescent="0.25">
      <c r="A225" s="59">
        <v>8780.6</v>
      </c>
      <c r="B225" s="60">
        <v>12.3</v>
      </c>
      <c r="D225">
        <f t="shared" si="6"/>
        <v>8780.6</v>
      </c>
      <c r="E225">
        <f t="shared" si="7"/>
        <v>12.3</v>
      </c>
    </row>
    <row r="226" spans="1:5" x14ac:dyDescent="0.25">
      <c r="A226" s="59" t="s">
        <v>363</v>
      </c>
      <c r="B226" s="60"/>
    </row>
    <row r="227" spans="1:5" x14ac:dyDescent="0.25">
      <c r="A227" s="59" t="s">
        <v>364</v>
      </c>
      <c r="B227" s="60">
        <v>11.298156156156159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CD3-C4EF-4B76-A584-F65DCF11DDC4}">
  <sheetPr codeName="Feuil8"/>
  <dimension ref="A3:B227"/>
  <sheetViews>
    <sheetView workbookViewId="0">
      <selection activeCell="A3" sqref="A3"/>
    </sheetView>
  </sheetViews>
  <sheetFormatPr baseColWidth="10" defaultRowHeight="15" x14ac:dyDescent="0.25"/>
  <cols>
    <col min="1" max="1" width="21" bestFit="1" customWidth="1"/>
    <col min="2" max="2" width="15.42578125" bestFit="1" customWidth="1"/>
  </cols>
  <sheetData>
    <row r="3" spans="1:2" x14ac:dyDescent="0.25">
      <c r="A3" s="58" t="s">
        <v>362</v>
      </c>
      <c r="B3" t="s">
        <v>366</v>
      </c>
    </row>
    <row r="4" spans="1:2" x14ac:dyDescent="0.25">
      <c r="A4" s="59">
        <v>8341.1</v>
      </c>
      <c r="B4" s="60" t="e">
        <v>#DIV/0!</v>
      </c>
    </row>
    <row r="5" spans="1:2" x14ac:dyDescent="0.25">
      <c r="A5" s="59">
        <v>8342.6</v>
      </c>
      <c r="B5" s="60">
        <v>2.153601634419083E-2</v>
      </c>
    </row>
    <row r="6" spans="1:2" x14ac:dyDescent="0.25">
      <c r="A6" s="59">
        <v>8342.7000000000007</v>
      </c>
      <c r="B6" s="60">
        <v>3.191120787294105E-2</v>
      </c>
    </row>
    <row r="7" spans="1:2" x14ac:dyDescent="0.25">
      <c r="A7" s="59">
        <v>8343.2999999999993</v>
      </c>
      <c r="B7" s="60" t="e">
        <v>#DIV/0!</v>
      </c>
    </row>
    <row r="8" spans="1:2" x14ac:dyDescent="0.25">
      <c r="A8" s="59">
        <v>8343.5</v>
      </c>
      <c r="B8" s="60">
        <v>7.7781745941951216E-3</v>
      </c>
    </row>
    <row r="9" spans="1:2" x14ac:dyDescent="0.25">
      <c r="A9" s="59">
        <v>8343.7000000000007</v>
      </c>
      <c r="B9" s="60">
        <v>2.8596902424804182E-2</v>
      </c>
    </row>
    <row r="10" spans="1:2" x14ac:dyDescent="0.25">
      <c r="A10" s="59">
        <v>8344.2999999999993</v>
      </c>
      <c r="B10" s="60">
        <v>8.9991452583400456E-3</v>
      </c>
    </row>
    <row r="11" spans="1:2" x14ac:dyDescent="0.25">
      <c r="A11" s="59">
        <v>8344.4</v>
      </c>
      <c r="B11" s="60">
        <v>3.0987925202685531E-2</v>
      </c>
    </row>
    <row r="12" spans="1:2" x14ac:dyDescent="0.25">
      <c r="A12" s="59">
        <v>8344.6</v>
      </c>
      <c r="B12" s="60" t="e">
        <v>#DIV/0!</v>
      </c>
    </row>
    <row r="13" spans="1:2" x14ac:dyDescent="0.25">
      <c r="A13" s="59">
        <v>8345.4</v>
      </c>
      <c r="B13" s="60">
        <v>2.0320020319200667E-2</v>
      </c>
    </row>
    <row r="14" spans="1:2" x14ac:dyDescent="0.25">
      <c r="A14" s="59">
        <v>8345.5</v>
      </c>
      <c r="B14" s="60">
        <v>2.2603707435649809E-2</v>
      </c>
    </row>
    <row r="15" spans="1:2" x14ac:dyDescent="0.25">
      <c r="A15" s="59">
        <v>8345.7000000000007</v>
      </c>
      <c r="B15" s="60">
        <v>1.263733748995715E-2</v>
      </c>
    </row>
    <row r="16" spans="1:2" x14ac:dyDescent="0.25">
      <c r="A16" s="59">
        <v>8345.7999999999993</v>
      </c>
      <c r="B16" s="60">
        <v>1.152051310748662E-2</v>
      </c>
    </row>
    <row r="17" spans="1:2" x14ac:dyDescent="0.25">
      <c r="A17" s="59">
        <v>8346.7000000000007</v>
      </c>
      <c r="B17" s="60">
        <v>7.8257681434758929E-3</v>
      </c>
    </row>
    <row r="18" spans="1:2" x14ac:dyDescent="0.25">
      <c r="A18" s="59">
        <v>8346.7999999999993</v>
      </c>
      <c r="B18" s="60">
        <v>8.9261677412104945E-3</v>
      </c>
    </row>
    <row r="19" spans="1:2" x14ac:dyDescent="0.25">
      <c r="A19" s="59">
        <v>8346.9</v>
      </c>
      <c r="B19" s="60">
        <v>3.8155820875384272E-2</v>
      </c>
    </row>
    <row r="20" spans="1:2" x14ac:dyDescent="0.25">
      <c r="A20" s="59">
        <v>8347.4</v>
      </c>
      <c r="B20" s="60">
        <v>0.10040916292840424</v>
      </c>
    </row>
    <row r="21" spans="1:2" x14ac:dyDescent="0.25">
      <c r="A21" s="59">
        <v>8349.5</v>
      </c>
      <c r="B21" s="60">
        <v>2.1213203475807943E-3</v>
      </c>
    </row>
    <row r="22" spans="1:2" x14ac:dyDescent="0.25">
      <c r="A22" s="59">
        <v>8350.5</v>
      </c>
      <c r="B22" s="60">
        <v>8.4852813735755237E-3</v>
      </c>
    </row>
    <row r="23" spans="1:2" x14ac:dyDescent="0.25">
      <c r="A23" s="59">
        <v>8351.5</v>
      </c>
      <c r="B23" s="60">
        <v>1.9091883092498822E-2</v>
      </c>
    </row>
    <row r="24" spans="1:2" x14ac:dyDescent="0.25">
      <c r="A24" s="59">
        <v>8352.5</v>
      </c>
      <c r="B24" s="60">
        <v>4.9497474677994294E-3</v>
      </c>
    </row>
    <row r="25" spans="1:2" x14ac:dyDescent="0.25">
      <c r="A25" s="59">
        <v>8353.4</v>
      </c>
      <c r="B25" s="60" t="e">
        <v>#DIV/0!</v>
      </c>
    </row>
    <row r="26" spans="1:2" x14ac:dyDescent="0.25">
      <c r="A26" s="59">
        <v>8354.5</v>
      </c>
      <c r="B26" s="60">
        <v>1.3435028844623746E-2</v>
      </c>
    </row>
    <row r="27" spans="1:2" x14ac:dyDescent="0.25">
      <c r="A27" s="59">
        <v>8355.5</v>
      </c>
      <c r="B27" s="60">
        <v>2.0506096654164654E-2</v>
      </c>
    </row>
    <row r="28" spans="1:2" x14ac:dyDescent="0.25">
      <c r="A28" s="59">
        <v>8355.7999999999993</v>
      </c>
      <c r="B28" s="60" t="e">
        <v>#DIV/0!</v>
      </c>
    </row>
    <row r="29" spans="1:2" x14ac:dyDescent="0.25">
      <c r="A29" s="59">
        <v>8356.5</v>
      </c>
      <c r="B29" s="60">
        <v>7.0710678149974206E-3</v>
      </c>
    </row>
    <row r="30" spans="1:2" x14ac:dyDescent="0.25">
      <c r="A30" s="59">
        <v>8357.5</v>
      </c>
      <c r="B30" s="60">
        <v>1.4142135505392302E-3</v>
      </c>
    </row>
    <row r="31" spans="1:2" x14ac:dyDescent="0.25">
      <c r="A31" s="59">
        <v>8358.5</v>
      </c>
      <c r="B31" s="60">
        <v>2.4041630560729842E-2</v>
      </c>
    </row>
    <row r="32" spans="1:2" x14ac:dyDescent="0.25">
      <c r="A32" s="59">
        <v>8359.4</v>
      </c>
      <c r="B32" s="60">
        <v>1.4142135505392302E-3</v>
      </c>
    </row>
    <row r="33" spans="1:2" x14ac:dyDescent="0.25">
      <c r="A33" s="59">
        <v>8359.5</v>
      </c>
      <c r="B33" s="60">
        <v>2.4041630560729842E-2</v>
      </c>
    </row>
    <row r="34" spans="1:2" x14ac:dyDescent="0.25">
      <c r="A34" s="59">
        <v>8360.5</v>
      </c>
      <c r="B34" s="60">
        <v>2.1213203475807943E-3</v>
      </c>
    </row>
    <row r="35" spans="1:2" x14ac:dyDescent="0.25">
      <c r="A35" s="59">
        <v>8361.5</v>
      </c>
      <c r="B35" s="60">
        <v>2.1213203434943668E-2</v>
      </c>
    </row>
    <row r="36" spans="1:2" x14ac:dyDescent="0.25">
      <c r="A36" s="59">
        <v>8362.4</v>
      </c>
      <c r="B36" s="60" t="e">
        <v>#DIV/0!</v>
      </c>
    </row>
    <row r="37" spans="1:2" x14ac:dyDescent="0.25">
      <c r="A37" s="59">
        <v>8362.5</v>
      </c>
      <c r="B37" s="60">
        <v>1.4142135605878221E-3</v>
      </c>
    </row>
    <row r="38" spans="1:2" x14ac:dyDescent="0.25">
      <c r="A38" s="59">
        <v>8363.5</v>
      </c>
      <c r="B38" s="60">
        <v>2.1213203408817329E-3</v>
      </c>
    </row>
    <row r="39" spans="1:2" x14ac:dyDescent="0.25">
      <c r="A39" s="59">
        <v>8364.2999999999993</v>
      </c>
      <c r="B39" s="60">
        <v>1.045032265390668E-2</v>
      </c>
    </row>
    <row r="40" spans="1:2" x14ac:dyDescent="0.25">
      <c r="A40" s="59">
        <v>8364.4</v>
      </c>
      <c r="B40" s="60">
        <v>1.1507214295916859E-2</v>
      </c>
    </row>
    <row r="41" spans="1:2" x14ac:dyDescent="0.25">
      <c r="A41" s="59">
        <v>8364.5</v>
      </c>
      <c r="B41" s="60">
        <v>3.5355339014695552E-3</v>
      </c>
    </row>
    <row r="42" spans="1:2" x14ac:dyDescent="0.25">
      <c r="A42" s="59">
        <v>8365.5</v>
      </c>
      <c r="B42" s="60">
        <v>9.192388153096467E-3</v>
      </c>
    </row>
    <row r="43" spans="1:2" x14ac:dyDescent="0.25">
      <c r="A43" s="59">
        <v>8366.4</v>
      </c>
      <c r="B43" s="60" t="e">
        <v>#DIV/0!</v>
      </c>
    </row>
    <row r="44" spans="1:2" x14ac:dyDescent="0.25">
      <c r="A44" s="59">
        <v>8366.5</v>
      </c>
      <c r="B44" s="60">
        <v>1.2020815279182735E-2</v>
      </c>
    </row>
    <row r="45" spans="1:2" x14ac:dyDescent="0.25">
      <c r="A45" s="59">
        <v>8367.5</v>
      </c>
      <c r="B45" s="60">
        <v>5.6568542523998799E-3</v>
      </c>
    </row>
    <row r="46" spans="1:2" x14ac:dyDescent="0.25">
      <c r="A46" s="59">
        <v>8367.6</v>
      </c>
      <c r="B46" s="60">
        <v>5.2121652540928747E-3</v>
      </c>
    </row>
    <row r="47" spans="1:2" x14ac:dyDescent="0.25">
      <c r="A47" s="59">
        <v>8367.7000000000007</v>
      </c>
      <c r="B47" s="60" t="e">
        <v>#DIV/0!</v>
      </c>
    </row>
    <row r="48" spans="1:2" x14ac:dyDescent="0.25">
      <c r="A48" s="59">
        <v>8368.5</v>
      </c>
      <c r="B48" s="60">
        <v>1.0606601716466976E-2</v>
      </c>
    </row>
    <row r="49" spans="1:2" x14ac:dyDescent="0.25">
      <c r="A49" s="59">
        <v>8368.6</v>
      </c>
      <c r="B49" s="60" t="e">
        <v>#DIV/0!</v>
      </c>
    </row>
    <row r="50" spans="1:2" x14ac:dyDescent="0.25">
      <c r="A50" s="59">
        <v>8369.2999999999993</v>
      </c>
      <c r="B50" s="60">
        <v>1.4142135505392302E-3</v>
      </c>
    </row>
    <row r="51" spans="1:2" x14ac:dyDescent="0.25">
      <c r="A51" s="59">
        <v>8369.5</v>
      </c>
      <c r="B51" s="60">
        <v>9.192388153096467E-3</v>
      </c>
    </row>
    <row r="52" spans="1:2" x14ac:dyDescent="0.25">
      <c r="A52" s="59">
        <v>8370.2999999999993</v>
      </c>
      <c r="B52" s="60" t="e">
        <v>#DIV/0!</v>
      </c>
    </row>
    <row r="53" spans="1:2" x14ac:dyDescent="0.25">
      <c r="A53" s="59">
        <v>8370.5</v>
      </c>
      <c r="B53" s="60">
        <v>1.4142135706364137E-3</v>
      </c>
    </row>
    <row r="54" spans="1:2" x14ac:dyDescent="0.25">
      <c r="A54" s="59">
        <v>8371.5</v>
      </c>
      <c r="B54" s="60">
        <v>1.343502884039276E-2</v>
      </c>
    </row>
    <row r="55" spans="1:2" x14ac:dyDescent="0.25">
      <c r="A55" s="59">
        <v>8372.5</v>
      </c>
      <c r="B55" s="60">
        <v>9.192388156188341E-3</v>
      </c>
    </row>
    <row r="56" spans="1:2" x14ac:dyDescent="0.25">
      <c r="A56" s="59">
        <v>8373.5</v>
      </c>
      <c r="B56" s="60">
        <v>9.192388159280215E-3</v>
      </c>
    </row>
    <row r="57" spans="1:2" x14ac:dyDescent="0.25">
      <c r="A57" s="59">
        <v>8374.5</v>
      </c>
      <c r="B57" s="60">
        <v>4.2426406884625272E-3</v>
      </c>
    </row>
    <row r="58" spans="1:2" x14ac:dyDescent="0.25">
      <c r="A58" s="59">
        <v>8375.2999999999993</v>
      </c>
      <c r="B58" s="60">
        <v>6.8007352520514357E-3</v>
      </c>
    </row>
    <row r="59" spans="1:2" x14ac:dyDescent="0.25">
      <c r="A59" s="59">
        <v>8375.5</v>
      </c>
      <c r="B59" s="60">
        <v>9.8994949355988588E-3</v>
      </c>
    </row>
    <row r="60" spans="1:2" x14ac:dyDescent="0.25">
      <c r="A60" s="59">
        <v>8376.2999999999993</v>
      </c>
      <c r="B60" s="60">
        <v>4.2426406817634658E-3</v>
      </c>
    </row>
    <row r="61" spans="1:2" x14ac:dyDescent="0.25">
      <c r="A61" s="59">
        <v>8378.2999999999993</v>
      </c>
      <c r="B61" s="60">
        <v>7.0710678029391107E-4</v>
      </c>
    </row>
    <row r="62" spans="1:2" x14ac:dyDescent="0.25">
      <c r="A62" s="59">
        <v>8379.4</v>
      </c>
      <c r="B62" s="60" t="e">
        <v>#DIV/0!</v>
      </c>
    </row>
    <row r="63" spans="1:2" x14ac:dyDescent="0.25">
      <c r="A63" s="59">
        <v>8380.5</v>
      </c>
      <c r="B63" s="60">
        <v>9.192388156188341E-3</v>
      </c>
    </row>
    <row r="64" spans="1:2" x14ac:dyDescent="0.25">
      <c r="A64" s="59">
        <v>8381.4</v>
      </c>
      <c r="B64" s="60" t="e">
        <v>#DIV/0!</v>
      </c>
    </row>
    <row r="65" spans="1:2" x14ac:dyDescent="0.25">
      <c r="A65" s="59">
        <v>8381.5</v>
      </c>
      <c r="B65" s="60">
        <v>2.828427131224236E-3</v>
      </c>
    </row>
    <row r="66" spans="1:2" x14ac:dyDescent="0.25">
      <c r="A66" s="59">
        <v>8382.4</v>
      </c>
      <c r="B66" s="60" t="e">
        <v>#DIV/0!</v>
      </c>
    </row>
    <row r="67" spans="1:2" x14ac:dyDescent="0.25">
      <c r="A67" s="59">
        <v>8382.5</v>
      </c>
      <c r="B67" s="60">
        <v>2.8991378028323318E-2</v>
      </c>
    </row>
    <row r="68" spans="1:2" x14ac:dyDescent="0.25">
      <c r="A68" s="59">
        <v>8383.4</v>
      </c>
      <c r="B68" s="60">
        <v>1.4142135806850054E-3</v>
      </c>
    </row>
    <row r="69" spans="1:2" x14ac:dyDescent="0.25">
      <c r="A69" s="59">
        <v>8383.5</v>
      </c>
      <c r="B69" s="60">
        <v>1.4142135605878221E-3</v>
      </c>
    </row>
    <row r="70" spans="1:2" x14ac:dyDescent="0.25">
      <c r="A70" s="59">
        <v>8384.5</v>
      </c>
      <c r="B70" s="60">
        <v>4.2426406817634658E-3</v>
      </c>
    </row>
    <row r="71" spans="1:2" x14ac:dyDescent="0.25">
      <c r="A71" s="59">
        <v>8385.4</v>
      </c>
      <c r="B71" s="60">
        <v>2.1920310216339684E-2</v>
      </c>
    </row>
    <row r="72" spans="1:2" x14ac:dyDescent="0.25">
      <c r="A72" s="59">
        <v>8385.5</v>
      </c>
      <c r="B72" s="60">
        <v>7.0710678029391107E-4</v>
      </c>
    </row>
    <row r="73" spans="1:2" x14ac:dyDescent="0.25">
      <c r="A73" s="59">
        <v>8386.2999999999993</v>
      </c>
      <c r="B73" s="60">
        <v>1.4142135806850054E-3</v>
      </c>
    </row>
    <row r="74" spans="1:2" x14ac:dyDescent="0.25">
      <c r="A74" s="59">
        <v>8386.5</v>
      </c>
      <c r="B74" s="60">
        <v>0</v>
      </c>
    </row>
    <row r="75" spans="1:2" x14ac:dyDescent="0.25">
      <c r="A75" s="59">
        <v>8387.5</v>
      </c>
      <c r="B75" s="60">
        <v>7.7781745905410879E-3</v>
      </c>
    </row>
    <row r="76" spans="1:2" x14ac:dyDescent="0.25">
      <c r="A76" s="59">
        <v>8388.2999999999993</v>
      </c>
      <c r="B76" s="60">
        <v>2.0647840886643006E-2</v>
      </c>
    </row>
    <row r="77" spans="1:2" x14ac:dyDescent="0.25">
      <c r="A77" s="59">
        <v>8388.4</v>
      </c>
      <c r="B77" s="60" t="e">
        <v>#DIV/0!</v>
      </c>
    </row>
    <row r="78" spans="1:2" x14ac:dyDescent="0.25">
      <c r="A78" s="59">
        <v>8388.5</v>
      </c>
      <c r="B78" s="60">
        <v>7.0710682048827692E-4</v>
      </c>
    </row>
    <row r="79" spans="1:2" x14ac:dyDescent="0.25">
      <c r="A79" s="59">
        <v>8389.2999999999993</v>
      </c>
      <c r="B79" s="60">
        <v>1.5011106998914356E-2</v>
      </c>
    </row>
    <row r="80" spans="1:2" x14ac:dyDescent="0.25">
      <c r="A80" s="59">
        <v>8389.5</v>
      </c>
      <c r="B80" s="60">
        <v>1.2020815279182735E-2</v>
      </c>
    </row>
    <row r="81" spans="1:2" x14ac:dyDescent="0.25">
      <c r="A81" s="59">
        <v>8389.7000000000007</v>
      </c>
      <c r="B81" s="60" t="e">
        <v>#DIV/0!</v>
      </c>
    </row>
    <row r="82" spans="1:2" x14ac:dyDescent="0.25">
      <c r="A82" s="59">
        <v>8390.2999999999993</v>
      </c>
      <c r="B82" s="60">
        <v>2.828427131224236E-3</v>
      </c>
    </row>
    <row r="83" spans="1:2" x14ac:dyDescent="0.25">
      <c r="A83" s="59">
        <v>8390.4</v>
      </c>
      <c r="B83" s="60" t="e">
        <v>#DIV/0!</v>
      </c>
    </row>
    <row r="84" spans="1:2" x14ac:dyDescent="0.25">
      <c r="A84" s="59">
        <v>8390.5</v>
      </c>
      <c r="B84" s="60">
        <v>2.1213203408817329E-3</v>
      </c>
    </row>
    <row r="85" spans="1:2" x14ac:dyDescent="0.25">
      <c r="A85" s="59">
        <v>8392.5</v>
      </c>
      <c r="B85" s="60">
        <v>1.2020815281547109E-2</v>
      </c>
    </row>
    <row r="86" spans="1:2" x14ac:dyDescent="0.25">
      <c r="A86" s="59">
        <v>8393.5</v>
      </c>
      <c r="B86" s="60">
        <v>4.9497474735414821E-3</v>
      </c>
    </row>
    <row r="87" spans="1:2" x14ac:dyDescent="0.25">
      <c r="A87" s="59">
        <v>8394.4</v>
      </c>
      <c r="B87" s="60" t="e">
        <v>#DIV/0!</v>
      </c>
    </row>
    <row r="88" spans="1:2" x14ac:dyDescent="0.25">
      <c r="A88" s="59">
        <v>8394.5</v>
      </c>
      <c r="B88" s="60">
        <v>1.0606601715127163E-2</v>
      </c>
    </row>
    <row r="89" spans="1:2" x14ac:dyDescent="0.25">
      <c r="A89" s="59">
        <v>8395.2999999999993</v>
      </c>
      <c r="B89" s="60" t="e">
        <v>#DIV/0!</v>
      </c>
    </row>
    <row r="90" spans="1:2" x14ac:dyDescent="0.25">
      <c r="A90" s="59">
        <v>8395.5</v>
      </c>
      <c r="B90" s="60">
        <v>4.2426406884625272E-3</v>
      </c>
    </row>
    <row r="91" spans="1:2" x14ac:dyDescent="0.25">
      <c r="A91" s="59">
        <v>8395.6</v>
      </c>
      <c r="B91" s="60" t="e">
        <v>#DIV/0!</v>
      </c>
    </row>
    <row r="92" spans="1:2" x14ac:dyDescent="0.25">
      <c r="A92" s="59">
        <v>8396.4</v>
      </c>
      <c r="B92" s="60" t="e">
        <v>#DIV/0!</v>
      </c>
    </row>
    <row r="93" spans="1:2" x14ac:dyDescent="0.25">
      <c r="A93" s="59">
        <v>8396.5</v>
      </c>
      <c r="B93" s="60">
        <v>2.4748737341293969E-2</v>
      </c>
    </row>
    <row r="94" spans="1:2" x14ac:dyDescent="0.25">
      <c r="A94" s="59">
        <v>8397.5</v>
      </c>
      <c r="B94" s="60">
        <v>9.8994949355988588E-3</v>
      </c>
    </row>
    <row r="95" spans="1:2" x14ac:dyDescent="0.25">
      <c r="A95" s="59">
        <v>8398.2999999999993</v>
      </c>
      <c r="B95" s="60" t="e">
        <v>#DIV/0!</v>
      </c>
    </row>
    <row r="96" spans="1:2" x14ac:dyDescent="0.25">
      <c r="A96" s="59">
        <v>8400.6</v>
      </c>
      <c r="B96" s="60">
        <v>4.2426406884625272E-3</v>
      </c>
    </row>
    <row r="97" spans="1:2" x14ac:dyDescent="0.25">
      <c r="A97" s="59">
        <v>8401.2999999999993</v>
      </c>
      <c r="B97" s="60">
        <v>4.9497474677994294E-3</v>
      </c>
    </row>
    <row r="98" spans="1:2" x14ac:dyDescent="0.25">
      <c r="A98" s="59">
        <v>8401.6</v>
      </c>
      <c r="B98" s="60">
        <v>0</v>
      </c>
    </row>
    <row r="99" spans="1:2" x14ac:dyDescent="0.25">
      <c r="A99" s="59">
        <v>8402.2999999999993</v>
      </c>
      <c r="B99" s="60">
        <v>9.192388156188341E-3</v>
      </c>
    </row>
    <row r="100" spans="1:2" x14ac:dyDescent="0.25">
      <c r="A100" s="59">
        <v>8402.6</v>
      </c>
      <c r="B100" s="60">
        <v>7.7781745905410879E-3</v>
      </c>
    </row>
    <row r="101" spans="1:2" x14ac:dyDescent="0.25">
      <c r="A101" s="59">
        <v>8403.6</v>
      </c>
      <c r="B101" s="60">
        <v>1.0606601720486412E-2</v>
      </c>
    </row>
    <row r="102" spans="1:2" x14ac:dyDescent="0.25">
      <c r="A102" s="59">
        <v>8404.2999999999993</v>
      </c>
      <c r="B102" s="60">
        <v>1.2020815279182735E-2</v>
      </c>
    </row>
    <row r="103" spans="1:2" x14ac:dyDescent="0.25">
      <c r="A103" s="59">
        <v>8404.6</v>
      </c>
      <c r="B103" s="60">
        <v>5.6568542523998799E-3</v>
      </c>
    </row>
    <row r="104" spans="1:2" x14ac:dyDescent="0.25">
      <c r="A104" s="59">
        <v>8405.6</v>
      </c>
      <c r="B104" s="60">
        <v>1.5556349188390243E-2</v>
      </c>
    </row>
    <row r="105" spans="1:2" x14ac:dyDescent="0.25">
      <c r="A105" s="59">
        <v>8406.2999999999993</v>
      </c>
      <c r="B105" s="60">
        <v>3.5355338934306819E-3</v>
      </c>
    </row>
    <row r="106" spans="1:2" x14ac:dyDescent="0.25">
      <c r="A106" s="59">
        <v>8406.6</v>
      </c>
      <c r="B106" s="60">
        <v>2.7577164465473147E-2</v>
      </c>
    </row>
    <row r="107" spans="1:2" x14ac:dyDescent="0.25">
      <c r="A107" s="59">
        <v>8407.2999999999993</v>
      </c>
      <c r="B107" s="60">
        <v>0</v>
      </c>
    </row>
    <row r="108" spans="1:2" x14ac:dyDescent="0.25">
      <c r="A108" s="59">
        <v>8407.6</v>
      </c>
      <c r="B108" s="60">
        <v>1.4142135806850054E-3</v>
      </c>
    </row>
    <row r="109" spans="1:2" x14ac:dyDescent="0.25">
      <c r="A109" s="59">
        <v>8408.6</v>
      </c>
      <c r="B109" s="60">
        <v>2.8991378028323318E-2</v>
      </c>
    </row>
    <row r="110" spans="1:2" x14ac:dyDescent="0.25">
      <c r="A110" s="59">
        <v>8409.2999999999993</v>
      </c>
      <c r="B110" s="60">
        <v>8.4852813769250544E-3</v>
      </c>
    </row>
    <row r="111" spans="1:2" x14ac:dyDescent="0.25">
      <c r="A111" s="59">
        <v>8409.6</v>
      </c>
      <c r="B111" s="60">
        <v>1.767766952985662E-2</v>
      </c>
    </row>
    <row r="112" spans="1:2" x14ac:dyDescent="0.25">
      <c r="A112" s="59">
        <v>8410.5</v>
      </c>
      <c r="B112" s="60">
        <v>2.828427131224236E-3</v>
      </c>
    </row>
    <row r="113" spans="1:2" x14ac:dyDescent="0.25">
      <c r="A113" s="59">
        <v>8411.2999999999993</v>
      </c>
      <c r="B113" s="60">
        <v>6.3639610315772812E-3</v>
      </c>
    </row>
    <row r="114" spans="1:2" x14ac:dyDescent="0.25">
      <c r="A114" s="59">
        <v>8411.5</v>
      </c>
      <c r="B114" s="60">
        <v>1.343502884039276E-2</v>
      </c>
    </row>
    <row r="115" spans="1:2" x14ac:dyDescent="0.25">
      <c r="A115" s="59">
        <v>8413.5</v>
      </c>
      <c r="B115" s="60">
        <v>3.0405591591897787E-2</v>
      </c>
    </row>
    <row r="116" spans="1:2" x14ac:dyDescent="0.25">
      <c r="A116" s="59">
        <v>8414.5</v>
      </c>
      <c r="B116" s="60">
        <v>4.2426406817634658E-3</v>
      </c>
    </row>
    <row r="117" spans="1:2" x14ac:dyDescent="0.25">
      <c r="A117" s="59">
        <v>8415.2000000000007</v>
      </c>
      <c r="B117" s="60">
        <v>3.5355339095084286E-3</v>
      </c>
    </row>
    <row r="118" spans="1:2" x14ac:dyDescent="0.25">
      <c r="A118" s="59">
        <v>8415.5</v>
      </c>
      <c r="B118" s="60">
        <v>3.5355339014695552E-3</v>
      </c>
    </row>
    <row r="119" spans="1:2" x14ac:dyDescent="0.25">
      <c r="A119" s="59">
        <v>8416.5</v>
      </c>
      <c r="B119" s="60">
        <v>3.5355339095084286E-3</v>
      </c>
    </row>
    <row r="120" spans="1:2" x14ac:dyDescent="0.25">
      <c r="A120" s="59">
        <v>8417.5</v>
      </c>
      <c r="B120" s="60">
        <v>2.1213203542798553E-3</v>
      </c>
    </row>
    <row r="121" spans="1:2" x14ac:dyDescent="0.25">
      <c r="A121" s="59">
        <v>8418.5</v>
      </c>
      <c r="B121" s="60">
        <v>1.6263455967730926E-2</v>
      </c>
    </row>
    <row r="122" spans="1:2" x14ac:dyDescent="0.25">
      <c r="A122" s="59">
        <v>8419.5</v>
      </c>
      <c r="B122" s="60">
        <v>7.0710678029391107E-4</v>
      </c>
    </row>
    <row r="123" spans="1:2" x14ac:dyDescent="0.25">
      <c r="A123" s="59">
        <v>8420.2000000000007</v>
      </c>
      <c r="B123" s="60">
        <v>0</v>
      </c>
    </row>
    <row r="124" spans="1:2" x14ac:dyDescent="0.25">
      <c r="A124" s="59">
        <v>8420.5</v>
      </c>
      <c r="B124" s="60">
        <v>4.9497474735414821E-3</v>
      </c>
    </row>
    <row r="125" spans="1:2" x14ac:dyDescent="0.25">
      <c r="A125" s="59">
        <v>8420.6</v>
      </c>
      <c r="B125" s="60" t="e">
        <v>#DIV/0!</v>
      </c>
    </row>
    <row r="126" spans="1:2" x14ac:dyDescent="0.25">
      <c r="A126" s="59">
        <v>8421.5</v>
      </c>
      <c r="B126" s="60">
        <v>8.4852813769250544E-3</v>
      </c>
    </row>
    <row r="127" spans="1:2" x14ac:dyDescent="0.25">
      <c r="A127" s="59">
        <v>8422.5</v>
      </c>
      <c r="B127" s="60">
        <v>7.0710678109779839E-3</v>
      </c>
    </row>
    <row r="128" spans="1:2" x14ac:dyDescent="0.25">
      <c r="A128" s="59">
        <v>8423.2000000000007</v>
      </c>
      <c r="B128" s="60" t="e">
        <v>#DIV/0!</v>
      </c>
    </row>
    <row r="129" spans="1:2" x14ac:dyDescent="0.25">
      <c r="A129" s="59">
        <v>8423.5</v>
      </c>
      <c r="B129" s="60">
        <v>1.0606601720486412E-2</v>
      </c>
    </row>
    <row r="130" spans="1:2" x14ac:dyDescent="0.25">
      <c r="A130" s="59">
        <v>8424.5</v>
      </c>
      <c r="B130" s="60">
        <v>2.828427131224236E-3</v>
      </c>
    </row>
    <row r="131" spans="1:2" x14ac:dyDescent="0.25">
      <c r="A131" s="59">
        <v>8425.4</v>
      </c>
      <c r="B131" s="60">
        <v>4.2426406884625272E-3</v>
      </c>
    </row>
    <row r="132" spans="1:2" x14ac:dyDescent="0.25">
      <c r="A132" s="59">
        <v>8425.5</v>
      </c>
      <c r="B132" s="60">
        <v>7.0710678149974206E-3</v>
      </c>
    </row>
    <row r="133" spans="1:2" x14ac:dyDescent="0.25">
      <c r="A133" s="59">
        <v>8425.6</v>
      </c>
      <c r="B133" s="60" t="e">
        <v>#DIV/0!</v>
      </c>
    </row>
    <row r="134" spans="1:2" x14ac:dyDescent="0.25">
      <c r="A134" s="59">
        <v>8427.5</v>
      </c>
      <c r="B134" s="60">
        <v>2.828427131224236E-3</v>
      </c>
    </row>
    <row r="135" spans="1:2" x14ac:dyDescent="0.25">
      <c r="A135" s="59">
        <v>8428.2999999999993</v>
      </c>
      <c r="B135" s="60">
        <v>2.8284271412728273E-3</v>
      </c>
    </row>
    <row r="136" spans="1:2" x14ac:dyDescent="0.25">
      <c r="A136" s="59">
        <v>8428.5</v>
      </c>
      <c r="B136" s="60">
        <v>1.2020815279182735E-2</v>
      </c>
    </row>
    <row r="137" spans="1:2" x14ac:dyDescent="0.25">
      <c r="A137" s="59">
        <v>8429.5</v>
      </c>
      <c r="B137" s="60">
        <v>8.4852813735755237E-3</v>
      </c>
    </row>
    <row r="138" spans="1:2" x14ac:dyDescent="0.25">
      <c r="A138" s="59">
        <v>8429.6</v>
      </c>
      <c r="B138" s="60" t="e">
        <v>#DIV/0!</v>
      </c>
    </row>
    <row r="139" spans="1:2" x14ac:dyDescent="0.25">
      <c r="A139" s="59">
        <v>8430.5</v>
      </c>
      <c r="B139" s="60">
        <v>2.8284271211756443E-3</v>
      </c>
    </row>
    <row r="140" spans="1:2" x14ac:dyDescent="0.25">
      <c r="A140" s="59">
        <v>8431.2000000000007</v>
      </c>
      <c r="B140" s="60" t="e">
        <v>#DIV/0!</v>
      </c>
    </row>
    <row r="141" spans="1:2" x14ac:dyDescent="0.25">
      <c r="A141" s="59">
        <v>8431.5</v>
      </c>
      <c r="B141" s="60">
        <v>4.3840620433975963E-2</v>
      </c>
    </row>
    <row r="142" spans="1:2" x14ac:dyDescent="0.25">
      <c r="A142" s="59">
        <v>8432.5</v>
      </c>
      <c r="B142" s="60">
        <v>4.2426406884625272E-3</v>
      </c>
    </row>
    <row r="143" spans="1:2" x14ac:dyDescent="0.25">
      <c r="A143" s="59">
        <v>8433.2000000000007</v>
      </c>
      <c r="B143" s="60">
        <v>1.4142135605878221E-3</v>
      </c>
    </row>
    <row r="144" spans="1:2" x14ac:dyDescent="0.25">
      <c r="A144" s="59">
        <v>8433.5</v>
      </c>
      <c r="B144" s="60">
        <v>1.9091883091754483E-2</v>
      </c>
    </row>
    <row r="145" spans="1:2" x14ac:dyDescent="0.25">
      <c r="A145" s="59">
        <v>8434.5</v>
      </c>
      <c r="B145" s="60">
        <v>2.1213203434273763E-2</v>
      </c>
    </row>
    <row r="146" spans="1:2" x14ac:dyDescent="0.25">
      <c r="A146" s="59">
        <v>8435.5</v>
      </c>
      <c r="B146" s="60">
        <v>7.0710678149974206E-3</v>
      </c>
    </row>
    <row r="147" spans="1:2" x14ac:dyDescent="0.25">
      <c r="A147" s="59">
        <v>8436.5</v>
      </c>
      <c r="B147" s="60">
        <v>1.2020815279182735E-2</v>
      </c>
    </row>
    <row r="148" spans="1:2" x14ac:dyDescent="0.25">
      <c r="A148" s="59">
        <v>8436.6</v>
      </c>
      <c r="B148" s="60" t="e">
        <v>#DIV/0!</v>
      </c>
    </row>
    <row r="149" spans="1:2" x14ac:dyDescent="0.25">
      <c r="A149" s="59">
        <v>8437.2999999999993</v>
      </c>
      <c r="B149" s="60">
        <v>4.9497474735414821E-3</v>
      </c>
    </row>
    <row r="150" spans="1:2" x14ac:dyDescent="0.25">
      <c r="A150" s="59">
        <v>8438.5</v>
      </c>
      <c r="B150" s="60">
        <v>1.555634918473621E-2</v>
      </c>
    </row>
    <row r="151" spans="1:2" x14ac:dyDescent="0.25">
      <c r="A151" s="59">
        <v>8439.2000000000007</v>
      </c>
      <c r="B151" s="60" t="e">
        <v>#DIV/0!</v>
      </c>
    </row>
    <row r="152" spans="1:2" x14ac:dyDescent="0.25">
      <c r="A152" s="59">
        <v>8439.5</v>
      </c>
      <c r="B152" s="60">
        <v>1.2020815281547109E-2</v>
      </c>
    </row>
    <row r="153" spans="1:2" x14ac:dyDescent="0.25">
      <c r="A153" s="59">
        <v>8440.4</v>
      </c>
      <c r="B153" s="60">
        <v>7.0710674009954284E-4</v>
      </c>
    </row>
    <row r="154" spans="1:2" x14ac:dyDescent="0.25">
      <c r="A154" s="59">
        <v>8440.5</v>
      </c>
      <c r="B154" s="60">
        <v>5.6568542473755838E-3</v>
      </c>
    </row>
    <row r="155" spans="1:2" x14ac:dyDescent="0.25">
      <c r="A155" s="59">
        <v>8441.5</v>
      </c>
      <c r="B155" s="60">
        <v>2.7577164466503774E-2</v>
      </c>
    </row>
    <row r="156" spans="1:2" x14ac:dyDescent="0.25">
      <c r="A156" s="59">
        <v>8442.5</v>
      </c>
      <c r="B156" s="60">
        <v>1.1313708497263316E-2</v>
      </c>
    </row>
    <row r="157" spans="1:2" x14ac:dyDescent="0.25">
      <c r="A157" s="59">
        <v>8442.6</v>
      </c>
      <c r="B157" s="60" t="e">
        <v>#DIV/0!</v>
      </c>
    </row>
    <row r="158" spans="1:2" x14ac:dyDescent="0.25">
      <c r="A158" s="59">
        <v>8443.5</v>
      </c>
      <c r="B158" s="60">
        <v>1.4849242405312307E-2</v>
      </c>
    </row>
    <row r="159" spans="1:2" x14ac:dyDescent="0.25">
      <c r="A159" s="59">
        <v>8444.5</v>
      </c>
      <c r="B159" s="60">
        <v>7.0710678109779839E-3</v>
      </c>
    </row>
    <row r="160" spans="1:2" x14ac:dyDescent="0.25">
      <c r="A160" s="59">
        <v>8445.5</v>
      </c>
      <c r="B160" s="60">
        <v>1.1313708502287611E-2</v>
      </c>
    </row>
    <row r="161" spans="1:2" x14ac:dyDescent="0.25">
      <c r="A161" s="59">
        <v>8446.5</v>
      </c>
      <c r="B161" s="60">
        <v>2.8284271111270521E-3</v>
      </c>
    </row>
    <row r="162" spans="1:2" x14ac:dyDescent="0.25">
      <c r="A162" s="59">
        <v>8447.5</v>
      </c>
      <c r="B162" s="60">
        <v>2.0506096654857659E-2</v>
      </c>
    </row>
    <row r="163" spans="1:2" x14ac:dyDescent="0.25">
      <c r="A163" s="59">
        <v>8448.5</v>
      </c>
      <c r="B163" s="60">
        <v>2.5455844124076102E-2</v>
      </c>
    </row>
    <row r="164" spans="1:2" x14ac:dyDescent="0.25">
      <c r="A164" s="59">
        <v>8449.5</v>
      </c>
      <c r="B164" s="60">
        <v>1.6970562748825812E-2</v>
      </c>
    </row>
    <row r="165" spans="1:2" x14ac:dyDescent="0.25">
      <c r="A165" s="59">
        <v>8450.5</v>
      </c>
      <c r="B165" s="60">
        <v>2.5455844122959592E-2</v>
      </c>
    </row>
    <row r="166" spans="1:2" x14ac:dyDescent="0.25">
      <c r="A166" s="59">
        <v>8451.5</v>
      </c>
      <c r="B166" s="60">
        <v>9.192388153096467E-3</v>
      </c>
    </row>
    <row r="167" spans="1:2" x14ac:dyDescent="0.25">
      <c r="A167" s="59">
        <v>8453.2000000000007</v>
      </c>
      <c r="B167" s="60">
        <v>7.0710678029391107E-4</v>
      </c>
    </row>
    <row r="168" spans="1:2" x14ac:dyDescent="0.25">
      <c r="A168" s="59">
        <v>8462.2000000000007</v>
      </c>
      <c r="B168" s="60">
        <v>2.828427131224236E-3</v>
      </c>
    </row>
    <row r="169" spans="1:2" x14ac:dyDescent="0.25">
      <c r="A169" s="59">
        <v>8464.2999999999993</v>
      </c>
      <c r="B169" s="60">
        <v>1.6263455965983345E-2</v>
      </c>
    </row>
    <row r="170" spans="1:2" x14ac:dyDescent="0.25">
      <c r="A170" s="59">
        <v>8478.2999999999993</v>
      </c>
      <c r="B170" s="60">
        <v>1.2020815281547109E-2</v>
      </c>
    </row>
    <row r="171" spans="1:2" x14ac:dyDescent="0.25">
      <c r="A171" s="59">
        <v>8479.2000000000007</v>
      </c>
      <c r="B171" s="60">
        <v>2.1920310216339684E-2</v>
      </c>
    </row>
    <row r="172" spans="1:2" x14ac:dyDescent="0.25">
      <c r="A172" s="59">
        <v>8487.2000000000007</v>
      </c>
      <c r="B172" s="60">
        <v>3.1819805153420366E-2</v>
      </c>
    </row>
    <row r="173" spans="1:2" x14ac:dyDescent="0.25">
      <c r="A173" s="59">
        <v>8503.2000000000007</v>
      </c>
      <c r="B173" s="60">
        <v>0.12798632739486362</v>
      </c>
    </row>
    <row r="174" spans="1:2" x14ac:dyDescent="0.25">
      <c r="A174" s="59">
        <v>8577.6</v>
      </c>
      <c r="B174" s="60">
        <v>9.8994949355988588E-3</v>
      </c>
    </row>
    <row r="175" spans="1:2" x14ac:dyDescent="0.25">
      <c r="A175" s="59">
        <v>8597.6</v>
      </c>
      <c r="B175" s="60">
        <v>3.1112698372212942E-2</v>
      </c>
    </row>
    <row r="176" spans="1:2" x14ac:dyDescent="0.25">
      <c r="A176" s="59">
        <v>8643.4</v>
      </c>
      <c r="B176" s="60">
        <v>4.9497474620573767E-3</v>
      </c>
    </row>
    <row r="177" spans="1:2" x14ac:dyDescent="0.25">
      <c r="A177" s="59">
        <v>8649.7999999999993</v>
      </c>
      <c r="B177" s="60" t="e">
        <v>#DIV/0!</v>
      </c>
    </row>
    <row r="178" spans="1:2" x14ac:dyDescent="0.25">
      <c r="A178" s="59">
        <v>8654.7000000000007</v>
      </c>
      <c r="B178" s="60" t="e">
        <v>#DIV/0!</v>
      </c>
    </row>
    <row r="179" spans="1:2" x14ac:dyDescent="0.25">
      <c r="A179" s="59">
        <v>8663.4</v>
      </c>
      <c r="B179" s="60">
        <v>3.5355339095084286E-3</v>
      </c>
    </row>
    <row r="180" spans="1:2" x14ac:dyDescent="0.25">
      <c r="A180" s="59">
        <v>8664.4</v>
      </c>
      <c r="B180" s="60" t="e">
        <v>#DIV/0!</v>
      </c>
    </row>
    <row r="181" spans="1:2" x14ac:dyDescent="0.25">
      <c r="A181" s="59">
        <v>8665.7999999999993</v>
      </c>
      <c r="B181" s="60" t="e">
        <v>#DIV/0!</v>
      </c>
    </row>
    <row r="182" spans="1:2" x14ac:dyDescent="0.25">
      <c r="A182" s="59">
        <v>8672.4</v>
      </c>
      <c r="B182" s="60">
        <v>2.474873734244238E-2</v>
      </c>
    </row>
    <row r="183" spans="1:2" x14ac:dyDescent="0.25">
      <c r="A183" s="59">
        <v>8677.7000000000007</v>
      </c>
      <c r="B183" s="60" t="e">
        <v>#DIV/0!</v>
      </c>
    </row>
    <row r="184" spans="1:2" x14ac:dyDescent="0.25">
      <c r="A184" s="59">
        <v>8681.4</v>
      </c>
      <c r="B184" s="60">
        <v>2.5455844121843083E-2</v>
      </c>
    </row>
    <row r="185" spans="1:2" x14ac:dyDescent="0.25">
      <c r="A185" s="59">
        <v>8685.4</v>
      </c>
      <c r="B185" s="60">
        <v>5.6568542473755838E-3</v>
      </c>
    </row>
    <row r="186" spans="1:2" x14ac:dyDescent="0.25">
      <c r="A186" s="59">
        <v>8685.7000000000007</v>
      </c>
      <c r="B186" s="60" t="e">
        <v>#DIV/0!</v>
      </c>
    </row>
    <row r="187" spans="1:2" x14ac:dyDescent="0.25">
      <c r="A187" s="59">
        <v>8687.4</v>
      </c>
      <c r="B187" s="60">
        <v>1.4849242403398289E-2</v>
      </c>
    </row>
    <row r="188" spans="1:2" x14ac:dyDescent="0.25">
      <c r="A188" s="59">
        <v>8688.4</v>
      </c>
      <c r="B188" s="60">
        <v>1.4849242405312307E-2</v>
      </c>
    </row>
    <row r="189" spans="1:2" x14ac:dyDescent="0.25">
      <c r="A189" s="59">
        <v>8690.5</v>
      </c>
      <c r="B189" s="60" t="e">
        <v>#DIV/0!</v>
      </c>
    </row>
    <row r="190" spans="1:2" x14ac:dyDescent="0.25">
      <c r="A190" s="59">
        <v>8693.4</v>
      </c>
      <c r="B190" s="60">
        <v>2.1213203435613576E-2</v>
      </c>
    </row>
    <row r="191" spans="1:2" x14ac:dyDescent="0.25">
      <c r="A191" s="59">
        <v>8694.4</v>
      </c>
      <c r="B191" s="60">
        <v>1.3435028844623746E-2</v>
      </c>
    </row>
    <row r="192" spans="1:2" x14ac:dyDescent="0.25">
      <c r="A192" s="59">
        <v>8697.4</v>
      </c>
      <c r="B192" s="60">
        <v>1.2727922063154562E-2</v>
      </c>
    </row>
    <row r="193" spans="1:2" x14ac:dyDescent="0.25">
      <c r="A193" s="59">
        <v>8698.4</v>
      </c>
      <c r="B193" s="60">
        <v>1.2020815281547109E-2</v>
      </c>
    </row>
    <row r="194" spans="1:2" x14ac:dyDescent="0.25">
      <c r="A194" s="59">
        <v>8699.4</v>
      </c>
      <c r="B194" s="60">
        <v>7.0710678109779839E-3</v>
      </c>
    </row>
    <row r="195" spans="1:2" x14ac:dyDescent="0.25">
      <c r="A195" s="59">
        <v>8703.4</v>
      </c>
      <c r="B195" s="60">
        <v>1.4849242405312307E-2</v>
      </c>
    </row>
    <row r="196" spans="1:2" x14ac:dyDescent="0.25">
      <c r="A196" s="59">
        <v>8706.4</v>
      </c>
      <c r="B196" s="60">
        <v>3.5355339095084286E-3</v>
      </c>
    </row>
    <row r="197" spans="1:2" x14ac:dyDescent="0.25">
      <c r="A197" s="59">
        <v>8707.7000000000007</v>
      </c>
      <c r="B197" s="60" t="e">
        <v>#DIV/0!</v>
      </c>
    </row>
    <row r="198" spans="1:2" x14ac:dyDescent="0.25">
      <c r="A198" s="59">
        <v>8708.4</v>
      </c>
      <c r="B198" s="60">
        <v>3.6062445840700702E-2</v>
      </c>
    </row>
    <row r="199" spans="1:2" x14ac:dyDescent="0.25">
      <c r="A199" s="59">
        <v>8714.4</v>
      </c>
      <c r="B199" s="60">
        <v>1.8384776313922619E-2</v>
      </c>
    </row>
    <row r="200" spans="1:2" x14ac:dyDescent="0.25">
      <c r="A200" s="59">
        <v>8715.4</v>
      </c>
      <c r="B200" s="60">
        <v>2.1213203408817329E-3</v>
      </c>
    </row>
    <row r="201" spans="1:2" x14ac:dyDescent="0.25">
      <c r="A201" s="59">
        <v>8716.2999999999993</v>
      </c>
      <c r="B201" s="60" t="e">
        <v>#DIV/0!</v>
      </c>
    </row>
    <row r="202" spans="1:2" x14ac:dyDescent="0.25">
      <c r="A202" s="59">
        <v>8717.4</v>
      </c>
      <c r="B202" s="60">
        <v>2.1213203408817329E-3</v>
      </c>
    </row>
    <row r="203" spans="1:2" x14ac:dyDescent="0.25">
      <c r="A203" s="59">
        <v>8720.2999999999993</v>
      </c>
      <c r="B203" s="60">
        <v>7.7781745941951216E-3</v>
      </c>
    </row>
    <row r="204" spans="1:2" x14ac:dyDescent="0.25">
      <c r="A204" s="59">
        <v>8721.7000000000007</v>
      </c>
      <c r="B204" s="60" t="e">
        <v>#DIV/0!</v>
      </c>
    </row>
    <row r="205" spans="1:2" x14ac:dyDescent="0.25">
      <c r="A205" s="59">
        <v>8722.2999999999993</v>
      </c>
      <c r="B205" s="60">
        <v>1.3435028846739239E-2</v>
      </c>
    </row>
    <row r="206" spans="1:2" x14ac:dyDescent="0.25">
      <c r="A206" s="59">
        <v>8726.2999999999993</v>
      </c>
      <c r="B206" s="60">
        <v>1.697056275050058E-2</v>
      </c>
    </row>
    <row r="207" spans="1:2" x14ac:dyDescent="0.25">
      <c r="A207" s="59">
        <v>8727.7999999999993</v>
      </c>
      <c r="B207" s="60" t="e">
        <v>#DIV/0!</v>
      </c>
    </row>
    <row r="208" spans="1:2" x14ac:dyDescent="0.25">
      <c r="A208" s="59">
        <v>8728.2999999999993</v>
      </c>
      <c r="B208" s="60">
        <v>7.0710678029391107E-4</v>
      </c>
    </row>
    <row r="209" spans="1:2" x14ac:dyDescent="0.25">
      <c r="A209" s="59">
        <v>8731.2999999999993</v>
      </c>
      <c r="B209" s="60">
        <v>7.0710678069585472E-3</v>
      </c>
    </row>
    <row r="210" spans="1:2" x14ac:dyDescent="0.25">
      <c r="A210" s="59">
        <v>8739.7000000000007</v>
      </c>
      <c r="B210" s="60">
        <v>0</v>
      </c>
    </row>
    <row r="211" spans="1:2" x14ac:dyDescent="0.25">
      <c r="A211" s="59">
        <v>8739.7999999999993</v>
      </c>
      <c r="B211" s="60" t="e">
        <v>#DIV/0!</v>
      </c>
    </row>
    <row r="212" spans="1:2" x14ac:dyDescent="0.25">
      <c r="A212" s="59">
        <v>8740.2999999999993</v>
      </c>
      <c r="B212" s="60">
        <v>1.2020815279182735E-2</v>
      </c>
    </row>
    <row r="213" spans="1:2" x14ac:dyDescent="0.25">
      <c r="A213" s="59">
        <v>8744.2999999999993</v>
      </c>
      <c r="B213" s="60">
        <v>6.3639610315772812E-3</v>
      </c>
    </row>
    <row r="214" spans="1:2" x14ac:dyDescent="0.25">
      <c r="A214" s="59">
        <v>8745.2999999999993</v>
      </c>
      <c r="B214" s="60">
        <v>4.9497474735414821E-3</v>
      </c>
    </row>
    <row r="215" spans="1:2" x14ac:dyDescent="0.25">
      <c r="A215" s="59">
        <v>8747.2999999999993</v>
      </c>
      <c r="B215" s="60">
        <v>3.7476659403355497E-2</v>
      </c>
    </row>
    <row r="216" spans="1:2" x14ac:dyDescent="0.25">
      <c r="A216" s="59">
        <v>8747.7000000000007</v>
      </c>
      <c r="B216" s="60" t="e">
        <v>#DIV/0!</v>
      </c>
    </row>
    <row r="217" spans="1:2" x14ac:dyDescent="0.25">
      <c r="A217" s="59">
        <v>8748.2999999999993</v>
      </c>
      <c r="B217" s="60" t="e">
        <v>#DIV/0!</v>
      </c>
    </row>
    <row r="218" spans="1:2" x14ac:dyDescent="0.25">
      <c r="A218" s="59">
        <v>8753.6</v>
      </c>
      <c r="B218" s="60" t="e">
        <v>#DIV/0!</v>
      </c>
    </row>
    <row r="219" spans="1:2" x14ac:dyDescent="0.25">
      <c r="A219" s="59">
        <v>8759.2999999999993</v>
      </c>
      <c r="B219" s="60">
        <v>1.0606601720486412E-2</v>
      </c>
    </row>
    <row r="220" spans="1:2" x14ac:dyDescent="0.25">
      <c r="A220" s="59">
        <v>8761.2999999999993</v>
      </c>
      <c r="B220" s="60">
        <v>1.4849242403398289E-2</v>
      </c>
    </row>
    <row r="221" spans="1:2" x14ac:dyDescent="0.25">
      <c r="A221" s="59">
        <v>8762.6</v>
      </c>
      <c r="B221" s="60" t="e">
        <v>#DIV/0!</v>
      </c>
    </row>
    <row r="222" spans="1:2" x14ac:dyDescent="0.25">
      <c r="A222" s="59">
        <v>8765.2999999999993</v>
      </c>
      <c r="B222" s="60">
        <v>9.192388153096467E-3</v>
      </c>
    </row>
    <row r="223" spans="1:2" x14ac:dyDescent="0.25">
      <c r="A223" s="59">
        <v>8768.7000000000007</v>
      </c>
      <c r="B223" s="60" t="e">
        <v>#DIV/0!</v>
      </c>
    </row>
    <row r="224" spans="1:2" x14ac:dyDescent="0.25">
      <c r="A224" s="59">
        <v>8773.6</v>
      </c>
      <c r="B224" s="60" t="e">
        <v>#DIV/0!</v>
      </c>
    </row>
    <row r="225" spans="1:2" x14ac:dyDescent="0.25">
      <c r="A225" s="59">
        <v>8780.6</v>
      </c>
      <c r="B225" s="60" t="e">
        <v>#DIV/0!</v>
      </c>
    </row>
    <row r="226" spans="1:2" x14ac:dyDescent="0.25">
      <c r="A226" s="59" t="s">
        <v>363</v>
      </c>
      <c r="B226" s="60"/>
    </row>
    <row r="227" spans="1:2" x14ac:dyDescent="0.25">
      <c r="A227" s="59" t="s">
        <v>364</v>
      </c>
      <c r="B227" s="60">
        <v>0.51748958886978935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5D996-FA5C-47AC-A290-70C8601D250D}">
  <sheetPr codeName="Feuil9"/>
  <dimension ref="A3:G202"/>
  <sheetViews>
    <sheetView workbookViewId="0">
      <selection activeCell="E1" sqref="E1:F1048576"/>
    </sheetView>
  </sheetViews>
  <sheetFormatPr baseColWidth="10" defaultRowHeight="15" x14ac:dyDescent="0.25"/>
  <cols>
    <col min="1" max="1" width="21" bestFit="1" customWidth="1"/>
    <col min="2" max="2" width="14" bestFit="1" customWidth="1"/>
    <col min="3" max="3" width="13" bestFit="1" customWidth="1"/>
  </cols>
  <sheetData>
    <row r="3" spans="1:7" x14ac:dyDescent="0.25">
      <c r="A3" s="58" t="s">
        <v>362</v>
      </c>
      <c r="B3" t="s">
        <v>370</v>
      </c>
      <c r="C3" t="s">
        <v>371</v>
      </c>
    </row>
    <row r="4" spans="1:7" x14ac:dyDescent="0.25">
      <c r="A4" s="59">
        <v>8341</v>
      </c>
      <c r="B4" s="60">
        <v>10.87</v>
      </c>
      <c r="C4" s="60" t="e">
        <v>#DIV/0!</v>
      </c>
      <c r="E4">
        <f>+A4</f>
        <v>8341</v>
      </c>
      <c r="F4">
        <f>+B4</f>
        <v>10.87</v>
      </c>
    </row>
    <row r="5" spans="1:7" x14ac:dyDescent="0.25">
      <c r="A5" s="59">
        <v>8342.5</v>
      </c>
      <c r="B5" s="60">
        <v>10.981661290322581</v>
      </c>
      <c r="C5" s="60">
        <v>3.2510247336204355E-2</v>
      </c>
      <c r="E5">
        <f t="shared" ref="E5:E68" si="0">+A5</f>
        <v>8342.5</v>
      </c>
      <c r="F5">
        <f t="shared" ref="F5:F68" si="1">+B5</f>
        <v>10.981661290322581</v>
      </c>
      <c r="G5">
        <f t="shared" ref="G5:G67" si="2">+C5</f>
        <v>3.2510247336204355E-2</v>
      </c>
    </row>
    <row r="6" spans="1:7" x14ac:dyDescent="0.25">
      <c r="A6" s="59">
        <v>8343.25</v>
      </c>
      <c r="B6" s="60">
        <v>10.869</v>
      </c>
      <c r="C6" s="60" t="e">
        <v>#DIV/0!</v>
      </c>
      <c r="E6">
        <f t="shared" si="0"/>
        <v>8343.25</v>
      </c>
      <c r="F6">
        <f t="shared" si="1"/>
        <v>10.869</v>
      </c>
    </row>
    <row r="7" spans="1:7" x14ac:dyDescent="0.25">
      <c r="A7" s="59">
        <v>8343.5</v>
      </c>
      <c r="B7" s="60">
        <v>11.032744680851064</v>
      </c>
      <c r="C7" s="60">
        <v>4.1416478596701431E-2</v>
      </c>
      <c r="E7">
        <f t="shared" si="0"/>
        <v>8343.5</v>
      </c>
      <c r="F7">
        <f t="shared" si="1"/>
        <v>11.032744680851064</v>
      </c>
      <c r="G7">
        <f t="shared" si="2"/>
        <v>4.1416478596701431E-2</v>
      </c>
    </row>
    <row r="8" spans="1:7" x14ac:dyDescent="0.25">
      <c r="A8" s="59">
        <v>8344.25</v>
      </c>
      <c r="B8" s="60">
        <v>10.867532608695649</v>
      </c>
      <c r="C8" s="60">
        <v>4.5340821936020605E-2</v>
      </c>
      <c r="E8">
        <f t="shared" si="0"/>
        <v>8344.25</v>
      </c>
      <c r="F8">
        <f t="shared" si="1"/>
        <v>10.867532608695649</v>
      </c>
      <c r="G8">
        <f t="shared" si="2"/>
        <v>4.5340821936020605E-2</v>
      </c>
    </row>
    <row r="9" spans="1:7" x14ac:dyDescent="0.25">
      <c r="A9" s="59">
        <v>8344.5</v>
      </c>
      <c r="B9" s="60">
        <v>10.917999999999999</v>
      </c>
      <c r="C9" s="60" t="e">
        <v>#DIV/0!</v>
      </c>
      <c r="E9">
        <f t="shared" si="0"/>
        <v>8344.5</v>
      </c>
      <c r="F9">
        <f t="shared" si="1"/>
        <v>10.917999999999999</v>
      </c>
    </row>
    <row r="10" spans="1:7" x14ac:dyDescent="0.25">
      <c r="A10" s="59">
        <v>8345.25</v>
      </c>
      <c r="B10" s="60">
        <v>10.787819672131151</v>
      </c>
      <c r="C10" s="60">
        <v>2.3854075957568239E-2</v>
      </c>
      <c r="E10">
        <f t="shared" si="0"/>
        <v>8345.25</v>
      </c>
      <c r="F10">
        <f t="shared" si="1"/>
        <v>10.787819672131151</v>
      </c>
      <c r="G10">
        <f t="shared" si="2"/>
        <v>2.3854075957568239E-2</v>
      </c>
    </row>
    <row r="11" spans="1:7" x14ac:dyDescent="0.25">
      <c r="A11" s="59">
        <v>8345.5</v>
      </c>
      <c r="B11" s="60">
        <v>10.83640909090909</v>
      </c>
      <c r="C11" s="60">
        <v>1.9542819036330917E-2</v>
      </c>
      <c r="E11">
        <f t="shared" si="0"/>
        <v>8345.5</v>
      </c>
      <c r="F11">
        <f t="shared" si="1"/>
        <v>10.83640909090909</v>
      </c>
      <c r="G11">
        <f t="shared" si="2"/>
        <v>1.9542819036330917E-2</v>
      </c>
    </row>
    <row r="12" spans="1:7" x14ac:dyDescent="0.25">
      <c r="A12" s="59">
        <v>8345.75</v>
      </c>
      <c r="B12" s="60">
        <v>10.859499999999999</v>
      </c>
      <c r="C12" s="60">
        <v>1.152051310748662E-2</v>
      </c>
      <c r="E12">
        <f t="shared" si="0"/>
        <v>8345.75</v>
      </c>
      <c r="F12">
        <f t="shared" si="1"/>
        <v>10.859499999999999</v>
      </c>
      <c r="G12">
        <f t="shared" si="2"/>
        <v>1.152051310748662E-2</v>
      </c>
    </row>
    <row r="13" spans="1:7" x14ac:dyDescent="0.25">
      <c r="A13" s="59">
        <v>8346.5</v>
      </c>
      <c r="B13" s="60">
        <v>10.909647058823531</v>
      </c>
      <c r="C13" s="60">
        <v>7.8257681434758929E-3</v>
      </c>
      <c r="E13">
        <f t="shared" si="0"/>
        <v>8346.5</v>
      </c>
      <c r="F13">
        <f t="shared" si="1"/>
        <v>10.909647058823531</v>
      </c>
      <c r="G13">
        <f t="shared" si="2"/>
        <v>7.8257681434758929E-3</v>
      </c>
    </row>
    <row r="14" spans="1:7" x14ac:dyDescent="0.25">
      <c r="A14" s="59">
        <v>8346.75</v>
      </c>
      <c r="B14" s="60">
        <v>10.905208333333334</v>
      </c>
      <c r="C14" s="60">
        <v>2.0809653209026203E-2</v>
      </c>
      <c r="E14">
        <f t="shared" si="0"/>
        <v>8346.75</v>
      </c>
      <c r="F14">
        <f t="shared" si="1"/>
        <v>10.905208333333334</v>
      </c>
      <c r="G14">
        <f t="shared" si="2"/>
        <v>2.0809653209026203E-2</v>
      </c>
    </row>
    <row r="15" spans="1:7" x14ac:dyDescent="0.25">
      <c r="A15" s="59">
        <v>8347.25</v>
      </c>
      <c r="B15" s="60">
        <v>10.919</v>
      </c>
      <c r="C15" s="60">
        <v>0.10040916292840424</v>
      </c>
      <c r="E15">
        <f t="shared" si="0"/>
        <v>8347.25</v>
      </c>
      <c r="F15">
        <f t="shared" si="1"/>
        <v>10.919</v>
      </c>
      <c r="G15">
        <f t="shared" si="2"/>
        <v>0.10040916292840424</v>
      </c>
    </row>
    <row r="16" spans="1:7" x14ac:dyDescent="0.25">
      <c r="A16" s="59">
        <v>8349.5</v>
      </c>
      <c r="B16" s="60">
        <v>10.865500000000001</v>
      </c>
      <c r="C16" s="60">
        <v>2.1213203475807943E-3</v>
      </c>
      <c r="E16">
        <f t="shared" si="0"/>
        <v>8349.5</v>
      </c>
      <c r="F16">
        <f t="shared" si="1"/>
        <v>10.865500000000001</v>
      </c>
      <c r="G16">
        <f t="shared" si="2"/>
        <v>2.1213203475807943E-3</v>
      </c>
    </row>
    <row r="17" spans="1:7" x14ac:dyDescent="0.25">
      <c r="A17" s="59">
        <v>8350.5</v>
      </c>
      <c r="B17" s="60">
        <v>10.866</v>
      </c>
      <c r="C17" s="60">
        <v>8.4852813735755237E-3</v>
      </c>
      <c r="E17">
        <f t="shared" si="0"/>
        <v>8350.5</v>
      </c>
      <c r="F17">
        <f t="shared" si="1"/>
        <v>10.866</v>
      </c>
      <c r="G17">
        <f t="shared" si="2"/>
        <v>8.4852813735755237E-3</v>
      </c>
    </row>
    <row r="18" spans="1:7" x14ac:dyDescent="0.25">
      <c r="A18" s="59">
        <v>8351.5</v>
      </c>
      <c r="B18" s="60">
        <v>10.890499999999999</v>
      </c>
      <c r="C18" s="60">
        <v>1.9091883092498822E-2</v>
      </c>
      <c r="E18">
        <f t="shared" si="0"/>
        <v>8351.5</v>
      </c>
      <c r="F18">
        <f t="shared" si="1"/>
        <v>10.890499999999999</v>
      </c>
      <c r="G18">
        <f t="shared" si="2"/>
        <v>1.9091883092498822E-2</v>
      </c>
    </row>
    <row r="19" spans="1:7" x14ac:dyDescent="0.25">
      <c r="A19" s="59">
        <v>8352.25</v>
      </c>
      <c r="B19" s="60">
        <v>10.938500000000001</v>
      </c>
      <c r="C19" s="60">
        <v>4.9497474677994294E-3</v>
      </c>
      <c r="E19">
        <f t="shared" si="0"/>
        <v>8352.25</v>
      </c>
      <c r="F19">
        <f t="shared" si="1"/>
        <v>10.938500000000001</v>
      </c>
      <c r="G19">
        <f t="shared" si="2"/>
        <v>4.9497474677994294E-3</v>
      </c>
    </row>
    <row r="20" spans="1:7" x14ac:dyDescent="0.25">
      <c r="A20" s="59">
        <v>8353.25</v>
      </c>
      <c r="B20" s="60">
        <v>10.914999999999999</v>
      </c>
      <c r="C20" s="60" t="e">
        <v>#DIV/0!</v>
      </c>
      <c r="E20">
        <f t="shared" si="0"/>
        <v>8353.25</v>
      </c>
      <c r="F20">
        <f t="shared" si="1"/>
        <v>10.914999999999999</v>
      </c>
    </row>
    <row r="21" spans="1:7" x14ac:dyDescent="0.25">
      <c r="A21" s="59">
        <v>8354.5</v>
      </c>
      <c r="B21" s="60">
        <v>10.919499999999999</v>
      </c>
      <c r="C21" s="60">
        <v>1.3435028844623746E-2</v>
      </c>
      <c r="E21">
        <f t="shared" si="0"/>
        <v>8354.5</v>
      </c>
      <c r="F21">
        <f t="shared" si="1"/>
        <v>10.919499999999999</v>
      </c>
      <c r="G21">
        <f t="shared" si="2"/>
        <v>1.3435028844623746E-2</v>
      </c>
    </row>
    <row r="22" spans="1:7" x14ac:dyDescent="0.25">
      <c r="A22" s="59">
        <v>8355.5</v>
      </c>
      <c r="B22" s="60">
        <v>10.9175</v>
      </c>
      <c r="C22" s="60">
        <v>2.0506096654164654E-2</v>
      </c>
      <c r="E22">
        <f t="shared" si="0"/>
        <v>8355.5</v>
      </c>
      <c r="F22">
        <f t="shared" si="1"/>
        <v>10.9175</v>
      </c>
      <c r="G22">
        <f t="shared" si="2"/>
        <v>2.0506096654164654E-2</v>
      </c>
    </row>
    <row r="23" spans="1:7" x14ac:dyDescent="0.25">
      <c r="A23" s="59">
        <v>8355.75</v>
      </c>
      <c r="B23" s="60">
        <v>10.933999999999999</v>
      </c>
      <c r="C23" s="60" t="e">
        <v>#DIV/0!</v>
      </c>
      <c r="E23">
        <f t="shared" si="0"/>
        <v>8355.75</v>
      </c>
      <c r="F23">
        <f t="shared" si="1"/>
        <v>10.933999999999999</v>
      </c>
    </row>
    <row r="24" spans="1:7" x14ac:dyDescent="0.25">
      <c r="A24" s="59">
        <v>8356.5</v>
      </c>
      <c r="B24" s="60">
        <v>10.917999999999999</v>
      </c>
      <c r="C24" s="60">
        <v>7.0710678149974206E-3</v>
      </c>
      <c r="E24">
        <f t="shared" si="0"/>
        <v>8356.5</v>
      </c>
      <c r="F24">
        <f t="shared" si="1"/>
        <v>10.917999999999999</v>
      </c>
      <c r="G24">
        <f t="shared" si="2"/>
        <v>7.0710678149974206E-3</v>
      </c>
    </row>
    <row r="25" spans="1:7" x14ac:dyDescent="0.25">
      <c r="A25" s="59">
        <v>8357.25</v>
      </c>
      <c r="B25" s="60">
        <v>10.961</v>
      </c>
      <c r="C25" s="60" t="e">
        <v>#DIV/0!</v>
      </c>
      <c r="E25">
        <f t="shared" si="0"/>
        <v>8357.25</v>
      </c>
      <c r="F25">
        <f t="shared" si="1"/>
        <v>10.961</v>
      </c>
    </row>
    <row r="26" spans="1:7" x14ac:dyDescent="0.25">
      <c r="A26" s="59">
        <v>8357.5</v>
      </c>
      <c r="B26" s="60">
        <v>10.959</v>
      </c>
      <c r="C26" s="60" t="e">
        <v>#DIV/0!</v>
      </c>
      <c r="E26">
        <f t="shared" si="0"/>
        <v>8357.5</v>
      </c>
      <c r="F26">
        <f t="shared" si="1"/>
        <v>10.959</v>
      </c>
    </row>
    <row r="27" spans="1:7" x14ac:dyDescent="0.25">
      <c r="A27" s="59">
        <v>8358.25</v>
      </c>
      <c r="B27" s="60">
        <v>10.981</v>
      </c>
      <c r="C27" s="60">
        <v>2.4041630560729842E-2</v>
      </c>
      <c r="E27">
        <f t="shared" si="0"/>
        <v>8358.25</v>
      </c>
      <c r="F27">
        <f t="shared" si="1"/>
        <v>10.981</v>
      </c>
      <c r="G27">
        <f t="shared" si="2"/>
        <v>2.4041630560729842E-2</v>
      </c>
    </row>
    <row r="28" spans="1:7" x14ac:dyDescent="0.25">
      <c r="A28" s="59">
        <v>8359.25</v>
      </c>
      <c r="B28" s="60">
        <v>11.016000000000002</v>
      </c>
      <c r="C28" s="60">
        <v>2.2211108331203242E-2</v>
      </c>
      <c r="E28">
        <f t="shared" si="0"/>
        <v>8359.25</v>
      </c>
      <c r="F28">
        <f t="shared" si="1"/>
        <v>11.016000000000002</v>
      </c>
      <c r="G28">
        <f t="shared" si="2"/>
        <v>2.2211108331203242E-2</v>
      </c>
    </row>
    <row r="29" spans="1:7" x14ac:dyDescent="0.25">
      <c r="A29" s="59">
        <v>8360.25</v>
      </c>
      <c r="B29" s="60">
        <v>11.0595</v>
      </c>
      <c r="C29" s="60">
        <v>2.1213203475807943E-3</v>
      </c>
      <c r="E29">
        <f t="shared" si="0"/>
        <v>8360.25</v>
      </c>
      <c r="F29">
        <f t="shared" si="1"/>
        <v>11.0595</v>
      </c>
      <c r="G29">
        <f t="shared" si="2"/>
        <v>2.1213203475807943E-3</v>
      </c>
    </row>
    <row r="30" spans="1:7" x14ac:dyDescent="0.25">
      <c r="A30" s="59">
        <v>8361.25</v>
      </c>
      <c r="B30" s="60">
        <v>11.086</v>
      </c>
      <c r="C30" s="60">
        <v>2.1213203434943668E-2</v>
      </c>
      <c r="E30">
        <f t="shared" si="0"/>
        <v>8361.25</v>
      </c>
      <c r="F30">
        <f t="shared" si="1"/>
        <v>11.086</v>
      </c>
      <c r="G30">
        <f t="shared" si="2"/>
        <v>2.1213203434943668E-2</v>
      </c>
    </row>
    <row r="31" spans="1:7" x14ac:dyDescent="0.25">
      <c r="A31" s="59">
        <v>8362.25</v>
      </c>
      <c r="B31" s="60">
        <v>11.108666666666666</v>
      </c>
      <c r="C31" s="60">
        <v>1.1015141094858245E-2</v>
      </c>
      <c r="E31">
        <f t="shared" si="0"/>
        <v>8362.25</v>
      </c>
      <c r="F31">
        <f t="shared" si="1"/>
        <v>11.108666666666666</v>
      </c>
      <c r="G31">
        <f t="shared" si="2"/>
        <v>1.1015141094858245E-2</v>
      </c>
    </row>
    <row r="32" spans="1:7" x14ac:dyDescent="0.25">
      <c r="A32" s="59">
        <v>8363.5</v>
      </c>
      <c r="B32" s="60">
        <v>11.1325</v>
      </c>
      <c r="C32" s="60">
        <v>2.1213203408817329E-3</v>
      </c>
      <c r="E32">
        <f t="shared" si="0"/>
        <v>8363.5</v>
      </c>
      <c r="F32">
        <f t="shared" si="1"/>
        <v>11.1325</v>
      </c>
      <c r="G32">
        <f t="shared" si="2"/>
        <v>2.1213203408817329E-3</v>
      </c>
    </row>
    <row r="33" spans="1:7" x14ac:dyDescent="0.25">
      <c r="A33" s="59">
        <v>8364.25</v>
      </c>
      <c r="B33" s="60">
        <v>11.135749003984067</v>
      </c>
      <c r="C33" s="60">
        <v>1.1107328617539736E-2</v>
      </c>
      <c r="E33">
        <f t="shared" si="0"/>
        <v>8364.25</v>
      </c>
      <c r="F33">
        <f t="shared" si="1"/>
        <v>11.135749003984067</v>
      </c>
      <c r="G33">
        <f t="shared" si="2"/>
        <v>1.1107328617539736E-2</v>
      </c>
    </row>
    <row r="34" spans="1:7" x14ac:dyDescent="0.25">
      <c r="A34" s="59">
        <v>8365.25</v>
      </c>
      <c r="B34" s="60">
        <v>11.136500000000002</v>
      </c>
      <c r="C34" s="60">
        <v>9.192388153096467E-3</v>
      </c>
      <c r="E34">
        <f t="shared" si="0"/>
        <v>8365.25</v>
      </c>
      <c r="F34">
        <f t="shared" si="1"/>
        <v>11.136500000000002</v>
      </c>
      <c r="G34">
        <f t="shared" si="2"/>
        <v>9.192388153096467E-3</v>
      </c>
    </row>
    <row r="35" spans="1:7" x14ac:dyDescent="0.25">
      <c r="A35" s="59">
        <v>8366.25</v>
      </c>
      <c r="B35" s="60">
        <v>11.161666666666667</v>
      </c>
      <c r="C35" s="60">
        <v>3.7072002014066137E-2</v>
      </c>
      <c r="E35">
        <f t="shared" si="0"/>
        <v>8366.25</v>
      </c>
      <c r="F35">
        <f t="shared" si="1"/>
        <v>11.161666666666667</v>
      </c>
      <c r="G35">
        <f t="shared" si="2"/>
        <v>3.7072002014066137E-2</v>
      </c>
    </row>
    <row r="36" spans="1:7" x14ac:dyDescent="0.25">
      <c r="A36" s="59">
        <v>8367.25</v>
      </c>
      <c r="B36" s="60">
        <v>11.190999999999999</v>
      </c>
      <c r="C36" s="60">
        <v>5.6568542523998799E-3</v>
      </c>
      <c r="E36">
        <f t="shared" si="0"/>
        <v>8367.25</v>
      </c>
      <c r="F36">
        <f t="shared" si="1"/>
        <v>11.190999999999999</v>
      </c>
      <c r="G36">
        <f t="shared" si="2"/>
        <v>5.6568542523998799E-3</v>
      </c>
    </row>
    <row r="37" spans="1:7" x14ac:dyDescent="0.25">
      <c r="A37" s="59">
        <v>8367.5</v>
      </c>
      <c r="B37" s="60">
        <v>11.124461538461539</v>
      </c>
      <c r="C37" s="60">
        <v>5.1554302952736266E-3</v>
      </c>
      <c r="E37">
        <f t="shared" si="0"/>
        <v>8367.5</v>
      </c>
      <c r="F37">
        <f t="shared" si="1"/>
        <v>11.124461538461539</v>
      </c>
      <c r="G37">
        <f t="shared" si="2"/>
        <v>5.1554302952736266E-3</v>
      </c>
    </row>
    <row r="38" spans="1:7" x14ac:dyDescent="0.25">
      <c r="A38" s="59">
        <v>8368.25</v>
      </c>
      <c r="B38" s="60">
        <v>11.2295</v>
      </c>
      <c r="C38" s="60">
        <v>1.0606601716466976E-2</v>
      </c>
      <c r="E38">
        <f t="shared" si="0"/>
        <v>8368.25</v>
      </c>
      <c r="F38">
        <f t="shared" si="1"/>
        <v>11.2295</v>
      </c>
      <c r="G38">
        <f t="shared" si="2"/>
        <v>1.0606601716466976E-2</v>
      </c>
    </row>
    <row r="39" spans="1:7" x14ac:dyDescent="0.25">
      <c r="A39" s="59">
        <v>8368.5</v>
      </c>
      <c r="B39" s="60">
        <v>11.256</v>
      </c>
      <c r="C39" s="60" t="e">
        <v>#DIV/0!</v>
      </c>
      <c r="E39">
        <f t="shared" si="0"/>
        <v>8368.5</v>
      </c>
      <c r="F39">
        <f t="shared" si="1"/>
        <v>11.256</v>
      </c>
    </row>
    <row r="40" spans="1:7" x14ac:dyDescent="0.25">
      <c r="A40" s="59">
        <v>8369.25</v>
      </c>
      <c r="B40" s="60">
        <v>11.242750000000001</v>
      </c>
      <c r="C40" s="60">
        <v>1.5671098663149016E-2</v>
      </c>
      <c r="E40">
        <f t="shared" si="0"/>
        <v>8369.25</v>
      </c>
      <c r="F40">
        <f t="shared" si="1"/>
        <v>11.242750000000001</v>
      </c>
      <c r="G40">
        <f t="shared" si="2"/>
        <v>1.5671098663149016E-2</v>
      </c>
    </row>
    <row r="41" spans="1:7" x14ac:dyDescent="0.25">
      <c r="A41" s="59">
        <v>8370.25</v>
      </c>
      <c r="B41" s="60">
        <v>11.3</v>
      </c>
      <c r="C41" s="60" t="e">
        <v>#DIV/0!</v>
      </c>
      <c r="E41">
        <f t="shared" si="0"/>
        <v>8370.25</v>
      </c>
      <c r="F41">
        <f t="shared" si="1"/>
        <v>11.3</v>
      </c>
    </row>
    <row r="42" spans="1:7" x14ac:dyDescent="0.25">
      <c r="A42" s="59">
        <v>8370.5</v>
      </c>
      <c r="B42" s="60">
        <v>11.306999999999999</v>
      </c>
      <c r="C42" s="60">
        <v>1.4142135706364137E-3</v>
      </c>
      <c r="E42">
        <f t="shared" si="0"/>
        <v>8370.5</v>
      </c>
      <c r="F42">
        <f t="shared" si="1"/>
        <v>11.306999999999999</v>
      </c>
      <c r="G42">
        <f t="shared" si="2"/>
        <v>1.4142135706364137E-3</v>
      </c>
    </row>
    <row r="43" spans="1:7" x14ac:dyDescent="0.25">
      <c r="A43" s="59">
        <v>8371.25</v>
      </c>
      <c r="B43" s="60">
        <v>11.313500000000001</v>
      </c>
      <c r="C43" s="60">
        <v>1.343502884039276E-2</v>
      </c>
      <c r="E43">
        <f t="shared" si="0"/>
        <v>8371.25</v>
      </c>
      <c r="F43">
        <f t="shared" si="1"/>
        <v>11.313500000000001</v>
      </c>
      <c r="G43">
        <f t="shared" si="2"/>
        <v>1.343502884039276E-2</v>
      </c>
    </row>
    <row r="44" spans="1:7" x14ac:dyDescent="0.25">
      <c r="A44" s="59">
        <v>8372.25</v>
      </c>
      <c r="B44" s="60">
        <v>11.343499999999999</v>
      </c>
      <c r="C44" s="60">
        <v>9.192388156188341E-3</v>
      </c>
      <c r="E44">
        <f t="shared" si="0"/>
        <v>8372.25</v>
      </c>
      <c r="F44">
        <f t="shared" si="1"/>
        <v>11.343499999999999</v>
      </c>
      <c r="G44">
        <f t="shared" si="2"/>
        <v>9.192388156188341E-3</v>
      </c>
    </row>
    <row r="45" spans="1:7" x14ac:dyDescent="0.25">
      <c r="A45" s="59">
        <v>8373.25</v>
      </c>
      <c r="B45" s="60">
        <v>11.3705</v>
      </c>
      <c r="C45" s="60">
        <v>9.192388159280215E-3</v>
      </c>
      <c r="E45">
        <f t="shared" si="0"/>
        <v>8373.25</v>
      </c>
      <c r="F45">
        <f t="shared" si="1"/>
        <v>11.3705</v>
      </c>
      <c r="G45">
        <f t="shared" si="2"/>
        <v>9.192388159280215E-3</v>
      </c>
    </row>
    <row r="46" spans="1:7" x14ac:dyDescent="0.25">
      <c r="A46" s="59">
        <v>8374.25</v>
      </c>
      <c r="B46" s="60">
        <v>11.39</v>
      </c>
      <c r="C46" s="60">
        <v>4.2426406884625272E-3</v>
      </c>
      <c r="E46">
        <f t="shared" si="0"/>
        <v>8374.25</v>
      </c>
      <c r="F46">
        <f t="shared" si="1"/>
        <v>11.39</v>
      </c>
      <c r="G46">
        <f t="shared" si="2"/>
        <v>4.2426406884625272E-3</v>
      </c>
    </row>
    <row r="47" spans="1:7" x14ac:dyDescent="0.25">
      <c r="A47" s="59">
        <v>8375.25</v>
      </c>
      <c r="B47" s="60">
        <v>11.366166666666667</v>
      </c>
      <c r="C47" s="60">
        <v>2.4111546334540216E-2</v>
      </c>
      <c r="E47">
        <f t="shared" si="0"/>
        <v>8375.25</v>
      </c>
      <c r="F47">
        <f t="shared" si="1"/>
        <v>11.366166666666667</v>
      </c>
      <c r="G47">
        <f t="shared" si="2"/>
        <v>2.4111546334540216E-2</v>
      </c>
    </row>
    <row r="48" spans="1:7" x14ac:dyDescent="0.25">
      <c r="A48" s="59">
        <v>8376.25</v>
      </c>
      <c r="B48" s="60">
        <v>11.370000000000001</v>
      </c>
      <c r="C48" s="60">
        <v>4.2426406817634658E-3</v>
      </c>
      <c r="E48">
        <f t="shared" si="0"/>
        <v>8376.25</v>
      </c>
      <c r="F48">
        <f t="shared" si="1"/>
        <v>11.370000000000001</v>
      </c>
      <c r="G48">
        <f t="shared" si="2"/>
        <v>4.2426406817634658E-3</v>
      </c>
    </row>
    <row r="49" spans="1:7" x14ac:dyDescent="0.25">
      <c r="A49" s="59">
        <v>8378.25</v>
      </c>
      <c r="B49" s="60">
        <v>11.368500000000001</v>
      </c>
      <c r="C49" s="60">
        <v>7.0710678029391107E-4</v>
      </c>
      <c r="E49">
        <f t="shared" si="0"/>
        <v>8378.25</v>
      </c>
      <c r="F49">
        <f t="shared" si="1"/>
        <v>11.368500000000001</v>
      </c>
      <c r="G49">
        <f t="shared" si="2"/>
        <v>7.0710678029391107E-4</v>
      </c>
    </row>
    <row r="50" spans="1:7" x14ac:dyDescent="0.25">
      <c r="A50" s="59">
        <v>8379.25</v>
      </c>
      <c r="B50" s="60">
        <v>11.41</v>
      </c>
      <c r="C50" s="60" t="e">
        <v>#DIV/0!</v>
      </c>
      <c r="E50">
        <f t="shared" si="0"/>
        <v>8379.25</v>
      </c>
      <c r="F50">
        <f t="shared" si="1"/>
        <v>11.41</v>
      </c>
    </row>
    <row r="51" spans="1:7" x14ac:dyDescent="0.25">
      <c r="A51" s="59">
        <v>8380.5</v>
      </c>
      <c r="B51" s="60">
        <v>11.423500000000001</v>
      </c>
      <c r="C51" s="60">
        <v>9.192388156188341E-3</v>
      </c>
      <c r="E51">
        <f t="shared" si="0"/>
        <v>8380.5</v>
      </c>
      <c r="F51">
        <f t="shared" si="1"/>
        <v>11.423500000000001</v>
      </c>
      <c r="G51">
        <f t="shared" si="2"/>
        <v>9.192388156188341E-3</v>
      </c>
    </row>
    <row r="52" spans="1:7" x14ac:dyDescent="0.25">
      <c r="A52" s="59">
        <v>8381.25</v>
      </c>
      <c r="B52" s="60">
        <v>11.429333333333332</v>
      </c>
      <c r="C52" s="60">
        <v>2.0816660036649557E-3</v>
      </c>
      <c r="E52">
        <f t="shared" si="0"/>
        <v>8381.25</v>
      </c>
      <c r="F52">
        <f t="shared" si="1"/>
        <v>11.429333333333332</v>
      </c>
      <c r="G52">
        <f t="shared" si="2"/>
        <v>2.0816660036649557E-3</v>
      </c>
    </row>
    <row r="53" spans="1:7" x14ac:dyDescent="0.25">
      <c r="A53" s="59">
        <v>8382.25</v>
      </c>
      <c r="B53" s="60">
        <v>11.438999999999998</v>
      </c>
      <c r="C53" s="60">
        <v>2.0518284530485133E-2</v>
      </c>
      <c r="E53">
        <f t="shared" si="0"/>
        <v>8382.25</v>
      </c>
      <c r="F53">
        <f t="shared" si="1"/>
        <v>11.438999999999998</v>
      </c>
      <c r="G53">
        <f t="shared" si="2"/>
        <v>2.0518284530485133E-2</v>
      </c>
    </row>
    <row r="54" spans="1:7" x14ac:dyDescent="0.25">
      <c r="A54" s="59">
        <v>8383.25</v>
      </c>
      <c r="B54" s="60">
        <v>11.429499999999999</v>
      </c>
      <c r="C54" s="60">
        <v>1.7935068070354231E-2</v>
      </c>
      <c r="E54">
        <f t="shared" si="0"/>
        <v>8383.25</v>
      </c>
      <c r="F54">
        <f t="shared" si="1"/>
        <v>11.429499999999999</v>
      </c>
      <c r="G54">
        <f t="shared" si="2"/>
        <v>1.7935068070354231E-2</v>
      </c>
    </row>
    <row r="55" spans="1:7" x14ac:dyDescent="0.25">
      <c r="A55" s="59">
        <v>8384.25</v>
      </c>
      <c r="B55" s="60">
        <v>11.478</v>
      </c>
      <c r="C55" s="60">
        <v>4.2426406817634658E-3</v>
      </c>
      <c r="E55">
        <f t="shared" si="0"/>
        <v>8384.25</v>
      </c>
      <c r="F55">
        <f t="shared" si="1"/>
        <v>11.478</v>
      </c>
      <c r="G55">
        <f t="shared" si="2"/>
        <v>4.2426406817634658E-3</v>
      </c>
    </row>
    <row r="56" spans="1:7" x14ac:dyDescent="0.25">
      <c r="A56" s="59">
        <v>8385.25</v>
      </c>
      <c r="B56" s="60">
        <v>11.472500000000002</v>
      </c>
      <c r="C56" s="60">
        <v>1.5673757259025423E-2</v>
      </c>
      <c r="E56">
        <f t="shared" si="0"/>
        <v>8385.25</v>
      </c>
      <c r="F56">
        <f t="shared" si="1"/>
        <v>11.472500000000002</v>
      </c>
      <c r="G56">
        <f t="shared" si="2"/>
        <v>1.5673757259025423E-2</v>
      </c>
    </row>
    <row r="57" spans="1:7" x14ac:dyDescent="0.25">
      <c r="A57" s="59">
        <v>8386.25</v>
      </c>
      <c r="B57" s="60">
        <v>11.45</v>
      </c>
      <c r="C57" s="60">
        <v>1.4142135806850054E-3</v>
      </c>
      <c r="E57">
        <f t="shared" si="0"/>
        <v>8386.25</v>
      </c>
      <c r="F57">
        <f t="shared" si="1"/>
        <v>11.45</v>
      </c>
      <c r="G57">
        <f t="shared" si="2"/>
        <v>1.4142135806850054E-3</v>
      </c>
    </row>
    <row r="58" spans="1:7" x14ac:dyDescent="0.25">
      <c r="A58" s="59">
        <v>8386.5</v>
      </c>
      <c r="B58" s="60">
        <v>11.504</v>
      </c>
      <c r="C58" s="60">
        <v>0</v>
      </c>
      <c r="E58">
        <f t="shared" si="0"/>
        <v>8386.5</v>
      </c>
      <c r="F58">
        <f t="shared" si="1"/>
        <v>11.504</v>
      </c>
    </row>
    <row r="59" spans="1:7" x14ac:dyDescent="0.25">
      <c r="A59" s="59">
        <v>8387.5</v>
      </c>
      <c r="B59" s="60">
        <v>11.531500000000001</v>
      </c>
      <c r="C59" s="60">
        <v>7.7781745905410879E-3</v>
      </c>
      <c r="E59">
        <f t="shared" si="0"/>
        <v>8387.5</v>
      </c>
      <c r="F59">
        <f t="shared" si="1"/>
        <v>11.531500000000001</v>
      </c>
      <c r="G59">
        <f t="shared" si="2"/>
        <v>7.7781745905410879E-3</v>
      </c>
    </row>
    <row r="60" spans="1:7" x14ac:dyDescent="0.25">
      <c r="A60" s="59">
        <v>8388.25</v>
      </c>
      <c r="B60" s="60">
        <v>11.495000000000001</v>
      </c>
      <c r="C60" s="60">
        <v>1.7185265005454673E-2</v>
      </c>
      <c r="E60">
        <f t="shared" si="0"/>
        <v>8388.25</v>
      </c>
      <c r="F60">
        <f t="shared" si="1"/>
        <v>11.495000000000001</v>
      </c>
      <c r="G60">
        <f t="shared" si="2"/>
        <v>1.7185265005454673E-2</v>
      </c>
    </row>
    <row r="61" spans="1:7" x14ac:dyDescent="0.25">
      <c r="A61" s="59">
        <v>8388.5</v>
      </c>
      <c r="B61" s="60">
        <v>11.5275</v>
      </c>
      <c r="C61" s="60">
        <v>7.0710682048827692E-4</v>
      </c>
      <c r="E61">
        <f t="shared" si="0"/>
        <v>8388.5</v>
      </c>
      <c r="F61">
        <f t="shared" si="1"/>
        <v>11.5275</v>
      </c>
      <c r="G61">
        <f t="shared" si="2"/>
        <v>7.0710682048827692E-4</v>
      </c>
    </row>
    <row r="62" spans="1:7" x14ac:dyDescent="0.25">
      <c r="A62" s="59">
        <v>8389.25</v>
      </c>
      <c r="B62" s="60">
        <v>11.492666666666667</v>
      </c>
      <c r="C62" s="60">
        <v>1.5011106998914356E-2</v>
      </c>
      <c r="E62">
        <f t="shared" si="0"/>
        <v>8389.25</v>
      </c>
      <c r="F62">
        <f t="shared" si="1"/>
        <v>11.492666666666667</v>
      </c>
      <c r="G62">
        <f t="shared" si="2"/>
        <v>1.5011106998914356E-2</v>
      </c>
    </row>
    <row r="63" spans="1:7" x14ac:dyDescent="0.25">
      <c r="A63" s="59">
        <v>8389.5</v>
      </c>
      <c r="B63" s="60">
        <v>11.545333333333334</v>
      </c>
      <c r="C63" s="60">
        <v>1.011599393546379E-2</v>
      </c>
      <c r="E63">
        <f t="shared" si="0"/>
        <v>8389.5</v>
      </c>
      <c r="F63">
        <f t="shared" si="1"/>
        <v>11.545333333333334</v>
      </c>
      <c r="G63">
        <f t="shared" si="2"/>
        <v>1.011599393546379E-2</v>
      </c>
    </row>
    <row r="64" spans="1:7" x14ac:dyDescent="0.25">
      <c r="A64" s="59">
        <v>8390.25</v>
      </c>
      <c r="B64" s="60">
        <v>11.502000000000001</v>
      </c>
      <c r="C64" s="60">
        <v>1.5716233643746174E-2</v>
      </c>
      <c r="E64">
        <f t="shared" si="0"/>
        <v>8390.25</v>
      </c>
      <c r="F64">
        <f t="shared" si="1"/>
        <v>11.502000000000001</v>
      </c>
      <c r="G64">
        <f t="shared" si="2"/>
        <v>1.5716233643746174E-2</v>
      </c>
    </row>
    <row r="65" spans="1:7" x14ac:dyDescent="0.25">
      <c r="A65" s="59">
        <v>8390.5</v>
      </c>
      <c r="B65" s="60">
        <v>11.541499999999999</v>
      </c>
      <c r="C65" s="60">
        <v>2.1213203408817329E-3</v>
      </c>
      <c r="E65">
        <f t="shared" si="0"/>
        <v>8390.5</v>
      </c>
      <c r="F65">
        <f t="shared" si="1"/>
        <v>11.541499999999999</v>
      </c>
      <c r="G65">
        <f t="shared" si="2"/>
        <v>2.1213203408817329E-3</v>
      </c>
    </row>
    <row r="66" spans="1:7" x14ac:dyDescent="0.25">
      <c r="A66" s="59">
        <v>8392.5</v>
      </c>
      <c r="B66" s="60">
        <v>11.545500000000001</v>
      </c>
      <c r="C66" s="60">
        <v>1.2020815281547109E-2</v>
      </c>
      <c r="E66">
        <f t="shared" si="0"/>
        <v>8392.5</v>
      </c>
      <c r="F66">
        <f t="shared" si="1"/>
        <v>11.545500000000001</v>
      </c>
      <c r="G66">
        <f t="shared" si="2"/>
        <v>1.2020815281547109E-2</v>
      </c>
    </row>
    <row r="67" spans="1:7" x14ac:dyDescent="0.25">
      <c r="A67" s="59">
        <v>8393.5</v>
      </c>
      <c r="B67" s="60">
        <v>11.552499999999998</v>
      </c>
      <c r="C67" s="60">
        <v>4.9497474735414821E-3</v>
      </c>
      <c r="E67">
        <f t="shared" si="0"/>
        <v>8393.5</v>
      </c>
      <c r="F67">
        <f t="shared" si="1"/>
        <v>11.552499999999998</v>
      </c>
      <c r="G67">
        <f t="shared" si="2"/>
        <v>4.9497474735414821E-3</v>
      </c>
    </row>
    <row r="68" spans="1:7" x14ac:dyDescent="0.25">
      <c r="A68" s="59">
        <v>8394.25</v>
      </c>
      <c r="B68" s="60">
        <v>11.57</v>
      </c>
      <c r="C68" s="60" t="e">
        <v>#DIV/0!</v>
      </c>
      <c r="E68">
        <f t="shared" si="0"/>
        <v>8394.25</v>
      </c>
      <c r="F68">
        <f t="shared" si="1"/>
        <v>11.57</v>
      </c>
    </row>
    <row r="69" spans="1:7" x14ac:dyDescent="0.25">
      <c r="A69" s="59">
        <v>8394.5</v>
      </c>
      <c r="B69" s="60">
        <v>11.5945</v>
      </c>
      <c r="C69" s="60">
        <v>1.0606601715127163E-2</v>
      </c>
      <c r="E69">
        <f t="shared" ref="E69:E132" si="3">+A69</f>
        <v>8394.5</v>
      </c>
      <c r="F69">
        <f t="shared" ref="F69:F132" si="4">+B69</f>
        <v>11.5945</v>
      </c>
      <c r="G69">
        <f t="shared" ref="G69:G131" si="5">+C69</f>
        <v>1.0606601715127163E-2</v>
      </c>
    </row>
    <row r="70" spans="1:7" x14ac:dyDescent="0.25">
      <c r="A70" s="59">
        <v>8395.25</v>
      </c>
      <c r="B70" s="60">
        <v>11.58</v>
      </c>
      <c r="C70" s="60" t="e">
        <v>#DIV/0!</v>
      </c>
      <c r="E70">
        <f t="shared" si="3"/>
        <v>8395.25</v>
      </c>
      <c r="F70">
        <f t="shared" si="4"/>
        <v>11.58</v>
      </c>
    </row>
    <row r="71" spans="1:7" x14ac:dyDescent="0.25">
      <c r="A71" s="59">
        <v>8395.5</v>
      </c>
      <c r="B71" s="60">
        <v>11.597999999999999</v>
      </c>
      <c r="C71" s="60">
        <v>7.5498344351513681E-3</v>
      </c>
      <c r="E71">
        <f t="shared" si="3"/>
        <v>8395.5</v>
      </c>
      <c r="F71">
        <f t="shared" si="4"/>
        <v>11.597999999999999</v>
      </c>
      <c r="G71">
        <f t="shared" si="5"/>
        <v>7.5498344351513681E-3</v>
      </c>
    </row>
    <row r="72" spans="1:7" x14ac:dyDescent="0.25">
      <c r="A72" s="59">
        <v>8396.25</v>
      </c>
      <c r="B72" s="60">
        <v>11.59</v>
      </c>
      <c r="C72" s="60" t="e">
        <v>#DIV/0!</v>
      </c>
      <c r="E72">
        <f t="shared" si="3"/>
        <v>8396.25</v>
      </c>
      <c r="F72">
        <f t="shared" si="4"/>
        <v>11.59</v>
      </c>
    </row>
    <row r="73" spans="1:7" x14ac:dyDescent="0.25">
      <c r="A73" s="59">
        <v>8396.5</v>
      </c>
      <c r="B73" s="60">
        <v>11.6005</v>
      </c>
      <c r="C73" s="60">
        <v>2.4748737341293969E-2</v>
      </c>
      <c r="E73">
        <f t="shared" si="3"/>
        <v>8396.5</v>
      </c>
      <c r="F73">
        <f t="shared" si="4"/>
        <v>11.6005</v>
      </c>
      <c r="G73">
        <f t="shared" si="5"/>
        <v>2.4748737341293969E-2</v>
      </c>
    </row>
    <row r="74" spans="1:7" x14ac:dyDescent="0.25">
      <c r="A74" s="59">
        <v>8397.5</v>
      </c>
      <c r="B74" s="60">
        <v>11.620000000000001</v>
      </c>
      <c r="C74" s="60">
        <v>9.8994949355988588E-3</v>
      </c>
      <c r="E74">
        <f t="shared" si="3"/>
        <v>8397.5</v>
      </c>
      <c r="F74">
        <f t="shared" si="4"/>
        <v>11.620000000000001</v>
      </c>
      <c r="G74">
        <f t="shared" si="5"/>
        <v>9.8994949355988588E-3</v>
      </c>
    </row>
    <row r="75" spans="1:7" x14ac:dyDescent="0.25">
      <c r="A75" s="59">
        <v>8398.25</v>
      </c>
      <c r="B75" s="60">
        <v>11.55</v>
      </c>
      <c r="C75" s="60" t="e">
        <v>#DIV/0!</v>
      </c>
      <c r="E75">
        <f t="shared" si="3"/>
        <v>8398.25</v>
      </c>
      <c r="F75">
        <f t="shared" si="4"/>
        <v>11.55</v>
      </c>
    </row>
    <row r="76" spans="1:7" x14ac:dyDescent="0.25">
      <c r="A76" s="59">
        <v>8400.5</v>
      </c>
      <c r="B76" s="60">
        <v>11.641999999999999</v>
      </c>
      <c r="C76" s="60">
        <v>4.2426406884625272E-3</v>
      </c>
      <c r="E76">
        <f t="shared" si="3"/>
        <v>8400.5</v>
      </c>
      <c r="F76">
        <f t="shared" si="4"/>
        <v>11.641999999999999</v>
      </c>
      <c r="G76">
        <f t="shared" si="5"/>
        <v>4.2426406884625272E-3</v>
      </c>
    </row>
    <row r="77" spans="1:7" x14ac:dyDescent="0.25">
      <c r="A77" s="59">
        <v>8401.25</v>
      </c>
      <c r="B77" s="60">
        <v>11.605499999999999</v>
      </c>
      <c r="C77" s="60">
        <v>4.9497474677994294E-3</v>
      </c>
      <c r="E77">
        <f t="shared" si="3"/>
        <v>8401.25</v>
      </c>
      <c r="F77">
        <f t="shared" si="4"/>
        <v>11.605499999999999</v>
      </c>
      <c r="G77">
        <f t="shared" si="5"/>
        <v>4.9497474677994294E-3</v>
      </c>
    </row>
    <row r="78" spans="1:7" x14ac:dyDescent="0.25">
      <c r="A78" s="59">
        <v>8401.5</v>
      </c>
      <c r="B78" s="60">
        <v>11.651</v>
      </c>
      <c r="C78" s="60">
        <v>0</v>
      </c>
      <c r="E78">
        <f t="shared" si="3"/>
        <v>8401.5</v>
      </c>
      <c r="F78">
        <f t="shared" si="4"/>
        <v>11.651</v>
      </c>
    </row>
    <row r="79" spans="1:7" x14ac:dyDescent="0.25">
      <c r="A79" s="59">
        <v>8402.25</v>
      </c>
      <c r="B79" s="60">
        <v>11.6205</v>
      </c>
      <c r="C79" s="60">
        <v>9.192388156188341E-3</v>
      </c>
      <c r="E79">
        <f t="shared" si="3"/>
        <v>8402.25</v>
      </c>
      <c r="F79">
        <f t="shared" si="4"/>
        <v>11.6205</v>
      </c>
      <c r="G79">
        <f t="shared" si="5"/>
        <v>9.192388156188341E-3</v>
      </c>
    </row>
    <row r="80" spans="1:7" x14ac:dyDescent="0.25">
      <c r="A80" s="59">
        <v>8402.5</v>
      </c>
      <c r="B80" s="60">
        <v>11.6335</v>
      </c>
      <c r="C80" s="60">
        <v>7.7781745905410879E-3</v>
      </c>
      <c r="E80">
        <f t="shared" si="3"/>
        <v>8402.5</v>
      </c>
      <c r="F80">
        <f t="shared" si="4"/>
        <v>11.6335</v>
      </c>
      <c r="G80">
        <f t="shared" si="5"/>
        <v>7.7781745905410879E-3</v>
      </c>
    </row>
    <row r="81" spans="1:7" x14ac:dyDescent="0.25">
      <c r="A81" s="59">
        <v>8403.5</v>
      </c>
      <c r="B81" s="60">
        <v>11.637499999999999</v>
      </c>
      <c r="C81" s="60">
        <v>1.0606601720486412E-2</v>
      </c>
      <c r="E81">
        <f t="shared" si="3"/>
        <v>8403.5</v>
      </c>
      <c r="F81">
        <f t="shared" si="4"/>
        <v>11.637499999999999</v>
      </c>
      <c r="G81">
        <f t="shared" si="5"/>
        <v>1.0606601720486412E-2</v>
      </c>
    </row>
    <row r="82" spans="1:7" x14ac:dyDescent="0.25">
      <c r="A82" s="59">
        <v>8404.25</v>
      </c>
      <c r="B82" s="60">
        <v>11.6195</v>
      </c>
      <c r="C82" s="60">
        <v>1.2020815279182735E-2</v>
      </c>
      <c r="E82">
        <f t="shared" si="3"/>
        <v>8404.25</v>
      </c>
      <c r="F82">
        <f t="shared" si="4"/>
        <v>11.6195</v>
      </c>
      <c r="G82">
        <f t="shared" si="5"/>
        <v>1.2020815279182735E-2</v>
      </c>
    </row>
    <row r="83" spans="1:7" x14ac:dyDescent="0.25">
      <c r="A83" s="59">
        <v>8404.5</v>
      </c>
      <c r="B83" s="60">
        <v>11.657</v>
      </c>
      <c r="C83" s="60">
        <v>5.6568542523998799E-3</v>
      </c>
      <c r="E83">
        <f t="shared" si="3"/>
        <v>8404.5</v>
      </c>
      <c r="F83">
        <f t="shared" si="4"/>
        <v>11.657</v>
      </c>
      <c r="G83">
        <f t="shared" si="5"/>
        <v>5.6568542523998799E-3</v>
      </c>
    </row>
    <row r="84" spans="1:7" x14ac:dyDescent="0.25">
      <c r="A84" s="59">
        <v>8405.5</v>
      </c>
      <c r="B84" s="60">
        <v>11.678999999999998</v>
      </c>
      <c r="C84" s="60">
        <v>1.5556349188390243E-2</v>
      </c>
      <c r="E84">
        <f t="shared" si="3"/>
        <v>8405.5</v>
      </c>
      <c r="F84">
        <f t="shared" si="4"/>
        <v>11.678999999999998</v>
      </c>
      <c r="G84">
        <f t="shared" si="5"/>
        <v>1.5556349188390243E-2</v>
      </c>
    </row>
    <row r="85" spans="1:7" x14ac:dyDescent="0.25">
      <c r="A85" s="59">
        <v>8406.25</v>
      </c>
      <c r="B85" s="60">
        <v>11.638500000000001</v>
      </c>
      <c r="C85" s="60">
        <v>3.5355338934306819E-3</v>
      </c>
      <c r="E85">
        <f t="shared" si="3"/>
        <v>8406.25</v>
      </c>
      <c r="F85">
        <f t="shared" si="4"/>
        <v>11.638500000000001</v>
      </c>
      <c r="G85">
        <f t="shared" si="5"/>
        <v>3.5355338934306819E-3</v>
      </c>
    </row>
    <row r="86" spans="1:7" x14ac:dyDescent="0.25">
      <c r="A86" s="59">
        <v>8406.5</v>
      </c>
      <c r="B86" s="60">
        <v>11.670500000000001</v>
      </c>
      <c r="C86" s="60">
        <v>2.7577164465473147E-2</v>
      </c>
      <c r="E86">
        <f t="shared" si="3"/>
        <v>8406.5</v>
      </c>
      <c r="F86">
        <f t="shared" si="4"/>
        <v>11.670500000000001</v>
      </c>
      <c r="G86">
        <f t="shared" si="5"/>
        <v>2.7577164465473147E-2</v>
      </c>
    </row>
    <row r="87" spans="1:7" x14ac:dyDescent="0.25">
      <c r="A87" s="59">
        <v>8407.25</v>
      </c>
      <c r="B87" s="60">
        <v>11.629</v>
      </c>
      <c r="C87" s="60">
        <v>0</v>
      </c>
      <c r="E87">
        <f t="shared" si="3"/>
        <v>8407.25</v>
      </c>
      <c r="F87">
        <f t="shared" si="4"/>
        <v>11.629</v>
      </c>
    </row>
    <row r="88" spans="1:7" x14ac:dyDescent="0.25">
      <c r="A88" s="59">
        <v>8407.5</v>
      </c>
      <c r="B88" s="60">
        <v>11.696999999999999</v>
      </c>
      <c r="C88" s="60">
        <v>1.4142135806850054E-3</v>
      </c>
      <c r="E88">
        <f t="shared" si="3"/>
        <v>8407.5</v>
      </c>
      <c r="F88">
        <f t="shared" si="4"/>
        <v>11.696999999999999</v>
      </c>
      <c r="G88">
        <f t="shared" si="5"/>
        <v>1.4142135806850054E-3</v>
      </c>
    </row>
    <row r="89" spans="1:7" x14ac:dyDescent="0.25">
      <c r="A89" s="59">
        <v>8408.5</v>
      </c>
      <c r="B89" s="60">
        <v>11.6615</v>
      </c>
      <c r="C89" s="60">
        <v>2.8991378028323318E-2</v>
      </c>
      <c r="E89">
        <f t="shared" si="3"/>
        <v>8408.5</v>
      </c>
      <c r="F89">
        <f t="shared" si="4"/>
        <v>11.6615</v>
      </c>
      <c r="G89">
        <f t="shared" si="5"/>
        <v>2.8991378028323318E-2</v>
      </c>
    </row>
    <row r="90" spans="1:7" x14ac:dyDescent="0.25">
      <c r="A90" s="59">
        <v>8409.25</v>
      </c>
      <c r="B90" s="60">
        <v>11.606999999999999</v>
      </c>
      <c r="C90" s="60">
        <v>8.4852813769250544E-3</v>
      </c>
      <c r="E90">
        <f t="shared" si="3"/>
        <v>8409.25</v>
      </c>
      <c r="F90">
        <f t="shared" si="4"/>
        <v>11.606999999999999</v>
      </c>
      <c r="G90">
        <f t="shared" si="5"/>
        <v>8.4852813769250544E-3</v>
      </c>
    </row>
    <row r="91" spans="1:7" x14ac:dyDescent="0.25">
      <c r="A91" s="59">
        <v>8409.5</v>
      </c>
      <c r="B91" s="60">
        <v>11.6745</v>
      </c>
      <c r="C91" s="60">
        <v>1.767766952985662E-2</v>
      </c>
      <c r="E91">
        <f t="shared" si="3"/>
        <v>8409.5</v>
      </c>
      <c r="F91">
        <f t="shared" si="4"/>
        <v>11.6745</v>
      </c>
      <c r="G91">
        <f t="shared" si="5"/>
        <v>1.767766952985662E-2</v>
      </c>
    </row>
    <row r="92" spans="1:7" x14ac:dyDescent="0.25">
      <c r="A92" s="59">
        <v>8410.5</v>
      </c>
      <c r="B92" s="60">
        <v>11.684999999999999</v>
      </c>
      <c r="C92" s="60">
        <v>2.828427131224236E-3</v>
      </c>
      <c r="E92">
        <f t="shared" si="3"/>
        <v>8410.5</v>
      </c>
      <c r="F92">
        <f t="shared" si="4"/>
        <v>11.684999999999999</v>
      </c>
      <c r="G92">
        <f t="shared" si="5"/>
        <v>2.828427131224236E-3</v>
      </c>
    </row>
    <row r="93" spans="1:7" x14ac:dyDescent="0.25">
      <c r="A93" s="59">
        <v>8411.25</v>
      </c>
      <c r="B93" s="60">
        <v>11.640499999999999</v>
      </c>
      <c r="C93" s="60">
        <v>6.3639610315772812E-3</v>
      </c>
      <c r="E93">
        <f t="shared" si="3"/>
        <v>8411.25</v>
      </c>
      <c r="F93">
        <f t="shared" si="4"/>
        <v>11.640499999999999</v>
      </c>
      <c r="G93">
        <f t="shared" si="5"/>
        <v>6.3639610315772812E-3</v>
      </c>
    </row>
    <row r="94" spans="1:7" x14ac:dyDescent="0.25">
      <c r="A94" s="59">
        <v>8411.5</v>
      </c>
      <c r="B94" s="60">
        <v>11.668500000000002</v>
      </c>
      <c r="C94" s="60">
        <v>1.343502884039276E-2</v>
      </c>
      <c r="E94">
        <f t="shared" si="3"/>
        <v>8411.5</v>
      </c>
      <c r="F94">
        <f t="shared" si="4"/>
        <v>11.668500000000002</v>
      </c>
      <c r="G94">
        <f t="shared" si="5"/>
        <v>1.343502884039276E-2</v>
      </c>
    </row>
    <row r="95" spans="1:7" x14ac:dyDescent="0.25">
      <c r="A95" s="59">
        <v>8413.5</v>
      </c>
      <c r="B95" s="60">
        <v>11.669499999999999</v>
      </c>
      <c r="C95" s="60">
        <v>3.0405591591897787E-2</v>
      </c>
      <c r="E95">
        <f t="shared" si="3"/>
        <v>8413.5</v>
      </c>
      <c r="F95">
        <f t="shared" si="4"/>
        <v>11.669499999999999</v>
      </c>
      <c r="G95">
        <f t="shared" si="5"/>
        <v>3.0405591591897787E-2</v>
      </c>
    </row>
    <row r="96" spans="1:7" x14ac:dyDescent="0.25">
      <c r="A96" s="59">
        <v>8414.5</v>
      </c>
      <c r="B96" s="60">
        <v>11.714</v>
      </c>
      <c r="C96" s="60">
        <v>4.2426406817634658E-3</v>
      </c>
      <c r="E96">
        <f t="shared" si="3"/>
        <v>8414.5</v>
      </c>
      <c r="F96">
        <f t="shared" si="4"/>
        <v>11.714</v>
      </c>
      <c r="G96">
        <f t="shared" si="5"/>
        <v>4.2426406817634658E-3</v>
      </c>
    </row>
    <row r="97" spans="1:7" x14ac:dyDescent="0.25">
      <c r="A97" s="59">
        <v>8415</v>
      </c>
      <c r="B97" s="60">
        <v>11.660499999999999</v>
      </c>
      <c r="C97" s="60">
        <v>3.5355339095084286E-3</v>
      </c>
      <c r="E97">
        <f t="shared" si="3"/>
        <v>8415</v>
      </c>
      <c r="F97">
        <f t="shared" si="4"/>
        <v>11.660499999999999</v>
      </c>
      <c r="G97">
        <f t="shared" si="5"/>
        <v>3.5355339095084286E-3</v>
      </c>
    </row>
    <row r="98" spans="1:7" x14ac:dyDescent="0.25">
      <c r="A98" s="59">
        <v>8415.5</v>
      </c>
      <c r="B98" s="60">
        <v>11.7125</v>
      </c>
      <c r="C98" s="60">
        <v>3.5355339014695552E-3</v>
      </c>
      <c r="E98">
        <f t="shared" si="3"/>
        <v>8415.5</v>
      </c>
      <c r="F98">
        <f t="shared" si="4"/>
        <v>11.7125</v>
      </c>
      <c r="G98">
        <f t="shared" si="5"/>
        <v>3.5355339014695552E-3</v>
      </c>
    </row>
    <row r="99" spans="1:7" x14ac:dyDescent="0.25">
      <c r="A99" s="59">
        <v>8416.5</v>
      </c>
      <c r="B99" s="60">
        <v>11.7165</v>
      </c>
      <c r="C99" s="60">
        <v>3.5355339095084286E-3</v>
      </c>
      <c r="E99">
        <f t="shared" si="3"/>
        <v>8416.5</v>
      </c>
      <c r="F99">
        <f t="shared" si="4"/>
        <v>11.7165</v>
      </c>
      <c r="G99">
        <f t="shared" si="5"/>
        <v>3.5355339095084286E-3</v>
      </c>
    </row>
    <row r="100" spans="1:7" x14ac:dyDescent="0.25">
      <c r="A100" s="59">
        <v>8417.5</v>
      </c>
      <c r="B100" s="60">
        <v>11.686500000000001</v>
      </c>
      <c r="C100" s="60">
        <v>2.1213203542798553E-3</v>
      </c>
      <c r="E100">
        <f t="shared" si="3"/>
        <v>8417.5</v>
      </c>
      <c r="F100">
        <f t="shared" si="4"/>
        <v>11.686500000000001</v>
      </c>
      <c r="G100">
        <f t="shared" si="5"/>
        <v>2.1213203542798553E-3</v>
      </c>
    </row>
    <row r="101" spans="1:7" x14ac:dyDescent="0.25">
      <c r="A101" s="59">
        <v>8418.5</v>
      </c>
      <c r="B101" s="60">
        <v>11.7425</v>
      </c>
      <c r="C101" s="60">
        <v>1.6263455967730926E-2</v>
      </c>
      <c r="E101">
        <f t="shared" si="3"/>
        <v>8418.5</v>
      </c>
      <c r="F101">
        <f t="shared" si="4"/>
        <v>11.7425</v>
      </c>
      <c r="G101">
        <f t="shared" si="5"/>
        <v>1.6263455967730926E-2</v>
      </c>
    </row>
    <row r="102" spans="1:7" x14ac:dyDescent="0.25">
      <c r="A102" s="59">
        <v>8419.5</v>
      </c>
      <c r="B102" s="60">
        <v>11.7295</v>
      </c>
      <c r="C102" s="60">
        <v>7.0710678029391107E-4</v>
      </c>
      <c r="E102">
        <f t="shared" si="3"/>
        <v>8419.5</v>
      </c>
      <c r="F102">
        <f t="shared" si="4"/>
        <v>11.7295</v>
      </c>
      <c r="G102">
        <f t="shared" si="5"/>
        <v>7.0710678029391107E-4</v>
      </c>
    </row>
    <row r="103" spans="1:7" x14ac:dyDescent="0.25">
      <c r="A103" s="59">
        <v>8420</v>
      </c>
      <c r="B103" s="60">
        <v>11.7</v>
      </c>
      <c r="C103" s="60">
        <v>0</v>
      </c>
      <c r="E103">
        <f t="shared" si="3"/>
        <v>8420</v>
      </c>
      <c r="F103">
        <f t="shared" si="4"/>
        <v>11.7</v>
      </c>
    </row>
    <row r="104" spans="1:7" x14ac:dyDescent="0.25">
      <c r="A104" s="59">
        <v>8420.5</v>
      </c>
      <c r="B104" s="60">
        <v>11.731999999999999</v>
      </c>
      <c r="C104" s="60">
        <v>2.3643180834678833E-2</v>
      </c>
      <c r="E104">
        <f t="shared" si="3"/>
        <v>8420.5</v>
      </c>
      <c r="F104">
        <f t="shared" si="4"/>
        <v>11.731999999999999</v>
      </c>
      <c r="G104">
        <f t="shared" si="5"/>
        <v>2.3643180834678833E-2</v>
      </c>
    </row>
    <row r="105" spans="1:7" x14ac:dyDescent="0.25">
      <c r="A105" s="59">
        <v>8421.5</v>
      </c>
      <c r="B105" s="60">
        <v>11.734</v>
      </c>
      <c r="C105" s="60">
        <v>8.4852813769250544E-3</v>
      </c>
      <c r="E105">
        <f t="shared" si="3"/>
        <v>8421.5</v>
      </c>
      <c r="F105">
        <f t="shared" si="4"/>
        <v>11.734</v>
      </c>
      <c r="G105">
        <f t="shared" si="5"/>
        <v>8.4852813769250544E-3</v>
      </c>
    </row>
    <row r="106" spans="1:7" x14ac:dyDescent="0.25">
      <c r="A106" s="59">
        <v>8422.5</v>
      </c>
      <c r="B106" s="60">
        <v>11.736000000000001</v>
      </c>
      <c r="C106" s="60">
        <v>7.0710678109779839E-3</v>
      </c>
      <c r="E106">
        <f t="shared" si="3"/>
        <v>8422.5</v>
      </c>
      <c r="F106">
        <f t="shared" si="4"/>
        <v>11.736000000000001</v>
      </c>
      <c r="G106">
        <f t="shared" si="5"/>
        <v>7.0710678109779839E-3</v>
      </c>
    </row>
    <row r="107" spans="1:7" x14ac:dyDescent="0.25">
      <c r="A107" s="59">
        <v>8423</v>
      </c>
      <c r="B107" s="60">
        <v>11.66</v>
      </c>
      <c r="C107" s="60" t="e">
        <v>#DIV/0!</v>
      </c>
      <c r="E107">
        <f t="shared" si="3"/>
        <v>8423</v>
      </c>
      <c r="F107">
        <f t="shared" si="4"/>
        <v>11.66</v>
      </c>
    </row>
    <row r="108" spans="1:7" x14ac:dyDescent="0.25">
      <c r="A108" s="59">
        <v>8423.5</v>
      </c>
      <c r="B108" s="60">
        <v>11.7195</v>
      </c>
      <c r="C108" s="60">
        <v>1.0606601720486412E-2</v>
      </c>
      <c r="E108">
        <f t="shared" si="3"/>
        <v>8423.5</v>
      </c>
      <c r="F108">
        <f t="shared" si="4"/>
        <v>11.7195</v>
      </c>
      <c r="G108">
        <f t="shared" si="5"/>
        <v>1.0606601720486412E-2</v>
      </c>
    </row>
    <row r="109" spans="1:7" x14ac:dyDescent="0.25">
      <c r="A109" s="59">
        <v>8424.5</v>
      </c>
      <c r="B109" s="60">
        <v>11.754999999999999</v>
      </c>
      <c r="C109" s="60">
        <v>2.828427131224236E-3</v>
      </c>
      <c r="E109">
        <f t="shared" si="3"/>
        <v>8424.5</v>
      </c>
      <c r="F109">
        <f t="shared" si="4"/>
        <v>11.754999999999999</v>
      </c>
      <c r="G109">
        <f t="shared" si="5"/>
        <v>2.828427131224236E-3</v>
      </c>
    </row>
    <row r="110" spans="1:7" x14ac:dyDescent="0.25">
      <c r="A110" s="59">
        <v>8425.25</v>
      </c>
      <c r="B110" s="60">
        <v>11.715</v>
      </c>
      <c r="C110" s="60">
        <v>4.2426406884625272E-3</v>
      </c>
      <c r="E110">
        <f t="shared" si="3"/>
        <v>8425.25</v>
      </c>
      <c r="F110">
        <f t="shared" si="4"/>
        <v>11.715</v>
      </c>
      <c r="G110">
        <f t="shared" si="5"/>
        <v>4.2426406884625272E-3</v>
      </c>
    </row>
    <row r="111" spans="1:7" x14ac:dyDescent="0.25">
      <c r="A111" s="59">
        <v>8425.5</v>
      </c>
      <c r="B111" s="60">
        <v>11.778666666666666</v>
      </c>
      <c r="C111" s="60">
        <v>1.0503967506014442E-2</v>
      </c>
      <c r="E111">
        <f t="shared" si="3"/>
        <v>8425.5</v>
      </c>
      <c r="F111">
        <f t="shared" si="4"/>
        <v>11.778666666666666</v>
      </c>
      <c r="G111">
        <f t="shared" si="5"/>
        <v>1.0503967506014442E-2</v>
      </c>
    </row>
    <row r="112" spans="1:7" x14ac:dyDescent="0.25">
      <c r="A112" s="59">
        <v>8427.5</v>
      </c>
      <c r="B112" s="60">
        <v>11.785</v>
      </c>
      <c r="C112" s="60">
        <v>2.828427131224236E-3</v>
      </c>
      <c r="E112">
        <f t="shared" si="3"/>
        <v>8427.5</v>
      </c>
      <c r="F112">
        <f t="shared" si="4"/>
        <v>11.785</v>
      </c>
      <c r="G112">
        <f t="shared" si="5"/>
        <v>2.828427131224236E-3</v>
      </c>
    </row>
    <row r="113" spans="1:7" x14ac:dyDescent="0.25">
      <c r="A113" s="59">
        <v>8428.25</v>
      </c>
      <c r="B113" s="60">
        <v>11.742999999999999</v>
      </c>
      <c r="C113" s="60">
        <v>2.8284271412728273E-3</v>
      </c>
      <c r="E113">
        <f t="shared" si="3"/>
        <v>8428.25</v>
      </c>
      <c r="F113">
        <f t="shared" si="4"/>
        <v>11.742999999999999</v>
      </c>
      <c r="G113">
        <f t="shared" si="5"/>
        <v>2.8284271412728273E-3</v>
      </c>
    </row>
    <row r="114" spans="1:7" x14ac:dyDescent="0.25">
      <c r="A114" s="59">
        <v>8428.5</v>
      </c>
      <c r="B114" s="60">
        <v>11.817499999999999</v>
      </c>
      <c r="C114" s="60">
        <v>1.2020815279182735E-2</v>
      </c>
      <c r="E114">
        <f t="shared" si="3"/>
        <v>8428.5</v>
      </c>
      <c r="F114">
        <f t="shared" si="4"/>
        <v>11.817499999999999</v>
      </c>
      <c r="G114">
        <f t="shared" si="5"/>
        <v>1.2020815279182735E-2</v>
      </c>
    </row>
    <row r="115" spans="1:7" x14ac:dyDescent="0.25">
      <c r="A115" s="59">
        <v>8429.5</v>
      </c>
      <c r="B115" s="60">
        <v>11.810666666666668</v>
      </c>
      <c r="C115" s="60">
        <v>6.0277137680900374E-3</v>
      </c>
      <c r="E115">
        <f t="shared" si="3"/>
        <v>8429.5</v>
      </c>
      <c r="F115">
        <f t="shared" si="4"/>
        <v>11.810666666666668</v>
      </c>
      <c r="G115">
        <f t="shared" si="5"/>
        <v>6.0277137680900374E-3</v>
      </c>
    </row>
    <row r="116" spans="1:7" x14ac:dyDescent="0.25">
      <c r="A116" s="59">
        <v>8430.5</v>
      </c>
      <c r="B116" s="60">
        <v>11.847000000000001</v>
      </c>
      <c r="C116" s="60">
        <v>2.8284271211756443E-3</v>
      </c>
      <c r="E116">
        <f t="shared" si="3"/>
        <v>8430.5</v>
      </c>
      <c r="F116">
        <f t="shared" si="4"/>
        <v>11.847000000000001</v>
      </c>
      <c r="G116">
        <f t="shared" si="5"/>
        <v>2.8284271211756443E-3</v>
      </c>
    </row>
    <row r="117" spans="1:7" x14ac:dyDescent="0.25">
      <c r="A117" s="59">
        <v>8431</v>
      </c>
      <c r="B117" s="60">
        <v>11.765000000000001</v>
      </c>
      <c r="C117" s="60" t="e">
        <v>#DIV/0!</v>
      </c>
      <c r="E117">
        <f t="shared" si="3"/>
        <v>8431</v>
      </c>
      <c r="F117">
        <f t="shared" si="4"/>
        <v>11.765000000000001</v>
      </c>
    </row>
    <row r="118" spans="1:7" x14ac:dyDescent="0.25">
      <c r="A118" s="59">
        <v>8431.5</v>
      </c>
      <c r="B118" s="60">
        <v>11.821999999999999</v>
      </c>
      <c r="C118" s="60">
        <v>4.3840620433975963E-2</v>
      </c>
      <c r="E118">
        <f t="shared" si="3"/>
        <v>8431.5</v>
      </c>
      <c r="F118">
        <f t="shared" si="4"/>
        <v>11.821999999999999</v>
      </c>
      <c r="G118">
        <f t="shared" si="5"/>
        <v>4.3840620433975963E-2</v>
      </c>
    </row>
    <row r="119" spans="1:7" x14ac:dyDescent="0.25">
      <c r="A119" s="59">
        <v>8432.5</v>
      </c>
      <c r="B119" s="60">
        <v>11.836</v>
      </c>
      <c r="C119" s="60">
        <v>4.2426406884625272E-3</v>
      </c>
      <c r="E119">
        <f t="shared" si="3"/>
        <v>8432.5</v>
      </c>
      <c r="F119">
        <f t="shared" si="4"/>
        <v>11.836</v>
      </c>
      <c r="G119">
        <f t="shared" si="5"/>
        <v>4.2426406884625272E-3</v>
      </c>
    </row>
    <row r="120" spans="1:7" x14ac:dyDescent="0.25">
      <c r="A120" s="59">
        <v>8433</v>
      </c>
      <c r="B120" s="60">
        <v>11.795</v>
      </c>
      <c r="C120" s="60">
        <v>1.4142135605878221E-3</v>
      </c>
      <c r="E120">
        <f t="shared" si="3"/>
        <v>8433</v>
      </c>
      <c r="F120">
        <f t="shared" si="4"/>
        <v>11.795</v>
      </c>
      <c r="G120">
        <f t="shared" si="5"/>
        <v>1.4142135605878221E-3</v>
      </c>
    </row>
    <row r="121" spans="1:7" x14ac:dyDescent="0.25">
      <c r="A121" s="59">
        <v>8433.5</v>
      </c>
      <c r="B121" s="60">
        <v>11.842500000000001</v>
      </c>
      <c r="C121" s="60">
        <v>1.9091883091754483E-2</v>
      </c>
      <c r="E121">
        <f t="shared" si="3"/>
        <v>8433.5</v>
      </c>
      <c r="F121">
        <f t="shared" si="4"/>
        <v>11.842500000000001</v>
      </c>
      <c r="G121">
        <f t="shared" si="5"/>
        <v>1.9091883091754483E-2</v>
      </c>
    </row>
    <row r="122" spans="1:7" x14ac:dyDescent="0.25">
      <c r="A122" s="59">
        <v>8434.5</v>
      </c>
      <c r="B122" s="60">
        <v>11.896000000000001</v>
      </c>
      <c r="C122" s="60">
        <v>2.1213203434273763E-2</v>
      </c>
      <c r="E122">
        <f t="shared" si="3"/>
        <v>8434.5</v>
      </c>
      <c r="F122">
        <f t="shared" si="4"/>
        <v>11.896000000000001</v>
      </c>
      <c r="G122">
        <f t="shared" si="5"/>
        <v>2.1213203434273763E-2</v>
      </c>
    </row>
    <row r="123" spans="1:7" x14ac:dyDescent="0.25">
      <c r="A123" s="59">
        <v>8435.5</v>
      </c>
      <c r="B123" s="60">
        <v>11.863</v>
      </c>
      <c r="C123" s="60">
        <v>7.0710678149974206E-3</v>
      </c>
      <c r="E123">
        <f t="shared" si="3"/>
        <v>8435.5</v>
      </c>
      <c r="F123">
        <f t="shared" si="4"/>
        <v>11.863</v>
      </c>
      <c r="G123">
        <f t="shared" si="5"/>
        <v>7.0710678149974206E-3</v>
      </c>
    </row>
    <row r="124" spans="1:7" x14ac:dyDescent="0.25">
      <c r="A124" s="59">
        <v>8436.5</v>
      </c>
      <c r="B124" s="60">
        <v>11.92</v>
      </c>
      <c r="C124" s="60">
        <v>9.5393920140447504E-3</v>
      </c>
      <c r="E124">
        <f t="shared" si="3"/>
        <v>8436.5</v>
      </c>
      <c r="F124">
        <f t="shared" si="4"/>
        <v>11.92</v>
      </c>
      <c r="G124">
        <f t="shared" si="5"/>
        <v>9.5393920140447504E-3</v>
      </c>
    </row>
    <row r="125" spans="1:7" x14ac:dyDescent="0.25">
      <c r="A125" s="59">
        <v>8437.25</v>
      </c>
      <c r="B125" s="60">
        <v>11.8705</v>
      </c>
      <c r="C125" s="60">
        <v>4.9497474735414821E-3</v>
      </c>
      <c r="E125">
        <f t="shared" si="3"/>
        <v>8437.25</v>
      </c>
      <c r="F125">
        <f t="shared" si="4"/>
        <v>11.8705</v>
      </c>
      <c r="G125">
        <f t="shared" si="5"/>
        <v>4.9497474735414821E-3</v>
      </c>
    </row>
    <row r="126" spans="1:7" x14ac:dyDescent="0.25">
      <c r="A126" s="59">
        <v>8438.5</v>
      </c>
      <c r="B126" s="60">
        <v>11.951000000000001</v>
      </c>
      <c r="C126" s="60">
        <v>1.555634918473621E-2</v>
      </c>
      <c r="E126">
        <f t="shared" si="3"/>
        <v>8438.5</v>
      </c>
      <c r="F126">
        <f t="shared" si="4"/>
        <v>11.951000000000001</v>
      </c>
      <c r="G126">
        <f t="shared" si="5"/>
        <v>1.555634918473621E-2</v>
      </c>
    </row>
    <row r="127" spans="1:7" x14ac:dyDescent="0.25">
      <c r="A127" s="59">
        <v>8439</v>
      </c>
      <c r="B127" s="60">
        <v>11.9</v>
      </c>
      <c r="C127" s="60" t="e">
        <v>#DIV/0!</v>
      </c>
      <c r="E127">
        <f t="shared" si="3"/>
        <v>8439</v>
      </c>
      <c r="F127">
        <f t="shared" si="4"/>
        <v>11.9</v>
      </c>
    </row>
    <row r="128" spans="1:7" x14ac:dyDescent="0.25">
      <c r="A128" s="59">
        <v>8439.5</v>
      </c>
      <c r="B128" s="60">
        <v>11.9945</v>
      </c>
      <c r="C128" s="60">
        <v>1.2020815281547109E-2</v>
      </c>
      <c r="E128">
        <f t="shared" si="3"/>
        <v>8439.5</v>
      </c>
      <c r="F128">
        <f t="shared" si="4"/>
        <v>11.9945</v>
      </c>
      <c r="G128">
        <f t="shared" si="5"/>
        <v>1.2020815281547109E-2</v>
      </c>
    </row>
    <row r="129" spans="1:7" x14ac:dyDescent="0.25">
      <c r="A129" s="59">
        <v>8440.25</v>
      </c>
      <c r="B129" s="60">
        <v>11.9495</v>
      </c>
      <c r="C129" s="60">
        <v>7.0710674009954284E-4</v>
      </c>
      <c r="E129">
        <f t="shared" si="3"/>
        <v>8440.25</v>
      </c>
      <c r="F129">
        <f t="shared" si="4"/>
        <v>11.9495</v>
      </c>
      <c r="G129">
        <f t="shared" si="5"/>
        <v>7.0710674009954284E-4</v>
      </c>
    </row>
    <row r="130" spans="1:7" x14ac:dyDescent="0.25">
      <c r="A130" s="59">
        <v>8440.5</v>
      </c>
      <c r="B130" s="60">
        <v>11.994</v>
      </c>
      <c r="C130" s="60">
        <v>5.6568542473755838E-3</v>
      </c>
      <c r="E130">
        <f t="shared" si="3"/>
        <v>8440.5</v>
      </c>
      <c r="F130">
        <f t="shared" si="4"/>
        <v>11.994</v>
      </c>
      <c r="G130">
        <f t="shared" si="5"/>
        <v>5.6568542473755838E-3</v>
      </c>
    </row>
    <row r="131" spans="1:7" x14ac:dyDescent="0.25">
      <c r="A131" s="59">
        <v>8441.5</v>
      </c>
      <c r="B131" s="60">
        <v>12.0305</v>
      </c>
      <c r="C131" s="60">
        <v>2.7577164466503774E-2</v>
      </c>
      <c r="E131">
        <f t="shared" si="3"/>
        <v>8441.5</v>
      </c>
      <c r="F131">
        <f t="shared" si="4"/>
        <v>12.0305</v>
      </c>
      <c r="G131">
        <f t="shared" si="5"/>
        <v>2.7577164466503774E-2</v>
      </c>
    </row>
    <row r="132" spans="1:7" x14ac:dyDescent="0.25">
      <c r="A132" s="59">
        <v>8442.5</v>
      </c>
      <c r="B132" s="60">
        <v>11.990333333333334</v>
      </c>
      <c r="C132" s="60">
        <v>2.829016318873686E-2</v>
      </c>
      <c r="E132">
        <f t="shared" si="3"/>
        <v>8442.5</v>
      </c>
      <c r="F132">
        <f t="shared" si="4"/>
        <v>11.990333333333334</v>
      </c>
      <c r="G132">
        <f t="shared" ref="G132:G195" si="6">+C132</f>
        <v>2.829016318873686E-2</v>
      </c>
    </row>
    <row r="133" spans="1:7" x14ac:dyDescent="0.25">
      <c r="A133" s="59">
        <v>8443.5</v>
      </c>
      <c r="B133" s="60">
        <v>11.974499999999999</v>
      </c>
      <c r="C133" s="60">
        <v>1.4849242405312307E-2</v>
      </c>
      <c r="E133">
        <f t="shared" ref="E133:E196" si="7">+A133</f>
        <v>8443.5</v>
      </c>
      <c r="F133">
        <f t="shared" ref="F133:F196" si="8">+B133</f>
        <v>11.974499999999999</v>
      </c>
      <c r="G133">
        <f t="shared" si="6"/>
        <v>1.4849242405312307E-2</v>
      </c>
    </row>
    <row r="134" spans="1:7" x14ac:dyDescent="0.25">
      <c r="A134" s="59">
        <v>8444.5</v>
      </c>
      <c r="B134" s="60">
        <v>12.07</v>
      </c>
      <c r="C134" s="60">
        <v>7.0710678109779839E-3</v>
      </c>
      <c r="E134">
        <f t="shared" si="7"/>
        <v>8444.5</v>
      </c>
      <c r="F134">
        <f t="shared" si="8"/>
        <v>12.07</v>
      </c>
      <c r="G134">
        <f t="shared" si="6"/>
        <v>7.0710678109779839E-3</v>
      </c>
    </row>
    <row r="135" spans="1:7" x14ac:dyDescent="0.25">
      <c r="A135" s="59">
        <v>8445.5</v>
      </c>
      <c r="B135" s="60">
        <v>12.087</v>
      </c>
      <c r="C135" s="60">
        <v>1.1313708502287611E-2</v>
      </c>
      <c r="E135">
        <f t="shared" si="7"/>
        <v>8445.5</v>
      </c>
      <c r="F135">
        <f t="shared" si="8"/>
        <v>12.087</v>
      </c>
      <c r="G135">
        <f t="shared" si="6"/>
        <v>1.1313708502287611E-2</v>
      </c>
    </row>
    <row r="136" spans="1:7" x14ac:dyDescent="0.25">
      <c r="A136" s="59">
        <v>8446.5</v>
      </c>
      <c r="B136" s="60">
        <v>12.047000000000001</v>
      </c>
      <c r="C136" s="60">
        <v>2.8284271111270521E-3</v>
      </c>
      <c r="E136">
        <f t="shared" si="7"/>
        <v>8446.5</v>
      </c>
      <c r="F136">
        <f t="shared" si="8"/>
        <v>12.047000000000001</v>
      </c>
      <c r="G136">
        <f t="shared" si="6"/>
        <v>2.8284271111270521E-3</v>
      </c>
    </row>
    <row r="137" spans="1:7" x14ac:dyDescent="0.25">
      <c r="A137" s="59">
        <v>8447.5</v>
      </c>
      <c r="B137" s="60">
        <v>12.0915</v>
      </c>
      <c r="C137" s="60">
        <v>2.0506096654857659E-2</v>
      </c>
      <c r="E137">
        <f t="shared" si="7"/>
        <v>8447.5</v>
      </c>
      <c r="F137">
        <f t="shared" si="8"/>
        <v>12.0915</v>
      </c>
      <c r="G137">
        <f t="shared" si="6"/>
        <v>2.0506096654857659E-2</v>
      </c>
    </row>
    <row r="138" spans="1:7" x14ac:dyDescent="0.25">
      <c r="A138" s="59">
        <v>8448.5</v>
      </c>
      <c r="B138" s="60">
        <v>12.071999999999999</v>
      </c>
      <c r="C138" s="60">
        <v>2.5455844124076102E-2</v>
      </c>
      <c r="E138">
        <f t="shared" si="7"/>
        <v>8448.5</v>
      </c>
      <c r="F138">
        <f t="shared" si="8"/>
        <v>12.071999999999999</v>
      </c>
      <c r="G138">
        <f t="shared" si="6"/>
        <v>2.5455844124076102E-2</v>
      </c>
    </row>
    <row r="139" spans="1:7" x14ac:dyDescent="0.25">
      <c r="A139" s="59">
        <v>8449.5</v>
      </c>
      <c r="B139" s="60">
        <v>12.118</v>
      </c>
      <c r="C139" s="60">
        <v>1.6970562748825812E-2</v>
      </c>
      <c r="E139">
        <f t="shared" si="7"/>
        <v>8449.5</v>
      </c>
      <c r="F139">
        <f t="shared" si="8"/>
        <v>12.118</v>
      </c>
      <c r="G139">
        <f t="shared" si="6"/>
        <v>1.6970562748825812E-2</v>
      </c>
    </row>
    <row r="140" spans="1:7" x14ac:dyDescent="0.25">
      <c r="A140" s="59">
        <v>8450.5</v>
      </c>
      <c r="B140" s="60">
        <v>12.126000000000001</v>
      </c>
      <c r="C140" s="60">
        <v>2.5455844122959592E-2</v>
      </c>
      <c r="E140">
        <f t="shared" si="7"/>
        <v>8450.5</v>
      </c>
      <c r="F140">
        <f t="shared" si="8"/>
        <v>12.126000000000001</v>
      </c>
      <c r="G140">
        <f t="shared" si="6"/>
        <v>2.5455844122959592E-2</v>
      </c>
    </row>
    <row r="141" spans="1:7" x14ac:dyDescent="0.25">
      <c r="A141" s="59">
        <v>8451.5</v>
      </c>
      <c r="B141" s="60">
        <v>12.115500000000001</v>
      </c>
      <c r="C141" s="60">
        <v>9.192388153096467E-3</v>
      </c>
      <c r="E141">
        <f t="shared" si="7"/>
        <v>8451.5</v>
      </c>
      <c r="F141">
        <f t="shared" si="8"/>
        <v>12.115500000000001</v>
      </c>
      <c r="G141">
        <f t="shared" si="6"/>
        <v>9.192388153096467E-3</v>
      </c>
    </row>
    <row r="142" spans="1:7" x14ac:dyDescent="0.25">
      <c r="A142" s="59">
        <v>8453</v>
      </c>
      <c r="B142" s="60">
        <v>12.0755</v>
      </c>
      <c r="C142" s="60">
        <v>7.0710678029391107E-4</v>
      </c>
      <c r="E142">
        <f t="shared" si="7"/>
        <v>8453</v>
      </c>
      <c r="F142">
        <f t="shared" si="8"/>
        <v>12.0755</v>
      </c>
      <c r="G142">
        <f t="shared" si="6"/>
        <v>7.0710678029391107E-4</v>
      </c>
    </row>
    <row r="143" spans="1:7" x14ac:dyDescent="0.25">
      <c r="A143" s="59">
        <v>8462</v>
      </c>
      <c r="B143" s="60">
        <v>12.084</v>
      </c>
      <c r="C143" s="60">
        <v>2.828427131224236E-3</v>
      </c>
      <c r="E143">
        <f t="shared" si="7"/>
        <v>8462</v>
      </c>
      <c r="F143">
        <f t="shared" si="8"/>
        <v>12.084</v>
      </c>
      <c r="G143">
        <f t="shared" si="6"/>
        <v>2.828427131224236E-3</v>
      </c>
    </row>
    <row r="144" spans="1:7" x14ac:dyDescent="0.25">
      <c r="A144" s="59">
        <v>8464.25</v>
      </c>
      <c r="B144" s="60">
        <v>12.0815</v>
      </c>
      <c r="C144" s="60">
        <v>1.6263455965983345E-2</v>
      </c>
      <c r="E144">
        <f t="shared" si="7"/>
        <v>8464.25</v>
      </c>
      <c r="F144">
        <f t="shared" si="8"/>
        <v>12.0815</v>
      </c>
      <c r="G144">
        <f t="shared" si="6"/>
        <v>1.6263455965983345E-2</v>
      </c>
    </row>
    <row r="145" spans="1:7" x14ac:dyDescent="0.25">
      <c r="A145" s="59">
        <v>8478.25</v>
      </c>
      <c r="B145" s="60">
        <v>12.170500000000001</v>
      </c>
      <c r="C145" s="60">
        <v>1.2020815281547109E-2</v>
      </c>
      <c r="E145">
        <f t="shared" si="7"/>
        <v>8478.25</v>
      </c>
      <c r="F145">
        <f t="shared" si="8"/>
        <v>12.170500000000001</v>
      </c>
      <c r="G145">
        <f t="shared" si="6"/>
        <v>1.2020815281547109E-2</v>
      </c>
    </row>
    <row r="146" spans="1:7" x14ac:dyDescent="0.25">
      <c r="A146" s="59">
        <v>8479</v>
      </c>
      <c r="B146" s="60">
        <v>12.1365</v>
      </c>
      <c r="C146" s="60">
        <v>2.1920310216339684E-2</v>
      </c>
      <c r="E146">
        <f t="shared" si="7"/>
        <v>8479</v>
      </c>
      <c r="F146">
        <f t="shared" si="8"/>
        <v>12.1365</v>
      </c>
      <c r="G146">
        <f t="shared" si="6"/>
        <v>2.1920310216339684E-2</v>
      </c>
    </row>
    <row r="147" spans="1:7" x14ac:dyDescent="0.25">
      <c r="A147" s="59">
        <v>8487</v>
      </c>
      <c r="B147" s="60">
        <v>12.188500000000001</v>
      </c>
      <c r="C147" s="60">
        <v>3.1819805153420366E-2</v>
      </c>
      <c r="E147">
        <f t="shared" si="7"/>
        <v>8487</v>
      </c>
      <c r="F147">
        <f t="shared" si="8"/>
        <v>12.188500000000001</v>
      </c>
      <c r="G147">
        <f t="shared" si="6"/>
        <v>3.1819805153420366E-2</v>
      </c>
    </row>
    <row r="148" spans="1:7" x14ac:dyDescent="0.25">
      <c r="A148" s="59">
        <v>8503</v>
      </c>
      <c r="B148" s="60">
        <v>12.275500000000001</v>
      </c>
      <c r="C148" s="60">
        <v>0.12798632739486362</v>
      </c>
      <c r="E148">
        <f t="shared" si="7"/>
        <v>8503</v>
      </c>
      <c r="F148">
        <f t="shared" si="8"/>
        <v>12.275500000000001</v>
      </c>
      <c r="G148">
        <f t="shared" si="6"/>
        <v>0.12798632739486362</v>
      </c>
    </row>
    <row r="149" spans="1:7" x14ac:dyDescent="0.25">
      <c r="A149" s="59">
        <v>8577.5</v>
      </c>
      <c r="B149" s="60">
        <v>12.617000000000001</v>
      </c>
      <c r="C149" s="60">
        <v>9.8994949355988588E-3</v>
      </c>
      <c r="E149">
        <f t="shared" si="7"/>
        <v>8577.5</v>
      </c>
      <c r="F149">
        <f t="shared" si="8"/>
        <v>12.617000000000001</v>
      </c>
      <c r="G149">
        <f t="shared" si="6"/>
        <v>9.8994949355988588E-3</v>
      </c>
    </row>
    <row r="150" spans="1:7" x14ac:dyDescent="0.25">
      <c r="A150" s="59">
        <v>8597.5</v>
      </c>
      <c r="B150" s="60">
        <v>12.741</v>
      </c>
      <c r="C150" s="60">
        <v>3.1112698372212942E-2</v>
      </c>
      <c r="E150">
        <f t="shared" si="7"/>
        <v>8597.5</v>
      </c>
      <c r="F150">
        <f t="shared" si="8"/>
        <v>12.741</v>
      </c>
      <c r="G150">
        <f t="shared" si="6"/>
        <v>3.1112698372212942E-2</v>
      </c>
    </row>
    <row r="151" spans="1:7" x14ac:dyDescent="0.25">
      <c r="A151" s="59">
        <v>8643.25</v>
      </c>
      <c r="B151" s="60">
        <v>12.854500000000002</v>
      </c>
      <c r="C151" s="60">
        <v>4.9497474620573767E-3</v>
      </c>
      <c r="E151">
        <f t="shared" si="7"/>
        <v>8643.25</v>
      </c>
      <c r="F151">
        <f t="shared" si="8"/>
        <v>12.854500000000002</v>
      </c>
      <c r="G151">
        <f t="shared" si="6"/>
        <v>4.9497474620573767E-3</v>
      </c>
    </row>
    <row r="152" spans="1:7" x14ac:dyDescent="0.25">
      <c r="A152" s="59">
        <v>8649.75</v>
      </c>
      <c r="B152" s="60">
        <v>12.964</v>
      </c>
      <c r="C152" s="60" t="e">
        <v>#DIV/0!</v>
      </c>
      <c r="E152">
        <f t="shared" si="7"/>
        <v>8649.75</v>
      </c>
      <c r="F152">
        <f t="shared" si="8"/>
        <v>12.964</v>
      </c>
    </row>
    <row r="153" spans="1:7" x14ac:dyDescent="0.25">
      <c r="A153" s="59">
        <v>8654.5</v>
      </c>
      <c r="B153" s="60">
        <v>12.923999999999999</v>
      </c>
      <c r="C153" s="60" t="e">
        <v>#DIV/0!</v>
      </c>
      <c r="E153">
        <f t="shared" si="7"/>
        <v>8654.5</v>
      </c>
      <c r="F153">
        <f t="shared" si="8"/>
        <v>12.923999999999999</v>
      </c>
    </row>
    <row r="154" spans="1:7" x14ac:dyDescent="0.25">
      <c r="A154" s="59">
        <v>8663.25</v>
      </c>
      <c r="B154" s="60">
        <v>12.8225</v>
      </c>
      <c r="C154" s="60">
        <v>3.5355339095084286E-3</v>
      </c>
      <c r="E154">
        <f t="shared" si="7"/>
        <v>8663.25</v>
      </c>
      <c r="F154">
        <f t="shared" si="8"/>
        <v>12.8225</v>
      </c>
      <c r="G154">
        <f t="shared" si="6"/>
        <v>3.5355339095084286E-3</v>
      </c>
    </row>
    <row r="155" spans="1:7" x14ac:dyDescent="0.25">
      <c r="A155" s="59">
        <v>8664.25</v>
      </c>
      <c r="B155" s="60">
        <v>12.79</v>
      </c>
      <c r="C155" s="60" t="e">
        <v>#DIV/0!</v>
      </c>
      <c r="E155">
        <f t="shared" si="7"/>
        <v>8664.25</v>
      </c>
      <c r="F155">
        <f t="shared" si="8"/>
        <v>12.79</v>
      </c>
    </row>
    <row r="156" spans="1:7" x14ac:dyDescent="0.25">
      <c r="A156" s="59">
        <v>8665.75</v>
      </c>
      <c r="B156" s="60">
        <v>12.88</v>
      </c>
      <c r="C156" s="60" t="e">
        <v>#DIV/0!</v>
      </c>
      <c r="E156">
        <f t="shared" si="7"/>
        <v>8665.75</v>
      </c>
      <c r="F156">
        <f t="shared" si="8"/>
        <v>12.88</v>
      </c>
    </row>
    <row r="157" spans="1:7" x14ac:dyDescent="0.25">
      <c r="A157" s="59">
        <v>8672.25</v>
      </c>
      <c r="B157" s="60">
        <v>12.7735</v>
      </c>
      <c r="C157" s="60">
        <v>2.474873734244238E-2</v>
      </c>
      <c r="E157">
        <f t="shared" si="7"/>
        <v>8672.25</v>
      </c>
      <c r="F157">
        <f t="shared" si="8"/>
        <v>12.7735</v>
      </c>
      <c r="G157">
        <f t="shared" si="6"/>
        <v>2.474873734244238E-2</v>
      </c>
    </row>
    <row r="158" spans="1:7" x14ac:dyDescent="0.25">
      <c r="A158" s="59">
        <v>8677.5</v>
      </c>
      <c r="B158" s="60">
        <v>12.839</v>
      </c>
      <c r="C158" s="60" t="e">
        <v>#DIV/0!</v>
      </c>
      <c r="E158">
        <f t="shared" si="7"/>
        <v>8677.5</v>
      </c>
      <c r="F158">
        <f t="shared" si="8"/>
        <v>12.839</v>
      </c>
    </row>
    <row r="159" spans="1:7" x14ac:dyDescent="0.25">
      <c r="A159" s="59">
        <v>8681.25</v>
      </c>
      <c r="B159" s="60">
        <v>12.803000000000001</v>
      </c>
      <c r="C159" s="60">
        <v>2.5455844121843083E-2</v>
      </c>
      <c r="E159">
        <f t="shared" si="7"/>
        <v>8681.25</v>
      </c>
      <c r="F159">
        <f t="shared" si="8"/>
        <v>12.803000000000001</v>
      </c>
      <c r="G159">
        <f t="shared" si="6"/>
        <v>2.5455844121843083E-2</v>
      </c>
    </row>
    <row r="160" spans="1:7" x14ac:dyDescent="0.25">
      <c r="A160" s="59">
        <v>8685.25</v>
      </c>
      <c r="B160" s="60">
        <v>12.76</v>
      </c>
      <c r="C160" s="60">
        <v>5.6568542473755838E-3</v>
      </c>
      <c r="E160">
        <f t="shared" si="7"/>
        <v>8685.25</v>
      </c>
      <c r="F160">
        <f t="shared" si="8"/>
        <v>12.76</v>
      </c>
      <c r="G160">
        <f t="shared" si="6"/>
        <v>5.6568542473755838E-3</v>
      </c>
    </row>
    <row r="161" spans="1:7" x14ac:dyDescent="0.25">
      <c r="A161" s="59">
        <v>8685.5</v>
      </c>
      <c r="B161" s="60">
        <v>12.811999999999999</v>
      </c>
      <c r="C161" s="60" t="e">
        <v>#DIV/0!</v>
      </c>
      <c r="E161">
        <f t="shared" si="7"/>
        <v>8685.5</v>
      </c>
      <c r="F161">
        <f t="shared" si="8"/>
        <v>12.811999999999999</v>
      </c>
    </row>
    <row r="162" spans="1:7" x14ac:dyDescent="0.25">
      <c r="A162" s="59">
        <v>8687.25</v>
      </c>
      <c r="B162" s="60">
        <v>12.752500000000001</v>
      </c>
      <c r="C162" s="60">
        <v>1.4849242403398289E-2</v>
      </c>
      <c r="E162">
        <f t="shared" si="7"/>
        <v>8687.25</v>
      </c>
      <c r="F162">
        <f t="shared" si="8"/>
        <v>12.752500000000001</v>
      </c>
      <c r="G162">
        <f t="shared" si="6"/>
        <v>1.4849242403398289E-2</v>
      </c>
    </row>
    <row r="163" spans="1:7" x14ac:dyDescent="0.25">
      <c r="A163" s="59">
        <v>8688.25</v>
      </c>
      <c r="B163" s="60">
        <v>12.7575</v>
      </c>
      <c r="C163" s="60">
        <v>1.4849242405312307E-2</v>
      </c>
      <c r="E163">
        <f t="shared" si="7"/>
        <v>8688.25</v>
      </c>
      <c r="F163">
        <f t="shared" si="8"/>
        <v>12.7575</v>
      </c>
      <c r="G163">
        <f t="shared" si="6"/>
        <v>1.4849242405312307E-2</v>
      </c>
    </row>
    <row r="164" spans="1:7" x14ac:dyDescent="0.25">
      <c r="A164" s="59">
        <v>8690.5</v>
      </c>
      <c r="B164" s="60">
        <v>12.7</v>
      </c>
      <c r="C164" s="60" t="e">
        <v>#DIV/0!</v>
      </c>
      <c r="E164">
        <f t="shared" si="7"/>
        <v>8690.5</v>
      </c>
      <c r="F164">
        <f t="shared" si="8"/>
        <v>12.7</v>
      </c>
    </row>
    <row r="165" spans="1:7" x14ac:dyDescent="0.25">
      <c r="A165" s="59">
        <v>8693.25</v>
      </c>
      <c r="B165" s="60">
        <v>12.701000000000001</v>
      </c>
      <c r="C165" s="60">
        <v>2.1213203435613576E-2</v>
      </c>
      <c r="E165">
        <f t="shared" si="7"/>
        <v>8693.25</v>
      </c>
      <c r="F165">
        <f t="shared" si="8"/>
        <v>12.701000000000001</v>
      </c>
      <c r="G165">
        <f t="shared" si="6"/>
        <v>2.1213203435613576E-2</v>
      </c>
    </row>
    <row r="166" spans="1:7" x14ac:dyDescent="0.25">
      <c r="A166" s="59">
        <v>8694.25</v>
      </c>
      <c r="B166" s="60">
        <v>12.704499999999999</v>
      </c>
      <c r="C166" s="60">
        <v>1.3435028844623746E-2</v>
      </c>
      <c r="E166">
        <f t="shared" si="7"/>
        <v>8694.25</v>
      </c>
      <c r="F166">
        <f t="shared" si="8"/>
        <v>12.704499999999999</v>
      </c>
      <c r="G166">
        <f t="shared" si="6"/>
        <v>1.3435028844623746E-2</v>
      </c>
    </row>
    <row r="167" spans="1:7" x14ac:dyDescent="0.25">
      <c r="A167" s="59">
        <v>8697.25</v>
      </c>
      <c r="B167" s="60">
        <v>12.693999999999999</v>
      </c>
      <c r="C167" s="60">
        <v>1.2727922063154562E-2</v>
      </c>
      <c r="E167">
        <f t="shared" si="7"/>
        <v>8697.25</v>
      </c>
      <c r="F167">
        <f t="shared" si="8"/>
        <v>12.693999999999999</v>
      </c>
      <c r="G167">
        <f t="shared" si="6"/>
        <v>1.2727922063154562E-2</v>
      </c>
    </row>
    <row r="168" spans="1:7" x14ac:dyDescent="0.25">
      <c r="A168" s="59">
        <v>8698.25</v>
      </c>
      <c r="B168" s="60">
        <v>12.6655</v>
      </c>
      <c r="C168" s="60">
        <v>1.2020815281547109E-2</v>
      </c>
      <c r="E168">
        <f t="shared" si="7"/>
        <v>8698.25</v>
      </c>
      <c r="F168">
        <f t="shared" si="8"/>
        <v>12.6655</v>
      </c>
      <c r="G168">
        <f t="shared" si="6"/>
        <v>1.2020815281547109E-2</v>
      </c>
    </row>
    <row r="169" spans="1:7" x14ac:dyDescent="0.25">
      <c r="A169" s="59">
        <v>8699.25</v>
      </c>
      <c r="B169" s="60">
        <v>12.649000000000001</v>
      </c>
      <c r="C169" s="60">
        <v>7.0710678109779839E-3</v>
      </c>
      <c r="E169">
        <f t="shared" si="7"/>
        <v>8699.25</v>
      </c>
      <c r="F169">
        <f t="shared" si="8"/>
        <v>12.649000000000001</v>
      </c>
      <c r="G169">
        <f t="shared" si="6"/>
        <v>7.0710678109779839E-3</v>
      </c>
    </row>
    <row r="170" spans="1:7" x14ac:dyDescent="0.25">
      <c r="A170" s="59">
        <v>8703.25</v>
      </c>
      <c r="B170" s="60">
        <v>12.615500000000001</v>
      </c>
      <c r="C170" s="60">
        <v>1.4849242405312307E-2</v>
      </c>
      <c r="E170">
        <f t="shared" si="7"/>
        <v>8703.25</v>
      </c>
      <c r="F170">
        <f t="shared" si="8"/>
        <v>12.615500000000001</v>
      </c>
      <c r="G170">
        <f t="shared" si="6"/>
        <v>1.4849242405312307E-2</v>
      </c>
    </row>
    <row r="171" spans="1:7" x14ac:dyDescent="0.25">
      <c r="A171" s="59">
        <v>8706.25</v>
      </c>
      <c r="B171" s="60">
        <v>12.570499999999999</v>
      </c>
      <c r="C171" s="60">
        <v>3.5355339095084286E-3</v>
      </c>
      <c r="E171">
        <f t="shared" si="7"/>
        <v>8706.25</v>
      </c>
      <c r="F171">
        <f t="shared" si="8"/>
        <v>12.570499999999999</v>
      </c>
      <c r="G171">
        <f t="shared" si="6"/>
        <v>3.5355339095084286E-3</v>
      </c>
    </row>
    <row r="172" spans="1:7" x14ac:dyDescent="0.25">
      <c r="A172" s="59">
        <v>8707.5</v>
      </c>
      <c r="B172" s="60">
        <v>12.625</v>
      </c>
      <c r="C172" s="60" t="e">
        <v>#DIV/0!</v>
      </c>
      <c r="E172">
        <f t="shared" si="7"/>
        <v>8707.5</v>
      </c>
      <c r="F172">
        <f t="shared" si="8"/>
        <v>12.625</v>
      </c>
    </row>
    <row r="173" spans="1:7" x14ac:dyDescent="0.25">
      <c r="A173" s="59">
        <v>8708.25</v>
      </c>
      <c r="B173" s="60">
        <v>12.5535</v>
      </c>
      <c r="C173" s="60">
        <v>3.6062445840700702E-2</v>
      </c>
      <c r="E173">
        <f t="shared" si="7"/>
        <v>8708.25</v>
      </c>
      <c r="F173">
        <f t="shared" si="8"/>
        <v>12.5535</v>
      </c>
      <c r="G173">
        <f t="shared" si="6"/>
        <v>3.6062445840700702E-2</v>
      </c>
    </row>
    <row r="174" spans="1:7" x14ac:dyDescent="0.25">
      <c r="A174" s="59">
        <v>8714.25</v>
      </c>
      <c r="B174" s="60">
        <v>12.568999999999999</v>
      </c>
      <c r="C174" s="60">
        <v>1.8384776313922619E-2</v>
      </c>
      <c r="E174">
        <f t="shared" si="7"/>
        <v>8714.25</v>
      </c>
      <c r="F174">
        <f t="shared" si="8"/>
        <v>12.568999999999999</v>
      </c>
      <c r="G174">
        <f t="shared" si="6"/>
        <v>1.8384776313922619E-2</v>
      </c>
    </row>
    <row r="175" spans="1:7" x14ac:dyDescent="0.25">
      <c r="A175" s="59">
        <v>8715.25</v>
      </c>
      <c r="B175" s="60">
        <v>12.561500000000001</v>
      </c>
      <c r="C175" s="60">
        <v>2.1213203408817329E-3</v>
      </c>
      <c r="E175">
        <f t="shared" si="7"/>
        <v>8715.25</v>
      </c>
      <c r="F175">
        <f t="shared" si="8"/>
        <v>12.561500000000001</v>
      </c>
      <c r="G175">
        <f t="shared" si="6"/>
        <v>2.1213203408817329E-3</v>
      </c>
    </row>
    <row r="176" spans="1:7" x14ac:dyDescent="0.25">
      <c r="A176" s="59">
        <v>8716.25</v>
      </c>
      <c r="B176" s="60">
        <v>12.54</v>
      </c>
      <c r="C176" s="60" t="e">
        <v>#DIV/0!</v>
      </c>
      <c r="E176">
        <f t="shared" si="7"/>
        <v>8716.25</v>
      </c>
      <c r="F176">
        <f t="shared" si="8"/>
        <v>12.54</v>
      </c>
    </row>
    <row r="177" spans="1:7" x14ac:dyDescent="0.25">
      <c r="A177" s="59">
        <v>8717.25</v>
      </c>
      <c r="B177" s="60">
        <v>12.5625</v>
      </c>
      <c r="C177" s="60">
        <v>2.1213203408817329E-3</v>
      </c>
      <c r="E177">
        <f t="shared" si="7"/>
        <v>8717.25</v>
      </c>
      <c r="F177">
        <f t="shared" si="8"/>
        <v>12.5625</v>
      </c>
      <c r="G177">
        <f t="shared" si="6"/>
        <v>2.1213203408817329E-3</v>
      </c>
    </row>
    <row r="178" spans="1:7" x14ac:dyDescent="0.25">
      <c r="A178" s="59">
        <v>8720.25</v>
      </c>
      <c r="B178" s="60">
        <v>12.5465</v>
      </c>
      <c r="C178" s="60">
        <v>7.7781745941951216E-3</v>
      </c>
      <c r="E178">
        <f t="shared" si="7"/>
        <v>8720.25</v>
      </c>
      <c r="F178">
        <f t="shared" si="8"/>
        <v>12.5465</v>
      </c>
      <c r="G178">
        <f t="shared" si="6"/>
        <v>7.7781745941951216E-3</v>
      </c>
    </row>
    <row r="179" spans="1:7" x14ac:dyDescent="0.25">
      <c r="A179" s="59">
        <v>8721.5</v>
      </c>
      <c r="B179" s="60">
        <v>12.622999999999999</v>
      </c>
      <c r="C179" s="60" t="e">
        <v>#DIV/0!</v>
      </c>
      <c r="E179">
        <f t="shared" si="7"/>
        <v>8721.5</v>
      </c>
      <c r="F179">
        <f t="shared" si="8"/>
        <v>12.622999999999999</v>
      </c>
    </row>
    <row r="180" spans="1:7" x14ac:dyDescent="0.25">
      <c r="A180" s="59">
        <v>8722.25</v>
      </c>
      <c r="B180" s="60">
        <v>12.576499999999999</v>
      </c>
      <c r="C180" s="60">
        <v>1.3435028846739239E-2</v>
      </c>
      <c r="E180">
        <f t="shared" si="7"/>
        <v>8722.25</v>
      </c>
      <c r="F180">
        <f t="shared" si="8"/>
        <v>12.576499999999999</v>
      </c>
      <c r="G180">
        <f t="shared" si="6"/>
        <v>1.3435028846739239E-2</v>
      </c>
    </row>
    <row r="181" spans="1:7" x14ac:dyDescent="0.25">
      <c r="A181" s="59">
        <v>8726.25</v>
      </c>
      <c r="B181" s="60">
        <v>12.542999999999999</v>
      </c>
      <c r="C181" s="60">
        <v>1.697056275050058E-2</v>
      </c>
      <c r="E181">
        <f t="shared" si="7"/>
        <v>8726.25</v>
      </c>
      <c r="F181">
        <f t="shared" si="8"/>
        <v>12.542999999999999</v>
      </c>
      <c r="G181">
        <f t="shared" si="6"/>
        <v>1.697056275050058E-2</v>
      </c>
    </row>
    <row r="182" spans="1:7" x14ac:dyDescent="0.25">
      <c r="A182" s="59">
        <v>8727.75</v>
      </c>
      <c r="B182" s="60">
        <v>12.584</v>
      </c>
      <c r="C182" s="60" t="e">
        <v>#DIV/0!</v>
      </c>
      <c r="E182">
        <f t="shared" si="7"/>
        <v>8727.75</v>
      </c>
      <c r="F182">
        <f t="shared" si="8"/>
        <v>12.584</v>
      </c>
    </row>
    <row r="183" spans="1:7" x14ac:dyDescent="0.25">
      <c r="A183" s="59">
        <v>8728.25</v>
      </c>
      <c r="B183" s="60">
        <v>12.5305</v>
      </c>
      <c r="C183" s="60">
        <v>7.0710678029391107E-4</v>
      </c>
      <c r="E183">
        <f t="shared" si="7"/>
        <v>8728.25</v>
      </c>
      <c r="F183">
        <f t="shared" si="8"/>
        <v>12.5305</v>
      </c>
      <c r="G183">
        <f t="shared" si="6"/>
        <v>7.0710678029391107E-4</v>
      </c>
    </row>
    <row r="184" spans="1:7" x14ac:dyDescent="0.25">
      <c r="A184" s="59">
        <v>8731.25</v>
      </c>
      <c r="B184" s="60">
        <v>12.512</v>
      </c>
      <c r="C184" s="60">
        <v>7.0710678069585472E-3</v>
      </c>
      <c r="E184">
        <f t="shared" si="7"/>
        <v>8731.25</v>
      </c>
      <c r="F184">
        <f t="shared" si="8"/>
        <v>12.512</v>
      </c>
      <c r="G184">
        <f t="shared" si="6"/>
        <v>7.0710678069585472E-3</v>
      </c>
    </row>
    <row r="185" spans="1:7" x14ac:dyDescent="0.25">
      <c r="A185" s="59">
        <v>8739.5</v>
      </c>
      <c r="B185" s="60">
        <v>12.456</v>
      </c>
      <c r="C185" s="60">
        <v>0</v>
      </c>
      <c r="E185">
        <f t="shared" si="7"/>
        <v>8739.5</v>
      </c>
      <c r="F185">
        <f t="shared" si="8"/>
        <v>12.456</v>
      </c>
    </row>
    <row r="186" spans="1:7" x14ac:dyDescent="0.25">
      <c r="A186" s="59">
        <v>8739.75</v>
      </c>
      <c r="B186" s="60">
        <v>12.45</v>
      </c>
      <c r="C186" s="60" t="e">
        <v>#DIV/0!</v>
      </c>
      <c r="E186">
        <f t="shared" si="7"/>
        <v>8739.75</v>
      </c>
      <c r="F186">
        <f t="shared" si="8"/>
        <v>12.45</v>
      </c>
    </row>
    <row r="187" spans="1:7" x14ac:dyDescent="0.25">
      <c r="A187" s="59">
        <v>8740.25</v>
      </c>
      <c r="B187" s="60">
        <v>12.4415</v>
      </c>
      <c r="C187" s="60">
        <v>1.2020815279182735E-2</v>
      </c>
      <c r="E187">
        <f t="shared" si="7"/>
        <v>8740.25</v>
      </c>
      <c r="F187">
        <f t="shared" si="8"/>
        <v>12.4415</v>
      </c>
      <c r="G187">
        <f t="shared" si="6"/>
        <v>1.2020815279182735E-2</v>
      </c>
    </row>
    <row r="188" spans="1:7" x14ac:dyDescent="0.25">
      <c r="A188" s="59">
        <v>8744.25</v>
      </c>
      <c r="B188" s="60">
        <v>12.4275</v>
      </c>
      <c r="C188" s="60">
        <v>6.3639610315772812E-3</v>
      </c>
      <c r="E188">
        <f t="shared" si="7"/>
        <v>8744.25</v>
      </c>
      <c r="F188">
        <f t="shared" si="8"/>
        <v>12.4275</v>
      </c>
      <c r="G188">
        <f t="shared" si="6"/>
        <v>6.3639610315772812E-3</v>
      </c>
    </row>
    <row r="189" spans="1:7" x14ac:dyDescent="0.25">
      <c r="A189" s="59">
        <v>8745.25</v>
      </c>
      <c r="B189" s="60">
        <v>12.4245</v>
      </c>
      <c r="C189" s="60">
        <v>4.9497474735414821E-3</v>
      </c>
      <c r="E189">
        <f t="shared" si="7"/>
        <v>8745.25</v>
      </c>
      <c r="F189">
        <f t="shared" si="8"/>
        <v>12.4245</v>
      </c>
      <c r="G189">
        <f t="shared" si="6"/>
        <v>4.9497474735414821E-3</v>
      </c>
    </row>
    <row r="190" spans="1:7" x14ac:dyDescent="0.25">
      <c r="A190" s="59">
        <v>8747.25</v>
      </c>
      <c r="B190" s="60">
        <v>12.3855</v>
      </c>
      <c r="C190" s="60">
        <v>3.7476659403355497E-2</v>
      </c>
      <c r="E190">
        <f t="shared" si="7"/>
        <v>8747.25</v>
      </c>
      <c r="F190">
        <f t="shared" si="8"/>
        <v>12.3855</v>
      </c>
      <c r="G190">
        <f t="shared" si="6"/>
        <v>3.7476659403355497E-2</v>
      </c>
    </row>
    <row r="191" spans="1:7" x14ac:dyDescent="0.25">
      <c r="A191" s="59">
        <v>8747.5</v>
      </c>
      <c r="B191" s="60">
        <v>12.409000000000001</v>
      </c>
      <c r="C191" s="60" t="e">
        <v>#DIV/0!</v>
      </c>
      <c r="E191">
        <f t="shared" si="7"/>
        <v>8747.5</v>
      </c>
      <c r="F191">
        <f t="shared" si="8"/>
        <v>12.409000000000001</v>
      </c>
    </row>
    <row r="192" spans="1:7" x14ac:dyDescent="0.25">
      <c r="A192" s="59">
        <v>8748.25</v>
      </c>
      <c r="B192" s="60">
        <v>12.36</v>
      </c>
      <c r="C192" s="60" t="e">
        <v>#DIV/0!</v>
      </c>
      <c r="E192">
        <f t="shared" si="7"/>
        <v>8748.25</v>
      </c>
      <c r="F192">
        <f t="shared" si="8"/>
        <v>12.36</v>
      </c>
    </row>
    <row r="193" spans="1:7" x14ac:dyDescent="0.25">
      <c r="A193" s="59">
        <v>8753.5</v>
      </c>
      <c r="B193" s="60">
        <v>12.435</v>
      </c>
      <c r="C193" s="60" t="e">
        <v>#DIV/0!</v>
      </c>
      <c r="E193">
        <f t="shared" si="7"/>
        <v>8753.5</v>
      </c>
      <c r="F193">
        <f t="shared" si="8"/>
        <v>12.435</v>
      </c>
    </row>
    <row r="194" spans="1:7" x14ac:dyDescent="0.25">
      <c r="A194" s="59">
        <v>8759.25</v>
      </c>
      <c r="B194" s="60">
        <v>12.349499999999999</v>
      </c>
      <c r="C194" s="60">
        <v>1.0606601720486412E-2</v>
      </c>
      <c r="E194">
        <f t="shared" si="7"/>
        <v>8759.25</v>
      </c>
      <c r="F194">
        <f t="shared" si="8"/>
        <v>12.349499999999999</v>
      </c>
      <c r="G194">
        <f t="shared" si="6"/>
        <v>1.0606601720486412E-2</v>
      </c>
    </row>
    <row r="195" spans="1:7" x14ac:dyDescent="0.25">
      <c r="A195" s="59">
        <v>8761.25</v>
      </c>
      <c r="B195" s="60">
        <v>12.327500000000001</v>
      </c>
      <c r="C195" s="60">
        <v>1.4849242403398289E-2</v>
      </c>
      <c r="E195">
        <f t="shared" si="7"/>
        <v>8761.25</v>
      </c>
      <c r="F195">
        <f t="shared" si="8"/>
        <v>12.327500000000001</v>
      </c>
      <c r="G195">
        <f t="shared" si="6"/>
        <v>1.4849242403398289E-2</v>
      </c>
    </row>
    <row r="196" spans="1:7" x14ac:dyDescent="0.25">
      <c r="A196" s="59">
        <v>8762.5</v>
      </c>
      <c r="B196" s="60">
        <v>12.372</v>
      </c>
      <c r="C196" s="60" t="e">
        <v>#DIV/0!</v>
      </c>
      <c r="E196">
        <f t="shared" si="7"/>
        <v>8762.5</v>
      </c>
      <c r="F196">
        <f t="shared" si="8"/>
        <v>12.372</v>
      </c>
    </row>
    <row r="197" spans="1:7" x14ac:dyDescent="0.25">
      <c r="A197" s="59">
        <v>8765.25</v>
      </c>
      <c r="B197" s="60">
        <v>12.339500000000001</v>
      </c>
      <c r="C197" s="60">
        <v>9.192388153096467E-3</v>
      </c>
      <c r="E197">
        <f t="shared" ref="E197:E200" si="9">+A197</f>
        <v>8765.25</v>
      </c>
      <c r="F197">
        <f t="shared" ref="F197:F200" si="10">+B197</f>
        <v>12.339500000000001</v>
      </c>
      <c r="G197">
        <f t="shared" ref="G197" si="11">+C197</f>
        <v>9.192388153096467E-3</v>
      </c>
    </row>
    <row r="198" spans="1:7" x14ac:dyDescent="0.25">
      <c r="A198" s="59">
        <v>8768.5</v>
      </c>
      <c r="B198" s="60">
        <v>12.355</v>
      </c>
      <c r="C198" s="60" t="e">
        <v>#DIV/0!</v>
      </c>
      <c r="E198">
        <f t="shared" si="9"/>
        <v>8768.5</v>
      </c>
      <c r="F198">
        <f t="shared" si="10"/>
        <v>12.355</v>
      </c>
    </row>
    <row r="199" spans="1:7" x14ac:dyDescent="0.25">
      <c r="A199" s="59">
        <v>8773.5</v>
      </c>
      <c r="B199" s="60">
        <v>12.318</v>
      </c>
      <c r="C199" s="60" t="e">
        <v>#DIV/0!</v>
      </c>
      <c r="E199">
        <f t="shared" si="9"/>
        <v>8773.5</v>
      </c>
      <c r="F199">
        <f t="shared" si="10"/>
        <v>12.318</v>
      </c>
    </row>
    <row r="200" spans="1:7" x14ac:dyDescent="0.25">
      <c r="A200" s="59">
        <v>8780.5</v>
      </c>
      <c r="B200" s="60">
        <v>12.3</v>
      </c>
      <c r="C200" s="60" t="e">
        <v>#DIV/0!</v>
      </c>
      <c r="E200">
        <f t="shared" si="9"/>
        <v>8780.5</v>
      </c>
      <c r="F200">
        <f t="shared" si="10"/>
        <v>12.3</v>
      </c>
    </row>
    <row r="201" spans="1:7" x14ac:dyDescent="0.25">
      <c r="A201" s="59" t="s">
        <v>363</v>
      </c>
      <c r="B201" s="60"/>
      <c r="C201" s="60"/>
    </row>
    <row r="202" spans="1:7" x14ac:dyDescent="0.25">
      <c r="A202" s="59" t="s">
        <v>364</v>
      </c>
      <c r="B202" s="60">
        <v>11.298156156156159</v>
      </c>
      <c r="C202" s="60">
        <v>0.51748958886978935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0"/>
  <dimension ref="A1:Q1161"/>
  <sheetViews>
    <sheetView workbookViewId="0">
      <selection activeCell="K2" sqref="K2:L2"/>
    </sheetView>
  </sheetViews>
  <sheetFormatPr baseColWidth="10" defaultRowHeight="15" x14ac:dyDescent="0.25"/>
  <cols>
    <col min="2" max="2" width="17.28515625" customWidth="1"/>
  </cols>
  <sheetData>
    <row r="1" spans="1:17" x14ac:dyDescent="0.25">
      <c r="G1" t="s">
        <v>360</v>
      </c>
      <c r="H1" t="s">
        <v>361</v>
      </c>
      <c r="J1" t="s">
        <v>360</v>
      </c>
      <c r="K1" t="s">
        <v>367</v>
      </c>
      <c r="L1" t="s">
        <v>368</v>
      </c>
      <c r="M1" t="s">
        <v>369</v>
      </c>
    </row>
    <row r="2" spans="1:17" x14ac:dyDescent="0.25">
      <c r="A2" s="1">
        <v>2458341.1025999999</v>
      </c>
      <c r="B2" s="1" t="s">
        <v>76</v>
      </c>
      <c r="C2" s="1">
        <v>10.87</v>
      </c>
      <c r="D2" s="1" t="s">
        <v>292</v>
      </c>
      <c r="E2" t="s">
        <v>4</v>
      </c>
      <c r="F2">
        <f>+A2-2450000</f>
        <v>8341.1025999998674</v>
      </c>
      <c r="G2">
        <f>+(ROUND($F2,1)*10)/10</f>
        <v>8341.1</v>
      </c>
      <c r="H2">
        <f t="shared" ref="H2:H66" si="0">+C2</f>
        <v>10.87</v>
      </c>
      <c r="J2">
        <f>+F2</f>
        <v>8341.1025999998674</v>
      </c>
      <c r="K2">
        <f>+INT(J2*4)/4</f>
        <v>8341</v>
      </c>
      <c r="L2">
        <f>+IF(J2-K2&gt;0.25,K2+0.25,K2)</f>
        <v>8341</v>
      </c>
      <c r="M2">
        <f>+H2</f>
        <v>10.87</v>
      </c>
    </row>
    <row r="3" spans="1:17" x14ac:dyDescent="0.25">
      <c r="A3" s="1">
        <v>2458342.6465099999</v>
      </c>
      <c r="B3" s="1" t="s">
        <v>294</v>
      </c>
      <c r="C3" s="1">
        <v>10.952999999999999</v>
      </c>
      <c r="D3" s="1" t="s">
        <v>292</v>
      </c>
      <c r="E3" t="s">
        <v>295</v>
      </c>
      <c r="F3">
        <f t="shared" ref="F3:F66" si="1">+A3-2450000</f>
        <v>8342.646509999875</v>
      </c>
      <c r="G3">
        <f t="shared" ref="G3:G66" si="2">+(ROUND(F3,1)*10)/10</f>
        <v>8342.6</v>
      </c>
      <c r="H3">
        <f t="shared" si="0"/>
        <v>10.952999999999999</v>
      </c>
      <c r="J3">
        <f t="shared" ref="J3:J24" si="3">+F3</f>
        <v>8342.646509999875</v>
      </c>
      <c r="K3">
        <f t="shared" ref="K3:K66" si="4">+INT(J3*4)/4</f>
        <v>8342.5</v>
      </c>
      <c r="L3">
        <f t="shared" ref="L3:L66" si="5">+IF(J3-K3&gt;0.25,K3+0.25,K3)</f>
        <v>8342.5</v>
      </c>
      <c r="M3">
        <f t="shared" ref="M3:M66" si="6">+H3</f>
        <v>10.952999999999999</v>
      </c>
    </row>
    <row r="4" spans="1:17" x14ac:dyDescent="0.25">
      <c r="A4" s="1">
        <v>2458342.6472499999</v>
      </c>
      <c r="B4" s="1" t="s">
        <v>294</v>
      </c>
      <c r="C4" s="1">
        <v>10.944000000000001</v>
      </c>
      <c r="D4" s="1" t="s">
        <v>292</v>
      </c>
      <c r="E4" t="s">
        <v>295</v>
      </c>
      <c r="F4">
        <f t="shared" si="1"/>
        <v>8342.6472499999218</v>
      </c>
      <c r="G4">
        <f t="shared" si="2"/>
        <v>8342.6</v>
      </c>
      <c r="H4">
        <f t="shared" si="0"/>
        <v>10.944000000000001</v>
      </c>
      <c r="J4">
        <f t="shared" si="3"/>
        <v>8342.6472499999218</v>
      </c>
      <c r="K4">
        <f t="shared" si="4"/>
        <v>8342.5</v>
      </c>
      <c r="L4">
        <f t="shared" si="5"/>
        <v>8342.5</v>
      </c>
      <c r="M4">
        <f t="shared" si="6"/>
        <v>10.944000000000001</v>
      </c>
    </row>
    <row r="5" spans="1:17" x14ac:dyDescent="0.25">
      <c r="A5" s="1">
        <v>2458342.648</v>
      </c>
      <c r="B5" s="1" t="s">
        <v>294</v>
      </c>
      <c r="C5" s="1">
        <v>10.919</v>
      </c>
      <c r="D5" s="1" t="s">
        <v>292</v>
      </c>
      <c r="E5" t="s">
        <v>295</v>
      </c>
      <c r="F5">
        <f t="shared" si="1"/>
        <v>8342.6480000000447</v>
      </c>
      <c r="G5">
        <f t="shared" si="2"/>
        <v>8342.6</v>
      </c>
      <c r="H5">
        <f t="shared" si="0"/>
        <v>10.919</v>
      </c>
      <c r="J5">
        <f t="shared" si="3"/>
        <v>8342.6480000000447</v>
      </c>
      <c r="K5">
        <f t="shared" si="4"/>
        <v>8342.5</v>
      </c>
      <c r="L5">
        <f t="shared" si="5"/>
        <v>8342.5</v>
      </c>
      <c r="M5">
        <f t="shared" si="6"/>
        <v>10.919</v>
      </c>
    </row>
    <row r="6" spans="1:17" x14ac:dyDescent="0.25">
      <c r="A6" s="1">
        <v>2458342.64873</v>
      </c>
      <c r="B6" s="1" t="s">
        <v>294</v>
      </c>
      <c r="C6" s="1">
        <v>10.952999999999999</v>
      </c>
      <c r="D6" s="1" t="s">
        <v>292</v>
      </c>
      <c r="E6" t="s">
        <v>295</v>
      </c>
      <c r="F6">
        <f t="shared" si="1"/>
        <v>8342.6487300000153</v>
      </c>
      <c r="G6">
        <f t="shared" si="2"/>
        <v>8342.6</v>
      </c>
      <c r="H6">
        <f t="shared" si="0"/>
        <v>10.952999999999999</v>
      </c>
      <c r="J6">
        <f t="shared" si="3"/>
        <v>8342.6487300000153</v>
      </c>
      <c r="K6">
        <f t="shared" si="4"/>
        <v>8342.5</v>
      </c>
      <c r="L6">
        <f t="shared" si="5"/>
        <v>8342.5</v>
      </c>
      <c r="M6">
        <f t="shared" si="6"/>
        <v>10.952999999999999</v>
      </c>
    </row>
    <row r="7" spans="1:17" x14ac:dyDescent="0.25">
      <c r="A7" s="1">
        <v>2458342.6494700001</v>
      </c>
      <c r="B7" s="1" t="s">
        <v>294</v>
      </c>
      <c r="C7" s="1">
        <v>10.978999999999999</v>
      </c>
      <c r="D7" s="1" t="s">
        <v>292</v>
      </c>
      <c r="E7" t="s">
        <v>295</v>
      </c>
      <c r="F7">
        <f t="shared" si="1"/>
        <v>8342.6494700000621</v>
      </c>
      <c r="G7">
        <f t="shared" si="2"/>
        <v>8342.6</v>
      </c>
      <c r="H7">
        <f t="shared" si="0"/>
        <v>10.978999999999999</v>
      </c>
      <c r="J7">
        <f t="shared" si="3"/>
        <v>8342.6494700000621</v>
      </c>
      <c r="K7">
        <f t="shared" si="4"/>
        <v>8342.5</v>
      </c>
      <c r="L7">
        <f t="shared" si="5"/>
        <v>8342.5</v>
      </c>
      <c r="M7">
        <f t="shared" si="6"/>
        <v>10.978999999999999</v>
      </c>
    </row>
    <row r="8" spans="1:17" x14ac:dyDescent="0.25">
      <c r="A8" s="1">
        <v>2458342.6502200002</v>
      </c>
      <c r="B8" s="1" t="s">
        <v>294</v>
      </c>
      <c r="C8" s="1">
        <v>10.955</v>
      </c>
      <c r="D8" s="1" t="s">
        <v>292</v>
      </c>
      <c r="E8" t="s">
        <v>295</v>
      </c>
      <c r="F8">
        <f t="shared" si="1"/>
        <v>8342.6502200001851</v>
      </c>
      <c r="G8">
        <f t="shared" si="2"/>
        <v>8342.7000000000007</v>
      </c>
      <c r="H8">
        <f t="shared" si="0"/>
        <v>10.955</v>
      </c>
      <c r="J8">
        <f t="shared" si="3"/>
        <v>8342.6502200001851</v>
      </c>
      <c r="K8">
        <f t="shared" si="4"/>
        <v>8342.5</v>
      </c>
      <c r="L8">
        <f t="shared" si="5"/>
        <v>8342.5</v>
      </c>
      <c r="M8">
        <f t="shared" si="6"/>
        <v>10.955</v>
      </c>
    </row>
    <row r="9" spans="1:17" x14ac:dyDescent="0.25">
      <c r="A9" s="1">
        <v>2458342.6509600002</v>
      </c>
      <c r="B9" s="1" t="s">
        <v>294</v>
      </c>
      <c r="C9" s="1">
        <v>10.944000000000001</v>
      </c>
      <c r="D9" s="1" t="s">
        <v>292</v>
      </c>
      <c r="E9" t="s">
        <v>295</v>
      </c>
      <c r="F9">
        <f t="shared" si="1"/>
        <v>8342.6509600002319</v>
      </c>
      <c r="G9">
        <f t="shared" si="2"/>
        <v>8342.7000000000007</v>
      </c>
      <c r="H9">
        <f t="shared" si="0"/>
        <v>10.944000000000001</v>
      </c>
      <c r="J9">
        <f t="shared" si="3"/>
        <v>8342.6509600002319</v>
      </c>
      <c r="K9">
        <f t="shared" si="4"/>
        <v>8342.5</v>
      </c>
      <c r="L9">
        <f t="shared" si="5"/>
        <v>8342.5</v>
      </c>
      <c r="M9">
        <f t="shared" si="6"/>
        <v>10.944000000000001</v>
      </c>
    </row>
    <row r="10" spans="1:17" x14ac:dyDescent="0.25">
      <c r="A10" s="1">
        <v>2458342.6516999998</v>
      </c>
      <c r="B10" s="1" t="s">
        <v>294</v>
      </c>
      <c r="C10" s="1">
        <v>10.955</v>
      </c>
      <c r="D10" s="1" t="s">
        <v>292</v>
      </c>
      <c r="E10" t="s">
        <v>295</v>
      </c>
      <c r="F10">
        <f t="shared" si="1"/>
        <v>8342.651699999813</v>
      </c>
      <c r="G10">
        <f t="shared" si="2"/>
        <v>8342.7000000000007</v>
      </c>
      <c r="H10">
        <f t="shared" si="0"/>
        <v>10.955</v>
      </c>
      <c r="J10">
        <f t="shared" si="3"/>
        <v>8342.651699999813</v>
      </c>
      <c r="K10">
        <f t="shared" si="4"/>
        <v>8342.5</v>
      </c>
      <c r="L10">
        <f t="shared" si="5"/>
        <v>8342.5</v>
      </c>
      <c r="M10">
        <f t="shared" si="6"/>
        <v>10.955</v>
      </c>
    </row>
    <row r="11" spans="1:17" x14ac:dyDescent="0.25">
      <c r="A11" s="1">
        <v>2458342.6524499999</v>
      </c>
      <c r="B11" s="1" t="s">
        <v>294</v>
      </c>
      <c r="C11" s="1">
        <v>10.945</v>
      </c>
      <c r="D11" s="1" t="s">
        <v>292</v>
      </c>
      <c r="E11" t="s">
        <v>295</v>
      </c>
      <c r="F11">
        <f t="shared" si="1"/>
        <v>8342.6524499999359</v>
      </c>
      <c r="G11">
        <f t="shared" si="2"/>
        <v>8342.7000000000007</v>
      </c>
      <c r="H11">
        <f t="shared" si="0"/>
        <v>10.945</v>
      </c>
      <c r="J11">
        <f t="shared" si="3"/>
        <v>8342.6524499999359</v>
      </c>
      <c r="K11">
        <f t="shared" si="4"/>
        <v>8342.5</v>
      </c>
      <c r="L11">
        <f t="shared" si="5"/>
        <v>8342.5</v>
      </c>
      <c r="M11">
        <f t="shared" si="6"/>
        <v>10.945</v>
      </c>
    </row>
    <row r="12" spans="1:17" x14ac:dyDescent="0.25">
      <c r="A12" s="1">
        <v>2458342.6531799999</v>
      </c>
      <c r="B12" s="1" t="s">
        <v>294</v>
      </c>
      <c r="C12" s="1">
        <v>10.997999999999999</v>
      </c>
      <c r="D12" s="1" t="s">
        <v>292</v>
      </c>
      <c r="E12" t="s">
        <v>295</v>
      </c>
      <c r="F12">
        <f t="shared" si="1"/>
        <v>8342.6531799999066</v>
      </c>
      <c r="G12">
        <f t="shared" si="2"/>
        <v>8342.7000000000007</v>
      </c>
      <c r="H12">
        <f t="shared" si="0"/>
        <v>10.997999999999999</v>
      </c>
      <c r="J12">
        <f t="shared" si="3"/>
        <v>8342.6531799999066</v>
      </c>
      <c r="K12">
        <f t="shared" si="4"/>
        <v>8342.5</v>
      </c>
      <c r="L12">
        <f t="shared" si="5"/>
        <v>8342.5</v>
      </c>
      <c r="M12">
        <f t="shared" si="6"/>
        <v>10.997999999999999</v>
      </c>
      <c r="Q12">
        <f>1/0.25</f>
        <v>4</v>
      </c>
    </row>
    <row r="13" spans="1:17" x14ac:dyDescent="0.25">
      <c r="A13" s="1">
        <v>2458342.65392</v>
      </c>
      <c r="B13" s="1" t="s">
        <v>294</v>
      </c>
      <c r="C13" s="1">
        <v>10.988</v>
      </c>
      <c r="D13" s="1" t="s">
        <v>292</v>
      </c>
      <c r="E13" t="s">
        <v>295</v>
      </c>
      <c r="F13">
        <f t="shared" si="1"/>
        <v>8342.6539199999534</v>
      </c>
      <c r="G13">
        <f t="shared" si="2"/>
        <v>8342.7000000000007</v>
      </c>
      <c r="H13">
        <f t="shared" si="0"/>
        <v>10.988</v>
      </c>
      <c r="J13">
        <f t="shared" si="3"/>
        <v>8342.6539199999534</v>
      </c>
      <c r="K13">
        <f t="shared" si="4"/>
        <v>8342.5</v>
      </c>
      <c r="L13">
        <f t="shared" si="5"/>
        <v>8342.5</v>
      </c>
      <c r="M13">
        <f t="shared" si="6"/>
        <v>10.988</v>
      </c>
    </row>
    <row r="14" spans="1:17" x14ac:dyDescent="0.25">
      <c r="A14" s="1">
        <v>2458342.6546700001</v>
      </c>
      <c r="B14" s="1" t="s">
        <v>294</v>
      </c>
      <c r="C14" s="1">
        <v>10.968999999999999</v>
      </c>
      <c r="D14" s="1" t="s">
        <v>292</v>
      </c>
      <c r="E14" t="s">
        <v>295</v>
      </c>
      <c r="F14">
        <f t="shared" si="1"/>
        <v>8342.6546700000763</v>
      </c>
      <c r="G14">
        <f t="shared" si="2"/>
        <v>8342.7000000000007</v>
      </c>
      <c r="H14">
        <f t="shared" si="0"/>
        <v>10.968999999999999</v>
      </c>
      <c r="J14">
        <f t="shared" si="3"/>
        <v>8342.6546700000763</v>
      </c>
      <c r="K14">
        <f t="shared" si="4"/>
        <v>8342.5</v>
      </c>
      <c r="L14">
        <f t="shared" si="5"/>
        <v>8342.5</v>
      </c>
      <c r="M14">
        <f t="shared" si="6"/>
        <v>10.968999999999999</v>
      </c>
    </row>
    <row r="15" spans="1:17" x14ac:dyDescent="0.25">
      <c r="A15" s="1">
        <v>2458342.6554100001</v>
      </c>
      <c r="B15" s="1" t="s">
        <v>294</v>
      </c>
      <c r="C15" s="1">
        <v>10.944000000000001</v>
      </c>
      <c r="D15" s="1" t="s">
        <v>292</v>
      </c>
      <c r="E15" t="s">
        <v>295</v>
      </c>
      <c r="F15">
        <f t="shared" si="1"/>
        <v>8342.6554100001231</v>
      </c>
      <c r="G15">
        <f t="shared" si="2"/>
        <v>8342.7000000000007</v>
      </c>
      <c r="H15">
        <f t="shared" si="0"/>
        <v>10.944000000000001</v>
      </c>
      <c r="J15">
        <f t="shared" si="3"/>
        <v>8342.6554100001231</v>
      </c>
      <c r="K15">
        <f t="shared" si="4"/>
        <v>8342.5</v>
      </c>
      <c r="L15">
        <f t="shared" si="5"/>
        <v>8342.5</v>
      </c>
      <c r="M15">
        <f t="shared" si="6"/>
        <v>10.944000000000001</v>
      </c>
    </row>
    <row r="16" spans="1:17" x14ac:dyDescent="0.25">
      <c r="A16" s="1">
        <v>2458342.6561500002</v>
      </c>
      <c r="B16" s="1" t="s">
        <v>294</v>
      </c>
      <c r="C16" s="1">
        <v>10.914999999999999</v>
      </c>
      <c r="D16" s="1" t="s">
        <v>292</v>
      </c>
      <c r="E16" t="s">
        <v>295</v>
      </c>
      <c r="F16">
        <f t="shared" si="1"/>
        <v>8342.6561500001699</v>
      </c>
      <c r="G16">
        <f t="shared" si="2"/>
        <v>8342.7000000000007</v>
      </c>
      <c r="H16">
        <f t="shared" si="0"/>
        <v>10.914999999999999</v>
      </c>
      <c r="J16">
        <f t="shared" si="3"/>
        <v>8342.6561500001699</v>
      </c>
      <c r="K16">
        <f t="shared" si="4"/>
        <v>8342.5</v>
      </c>
      <c r="L16">
        <f t="shared" si="5"/>
        <v>8342.5</v>
      </c>
      <c r="M16">
        <f t="shared" si="6"/>
        <v>10.914999999999999</v>
      </c>
    </row>
    <row r="17" spans="1:13" x14ac:dyDescent="0.25">
      <c r="A17" s="1">
        <v>2458342.6568999998</v>
      </c>
      <c r="B17" s="1" t="s">
        <v>294</v>
      </c>
      <c r="C17" s="1">
        <v>10.925000000000001</v>
      </c>
      <c r="D17" s="1" t="s">
        <v>292</v>
      </c>
      <c r="E17" t="s">
        <v>295</v>
      </c>
      <c r="F17">
        <f t="shared" si="1"/>
        <v>8342.6568999998271</v>
      </c>
      <c r="G17">
        <f t="shared" si="2"/>
        <v>8342.7000000000007</v>
      </c>
      <c r="H17">
        <f t="shared" si="0"/>
        <v>10.925000000000001</v>
      </c>
      <c r="J17">
        <f t="shared" si="3"/>
        <v>8342.6568999998271</v>
      </c>
      <c r="K17">
        <f t="shared" si="4"/>
        <v>8342.5</v>
      </c>
      <c r="L17">
        <f t="shared" si="5"/>
        <v>8342.5</v>
      </c>
      <c r="M17">
        <f t="shared" si="6"/>
        <v>10.925000000000001</v>
      </c>
    </row>
    <row r="18" spans="1:13" x14ac:dyDescent="0.25">
      <c r="A18" s="1">
        <v>2458342.65765</v>
      </c>
      <c r="B18" s="1" t="s">
        <v>294</v>
      </c>
      <c r="C18" s="1">
        <v>10.983000000000001</v>
      </c>
      <c r="D18" s="1" t="s">
        <v>292</v>
      </c>
      <c r="E18" t="s">
        <v>295</v>
      </c>
      <c r="F18">
        <f t="shared" si="1"/>
        <v>8342.6576499999501</v>
      </c>
      <c r="G18">
        <f t="shared" si="2"/>
        <v>8342.7000000000007</v>
      </c>
      <c r="H18">
        <f t="shared" si="0"/>
        <v>10.983000000000001</v>
      </c>
      <c r="J18">
        <f t="shared" si="3"/>
        <v>8342.6576499999501</v>
      </c>
      <c r="K18">
        <f t="shared" si="4"/>
        <v>8342.5</v>
      </c>
      <c r="L18">
        <f t="shared" si="5"/>
        <v>8342.5</v>
      </c>
      <c r="M18">
        <f t="shared" si="6"/>
        <v>10.983000000000001</v>
      </c>
    </row>
    <row r="19" spans="1:13" x14ac:dyDescent="0.25">
      <c r="A19" s="1">
        <v>2458342.65839</v>
      </c>
      <c r="B19" s="1" t="s">
        <v>294</v>
      </c>
      <c r="C19" s="1">
        <v>10.952</v>
      </c>
      <c r="D19" s="1" t="s">
        <v>292</v>
      </c>
      <c r="E19" t="s">
        <v>295</v>
      </c>
      <c r="F19">
        <f t="shared" si="1"/>
        <v>8342.6583899999969</v>
      </c>
      <c r="G19">
        <f t="shared" si="2"/>
        <v>8342.7000000000007</v>
      </c>
      <c r="H19">
        <f t="shared" si="0"/>
        <v>10.952</v>
      </c>
      <c r="J19">
        <f t="shared" si="3"/>
        <v>8342.6583899999969</v>
      </c>
      <c r="K19">
        <f t="shared" si="4"/>
        <v>8342.5</v>
      </c>
      <c r="L19">
        <f t="shared" si="5"/>
        <v>8342.5</v>
      </c>
      <c r="M19">
        <f t="shared" si="6"/>
        <v>10.952</v>
      </c>
    </row>
    <row r="20" spans="1:13" x14ac:dyDescent="0.25">
      <c r="A20" s="1">
        <v>2458342.65913</v>
      </c>
      <c r="B20" s="1" t="s">
        <v>294</v>
      </c>
      <c r="C20" s="1">
        <v>10.949</v>
      </c>
      <c r="D20" s="1" t="s">
        <v>292</v>
      </c>
      <c r="E20" t="s">
        <v>295</v>
      </c>
      <c r="F20">
        <f t="shared" si="1"/>
        <v>8342.6591300000437</v>
      </c>
      <c r="G20">
        <f t="shared" si="2"/>
        <v>8342.7000000000007</v>
      </c>
      <c r="H20">
        <f t="shared" si="0"/>
        <v>10.949</v>
      </c>
      <c r="J20">
        <f t="shared" si="3"/>
        <v>8342.6591300000437</v>
      </c>
      <c r="K20">
        <f t="shared" si="4"/>
        <v>8342.5</v>
      </c>
      <c r="L20">
        <f t="shared" si="5"/>
        <v>8342.5</v>
      </c>
      <c r="M20">
        <f t="shared" si="6"/>
        <v>10.949</v>
      </c>
    </row>
    <row r="21" spans="1:13" x14ac:dyDescent="0.25">
      <c r="A21" s="1">
        <v>2458342.6598700001</v>
      </c>
      <c r="B21" s="1" t="s">
        <v>294</v>
      </c>
      <c r="C21" s="1">
        <v>10.975</v>
      </c>
      <c r="D21" s="1" t="s">
        <v>292</v>
      </c>
      <c r="E21" t="s">
        <v>295</v>
      </c>
      <c r="F21">
        <f t="shared" si="1"/>
        <v>8342.6598700000905</v>
      </c>
      <c r="G21">
        <f t="shared" si="2"/>
        <v>8342.7000000000007</v>
      </c>
      <c r="H21">
        <f t="shared" si="0"/>
        <v>10.975</v>
      </c>
      <c r="J21">
        <f t="shared" si="3"/>
        <v>8342.6598700000905</v>
      </c>
      <c r="K21">
        <f t="shared" si="4"/>
        <v>8342.5</v>
      </c>
      <c r="L21">
        <f t="shared" si="5"/>
        <v>8342.5</v>
      </c>
      <c r="M21">
        <f t="shared" si="6"/>
        <v>10.975</v>
      </c>
    </row>
    <row r="22" spans="1:13" x14ac:dyDescent="0.25">
      <c r="A22" s="1">
        <v>2458342.6606000001</v>
      </c>
      <c r="B22" s="1" t="s">
        <v>294</v>
      </c>
      <c r="C22" s="1">
        <v>10.951000000000001</v>
      </c>
      <c r="D22" s="1" t="s">
        <v>292</v>
      </c>
      <c r="E22" t="s">
        <v>295</v>
      </c>
      <c r="F22">
        <f t="shared" si="1"/>
        <v>8342.6606000000611</v>
      </c>
      <c r="G22">
        <f t="shared" si="2"/>
        <v>8342.7000000000007</v>
      </c>
      <c r="H22">
        <f t="shared" si="0"/>
        <v>10.951000000000001</v>
      </c>
      <c r="J22">
        <f t="shared" si="3"/>
        <v>8342.6606000000611</v>
      </c>
      <c r="K22">
        <f t="shared" si="4"/>
        <v>8342.5</v>
      </c>
      <c r="L22">
        <f t="shared" si="5"/>
        <v>8342.5</v>
      </c>
      <c r="M22">
        <f t="shared" si="6"/>
        <v>10.951000000000001</v>
      </c>
    </row>
    <row r="23" spans="1:13" x14ac:dyDescent="0.25">
      <c r="A23" s="1">
        <v>2458342.6613500002</v>
      </c>
      <c r="B23" s="1" t="s">
        <v>294</v>
      </c>
      <c r="C23" s="1">
        <v>10.911</v>
      </c>
      <c r="D23" s="1" t="s">
        <v>292</v>
      </c>
      <c r="E23" t="s">
        <v>295</v>
      </c>
      <c r="F23">
        <f t="shared" si="1"/>
        <v>8342.661350000184</v>
      </c>
      <c r="G23">
        <f t="shared" si="2"/>
        <v>8342.7000000000007</v>
      </c>
      <c r="H23">
        <f t="shared" si="0"/>
        <v>10.911</v>
      </c>
      <c r="J23">
        <f t="shared" si="3"/>
        <v>8342.661350000184</v>
      </c>
      <c r="K23">
        <f t="shared" si="4"/>
        <v>8342.5</v>
      </c>
      <c r="L23">
        <f t="shared" si="5"/>
        <v>8342.5</v>
      </c>
      <c r="M23">
        <f t="shared" si="6"/>
        <v>10.911</v>
      </c>
    </row>
    <row r="24" spans="1:13" x14ac:dyDescent="0.25">
      <c r="A24" s="1">
        <v>2458342.6620900002</v>
      </c>
      <c r="B24" s="1" t="s">
        <v>294</v>
      </c>
      <c r="C24" s="1">
        <v>10.991</v>
      </c>
      <c r="D24" s="1" t="s">
        <v>292</v>
      </c>
      <c r="E24" t="s">
        <v>295</v>
      </c>
      <c r="F24">
        <f t="shared" si="1"/>
        <v>8342.6620900002308</v>
      </c>
      <c r="G24">
        <f t="shared" si="2"/>
        <v>8342.7000000000007</v>
      </c>
      <c r="H24">
        <f t="shared" si="0"/>
        <v>10.991</v>
      </c>
      <c r="J24">
        <f t="shared" si="3"/>
        <v>8342.6620900002308</v>
      </c>
      <c r="K24">
        <f t="shared" si="4"/>
        <v>8342.5</v>
      </c>
      <c r="L24">
        <f t="shared" si="5"/>
        <v>8342.5</v>
      </c>
      <c r="M24">
        <f t="shared" si="6"/>
        <v>10.991</v>
      </c>
    </row>
    <row r="25" spans="1:13" x14ac:dyDescent="0.25">
      <c r="A25" s="1">
        <v>2458342.6628299998</v>
      </c>
      <c r="B25" s="1" t="s">
        <v>294</v>
      </c>
      <c r="C25" s="1">
        <v>10.933</v>
      </c>
      <c r="D25" s="1" t="s">
        <v>292</v>
      </c>
      <c r="E25" t="s">
        <v>295</v>
      </c>
      <c r="F25">
        <f t="shared" si="1"/>
        <v>8342.6628299998119</v>
      </c>
      <c r="G25">
        <f t="shared" si="2"/>
        <v>8342.7000000000007</v>
      </c>
      <c r="H25">
        <f t="shared" si="0"/>
        <v>10.933</v>
      </c>
      <c r="J25">
        <f t="shared" ref="J25:J88" si="7">+F25</f>
        <v>8342.6628299998119</v>
      </c>
      <c r="K25">
        <f t="shared" si="4"/>
        <v>8342.5</v>
      </c>
      <c r="L25">
        <f t="shared" si="5"/>
        <v>8342.5</v>
      </c>
      <c r="M25">
        <f t="shared" si="6"/>
        <v>10.933</v>
      </c>
    </row>
    <row r="26" spans="1:13" x14ac:dyDescent="0.25">
      <c r="A26" s="1">
        <v>2458342.66359</v>
      </c>
      <c r="B26" s="1" t="s">
        <v>294</v>
      </c>
      <c r="C26" s="1">
        <v>11.015000000000001</v>
      </c>
      <c r="D26" s="1" t="s">
        <v>292</v>
      </c>
      <c r="E26" t="s">
        <v>295</v>
      </c>
      <c r="F26">
        <f t="shared" si="1"/>
        <v>8342.663590000011</v>
      </c>
      <c r="G26">
        <f t="shared" si="2"/>
        <v>8342.7000000000007</v>
      </c>
      <c r="H26">
        <f t="shared" si="0"/>
        <v>11.015000000000001</v>
      </c>
      <c r="J26">
        <f t="shared" si="7"/>
        <v>8342.663590000011</v>
      </c>
      <c r="K26">
        <f t="shared" si="4"/>
        <v>8342.5</v>
      </c>
      <c r="L26">
        <f t="shared" si="5"/>
        <v>8342.5</v>
      </c>
      <c r="M26">
        <f t="shared" si="6"/>
        <v>11.015000000000001</v>
      </c>
    </row>
    <row r="27" spans="1:13" x14ac:dyDescent="0.25">
      <c r="A27" s="1">
        <v>2458342.6643300001</v>
      </c>
      <c r="B27" s="1" t="s">
        <v>294</v>
      </c>
      <c r="C27" s="1">
        <v>10.981999999999999</v>
      </c>
      <c r="D27" s="1" t="s">
        <v>292</v>
      </c>
      <c r="E27" t="s">
        <v>295</v>
      </c>
      <c r="F27">
        <f t="shared" si="1"/>
        <v>8342.6643300000578</v>
      </c>
      <c r="G27">
        <f t="shared" si="2"/>
        <v>8342.7000000000007</v>
      </c>
      <c r="H27">
        <f t="shared" si="0"/>
        <v>10.981999999999999</v>
      </c>
      <c r="J27">
        <f t="shared" si="7"/>
        <v>8342.6643300000578</v>
      </c>
      <c r="K27">
        <f t="shared" si="4"/>
        <v>8342.5</v>
      </c>
      <c r="L27">
        <f t="shared" si="5"/>
        <v>8342.5</v>
      </c>
      <c r="M27">
        <f t="shared" si="6"/>
        <v>10.981999999999999</v>
      </c>
    </row>
    <row r="28" spans="1:13" x14ac:dyDescent="0.25">
      <c r="A28" s="1">
        <v>2458342.6650700001</v>
      </c>
      <c r="B28" s="1" t="s">
        <v>294</v>
      </c>
      <c r="C28" s="1">
        <v>10.95</v>
      </c>
      <c r="D28" s="1" t="s">
        <v>292</v>
      </c>
      <c r="E28" t="s">
        <v>295</v>
      </c>
      <c r="F28">
        <f t="shared" si="1"/>
        <v>8342.6650700001046</v>
      </c>
      <c r="G28">
        <f t="shared" si="2"/>
        <v>8342.7000000000007</v>
      </c>
      <c r="H28">
        <f t="shared" si="0"/>
        <v>10.95</v>
      </c>
      <c r="J28">
        <f t="shared" si="7"/>
        <v>8342.6650700001046</v>
      </c>
      <c r="K28">
        <f t="shared" si="4"/>
        <v>8342.5</v>
      </c>
      <c r="L28">
        <f t="shared" si="5"/>
        <v>8342.5</v>
      </c>
      <c r="M28">
        <f t="shared" si="6"/>
        <v>10.95</v>
      </c>
    </row>
    <row r="29" spans="1:13" x14ac:dyDescent="0.25">
      <c r="A29" s="1">
        <v>2458342.6658100002</v>
      </c>
      <c r="B29" s="1" t="s">
        <v>294</v>
      </c>
      <c r="C29" s="1">
        <v>10.968</v>
      </c>
      <c r="D29" s="1" t="s">
        <v>292</v>
      </c>
      <c r="E29" t="s">
        <v>295</v>
      </c>
      <c r="F29">
        <f t="shared" si="1"/>
        <v>8342.6658100001514</v>
      </c>
      <c r="G29">
        <f t="shared" si="2"/>
        <v>8342.7000000000007</v>
      </c>
      <c r="H29">
        <f t="shared" si="0"/>
        <v>10.968</v>
      </c>
      <c r="J29">
        <f t="shared" si="7"/>
        <v>8342.6658100001514</v>
      </c>
      <c r="K29">
        <f t="shared" si="4"/>
        <v>8342.5</v>
      </c>
      <c r="L29">
        <f t="shared" si="5"/>
        <v>8342.5</v>
      </c>
      <c r="M29">
        <f t="shared" si="6"/>
        <v>10.968</v>
      </c>
    </row>
    <row r="30" spans="1:13" x14ac:dyDescent="0.25">
      <c r="A30" s="1">
        <v>2458342.6665500002</v>
      </c>
      <c r="B30" s="1" t="s">
        <v>294</v>
      </c>
      <c r="C30" s="1">
        <v>11.045</v>
      </c>
      <c r="D30" s="1" t="s">
        <v>292</v>
      </c>
      <c r="E30" t="s">
        <v>295</v>
      </c>
      <c r="F30">
        <f t="shared" si="1"/>
        <v>8342.6665500001982</v>
      </c>
      <c r="G30">
        <f t="shared" si="2"/>
        <v>8342.7000000000007</v>
      </c>
      <c r="H30">
        <f t="shared" si="0"/>
        <v>11.045</v>
      </c>
      <c r="J30">
        <f t="shared" si="7"/>
        <v>8342.6665500001982</v>
      </c>
      <c r="K30">
        <f t="shared" si="4"/>
        <v>8342.5</v>
      </c>
      <c r="L30">
        <f t="shared" si="5"/>
        <v>8342.5</v>
      </c>
      <c r="M30">
        <f t="shared" si="6"/>
        <v>11.045</v>
      </c>
    </row>
    <row r="31" spans="1:13" x14ac:dyDescent="0.25">
      <c r="A31" s="1">
        <v>2458342.6672800002</v>
      </c>
      <c r="B31" s="1" t="s">
        <v>294</v>
      </c>
      <c r="C31" s="1">
        <v>11.02</v>
      </c>
      <c r="D31" s="1" t="s">
        <v>292</v>
      </c>
      <c r="E31" t="s">
        <v>295</v>
      </c>
      <c r="F31">
        <f t="shared" si="1"/>
        <v>8342.6672800001688</v>
      </c>
      <c r="G31">
        <f t="shared" si="2"/>
        <v>8342.7000000000007</v>
      </c>
      <c r="H31">
        <f t="shared" si="0"/>
        <v>11.02</v>
      </c>
      <c r="J31">
        <f t="shared" si="7"/>
        <v>8342.6672800001688</v>
      </c>
      <c r="K31">
        <f t="shared" si="4"/>
        <v>8342.5</v>
      </c>
      <c r="L31">
        <f t="shared" si="5"/>
        <v>8342.5</v>
      </c>
      <c r="M31">
        <f t="shared" si="6"/>
        <v>11.02</v>
      </c>
    </row>
    <row r="32" spans="1:13" x14ac:dyDescent="0.25">
      <c r="A32" s="1">
        <v>2458342.6680200002</v>
      </c>
      <c r="B32" s="1" t="s">
        <v>294</v>
      </c>
      <c r="C32" s="1">
        <v>11.000999999999999</v>
      </c>
      <c r="D32" s="1" t="s">
        <v>292</v>
      </c>
      <c r="E32" t="s">
        <v>295</v>
      </c>
      <c r="F32">
        <f t="shared" si="1"/>
        <v>8342.6680200002156</v>
      </c>
      <c r="G32">
        <f t="shared" si="2"/>
        <v>8342.7000000000007</v>
      </c>
      <c r="H32">
        <f t="shared" si="0"/>
        <v>11.000999999999999</v>
      </c>
      <c r="J32">
        <f t="shared" si="7"/>
        <v>8342.6680200002156</v>
      </c>
      <c r="K32">
        <f t="shared" si="4"/>
        <v>8342.5</v>
      </c>
      <c r="L32">
        <f t="shared" si="5"/>
        <v>8342.5</v>
      </c>
      <c r="M32">
        <f t="shared" si="6"/>
        <v>11.000999999999999</v>
      </c>
    </row>
    <row r="33" spans="1:13" x14ac:dyDescent="0.25">
      <c r="A33" s="1">
        <v>2458342.6687599998</v>
      </c>
      <c r="B33" s="1" t="s">
        <v>294</v>
      </c>
      <c r="C33" s="1">
        <v>11.032999999999999</v>
      </c>
      <c r="D33" s="1" t="s">
        <v>292</v>
      </c>
      <c r="E33" t="s">
        <v>295</v>
      </c>
      <c r="F33">
        <f t="shared" si="1"/>
        <v>8342.6687599997967</v>
      </c>
      <c r="G33">
        <f t="shared" si="2"/>
        <v>8342.7000000000007</v>
      </c>
      <c r="H33">
        <f t="shared" si="0"/>
        <v>11.032999999999999</v>
      </c>
      <c r="J33">
        <f t="shared" si="7"/>
        <v>8342.6687599997967</v>
      </c>
      <c r="K33">
        <f t="shared" si="4"/>
        <v>8342.5</v>
      </c>
      <c r="L33">
        <f t="shared" si="5"/>
        <v>8342.5</v>
      </c>
      <c r="M33">
        <f t="shared" si="6"/>
        <v>11.032999999999999</v>
      </c>
    </row>
    <row r="34" spans="1:13" x14ac:dyDescent="0.25">
      <c r="A34" s="1">
        <v>2458342.6694999998</v>
      </c>
      <c r="B34" s="1" t="s">
        <v>294</v>
      </c>
      <c r="C34" s="1">
        <v>10.973000000000001</v>
      </c>
      <c r="D34" s="1" t="s">
        <v>292</v>
      </c>
      <c r="E34" t="s">
        <v>295</v>
      </c>
      <c r="F34">
        <f t="shared" si="1"/>
        <v>8342.6694999998435</v>
      </c>
      <c r="G34">
        <f t="shared" si="2"/>
        <v>8342.7000000000007</v>
      </c>
      <c r="H34">
        <f t="shared" si="0"/>
        <v>10.973000000000001</v>
      </c>
      <c r="J34">
        <f t="shared" si="7"/>
        <v>8342.6694999998435</v>
      </c>
      <c r="K34">
        <f t="shared" si="4"/>
        <v>8342.5</v>
      </c>
      <c r="L34">
        <f t="shared" si="5"/>
        <v>8342.5</v>
      </c>
      <c r="M34">
        <f t="shared" si="6"/>
        <v>10.973000000000001</v>
      </c>
    </row>
    <row r="35" spans="1:13" x14ac:dyDescent="0.25">
      <c r="A35" s="1">
        <v>2458342.6702399999</v>
      </c>
      <c r="B35" s="1" t="s">
        <v>294</v>
      </c>
      <c r="C35" s="1">
        <v>10.967000000000001</v>
      </c>
      <c r="D35" s="1" t="s">
        <v>292</v>
      </c>
      <c r="E35" t="s">
        <v>295</v>
      </c>
      <c r="F35">
        <f t="shared" si="1"/>
        <v>8342.6702399998903</v>
      </c>
      <c r="G35">
        <f t="shared" si="2"/>
        <v>8342.7000000000007</v>
      </c>
      <c r="H35">
        <f t="shared" si="0"/>
        <v>10.967000000000001</v>
      </c>
      <c r="J35">
        <f t="shared" si="7"/>
        <v>8342.6702399998903</v>
      </c>
      <c r="K35">
        <f t="shared" si="4"/>
        <v>8342.5</v>
      </c>
      <c r="L35">
        <f t="shared" si="5"/>
        <v>8342.5</v>
      </c>
      <c r="M35">
        <f t="shared" si="6"/>
        <v>10.967000000000001</v>
      </c>
    </row>
    <row r="36" spans="1:13" x14ac:dyDescent="0.25">
      <c r="A36" s="1">
        <v>2458342.6709799999</v>
      </c>
      <c r="B36" s="1" t="s">
        <v>294</v>
      </c>
      <c r="C36" s="1">
        <v>11.009</v>
      </c>
      <c r="D36" s="1" t="s">
        <v>292</v>
      </c>
      <c r="E36" t="s">
        <v>295</v>
      </c>
      <c r="F36">
        <f t="shared" si="1"/>
        <v>8342.6709799999371</v>
      </c>
      <c r="G36">
        <f t="shared" si="2"/>
        <v>8342.7000000000007</v>
      </c>
      <c r="H36">
        <f t="shared" si="0"/>
        <v>11.009</v>
      </c>
      <c r="J36">
        <f t="shared" si="7"/>
        <v>8342.6709799999371</v>
      </c>
      <c r="K36">
        <f t="shared" si="4"/>
        <v>8342.5</v>
      </c>
      <c r="L36">
        <f t="shared" si="5"/>
        <v>8342.5</v>
      </c>
      <c r="M36">
        <f t="shared" si="6"/>
        <v>11.009</v>
      </c>
    </row>
    <row r="37" spans="1:13" x14ac:dyDescent="0.25">
      <c r="A37" s="1">
        <v>2458342.67172</v>
      </c>
      <c r="B37" s="1" t="s">
        <v>294</v>
      </c>
      <c r="C37" s="1">
        <v>11.002000000000001</v>
      </c>
      <c r="D37" s="1" t="s">
        <v>292</v>
      </c>
      <c r="E37" t="s">
        <v>295</v>
      </c>
      <c r="F37">
        <f t="shared" si="1"/>
        <v>8342.6717199999839</v>
      </c>
      <c r="G37">
        <f t="shared" si="2"/>
        <v>8342.7000000000007</v>
      </c>
      <c r="H37">
        <f t="shared" si="0"/>
        <v>11.002000000000001</v>
      </c>
      <c r="J37">
        <f t="shared" si="7"/>
        <v>8342.6717199999839</v>
      </c>
      <c r="K37">
        <f t="shared" si="4"/>
        <v>8342.5</v>
      </c>
      <c r="L37">
        <f t="shared" si="5"/>
        <v>8342.5</v>
      </c>
      <c r="M37">
        <f t="shared" si="6"/>
        <v>11.002000000000001</v>
      </c>
    </row>
    <row r="38" spans="1:13" x14ac:dyDescent="0.25">
      <c r="A38" s="1">
        <v>2458342.67246</v>
      </c>
      <c r="B38" s="1" t="s">
        <v>294</v>
      </c>
      <c r="C38" s="1">
        <v>11.012</v>
      </c>
      <c r="D38" s="1" t="s">
        <v>292</v>
      </c>
      <c r="E38" t="s">
        <v>295</v>
      </c>
      <c r="F38">
        <f t="shared" si="1"/>
        <v>8342.6724600000307</v>
      </c>
      <c r="G38">
        <f t="shared" si="2"/>
        <v>8342.7000000000007</v>
      </c>
      <c r="H38">
        <f t="shared" si="0"/>
        <v>11.012</v>
      </c>
      <c r="J38">
        <f t="shared" si="7"/>
        <v>8342.6724600000307</v>
      </c>
      <c r="K38">
        <f t="shared" si="4"/>
        <v>8342.5</v>
      </c>
      <c r="L38">
        <f t="shared" si="5"/>
        <v>8342.5</v>
      </c>
      <c r="M38">
        <f t="shared" si="6"/>
        <v>11.012</v>
      </c>
    </row>
    <row r="39" spans="1:13" x14ac:dyDescent="0.25">
      <c r="A39" s="1">
        <v>2458342.6732000001</v>
      </c>
      <c r="B39" s="1" t="s">
        <v>294</v>
      </c>
      <c r="C39" s="1">
        <v>11.021000000000001</v>
      </c>
      <c r="D39" s="1" t="s">
        <v>292</v>
      </c>
      <c r="E39" t="s">
        <v>295</v>
      </c>
      <c r="F39">
        <f t="shared" si="1"/>
        <v>8342.6732000000775</v>
      </c>
      <c r="G39">
        <f t="shared" si="2"/>
        <v>8342.7000000000007</v>
      </c>
      <c r="H39">
        <f t="shared" si="0"/>
        <v>11.021000000000001</v>
      </c>
      <c r="J39">
        <f t="shared" si="7"/>
        <v>8342.6732000000775</v>
      </c>
      <c r="K39">
        <f t="shared" si="4"/>
        <v>8342.5</v>
      </c>
      <c r="L39">
        <f t="shared" si="5"/>
        <v>8342.5</v>
      </c>
      <c r="M39">
        <f t="shared" si="6"/>
        <v>11.021000000000001</v>
      </c>
    </row>
    <row r="40" spans="1:13" x14ac:dyDescent="0.25">
      <c r="A40" s="1">
        <v>2458342.6739400001</v>
      </c>
      <c r="B40" s="1" t="s">
        <v>294</v>
      </c>
      <c r="C40" s="1">
        <v>11.023</v>
      </c>
      <c r="D40" s="1" t="s">
        <v>292</v>
      </c>
      <c r="E40" t="s">
        <v>295</v>
      </c>
      <c r="F40">
        <f t="shared" si="1"/>
        <v>8342.6739400001243</v>
      </c>
      <c r="G40">
        <f t="shared" si="2"/>
        <v>8342.7000000000007</v>
      </c>
      <c r="H40">
        <f t="shared" si="0"/>
        <v>11.023</v>
      </c>
      <c r="J40">
        <f t="shared" si="7"/>
        <v>8342.6739400001243</v>
      </c>
      <c r="K40">
        <f t="shared" si="4"/>
        <v>8342.5</v>
      </c>
      <c r="L40">
        <f t="shared" si="5"/>
        <v>8342.5</v>
      </c>
      <c r="M40">
        <f t="shared" si="6"/>
        <v>11.023</v>
      </c>
    </row>
    <row r="41" spans="1:13" x14ac:dyDescent="0.25">
      <c r="A41" s="1">
        <v>2458342.6746800002</v>
      </c>
      <c r="B41" s="1" t="s">
        <v>294</v>
      </c>
      <c r="C41" s="1">
        <v>10.975</v>
      </c>
      <c r="D41" s="1" t="s">
        <v>292</v>
      </c>
      <c r="E41" t="s">
        <v>295</v>
      </c>
      <c r="F41">
        <f t="shared" si="1"/>
        <v>8342.6746800001711</v>
      </c>
      <c r="G41">
        <f t="shared" si="2"/>
        <v>8342.7000000000007</v>
      </c>
      <c r="H41">
        <f t="shared" si="0"/>
        <v>10.975</v>
      </c>
      <c r="J41">
        <f t="shared" si="7"/>
        <v>8342.6746800001711</v>
      </c>
      <c r="K41">
        <f t="shared" si="4"/>
        <v>8342.5</v>
      </c>
      <c r="L41">
        <f t="shared" si="5"/>
        <v>8342.5</v>
      </c>
      <c r="M41">
        <f t="shared" si="6"/>
        <v>10.975</v>
      </c>
    </row>
    <row r="42" spans="1:13" x14ac:dyDescent="0.25">
      <c r="A42" s="1">
        <v>2458342.6754299998</v>
      </c>
      <c r="B42" s="1" t="s">
        <v>294</v>
      </c>
      <c r="C42" s="1">
        <v>11.005000000000001</v>
      </c>
      <c r="D42" s="1" t="s">
        <v>292</v>
      </c>
      <c r="E42" t="s">
        <v>295</v>
      </c>
      <c r="F42">
        <f t="shared" si="1"/>
        <v>8342.6754299998283</v>
      </c>
      <c r="G42">
        <f t="shared" si="2"/>
        <v>8342.7000000000007</v>
      </c>
      <c r="H42">
        <f t="shared" si="0"/>
        <v>11.005000000000001</v>
      </c>
      <c r="J42">
        <f t="shared" si="7"/>
        <v>8342.6754299998283</v>
      </c>
      <c r="K42">
        <f t="shared" si="4"/>
        <v>8342.5</v>
      </c>
      <c r="L42">
        <f t="shared" si="5"/>
        <v>8342.5</v>
      </c>
      <c r="M42">
        <f t="shared" si="6"/>
        <v>11.005000000000001</v>
      </c>
    </row>
    <row r="43" spans="1:13" x14ac:dyDescent="0.25">
      <c r="A43" s="1">
        <v>2458342.6761699999</v>
      </c>
      <c r="B43" s="1" t="s">
        <v>294</v>
      </c>
      <c r="C43" s="1">
        <v>11.007</v>
      </c>
      <c r="D43" s="1" t="s">
        <v>292</v>
      </c>
      <c r="E43" t="s">
        <v>295</v>
      </c>
      <c r="F43">
        <f t="shared" si="1"/>
        <v>8342.6761699998751</v>
      </c>
      <c r="G43">
        <f t="shared" si="2"/>
        <v>8342.7000000000007</v>
      </c>
      <c r="H43">
        <f t="shared" si="0"/>
        <v>11.007</v>
      </c>
      <c r="J43">
        <f t="shared" si="7"/>
        <v>8342.6761699998751</v>
      </c>
      <c r="K43">
        <f t="shared" si="4"/>
        <v>8342.5</v>
      </c>
      <c r="L43">
        <f t="shared" si="5"/>
        <v>8342.5</v>
      </c>
      <c r="M43">
        <f t="shared" si="6"/>
        <v>11.007</v>
      </c>
    </row>
    <row r="44" spans="1:13" x14ac:dyDescent="0.25">
      <c r="A44" s="1">
        <v>2458342.6769099999</v>
      </c>
      <c r="B44" s="1" t="s">
        <v>294</v>
      </c>
      <c r="C44" s="1">
        <v>10.991</v>
      </c>
      <c r="D44" s="1" t="s">
        <v>292</v>
      </c>
      <c r="E44" t="s">
        <v>295</v>
      </c>
      <c r="F44">
        <f t="shared" si="1"/>
        <v>8342.6769099999219</v>
      </c>
      <c r="G44">
        <f t="shared" si="2"/>
        <v>8342.7000000000007</v>
      </c>
      <c r="H44">
        <f t="shared" si="0"/>
        <v>10.991</v>
      </c>
      <c r="J44">
        <f t="shared" si="7"/>
        <v>8342.6769099999219</v>
      </c>
      <c r="K44">
        <f t="shared" si="4"/>
        <v>8342.5</v>
      </c>
      <c r="L44">
        <f t="shared" si="5"/>
        <v>8342.5</v>
      </c>
      <c r="M44">
        <f t="shared" si="6"/>
        <v>10.991</v>
      </c>
    </row>
    <row r="45" spans="1:13" x14ac:dyDescent="0.25">
      <c r="A45" s="1">
        <v>2458342.67765</v>
      </c>
      <c r="B45" s="1" t="s">
        <v>294</v>
      </c>
      <c r="C45" s="1">
        <v>11.039</v>
      </c>
      <c r="D45" s="1" t="s">
        <v>292</v>
      </c>
      <c r="E45" t="s">
        <v>295</v>
      </c>
      <c r="F45">
        <f t="shared" si="1"/>
        <v>8342.6776499999687</v>
      </c>
      <c r="G45">
        <f t="shared" si="2"/>
        <v>8342.7000000000007</v>
      </c>
      <c r="H45">
        <f t="shared" si="0"/>
        <v>11.039</v>
      </c>
      <c r="J45">
        <f t="shared" si="7"/>
        <v>8342.6776499999687</v>
      </c>
      <c r="K45">
        <f t="shared" si="4"/>
        <v>8342.5</v>
      </c>
      <c r="L45">
        <f t="shared" si="5"/>
        <v>8342.5</v>
      </c>
      <c r="M45">
        <f t="shared" si="6"/>
        <v>11.039</v>
      </c>
    </row>
    <row r="46" spans="1:13" x14ac:dyDescent="0.25">
      <c r="A46" s="1">
        <v>2458342.67839</v>
      </c>
      <c r="B46" s="1" t="s">
        <v>294</v>
      </c>
      <c r="C46" s="1">
        <v>10.992000000000001</v>
      </c>
      <c r="D46" s="1" t="s">
        <v>292</v>
      </c>
      <c r="E46" t="s">
        <v>295</v>
      </c>
      <c r="F46">
        <f t="shared" si="1"/>
        <v>8342.6783900000155</v>
      </c>
      <c r="G46">
        <f t="shared" si="2"/>
        <v>8342.7000000000007</v>
      </c>
      <c r="H46">
        <f t="shared" si="0"/>
        <v>10.992000000000001</v>
      </c>
      <c r="J46">
        <f t="shared" si="7"/>
        <v>8342.6783900000155</v>
      </c>
      <c r="K46">
        <f t="shared" si="4"/>
        <v>8342.5</v>
      </c>
      <c r="L46">
        <f t="shared" si="5"/>
        <v>8342.5</v>
      </c>
      <c r="M46">
        <f t="shared" si="6"/>
        <v>10.992000000000001</v>
      </c>
    </row>
    <row r="47" spans="1:13" x14ac:dyDescent="0.25">
      <c r="A47" s="1">
        <v>2458342.6791300001</v>
      </c>
      <c r="B47" s="1" t="s">
        <v>294</v>
      </c>
      <c r="C47" s="1">
        <v>10.961</v>
      </c>
      <c r="D47" s="1" t="s">
        <v>292</v>
      </c>
      <c r="E47" t="s">
        <v>295</v>
      </c>
      <c r="F47">
        <f t="shared" si="1"/>
        <v>8342.6791300000623</v>
      </c>
      <c r="G47">
        <f t="shared" si="2"/>
        <v>8342.7000000000007</v>
      </c>
      <c r="H47">
        <f t="shared" si="0"/>
        <v>10.961</v>
      </c>
      <c r="J47">
        <f t="shared" si="7"/>
        <v>8342.6791300000623</v>
      </c>
      <c r="K47">
        <f t="shared" si="4"/>
        <v>8342.5</v>
      </c>
      <c r="L47">
        <f t="shared" si="5"/>
        <v>8342.5</v>
      </c>
      <c r="M47">
        <f t="shared" si="6"/>
        <v>10.961</v>
      </c>
    </row>
    <row r="48" spans="1:13" x14ac:dyDescent="0.25">
      <c r="A48" s="1">
        <v>2458342.6798800002</v>
      </c>
      <c r="B48" s="1" t="s">
        <v>294</v>
      </c>
      <c r="C48" s="1">
        <v>11.02</v>
      </c>
      <c r="D48" s="1" t="s">
        <v>292</v>
      </c>
      <c r="E48" t="s">
        <v>295</v>
      </c>
      <c r="F48">
        <f t="shared" si="1"/>
        <v>8342.6798800001852</v>
      </c>
      <c r="G48">
        <f t="shared" si="2"/>
        <v>8342.7000000000007</v>
      </c>
      <c r="H48">
        <f t="shared" si="0"/>
        <v>11.02</v>
      </c>
      <c r="J48">
        <f t="shared" si="7"/>
        <v>8342.6798800001852</v>
      </c>
      <c r="K48">
        <f t="shared" si="4"/>
        <v>8342.5</v>
      </c>
      <c r="L48">
        <f t="shared" si="5"/>
        <v>8342.5</v>
      </c>
      <c r="M48">
        <f t="shared" si="6"/>
        <v>11.02</v>
      </c>
    </row>
    <row r="49" spans="1:13" x14ac:dyDescent="0.25">
      <c r="A49" s="1">
        <v>2458342.6806100002</v>
      </c>
      <c r="B49" s="1" t="s">
        <v>294</v>
      </c>
      <c r="C49" s="1">
        <v>11.013999999999999</v>
      </c>
      <c r="D49" s="1" t="s">
        <v>292</v>
      </c>
      <c r="E49" t="s">
        <v>295</v>
      </c>
      <c r="F49">
        <f t="shared" si="1"/>
        <v>8342.6806100001559</v>
      </c>
      <c r="G49">
        <f t="shared" si="2"/>
        <v>8342.7000000000007</v>
      </c>
      <c r="H49">
        <f t="shared" si="0"/>
        <v>11.013999999999999</v>
      </c>
      <c r="J49">
        <f t="shared" si="7"/>
        <v>8342.6806100001559</v>
      </c>
      <c r="K49">
        <f t="shared" si="4"/>
        <v>8342.5</v>
      </c>
      <c r="L49">
        <f t="shared" si="5"/>
        <v>8342.5</v>
      </c>
      <c r="M49">
        <f t="shared" si="6"/>
        <v>11.013999999999999</v>
      </c>
    </row>
    <row r="50" spans="1:13" x14ac:dyDescent="0.25">
      <c r="A50" s="1">
        <v>2458342.6813599998</v>
      </c>
      <c r="B50" s="1" t="s">
        <v>294</v>
      </c>
      <c r="C50" s="1">
        <v>11.013</v>
      </c>
      <c r="D50" s="1" t="s">
        <v>292</v>
      </c>
      <c r="E50" t="s">
        <v>295</v>
      </c>
      <c r="F50">
        <f t="shared" si="1"/>
        <v>8342.6813599998131</v>
      </c>
      <c r="G50">
        <f t="shared" si="2"/>
        <v>8342.7000000000007</v>
      </c>
      <c r="H50">
        <f t="shared" si="0"/>
        <v>11.013</v>
      </c>
      <c r="J50">
        <f t="shared" si="7"/>
        <v>8342.6813599998131</v>
      </c>
      <c r="K50">
        <f t="shared" si="4"/>
        <v>8342.5</v>
      </c>
      <c r="L50">
        <f t="shared" si="5"/>
        <v>8342.5</v>
      </c>
      <c r="M50">
        <f t="shared" si="6"/>
        <v>11.013</v>
      </c>
    </row>
    <row r="51" spans="1:13" x14ac:dyDescent="0.25">
      <c r="A51" s="1">
        <v>2458342.6820899998</v>
      </c>
      <c r="B51" s="1" t="s">
        <v>294</v>
      </c>
      <c r="C51" s="1">
        <v>11.026</v>
      </c>
      <c r="D51" s="1" t="s">
        <v>292</v>
      </c>
      <c r="E51" t="s">
        <v>295</v>
      </c>
      <c r="F51">
        <f t="shared" si="1"/>
        <v>8342.6820899997838</v>
      </c>
      <c r="G51">
        <f t="shared" si="2"/>
        <v>8342.7000000000007</v>
      </c>
      <c r="H51">
        <f t="shared" si="0"/>
        <v>11.026</v>
      </c>
      <c r="J51">
        <f t="shared" si="7"/>
        <v>8342.6820899997838</v>
      </c>
      <c r="K51">
        <f t="shared" si="4"/>
        <v>8342.5</v>
      </c>
      <c r="L51">
        <f t="shared" si="5"/>
        <v>8342.5</v>
      </c>
      <c r="M51">
        <f t="shared" si="6"/>
        <v>11.026</v>
      </c>
    </row>
    <row r="52" spans="1:13" x14ac:dyDescent="0.25">
      <c r="A52" s="1">
        <v>2458342.6828399999</v>
      </c>
      <c r="B52" s="1" t="s">
        <v>294</v>
      </c>
      <c r="C52" s="1">
        <v>10.977</v>
      </c>
      <c r="D52" s="1" t="s">
        <v>292</v>
      </c>
      <c r="E52" t="s">
        <v>295</v>
      </c>
      <c r="F52">
        <f t="shared" si="1"/>
        <v>8342.6828399999067</v>
      </c>
      <c r="G52">
        <f t="shared" si="2"/>
        <v>8342.7000000000007</v>
      </c>
      <c r="H52">
        <f t="shared" si="0"/>
        <v>10.977</v>
      </c>
      <c r="J52">
        <f t="shared" si="7"/>
        <v>8342.6828399999067</v>
      </c>
      <c r="K52">
        <f t="shared" si="4"/>
        <v>8342.5</v>
      </c>
      <c r="L52">
        <f t="shared" si="5"/>
        <v>8342.5</v>
      </c>
      <c r="M52">
        <f t="shared" si="6"/>
        <v>10.977</v>
      </c>
    </row>
    <row r="53" spans="1:13" x14ac:dyDescent="0.25">
      <c r="A53" s="1">
        <v>2458342.68358</v>
      </c>
      <c r="B53" s="1" t="s">
        <v>294</v>
      </c>
      <c r="C53" s="1">
        <v>10.961</v>
      </c>
      <c r="D53" s="1" t="s">
        <v>292</v>
      </c>
      <c r="E53" t="s">
        <v>295</v>
      </c>
      <c r="F53">
        <f t="shared" si="1"/>
        <v>8342.6835799999535</v>
      </c>
      <c r="G53">
        <f t="shared" si="2"/>
        <v>8342.7000000000007</v>
      </c>
      <c r="H53">
        <f t="shared" si="0"/>
        <v>10.961</v>
      </c>
      <c r="J53">
        <f t="shared" si="7"/>
        <v>8342.6835799999535</v>
      </c>
      <c r="K53">
        <f t="shared" si="4"/>
        <v>8342.5</v>
      </c>
      <c r="L53">
        <f t="shared" si="5"/>
        <v>8342.5</v>
      </c>
      <c r="M53">
        <f t="shared" si="6"/>
        <v>10.961</v>
      </c>
    </row>
    <row r="54" spans="1:13" x14ac:dyDescent="0.25">
      <c r="A54" s="1">
        <v>2458342.68432</v>
      </c>
      <c r="B54" s="1" t="s">
        <v>294</v>
      </c>
      <c r="C54" s="1">
        <v>11.015000000000001</v>
      </c>
      <c r="D54" s="1" t="s">
        <v>292</v>
      </c>
      <c r="E54" t="s">
        <v>295</v>
      </c>
      <c r="F54">
        <f t="shared" si="1"/>
        <v>8342.6843200000003</v>
      </c>
      <c r="G54">
        <f t="shared" si="2"/>
        <v>8342.7000000000007</v>
      </c>
      <c r="H54">
        <f t="shared" si="0"/>
        <v>11.015000000000001</v>
      </c>
      <c r="J54">
        <f t="shared" si="7"/>
        <v>8342.6843200000003</v>
      </c>
      <c r="K54">
        <f t="shared" si="4"/>
        <v>8342.5</v>
      </c>
      <c r="L54">
        <f t="shared" si="5"/>
        <v>8342.5</v>
      </c>
      <c r="M54">
        <f t="shared" si="6"/>
        <v>11.015000000000001</v>
      </c>
    </row>
    <row r="55" spans="1:13" x14ac:dyDescent="0.25">
      <c r="A55" s="1">
        <v>2458342.68506</v>
      </c>
      <c r="B55" s="1" t="s">
        <v>294</v>
      </c>
      <c r="C55" s="1">
        <v>11.025</v>
      </c>
      <c r="D55" s="1" t="s">
        <v>292</v>
      </c>
      <c r="E55" t="s">
        <v>295</v>
      </c>
      <c r="F55">
        <f t="shared" si="1"/>
        <v>8342.6850600000471</v>
      </c>
      <c r="G55">
        <f t="shared" si="2"/>
        <v>8342.7000000000007</v>
      </c>
      <c r="H55">
        <f t="shared" si="0"/>
        <v>11.025</v>
      </c>
      <c r="J55">
        <f t="shared" si="7"/>
        <v>8342.6850600000471</v>
      </c>
      <c r="K55">
        <f t="shared" si="4"/>
        <v>8342.5</v>
      </c>
      <c r="L55">
        <f t="shared" si="5"/>
        <v>8342.5</v>
      </c>
      <c r="M55">
        <f t="shared" si="6"/>
        <v>11.025</v>
      </c>
    </row>
    <row r="56" spans="1:13" x14ac:dyDescent="0.25">
      <c r="A56" s="1">
        <v>2458342.6858000001</v>
      </c>
      <c r="B56" s="1" t="s">
        <v>294</v>
      </c>
      <c r="C56" s="1">
        <v>10.994999999999999</v>
      </c>
      <c r="D56" s="1" t="s">
        <v>292</v>
      </c>
      <c r="E56" t="s">
        <v>295</v>
      </c>
      <c r="F56">
        <f t="shared" si="1"/>
        <v>8342.6858000000939</v>
      </c>
      <c r="G56">
        <f t="shared" si="2"/>
        <v>8342.7000000000007</v>
      </c>
      <c r="H56">
        <f t="shared" si="0"/>
        <v>10.994999999999999</v>
      </c>
      <c r="J56">
        <f t="shared" si="7"/>
        <v>8342.6858000000939</v>
      </c>
      <c r="K56">
        <f t="shared" si="4"/>
        <v>8342.5</v>
      </c>
      <c r="L56">
        <f t="shared" si="5"/>
        <v>8342.5</v>
      </c>
      <c r="M56">
        <f t="shared" si="6"/>
        <v>10.994999999999999</v>
      </c>
    </row>
    <row r="57" spans="1:13" x14ac:dyDescent="0.25">
      <c r="A57" s="1">
        <v>2458342.6865400001</v>
      </c>
      <c r="B57" s="1" t="s">
        <v>294</v>
      </c>
      <c r="C57" s="1">
        <v>10.997999999999999</v>
      </c>
      <c r="D57" s="1" t="s">
        <v>292</v>
      </c>
      <c r="E57" t="s">
        <v>295</v>
      </c>
      <c r="F57">
        <f t="shared" si="1"/>
        <v>8342.6865400001407</v>
      </c>
      <c r="G57">
        <f t="shared" si="2"/>
        <v>8342.7000000000007</v>
      </c>
      <c r="H57">
        <f t="shared" si="0"/>
        <v>10.997999999999999</v>
      </c>
      <c r="J57">
        <f t="shared" si="7"/>
        <v>8342.6865400001407</v>
      </c>
      <c r="K57">
        <f t="shared" si="4"/>
        <v>8342.5</v>
      </c>
      <c r="L57">
        <f t="shared" si="5"/>
        <v>8342.5</v>
      </c>
      <c r="M57">
        <f t="shared" si="6"/>
        <v>10.997999999999999</v>
      </c>
    </row>
    <row r="58" spans="1:13" x14ac:dyDescent="0.25">
      <c r="A58" s="1">
        <v>2458342.6872800002</v>
      </c>
      <c r="B58" s="1" t="s">
        <v>294</v>
      </c>
      <c r="C58" s="1">
        <v>10.975</v>
      </c>
      <c r="D58" s="1" t="s">
        <v>292</v>
      </c>
      <c r="E58" t="s">
        <v>295</v>
      </c>
      <c r="F58">
        <f t="shared" si="1"/>
        <v>8342.6872800001875</v>
      </c>
      <c r="G58">
        <f t="shared" si="2"/>
        <v>8342.7000000000007</v>
      </c>
      <c r="H58">
        <f t="shared" si="0"/>
        <v>10.975</v>
      </c>
      <c r="J58">
        <f t="shared" si="7"/>
        <v>8342.6872800001875</v>
      </c>
      <c r="K58">
        <f t="shared" si="4"/>
        <v>8342.5</v>
      </c>
      <c r="L58">
        <f t="shared" si="5"/>
        <v>8342.5</v>
      </c>
      <c r="M58">
        <f t="shared" si="6"/>
        <v>10.975</v>
      </c>
    </row>
    <row r="59" spans="1:13" x14ac:dyDescent="0.25">
      <c r="A59" s="1">
        <v>2458342.6880100002</v>
      </c>
      <c r="B59" s="1" t="s">
        <v>294</v>
      </c>
      <c r="C59" s="1">
        <v>10.952999999999999</v>
      </c>
      <c r="D59" s="1" t="s">
        <v>292</v>
      </c>
      <c r="E59" t="s">
        <v>295</v>
      </c>
      <c r="F59">
        <f t="shared" si="1"/>
        <v>8342.6880100001581</v>
      </c>
      <c r="G59">
        <f t="shared" si="2"/>
        <v>8342.7000000000007</v>
      </c>
      <c r="H59">
        <f t="shared" si="0"/>
        <v>10.952999999999999</v>
      </c>
      <c r="J59">
        <f t="shared" si="7"/>
        <v>8342.6880100001581</v>
      </c>
      <c r="K59">
        <f t="shared" si="4"/>
        <v>8342.5</v>
      </c>
      <c r="L59">
        <f t="shared" si="5"/>
        <v>8342.5</v>
      </c>
      <c r="M59">
        <f t="shared" si="6"/>
        <v>10.952999999999999</v>
      </c>
    </row>
    <row r="60" spans="1:13" x14ac:dyDescent="0.25">
      <c r="A60" s="1">
        <v>2458342.6887599998</v>
      </c>
      <c r="B60" s="1" t="s">
        <v>294</v>
      </c>
      <c r="C60" s="1">
        <v>10.98</v>
      </c>
      <c r="D60" s="1" t="s">
        <v>292</v>
      </c>
      <c r="E60" t="s">
        <v>295</v>
      </c>
      <c r="F60">
        <f t="shared" si="1"/>
        <v>8342.6887599998154</v>
      </c>
      <c r="G60">
        <f t="shared" si="2"/>
        <v>8342.7000000000007</v>
      </c>
      <c r="H60">
        <f t="shared" si="0"/>
        <v>10.98</v>
      </c>
      <c r="J60">
        <f t="shared" si="7"/>
        <v>8342.6887599998154</v>
      </c>
      <c r="K60">
        <f t="shared" si="4"/>
        <v>8342.5</v>
      </c>
      <c r="L60">
        <f t="shared" si="5"/>
        <v>8342.5</v>
      </c>
      <c r="M60">
        <f t="shared" si="6"/>
        <v>10.98</v>
      </c>
    </row>
    <row r="61" spans="1:13" x14ac:dyDescent="0.25">
      <c r="A61" s="1">
        <v>2458342.6894999999</v>
      </c>
      <c r="B61" s="1" t="s">
        <v>294</v>
      </c>
      <c r="C61" s="1">
        <v>11.003</v>
      </c>
      <c r="D61" s="1" t="s">
        <v>292</v>
      </c>
      <c r="E61" t="s">
        <v>295</v>
      </c>
      <c r="F61">
        <f t="shared" si="1"/>
        <v>8342.6894999998622</v>
      </c>
      <c r="G61">
        <f t="shared" si="2"/>
        <v>8342.7000000000007</v>
      </c>
      <c r="H61">
        <f t="shared" si="0"/>
        <v>11.003</v>
      </c>
      <c r="J61">
        <f t="shared" si="7"/>
        <v>8342.6894999998622</v>
      </c>
      <c r="K61">
        <f t="shared" si="4"/>
        <v>8342.5</v>
      </c>
      <c r="L61">
        <f t="shared" si="5"/>
        <v>8342.5</v>
      </c>
      <c r="M61">
        <f t="shared" si="6"/>
        <v>11.003</v>
      </c>
    </row>
    <row r="62" spans="1:13" x14ac:dyDescent="0.25">
      <c r="A62" s="1">
        <v>2458342.6902399999</v>
      </c>
      <c r="B62" s="1" t="s">
        <v>294</v>
      </c>
      <c r="C62" s="1">
        <v>10.986000000000001</v>
      </c>
      <c r="D62" s="1" t="s">
        <v>292</v>
      </c>
      <c r="E62" t="s">
        <v>295</v>
      </c>
      <c r="F62">
        <f t="shared" si="1"/>
        <v>8342.690239999909</v>
      </c>
      <c r="G62">
        <f t="shared" si="2"/>
        <v>8342.7000000000007</v>
      </c>
      <c r="H62">
        <f t="shared" si="0"/>
        <v>10.986000000000001</v>
      </c>
      <c r="J62">
        <f t="shared" si="7"/>
        <v>8342.690239999909</v>
      </c>
      <c r="K62">
        <f t="shared" si="4"/>
        <v>8342.5</v>
      </c>
      <c r="L62">
        <f t="shared" si="5"/>
        <v>8342.5</v>
      </c>
      <c r="M62">
        <f t="shared" si="6"/>
        <v>10.986000000000001</v>
      </c>
    </row>
    <row r="63" spans="1:13" x14ac:dyDescent="0.25">
      <c r="A63" s="1">
        <v>2458342.69098</v>
      </c>
      <c r="B63" s="1" t="s">
        <v>294</v>
      </c>
      <c r="C63" s="1">
        <v>11.015000000000001</v>
      </c>
      <c r="D63" s="1" t="s">
        <v>292</v>
      </c>
      <c r="E63" t="s">
        <v>295</v>
      </c>
      <c r="F63">
        <f t="shared" si="1"/>
        <v>8342.6909799999557</v>
      </c>
      <c r="G63">
        <f t="shared" si="2"/>
        <v>8342.7000000000007</v>
      </c>
      <c r="H63">
        <f t="shared" si="0"/>
        <v>11.015000000000001</v>
      </c>
      <c r="J63">
        <f t="shared" si="7"/>
        <v>8342.6909799999557</v>
      </c>
      <c r="K63">
        <f t="shared" si="4"/>
        <v>8342.5</v>
      </c>
      <c r="L63">
        <f t="shared" si="5"/>
        <v>8342.5</v>
      </c>
      <c r="M63">
        <f t="shared" si="6"/>
        <v>11.015000000000001</v>
      </c>
    </row>
    <row r="64" spans="1:13" x14ac:dyDescent="0.25">
      <c r="A64" s="1">
        <v>2458342.69172</v>
      </c>
      <c r="B64" s="1" t="s">
        <v>294</v>
      </c>
      <c r="C64" s="1">
        <v>10.984999999999999</v>
      </c>
      <c r="D64" s="1" t="s">
        <v>292</v>
      </c>
      <c r="E64" t="s">
        <v>295</v>
      </c>
      <c r="F64">
        <f t="shared" si="1"/>
        <v>8342.6917200000025</v>
      </c>
      <c r="G64">
        <f t="shared" si="2"/>
        <v>8342.7000000000007</v>
      </c>
      <c r="H64">
        <f t="shared" si="0"/>
        <v>10.984999999999999</v>
      </c>
      <c r="J64">
        <f t="shared" si="7"/>
        <v>8342.6917200000025</v>
      </c>
      <c r="K64">
        <f t="shared" si="4"/>
        <v>8342.5</v>
      </c>
      <c r="L64">
        <f t="shared" si="5"/>
        <v>8342.5</v>
      </c>
      <c r="M64">
        <f t="shared" si="6"/>
        <v>10.984999999999999</v>
      </c>
    </row>
    <row r="65" spans="1:13" x14ac:dyDescent="0.25">
      <c r="A65" s="1">
        <v>2458343.3167099999</v>
      </c>
      <c r="B65" s="1" t="s">
        <v>294</v>
      </c>
      <c r="C65" s="1">
        <v>10.869</v>
      </c>
      <c r="D65" s="1" t="s">
        <v>292</v>
      </c>
      <c r="E65" t="s">
        <v>93</v>
      </c>
      <c r="F65">
        <f t="shared" si="1"/>
        <v>8343.3167099999264</v>
      </c>
      <c r="G65">
        <f t="shared" si="2"/>
        <v>8343.2999999999993</v>
      </c>
      <c r="H65">
        <f t="shared" si="0"/>
        <v>10.869</v>
      </c>
      <c r="J65">
        <f t="shared" si="7"/>
        <v>8343.3167099999264</v>
      </c>
      <c r="K65">
        <f t="shared" si="4"/>
        <v>8343.25</v>
      </c>
      <c r="L65">
        <f t="shared" si="5"/>
        <v>8343.25</v>
      </c>
      <c r="M65">
        <f t="shared" si="6"/>
        <v>10.869</v>
      </c>
    </row>
    <row r="66" spans="1:13" x14ac:dyDescent="0.25">
      <c r="A66" s="1">
        <v>2458343.5097699999</v>
      </c>
      <c r="B66" s="1" t="s">
        <v>77</v>
      </c>
      <c r="C66" s="1">
        <v>10.895</v>
      </c>
      <c r="D66" s="1" t="s">
        <v>292</v>
      </c>
      <c r="E66" t="s">
        <v>94</v>
      </c>
      <c r="F66">
        <f t="shared" si="1"/>
        <v>8343.5097699998878</v>
      </c>
      <c r="G66">
        <f t="shared" si="2"/>
        <v>8343.5</v>
      </c>
      <c r="H66">
        <f t="shared" si="0"/>
        <v>10.895</v>
      </c>
      <c r="J66">
        <f t="shared" si="7"/>
        <v>8343.5097699998878</v>
      </c>
      <c r="K66">
        <f t="shared" si="4"/>
        <v>8343.5</v>
      </c>
      <c r="L66">
        <f t="shared" si="5"/>
        <v>8343.5</v>
      </c>
      <c r="M66">
        <f t="shared" si="6"/>
        <v>10.895</v>
      </c>
    </row>
    <row r="67" spans="1:13" x14ac:dyDescent="0.25">
      <c r="A67" s="1">
        <v>2458343.51003</v>
      </c>
      <c r="B67" s="1" t="s">
        <v>77</v>
      </c>
      <c r="C67" s="1">
        <v>10.884</v>
      </c>
      <c r="D67" s="1" t="s">
        <v>292</v>
      </c>
      <c r="E67" t="s">
        <v>94</v>
      </c>
      <c r="F67">
        <f t="shared" ref="F67:F130" si="8">+A67-2450000</f>
        <v>8343.5100300000049</v>
      </c>
      <c r="G67">
        <f t="shared" ref="G67:G130" si="9">+(ROUND(F67,1)*10)/10</f>
        <v>8343.5</v>
      </c>
      <c r="H67">
        <f t="shared" ref="H67:H130" si="10">+C67</f>
        <v>10.884</v>
      </c>
      <c r="J67">
        <f t="shared" si="7"/>
        <v>8343.5100300000049</v>
      </c>
      <c r="K67">
        <f t="shared" ref="K67:K130" si="11">+INT(J67*4)/4</f>
        <v>8343.5</v>
      </c>
      <c r="L67">
        <f t="shared" ref="L67:L130" si="12">+IF(J67-K67&gt;0.25,K67+0.25,K67)</f>
        <v>8343.5</v>
      </c>
      <c r="M67">
        <f t="shared" ref="M67:M130" si="13">+H67</f>
        <v>10.884</v>
      </c>
    </row>
    <row r="68" spans="1:13" x14ac:dyDescent="0.25">
      <c r="A68" s="1">
        <v>2458343.6608000002</v>
      </c>
      <c r="B68" s="1" t="s">
        <v>77</v>
      </c>
      <c r="C68" s="1">
        <v>11.057</v>
      </c>
      <c r="D68" s="1" t="s">
        <v>292</v>
      </c>
      <c r="E68" t="s">
        <v>295</v>
      </c>
      <c r="F68">
        <f t="shared" si="8"/>
        <v>8343.660800000187</v>
      </c>
      <c r="G68">
        <f t="shared" si="9"/>
        <v>8343.7000000000007</v>
      </c>
      <c r="H68">
        <f t="shared" si="10"/>
        <v>11.057</v>
      </c>
      <c r="J68">
        <f t="shared" si="7"/>
        <v>8343.660800000187</v>
      </c>
      <c r="K68">
        <f t="shared" si="11"/>
        <v>8343.5</v>
      </c>
      <c r="L68">
        <f t="shared" si="12"/>
        <v>8343.5</v>
      </c>
      <c r="M68">
        <f t="shared" si="13"/>
        <v>11.057</v>
      </c>
    </row>
    <row r="69" spans="1:13" x14ac:dyDescent="0.25">
      <c r="A69" s="1">
        <v>2458343.6617299998</v>
      </c>
      <c r="B69" s="1" t="s">
        <v>77</v>
      </c>
      <c r="C69" s="1">
        <v>11.077999999999999</v>
      </c>
      <c r="D69" s="1" t="s">
        <v>292</v>
      </c>
      <c r="E69" t="s">
        <v>295</v>
      </c>
      <c r="F69">
        <f t="shared" si="8"/>
        <v>8343.6617299998179</v>
      </c>
      <c r="G69">
        <f t="shared" si="9"/>
        <v>8343.7000000000007</v>
      </c>
      <c r="H69">
        <f t="shared" si="10"/>
        <v>11.077999999999999</v>
      </c>
      <c r="J69">
        <f t="shared" si="7"/>
        <v>8343.6617299998179</v>
      </c>
      <c r="K69">
        <f t="shared" si="11"/>
        <v>8343.5</v>
      </c>
      <c r="L69">
        <f t="shared" si="12"/>
        <v>8343.5</v>
      </c>
      <c r="M69">
        <f t="shared" si="13"/>
        <v>11.077999999999999</v>
      </c>
    </row>
    <row r="70" spans="1:13" x14ac:dyDescent="0.25">
      <c r="A70" s="1">
        <v>2458343.6626400002</v>
      </c>
      <c r="B70" s="1" t="s">
        <v>77</v>
      </c>
      <c r="C70" s="1">
        <v>11.071999999999999</v>
      </c>
      <c r="D70" s="1" t="s">
        <v>292</v>
      </c>
      <c r="E70" t="s">
        <v>295</v>
      </c>
      <c r="F70">
        <f t="shared" si="8"/>
        <v>8343.6626400002278</v>
      </c>
      <c r="G70">
        <f t="shared" si="9"/>
        <v>8343.7000000000007</v>
      </c>
      <c r="H70">
        <f t="shared" si="10"/>
        <v>11.071999999999999</v>
      </c>
      <c r="J70">
        <f t="shared" si="7"/>
        <v>8343.6626400002278</v>
      </c>
      <c r="K70">
        <f t="shared" si="11"/>
        <v>8343.5</v>
      </c>
      <c r="L70">
        <f t="shared" si="12"/>
        <v>8343.5</v>
      </c>
      <c r="M70">
        <f t="shared" si="13"/>
        <v>11.071999999999999</v>
      </c>
    </row>
    <row r="71" spans="1:13" x14ac:dyDescent="0.25">
      <c r="A71" s="1">
        <v>2458343.6649099998</v>
      </c>
      <c r="B71" s="1" t="s">
        <v>77</v>
      </c>
      <c r="C71" s="1">
        <v>10.996</v>
      </c>
      <c r="D71" s="1" t="s">
        <v>292</v>
      </c>
      <c r="E71" t="s">
        <v>295</v>
      </c>
      <c r="F71">
        <f t="shared" si="8"/>
        <v>8343.6649099998176</v>
      </c>
      <c r="G71">
        <f t="shared" si="9"/>
        <v>8343.7000000000007</v>
      </c>
      <c r="H71">
        <f t="shared" si="10"/>
        <v>10.996</v>
      </c>
      <c r="J71">
        <f t="shared" si="7"/>
        <v>8343.6649099998176</v>
      </c>
      <c r="K71">
        <f t="shared" si="11"/>
        <v>8343.5</v>
      </c>
      <c r="L71">
        <f t="shared" si="12"/>
        <v>8343.5</v>
      </c>
      <c r="M71">
        <f t="shared" si="13"/>
        <v>10.996</v>
      </c>
    </row>
    <row r="72" spans="1:13" x14ac:dyDescent="0.25">
      <c r="A72" s="1">
        <v>2458343.6658299998</v>
      </c>
      <c r="B72" s="1" t="s">
        <v>77</v>
      </c>
      <c r="C72" s="1">
        <v>11.061</v>
      </c>
      <c r="D72" s="1" t="s">
        <v>292</v>
      </c>
      <c r="E72" t="s">
        <v>295</v>
      </c>
      <c r="F72">
        <f t="shared" si="8"/>
        <v>8343.665829999838</v>
      </c>
      <c r="G72">
        <f t="shared" si="9"/>
        <v>8343.7000000000007</v>
      </c>
      <c r="H72">
        <f t="shared" si="10"/>
        <v>11.061</v>
      </c>
      <c r="J72">
        <f t="shared" si="7"/>
        <v>8343.665829999838</v>
      </c>
      <c r="K72">
        <f t="shared" si="11"/>
        <v>8343.5</v>
      </c>
      <c r="L72">
        <f t="shared" si="12"/>
        <v>8343.5</v>
      </c>
      <c r="M72">
        <f t="shared" si="13"/>
        <v>11.061</v>
      </c>
    </row>
    <row r="73" spans="1:13" x14ac:dyDescent="0.25">
      <c r="A73" s="1">
        <v>2458343.6667399998</v>
      </c>
      <c r="B73" s="1" t="s">
        <v>77</v>
      </c>
      <c r="C73" s="1">
        <v>11.045</v>
      </c>
      <c r="D73" s="1" t="s">
        <v>292</v>
      </c>
      <c r="E73" t="s">
        <v>295</v>
      </c>
      <c r="F73">
        <f t="shared" si="8"/>
        <v>8343.6667399997823</v>
      </c>
      <c r="G73">
        <f t="shared" si="9"/>
        <v>8343.7000000000007</v>
      </c>
      <c r="H73">
        <f t="shared" si="10"/>
        <v>11.045</v>
      </c>
      <c r="J73">
        <f t="shared" si="7"/>
        <v>8343.6667399997823</v>
      </c>
      <c r="K73">
        <f t="shared" si="11"/>
        <v>8343.5</v>
      </c>
      <c r="L73">
        <f t="shared" si="12"/>
        <v>8343.5</v>
      </c>
      <c r="M73">
        <f t="shared" si="13"/>
        <v>11.045</v>
      </c>
    </row>
    <row r="74" spans="1:13" x14ac:dyDescent="0.25">
      <c r="A74" s="1">
        <v>2458343.6690000002</v>
      </c>
      <c r="B74" s="1" t="s">
        <v>77</v>
      </c>
      <c r="C74" s="1">
        <v>11.01</v>
      </c>
      <c r="D74" s="1" t="s">
        <v>292</v>
      </c>
      <c r="E74" t="s">
        <v>295</v>
      </c>
      <c r="F74">
        <f t="shared" si="8"/>
        <v>8343.6690000002272</v>
      </c>
      <c r="G74">
        <f t="shared" si="9"/>
        <v>8343.7000000000007</v>
      </c>
      <c r="H74">
        <f t="shared" si="10"/>
        <v>11.01</v>
      </c>
      <c r="J74">
        <f t="shared" si="7"/>
        <v>8343.6690000002272</v>
      </c>
      <c r="K74">
        <f t="shared" si="11"/>
        <v>8343.5</v>
      </c>
      <c r="L74">
        <f t="shared" si="12"/>
        <v>8343.5</v>
      </c>
      <c r="M74">
        <f t="shared" si="13"/>
        <v>11.01</v>
      </c>
    </row>
    <row r="75" spans="1:13" x14ac:dyDescent="0.25">
      <c r="A75" s="1">
        <v>2458343.6699100002</v>
      </c>
      <c r="B75" s="1" t="s">
        <v>77</v>
      </c>
      <c r="C75" s="1">
        <v>11.063000000000001</v>
      </c>
      <c r="D75" s="1" t="s">
        <v>292</v>
      </c>
      <c r="E75" t="s">
        <v>295</v>
      </c>
      <c r="F75">
        <f t="shared" si="8"/>
        <v>8343.6699100001715</v>
      </c>
      <c r="G75">
        <f t="shared" si="9"/>
        <v>8343.7000000000007</v>
      </c>
      <c r="H75">
        <f t="shared" si="10"/>
        <v>11.063000000000001</v>
      </c>
      <c r="J75">
        <f t="shared" si="7"/>
        <v>8343.6699100001715</v>
      </c>
      <c r="K75">
        <f t="shared" si="11"/>
        <v>8343.5</v>
      </c>
      <c r="L75">
        <f t="shared" si="12"/>
        <v>8343.5</v>
      </c>
      <c r="M75">
        <f t="shared" si="13"/>
        <v>11.063000000000001</v>
      </c>
    </row>
    <row r="76" spans="1:13" x14ac:dyDescent="0.25">
      <c r="A76" s="1">
        <v>2458343.6708200001</v>
      </c>
      <c r="B76" s="1" t="s">
        <v>77</v>
      </c>
      <c r="C76" s="1">
        <v>11.06</v>
      </c>
      <c r="D76" s="1" t="s">
        <v>292</v>
      </c>
      <c r="E76" t="s">
        <v>295</v>
      </c>
      <c r="F76">
        <f t="shared" si="8"/>
        <v>8343.6708200001158</v>
      </c>
      <c r="G76">
        <f t="shared" si="9"/>
        <v>8343.7000000000007</v>
      </c>
      <c r="H76">
        <f t="shared" si="10"/>
        <v>11.06</v>
      </c>
      <c r="J76">
        <f t="shared" si="7"/>
        <v>8343.6708200001158</v>
      </c>
      <c r="K76">
        <f t="shared" si="11"/>
        <v>8343.5</v>
      </c>
      <c r="L76">
        <f t="shared" si="12"/>
        <v>8343.5</v>
      </c>
      <c r="M76">
        <f t="shared" si="13"/>
        <v>11.06</v>
      </c>
    </row>
    <row r="77" spans="1:13" x14ac:dyDescent="0.25">
      <c r="A77" s="1">
        <v>2458343.6730999998</v>
      </c>
      <c r="B77" s="1" t="s">
        <v>77</v>
      </c>
      <c r="C77" s="1">
        <v>11.029</v>
      </c>
      <c r="D77" s="1" t="s">
        <v>292</v>
      </c>
      <c r="E77" t="s">
        <v>295</v>
      </c>
      <c r="F77">
        <f t="shared" si="8"/>
        <v>8343.6730999997817</v>
      </c>
      <c r="G77">
        <f t="shared" si="9"/>
        <v>8343.7000000000007</v>
      </c>
      <c r="H77">
        <f t="shared" si="10"/>
        <v>11.029</v>
      </c>
      <c r="J77">
        <f t="shared" si="7"/>
        <v>8343.6730999997817</v>
      </c>
      <c r="K77">
        <f t="shared" si="11"/>
        <v>8343.5</v>
      </c>
      <c r="L77">
        <f t="shared" si="12"/>
        <v>8343.5</v>
      </c>
      <c r="M77">
        <f t="shared" si="13"/>
        <v>11.029</v>
      </c>
    </row>
    <row r="78" spans="1:13" x14ac:dyDescent="0.25">
      <c r="A78" s="1">
        <v>2458343.6740199998</v>
      </c>
      <c r="B78" s="1" t="s">
        <v>77</v>
      </c>
      <c r="C78" s="1">
        <v>11.041</v>
      </c>
      <c r="D78" s="1" t="s">
        <v>292</v>
      </c>
      <c r="E78" t="s">
        <v>295</v>
      </c>
      <c r="F78">
        <f t="shared" si="8"/>
        <v>8343.6740199998021</v>
      </c>
      <c r="G78">
        <f t="shared" si="9"/>
        <v>8343.7000000000007</v>
      </c>
      <c r="H78">
        <f t="shared" si="10"/>
        <v>11.041</v>
      </c>
      <c r="J78">
        <f t="shared" si="7"/>
        <v>8343.6740199998021</v>
      </c>
      <c r="K78">
        <f t="shared" si="11"/>
        <v>8343.5</v>
      </c>
      <c r="L78">
        <f t="shared" si="12"/>
        <v>8343.5</v>
      </c>
      <c r="M78">
        <f t="shared" si="13"/>
        <v>11.041</v>
      </c>
    </row>
    <row r="79" spans="1:13" x14ac:dyDescent="0.25">
      <c r="A79" s="1">
        <v>2458343.6749399998</v>
      </c>
      <c r="B79" s="1" t="s">
        <v>77</v>
      </c>
      <c r="C79" s="1">
        <v>11.06</v>
      </c>
      <c r="D79" s="1" t="s">
        <v>292</v>
      </c>
      <c r="E79" t="s">
        <v>295</v>
      </c>
      <c r="F79">
        <f t="shared" si="8"/>
        <v>8343.6749399998225</v>
      </c>
      <c r="G79">
        <f t="shared" si="9"/>
        <v>8343.7000000000007</v>
      </c>
      <c r="H79">
        <f t="shared" si="10"/>
        <v>11.06</v>
      </c>
      <c r="J79">
        <f t="shared" si="7"/>
        <v>8343.6749399998225</v>
      </c>
      <c r="K79">
        <f t="shared" si="11"/>
        <v>8343.5</v>
      </c>
      <c r="L79">
        <f t="shared" si="12"/>
        <v>8343.5</v>
      </c>
      <c r="M79">
        <f t="shared" si="13"/>
        <v>11.06</v>
      </c>
    </row>
    <row r="80" spans="1:13" x14ac:dyDescent="0.25">
      <c r="A80" s="1">
        <v>2458343.6771999998</v>
      </c>
      <c r="B80" s="1" t="s">
        <v>77</v>
      </c>
      <c r="C80" s="1">
        <v>11.002000000000001</v>
      </c>
      <c r="D80" s="1" t="s">
        <v>292</v>
      </c>
      <c r="E80" t="s">
        <v>295</v>
      </c>
      <c r="F80">
        <f t="shared" si="8"/>
        <v>8343.6771999998018</v>
      </c>
      <c r="G80">
        <f t="shared" si="9"/>
        <v>8343.7000000000007</v>
      </c>
      <c r="H80">
        <f t="shared" si="10"/>
        <v>11.002000000000001</v>
      </c>
      <c r="J80">
        <f t="shared" si="7"/>
        <v>8343.6771999998018</v>
      </c>
      <c r="K80">
        <f t="shared" si="11"/>
        <v>8343.5</v>
      </c>
      <c r="L80">
        <f t="shared" si="12"/>
        <v>8343.5</v>
      </c>
      <c r="M80">
        <f t="shared" si="13"/>
        <v>11.002000000000001</v>
      </c>
    </row>
    <row r="81" spans="1:13" x14ac:dyDescent="0.25">
      <c r="A81" s="1">
        <v>2458343.6781199998</v>
      </c>
      <c r="B81" s="1" t="s">
        <v>77</v>
      </c>
      <c r="C81" s="1">
        <v>11.048999999999999</v>
      </c>
      <c r="D81" s="1" t="s">
        <v>292</v>
      </c>
      <c r="E81" t="s">
        <v>295</v>
      </c>
      <c r="F81">
        <f t="shared" si="8"/>
        <v>8343.6781199998222</v>
      </c>
      <c r="G81">
        <f t="shared" si="9"/>
        <v>8343.7000000000007</v>
      </c>
      <c r="H81">
        <f t="shared" si="10"/>
        <v>11.048999999999999</v>
      </c>
      <c r="J81">
        <f t="shared" si="7"/>
        <v>8343.6781199998222</v>
      </c>
      <c r="K81">
        <f t="shared" si="11"/>
        <v>8343.5</v>
      </c>
      <c r="L81">
        <f t="shared" si="12"/>
        <v>8343.5</v>
      </c>
      <c r="M81">
        <f t="shared" si="13"/>
        <v>11.048999999999999</v>
      </c>
    </row>
    <row r="82" spans="1:13" x14ac:dyDescent="0.25">
      <c r="A82" s="1">
        <v>2458343.6790300002</v>
      </c>
      <c r="B82" s="1" t="s">
        <v>77</v>
      </c>
      <c r="C82" s="1">
        <v>11.095000000000001</v>
      </c>
      <c r="D82" s="1" t="s">
        <v>292</v>
      </c>
      <c r="E82" t="s">
        <v>295</v>
      </c>
      <c r="F82">
        <f t="shared" si="8"/>
        <v>8343.6790300002322</v>
      </c>
      <c r="G82">
        <f t="shared" si="9"/>
        <v>8343.7000000000007</v>
      </c>
      <c r="H82">
        <f t="shared" si="10"/>
        <v>11.095000000000001</v>
      </c>
      <c r="J82">
        <f t="shared" si="7"/>
        <v>8343.6790300002322</v>
      </c>
      <c r="K82">
        <f t="shared" si="11"/>
        <v>8343.5</v>
      </c>
      <c r="L82">
        <f t="shared" si="12"/>
        <v>8343.5</v>
      </c>
      <c r="M82">
        <f t="shared" si="13"/>
        <v>11.095000000000001</v>
      </c>
    </row>
    <row r="83" spans="1:13" x14ac:dyDescent="0.25">
      <c r="A83" s="1">
        <v>2458343.6812999998</v>
      </c>
      <c r="B83" s="1" t="s">
        <v>77</v>
      </c>
      <c r="C83" s="1">
        <v>11.045999999999999</v>
      </c>
      <c r="D83" s="1" t="s">
        <v>292</v>
      </c>
      <c r="E83" t="s">
        <v>295</v>
      </c>
      <c r="F83">
        <f t="shared" si="8"/>
        <v>8343.6812999998219</v>
      </c>
      <c r="G83">
        <f t="shared" si="9"/>
        <v>8343.7000000000007</v>
      </c>
      <c r="H83">
        <f t="shared" si="10"/>
        <v>11.045999999999999</v>
      </c>
      <c r="J83">
        <f t="shared" si="7"/>
        <v>8343.6812999998219</v>
      </c>
      <c r="K83">
        <f t="shared" si="11"/>
        <v>8343.5</v>
      </c>
      <c r="L83">
        <f t="shared" si="12"/>
        <v>8343.5</v>
      </c>
      <c r="M83">
        <f t="shared" si="13"/>
        <v>11.045999999999999</v>
      </c>
    </row>
    <row r="84" spans="1:13" x14ac:dyDescent="0.25">
      <c r="A84" s="1">
        <v>2458343.6822100002</v>
      </c>
      <c r="B84" s="1" t="s">
        <v>77</v>
      </c>
      <c r="C84" s="1">
        <v>11.045999999999999</v>
      </c>
      <c r="D84" s="1" t="s">
        <v>292</v>
      </c>
      <c r="E84" t="s">
        <v>295</v>
      </c>
      <c r="F84">
        <f t="shared" si="8"/>
        <v>8343.6822100002319</v>
      </c>
      <c r="G84">
        <f t="shared" si="9"/>
        <v>8343.7000000000007</v>
      </c>
      <c r="H84">
        <f t="shared" si="10"/>
        <v>11.045999999999999</v>
      </c>
      <c r="J84">
        <f t="shared" si="7"/>
        <v>8343.6822100002319</v>
      </c>
      <c r="K84">
        <f t="shared" si="11"/>
        <v>8343.5</v>
      </c>
      <c r="L84">
        <f t="shared" si="12"/>
        <v>8343.5</v>
      </c>
      <c r="M84">
        <f t="shared" si="13"/>
        <v>11.045999999999999</v>
      </c>
    </row>
    <row r="85" spans="1:13" x14ac:dyDescent="0.25">
      <c r="A85" s="1">
        <v>2458343.6831299998</v>
      </c>
      <c r="B85" s="1" t="s">
        <v>77</v>
      </c>
      <c r="C85" s="1">
        <v>11.102</v>
      </c>
      <c r="D85" s="1" t="s">
        <v>292</v>
      </c>
      <c r="E85" t="s">
        <v>295</v>
      </c>
      <c r="F85">
        <f t="shared" si="8"/>
        <v>8343.6831299997866</v>
      </c>
      <c r="G85">
        <f t="shared" si="9"/>
        <v>8343.7000000000007</v>
      </c>
      <c r="H85">
        <f t="shared" si="10"/>
        <v>11.102</v>
      </c>
      <c r="J85">
        <f t="shared" si="7"/>
        <v>8343.6831299997866</v>
      </c>
      <c r="K85">
        <f t="shared" si="11"/>
        <v>8343.5</v>
      </c>
      <c r="L85">
        <f t="shared" si="12"/>
        <v>8343.5</v>
      </c>
      <c r="M85">
        <f t="shared" si="13"/>
        <v>11.102</v>
      </c>
    </row>
    <row r="86" spans="1:13" x14ac:dyDescent="0.25">
      <c r="A86" s="1">
        <v>2458343.6853999998</v>
      </c>
      <c r="B86" s="1" t="s">
        <v>77</v>
      </c>
      <c r="C86" s="1">
        <v>11.074</v>
      </c>
      <c r="D86" s="1" t="s">
        <v>292</v>
      </c>
      <c r="E86" t="s">
        <v>295</v>
      </c>
      <c r="F86">
        <f t="shared" si="8"/>
        <v>8343.685399999842</v>
      </c>
      <c r="G86">
        <f t="shared" si="9"/>
        <v>8343.7000000000007</v>
      </c>
      <c r="H86">
        <f t="shared" si="10"/>
        <v>11.074</v>
      </c>
      <c r="J86">
        <f t="shared" si="7"/>
        <v>8343.685399999842</v>
      </c>
      <c r="K86">
        <f t="shared" si="11"/>
        <v>8343.5</v>
      </c>
      <c r="L86">
        <f t="shared" si="12"/>
        <v>8343.5</v>
      </c>
      <c r="M86">
        <f t="shared" si="13"/>
        <v>11.074</v>
      </c>
    </row>
    <row r="87" spans="1:13" x14ac:dyDescent="0.25">
      <c r="A87" s="1">
        <v>2458343.6863099998</v>
      </c>
      <c r="B87" s="1" t="s">
        <v>77</v>
      </c>
      <c r="C87" s="1">
        <v>11.031000000000001</v>
      </c>
      <c r="D87" s="1" t="s">
        <v>292</v>
      </c>
      <c r="E87" t="s">
        <v>295</v>
      </c>
      <c r="F87">
        <f t="shared" si="8"/>
        <v>8343.6863099997863</v>
      </c>
      <c r="G87">
        <f t="shared" si="9"/>
        <v>8343.7000000000007</v>
      </c>
      <c r="H87">
        <f t="shared" si="10"/>
        <v>11.031000000000001</v>
      </c>
      <c r="J87">
        <f t="shared" si="7"/>
        <v>8343.6863099997863</v>
      </c>
      <c r="K87">
        <f t="shared" si="11"/>
        <v>8343.5</v>
      </c>
      <c r="L87">
        <f t="shared" si="12"/>
        <v>8343.5</v>
      </c>
      <c r="M87">
        <f t="shared" si="13"/>
        <v>11.031000000000001</v>
      </c>
    </row>
    <row r="88" spans="1:13" x14ac:dyDescent="0.25">
      <c r="A88" s="1">
        <v>2458343.6872200002</v>
      </c>
      <c r="B88" s="1" t="s">
        <v>77</v>
      </c>
      <c r="C88" s="1">
        <v>11.07</v>
      </c>
      <c r="D88" s="1" t="s">
        <v>292</v>
      </c>
      <c r="E88" t="s">
        <v>295</v>
      </c>
      <c r="F88">
        <f t="shared" si="8"/>
        <v>8343.6872200001962</v>
      </c>
      <c r="G88">
        <f t="shared" si="9"/>
        <v>8343.7000000000007</v>
      </c>
      <c r="H88">
        <f t="shared" si="10"/>
        <v>11.07</v>
      </c>
      <c r="J88">
        <f t="shared" si="7"/>
        <v>8343.6872200001962</v>
      </c>
      <c r="K88">
        <f t="shared" si="11"/>
        <v>8343.5</v>
      </c>
      <c r="L88">
        <f t="shared" si="12"/>
        <v>8343.5</v>
      </c>
      <c r="M88">
        <f t="shared" si="13"/>
        <v>11.07</v>
      </c>
    </row>
    <row r="89" spans="1:13" x14ac:dyDescent="0.25">
      <c r="A89" s="1">
        <v>2458343.6894899998</v>
      </c>
      <c r="B89" s="1" t="s">
        <v>77</v>
      </c>
      <c r="C89" s="1">
        <v>11.068</v>
      </c>
      <c r="D89" s="1" t="s">
        <v>292</v>
      </c>
      <c r="E89" t="s">
        <v>295</v>
      </c>
      <c r="F89">
        <f t="shared" si="8"/>
        <v>8343.689489999786</v>
      </c>
      <c r="G89">
        <f t="shared" si="9"/>
        <v>8343.7000000000007</v>
      </c>
      <c r="H89">
        <f t="shared" si="10"/>
        <v>11.068</v>
      </c>
      <c r="J89">
        <f t="shared" ref="J89:J152" si="14">+F89</f>
        <v>8343.689489999786</v>
      </c>
      <c r="K89">
        <f t="shared" si="11"/>
        <v>8343.5</v>
      </c>
      <c r="L89">
        <f t="shared" si="12"/>
        <v>8343.5</v>
      </c>
      <c r="M89">
        <f t="shared" si="13"/>
        <v>11.068</v>
      </c>
    </row>
    <row r="90" spans="1:13" x14ac:dyDescent="0.25">
      <c r="A90" s="1">
        <v>2458343.6904000002</v>
      </c>
      <c r="B90" s="1" t="s">
        <v>77</v>
      </c>
      <c r="C90" s="1">
        <v>11.026999999999999</v>
      </c>
      <c r="D90" s="1" t="s">
        <v>292</v>
      </c>
      <c r="E90" t="s">
        <v>295</v>
      </c>
      <c r="F90">
        <f t="shared" si="8"/>
        <v>8343.690400000196</v>
      </c>
      <c r="G90">
        <f t="shared" si="9"/>
        <v>8343.7000000000007</v>
      </c>
      <c r="H90">
        <f t="shared" si="10"/>
        <v>11.026999999999999</v>
      </c>
      <c r="J90">
        <f t="shared" si="14"/>
        <v>8343.690400000196</v>
      </c>
      <c r="K90">
        <f t="shared" si="11"/>
        <v>8343.5</v>
      </c>
      <c r="L90">
        <f t="shared" si="12"/>
        <v>8343.5</v>
      </c>
      <c r="M90">
        <f t="shared" si="13"/>
        <v>11.026999999999999</v>
      </c>
    </row>
    <row r="91" spans="1:13" x14ac:dyDescent="0.25">
      <c r="A91" s="1">
        <v>2458343.6913200002</v>
      </c>
      <c r="B91" s="1" t="s">
        <v>77</v>
      </c>
      <c r="C91" s="1">
        <v>11.018000000000001</v>
      </c>
      <c r="D91" s="1" t="s">
        <v>292</v>
      </c>
      <c r="E91" t="s">
        <v>295</v>
      </c>
      <c r="F91">
        <f t="shared" si="8"/>
        <v>8343.6913200002164</v>
      </c>
      <c r="G91">
        <f t="shared" si="9"/>
        <v>8343.7000000000007</v>
      </c>
      <c r="H91">
        <f t="shared" si="10"/>
        <v>11.018000000000001</v>
      </c>
      <c r="J91">
        <f t="shared" si="14"/>
        <v>8343.6913200002164</v>
      </c>
      <c r="K91">
        <f t="shared" si="11"/>
        <v>8343.5</v>
      </c>
      <c r="L91">
        <f t="shared" si="12"/>
        <v>8343.5</v>
      </c>
      <c r="M91">
        <f t="shared" si="13"/>
        <v>11.018000000000001</v>
      </c>
    </row>
    <row r="92" spans="1:13" x14ac:dyDescent="0.25">
      <c r="A92" s="1">
        <v>2458343.6935800002</v>
      </c>
      <c r="B92" s="1" t="s">
        <v>77</v>
      </c>
      <c r="C92" s="1">
        <v>11.057</v>
      </c>
      <c r="D92" s="1" t="s">
        <v>292</v>
      </c>
      <c r="E92" t="s">
        <v>295</v>
      </c>
      <c r="F92">
        <f t="shared" si="8"/>
        <v>8343.6935800001957</v>
      </c>
      <c r="G92">
        <f t="shared" si="9"/>
        <v>8343.7000000000007</v>
      </c>
      <c r="H92">
        <f t="shared" si="10"/>
        <v>11.057</v>
      </c>
      <c r="J92">
        <f t="shared" si="14"/>
        <v>8343.6935800001957</v>
      </c>
      <c r="K92">
        <f t="shared" si="11"/>
        <v>8343.5</v>
      </c>
      <c r="L92">
        <f t="shared" si="12"/>
        <v>8343.5</v>
      </c>
      <c r="M92">
        <f t="shared" si="13"/>
        <v>11.057</v>
      </c>
    </row>
    <row r="93" spans="1:13" x14ac:dyDescent="0.25">
      <c r="A93" s="1">
        <v>2458343.6944900001</v>
      </c>
      <c r="B93" s="1" t="s">
        <v>77</v>
      </c>
      <c r="C93" s="1">
        <v>11.045</v>
      </c>
      <c r="D93" s="1" t="s">
        <v>292</v>
      </c>
      <c r="E93" t="s">
        <v>295</v>
      </c>
      <c r="F93">
        <f t="shared" si="8"/>
        <v>8343.6944900001399</v>
      </c>
      <c r="G93">
        <f t="shared" si="9"/>
        <v>8343.7000000000007</v>
      </c>
      <c r="H93">
        <f t="shared" si="10"/>
        <v>11.045</v>
      </c>
      <c r="J93">
        <f t="shared" si="14"/>
        <v>8343.6944900001399</v>
      </c>
      <c r="K93">
        <f t="shared" si="11"/>
        <v>8343.5</v>
      </c>
      <c r="L93">
        <f t="shared" si="12"/>
        <v>8343.5</v>
      </c>
      <c r="M93">
        <f t="shared" si="13"/>
        <v>11.045</v>
      </c>
    </row>
    <row r="94" spans="1:13" x14ac:dyDescent="0.25">
      <c r="A94" s="1">
        <v>2458343.6954100002</v>
      </c>
      <c r="B94" s="1" t="s">
        <v>77</v>
      </c>
      <c r="C94" s="1">
        <v>11.012</v>
      </c>
      <c r="D94" s="1" t="s">
        <v>292</v>
      </c>
      <c r="E94" t="s">
        <v>295</v>
      </c>
      <c r="F94">
        <f t="shared" si="8"/>
        <v>8343.6954100001603</v>
      </c>
      <c r="G94">
        <f t="shared" si="9"/>
        <v>8343.7000000000007</v>
      </c>
      <c r="H94">
        <f t="shared" si="10"/>
        <v>11.012</v>
      </c>
      <c r="J94">
        <f t="shared" si="14"/>
        <v>8343.6954100001603</v>
      </c>
      <c r="K94">
        <f t="shared" si="11"/>
        <v>8343.5</v>
      </c>
      <c r="L94">
        <f t="shared" si="12"/>
        <v>8343.5</v>
      </c>
      <c r="M94">
        <f t="shared" si="13"/>
        <v>11.012</v>
      </c>
    </row>
    <row r="95" spans="1:13" x14ac:dyDescent="0.25">
      <c r="A95" s="1">
        <v>2458343.6976700001</v>
      </c>
      <c r="B95" s="1" t="s">
        <v>77</v>
      </c>
      <c r="C95" s="1">
        <v>11.031000000000001</v>
      </c>
      <c r="D95" s="1" t="s">
        <v>292</v>
      </c>
      <c r="E95" t="s">
        <v>295</v>
      </c>
      <c r="F95">
        <f t="shared" si="8"/>
        <v>8343.6976700001396</v>
      </c>
      <c r="G95">
        <f t="shared" si="9"/>
        <v>8343.7000000000007</v>
      </c>
      <c r="H95">
        <f t="shared" si="10"/>
        <v>11.031000000000001</v>
      </c>
      <c r="J95">
        <f t="shared" si="14"/>
        <v>8343.6976700001396</v>
      </c>
      <c r="K95">
        <f t="shared" si="11"/>
        <v>8343.5</v>
      </c>
      <c r="L95">
        <f t="shared" si="12"/>
        <v>8343.5</v>
      </c>
      <c r="M95">
        <f t="shared" si="13"/>
        <v>11.031000000000001</v>
      </c>
    </row>
    <row r="96" spans="1:13" x14ac:dyDescent="0.25">
      <c r="A96" s="1">
        <v>2458343.6985900002</v>
      </c>
      <c r="B96" s="1" t="s">
        <v>77</v>
      </c>
      <c r="C96" s="1">
        <v>11.05</v>
      </c>
      <c r="D96" s="1" t="s">
        <v>292</v>
      </c>
      <c r="E96" t="s">
        <v>295</v>
      </c>
      <c r="F96">
        <f t="shared" si="8"/>
        <v>8343.69859000016</v>
      </c>
      <c r="G96">
        <f t="shared" si="9"/>
        <v>8343.7000000000007</v>
      </c>
      <c r="H96">
        <f t="shared" si="10"/>
        <v>11.05</v>
      </c>
      <c r="J96">
        <f t="shared" si="14"/>
        <v>8343.69859000016</v>
      </c>
      <c r="K96">
        <f t="shared" si="11"/>
        <v>8343.5</v>
      </c>
      <c r="L96">
        <f t="shared" si="12"/>
        <v>8343.5</v>
      </c>
      <c r="M96">
        <f t="shared" si="13"/>
        <v>11.05</v>
      </c>
    </row>
    <row r="97" spans="1:13" x14ac:dyDescent="0.25">
      <c r="A97" s="1">
        <v>2458343.6995100002</v>
      </c>
      <c r="B97" s="1" t="s">
        <v>77</v>
      </c>
      <c r="C97" s="1">
        <v>11.048999999999999</v>
      </c>
      <c r="D97" s="1" t="s">
        <v>292</v>
      </c>
      <c r="E97" t="s">
        <v>295</v>
      </c>
      <c r="F97">
        <f t="shared" si="8"/>
        <v>8343.6995100001805</v>
      </c>
      <c r="G97">
        <f t="shared" si="9"/>
        <v>8343.7000000000007</v>
      </c>
      <c r="H97">
        <f t="shared" si="10"/>
        <v>11.048999999999999</v>
      </c>
      <c r="J97">
        <f t="shared" si="14"/>
        <v>8343.6995100001805</v>
      </c>
      <c r="K97">
        <f t="shared" si="11"/>
        <v>8343.5</v>
      </c>
      <c r="L97">
        <f t="shared" si="12"/>
        <v>8343.5</v>
      </c>
      <c r="M97">
        <f t="shared" si="13"/>
        <v>11.048999999999999</v>
      </c>
    </row>
    <row r="98" spans="1:13" x14ac:dyDescent="0.25">
      <c r="A98" s="1">
        <v>2458343.7017799998</v>
      </c>
      <c r="B98" s="1" t="s">
        <v>77</v>
      </c>
      <c r="C98" s="1">
        <v>11.028</v>
      </c>
      <c r="D98" s="1" t="s">
        <v>292</v>
      </c>
      <c r="E98" t="s">
        <v>295</v>
      </c>
      <c r="F98">
        <f t="shared" si="8"/>
        <v>8343.7017799997702</v>
      </c>
      <c r="G98">
        <f t="shared" si="9"/>
        <v>8343.7000000000007</v>
      </c>
      <c r="H98">
        <f t="shared" si="10"/>
        <v>11.028</v>
      </c>
      <c r="J98">
        <f t="shared" si="14"/>
        <v>8343.7017799997702</v>
      </c>
      <c r="K98">
        <f t="shared" si="11"/>
        <v>8343.5</v>
      </c>
      <c r="L98">
        <f t="shared" si="12"/>
        <v>8343.5</v>
      </c>
      <c r="M98">
        <f t="shared" si="13"/>
        <v>11.028</v>
      </c>
    </row>
    <row r="99" spans="1:13" x14ac:dyDescent="0.25">
      <c r="A99" s="1">
        <v>2458343.7026900002</v>
      </c>
      <c r="B99" s="1" t="s">
        <v>77</v>
      </c>
      <c r="C99" s="1">
        <v>11.025</v>
      </c>
      <c r="D99" s="1" t="s">
        <v>292</v>
      </c>
      <c r="E99" t="s">
        <v>295</v>
      </c>
      <c r="F99">
        <f t="shared" si="8"/>
        <v>8343.7026900001802</v>
      </c>
      <c r="G99">
        <f t="shared" si="9"/>
        <v>8343.7000000000007</v>
      </c>
      <c r="H99">
        <f t="shared" si="10"/>
        <v>11.025</v>
      </c>
      <c r="J99">
        <f t="shared" si="14"/>
        <v>8343.7026900001802</v>
      </c>
      <c r="K99">
        <f t="shared" si="11"/>
        <v>8343.5</v>
      </c>
      <c r="L99">
        <f t="shared" si="12"/>
        <v>8343.5</v>
      </c>
      <c r="M99">
        <f t="shared" si="13"/>
        <v>11.025</v>
      </c>
    </row>
    <row r="100" spans="1:13" x14ac:dyDescent="0.25">
      <c r="A100" s="1">
        <v>2458343.7036100002</v>
      </c>
      <c r="B100" s="1" t="s">
        <v>77</v>
      </c>
      <c r="C100" s="1">
        <v>11.003</v>
      </c>
      <c r="D100" s="1" t="s">
        <v>292</v>
      </c>
      <c r="E100" t="s">
        <v>295</v>
      </c>
      <c r="F100">
        <f t="shared" si="8"/>
        <v>8343.7036100002006</v>
      </c>
      <c r="G100">
        <f t="shared" si="9"/>
        <v>8343.7000000000007</v>
      </c>
      <c r="H100">
        <f t="shared" si="10"/>
        <v>11.003</v>
      </c>
      <c r="J100">
        <f t="shared" si="14"/>
        <v>8343.7036100002006</v>
      </c>
      <c r="K100">
        <f t="shared" si="11"/>
        <v>8343.5</v>
      </c>
      <c r="L100">
        <f t="shared" si="12"/>
        <v>8343.5</v>
      </c>
      <c r="M100">
        <f t="shared" si="13"/>
        <v>11.003</v>
      </c>
    </row>
    <row r="101" spans="1:13" x14ac:dyDescent="0.25">
      <c r="A101" s="1">
        <v>2458343.7058700002</v>
      </c>
      <c r="B101" s="1" t="s">
        <v>77</v>
      </c>
      <c r="C101" s="1">
        <v>11.051</v>
      </c>
      <c r="D101" s="1" t="s">
        <v>292</v>
      </c>
      <c r="E101" t="s">
        <v>295</v>
      </c>
      <c r="F101">
        <f t="shared" si="8"/>
        <v>8343.7058700001799</v>
      </c>
      <c r="G101">
        <f t="shared" si="9"/>
        <v>8343.7000000000007</v>
      </c>
      <c r="H101">
        <f t="shared" si="10"/>
        <v>11.051</v>
      </c>
      <c r="J101">
        <f t="shared" si="14"/>
        <v>8343.7058700001799</v>
      </c>
      <c r="K101">
        <f t="shared" si="11"/>
        <v>8343.5</v>
      </c>
      <c r="L101">
        <f t="shared" si="12"/>
        <v>8343.5</v>
      </c>
      <c r="M101">
        <f t="shared" si="13"/>
        <v>11.051</v>
      </c>
    </row>
    <row r="102" spans="1:13" x14ac:dyDescent="0.25">
      <c r="A102" s="1">
        <v>2458343.7067900002</v>
      </c>
      <c r="B102" s="1" t="s">
        <v>77</v>
      </c>
      <c r="C102" s="1">
        <v>11.069000000000001</v>
      </c>
      <c r="D102" s="1" t="s">
        <v>292</v>
      </c>
      <c r="E102" t="s">
        <v>295</v>
      </c>
      <c r="F102">
        <f t="shared" si="8"/>
        <v>8343.7067900002003</v>
      </c>
      <c r="G102">
        <f t="shared" si="9"/>
        <v>8343.7000000000007</v>
      </c>
      <c r="H102">
        <f t="shared" si="10"/>
        <v>11.069000000000001</v>
      </c>
      <c r="J102">
        <f t="shared" si="14"/>
        <v>8343.7067900002003</v>
      </c>
      <c r="K102">
        <f t="shared" si="11"/>
        <v>8343.5</v>
      </c>
      <c r="L102">
        <f t="shared" si="12"/>
        <v>8343.5</v>
      </c>
      <c r="M102">
        <f t="shared" si="13"/>
        <v>11.069000000000001</v>
      </c>
    </row>
    <row r="103" spans="1:13" x14ac:dyDescent="0.25">
      <c r="A103" s="1">
        <v>2458343.7077100002</v>
      </c>
      <c r="B103" s="1" t="s">
        <v>77</v>
      </c>
      <c r="C103" s="1">
        <v>11.042</v>
      </c>
      <c r="D103" s="1" t="s">
        <v>292</v>
      </c>
      <c r="E103" t="s">
        <v>295</v>
      </c>
      <c r="F103">
        <f t="shared" si="8"/>
        <v>8343.7077100002207</v>
      </c>
      <c r="G103">
        <f t="shared" si="9"/>
        <v>8343.7000000000007</v>
      </c>
      <c r="H103">
        <f t="shared" si="10"/>
        <v>11.042</v>
      </c>
      <c r="J103">
        <f t="shared" si="14"/>
        <v>8343.7077100002207</v>
      </c>
      <c r="K103">
        <f t="shared" si="11"/>
        <v>8343.5</v>
      </c>
      <c r="L103">
        <f t="shared" si="12"/>
        <v>8343.5</v>
      </c>
      <c r="M103">
        <f t="shared" si="13"/>
        <v>11.042</v>
      </c>
    </row>
    <row r="104" spans="1:13" x14ac:dyDescent="0.25">
      <c r="A104" s="1">
        <v>2458343.7099700002</v>
      </c>
      <c r="B104" s="1" t="s">
        <v>77</v>
      </c>
      <c r="C104" s="1">
        <v>11.044</v>
      </c>
      <c r="D104" s="1" t="s">
        <v>292</v>
      </c>
      <c r="E104" t="s">
        <v>295</v>
      </c>
      <c r="F104">
        <f t="shared" si="8"/>
        <v>8343.7099700002</v>
      </c>
      <c r="G104">
        <f t="shared" si="9"/>
        <v>8343.7000000000007</v>
      </c>
      <c r="H104">
        <f t="shared" si="10"/>
        <v>11.044</v>
      </c>
      <c r="J104">
        <f t="shared" si="14"/>
        <v>8343.7099700002</v>
      </c>
      <c r="K104">
        <f t="shared" si="11"/>
        <v>8343.5</v>
      </c>
      <c r="L104">
        <f t="shared" si="12"/>
        <v>8343.5</v>
      </c>
      <c r="M104">
        <f t="shared" si="13"/>
        <v>11.044</v>
      </c>
    </row>
    <row r="105" spans="1:13" x14ac:dyDescent="0.25">
      <c r="A105" s="1">
        <v>2458343.7108900002</v>
      </c>
      <c r="B105" s="1" t="s">
        <v>77</v>
      </c>
      <c r="C105" s="1">
        <v>11.032</v>
      </c>
      <c r="D105" s="1" t="s">
        <v>292</v>
      </c>
      <c r="E105" t="s">
        <v>295</v>
      </c>
      <c r="F105">
        <f t="shared" si="8"/>
        <v>8343.7108900002204</v>
      </c>
      <c r="G105">
        <f t="shared" si="9"/>
        <v>8343.7000000000007</v>
      </c>
      <c r="H105">
        <f t="shared" si="10"/>
        <v>11.032</v>
      </c>
      <c r="J105">
        <f t="shared" si="14"/>
        <v>8343.7108900002204</v>
      </c>
      <c r="K105">
        <f t="shared" si="11"/>
        <v>8343.5</v>
      </c>
      <c r="L105">
        <f t="shared" si="12"/>
        <v>8343.5</v>
      </c>
      <c r="M105">
        <f t="shared" si="13"/>
        <v>11.032</v>
      </c>
    </row>
    <row r="106" spans="1:13" x14ac:dyDescent="0.25">
      <c r="A106" s="1">
        <v>2458343.7118000002</v>
      </c>
      <c r="B106" s="1" t="s">
        <v>77</v>
      </c>
      <c r="C106" s="1">
        <v>11.025</v>
      </c>
      <c r="D106" s="1" t="s">
        <v>292</v>
      </c>
      <c r="E106" t="s">
        <v>295</v>
      </c>
      <c r="F106">
        <f t="shared" si="8"/>
        <v>8343.7118000001647</v>
      </c>
      <c r="G106">
        <f t="shared" si="9"/>
        <v>8343.7000000000007</v>
      </c>
      <c r="H106">
        <f t="shared" si="10"/>
        <v>11.025</v>
      </c>
      <c r="J106">
        <f t="shared" si="14"/>
        <v>8343.7118000001647</v>
      </c>
      <c r="K106">
        <f t="shared" si="11"/>
        <v>8343.5</v>
      </c>
      <c r="L106">
        <f t="shared" si="12"/>
        <v>8343.5</v>
      </c>
      <c r="M106">
        <f t="shared" si="13"/>
        <v>11.025</v>
      </c>
    </row>
    <row r="107" spans="1:13" x14ac:dyDescent="0.25">
      <c r="A107" s="1">
        <v>2458343.7140700002</v>
      </c>
      <c r="B107" s="1" t="s">
        <v>77</v>
      </c>
      <c r="C107" s="1">
        <v>11.025</v>
      </c>
      <c r="D107" s="1" t="s">
        <v>292</v>
      </c>
      <c r="E107" t="s">
        <v>295</v>
      </c>
      <c r="F107">
        <f t="shared" si="8"/>
        <v>8343.7140700002201</v>
      </c>
      <c r="G107">
        <f t="shared" si="9"/>
        <v>8343.7000000000007</v>
      </c>
      <c r="H107">
        <f t="shared" si="10"/>
        <v>11.025</v>
      </c>
      <c r="J107">
        <f t="shared" si="14"/>
        <v>8343.7140700002201</v>
      </c>
      <c r="K107">
        <f t="shared" si="11"/>
        <v>8343.5</v>
      </c>
      <c r="L107">
        <f t="shared" si="12"/>
        <v>8343.5</v>
      </c>
      <c r="M107">
        <f t="shared" si="13"/>
        <v>11.025</v>
      </c>
    </row>
    <row r="108" spans="1:13" x14ac:dyDescent="0.25">
      <c r="A108" s="1">
        <v>2458343.7149800002</v>
      </c>
      <c r="B108" s="1" t="s">
        <v>77</v>
      </c>
      <c r="C108" s="1">
        <v>11.012</v>
      </c>
      <c r="D108" s="1" t="s">
        <v>292</v>
      </c>
      <c r="E108" t="s">
        <v>295</v>
      </c>
      <c r="F108">
        <f t="shared" si="8"/>
        <v>8343.7149800001644</v>
      </c>
      <c r="G108">
        <f t="shared" si="9"/>
        <v>8343.7000000000007</v>
      </c>
      <c r="H108">
        <f t="shared" si="10"/>
        <v>11.012</v>
      </c>
      <c r="J108">
        <f t="shared" si="14"/>
        <v>8343.7149800001644</v>
      </c>
      <c r="K108">
        <f t="shared" si="11"/>
        <v>8343.5</v>
      </c>
      <c r="L108">
        <f t="shared" si="12"/>
        <v>8343.5</v>
      </c>
      <c r="M108">
        <f t="shared" si="13"/>
        <v>11.012</v>
      </c>
    </row>
    <row r="109" spans="1:13" x14ac:dyDescent="0.25">
      <c r="A109" s="1">
        <v>2458343.7159000002</v>
      </c>
      <c r="B109" s="1" t="s">
        <v>77</v>
      </c>
      <c r="C109" s="1">
        <v>11.007</v>
      </c>
      <c r="D109" s="1" t="s">
        <v>292</v>
      </c>
      <c r="E109" t="s">
        <v>295</v>
      </c>
      <c r="F109">
        <f t="shared" si="8"/>
        <v>8343.7159000001848</v>
      </c>
      <c r="G109">
        <f t="shared" si="9"/>
        <v>8343.7000000000007</v>
      </c>
      <c r="H109">
        <f t="shared" si="10"/>
        <v>11.007</v>
      </c>
      <c r="J109">
        <f t="shared" si="14"/>
        <v>8343.7159000001848</v>
      </c>
      <c r="K109">
        <f t="shared" si="11"/>
        <v>8343.5</v>
      </c>
      <c r="L109">
        <f t="shared" si="12"/>
        <v>8343.5</v>
      </c>
      <c r="M109">
        <f t="shared" si="13"/>
        <v>11.007</v>
      </c>
    </row>
    <row r="110" spans="1:13" x14ac:dyDescent="0.25">
      <c r="A110" s="1">
        <v>2458343.7181600002</v>
      </c>
      <c r="B110" s="1" t="s">
        <v>77</v>
      </c>
      <c r="C110" s="1">
        <v>10.988</v>
      </c>
      <c r="D110" s="1" t="s">
        <v>292</v>
      </c>
      <c r="E110" t="s">
        <v>295</v>
      </c>
      <c r="F110">
        <f t="shared" si="8"/>
        <v>8343.7181600001641</v>
      </c>
      <c r="G110">
        <f t="shared" si="9"/>
        <v>8343.7000000000007</v>
      </c>
      <c r="H110">
        <f t="shared" si="10"/>
        <v>10.988</v>
      </c>
      <c r="J110">
        <f t="shared" si="14"/>
        <v>8343.7181600001641</v>
      </c>
      <c r="K110">
        <f t="shared" si="11"/>
        <v>8343.5</v>
      </c>
      <c r="L110">
        <f t="shared" si="12"/>
        <v>8343.5</v>
      </c>
      <c r="M110">
        <f t="shared" si="13"/>
        <v>10.988</v>
      </c>
    </row>
    <row r="111" spans="1:13" x14ac:dyDescent="0.25">
      <c r="A111" s="1">
        <v>2458343.7190700001</v>
      </c>
      <c r="B111" s="1" t="s">
        <v>77</v>
      </c>
      <c r="C111" s="1">
        <v>10.964</v>
      </c>
      <c r="D111" s="1" t="s">
        <v>292</v>
      </c>
      <c r="E111" t="s">
        <v>295</v>
      </c>
      <c r="F111">
        <f t="shared" si="8"/>
        <v>8343.7190700001083</v>
      </c>
      <c r="G111">
        <f t="shared" si="9"/>
        <v>8343.7000000000007</v>
      </c>
      <c r="H111">
        <f t="shared" si="10"/>
        <v>10.964</v>
      </c>
      <c r="J111">
        <f t="shared" si="14"/>
        <v>8343.7190700001083</v>
      </c>
      <c r="K111">
        <f t="shared" si="11"/>
        <v>8343.5</v>
      </c>
      <c r="L111">
        <f t="shared" si="12"/>
        <v>8343.5</v>
      </c>
      <c r="M111">
        <f t="shared" si="13"/>
        <v>10.964</v>
      </c>
    </row>
    <row r="112" spans="1:13" x14ac:dyDescent="0.25">
      <c r="A112" s="1">
        <v>2458343.7199900001</v>
      </c>
      <c r="B112" s="1" t="s">
        <v>77</v>
      </c>
      <c r="C112" s="1">
        <v>11.000999999999999</v>
      </c>
      <c r="D112" s="1" t="s">
        <v>292</v>
      </c>
      <c r="E112" t="s">
        <v>295</v>
      </c>
      <c r="F112">
        <f t="shared" si="8"/>
        <v>8343.7199900001287</v>
      </c>
      <c r="G112">
        <f t="shared" si="9"/>
        <v>8343.7000000000007</v>
      </c>
      <c r="H112">
        <f t="shared" si="10"/>
        <v>11.000999999999999</v>
      </c>
      <c r="J112">
        <f t="shared" si="14"/>
        <v>8343.7199900001287</v>
      </c>
      <c r="K112">
        <f t="shared" si="11"/>
        <v>8343.5</v>
      </c>
      <c r="L112">
        <f t="shared" si="12"/>
        <v>8343.5</v>
      </c>
      <c r="M112">
        <f t="shared" si="13"/>
        <v>11.000999999999999</v>
      </c>
    </row>
    <row r="113" spans="1:13" x14ac:dyDescent="0.25">
      <c r="A113" s="1">
        <v>2458344.3336200002</v>
      </c>
      <c r="B113" s="1" t="s">
        <v>77</v>
      </c>
      <c r="C113" s="1">
        <v>10.91</v>
      </c>
      <c r="D113" s="1" t="s">
        <v>292</v>
      </c>
      <c r="E113" t="s">
        <v>93</v>
      </c>
      <c r="F113">
        <f t="shared" si="8"/>
        <v>8344.333620000165</v>
      </c>
      <c r="G113">
        <f t="shared" si="9"/>
        <v>8344.2999999999993</v>
      </c>
      <c r="H113">
        <f t="shared" si="10"/>
        <v>10.91</v>
      </c>
      <c r="J113">
        <f t="shared" si="14"/>
        <v>8344.333620000165</v>
      </c>
      <c r="K113">
        <f t="shared" si="11"/>
        <v>8344.25</v>
      </c>
      <c r="L113">
        <f t="shared" si="12"/>
        <v>8344.25</v>
      </c>
      <c r="M113">
        <f t="shared" si="13"/>
        <v>10.91</v>
      </c>
    </row>
    <row r="114" spans="1:13" x14ac:dyDescent="0.25">
      <c r="A114" s="1">
        <v>2458344.3338500001</v>
      </c>
      <c r="B114" s="1" t="s">
        <v>77</v>
      </c>
      <c r="C114" s="1">
        <v>10.917999999999999</v>
      </c>
      <c r="D114" s="1" t="s">
        <v>292</v>
      </c>
      <c r="E114" t="s">
        <v>93</v>
      </c>
      <c r="F114">
        <f t="shared" si="8"/>
        <v>8344.3338500000536</v>
      </c>
      <c r="G114">
        <f t="shared" si="9"/>
        <v>8344.2999999999993</v>
      </c>
      <c r="H114">
        <f t="shared" si="10"/>
        <v>10.917999999999999</v>
      </c>
      <c r="J114">
        <f t="shared" si="14"/>
        <v>8344.3338500000536</v>
      </c>
      <c r="K114">
        <f t="shared" si="11"/>
        <v>8344.25</v>
      </c>
      <c r="L114">
        <f t="shared" si="12"/>
        <v>8344.25</v>
      </c>
      <c r="M114">
        <f t="shared" si="13"/>
        <v>10.917999999999999</v>
      </c>
    </row>
    <row r="115" spans="1:13" x14ac:dyDescent="0.25">
      <c r="A115" s="1">
        <v>2458344.3341000001</v>
      </c>
      <c r="B115" s="1" t="s">
        <v>77</v>
      </c>
      <c r="C115" s="1">
        <v>10.916</v>
      </c>
      <c r="D115" s="1" t="s">
        <v>292</v>
      </c>
      <c r="E115" t="s">
        <v>93</v>
      </c>
      <c r="F115">
        <f t="shared" si="8"/>
        <v>8344.3341000000946</v>
      </c>
      <c r="G115">
        <f t="shared" si="9"/>
        <v>8344.2999999999993</v>
      </c>
      <c r="H115">
        <f t="shared" si="10"/>
        <v>10.916</v>
      </c>
      <c r="J115">
        <f t="shared" si="14"/>
        <v>8344.3341000000946</v>
      </c>
      <c r="K115">
        <f t="shared" si="11"/>
        <v>8344.25</v>
      </c>
      <c r="L115">
        <f t="shared" si="12"/>
        <v>8344.25</v>
      </c>
      <c r="M115">
        <f t="shared" si="13"/>
        <v>10.916</v>
      </c>
    </row>
    <row r="116" spans="1:13" x14ac:dyDescent="0.25">
      <c r="A116" s="1">
        <v>2458344.33433</v>
      </c>
      <c r="B116" s="1" t="s">
        <v>77</v>
      </c>
      <c r="C116" s="1">
        <v>10.896000000000001</v>
      </c>
      <c r="D116" s="1" t="s">
        <v>292</v>
      </c>
      <c r="E116" t="s">
        <v>93</v>
      </c>
      <c r="F116">
        <f t="shared" si="8"/>
        <v>8344.3343299999833</v>
      </c>
      <c r="G116">
        <f t="shared" si="9"/>
        <v>8344.2999999999993</v>
      </c>
      <c r="H116">
        <f t="shared" si="10"/>
        <v>10.896000000000001</v>
      </c>
      <c r="J116">
        <f t="shared" si="14"/>
        <v>8344.3343299999833</v>
      </c>
      <c r="K116">
        <f t="shared" si="11"/>
        <v>8344.25</v>
      </c>
      <c r="L116">
        <f t="shared" si="12"/>
        <v>8344.25</v>
      </c>
      <c r="M116">
        <f t="shared" si="13"/>
        <v>10.896000000000001</v>
      </c>
    </row>
    <row r="117" spans="1:13" x14ac:dyDescent="0.25">
      <c r="A117" s="1">
        <v>2458344.3345699999</v>
      </c>
      <c r="B117" s="1" t="s">
        <v>77</v>
      </c>
      <c r="C117" s="1">
        <v>10.914</v>
      </c>
      <c r="D117" s="1" t="s">
        <v>292</v>
      </c>
      <c r="E117" t="s">
        <v>93</v>
      </c>
      <c r="F117">
        <f t="shared" si="8"/>
        <v>8344.3345699999481</v>
      </c>
      <c r="G117">
        <f t="shared" si="9"/>
        <v>8344.2999999999993</v>
      </c>
      <c r="H117">
        <f t="shared" si="10"/>
        <v>10.914</v>
      </c>
      <c r="J117">
        <f t="shared" si="14"/>
        <v>8344.3345699999481</v>
      </c>
      <c r="K117">
        <f t="shared" si="11"/>
        <v>8344.25</v>
      </c>
      <c r="L117">
        <f t="shared" si="12"/>
        <v>8344.25</v>
      </c>
      <c r="M117">
        <f t="shared" si="13"/>
        <v>10.914</v>
      </c>
    </row>
    <row r="118" spans="1:13" x14ac:dyDescent="0.25">
      <c r="A118" s="1">
        <v>2458344.3348099999</v>
      </c>
      <c r="B118" s="1" t="s">
        <v>77</v>
      </c>
      <c r="C118" s="1">
        <v>10.920999999999999</v>
      </c>
      <c r="D118" s="1" t="s">
        <v>292</v>
      </c>
      <c r="E118" t="s">
        <v>93</v>
      </c>
      <c r="F118">
        <f t="shared" si="8"/>
        <v>8344.334809999913</v>
      </c>
      <c r="G118">
        <f t="shared" si="9"/>
        <v>8344.2999999999993</v>
      </c>
      <c r="H118">
        <f t="shared" si="10"/>
        <v>10.920999999999999</v>
      </c>
      <c r="J118">
        <f t="shared" si="14"/>
        <v>8344.334809999913</v>
      </c>
      <c r="K118">
        <f t="shared" si="11"/>
        <v>8344.25</v>
      </c>
      <c r="L118">
        <f t="shared" si="12"/>
        <v>8344.25</v>
      </c>
      <c r="M118">
        <f t="shared" si="13"/>
        <v>10.920999999999999</v>
      </c>
    </row>
    <row r="119" spans="1:13" x14ac:dyDescent="0.25">
      <c r="A119" s="1">
        <v>2458344.3350499999</v>
      </c>
      <c r="B119" s="1" t="s">
        <v>77</v>
      </c>
      <c r="C119" s="1">
        <v>10.927</v>
      </c>
      <c r="D119" s="1" t="s">
        <v>292</v>
      </c>
      <c r="E119" t="s">
        <v>93</v>
      </c>
      <c r="F119">
        <f t="shared" si="8"/>
        <v>8344.3350499998778</v>
      </c>
      <c r="G119">
        <f t="shared" si="9"/>
        <v>8344.2999999999993</v>
      </c>
      <c r="H119">
        <f t="shared" si="10"/>
        <v>10.927</v>
      </c>
      <c r="J119">
        <f t="shared" si="14"/>
        <v>8344.3350499998778</v>
      </c>
      <c r="K119">
        <f t="shared" si="11"/>
        <v>8344.25</v>
      </c>
      <c r="L119">
        <f t="shared" si="12"/>
        <v>8344.25</v>
      </c>
      <c r="M119">
        <f t="shared" si="13"/>
        <v>10.927</v>
      </c>
    </row>
    <row r="120" spans="1:13" x14ac:dyDescent="0.25">
      <c r="A120" s="1">
        <v>2458344.3352899998</v>
      </c>
      <c r="B120" s="1" t="s">
        <v>77</v>
      </c>
      <c r="C120" s="1">
        <v>10.92</v>
      </c>
      <c r="D120" s="1" t="s">
        <v>292</v>
      </c>
      <c r="E120" t="s">
        <v>93</v>
      </c>
      <c r="F120">
        <f t="shared" si="8"/>
        <v>8344.3352899998426</v>
      </c>
      <c r="G120">
        <f t="shared" si="9"/>
        <v>8344.2999999999993</v>
      </c>
      <c r="H120">
        <f t="shared" si="10"/>
        <v>10.92</v>
      </c>
      <c r="J120">
        <f t="shared" si="14"/>
        <v>8344.3352899998426</v>
      </c>
      <c r="K120">
        <f t="shared" si="11"/>
        <v>8344.25</v>
      </c>
      <c r="L120">
        <f t="shared" si="12"/>
        <v>8344.25</v>
      </c>
      <c r="M120">
        <f t="shared" si="13"/>
        <v>10.92</v>
      </c>
    </row>
    <row r="121" spans="1:13" x14ac:dyDescent="0.25">
      <c r="A121" s="1">
        <v>2458344.3355200002</v>
      </c>
      <c r="B121" s="1" t="s">
        <v>77</v>
      </c>
      <c r="C121" s="1">
        <v>10.923</v>
      </c>
      <c r="D121" s="1" t="s">
        <v>292</v>
      </c>
      <c r="E121" t="s">
        <v>93</v>
      </c>
      <c r="F121">
        <f t="shared" si="8"/>
        <v>8344.335520000197</v>
      </c>
      <c r="G121">
        <f t="shared" si="9"/>
        <v>8344.2999999999993</v>
      </c>
      <c r="H121">
        <f t="shared" si="10"/>
        <v>10.923</v>
      </c>
      <c r="J121">
        <f t="shared" si="14"/>
        <v>8344.335520000197</v>
      </c>
      <c r="K121">
        <f t="shared" si="11"/>
        <v>8344.25</v>
      </c>
      <c r="L121">
        <f t="shared" si="12"/>
        <v>8344.25</v>
      </c>
      <c r="M121">
        <f t="shared" si="13"/>
        <v>10.923</v>
      </c>
    </row>
    <row r="122" spans="1:13" x14ac:dyDescent="0.25">
      <c r="A122" s="1">
        <v>2458344.3357600002</v>
      </c>
      <c r="B122" s="1" t="s">
        <v>77</v>
      </c>
      <c r="C122" s="1">
        <v>10.914999999999999</v>
      </c>
      <c r="D122" s="1" t="s">
        <v>292</v>
      </c>
      <c r="E122" t="s">
        <v>93</v>
      </c>
      <c r="F122">
        <f t="shared" si="8"/>
        <v>8344.3357600001618</v>
      </c>
      <c r="G122">
        <f t="shared" si="9"/>
        <v>8344.2999999999993</v>
      </c>
      <c r="H122">
        <f t="shared" si="10"/>
        <v>10.914999999999999</v>
      </c>
      <c r="J122">
        <f t="shared" si="14"/>
        <v>8344.3357600001618</v>
      </c>
      <c r="K122">
        <f t="shared" si="11"/>
        <v>8344.25</v>
      </c>
      <c r="L122">
        <f t="shared" si="12"/>
        <v>8344.25</v>
      </c>
      <c r="M122">
        <f t="shared" si="13"/>
        <v>10.914999999999999</v>
      </c>
    </row>
    <row r="123" spans="1:13" x14ac:dyDescent="0.25">
      <c r="A123" s="1">
        <v>2458344.3360100002</v>
      </c>
      <c r="B123" s="1" t="s">
        <v>77</v>
      </c>
      <c r="C123" s="1">
        <v>10.917999999999999</v>
      </c>
      <c r="D123" s="1" t="s">
        <v>292</v>
      </c>
      <c r="E123" t="s">
        <v>93</v>
      </c>
      <c r="F123">
        <f t="shared" si="8"/>
        <v>8344.3360100002028</v>
      </c>
      <c r="G123">
        <f t="shared" si="9"/>
        <v>8344.2999999999993</v>
      </c>
      <c r="H123">
        <f t="shared" si="10"/>
        <v>10.917999999999999</v>
      </c>
      <c r="J123">
        <f t="shared" si="14"/>
        <v>8344.3360100002028</v>
      </c>
      <c r="K123">
        <f t="shared" si="11"/>
        <v>8344.25</v>
      </c>
      <c r="L123">
        <f t="shared" si="12"/>
        <v>8344.25</v>
      </c>
      <c r="M123">
        <f t="shared" si="13"/>
        <v>10.917999999999999</v>
      </c>
    </row>
    <row r="124" spans="1:13" x14ac:dyDescent="0.25">
      <c r="A124" s="1">
        <v>2458344.3362400001</v>
      </c>
      <c r="B124" s="1" t="s">
        <v>77</v>
      </c>
      <c r="C124" s="1">
        <v>10.914999999999999</v>
      </c>
      <c r="D124" s="1" t="s">
        <v>292</v>
      </c>
      <c r="E124" t="s">
        <v>93</v>
      </c>
      <c r="F124">
        <f t="shared" si="8"/>
        <v>8344.3362400000915</v>
      </c>
      <c r="G124">
        <f t="shared" si="9"/>
        <v>8344.2999999999993</v>
      </c>
      <c r="H124">
        <f t="shared" si="10"/>
        <v>10.914999999999999</v>
      </c>
      <c r="J124">
        <f t="shared" si="14"/>
        <v>8344.3362400000915</v>
      </c>
      <c r="K124">
        <f t="shared" si="11"/>
        <v>8344.25</v>
      </c>
      <c r="L124">
        <f t="shared" si="12"/>
        <v>8344.25</v>
      </c>
      <c r="M124">
        <f t="shared" si="13"/>
        <v>10.914999999999999</v>
      </c>
    </row>
    <row r="125" spans="1:13" x14ac:dyDescent="0.25">
      <c r="A125" s="1">
        <v>2458344.3364800001</v>
      </c>
      <c r="B125" s="1" t="s">
        <v>77</v>
      </c>
      <c r="C125" s="1">
        <v>10.925000000000001</v>
      </c>
      <c r="D125" s="1" t="s">
        <v>292</v>
      </c>
      <c r="E125" t="s">
        <v>93</v>
      </c>
      <c r="F125">
        <f t="shared" si="8"/>
        <v>8344.3364800000563</v>
      </c>
      <c r="G125">
        <f t="shared" si="9"/>
        <v>8344.2999999999993</v>
      </c>
      <c r="H125">
        <f t="shared" si="10"/>
        <v>10.925000000000001</v>
      </c>
      <c r="J125">
        <f t="shared" si="14"/>
        <v>8344.3364800000563</v>
      </c>
      <c r="K125">
        <f t="shared" si="11"/>
        <v>8344.25</v>
      </c>
      <c r="L125">
        <f t="shared" si="12"/>
        <v>8344.25</v>
      </c>
      <c r="M125">
        <f t="shared" si="13"/>
        <v>10.925000000000001</v>
      </c>
    </row>
    <row r="126" spans="1:13" x14ac:dyDescent="0.25">
      <c r="A126" s="1">
        <v>2458344.3367099999</v>
      </c>
      <c r="B126" s="1" t="s">
        <v>77</v>
      </c>
      <c r="C126" s="1">
        <v>10.914999999999999</v>
      </c>
      <c r="D126" s="1" t="s">
        <v>292</v>
      </c>
      <c r="E126" t="s">
        <v>93</v>
      </c>
      <c r="F126">
        <f t="shared" si="8"/>
        <v>8344.336709999945</v>
      </c>
      <c r="G126">
        <f t="shared" si="9"/>
        <v>8344.2999999999993</v>
      </c>
      <c r="H126">
        <f t="shared" si="10"/>
        <v>10.914999999999999</v>
      </c>
      <c r="J126">
        <f t="shared" si="14"/>
        <v>8344.336709999945</v>
      </c>
      <c r="K126">
        <f t="shared" si="11"/>
        <v>8344.25</v>
      </c>
      <c r="L126">
        <f t="shared" si="12"/>
        <v>8344.25</v>
      </c>
      <c r="M126">
        <f t="shared" si="13"/>
        <v>10.914999999999999</v>
      </c>
    </row>
    <row r="127" spans="1:13" x14ac:dyDescent="0.25">
      <c r="A127" s="1">
        <v>2458344.33696</v>
      </c>
      <c r="B127" s="1" t="s">
        <v>77</v>
      </c>
      <c r="C127" s="1">
        <v>10.909000000000001</v>
      </c>
      <c r="D127" s="1" t="s">
        <v>292</v>
      </c>
      <c r="E127" t="s">
        <v>93</v>
      </c>
      <c r="F127">
        <f t="shared" si="8"/>
        <v>8344.336959999986</v>
      </c>
      <c r="G127">
        <f t="shared" si="9"/>
        <v>8344.2999999999993</v>
      </c>
      <c r="H127">
        <f t="shared" si="10"/>
        <v>10.909000000000001</v>
      </c>
      <c r="J127">
        <f t="shared" si="14"/>
        <v>8344.336959999986</v>
      </c>
      <c r="K127">
        <f t="shared" si="11"/>
        <v>8344.25</v>
      </c>
      <c r="L127">
        <f t="shared" si="12"/>
        <v>8344.25</v>
      </c>
      <c r="M127">
        <f t="shared" si="13"/>
        <v>10.909000000000001</v>
      </c>
    </row>
    <row r="128" spans="1:13" x14ac:dyDescent="0.25">
      <c r="A128" s="1">
        <v>2458344.3372</v>
      </c>
      <c r="B128" s="1" t="s">
        <v>77</v>
      </c>
      <c r="C128" s="1">
        <v>10.91</v>
      </c>
      <c r="D128" s="1" t="s">
        <v>292</v>
      </c>
      <c r="E128" t="s">
        <v>93</v>
      </c>
      <c r="F128">
        <f t="shared" si="8"/>
        <v>8344.3371999999508</v>
      </c>
      <c r="G128">
        <f t="shared" si="9"/>
        <v>8344.2999999999993</v>
      </c>
      <c r="H128">
        <f t="shared" si="10"/>
        <v>10.91</v>
      </c>
      <c r="J128">
        <f t="shared" si="14"/>
        <v>8344.3371999999508</v>
      </c>
      <c r="K128">
        <f t="shared" si="11"/>
        <v>8344.25</v>
      </c>
      <c r="L128">
        <f t="shared" si="12"/>
        <v>8344.25</v>
      </c>
      <c r="M128">
        <f t="shared" si="13"/>
        <v>10.91</v>
      </c>
    </row>
    <row r="129" spans="1:13" x14ac:dyDescent="0.25">
      <c r="A129" s="1">
        <v>2458344.3374299998</v>
      </c>
      <c r="B129" s="1" t="s">
        <v>77</v>
      </c>
      <c r="C129" s="1">
        <v>10.917</v>
      </c>
      <c r="D129" s="1" t="s">
        <v>292</v>
      </c>
      <c r="E129" t="s">
        <v>93</v>
      </c>
      <c r="F129">
        <f t="shared" si="8"/>
        <v>8344.3374299998395</v>
      </c>
      <c r="G129">
        <f t="shared" si="9"/>
        <v>8344.2999999999993</v>
      </c>
      <c r="H129">
        <f t="shared" si="10"/>
        <v>10.917</v>
      </c>
      <c r="J129">
        <f t="shared" si="14"/>
        <v>8344.3374299998395</v>
      </c>
      <c r="K129">
        <f t="shared" si="11"/>
        <v>8344.25</v>
      </c>
      <c r="L129">
        <f t="shared" si="12"/>
        <v>8344.25</v>
      </c>
      <c r="M129">
        <f t="shared" si="13"/>
        <v>10.917</v>
      </c>
    </row>
    <row r="130" spans="1:13" x14ac:dyDescent="0.25">
      <c r="A130" s="1">
        <v>2458344.3376699998</v>
      </c>
      <c r="B130" s="1" t="s">
        <v>77</v>
      </c>
      <c r="C130" s="1">
        <v>10.913</v>
      </c>
      <c r="D130" s="1" t="s">
        <v>292</v>
      </c>
      <c r="E130" t="s">
        <v>93</v>
      </c>
      <c r="F130">
        <f t="shared" si="8"/>
        <v>8344.3376699998043</v>
      </c>
      <c r="G130">
        <f t="shared" si="9"/>
        <v>8344.2999999999993</v>
      </c>
      <c r="H130">
        <f t="shared" si="10"/>
        <v>10.913</v>
      </c>
      <c r="J130">
        <f t="shared" si="14"/>
        <v>8344.3376699998043</v>
      </c>
      <c r="K130">
        <f t="shared" si="11"/>
        <v>8344.25</v>
      </c>
      <c r="L130">
        <f t="shared" si="12"/>
        <v>8344.25</v>
      </c>
      <c r="M130">
        <f t="shared" si="13"/>
        <v>10.913</v>
      </c>
    </row>
    <row r="131" spans="1:13" x14ac:dyDescent="0.25">
      <c r="A131" s="1">
        <v>2458344.3379099998</v>
      </c>
      <c r="B131" s="1" t="s">
        <v>77</v>
      </c>
      <c r="C131" s="1">
        <v>10.906000000000001</v>
      </c>
      <c r="D131" s="1" t="s">
        <v>292</v>
      </c>
      <c r="E131" t="s">
        <v>93</v>
      </c>
      <c r="F131">
        <f t="shared" ref="F131:F194" si="15">+A131-2450000</f>
        <v>8344.3379099997692</v>
      </c>
      <c r="G131">
        <f t="shared" ref="G131:G194" si="16">+(ROUND(F131,1)*10)/10</f>
        <v>8344.2999999999993</v>
      </c>
      <c r="H131">
        <f t="shared" ref="H131:H194" si="17">+C131</f>
        <v>10.906000000000001</v>
      </c>
      <c r="J131">
        <f t="shared" si="14"/>
        <v>8344.3379099997692</v>
      </c>
      <c r="K131">
        <f t="shared" ref="K131:K194" si="18">+INT(J131*4)/4</f>
        <v>8344.25</v>
      </c>
      <c r="L131">
        <f t="shared" ref="L131:L194" si="19">+IF(J131-K131&gt;0.25,K131+0.25,K131)</f>
        <v>8344.25</v>
      </c>
      <c r="M131">
        <f t="shared" ref="M131:M194" si="20">+H131</f>
        <v>10.906000000000001</v>
      </c>
    </row>
    <row r="132" spans="1:13" x14ac:dyDescent="0.25">
      <c r="A132" s="1">
        <v>2458344.3381500002</v>
      </c>
      <c r="B132" s="1" t="s">
        <v>77</v>
      </c>
      <c r="C132" s="1">
        <v>10.911</v>
      </c>
      <c r="D132" s="1" t="s">
        <v>292</v>
      </c>
      <c r="E132" t="s">
        <v>93</v>
      </c>
      <c r="F132">
        <f t="shared" si="15"/>
        <v>8344.3381500001997</v>
      </c>
      <c r="G132">
        <f t="shared" si="16"/>
        <v>8344.2999999999993</v>
      </c>
      <c r="H132">
        <f t="shared" si="17"/>
        <v>10.911</v>
      </c>
      <c r="J132">
        <f t="shared" si="14"/>
        <v>8344.3381500001997</v>
      </c>
      <c r="K132">
        <f t="shared" si="18"/>
        <v>8344.25</v>
      </c>
      <c r="L132">
        <f t="shared" si="19"/>
        <v>8344.25</v>
      </c>
      <c r="M132">
        <f t="shared" si="20"/>
        <v>10.911</v>
      </c>
    </row>
    <row r="133" spans="1:13" x14ac:dyDescent="0.25">
      <c r="A133" s="1">
        <v>2458344.3383900002</v>
      </c>
      <c r="B133" s="1" t="s">
        <v>77</v>
      </c>
      <c r="C133" s="1">
        <v>10.907</v>
      </c>
      <c r="D133" s="1" t="s">
        <v>292</v>
      </c>
      <c r="E133" t="s">
        <v>93</v>
      </c>
      <c r="F133">
        <f t="shared" si="15"/>
        <v>8344.3383900001645</v>
      </c>
      <c r="G133">
        <f t="shared" si="16"/>
        <v>8344.2999999999993</v>
      </c>
      <c r="H133">
        <f t="shared" si="17"/>
        <v>10.907</v>
      </c>
      <c r="J133">
        <f t="shared" si="14"/>
        <v>8344.3383900001645</v>
      </c>
      <c r="K133">
        <f t="shared" si="18"/>
        <v>8344.25</v>
      </c>
      <c r="L133">
        <f t="shared" si="19"/>
        <v>8344.25</v>
      </c>
      <c r="M133">
        <f t="shared" si="20"/>
        <v>10.907</v>
      </c>
    </row>
    <row r="134" spans="1:13" x14ac:dyDescent="0.25">
      <c r="A134" s="1">
        <v>2458344.3386200001</v>
      </c>
      <c r="B134" s="1" t="s">
        <v>77</v>
      </c>
      <c r="C134" s="1">
        <v>10.917</v>
      </c>
      <c r="D134" s="1" t="s">
        <v>292</v>
      </c>
      <c r="E134" t="s">
        <v>93</v>
      </c>
      <c r="F134">
        <f t="shared" si="15"/>
        <v>8344.3386200000532</v>
      </c>
      <c r="G134">
        <f t="shared" si="16"/>
        <v>8344.2999999999993</v>
      </c>
      <c r="H134">
        <f t="shared" si="17"/>
        <v>10.917</v>
      </c>
      <c r="J134">
        <f t="shared" si="14"/>
        <v>8344.3386200000532</v>
      </c>
      <c r="K134">
        <f t="shared" si="18"/>
        <v>8344.25</v>
      </c>
      <c r="L134">
        <f t="shared" si="19"/>
        <v>8344.25</v>
      </c>
      <c r="M134">
        <f t="shared" si="20"/>
        <v>10.917</v>
      </c>
    </row>
    <row r="135" spans="1:13" x14ac:dyDescent="0.25">
      <c r="A135" s="1">
        <v>2458344.3388700001</v>
      </c>
      <c r="B135" s="1" t="s">
        <v>77</v>
      </c>
      <c r="C135" s="1">
        <v>10.893000000000001</v>
      </c>
      <c r="D135" s="1" t="s">
        <v>292</v>
      </c>
      <c r="E135" t="s">
        <v>93</v>
      </c>
      <c r="F135">
        <f t="shared" si="15"/>
        <v>8344.3388700000942</v>
      </c>
      <c r="G135">
        <f t="shared" si="16"/>
        <v>8344.2999999999993</v>
      </c>
      <c r="H135">
        <f t="shared" si="17"/>
        <v>10.893000000000001</v>
      </c>
      <c r="J135">
        <f t="shared" si="14"/>
        <v>8344.3388700000942</v>
      </c>
      <c r="K135">
        <f t="shared" si="18"/>
        <v>8344.25</v>
      </c>
      <c r="L135">
        <f t="shared" si="19"/>
        <v>8344.25</v>
      </c>
      <c r="M135">
        <f t="shared" si="20"/>
        <v>10.893000000000001</v>
      </c>
    </row>
    <row r="136" spans="1:13" x14ac:dyDescent="0.25">
      <c r="A136" s="1">
        <v>2458344.3391</v>
      </c>
      <c r="B136" s="1" t="s">
        <v>77</v>
      </c>
      <c r="C136" s="1">
        <v>10.917</v>
      </c>
      <c r="D136" s="1" t="s">
        <v>292</v>
      </c>
      <c r="E136" t="s">
        <v>93</v>
      </c>
      <c r="F136">
        <f t="shared" si="15"/>
        <v>8344.3390999999829</v>
      </c>
      <c r="G136">
        <f t="shared" si="16"/>
        <v>8344.2999999999993</v>
      </c>
      <c r="H136">
        <f t="shared" si="17"/>
        <v>10.917</v>
      </c>
      <c r="J136">
        <f t="shared" si="14"/>
        <v>8344.3390999999829</v>
      </c>
      <c r="K136">
        <f t="shared" si="18"/>
        <v>8344.25</v>
      </c>
      <c r="L136">
        <f t="shared" si="19"/>
        <v>8344.25</v>
      </c>
      <c r="M136">
        <f t="shared" si="20"/>
        <v>10.917</v>
      </c>
    </row>
    <row r="137" spans="1:13" x14ac:dyDescent="0.25">
      <c r="A137" s="1">
        <v>2458344.3393399999</v>
      </c>
      <c r="B137" s="1" t="s">
        <v>77</v>
      </c>
      <c r="C137" s="1">
        <v>10.891</v>
      </c>
      <c r="D137" s="1" t="s">
        <v>292</v>
      </c>
      <c r="E137" t="s">
        <v>93</v>
      </c>
      <c r="F137">
        <f t="shared" si="15"/>
        <v>8344.3393399999477</v>
      </c>
      <c r="G137">
        <f t="shared" si="16"/>
        <v>8344.2999999999993</v>
      </c>
      <c r="H137">
        <f t="shared" si="17"/>
        <v>10.891</v>
      </c>
      <c r="J137">
        <f t="shared" si="14"/>
        <v>8344.3393399999477</v>
      </c>
      <c r="K137">
        <f t="shared" si="18"/>
        <v>8344.25</v>
      </c>
      <c r="L137">
        <f t="shared" si="19"/>
        <v>8344.25</v>
      </c>
      <c r="M137">
        <f t="shared" si="20"/>
        <v>10.891</v>
      </c>
    </row>
    <row r="138" spans="1:13" x14ac:dyDescent="0.25">
      <c r="A138" s="1">
        <v>2458344.3395799999</v>
      </c>
      <c r="B138" s="1" t="s">
        <v>77</v>
      </c>
      <c r="C138" s="1">
        <v>10.914999999999999</v>
      </c>
      <c r="D138" s="1" t="s">
        <v>292</v>
      </c>
      <c r="E138" t="s">
        <v>93</v>
      </c>
      <c r="F138">
        <f t="shared" si="15"/>
        <v>8344.3395799999125</v>
      </c>
      <c r="G138">
        <f t="shared" si="16"/>
        <v>8344.2999999999993</v>
      </c>
      <c r="H138">
        <f t="shared" si="17"/>
        <v>10.914999999999999</v>
      </c>
      <c r="J138">
        <f t="shared" si="14"/>
        <v>8344.3395799999125</v>
      </c>
      <c r="K138">
        <f t="shared" si="18"/>
        <v>8344.25</v>
      </c>
      <c r="L138">
        <f t="shared" si="19"/>
        <v>8344.25</v>
      </c>
      <c r="M138">
        <f t="shared" si="20"/>
        <v>10.914999999999999</v>
      </c>
    </row>
    <row r="139" spans="1:13" x14ac:dyDescent="0.25">
      <c r="A139" s="1">
        <v>2458344.3398099998</v>
      </c>
      <c r="B139" s="1" t="s">
        <v>77</v>
      </c>
      <c r="C139" s="1">
        <v>10.916</v>
      </c>
      <c r="D139" s="1" t="s">
        <v>292</v>
      </c>
      <c r="E139" t="s">
        <v>93</v>
      </c>
      <c r="F139">
        <f t="shared" si="15"/>
        <v>8344.3398099998012</v>
      </c>
      <c r="G139">
        <f t="shared" si="16"/>
        <v>8344.2999999999993</v>
      </c>
      <c r="H139">
        <f t="shared" si="17"/>
        <v>10.916</v>
      </c>
      <c r="J139">
        <f t="shared" si="14"/>
        <v>8344.3398099998012</v>
      </c>
      <c r="K139">
        <f t="shared" si="18"/>
        <v>8344.25</v>
      </c>
      <c r="L139">
        <f t="shared" si="19"/>
        <v>8344.25</v>
      </c>
      <c r="M139">
        <f t="shared" si="20"/>
        <v>10.916</v>
      </c>
    </row>
    <row r="140" spans="1:13" x14ac:dyDescent="0.25">
      <c r="A140" s="1">
        <v>2458344.3400599998</v>
      </c>
      <c r="B140" s="1" t="s">
        <v>77</v>
      </c>
      <c r="C140" s="1">
        <v>10.903</v>
      </c>
      <c r="D140" s="1" t="s">
        <v>292</v>
      </c>
      <c r="E140" t="s">
        <v>93</v>
      </c>
      <c r="F140">
        <f t="shared" si="15"/>
        <v>8344.3400599998422</v>
      </c>
      <c r="G140">
        <f t="shared" si="16"/>
        <v>8344.2999999999993</v>
      </c>
      <c r="H140">
        <f t="shared" si="17"/>
        <v>10.903</v>
      </c>
      <c r="J140">
        <f t="shared" si="14"/>
        <v>8344.3400599998422</v>
      </c>
      <c r="K140">
        <f t="shared" si="18"/>
        <v>8344.25</v>
      </c>
      <c r="L140">
        <f t="shared" si="19"/>
        <v>8344.25</v>
      </c>
      <c r="M140">
        <f t="shared" si="20"/>
        <v>10.903</v>
      </c>
    </row>
    <row r="141" spans="1:13" x14ac:dyDescent="0.25">
      <c r="A141" s="1">
        <v>2458344.3402999998</v>
      </c>
      <c r="B141" s="1" t="s">
        <v>77</v>
      </c>
      <c r="C141" s="1">
        <v>10.901</v>
      </c>
      <c r="D141" s="1" t="s">
        <v>292</v>
      </c>
      <c r="E141" t="s">
        <v>93</v>
      </c>
      <c r="F141">
        <f t="shared" si="15"/>
        <v>8344.340299999807</v>
      </c>
      <c r="G141">
        <f t="shared" si="16"/>
        <v>8344.2999999999993</v>
      </c>
      <c r="H141">
        <f t="shared" si="17"/>
        <v>10.901</v>
      </c>
      <c r="J141">
        <f t="shared" si="14"/>
        <v>8344.340299999807</v>
      </c>
      <c r="K141">
        <f t="shared" si="18"/>
        <v>8344.25</v>
      </c>
      <c r="L141">
        <f t="shared" si="19"/>
        <v>8344.25</v>
      </c>
      <c r="M141">
        <f t="shared" si="20"/>
        <v>10.901</v>
      </c>
    </row>
    <row r="142" spans="1:13" x14ac:dyDescent="0.25">
      <c r="A142" s="1">
        <v>2458344.3405300002</v>
      </c>
      <c r="B142" s="1" t="s">
        <v>77</v>
      </c>
      <c r="C142" s="1">
        <v>10.911</v>
      </c>
      <c r="D142" s="1" t="s">
        <v>292</v>
      </c>
      <c r="E142" t="s">
        <v>93</v>
      </c>
      <c r="F142">
        <f t="shared" si="15"/>
        <v>8344.3405300001614</v>
      </c>
      <c r="G142">
        <f t="shared" si="16"/>
        <v>8344.2999999999993</v>
      </c>
      <c r="H142">
        <f t="shared" si="17"/>
        <v>10.911</v>
      </c>
      <c r="J142">
        <f t="shared" si="14"/>
        <v>8344.3405300001614</v>
      </c>
      <c r="K142">
        <f t="shared" si="18"/>
        <v>8344.25</v>
      </c>
      <c r="L142">
        <f t="shared" si="19"/>
        <v>8344.25</v>
      </c>
      <c r="M142">
        <f t="shared" si="20"/>
        <v>10.911</v>
      </c>
    </row>
    <row r="143" spans="1:13" x14ac:dyDescent="0.25">
      <c r="A143" s="1">
        <v>2458344.3407800002</v>
      </c>
      <c r="B143" s="1" t="s">
        <v>77</v>
      </c>
      <c r="C143" s="1">
        <v>10.913</v>
      </c>
      <c r="D143" s="1" t="s">
        <v>292</v>
      </c>
      <c r="E143" t="s">
        <v>93</v>
      </c>
      <c r="F143">
        <f t="shared" si="15"/>
        <v>8344.3407800002024</v>
      </c>
      <c r="G143">
        <f t="shared" si="16"/>
        <v>8344.2999999999993</v>
      </c>
      <c r="H143">
        <f t="shared" si="17"/>
        <v>10.913</v>
      </c>
      <c r="J143">
        <f t="shared" si="14"/>
        <v>8344.3407800002024</v>
      </c>
      <c r="K143">
        <f t="shared" si="18"/>
        <v>8344.25</v>
      </c>
      <c r="L143">
        <f t="shared" si="19"/>
        <v>8344.25</v>
      </c>
      <c r="M143">
        <f t="shared" si="20"/>
        <v>10.913</v>
      </c>
    </row>
    <row r="144" spans="1:13" x14ac:dyDescent="0.25">
      <c r="A144" s="1">
        <v>2458344.3410200002</v>
      </c>
      <c r="B144" s="1" t="s">
        <v>77</v>
      </c>
      <c r="C144" s="1">
        <v>10.904</v>
      </c>
      <c r="D144" s="1" t="s">
        <v>292</v>
      </c>
      <c r="E144" t="s">
        <v>93</v>
      </c>
      <c r="F144">
        <f t="shared" si="15"/>
        <v>8344.3410200001672</v>
      </c>
      <c r="G144">
        <f t="shared" si="16"/>
        <v>8344.2999999999993</v>
      </c>
      <c r="H144">
        <f t="shared" si="17"/>
        <v>10.904</v>
      </c>
      <c r="J144">
        <f t="shared" si="14"/>
        <v>8344.3410200001672</v>
      </c>
      <c r="K144">
        <f t="shared" si="18"/>
        <v>8344.25</v>
      </c>
      <c r="L144">
        <f t="shared" si="19"/>
        <v>8344.25</v>
      </c>
      <c r="M144">
        <f t="shared" si="20"/>
        <v>10.904</v>
      </c>
    </row>
    <row r="145" spans="1:13" x14ac:dyDescent="0.25">
      <c r="A145" s="1">
        <v>2458344.3412500001</v>
      </c>
      <c r="B145" s="1" t="s">
        <v>77</v>
      </c>
      <c r="C145" s="1">
        <v>10.906000000000001</v>
      </c>
      <c r="D145" s="1" t="s">
        <v>292</v>
      </c>
      <c r="E145" t="s">
        <v>93</v>
      </c>
      <c r="F145">
        <f t="shared" si="15"/>
        <v>8344.3412500000559</v>
      </c>
      <c r="G145">
        <f t="shared" si="16"/>
        <v>8344.2999999999993</v>
      </c>
      <c r="H145">
        <f t="shared" si="17"/>
        <v>10.906000000000001</v>
      </c>
      <c r="J145">
        <f t="shared" si="14"/>
        <v>8344.3412500000559</v>
      </c>
      <c r="K145">
        <f t="shared" si="18"/>
        <v>8344.25</v>
      </c>
      <c r="L145">
        <f t="shared" si="19"/>
        <v>8344.25</v>
      </c>
      <c r="M145">
        <f t="shared" si="20"/>
        <v>10.906000000000001</v>
      </c>
    </row>
    <row r="146" spans="1:13" x14ac:dyDescent="0.25">
      <c r="A146" s="1">
        <v>2458344.34149</v>
      </c>
      <c r="B146" s="1" t="s">
        <v>77</v>
      </c>
      <c r="C146" s="1">
        <v>10.907999999999999</v>
      </c>
      <c r="D146" s="1" t="s">
        <v>292</v>
      </c>
      <c r="E146" t="s">
        <v>93</v>
      </c>
      <c r="F146">
        <f t="shared" si="15"/>
        <v>8344.3414900000207</v>
      </c>
      <c r="G146">
        <f t="shared" si="16"/>
        <v>8344.2999999999993</v>
      </c>
      <c r="H146">
        <f t="shared" si="17"/>
        <v>10.907999999999999</v>
      </c>
      <c r="J146">
        <f t="shared" si="14"/>
        <v>8344.3414900000207</v>
      </c>
      <c r="K146">
        <f t="shared" si="18"/>
        <v>8344.25</v>
      </c>
      <c r="L146">
        <f t="shared" si="19"/>
        <v>8344.25</v>
      </c>
      <c r="M146">
        <f t="shared" si="20"/>
        <v>10.907999999999999</v>
      </c>
    </row>
    <row r="147" spans="1:13" x14ac:dyDescent="0.25">
      <c r="A147" s="1">
        <v>2458344.3417400001</v>
      </c>
      <c r="B147" s="1" t="s">
        <v>77</v>
      </c>
      <c r="C147" s="1">
        <v>10.897</v>
      </c>
      <c r="D147" s="1" t="s">
        <v>292</v>
      </c>
      <c r="E147" t="s">
        <v>93</v>
      </c>
      <c r="F147">
        <f t="shared" si="15"/>
        <v>8344.3417400000617</v>
      </c>
      <c r="G147">
        <f t="shared" si="16"/>
        <v>8344.2999999999993</v>
      </c>
      <c r="H147">
        <f t="shared" si="17"/>
        <v>10.897</v>
      </c>
      <c r="J147">
        <f t="shared" si="14"/>
        <v>8344.3417400000617</v>
      </c>
      <c r="K147">
        <f t="shared" si="18"/>
        <v>8344.25</v>
      </c>
      <c r="L147">
        <f t="shared" si="19"/>
        <v>8344.25</v>
      </c>
      <c r="M147">
        <f t="shared" si="20"/>
        <v>10.897</v>
      </c>
    </row>
    <row r="148" spans="1:13" x14ac:dyDescent="0.25">
      <c r="A148" s="1">
        <v>2458344.34197</v>
      </c>
      <c r="B148" s="1" t="s">
        <v>77</v>
      </c>
      <c r="C148" s="1">
        <v>10.922000000000001</v>
      </c>
      <c r="D148" s="1" t="s">
        <v>292</v>
      </c>
      <c r="E148" t="s">
        <v>93</v>
      </c>
      <c r="F148">
        <f t="shared" si="15"/>
        <v>8344.3419699999504</v>
      </c>
      <c r="G148">
        <f t="shared" si="16"/>
        <v>8344.2999999999993</v>
      </c>
      <c r="H148">
        <f t="shared" si="17"/>
        <v>10.922000000000001</v>
      </c>
      <c r="J148">
        <f t="shared" si="14"/>
        <v>8344.3419699999504</v>
      </c>
      <c r="K148">
        <f t="shared" si="18"/>
        <v>8344.25</v>
      </c>
      <c r="L148">
        <f t="shared" si="19"/>
        <v>8344.25</v>
      </c>
      <c r="M148">
        <f t="shared" si="20"/>
        <v>10.922000000000001</v>
      </c>
    </row>
    <row r="149" spans="1:13" x14ac:dyDescent="0.25">
      <c r="A149" s="1">
        <v>2458344.3422099999</v>
      </c>
      <c r="B149" s="1" t="s">
        <v>77</v>
      </c>
      <c r="C149" s="1">
        <v>10.916</v>
      </c>
      <c r="D149" s="1" t="s">
        <v>292</v>
      </c>
      <c r="E149" t="s">
        <v>93</v>
      </c>
      <c r="F149">
        <f t="shared" si="15"/>
        <v>8344.3422099999152</v>
      </c>
      <c r="G149">
        <f t="shared" si="16"/>
        <v>8344.2999999999993</v>
      </c>
      <c r="H149">
        <f t="shared" si="17"/>
        <v>10.916</v>
      </c>
      <c r="J149">
        <f t="shared" si="14"/>
        <v>8344.3422099999152</v>
      </c>
      <c r="K149">
        <f t="shared" si="18"/>
        <v>8344.25</v>
      </c>
      <c r="L149">
        <f t="shared" si="19"/>
        <v>8344.25</v>
      </c>
      <c r="M149">
        <f t="shared" si="20"/>
        <v>10.916</v>
      </c>
    </row>
    <row r="150" spans="1:13" x14ac:dyDescent="0.25">
      <c r="A150" s="1">
        <v>2458344.3424399998</v>
      </c>
      <c r="B150" s="1" t="s">
        <v>77</v>
      </c>
      <c r="C150" s="1">
        <v>10.917</v>
      </c>
      <c r="D150" s="1" t="s">
        <v>292</v>
      </c>
      <c r="E150" t="s">
        <v>93</v>
      </c>
      <c r="F150">
        <f t="shared" si="15"/>
        <v>8344.3424399998039</v>
      </c>
      <c r="G150">
        <f t="shared" si="16"/>
        <v>8344.2999999999993</v>
      </c>
      <c r="H150">
        <f t="shared" si="17"/>
        <v>10.917</v>
      </c>
      <c r="J150">
        <f t="shared" si="14"/>
        <v>8344.3424399998039</v>
      </c>
      <c r="K150">
        <f t="shared" si="18"/>
        <v>8344.25</v>
      </c>
      <c r="L150">
        <f t="shared" si="19"/>
        <v>8344.25</v>
      </c>
      <c r="M150">
        <f t="shared" si="20"/>
        <v>10.917</v>
      </c>
    </row>
    <row r="151" spans="1:13" x14ac:dyDescent="0.25">
      <c r="A151" s="1">
        <v>2458344.3426899998</v>
      </c>
      <c r="B151" s="1" t="s">
        <v>77</v>
      </c>
      <c r="C151" s="1">
        <v>10.903</v>
      </c>
      <c r="D151" s="1" t="s">
        <v>292</v>
      </c>
      <c r="E151" t="s">
        <v>93</v>
      </c>
      <c r="F151">
        <f t="shared" si="15"/>
        <v>8344.3426899998449</v>
      </c>
      <c r="G151">
        <f t="shared" si="16"/>
        <v>8344.2999999999993</v>
      </c>
      <c r="H151">
        <f t="shared" si="17"/>
        <v>10.903</v>
      </c>
      <c r="J151">
        <f t="shared" si="14"/>
        <v>8344.3426899998449</v>
      </c>
      <c r="K151">
        <f t="shared" si="18"/>
        <v>8344.25</v>
      </c>
      <c r="L151">
        <f t="shared" si="19"/>
        <v>8344.25</v>
      </c>
      <c r="M151">
        <f t="shared" si="20"/>
        <v>10.903</v>
      </c>
    </row>
    <row r="152" spans="1:13" x14ac:dyDescent="0.25">
      <c r="A152" s="1">
        <v>2458344.3429299998</v>
      </c>
      <c r="B152" s="1" t="s">
        <v>77</v>
      </c>
      <c r="C152" s="1">
        <v>10.891999999999999</v>
      </c>
      <c r="D152" s="1" t="s">
        <v>292</v>
      </c>
      <c r="E152" t="s">
        <v>93</v>
      </c>
      <c r="F152">
        <f t="shared" si="15"/>
        <v>8344.3429299998097</v>
      </c>
      <c r="G152">
        <f t="shared" si="16"/>
        <v>8344.2999999999993</v>
      </c>
      <c r="H152">
        <f t="shared" si="17"/>
        <v>10.891999999999999</v>
      </c>
      <c r="J152">
        <f t="shared" si="14"/>
        <v>8344.3429299998097</v>
      </c>
      <c r="K152">
        <f t="shared" si="18"/>
        <v>8344.25</v>
      </c>
      <c r="L152">
        <f t="shared" si="19"/>
        <v>8344.25</v>
      </c>
      <c r="M152">
        <f t="shared" si="20"/>
        <v>10.891999999999999</v>
      </c>
    </row>
    <row r="153" spans="1:13" x14ac:dyDescent="0.25">
      <c r="A153" s="1">
        <v>2458344.3536299998</v>
      </c>
      <c r="B153" s="1" t="s">
        <v>77</v>
      </c>
      <c r="C153" s="1">
        <v>10.794</v>
      </c>
      <c r="D153" s="1" t="s">
        <v>292</v>
      </c>
      <c r="E153" t="s">
        <v>95</v>
      </c>
      <c r="F153">
        <f t="shared" si="15"/>
        <v>8344.3536299997941</v>
      </c>
      <c r="G153">
        <f t="shared" si="16"/>
        <v>8344.4</v>
      </c>
      <c r="H153">
        <f t="shared" si="17"/>
        <v>10.794</v>
      </c>
      <c r="J153">
        <f t="shared" ref="J153:J216" si="21">+F153</f>
        <v>8344.3536299997941</v>
      </c>
      <c r="K153">
        <f t="shared" si="18"/>
        <v>8344.25</v>
      </c>
      <c r="L153">
        <f t="shared" si="19"/>
        <v>8344.25</v>
      </c>
      <c r="M153">
        <f t="shared" si="20"/>
        <v>10.794</v>
      </c>
    </row>
    <row r="154" spans="1:13" x14ac:dyDescent="0.25">
      <c r="A154" s="1">
        <v>2458344.3539499999</v>
      </c>
      <c r="B154" s="1" t="s">
        <v>77</v>
      </c>
      <c r="C154" s="1">
        <v>10.843999999999999</v>
      </c>
      <c r="D154" s="1" t="s">
        <v>292</v>
      </c>
      <c r="E154" t="s">
        <v>95</v>
      </c>
      <c r="F154">
        <f t="shared" si="15"/>
        <v>8344.3539499999024</v>
      </c>
      <c r="G154">
        <f t="shared" si="16"/>
        <v>8344.4</v>
      </c>
      <c r="H154">
        <f t="shared" si="17"/>
        <v>10.843999999999999</v>
      </c>
      <c r="J154">
        <f t="shared" si="21"/>
        <v>8344.3539499999024</v>
      </c>
      <c r="K154">
        <f t="shared" si="18"/>
        <v>8344.25</v>
      </c>
      <c r="L154">
        <f t="shared" si="19"/>
        <v>8344.25</v>
      </c>
      <c r="M154">
        <f t="shared" si="20"/>
        <v>10.843999999999999</v>
      </c>
    </row>
    <row r="155" spans="1:13" x14ac:dyDescent="0.25">
      <c r="A155" s="1">
        <v>2458344.35427</v>
      </c>
      <c r="B155" s="1" t="s">
        <v>77</v>
      </c>
      <c r="C155" s="1">
        <v>10.78</v>
      </c>
      <c r="D155" s="1" t="s">
        <v>292</v>
      </c>
      <c r="E155" t="s">
        <v>95</v>
      </c>
      <c r="F155">
        <f t="shared" si="15"/>
        <v>8344.3542700000107</v>
      </c>
      <c r="G155">
        <f t="shared" si="16"/>
        <v>8344.4</v>
      </c>
      <c r="H155">
        <f t="shared" si="17"/>
        <v>10.78</v>
      </c>
      <c r="J155">
        <f t="shared" si="21"/>
        <v>8344.3542700000107</v>
      </c>
      <c r="K155">
        <f t="shared" si="18"/>
        <v>8344.25</v>
      </c>
      <c r="L155">
        <f t="shared" si="19"/>
        <v>8344.25</v>
      </c>
      <c r="M155">
        <f t="shared" si="20"/>
        <v>10.78</v>
      </c>
    </row>
    <row r="156" spans="1:13" x14ac:dyDescent="0.25">
      <c r="A156" s="1">
        <v>2458344.3545900001</v>
      </c>
      <c r="B156" s="1" t="s">
        <v>77</v>
      </c>
      <c r="C156" s="1">
        <v>10.763</v>
      </c>
      <c r="D156" s="1" t="s">
        <v>292</v>
      </c>
      <c r="E156" t="s">
        <v>95</v>
      </c>
      <c r="F156">
        <f t="shared" si="15"/>
        <v>8344.3545900001191</v>
      </c>
      <c r="G156">
        <f t="shared" si="16"/>
        <v>8344.4</v>
      </c>
      <c r="H156">
        <f t="shared" si="17"/>
        <v>10.763</v>
      </c>
      <c r="J156">
        <f t="shared" si="21"/>
        <v>8344.3545900001191</v>
      </c>
      <c r="K156">
        <f t="shared" si="18"/>
        <v>8344.25</v>
      </c>
      <c r="L156">
        <f t="shared" si="19"/>
        <v>8344.25</v>
      </c>
      <c r="M156">
        <f t="shared" si="20"/>
        <v>10.763</v>
      </c>
    </row>
    <row r="157" spans="1:13" x14ac:dyDescent="0.25">
      <c r="A157" s="1">
        <v>2458344.3549000002</v>
      </c>
      <c r="B157" s="1" t="s">
        <v>77</v>
      </c>
      <c r="C157" s="1">
        <v>10.782999999999999</v>
      </c>
      <c r="D157" s="1" t="s">
        <v>292</v>
      </c>
      <c r="E157" t="s">
        <v>95</v>
      </c>
      <c r="F157">
        <f t="shared" si="15"/>
        <v>8344.3549000001512</v>
      </c>
      <c r="G157">
        <f t="shared" si="16"/>
        <v>8344.4</v>
      </c>
      <c r="H157">
        <f t="shared" si="17"/>
        <v>10.782999999999999</v>
      </c>
      <c r="J157">
        <f t="shared" si="21"/>
        <v>8344.3549000001512</v>
      </c>
      <c r="K157">
        <f t="shared" si="18"/>
        <v>8344.25</v>
      </c>
      <c r="L157">
        <f t="shared" si="19"/>
        <v>8344.25</v>
      </c>
      <c r="M157">
        <f t="shared" si="20"/>
        <v>10.782999999999999</v>
      </c>
    </row>
    <row r="158" spans="1:13" x14ac:dyDescent="0.25">
      <c r="A158" s="1">
        <v>2458344.3552100002</v>
      </c>
      <c r="B158" s="1" t="s">
        <v>77</v>
      </c>
      <c r="C158" s="1">
        <v>10.849</v>
      </c>
      <c r="D158" s="1" t="s">
        <v>292</v>
      </c>
      <c r="E158" t="s">
        <v>95</v>
      </c>
      <c r="F158">
        <f t="shared" si="15"/>
        <v>8344.3552100001834</v>
      </c>
      <c r="G158">
        <f t="shared" si="16"/>
        <v>8344.4</v>
      </c>
      <c r="H158">
        <f t="shared" si="17"/>
        <v>10.849</v>
      </c>
      <c r="J158">
        <f t="shared" si="21"/>
        <v>8344.3552100001834</v>
      </c>
      <c r="K158">
        <f t="shared" si="18"/>
        <v>8344.25</v>
      </c>
      <c r="L158">
        <f t="shared" si="19"/>
        <v>8344.25</v>
      </c>
      <c r="M158">
        <f t="shared" si="20"/>
        <v>10.849</v>
      </c>
    </row>
    <row r="159" spans="1:13" x14ac:dyDescent="0.25">
      <c r="A159" s="1">
        <v>2458344.3555399999</v>
      </c>
      <c r="B159" s="1" t="s">
        <v>77</v>
      </c>
      <c r="C159" s="1">
        <v>10.782</v>
      </c>
      <c r="D159" s="1" t="s">
        <v>292</v>
      </c>
      <c r="E159" t="s">
        <v>95</v>
      </c>
      <c r="F159">
        <f t="shared" si="15"/>
        <v>8344.3555399999022</v>
      </c>
      <c r="G159">
        <f t="shared" si="16"/>
        <v>8344.4</v>
      </c>
      <c r="H159">
        <f t="shared" si="17"/>
        <v>10.782</v>
      </c>
      <c r="J159">
        <f t="shared" si="21"/>
        <v>8344.3555399999022</v>
      </c>
      <c r="K159">
        <f t="shared" si="18"/>
        <v>8344.25</v>
      </c>
      <c r="L159">
        <f t="shared" si="19"/>
        <v>8344.25</v>
      </c>
      <c r="M159">
        <f t="shared" si="20"/>
        <v>10.782</v>
      </c>
    </row>
    <row r="160" spans="1:13" x14ac:dyDescent="0.25">
      <c r="A160" s="1">
        <v>2458344.3558499999</v>
      </c>
      <c r="B160" s="1" t="s">
        <v>77</v>
      </c>
      <c r="C160" s="1">
        <v>10.807</v>
      </c>
      <c r="D160" s="1" t="s">
        <v>292</v>
      </c>
      <c r="E160" t="s">
        <v>95</v>
      </c>
      <c r="F160">
        <f t="shared" si="15"/>
        <v>8344.3558499999344</v>
      </c>
      <c r="G160">
        <f t="shared" si="16"/>
        <v>8344.4</v>
      </c>
      <c r="H160">
        <f t="shared" si="17"/>
        <v>10.807</v>
      </c>
      <c r="J160">
        <f t="shared" si="21"/>
        <v>8344.3558499999344</v>
      </c>
      <c r="K160">
        <f t="shared" si="18"/>
        <v>8344.25</v>
      </c>
      <c r="L160">
        <f t="shared" si="19"/>
        <v>8344.25</v>
      </c>
      <c r="M160">
        <f t="shared" si="20"/>
        <v>10.807</v>
      </c>
    </row>
    <row r="161" spans="1:13" x14ac:dyDescent="0.25">
      <c r="A161" s="1">
        <v>2458344.35732</v>
      </c>
      <c r="B161" s="1" t="s">
        <v>77</v>
      </c>
      <c r="C161" s="1">
        <v>10.81</v>
      </c>
      <c r="D161" s="1" t="s">
        <v>292</v>
      </c>
      <c r="E161" t="s">
        <v>95</v>
      </c>
      <c r="F161">
        <f t="shared" si="15"/>
        <v>8344.3573199999519</v>
      </c>
      <c r="G161">
        <f t="shared" si="16"/>
        <v>8344.4</v>
      </c>
      <c r="H161">
        <f t="shared" si="17"/>
        <v>10.81</v>
      </c>
      <c r="J161">
        <f t="shared" si="21"/>
        <v>8344.3573199999519</v>
      </c>
      <c r="K161">
        <f t="shared" si="18"/>
        <v>8344.25</v>
      </c>
      <c r="L161">
        <f t="shared" si="19"/>
        <v>8344.25</v>
      </c>
      <c r="M161">
        <f t="shared" si="20"/>
        <v>10.81</v>
      </c>
    </row>
    <row r="162" spans="1:13" x14ac:dyDescent="0.25">
      <c r="A162" s="1">
        <v>2458344.3576400001</v>
      </c>
      <c r="B162" s="1" t="s">
        <v>77</v>
      </c>
      <c r="C162" s="1">
        <v>10.763</v>
      </c>
      <c r="D162" s="1" t="s">
        <v>292</v>
      </c>
      <c r="E162" t="s">
        <v>95</v>
      </c>
      <c r="F162">
        <f t="shared" si="15"/>
        <v>8344.3576400000602</v>
      </c>
      <c r="G162">
        <f t="shared" si="16"/>
        <v>8344.4</v>
      </c>
      <c r="H162">
        <f t="shared" si="17"/>
        <v>10.763</v>
      </c>
      <c r="J162">
        <f t="shared" si="21"/>
        <v>8344.3576400000602</v>
      </c>
      <c r="K162">
        <f t="shared" si="18"/>
        <v>8344.25</v>
      </c>
      <c r="L162">
        <f t="shared" si="19"/>
        <v>8344.25</v>
      </c>
      <c r="M162">
        <f t="shared" si="20"/>
        <v>10.763</v>
      </c>
    </row>
    <row r="163" spans="1:13" x14ac:dyDescent="0.25">
      <c r="A163" s="1">
        <v>2458344.3579600002</v>
      </c>
      <c r="B163" s="1" t="s">
        <v>77</v>
      </c>
      <c r="C163" s="1">
        <v>10.858000000000001</v>
      </c>
      <c r="D163" s="1" t="s">
        <v>292</v>
      </c>
      <c r="E163" t="s">
        <v>95</v>
      </c>
      <c r="F163">
        <f t="shared" si="15"/>
        <v>8344.3579600001685</v>
      </c>
      <c r="G163">
        <f t="shared" si="16"/>
        <v>8344.4</v>
      </c>
      <c r="H163">
        <f t="shared" si="17"/>
        <v>10.858000000000001</v>
      </c>
      <c r="J163">
        <f t="shared" si="21"/>
        <v>8344.3579600001685</v>
      </c>
      <c r="K163">
        <f t="shared" si="18"/>
        <v>8344.25</v>
      </c>
      <c r="L163">
        <f t="shared" si="19"/>
        <v>8344.25</v>
      </c>
      <c r="M163">
        <f t="shared" si="20"/>
        <v>10.858000000000001</v>
      </c>
    </row>
    <row r="164" spans="1:13" x14ac:dyDescent="0.25">
      <c r="A164" s="1">
        <v>2458344.3582799998</v>
      </c>
      <c r="B164" s="1" t="s">
        <v>77</v>
      </c>
      <c r="C164" s="1">
        <v>10.816000000000001</v>
      </c>
      <c r="D164" s="1" t="s">
        <v>292</v>
      </c>
      <c r="E164" t="s">
        <v>95</v>
      </c>
      <c r="F164">
        <f t="shared" si="15"/>
        <v>8344.3582799998112</v>
      </c>
      <c r="G164">
        <f t="shared" si="16"/>
        <v>8344.4</v>
      </c>
      <c r="H164">
        <f t="shared" si="17"/>
        <v>10.816000000000001</v>
      </c>
      <c r="J164">
        <f t="shared" si="21"/>
        <v>8344.3582799998112</v>
      </c>
      <c r="K164">
        <f t="shared" si="18"/>
        <v>8344.25</v>
      </c>
      <c r="L164">
        <f t="shared" si="19"/>
        <v>8344.25</v>
      </c>
      <c r="M164">
        <f t="shared" si="20"/>
        <v>10.816000000000001</v>
      </c>
    </row>
    <row r="165" spans="1:13" x14ac:dyDescent="0.25">
      <c r="A165" s="1">
        <v>2458344.36173</v>
      </c>
      <c r="B165" s="1" t="s">
        <v>77</v>
      </c>
      <c r="C165" s="1">
        <v>10.839</v>
      </c>
      <c r="D165" s="1" t="s">
        <v>292</v>
      </c>
      <c r="E165" t="s">
        <v>95</v>
      </c>
      <c r="F165">
        <f t="shared" si="15"/>
        <v>8344.3617300000042</v>
      </c>
      <c r="G165">
        <f t="shared" si="16"/>
        <v>8344.4</v>
      </c>
      <c r="H165">
        <f t="shared" si="17"/>
        <v>10.839</v>
      </c>
      <c r="J165">
        <f t="shared" si="21"/>
        <v>8344.3617300000042</v>
      </c>
      <c r="K165">
        <f t="shared" si="18"/>
        <v>8344.25</v>
      </c>
      <c r="L165">
        <f t="shared" si="19"/>
        <v>8344.25</v>
      </c>
      <c r="M165">
        <f t="shared" si="20"/>
        <v>10.839</v>
      </c>
    </row>
    <row r="166" spans="1:13" x14ac:dyDescent="0.25">
      <c r="A166" s="1">
        <v>2458344.3623700002</v>
      </c>
      <c r="B166" s="1" t="s">
        <v>77</v>
      </c>
      <c r="C166" s="1">
        <v>10.86</v>
      </c>
      <c r="D166" s="1" t="s">
        <v>292</v>
      </c>
      <c r="E166" t="s">
        <v>95</v>
      </c>
      <c r="F166">
        <f t="shared" si="15"/>
        <v>8344.3623700002208</v>
      </c>
      <c r="G166">
        <f t="shared" si="16"/>
        <v>8344.4</v>
      </c>
      <c r="H166">
        <f t="shared" si="17"/>
        <v>10.86</v>
      </c>
      <c r="J166">
        <f t="shared" si="21"/>
        <v>8344.3623700002208</v>
      </c>
      <c r="K166">
        <f t="shared" si="18"/>
        <v>8344.25</v>
      </c>
      <c r="L166">
        <f t="shared" si="19"/>
        <v>8344.25</v>
      </c>
      <c r="M166">
        <f t="shared" si="20"/>
        <v>10.86</v>
      </c>
    </row>
    <row r="167" spans="1:13" x14ac:dyDescent="0.25">
      <c r="A167" s="1">
        <v>2458344.3626899999</v>
      </c>
      <c r="B167" s="1" t="s">
        <v>77</v>
      </c>
      <c r="C167" s="1">
        <v>10.849</v>
      </c>
      <c r="D167" s="1" t="s">
        <v>292</v>
      </c>
      <c r="E167" t="s">
        <v>95</v>
      </c>
      <c r="F167">
        <f t="shared" si="15"/>
        <v>8344.3626899998635</v>
      </c>
      <c r="G167">
        <f t="shared" si="16"/>
        <v>8344.4</v>
      </c>
      <c r="H167">
        <f t="shared" si="17"/>
        <v>10.849</v>
      </c>
      <c r="J167">
        <f t="shared" si="21"/>
        <v>8344.3626899998635</v>
      </c>
      <c r="K167">
        <f t="shared" si="18"/>
        <v>8344.25</v>
      </c>
      <c r="L167">
        <f t="shared" si="19"/>
        <v>8344.25</v>
      </c>
      <c r="M167">
        <f t="shared" si="20"/>
        <v>10.849</v>
      </c>
    </row>
    <row r="168" spans="1:13" x14ac:dyDescent="0.25">
      <c r="A168" s="1">
        <v>2458344.3629999999</v>
      </c>
      <c r="B168" s="1" t="s">
        <v>77</v>
      </c>
      <c r="C168" s="1">
        <v>10.849</v>
      </c>
      <c r="D168" s="1" t="s">
        <v>292</v>
      </c>
      <c r="E168" t="s">
        <v>95</v>
      </c>
      <c r="F168">
        <f t="shared" si="15"/>
        <v>8344.3629999998957</v>
      </c>
      <c r="G168">
        <f t="shared" si="16"/>
        <v>8344.4</v>
      </c>
      <c r="H168">
        <f t="shared" si="17"/>
        <v>10.849</v>
      </c>
      <c r="J168">
        <f t="shared" si="21"/>
        <v>8344.3629999998957</v>
      </c>
      <c r="K168">
        <f t="shared" si="18"/>
        <v>8344.25</v>
      </c>
      <c r="L168">
        <f t="shared" si="19"/>
        <v>8344.25</v>
      </c>
      <c r="M168">
        <f t="shared" si="20"/>
        <v>10.849</v>
      </c>
    </row>
    <row r="169" spans="1:13" x14ac:dyDescent="0.25">
      <c r="A169" s="1">
        <v>2458344.3642799999</v>
      </c>
      <c r="B169" s="1" t="s">
        <v>77</v>
      </c>
      <c r="C169" s="1">
        <v>10.833</v>
      </c>
      <c r="D169" s="1" t="s">
        <v>292</v>
      </c>
      <c r="E169" t="s">
        <v>95</v>
      </c>
      <c r="F169">
        <f t="shared" si="15"/>
        <v>8344.3642799998634</v>
      </c>
      <c r="G169">
        <f t="shared" si="16"/>
        <v>8344.4</v>
      </c>
      <c r="H169">
        <f t="shared" si="17"/>
        <v>10.833</v>
      </c>
      <c r="J169">
        <f t="shared" si="21"/>
        <v>8344.3642799998634</v>
      </c>
      <c r="K169">
        <f t="shared" si="18"/>
        <v>8344.25</v>
      </c>
      <c r="L169">
        <f t="shared" si="19"/>
        <v>8344.25</v>
      </c>
      <c r="M169">
        <f t="shared" si="20"/>
        <v>10.833</v>
      </c>
    </row>
    <row r="170" spans="1:13" x14ac:dyDescent="0.25">
      <c r="A170" s="1">
        <v>2458344.3645899999</v>
      </c>
      <c r="B170" s="1" t="s">
        <v>77</v>
      </c>
      <c r="C170" s="1">
        <v>10.842000000000001</v>
      </c>
      <c r="D170" s="1" t="s">
        <v>292</v>
      </c>
      <c r="E170" t="s">
        <v>95</v>
      </c>
      <c r="F170">
        <f t="shared" si="15"/>
        <v>8344.3645899998955</v>
      </c>
      <c r="G170">
        <f t="shared" si="16"/>
        <v>8344.4</v>
      </c>
      <c r="H170">
        <f t="shared" si="17"/>
        <v>10.842000000000001</v>
      </c>
      <c r="J170">
        <f t="shared" si="21"/>
        <v>8344.3645899998955</v>
      </c>
      <c r="K170">
        <f t="shared" si="18"/>
        <v>8344.25</v>
      </c>
      <c r="L170">
        <f t="shared" si="19"/>
        <v>8344.25</v>
      </c>
      <c r="M170">
        <f t="shared" si="20"/>
        <v>10.842000000000001</v>
      </c>
    </row>
    <row r="171" spans="1:13" x14ac:dyDescent="0.25">
      <c r="A171" s="1">
        <v>2458344.3652300001</v>
      </c>
      <c r="B171" s="1" t="s">
        <v>77</v>
      </c>
      <c r="C171" s="1">
        <v>10.827</v>
      </c>
      <c r="D171" s="1" t="s">
        <v>292</v>
      </c>
      <c r="E171" t="s">
        <v>95</v>
      </c>
      <c r="F171">
        <f t="shared" si="15"/>
        <v>8344.3652300001122</v>
      </c>
      <c r="G171">
        <f t="shared" si="16"/>
        <v>8344.4</v>
      </c>
      <c r="H171">
        <f t="shared" si="17"/>
        <v>10.827</v>
      </c>
      <c r="J171">
        <f t="shared" si="21"/>
        <v>8344.3652300001122</v>
      </c>
      <c r="K171">
        <f t="shared" si="18"/>
        <v>8344.25</v>
      </c>
      <c r="L171">
        <f t="shared" si="19"/>
        <v>8344.25</v>
      </c>
      <c r="M171">
        <f t="shared" si="20"/>
        <v>10.827</v>
      </c>
    </row>
    <row r="172" spans="1:13" x14ac:dyDescent="0.25">
      <c r="A172" s="1">
        <v>2458344.36619</v>
      </c>
      <c r="B172" s="1" t="s">
        <v>77</v>
      </c>
      <c r="C172" s="1">
        <v>10.847</v>
      </c>
      <c r="D172" s="1" t="s">
        <v>292</v>
      </c>
      <c r="E172" t="s">
        <v>95</v>
      </c>
      <c r="F172">
        <f t="shared" si="15"/>
        <v>8344.3661899999715</v>
      </c>
      <c r="G172">
        <f t="shared" si="16"/>
        <v>8344.4</v>
      </c>
      <c r="H172">
        <f t="shared" si="17"/>
        <v>10.847</v>
      </c>
      <c r="J172">
        <f t="shared" si="21"/>
        <v>8344.3661899999715</v>
      </c>
      <c r="K172">
        <f t="shared" si="18"/>
        <v>8344.25</v>
      </c>
      <c r="L172">
        <f t="shared" si="19"/>
        <v>8344.25</v>
      </c>
      <c r="M172">
        <f t="shared" si="20"/>
        <v>10.847</v>
      </c>
    </row>
    <row r="173" spans="1:13" x14ac:dyDescent="0.25">
      <c r="A173" s="1">
        <v>2458344.3665</v>
      </c>
      <c r="B173" s="1" t="s">
        <v>77</v>
      </c>
      <c r="C173" s="1">
        <v>10.824</v>
      </c>
      <c r="D173" s="1" t="s">
        <v>292</v>
      </c>
      <c r="E173" t="s">
        <v>95</v>
      </c>
      <c r="F173">
        <f t="shared" si="15"/>
        <v>8344.3665000000037</v>
      </c>
      <c r="G173">
        <f t="shared" si="16"/>
        <v>8344.4</v>
      </c>
      <c r="H173">
        <f t="shared" si="17"/>
        <v>10.824</v>
      </c>
      <c r="J173">
        <f t="shared" si="21"/>
        <v>8344.3665000000037</v>
      </c>
      <c r="K173">
        <f t="shared" si="18"/>
        <v>8344.25</v>
      </c>
      <c r="L173">
        <f t="shared" si="19"/>
        <v>8344.25</v>
      </c>
      <c r="M173">
        <f t="shared" si="20"/>
        <v>10.824</v>
      </c>
    </row>
    <row r="174" spans="1:13" x14ac:dyDescent="0.25">
      <c r="A174" s="1">
        <v>2458344.3668200001</v>
      </c>
      <c r="B174" s="1" t="s">
        <v>77</v>
      </c>
      <c r="C174" s="1">
        <v>10.817</v>
      </c>
      <c r="D174" s="1" t="s">
        <v>292</v>
      </c>
      <c r="E174" t="s">
        <v>95</v>
      </c>
      <c r="F174">
        <f t="shared" si="15"/>
        <v>8344.3668200001121</v>
      </c>
      <c r="G174">
        <f t="shared" si="16"/>
        <v>8344.4</v>
      </c>
      <c r="H174">
        <f t="shared" si="17"/>
        <v>10.817</v>
      </c>
      <c r="J174">
        <f t="shared" si="21"/>
        <v>8344.3668200001121</v>
      </c>
      <c r="K174">
        <f t="shared" si="18"/>
        <v>8344.25</v>
      </c>
      <c r="L174">
        <f t="shared" si="19"/>
        <v>8344.25</v>
      </c>
      <c r="M174">
        <f t="shared" si="20"/>
        <v>10.817</v>
      </c>
    </row>
    <row r="175" spans="1:13" x14ac:dyDescent="0.25">
      <c r="A175" s="1">
        <v>2458344.3671400002</v>
      </c>
      <c r="B175" s="1" t="s">
        <v>77</v>
      </c>
      <c r="C175" s="1">
        <v>10.824999999999999</v>
      </c>
      <c r="D175" s="1" t="s">
        <v>292</v>
      </c>
      <c r="E175" t="s">
        <v>95</v>
      </c>
      <c r="F175">
        <f t="shared" si="15"/>
        <v>8344.3671400002204</v>
      </c>
      <c r="G175">
        <f t="shared" si="16"/>
        <v>8344.4</v>
      </c>
      <c r="H175">
        <f t="shared" si="17"/>
        <v>10.824999999999999</v>
      </c>
      <c r="J175">
        <f t="shared" si="21"/>
        <v>8344.3671400002204</v>
      </c>
      <c r="K175">
        <f t="shared" si="18"/>
        <v>8344.25</v>
      </c>
      <c r="L175">
        <f t="shared" si="19"/>
        <v>8344.25</v>
      </c>
      <c r="M175">
        <f t="shared" si="20"/>
        <v>10.824999999999999</v>
      </c>
    </row>
    <row r="176" spans="1:13" x14ac:dyDescent="0.25">
      <c r="A176" s="1">
        <v>2458344.3674599999</v>
      </c>
      <c r="B176" s="1" t="s">
        <v>77</v>
      </c>
      <c r="C176" s="1">
        <v>10.81</v>
      </c>
      <c r="D176" s="1" t="s">
        <v>292</v>
      </c>
      <c r="E176" t="s">
        <v>95</v>
      </c>
      <c r="F176">
        <f t="shared" si="15"/>
        <v>8344.3674599998631</v>
      </c>
      <c r="G176">
        <f t="shared" si="16"/>
        <v>8344.4</v>
      </c>
      <c r="H176">
        <f t="shared" si="17"/>
        <v>10.81</v>
      </c>
      <c r="J176">
        <f t="shared" si="21"/>
        <v>8344.3674599998631</v>
      </c>
      <c r="K176">
        <f t="shared" si="18"/>
        <v>8344.25</v>
      </c>
      <c r="L176">
        <f t="shared" si="19"/>
        <v>8344.25</v>
      </c>
      <c r="M176">
        <f t="shared" si="20"/>
        <v>10.81</v>
      </c>
    </row>
    <row r="177" spans="1:13" x14ac:dyDescent="0.25">
      <c r="A177" s="1">
        <v>2458344.3677699999</v>
      </c>
      <c r="B177" s="1" t="s">
        <v>77</v>
      </c>
      <c r="C177" s="1">
        <v>10.837999999999999</v>
      </c>
      <c r="D177" s="1" t="s">
        <v>292</v>
      </c>
      <c r="E177" t="s">
        <v>95</v>
      </c>
      <c r="F177">
        <f t="shared" si="15"/>
        <v>8344.3677699998952</v>
      </c>
      <c r="G177">
        <f t="shared" si="16"/>
        <v>8344.4</v>
      </c>
      <c r="H177">
        <f t="shared" si="17"/>
        <v>10.837999999999999</v>
      </c>
      <c r="J177">
        <f t="shared" si="21"/>
        <v>8344.3677699998952</v>
      </c>
      <c r="K177">
        <f t="shared" si="18"/>
        <v>8344.25</v>
      </c>
      <c r="L177">
        <f t="shared" si="19"/>
        <v>8344.25</v>
      </c>
      <c r="M177">
        <f t="shared" si="20"/>
        <v>10.837999999999999</v>
      </c>
    </row>
    <row r="178" spans="1:13" x14ac:dyDescent="0.25">
      <c r="A178" s="1">
        <v>2458344.3681000001</v>
      </c>
      <c r="B178" s="1" t="s">
        <v>77</v>
      </c>
      <c r="C178" s="1">
        <v>10.795</v>
      </c>
      <c r="D178" s="1" t="s">
        <v>292</v>
      </c>
      <c r="E178" t="s">
        <v>95</v>
      </c>
      <c r="F178">
        <f t="shared" si="15"/>
        <v>8344.3681000000797</v>
      </c>
      <c r="G178">
        <f t="shared" si="16"/>
        <v>8344.4</v>
      </c>
      <c r="H178">
        <f t="shared" si="17"/>
        <v>10.795</v>
      </c>
      <c r="J178">
        <f t="shared" si="21"/>
        <v>8344.3681000000797</v>
      </c>
      <c r="K178">
        <f t="shared" si="18"/>
        <v>8344.25</v>
      </c>
      <c r="L178">
        <f t="shared" si="19"/>
        <v>8344.25</v>
      </c>
      <c r="M178">
        <f t="shared" si="20"/>
        <v>10.795</v>
      </c>
    </row>
    <row r="179" spans="1:13" x14ac:dyDescent="0.25">
      <c r="A179" s="1">
        <v>2458344.3684100001</v>
      </c>
      <c r="B179" s="1" t="s">
        <v>77</v>
      </c>
      <c r="C179" s="1">
        <v>10.82</v>
      </c>
      <c r="D179" s="1" t="s">
        <v>292</v>
      </c>
      <c r="E179" t="s">
        <v>95</v>
      </c>
      <c r="F179">
        <f t="shared" si="15"/>
        <v>8344.3684100001119</v>
      </c>
      <c r="G179">
        <f t="shared" si="16"/>
        <v>8344.4</v>
      </c>
      <c r="H179">
        <f t="shared" si="17"/>
        <v>10.82</v>
      </c>
      <c r="J179">
        <f t="shared" si="21"/>
        <v>8344.3684100001119</v>
      </c>
      <c r="K179">
        <f t="shared" si="18"/>
        <v>8344.25</v>
      </c>
      <c r="L179">
        <f t="shared" si="19"/>
        <v>8344.25</v>
      </c>
      <c r="M179">
        <f t="shared" si="20"/>
        <v>10.82</v>
      </c>
    </row>
    <row r="180" spans="1:13" x14ac:dyDescent="0.25">
      <c r="A180" s="1">
        <v>2458344.3687300002</v>
      </c>
      <c r="B180" s="1" t="s">
        <v>77</v>
      </c>
      <c r="C180" s="1">
        <v>10.832000000000001</v>
      </c>
      <c r="D180" s="1" t="s">
        <v>292</v>
      </c>
      <c r="E180" t="s">
        <v>95</v>
      </c>
      <c r="F180">
        <f t="shared" si="15"/>
        <v>8344.3687300002202</v>
      </c>
      <c r="G180">
        <f t="shared" si="16"/>
        <v>8344.4</v>
      </c>
      <c r="H180">
        <f t="shared" si="17"/>
        <v>10.832000000000001</v>
      </c>
      <c r="J180">
        <f t="shared" si="21"/>
        <v>8344.3687300002202</v>
      </c>
      <c r="K180">
        <f t="shared" si="18"/>
        <v>8344.25</v>
      </c>
      <c r="L180">
        <f t="shared" si="19"/>
        <v>8344.25</v>
      </c>
      <c r="M180">
        <f t="shared" si="20"/>
        <v>10.832000000000001</v>
      </c>
    </row>
    <row r="181" spans="1:13" x14ac:dyDescent="0.25">
      <c r="A181" s="1">
        <v>2458344.3690499999</v>
      </c>
      <c r="B181" s="1" t="s">
        <v>77</v>
      </c>
      <c r="C181" s="1">
        <v>10.881</v>
      </c>
      <c r="D181" s="1" t="s">
        <v>292</v>
      </c>
      <c r="E181" t="s">
        <v>95</v>
      </c>
      <c r="F181">
        <f t="shared" si="15"/>
        <v>8344.3690499998629</v>
      </c>
      <c r="G181">
        <f t="shared" si="16"/>
        <v>8344.4</v>
      </c>
      <c r="H181">
        <f t="shared" si="17"/>
        <v>10.881</v>
      </c>
      <c r="J181">
        <f t="shared" si="21"/>
        <v>8344.3690499998629</v>
      </c>
      <c r="K181">
        <f t="shared" si="18"/>
        <v>8344.25</v>
      </c>
      <c r="L181">
        <f t="shared" si="19"/>
        <v>8344.25</v>
      </c>
      <c r="M181">
        <f t="shared" si="20"/>
        <v>10.881</v>
      </c>
    </row>
    <row r="182" spans="1:13" x14ac:dyDescent="0.25">
      <c r="A182" s="1">
        <v>2458344.36937</v>
      </c>
      <c r="B182" s="1" t="s">
        <v>77</v>
      </c>
      <c r="C182" s="1">
        <v>10.872</v>
      </c>
      <c r="D182" s="1" t="s">
        <v>292</v>
      </c>
      <c r="E182" t="s">
        <v>95</v>
      </c>
      <c r="F182">
        <f t="shared" si="15"/>
        <v>8344.3693699999712</v>
      </c>
      <c r="G182">
        <f t="shared" si="16"/>
        <v>8344.4</v>
      </c>
      <c r="H182">
        <f t="shared" si="17"/>
        <v>10.872</v>
      </c>
      <c r="J182">
        <f t="shared" si="21"/>
        <v>8344.3693699999712</v>
      </c>
      <c r="K182">
        <f t="shared" si="18"/>
        <v>8344.25</v>
      </c>
      <c r="L182">
        <f t="shared" si="19"/>
        <v>8344.25</v>
      </c>
      <c r="M182">
        <f t="shared" si="20"/>
        <v>10.872</v>
      </c>
    </row>
    <row r="183" spans="1:13" x14ac:dyDescent="0.25">
      <c r="A183" s="1">
        <v>2458344.36968</v>
      </c>
      <c r="B183" s="1" t="s">
        <v>77</v>
      </c>
      <c r="C183" s="1">
        <v>10.878</v>
      </c>
      <c r="D183" s="1" t="s">
        <v>292</v>
      </c>
      <c r="E183" t="s">
        <v>95</v>
      </c>
      <c r="F183">
        <f t="shared" si="15"/>
        <v>8344.3696800000034</v>
      </c>
      <c r="G183">
        <f t="shared" si="16"/>
        <v>8344.4</v>
      </c>
      <c r="H183">
        <f t="shared" si="17"/>
        <v>10.878</v>
      </c>
      <c r="J183">
        <f t="shared" si="21"/>
        <v>8344.3696800000034</v>
      </c>
      <c r="K183">
        <f t="shared" si="18"/>
        <v>8344.25</v>
      </c>
      <c r="L183">
        <f t="shared" si="19"/>
        <v>8344.25</v>
      </c>
      <c r="M183">
        <f t="shared" si="20"/>
        <v>10.878</v>
      </c>
    </row>
    <row r="184" spans="1:13" x14ac:dyDescent="0.25">
      <c r="A184" s="1">
        <v>2458344.3703200002</v>
      </c>
      <c r="B184" s="1" t="s">
        <v>77</v>
      </c>
      <c r="C184" s="1">
        <v>10.879</v>
      </c>
      <c r="D184" s="1" t="s">
        <v>292</v>
      </c>
      <c r="E184" t="s">
        <v>95</v>
      </c>
      <c r="F184">
        <f t="shared" si="15"/>
        <v>8344.3703200002201</v>
      </c>
      <c r="G184">
        <f t="shared" si="16"/>
        <v>8344.4</v>
      </c>
      <c r="H184">
        <f t="shared" si="17"/>
        <v>10.879</v>
      </c>
      <c r="J184">
        <f t="shared" si="21"/>
        <v>8344.3703200002201</v>
      </c>
      <c r="K184">
        <f t="shared" si="18"/>
        <v>8344.25</v>
      </c>
      <c r="L184">
        <f t="shared" si="19"/>
        <v>8344.25</v>
      </c>
      <c r="M184">
        <f t="shared" si="20"/>
        <v>10.879</v>
      </c>
    </row>
    <row r="185" spans="1:13" x14ac:dyDescent="0.25">
      <c r="A185" s="1">
        <v>2458344.3706399999</v>
      </c>
      <c r="B185" s="1" t="s">
        <v>77</v>
      </c>
      <c r="C185" s="1">
        <v>10.816000000000001</v>
      </c>
      <c r="D185" s="1" t="s">
        <v>292</v>
      </c>
      <c r="E185" t="s">
        <v>95</v>
      </c>
      <c r="F185">
        <f t="shared" si="15"/>
        <v>8344.3706399998628</v>
      </c>
      <c r="G185">
        <f t="shared" si="16"/>
        <v>8344.4</v>
      </c>
      <c r="H185">
        <f t="shared" si="17"/>
        <v>10.816000000000001</v>
      </c>
      <c r="J185">
        <f t="shared" si="21"/>
        <v>8344.3706399998628</v>
      </c>
      <c r="K185">
        <f t="shared" si="18"/>
        <v>8344.25</v>
      </c>
      <c r="L185">
        <f t="shared" si="19"/>
        <v>8344.25</v>
      </c>
      <c r="M185">
        <f t="shared" si="20"/>
        <v>10.816000000000001</v>
      </c>
    </row>
    <row r="186" spans="1:13" x14ac:dyDescent="0.25">
      <c r="A186" s="1">
        <v>2458344.3709499999</v>
      </c>
      <c r="B186" s="1" t="s">
        <v>77</v>
      </c>
      <c r="C186" s="1">
        <v>10.867000000000001</v>
      </c>
      <c r="D186" s="1" t="s">
        <v>292</v>
      </c>
      <c r="E186" t="s">
        <v>95</v>
      </c>
      <c r="F186">
        <f t="shared" si="15"/>
        <v>8344.3709499998949</v>
      </c>
      <c r="G186">
        <f t="shared" si="16"/>
        <v>8344.4</v>
      </c>
      <c r="H186">
        <f t="shared" si="17"/>
        <v>10.867000000000001</v>
      </c>
      <c r="J186">
        <f t="shared" si="21"/>
        <v>8344.3709499998949</v>
      </c>
      <c r="K186">
        <f t="shared" si="18"/>
        <v>8344.25</v>
      </c>
      <c r="L186">
        <f t="shared" si="19"/>
        <v>8344.25</v>
      </c>
      <c r="M186">
        <f t="shared" si="20"/>
        <v>10.867000000000001</v>
      </c>
    </row>
    <row r="187" spans="1:13" x14ac:dyDescent="0.25">
      <c r="A187" s="1">
        <v>2458344.37127</v>
      </c>
      <c r="B187" s="1" t="s">
        <v>77</v>
      </c>
      <c r="C187" s="1">
        <v>10.818</v>
      </c>
      <c r="D187" s="1" t="s">
        <v>292</v>
      </c>
      <c r="E187" t="s">
        <v>95</v>
      </c>
      <c r="F187">
        <f t="shared" si="15"/>
        <v>8344.3712700000033</v>
      </c>
      <c r="G187">
        <f t="shared" si="16"/>
        <v>8344.4</v>
      </c>
      <c r="H187">
        <f t="shared" si="17"/>
        <v>10.818</v>
      </c>
      <c r="J187">
        <f t="shared" si="21"/>
        <v>8344.3712700000033</v>
      </c>
      <c r="K187">
        <f t="shared" si="18"/>
        <v>8344.25</v>
      </c>
      <c r="L187">
        <f t="shared" si="19"/>
        <v>8344.25</v>
      </c>
      <c r="M187">
        <f t="shared" si="20"/>
        <v>10.818</v>
      </c>
    </row>
    <row r="188" spans="1:13" x14ac:dyDescent="0.25">
      <c r="A188" s="1">
        <v>2458344.3856500001</v>
      </c>
      <c r="B188" s="1" t="s">
        <v>77</v>
      </c>
      <c r="C188" s="1">
        <v>10.877000000000001</v>
      </c>
      <c r="D188" s="1" t="s">
        <v>292</v>
      </c>
      <c r="E188" t="s">
        <v>95</v>
      </c>
      <c r="F188">
        <f t="shared" si="15"/>
        <v>8344.3856500000693</v>
      </c>
      <c r="G188">
        <f t="shared" si="16"/>
        <v>8344.4</v>
      </c>
      <c r="H188">
        <f t="shared" si="17"/>
        <v>10.877000000000001</v>
      </c>
      <c r="J188">
        <f t="shared" si="21"/>
        <v>8344.3856500000693</v>
      </c>
      <c r="K188">
        <f t="shared" si="18"/>
        <v>8344.25</v>
      </c>
      <c r="L188">
        <f t="shared" si="19"/>
        <v>8344.25</v>
      </c>
      <c r="M188">
        <f t="shared" si="20"/>
        <v>10.877000000000001</v>
      </c>
    </row>
    <row r="189" spans="1:13" x14ac:dyDescent="0.25">
      <c r="A189" s="1">
        <v>2458344.3859799998</v>
      </c>
      <c r="B189" s="1" t="s">
        <v>77</v>
      </c>
      <c r="C189" s="1">
        <v>10.882</v>
      </c>
      <c r="D189" s="1" t="s">
        <v>292</v>
      </c>
      <c r="E189" t="s">
        <v>95</v>
      </c>
      <c r="F189">
        <f t="shared" si="15"/>
        <v>8344.3859799997881</v>
      </c>
      <c r="G189">
        <f t="shared" si="16"/>
        <v>8344.4</v>
      </c>
      <c r="H189">
        <f t="shared" si="17"/>
        <v>10.882</v>
      </c>
      <c r="J189">
        <f t="shared" si="21"/>
        <v>8344.3859799997881</v>
      </c>
      <c r="K189">
        <f t="shared" si="18"/>
        <v>8344.25</v>
      </c>
      <c r="L189">
        <f t="shared" si="19"/>
        <v>8344.25</v>
      </c>
      <c r="M189">
        <f t="shared" si="20"/>
        <v>10.882</v>
      </c>
    </row>
    <row r="190" spans="1:13" x14ac:dyDescent="0.25">
      <c r="A190" s="1">
        <v>2458344.3862999999</v>
      </c>
      <c r="B190" s="1" t="s">
        <v>77</v>
      </c>
      <c r="C190" s="1">
        <v>10.868</v>
      </c>
      <c r="D190" s="1" t="s">
        <v>292</v>
      </c>
      <c r="E190" t="s">
        <v>95</v>
      </c>
      <c r="F190">
        <f t="shared" si="15"/>
        <v>8344.3862999998964</v>
      </c>
      <c r="G190">
        <f t="shared" si="16"/>
        <v>8344.4</v>
      </c>
      <c r="H190">
        <f t="shared" si="17"/>
        <v>10.868</v>
      </c>
      <c r="J190">
        <f t="shared" si="21"/>
        <v>8344.3862999998964</v>
      </c>
      <c r="K190">
        <f t="shared" si="18"/>
        <v>8344.25</v>
      </c>
      <c r="L190">
        <f t="shared" si="19"/>
        <v>8344.25</v>
      </c>
      <c r="M190">
        <f t="shared" si="20"/>
        <v>10.868</v>
      </c>
    </row>
    <row r="191" spans="1:13" x14ac:dyDescent="0.25">
      <c r="A191" s="1">
        <v>2458344.3866099999</v>
      </c>
      <c r="B191" s="1" t="s">
        <v>77</v>
      </c>
      <c r="C191" s="1">
        <v>10.871</v>
      </c>
      <c r="D191" s="1" t="s">
        <v>292</v>
      </c>
      <c r="E191" t="s">
        <v>95</v>
      </c>
      <c r="F191">
        <f t="shared" si="15"/>
        <v>8344.3866099999286</v>
      </c>
      <c r="G191">
        <f t="shared" si="16"/>
        <v>8344.4</v>
      </c>
      <c r="H191">
        <f t="shared" si="17"/>
        <v>10.871</v>
      </c>
      <c r="J191">
        <f t="shared" si="21"/>
        <v>8344.3866099999286</v>
      </c>
      <c r="K191">
        <f t="shared" si="18"/>
        <v>8344.25</v>
      </c>
      <c r="L191">
        <f t="shared" si="19"/>
        <v>8344.25</v>
      </c>
      <c r="M191">
        <f t="shared" si="20"/>
        <v>10.871</v>
      </c>
    </row>
    <row r="192" spans="1:13" x14ac:dyDescent="0.25">
      <c r="A192" s="1">
        <v>2458344.3869400001</v>
      </c>
      <c r="B192" s="1" t="s">
        <v>77</v>
      </c>
      <c r="C192" s="1">
        <v>10.829000000000001</v>
      </c>
      <c r="D192" s="1" t="s">
        <v>292</v>
      </c>
      <c r="E192" t="s">
        <v>95</v>
      </c>
      <c r="F192">
        <f t="shared" si="15"/>
        <v>8344.3869400001131</v>
      </c>
      <c r="G192">
        <f t="shared" si="16"/>
        <v>8344.4</v>
      </c>
      <c r="H192">
        <f t="shared" si="17"/>
        <v>10.829000000000001</v>
      </c>
      <c r="J192">
        <f t="shared" si="21"/>
        <v>8344.3869400001131</v>
      </c>
      <c r="K192">
        <f t="shared" si="18"/>
        <v>8344.25</v>
      </c>
      <c r="L192">
        <f t="shared" si="19"/>
        <v>8344.25</v>
      </c>
      <c r="M192">
        <f t="shared" si="20"/>
        <v>10.829000000000001</v>
      </c>
    </row>
    <row r="193" spans="1:13" x14ac:dyDescent="0.25">
      <c r="A193" s="1">
        <v>2458344.3872500001</v>
      </c>
      <c r="B193" s="1" t="s">
        <v>77</v>
      </c>
      <c r="C193" s="1">
        <v>10.827999999999999</v>
      </c>
      <c r="D193" s="1" t="s">
        <v>292</v>
      </c>
      <c r="E193" t="s">
        <v>95</v>
      </c>
      <c r="F193">
        <f t="shared" si="15"/>
        <v>8344.3872500001453</v>
      </c>
      <c r="G193">
        <f t="shared" si="16"/>
        <v>8344.4</v>
      </c>
      <c r="H193">
        <f t="shared" si="17"/>
        <v>10.827999999999999</v>
      </c>
      <c r="J193">
        <f t="shared" si="21"/>
        <v>8344.3872500001453</v>
      </c>
      <c r="K193">
        <f t="shared" si="18"/>
        <v>8344.25</v>
      </c>
      <c r="L193">
        <f t="shared" si="19"/>
        <v>8344.25</v>
      </c>
      <c r="M193">
        <f t="shared" si="20"/>
        <v>10.827999999999999</v>
      </c>
    </row>
    <row r="194" spans="1:13" x14ac:dyDescent="0.25">
      <c r="A194" s="1">
        <v>2458344.3875600002</v>
      </c>
      <c r="B194" s="1" t="s">
        <v>77</v>
      </c>
      <c r="C194" s="1">
        <v>10.851000000000001</v>
      </c>
      <c r="D194" s="1" t="s">
        <v>292</v>
      </c>
      <c r="E194" t="s">
        <v>95</v>
      </c>
      <c r="F194">
        <f t="shared" si="15"/>
        <v>8344.3875600001775</v>
      </c>
      <c r="G194">
        <f t="shared" si="16"/>
        <v>8344.4</v>
      </c>
      <c r="H194">
        <f t="shared" si="17"/>
        <v>10.851000000000001</v>
      </c>
      <c r="J194">
        <f t="shared" si="21"/>
        <v>8344.3875600001775</v>
      </c>
      <c r="K194">
        <f t="shared" si="18"/>
        <v>8344.25</v>
      </c>
      <c r="L194">
        <f t="shared" si="19"/>
        <v>8344.25</v>
      </c>
      <c r="M194">
        <f t="shared" si="20"/>
        <v>10.851000000000001</v>
      </c>
    </row>
    <row r="195" spans="1:13" x14ac:dyDescent="0.25">
      <c r="A195" s="1">
        <v>2458344.3878899999</v>
      </c>
      <c r="B195" s="1" t="s">
        <v>77</v>
      </c>
      <c r="C195" s="1">
        <v>10.837</v>
      </c>
      <c r="D195" s="1" t="s">
        <v>292</v>
      </c>
      <c r="E195" t="s">
        <v>95</v>
      </c>
      <c r="F195">
        <f t="shared" ref="F195:F258" si="22">+A195-2450000</f>
        <v>8344.3878899998963</v>
      </c>
      <c r="G195">
        <f t="shared" ref="G195:G258" si="23">+(ROUND(F195,1)*10)/10</f>
        <v>8344.4</v>
      </c>
      <c r="H195">
        <f t="shared" ref="H195:H258" si="24">+C195</f>
        <v>10.837</v>
      </c>
      <c r="J195">
        <f t="shared" si="21"/>
        <v>8344.3878899998963</v>
      </c>
      <c r="K195">
        <f t="shared" ref="K195:K258" si="25">+INT(J195*4)/4</f>
        <v>8344.25</v>
      </c>
      <c r="L195">
        <f t="shared" ref="L195:L258" si="26">+IF(J195-K195&gt;0.25,K195+0.25,K195)</f>
        <v>8344.25</v>
      </c>
      <c r="M195">
        <f t="shared" ref="M195:M258" si="27">+H195</f>
        <v>10.837</v>
      </c>
    </row>
    <row r="196" spans="1:13" x14ac:dyDescent="0.25">
      <c r="A196" s="1">
        <v>2458344.3881999999</v>
      </c>
      <c r="B196" s="1" t="s">
        <v>77</v>
      </c>
      <c r="C196" s="1">
        <v>10.855</v>
      </c>
      <c r="D196" s="1" t="s">
        <v>292</v>
      </c>
      <c r="E196" t="s">
        <v>95</v>
      </c>
      <c r="F196">
        <f t="shared" si="22"/>
        <v>8344.3881999999285</v>
      </c>
      <c r="G196">
        <f t="shared" si="23"/>
        <v>8344.4</v>
      </c>
      <c r="H196">
        <f t="shared" si="24"/>
        <v>10.855</v>
      </c>
      <c r="J196">
        <f t="shared" si="21"/>
        <v>8344.3881999999285</v>
      </c>
      <c r="K196">
        <f t="shared" si="25"/>
        <v>8344.25</v>
      </c>
      <c r="L196">
        <f t="shared" si="26"/>
        <v>8344.25</v>
      </c>
      <c r="M196">
        <f t="shared" si="27"/>
        <v>10.855</v>
      </c>
    </row>
    <row r="197" spans="1:13" x14ac:dyDescent="0.25">
      <c r="A197" s="1">
        <v>2458344.38852</v>
      </c>
      <c r="B197" s="1" t="s">
        <v>77</v>
      </c>
      <c r="C197" s="1">
        <v>10.852</v>
      </c>
      <c r="D197" s="1" t="s">
        <v>292</v>
      </c>
      <c r="E197" t="s">
        <v>95</v>
      </c>
      <c r="F197">
        <f t="shared" si="22"/>
        <v>8344.3885200000368</v>
      </c>
      <c r="G197">
        <f t="shared" si="23"/>
        <v>8344.4</v>
      </c>
      <c r="H197">
        <f t="shared" si="24"/>
        <v>10.852</v>
      </c>
      <c r="J197">
        <f t="shared" si="21"/>
        <v>8344.3885200000368</v>
      </c>
      <c r="K197">
        <f t="shared" si="25"/>
        <v>8344.25</v>
      </c>
      <c r="L197">
        <f t="shared" si="26"/>
        <v>8344.25</v>
      </c>
      <c r="M197">
        <f t="shared" si="27"/>
        <v>10.852</v>
      </c>
    </row>
    <row r="198" spans="1:13" x14ac:dyDescent="0.25">
      <c r="A198" s="1">
        <v>2458344.3888400001</v>
      </c>
      <c r="B198" s="1" t="s">
        <v>77</v>
      </c>
      <c r="C198" s="1">
        <v>10.846</v>
      </c>
      <c r="D198" s="1" t="s">
        <v>292</v>
      </c>
      <c r="E198" t="s">
        <v>95</v>
      </c>
      <c r="F198">
        <f t="shared" si="22"/>
        <v>8344.3888400001451</v>
      </c>
      <c r="G198">
        <f t="shared" si="23"/>
        <v>8344.4</v>
      </c>
      <c r="H198">
        <f t="shared" si="24"/>
        <v>10.846</v>
      </c>
      <c r="J198">
        <f t="shared" si="21"/>
        <v>8344.3888400001451</v>
      </c>
      <c r="K198">
        <f t="shared" si="25"/>
        <v>8344.25</v>
      </c>
      <c r="L198">
        <f t="shared" si="26"/>
        <v>8344.25</v>
      </c>
      <c r="M198">
        <f t="shared" si="27"/>
        <v>10.846</v>
      </c>
    </row>
    <row r="199" spans="1:13" x14ac:dyDescent="0.25">
      <c r="A199" s="1">
        <v>2458344.3935099998</v>
      </c>
      <c r="B199" s="1" t="s">
        <v>77</v>
      </c>
      <c r="C199" s="1">
        <v>10.821999999999999</v>
      </c>
      <c r="D199" s="1" t="s">
        <v>292</v>
      </c>
      <c r="E199" t="s">
        <v>95</v>
      </c>
      <c r="F199">
        <f t="shared" si="22"/>
        <v>8344.3935099998489</v>
      </c>
      <c r="G199">
        <f t="shared" si="23"/>
        <v>8344.4</v>
      </c>
      <c r="H199">
        <f t="shared" si="24"/>
        <v>10.821999999999999</v>
      </c>
      <c r="J199">
        <f t="shared" si="21"/>
        <v>8344.3935099998489</v>
      </c>
      <c r="K199">
        <f t="shared" si="25"/>
        <v>8344.25</v>
      </c>
      <c r="L199">
        <f t="shared" si="26"/>
        <v>8344.25</v>
      </c>
      <c r="M199">
        <f t="shared" si="27"/>
        <v>10.821999999999999</v>
      </c>
    </row>
    <row r="200" spans="1:13" x14ac:dyDescent="0.25">
      <c r="A200" s="1">
        <v>2458344.39384</v>
      </c>
      <c r="B200" s="1" t="s">
        <v>77</v>
      </c>
      <c r="C200" s="1">
        <v>10.86</v>
      </c>
      <c r="D200" s="1" t="s">
        <v>292</v>
      </c>
      <c r="E200" t="s">
        <v>95</v>
      </c>
      <c r="F200">
        <f t="shared" si="22"/>
        <v>8344.3938400000334</v>
      </c>
      <c r="G200">
        <f t="shared" si="23"/>
        <v>8344.4</v>
      </c>
      <c r="H200">
        <f t="shared" si="24"/>
        <v>10.86</v>
      </c>
      <c r="J200">
        <f t="shared" si="21"/>
        <v>8344.3938400000334</v>
      </c>
      <c r="K200">
        <f t="shared" si="25"/>
        <v>8344.25</v>
      </c>
      <c r="L200">
        <f t="shared" si="26"/>
        <v>8344.25</v>
      </c>
      <c r="M200">
        <f t="shared" si="27"/>
        <v>10.86</v>
      </c>
    </row>
    <row r="201" spans="1:13" x14ac:dyDescent="0.25">
      <c r="A201" s="1">
        <v>2458344.3941500001</v>
      </c>
      <c r="B201" s="1" t="s">
        <v>77</v>
      </c>
      <c r="C201" s="1">
        <v>10.856</v>
      </c>
      <c r="D201" s="1" t="s">
        <v>292</v>
      </c>
      <c r="E201" t="s">
        <v>95</v>
      </c>
      <c r="F201">
        <f t="shared" si="22"/>
        <v>8344.3941500000656</v>
      </c>
      <c r="G201">
        <f t="shared" si="23"/>
        <v>8344.4</v>
      </c>
      <c r="H201">
        <f t="shared" si="24"/>
        <v>10.856</v>
      </c>
      <c r="J201">
        <f t="shared" si="21"/>
        <v>8344.3941500000656</v>
      </c>
      <c r="K201">
        <f t="shared" si="25"/>
        <v>8344.25</v>
      </c>
      <c r="L201">
        <f t="shared" si="26"/>
        <v>8344.25</v>
      </c>
      <c r="M201">
        <f t="shared" si="27"/>
        <v>10.856</v>
      </c>
    </row>
    <row r="202" spans="1:13" x14ac:dyDescent="0.25">
      <c r="A202" s="1">
        <v>2458344.3944700002</v>
      </c>
      <c r="B202" s="1" t="s">
        <v>77</v>
      </c>
      <c r="C202" s="1">
        <v>10.808</v>
      </c>
      <c r="D202" s="1" t="s">
        <v>292</v>
      </c>
      <c r="E202" t="s">
        <v>95</v>
      </c>
      <c r="F202">
        <f t="shared" si="22"/>
        <v>8344.3944700001739</v>
      </c>
      <c r="G202">
        <f t="shared" si="23"/>
        <v>8344.4</v>
      </c>
      <c r="H202">
        <f t="shared" si="24"/>
        <v>10.808</v>
      </c>
      <c r="J202">
        <f t="shared" si="21"/>
        <v>8344.3944700001739</v>
      </c>
      <c r="K202">
        <f t="shared" si="25"/>
        <v>8344.25</v>
      </c>
      <c r="L202">
        <f t="shared" si="26"/>
        <v>8344.25</v>
      </c>
      <c r="M202">
        <f t="shared" si="27"/>
        <v>10.808</v>
      </c>
    </row>
    <row r="203" spans="1:13" x14ac:dyDescent="0.25">
      <c r="A203" s="1">
        <v>2458344.3947899998</v>
      </c>
      <c r="B203" s="1" t="s">
        <v>77</v>
      </c>
      <c r="C203" s="1">
        <v>10.789</v>
      </c>
      <c r="D203" s="1" t="s">
        <v>292</v>
      </c>
      <c r="E203" t="s">
        <v>95</v>
      </c>
      <c r="F203">
        <f t="shared" si="22"/>
        <v>8344.3947899998166</v>
      </c>
      <c r="G203">
        <f t="shared" si="23"/>
        <v>8344.4</v>
      </c>
      <c r="H203">
        <f t="shared" si="24"/>
        <v>10.789</v>
      </c>
      <c r="J203">
        <f t="shared" si="21"/>
        <v>8344.3947899998166</v>
      </c>
      <c r="K203">
        <f t="shared" si="25"/>
        <v>8344.25</v>
      </c>
      <c r="L203">
        <f t="shared" si="26"/>
        <v>8344.25</v>
      </c>
      <c r="M203">
        <f t="shared" si="27"/>
        <v>10.789</v>
      </c>
    </row>
    <row r="204" spans="1:13" x14ac:dyDescent="0.25">
      <c r="A204" s="1">
        <v>2458344.3951099999</v>
      </c>
      <c r="B204" s="1" t="s">
        <v>77</v>
      </c>
      <c r="C204" s="1">
        <v>10.867000000000001</v>
      </c>
      <c r="D204" s="1" t="s">
        <v>292</v>
      </c>
      <c r="E204" t="s">
        <v>95</v>
      </c>
      <c r="F204">
        <f t="shared" si="22"/>
        <v>8344.3951099999249</v>
      </c>
      <c r="G204">
        <f t="shared" si="23"/>
        <v>8344.4</v>
      </c>
      <c r="H204">
        <f t="shared" si="24"/>
        <v>10.867000000000001</v>
      </c>
      <c r="J204">
        <f t="shared" si="21"/>
        <v>8344.3951099999249</v>
      </c>
      <c r="K204">
        <f t="shared" si="25"/>
        <v>8344.25</v>
      </c>
      <c r="L204">
        <f t="shared" si="26"/>
        <v>8344.25</v>
      </c>
      <c r="M204">
        <f t="shared" si="27"/>
        <v>10.867000000000001</v>
      </c>
    </row>
    <row r="205" spans="1:13" x14ac:dyDescent="0.25">
      <c r="A205" s="1">
        <v>2458344.6056900001</v>
      </c>
      <c r="B205" s="1" t="s">
        <v>96</v>
      </c>
      <c r="C205" s="1">
        <v>10.917999999999999</v>
      </c>
      <c r="D205" s="1" t="s">
        <v>292</v>
      </c>
      <c r="E205" t="s">
        <v>97</v>
      </c>
      <c r="F205">
        <f t="shared" si="22"/>
        <v>8344.6056900001131</v>
      </c>
      <c r="G205">
        <f t="shared" si="23"/>
        <v>8344.6</v>
      </c>
      <c r="H205">
        <f t="shared" si="24"/>
        <v>10.917999999999999</v>
      </c>
      <c r="J205">
        <f t="shared" si="21"/>
        <v>8344.6056900001131</v>
      </c>
      <c r="K205">
        <f t="shared" si="25"/>
        <v>8344.5</v>
      </c>
      <c r="L205">
        <f t="shared" si="26"/>
        <v>8344.5</v>
      </c>
      <c r="M205">
        <f t="shared" si="27"/>
        <v>10.917999999999999</v>
      </c>
    </row>
    <row r="206" spans="1:13" x14ac:dyDescent="0.25">
      <c r="A206" s="1">
        <v>2458345.4019499999</v>
      </c>
      <c r="B206" s="1" t="s">
        <v>96</v>
      </c>
      <c r="C206" s="1">
        <v>10.757999999999999</v>
      </c>
      <c r="D206" s="1" t="s">
        <v>292</v>
      </c>
      <c r="E206" t="s">
        <v>98</v>
      </c>
      <c r="F206">
        <f t="shared" si="22"/>
        <v>8345.401949999854</v>
      </c>
      <c r="G206">
        <f t="shared" si="23"/>
        <v>8345.4</v>
      </c>
      <c r="H206">
        <f t="shared" si="24"/>
        <v>10.757999999999999</v>
      </c>
      <c r="J206">
        <f t="shared" si="21"/>
        <v>8345.401949999854</v>
      </c>
      <c r="K206">
        <f t="shared" si="25"/>
        <v>8345.25</v>
      </c>
      <c r="L206">
        <f t="shared" si="26"/>
        <v>8345.25</v>
      </c>
      <c r="M206">
        <f t="shared" si="27"/>
        <v>10.757999999999999</v>
      </c>
    </row>
    <row r="207" spans="1:13" x14ac:dyDescent="0.25">
      <c r="A207" s="1">
        <v>2458345.4035399999</v>
      </c>
      <c r="B207" s="1" t="s">
        <v>96</v>
      </c>
      <c r="C207" s="1">
        <v>10.771000000000001</v>
      </c>
      <c r="D207" s="1" t="s">
        <v>292</v>
      </c>
      <c r="E207" t="s">
        <v>98</v>
      </c>
      <c r="F207">
        <f t="shared" si="22"/>
        <v>8345.4035399998538</v>
      </c>
      <c r="G207">
        <f t="shared" si="23"/>
        <v>8345.4</v>
      </c>
      <c r="H207">
        <f t="shared" si="24"/>
        <v>10.771000000000001</v>
      </c>
      <c r="J207">
        <f t="shared" si="21"/>
        <v>8345.4035399998538</v>
      </c>
      <c r="K207">
        <f t="shared" si="25"/>
        <v>8345.25</v>
      </c>
      <c r="L207">
        <f t="shared" si="26"/>
        <v>8345.25</v>
      </c>
      <c r="M207">
        <f t="shared" si="27"/>
        <v>10.771000000000001</v>
      </c>
    </row>
    <row r="208" spans="1:13" x14ac:dyDescent="0.25">
      <c r="A208" s="1">
        <v>2458345.4051299999</v>
      </c>
      <c r="B208" s="1" t="s">
        <v>96</v>
      </c>
      <c r="C208" s="1">
        <v>10.808</v>
      </c>
      <c r="D208" s="1" t="s">
        <v>292</v>
      </c>
      <c r="E208" t="s">
        <v>98</v>
      </c>
      <c r="F208">
        <f t="shared" si="22"/>
        <v>8345.4051299998537</v>
      </c>
      <c r="G208">
        <f t="shared" si="23"/>
        <v>8345.4</v>
      </c>
      <c r="H208">
        <f t="shared" si="24"/>
        <v>10.808</v>
      </c>
      <c r="J208">
        <f t="shared" si="21"/>
        <v>8345.4051299998537</v>
      </c>
      <c r="K208">
        <f t="shared" si="25"/>
        <v>8345.25</v>
      </c>
      <c r="L208">
        <f t="shared" si="26"/>
        <v>8345.25</v>
      </c>
      <c r="M208">
        <f t="shared" si="27"/>
        <v>10.808</v>
      </c>
    </row>
    <row r="209" spans="1:13" x14ac:dyDescent="0.25">
      <c r="A209" s="1">
        <v>2458345.4067600002</v>
      </c>
      <c r="B209" s="1" t="s">
        <v>96</v>
      </c>
      <c r="C209" s="1">
        <v>10.794</v>
      </c>
      <c r="D209" s="1" t="s">
        <v>292</v>
      </c>
      <c r="E209" t="s">
        <v>98</v>
      </c>
      <c r="F209">
        <f t="shared" si="22"/>
        <v>8345.4067600001581</v>
      </c>
      <c r="G209">
        <f t="shared" si="23"/>
        <v>8345.4</v>
      </c>
      <c r="H209">
        <f t="shared" si="24"/>
        <v>10.794</v>
      </c>
      <c r="J209">
        <f t="shared" si="21"/>
        <v>8345.4067600001581</v>
      </c>
      <c r="K209">
        <f t="shared" si="25"/>
        <v>8345.25</v>
      </c>
      <c r="L209">
        <f t="shared" si="26"/>
        <v>8345.25</v>
      </c>
      <c r="M209">
        <f t="shared" si="27"/>
        <v>10.794</v>
      </c>
    </row>
    <row r="210" spans="1:13" x14ac:dyDescent="0.25">
      <c r="A210" s="1">
        <v>2458345.4083500002</v>
      </c>
      <c r="B210" s="1" t="s">
        <v>96</v>
      </c>
      <c r="C210" s="1">
        <v>10.771000000000001</v>
      </c>
      <c r="D210" s="1" t="s">
        <v>292</v>
      </c>
      <c r="E210" t="s">
        <v>98</v>
      </c>
      <c r="F210">
        <f t="shared" si="22"/>
        <v>8345.408350000158</v>
      </c>
      <c r="G210">
        <f t="shared" si="23"/>
        <v>8345.4</v>
      </c>
      <c r="H210">
        <f t="shared" si="24"/>
        <v>10.771000000000001</v>
      </c>
      <c r="J210">
        <f t="shared" si="21"/>
        <v>8345.408350000158</v>
      </c>
      <c r="K210">
        <f t="shared" si="25"/>
        <v>8345.25</v>
      </c>
      <c r="L210">
        <f t="shared" si="26"/>
        <v>8345.25</v>
      </c>
      <c r="M210">
        <f t="shared" si="27"/>
        <v>10.771000000000001</v>
      </c>
    </row>
    <row r="211" spans="1:13" x14ac:dyDescent="0.25">
      <c r="A211" s="1">
        <v>2458345.4099300001</v>
      </c>
      <c r="B211" s="1" t="s">
        <v>96</v>
      </c>
      <c r="C211" s="1">
        <v>10.768000000000001</v>
      </c>
      <c r="D211" s="1" t="s">
        <v>292</v>
      </c>
      <c r="E211" t="s">
        <v>98</v>
      </c>
      <c r="F211">
        <f t="shared" si="22"/>
        <v>8345.4099300000817</v>
      </c>
      <c r="G211">
        <f t="shared" si="23"/>
        <v>8345.4</v>
      </c>
      <c r="H211">
        <f t="shared" si="24"/>
        <v>10.768000000000001</v>
      </c>
      <c r="J211">
        <f t="shared" si="21"/>
        <v>8345.4099300000817</v>
      </c>
      <c r="K211">
        <f t="shared" si="25"/>
        <v>8345.25</v>
      </c>
      <c r="L211">
        <f t="shared" si="26"/>
        <v>8345.25</v>
      </c>
      <c r="M211">
        <f t="shared" si="27"/>
        <v>10.768000000000001</v>
      </c>
    </row>
    <row r="212" spans="1:13" x14ac:dyDescent="0.25">
      <c r="A212" s="1">
        <v>2458345.4115200001</v>
      </c>
      <c r="B212" s="1" t="s">
        <v>96</v>
      </c>
      <c r="C212" s="1">
        <v>10.741</v>
      </c>
      <c r="D212" s="1" t="s">
        <v>292</v>
      </c>
      <c r="E212" t="s">
        <v>98</v>
      </c>
      <c r="F212">
        <f t="shared" si="22"/>
        <v>8345.4115200000815</v>
      </c>
      <c r="G212">
        <f t="shared" si="23"/>
        <v>8345.4</v>
      </c>
      <c r="H212">
        <f t="shared" si="24"/>
        <v>10.741</v>
      </c>
      <c r="J212">
        <f t="shared" si="21"/>
        <v>8345.4115200000815</v>
      </c>
      <c r="K212">
        <f t="shared" si="25"/>
        <v>8345.25</v>
      </c>
      <c r="L212">
        <f t="shared" si="26"/>
        <v>8345.25</v>
      </c>
      <c r="M212">
        <f t="shared" si="27"/>
        <v>10.741</v>
      </c>
    </row>
    <row r="213" spans="1:13" x14ac:dyDescent="0.25">
      <c r="A213" s="1">
        <v>2458345.4131</v>
      </c>
      <c r="B213" s="1" t="s">
        <v>96</v>
      </c>
      <c r="C213" s="1">
        <v>10.746</v>
      </c>
      <c r="D213" s="1" t="s">
        <v>292</v>
      </c>
      <c r="E213" t="s">
        <v>98</v>
      </c>
      <c r="F213">
        <f t="shared" si="22"/>
        <v>8345.4131000000052</v>
      </c>
      <c r="G213">
        <f t="shared" si="23"/>
        <v>8345.4</v>
      </c>
      <c r="H213">
        <f t="shared" si="24"/>
        <v>10.746</v>
      </c>
      <c r="J213">
        <f t="shared" si="21"/>
        <v>8345.4131000000052</v>
      </c>
      <c r="K213">
        <f t="shared" si="25"/>
        <v>8345.25</v>
      </c>
      <c r="L213">
        <f t="shared" si="26"/>
        <v>8345.25</v>
      </c>
      <c r="M213">
        <f t="shared" si="27"/>
        <v>10.746</v>
      </c>
    </row>
    <row r="214" spans="1:13" x14ac:dyDescent="0.25">
      <c r="A214" s="1">
        <v>2458345.41469</v>
      </c>
      <c r="B214" s="1" t="s">
        <v>96</v>
      </c>
      <c r="C214" s="1">
        <v>10.733000000000001</v>
      </c>
      <c r="D214" s="1" t="s">
        <v>292</v>
      </c>
      <c r="E214" t="s">
        <v>98</v>
      </c>
      <c r="F214">
        <f t="shared" si="22"/>
        <v>8345.4146900000051</v>
      </c>
      <c r="G214">
        <f t="shared" si="23"/>
        <v>8345.4</v>
      </c>
      <c r="H214">
        <f t="shared" si="24"/>
        <v>10.733000000000001</v>
      </c>
      <c r="J214">
        <f t="shared" si="21"/>
        <v>8345.4146900000051</v>
      </c>
      <c r="K214">
        <f t="shared" si="25"/>
        <v>8345.25</v>
      </c>
      <c r="L214">
        <f t="shared" si="26"/>
        <v>8345.25</v>
      </c>
      <c r="M214">
        <f t="shared" si="27"/>
        <v>10.733000000000001</v>
      </c>
    </row>
    <row r="215" spans="1:13" x14ac:dyDescent="0.25">
      <c r="A215" s="1">
        <v>2458345.4162699999</v>
      </c>
      <c r="B215" s="1" t="s">
        <v>96</v>
      </c>
      <c r="C215" s="1">
        <v>10.747</v>
      </c>
      <c r="D215" s="1" t="s">
        <v>292</v>
      </c>
      <c r="E215" t="s">
        <v>98</v>
      </c>
      <c r="F215">
        <f t="shared" si="22"/>
        <v>8345.4162699999288</v>
      </c>
      <c r="G215">
        <f t="shared" si="23"/>
        <v>8345.4</v>
      </c>
      <c r="H215">
        <f t="shared" si="24"/>
        <v>10.747</v>
      </c>
      <c r="J215">
        <f t="shared" si="21"/>
        <v>8345.4162699999288</v>
      </c>
      <c r="K215">
        <f t="shared" si="25"/>
        <v>8345.25</v>
      </c>
      <c r="L215">
        <f t="shared" si="26"/>
        <v>8345.25</v>
      </c>
      <c r="M215">
        <f t="shared" si="27"/>
        <v>10.747</v>
      </c>
    </row>
    <row r="216" spans="1:13" x14ac:dyDescent="0.25">
      <c r="A216" s="1">
        <v>2458345.4178599999</v>
      </c>
      <c r="B216" s="1" t="s">
        <v>96</v>
      </c>
      <c r="C216" s="1">
        <v>10.776</v>
      </c>
      <c r="D216" s="1" t="s">
        <v>292</v>
      </c>
      <c r="E216" t="s">
        <v>98</v>
      </c>
      <c r="F216">
        <f t="shared" si="22"/>
        <v>8345.4178599999286</v>
      </c>
      <c r="G216">
        <f t="shared" si="23"/>
        <v>8345.4</v>
      </c>
      <c r="H216">
        <f t="shared" si="24"/>
        <v>10.776</v>
      </c>
      <c r="J216">
        <f t="shared" si="21"/>
        <v>8345.4178599999286</v>
      </c>
      <c r="K216">
        <f t="shared" si="25"/>
        <v>8345.25</v>
      </c>
      <c r="L216">
        <f t="shared" si="26"/>
        <v>8345.25</v>
      </c>
      <c r="M216">
        <f t="shared" si="27"/>
        <v>10.776</v>
      </c>
    </row>
    <row r="217" spans="1:13" x14ac:dyDescent="0.25">
      <c r="A217" s="1">
        <v>2458345.4194399999</v>
      </c>
      <c r="B217" s="1" t="s">
        <v>96</v>
      </c>
      <c r="C217" s="1">
        <v>10.801</v>
      </c>
      <c r="D217" s="1" t="s">
        <v>292</v>
      </c>
      <c r="E217" t="s">
        <v>98</v>
      </c>
      <c r="F217">
        <f t="shared" si="22"/>
        <v>8345.4194399998523</v>
      </c>
      <c r="G217">
        <f t="shared" si="23"/>
        <v>8345.4</v>
      </c>
      <c r="H217">
        <f t="shared" si="24"/>
        <v>10.801</v>
      </c>
      <c r="J217">
        <f t="shared" ref="J217:J280" si="28">+F217</f>
        <v>8345.4194399998523</v>
      </c>
      <c r="K217">
        <f t="shared" si="25"/>
        <v>8345.25</v>
      </c>
      <c r="L217">
        <f t="shared" si="26"/>
        <v>8345.25</v>
      </c>
      <c r="M217">
        <f t="shared" si="27"/>
        <v>10.801</v>
      </c>
    </row>
    <row r="218" spans="1:13" x14ac:dyDescent="0.25">
      <c r="A218" s="1">
        <v>2458345.4210299999</v>
      </c>
      <c r="B218" s="1" t="s">
        <v>96</v>
      </c>
      <c r="C218" s="1">
        <v>10.811</v>
      </c>
      <c r="D218" s="1" t="s">
        <v>292</v>
      </c>
      <c r="E218" t="s">
        <v>98</v>
      </c>
      <c r="F218">
        <f t="shared" si="22"/>
        <v>8345.4210299998522</v>
      </c>
      <c r="G218">
        <f t="shared" si="23"/>
        <v>8345.4</v>
      </c>
      <c r="H218">
        <f t="shared" si="24"/>
        <v>10.811</v>
      </c>
      <c r="J218">
        <f t="shared" si="28"/>
        <v>8345.4210299998522</v>
      </c>
      <c r="K218">
        <f t="shared" si="25"/>
        <v>8345.25</v>
      </c>
      <c r="L218">
        <f t="shared" si="26"/>
        <v>8345.25</v>
      </c>
      <c r="M218">
        <f t="shared" si="27"/>
        <v>10.811</v>
      </c>
    </row>
    <row r="219" spans="1:13" x14ac:dyDescent="0.25">
      <c r="A219" s="1">
        <v>2458345.4226299999</v>
      </c>
      <c r="B219" s="1" t="s">
        <v>96</v>
      </c>
      <c r="C219" s="1">
        <v>10.781000000000001</v>
      </c>
      <c r="D219" s="1" t="s">
        <v>292</v>
      </c>
      <c r="E219" t="s">
        <v>98</v>
      </c>
      <c r="F219">
        <f t="shared" si="22"/>
        <v>8345.4226299999282</v>
      </c>
      <c r="G219">
        <f t="shared" si="23"/>
        <v>8345.4</v>
      </c>
      <c r="H219">
        <f t="shared" si="24"/>
        <v>10.781000000000001</v>
      </c>
      <c r="J219">
        <f t="shared" si="28"/>
        <v>8345.4226299999282</v>
      </c>
      <c r="K219">
        <f t="shared" si="25"/>
        <v>8345.25</v>
      </c>
      <c r="L219">
        <f t="shared" si="26"/>
        <v>8345.25</v>
      </c>
      <c r="M219">
        <f t="shared" si="27"/>
        <v>10.781000000000001</v>
      </c>
    </row>
    <row r="220" spans="1:13" x14ac:dyDescent="0.25">
      <c r="A220" s="1">
        <v>2458345.4242099999</v>
      </c>
      <c r="B220" s="1" t="s">
        <v>96</v>
      </c>
      <c r="C220" s="1">
        <v>10.785</v>
      </c>
      <c r="D220" s="1" t="s">
        <v>292</v>
      </c>
      <c r="E220" t="s">
        <v>98</v>
      </c>
      <c r="F220">
        <f t="shared" si="22"/>
        <v>8345.4242099998519</v>
      </c>
      <c r="G220">
        <f t="shared" si="23"/>
        <v>8345.4</v>
      </c>
      <c r="H220">
        <f t="shared" si="24"/>
        <v>10.785</v>
      </c>
      <c r="J220">
        <f t="shared" si="28"/>
        <v>8345.4242099998519</v>
      </c>
      <c r="K220">
        <f t="shared" si="25"/>
        <v>8345.25</v>
      </c>
      <c r="L220">
        <f t="shared" si="26"/>
        <v>8345.25</v>
      </c>
      <c r="M220">
        <f t="shared" si="27"/>
        <v>10.785</v>
      </c>
    </row>
    <row r="221" spans="1:13" x14ac:dyDescent="0.25">
      <c r="A221" s="1">
        <v>2458345.4257999999</v>
      </c>
      <c r="B221" s="1" t="s">
        <v>96</v>
      </c>
      <c r="C221" s="1">
        <v>10.801</v>
      </c>
      <c r="D221" s="1" t="s">
        <v>292</v>
      </c>
      <c r="E221" t="s">
        <v>98</v>
      </c>
      <c r="F221">
        <f t="shared" si="22"/>
        <v>8345.4257999998517</v>
      </c>
      <c r="G221">
        <f t="shared" si="23"/>
        <v>8345.4</v>
      </c>
      <c r="H221">
        <f t="shared" si="24"/>
        <v>10.801</v>
      </c>
      <c r="J221">
        <f t="shared" si="28"/>
        <v>8345.4257999998517</v>
      </c>
      <c r="K221">
        <f t="shared" si="25"/>
        <v>8345.25</v>
      </c>
      <c r="L221">
        <f t="shared" si="26"/>
        <v>8345.25</v>
      </c>
      <c r="M221">
        <f t="shared" si="27"/>
        <v>10.801</v>
      </c>
    </row>
    <row r="222" spans="1:13" x14ac:dyDescent="0.25">
      <c r="A222" s="1">
        <v>2458345.4273700002</v>
      </c>
      <c r="B222" s="1" t="s">
        <v>96</v>
      </c>
      <c r="C222" s="1">
        <v>10.805999999999999</v>
      </c>
      <c r="D222" s="1" t="s">
        <v>292</v>
      </c>
      <c r="E222" t="s">
        <v>98</v>
      </c>
      <c r="F222">
        <f t="shared" si="22"/>
        <v>8345.427370000165</v>
      </c>
      <c r="G222">
        <f t="shared" si="23"/>
        <v>8345.4</v>
      </c>
      <c r="H222">
        <f t="shared" si="24"/>
        <v>10.805999999999999</v>
      </c>
      <c r="J222">
        <f t="shared" si="28"/>
        <v>8345.427370000165</v>
      </c>
      <c r="K222">
        <f t="shared" si="25"/>
        <v>8345.25</v>
      </c>
      <c r="L222">
        <f t="shared" si="26"/>
        <v>8345.25</v>
      </c>
      <c r="M222">
        <f t="shared" si="27"/>
        <v>10.805999999999999</v>
      </c>
    </row>
    <row r="223" spans="1:13" x14ac:dyDescent="0.25">
      <c r="A223" s="1">
        <v>2458345.4289699998</v>
      </c>
      <c r="B223" s="1" t="s">
        <v>96</v>
      </c>
      <c r="C223" s="1">
        <v>10.798</v>
      </c>
      <c r="D223" s="1" t="s">
        <v>292</v>
      </c>
      <c r="E223" t="s">
        <v>98</v>
      </c>
      <c r="F223">
        <f t="shared" si="22"/>
        <v>8345.4289699997753</v>
      </c>
      <c r="G223">
        <f t="shared" si="23"/>
        <v>8345.4</v>
      </c>
      <c r="H223">
        <f t="shared" si="24"/>
        <v>10.798</v>
      </c>
      <c r="J223">
        <f t="shared" si="28"/>
        <v>8345.4289699997753</v>
      </c>
      <c r="K223">
        <f t="shared" si="25"/>
        <v>8345.25</v>
      </c>
      <c r="L223">
        <f t="shared" si="26"/>
        <v>8345.25</v>
      </c>
      <c r="M223">
        <f t="shared" si="27"/>
        <v>10.798</v>
      </c>
    </row>
    <row r="224" spans="1:13" x14ac:dyDescent="0.25">
      <c r="A224" s="1">
        <v>2458345.4305500002</v>
      </c>
      <c r="B224" s="1" t="s">
        <v>96</v>
      </c>
      <c r="C224" s="1">
        <v>10.795999999999999</v>
      </c>
      <c r="D224" s="1" t="s">
        <v>292</v>
      </c>
      <c r="E224" t="s">
        <v>98</v>
      </c>
      <c r="F224">
        <f t="shared" si="22"/>
        <v>8345.4305500001647</v>
      </c>
      <c r="G224">
        <f t="shared" si="23"/>
        <v>8345.4</v>
      </c>
      <c r="H224">
        <f t="shared" si="24"/>
        <v>10.795999999999999</v>
      </c>
      <c r="J224">
        <f t="shared" si="28"/>
        <v>8345.4305500001647</v>
      </c>
      <c r="K224">
        <f t="shared" si="25"/>
        <v>8345.25</v>
      </c>
      <c r="L224">
        <f t="shared" si="26"/>
        <v>8345.25</v>
      </c>
      <c r="M224">
        <f t="shared" si="27"/>
        <v>10.795999999999999</v>
      </c>
    </row>
    <row r="225" spans="1:13" x14ac:dyDescent="0.25">
      <c r="A225" s="1">
        <v>2458345.4321400002</v>
      </c>
      <c r="B225" s="1" t="s">
        <v>96</v>
      </c>
      <c r="C225" s="1">
        <v>10.79</v>
      </c>
      <c r="D225" s="1" t="s">
        <v>292</v>
      </c>
      <c r="E225" t="s">
        <v>98</v>
      </c>
      <c r="F225">
        <f t="shared" si="22"/>
        <v>8345.4321400001645</v>
      </c>
      <c r="G225">
        <f t="shared" si="23"/>
        <v>8345.4</v>
      </c>
      <c r="H225">
        <f t="shared" si="24"/>
        <v>10.79</v>
      </c>
      <c r="J225">
        <f t="shared" si="28"/>
        <v>8345.4321400001645</v>
      </c>
      <c r="K225">
        <f t="shared" si="25"/>
        <v>8345.25</v>
      </c>
      <c r="L225">
        <f t="shared" si="26"/>
        <v>8345.25</v>
      </c>
      <c r="M225">
        <f t="shared" si="27"/>
        <v>10.79</v>
      </c>
    </row>
    <row r="226" spans="1:13" x14ac:dyDescent="0.25">
      <c r="A226" s="1">
        <v>2458345.4337300002</v>
      </c>
      <c r="B226" s="1" t="s">
        <v>96</v>
      </c>
      <c r="C226" s="1">
        <v>10.795</v>
      </c>
      <c r="D226" s="1" t="s">
        <v>292</v>
      </c>
      <c r="E226" t="s">
        <v>98</v>
      </c>
      <c r="F226">
        <f t="shared" si="22"/>
        <v>8345.4337300001644</v>
      </c>
      <c r="G226">
        <f t="shared" si="23"/>
        <v>8345.4</v>
      </c>
      <c r="H226">
        <f t="shared" si="24"/>
        <v>10.795</v>
      </c>
      <c r="J226">
        <f t="shared" si="28"/>
        <v>8345.4337300001644</v>
      </c>
      <c r="K226">
        <f t="shared" si="25"/>
        <v>8345.25</v>
      </c>
      <c r="L226">
        <f t="shared" si="26"/>
        <v>8345.25</v>
      </c>
      <c r="M226">
        <f t="shared" si="27"/>
        <v>10.795</v>
      </c>
    </row>
    <row r="227" spans="1:13" x14ac:dyDescent="0.25">
      <c r="A227" s="1">
        <v>2458345.4353100001</v>
      </c>
      <c r="B227" s="1" t="s">
        <v>96</v>
      </c>
      <c r="C227" s="1">
        <v>10.794</v>
      </c>
      <c r="D227" s="1" t="s">
        <v>292</v>
      </c>
      <c r="E227" t="s">
        <v>98</v>
      </c>
      <c r="F227">
        <f t="shared" si="22"/>
        <v>8345.4353100000881</v>
      </c>
      <c r="G227">
        <f t="shared" si="23"/>
        <v>8345.4</v>
      </c>
      <c r="H227">
        <f t="shared" si="24"/>
        <v>10.794</v>
      </c>
      <c r="J227">
        <f t="shared" si="28"/>
        <v>8345.4353100000881</v>
      </c>
      <c r="K227">
        <f t="shared" si="25"/>
        <v>8345.25</v>
      </c>
      <c r="L227">
        <f t="shared" si="26"/>
        <v>8345.25</v>
      </c>
      <c r="M227">
        <f t="shared" si="27"/>
        <v>10.794</v>
      </c>
    </row>
    <row r="228" spans="1:13" x14ac:dyDescent="0.25">
      <c r="A228" s="1">
        <v>2458345.4369000001</v>
      </c>
      <c r="B228" s="1" t="s">
        <v>96</v>
      </c>
      <c r="C228" s="1">
        <v>10.805999999999999</v>
      </c>
      <c r="D228" s="1" t="s">
        <v>292</v>
      </c>
      <c r="E228" t="s">
        <v>98</v>
      </c>
      <c r="F228">
        <f t="shared" si="22"/>
        <v>8345.4369000000879</v>
      </c>
      <c r="G228">
        <f t="shared" si="23"/>
        <v>8345.4</v>
      </c>
      <c r="H228">
        <f t="shared" si="24"/>
        <v>10.805999999999999</v>
      </c>
      <c r="J228">
        <f t="shared" si="28"/>
        <v>8345.4369000000879</v>
      </c>
      <c r="K228">
        <f t="shared" si="25"/>
        <v>8345.25</v>
      </c>
      <c r="L228">
        <f t="shared" si="26"/>
        <v>8345.25</v>
      </c>
      <c r="M228">
        <f t="shared" si="27"/>
        <v>10.805999999999999</v>
      </c>
    </row>
    <row r="229" spans="1:13" x14ac:dyDescent="0.25">
      <c r="A229" s="1">
        <v>2458345.43848</v>
      </c>
      <c r="B229" s="1" t="s">
        <v>96</v>
      </c>
      <c r="C229" s="1">
        <v>10.779</v>
      </c>
      <c r="D229" s="1" t="s">
        <v>292</v>
      </c>
      <c r="E229" t="s">
        <v>98</v>
      </c>
      <c r="F229">
        <f t="shared" si="22"/>
        <v>8345.4384800000116</v>
      </c>
      <c r="G229">
        <f t="shared" si="23"/>
        <v>8345.4</v>
      </c>
      <c r="H229">
        <f t="shared" si="24"/>
        <v>10.779</v>
      </c>
      <c r="J229">
        <f t="shared" si="28"/>
        <v>8345.4384800000116</v>
      </c>
      <c r="K229">
        <f t="shared" si="25"/>
        <v>8345.25</v>
      </c>
      <c r="L229">
        <f t="shared" si="26"/>
        <v>8345.25</v>
      </c>
      <c r="M229">
        <f t="shared" si="27"/>
        <v>10.779</v>
      </c>
    </row>
    <row r="230" spans="1:13" x14ac:dyDescent="0.25">
      <c r="A230" s="1">
        <v>2458345.44007</v>
      </c>
      <c r="B230" s="1" t="s">
        <v>96</v>
      </c>
      <c r="C230" s="1">
        <v>10.786</v>
      </c>
      <c r="D230" s="1" t="s">
        <v>292</v>
      </c>
      <c r="E230" t="s">
        <v>98</v>
      </c>
      <c r="F230">
        <f t="shared" si="22"/>
        <v>8345.4400700000115</v>
      </c>
      <c r="G230">
        <f t="shared" si="23"/>
        <v>8345.4</v>
      </c>
      <c r="H230">
        <f t="shared" si="24"/>
        <v>10.786</v>
      </c>
      <c r="J230">
        <f t="shared" si="28"/>
        <v>8345.4400700000115</v>
      </c>
      <c r="K230">
        <f t="shared" si="25"/>
        <v>8345.25</v>
      </c>
      <c r="L230">
        <f t="shared" si="26"/>
        <v>8345.25</v>
      </c>
      <c r="M230">
        <f t="shared" si="27"/>
        <v>10.786</v>
      </c>
    </row>
    <row r="231" spans="1:13" x14ac:dyDescent="0.25">
      <c r="A231" s="1">
        <v>2458345.4416499999</v>
      </c>
      <c r="B231" s="1" t="s">
        <v>96</v>
      </c>
      <c r="C231" s="1">
        <v>10.776</v>
      </c>
      <c r="D231" s="1" t="s">
        <v>292</v>
      </c>
      <c r="E231" t="s">
        <v>98</v>
      </c>
      <c r="F231">
        <f t="shared" si="22"/>
        <v>8345.4416499999352</v>
      </c>
      <c r="G231">
        <f t="shared" si="23"/>
        <v>8345.4</v>
      </c>
      <c r="H231">
        <f t="shared" si="24"/>
        <v>10.776</v>
      </c>
      <c r="J231">
        <f t="shared" si="28"/>
        <v>8345.4416499999352</v>
      </c>
      <c r="K231">
        <f t="shared" si="25"/>
        <v>8345.25</v>
      </c>
      <c r="L231">
        <f t="shared" si="26"/>
        <v>8345.25</v>
      </c>
      <c r="M231">
        <f t="shared" si="27"/>
        <v>10.776</v>
      </c>
    </row>
    <row r="232" spans="1:13" x14ac:dyDescent="0.25">
      <c r="A232" s="1">
        <v>2458345.4432399999</v>
      </c>
      <c r="B232" s="1" t="s">
        <v>96</v>
      </c>
      <c r="C232" s="1">
        <v>10.778</v>
      </c>
      <c r="D232" s="1" t="s">
        <v>292</v>
      </c>
      <c r="E232" t="s">
        <v>98</v>
      </c>
      <c r="F232">
        <f t="shared" si="22"/>
        <v>8345.443239999935</v>
      </c>
      <c r="G232">
        <f t="shared" si="23"/>
        <v>8345.4</v>
      </c>
      <c r="H232">
        <f t="shared" si="24"/>
        <v>10.778</v>
      </c>
      <c r="J232">
        <f t="shared" si="28"/>
        <v>8345.443239999935</v>
      </c>
      <c r="K232">
        <f t="shared" si="25"/>
        <v>8345.25</v>
      </c>
      <c r="L232">
        <f t="shared" si="26"/>
        <v>8345.25</v>
      </c>
      <c r="M232">
        <f t="shared" si="27"/>
        <v>10.778</v>
      </c>
    </row>
    <row r="233" spans="1:13" x14ac:dyDescent="0.25">
      <c r="A233" s="1">
        <v>2458345.4448199999</v>
      </c>
      <c r="B233" s="1" t="s">
        <v>96</v>
      </c>
      <c r="C233" s="1">
        <v>10.768000000000001</v>
      </c>
      <c r="D233" s="1" t="s">
        <v>292</v>
      </c>
      <c r="E233" t="s">
        <v>98</v>
      </c>
      <c r="F233">
        <f t="shared" si="22"/>
        <v>8345.4448199998587</v>
      </c>
      <c r="G233">
        <f t="shared" si="23"/>
        <v>8345.4</v>
      </c>
      <c r="H233">
        <f t="shared" si="24"/>
        <v>10.768000000000001</v>
      </c>
      <c r="J233">
        <f t="shared" si="28"/>
        <v>8345.4448199998587</v>
      </c>
      <c r="K233">
        <f t="shared" si="25"/>
        <v>8345.25</v>
      </c>
      <c r="L233">
        <f t="shared" si="26"/>
        <v>8345.25</v>
      </c>
      <c r="M233">
        <f t="shared" si="27"/>
        <v>10.768000000000001</v>
      </c>
    </row>
    <row r="234" spans="1:13" x14ac:dyDescent="0.25">
      <c r="A234" s="1">
        <v>2458345.4464099999</v>
      </c>
      <c r="B234" s="1" t="s">
        <v>96</v>
      </c>
      <c r="C234" s="1">
        <v>10.771000000000001</v>
      </c>
      <c r="D234" s="1" t="s">
        <v>292</v>
      </c>
      <c r="E234" t="s">
        <v>98</v>
      </c>
      <c r="F234">
        <f t="shared" si="22"/>
        <v>8345.4464099998586</v>
      </c>
      <c r="G234">
        <f t="shared" si="23"/>
        <v>8345.4</v>
      </c>
      <c r="H234">
        <f t="shared" si="24"/>
        <v>10.771000000000001</v>
      </c>
      <c r="J234">
        <f t="shared" si="28"/>
        <v>8345.4464099998586</v>
      </c>
      <c r="K234">
        <f t="shared" si="25"/>
        <v>8345.25</v>
      </c>
      <c r="L234">
        <f t="shared" si="26"/>
        <v>8345.25</v>
      </c>
      <c r="M234">
        <f t="shared" si="27"/>
        <v>10.771000000000001</v>
      </c>
    </row>
    <row r="235" spans="1:13" x14ac:dyDescent="0.25">
      <c r="A235" s="1">
        <v>2458345.4479999999</v>
      </c>
      <c r="B235" s="1" t="s">
        <v>96</v>
      </c>
      <c r="C235" s="1">
        <v>10.781000000000001</v>
      </c>
      <c r="D235" s="1" t="s">
        <v>292</v>
      </c>
      <c r="E235" t="s">
        <v>98</v>
      </c>
      <c r="F235">
        <f t="shared" si="22"/>
        <v>8345.4479999998584</v>
      </c>
      <c r="G235">
        <f t="shared" si="23"/>
        <v>8345.4</v>
      </c>
      <c r="H235">
        <f t="shared" si="24"/>
        <v>10.781000000000001</v>
      </c>
      <c r="J235">
        <f t="shared" si="28"/>
        <v>8345.4479999998584</v>
      </c>
      <c r="K235">
        <f t="shared" si="25"/>
        <v>8345.25</v>
      </c>
      <c r="L235">
        <f t="shared" si="26"/>
        <v>8345.25</v>
      </c>
      <c r="M235">
        <f t="shared" si="27"/>
        <v>10.781000000000001</v>
      </c>
    </row>
    <row r="236" spans="1:13" x14ac:dyDescent="0.25">
      <c r="A236" s="1">
        <v>2458345.4495799998</v>
      </c>
      <c r="B236" s="1" t="s">
        <v>96</v>
      </c>
      <c r="C236" s="1">
        <v>10.775</v>
      </c>
      <c r="D236" s="1" t="s">
        <v>292</v>
      </c>
      <c r="E236" t="s">
        <v>98</v>
      </c>
      <c r="F236">
        <f t="shared" si="22"/>
        <v>8345.4495799997821</v>
      </c>
      <c r="G236">
        <f t="shared" si="23"/>
        <v>8345.4</v>
      </c>
      <c r="H236">
        <f t="shared" si="24"/>
        <v>10.775</v>
      </c>
      <c r="J236">
        <f t="shared" si="28"/>
        <v>8345.4495799997821</v>
      </c>
      <c r="K236">
        <f t="shared" si="25"/>
        <v>8345.25</v>
      </c>
      <c r="L236">
        <f t="shared" si="26"/>
        <v>8345.25</v>
      </c>
      <c r="M236">
        <f t="shared" si="27"/>
        <v>10.775</v>
      </c>
    </row>
    <row r="237" spans="1:13" x14ac:dyDescent="0.25">
      <c r="A237" s="1">
        <v>2458345.4511699998</v>
      </c>
      <c r="B237" s="1" t="s">
        <v>96</v>
      </c>
      <c r="C237" s="1">
        <v>10.782999999999999</v>
      </c>
      <c r="D237" s="1" t="s">
        <v>292</v>
      </c>
      <c r="E237" t="s">
        <v>98</v>
      </c>
      <c r="F237">
        <f t="shared" si="22"/>
        <v>8345.451169999782</v>
      </c>
      <c r="G237">
        <f t="shared" si="23"/>
        <v>8345.5</v>
      </c>
      <c r="H237">
        <f t="shared" si="24"/>
        <v>10.782999999999999</v>
      </c>
      <c r="J237">
        <f t="shared" si="28"/>
        <v>8345.451169999782</v>
      </c>
      <c r="K237">
        <f t="shared" si="25"/>
        <v>8345.25</v>
      </c>
      <c r="L237">
        <f t="shared" si="26"/>
        <v>8345.25</v>
      </c>
      <c r="M237">
        <f t="shared" si="27"/>
        <v>10.782999999999999</v>
      </c>
    </row>
    <row r="238" spans="1:13" x14ac:dyDescent="0.25">
      <c r="A238" s="1">
        <v>2458345.4527500002</v>
      </c>
      <c r="B238" s="1" t="s">
        <v>96</v>
      </c>
      <c r="C238" s="1">
        <v>10.776999999999999</v>
      </c>
      <c r="D238" s="1" t="s">
        <v>292</v>
      </c>
      <c r="E238" t="s">
        <v>98</v>
      </c>
      <c r="F238">
        <f t="shared" si="22"/>
        <v>8345.4527500001714</v>
      </c>
      <c r="G238">
        <f t="shared" si="23"/>
        <v>8345.5</v>
      </c>
      <c r="H238">
        <f t="shared" si="24"/>
        <v>10.776999999999999</v>
      </c>
      <c r="J238">
        <f t="shared" si="28"/>
        <v>8345.4527500001714</v>
      </c>
      <c r="K238">
        <f t="shared" si="25"/>
        <v>8345.25</v>
      </c>
      <c r="L238">
        <f t="shared" si="26"/>
        <v>8345.25</v>
      </c>
      <c r="M238">
        <f t="shared" si="27"/>
        <v>10.776999999999999</v>
      </c>
    </row>
    <row r="239" spans="1:13" x14ac:dyDescent="0.25">
      <c r="A239" s="1">
        <v>2458345.4543499998</v>
      </c>
      <c r="B239" s="1" t="s">
        <v>96</v>
      </c>
      <c r="C239" s="1">
        <v>10.789</v>
      </c>
      <c r="D239" s="1" t="s">
        <v>292</v>
      </c>
      <c r="E239" t="s">
        <v>98</v>
      </c>
      <c r="F239">
        <f t="shared" si="22"/>
        <v>8345.4543499997817</v>
      </c>
      <c r="G239">
        <f t="shared" si="23"/>
        <v>8345.5</v>
      </c>
      <c r="H239">
        <f t="shared" si="24"/>
        <v>10.789</v>
      </c>
      <c r="J239">
        <f t="shared" si="28"/>
        <v>8345.4543499997817</v>
      </c>
      <c r="K239">
        <f t="shared" si="25"/>
        <v>8345.25</v>
      </c>
      <c r="L239">
        <f t="shared" si="26"/>
        <v>8345.25</v>
      </c>
      <c r="M239">
        <f t="shared" si="27"/>
        <v>10.789</v>
      </c>
    </row>
    <row r="240" spans="1:13" x14ac:dyDescent="0.25">
      <c r="A240" s="1">
        <v>2458345.4559399998</v>
      </c>
      <c r="B240" s="1" t="s">
        <v>96</v>
      </c>
      <c r="C240" s="1">
        <v>10.784000000000001</v>
      </c>
      <c r="D240" s="1" t="s">
        <v>292</v>
      </c>
      <c r="E240" t="s">
        <v>98</v>
      </c>
      <c r="F240">
        <f t="shared" si="22"/>
        <v>8345.4559399997815</v>
      </c>
      <c r="G240">
        <f t="shared" si="23"/>
        <v>8345.5</v>
      </c>
      <c r="H240">
        <f t="shared" si="24"/>
        <v>10.784000000000001</v>
      </c>
      <c r="J240">
        <f t="shared" si="28"/>
        <v>8345.4559399997815</v>
      </c>
      <c r="K240">
        <f t="shared" si="25"/>
        <v>8345.25</v>
      </c>
      <c r="L240">
        <f t="shared" si="26"/>
        <v>8345.25</v>
      </c>
      <c r="M240">
        <f t="shared" si="27"/>
        <v>10.784000000000001</v>
      </c>
    </row>
    <row r="241" spans="1:13" x14ac:dyDescent="0.25">
      <c r="A241" s="1">
        <v>2458345.4575200002</v>
      </c>
      <c r="B241" s="1" t="s">
        <v>96</v>
      </c>
      <c r="C241" s="1">
        <v>10.769</v>
      </c>
      <c r="D241" s="1" t="s">
        <v>292</v>
      </c>
      <c r="E241" t="s">
        <v>98</v>
      </c>
      <c r="F241">
        <f t="shared" si="22"/>
        <v>8345.4575200001709</v>
      </c>
      <c r="G241">
        <f t="shared" si="23"/>
        <v>8345.5</v>
      </c>
      <c r="H241">
        <f t="shared" si="24"/>
        <v>10.769</v>
      </c>
      <c r="J241">
        <f t="shared" si="28"/>
        <v>8345.4575200001709</v>
      </c>
      <c r="K241">
        <f t="shared" si="25"/>
        <v>8345.25</v>
      </c>
      <c r="L241">
        <f t="shared" si="26"/>
        <v>8345.25</v>
      </c>
      <c r="M241">
        <f t="shared" si="27"/>
        <v>10.769</v>
      </c>
    </row>
    <row r="242" spans="1:13" x14ac:dyDescent="0.25">
      <c r="A242" s="1">
        <v>2458345.4591100002</v>
      </c>
      <c r="B242" s="1" t="s">
        <v>96</v>
      </c>
      <c r="C242" s="1">
        <v>10.771000000000001</v>
      </c>
      <c r="D242" s="1" t="s">
        <v>292</v>
      </c>
      <c r="E242" t="s">
        <v>98</v>
      </c>
      <c r="F242">
        <f t="shared" si="22"/>
        <v>8345.4591100001708</v>
      </c>
      <c r="G242">
        <f t="shared" si="23"/>
        <v>8345.5</v>
      </c>
      <c r="H242">
        <f t="shared" si="24"/>
        <v>10.771000000000001</v>
      </c>
      <c r="J242">
        <f t="shared" si="28"/>
        <v>8345.4591100001708</v>
      </c>
      <c r="K242">
        <f t="shared" si="25"/>
        <v>8345.25</v>
      </c>
      <c r="L242">
        <f t="shared" si="26"/>
        <v>8345.25</v>
      </c>
      <c r="M242">
        <f t="shared" si="27"/>
        <v>10.771000000000001</v>
      </c>
    </row>
    <row r="243" spans="1:13" x14ac:dyDescent="0.25">
      <c r="A243" s="1">
        <v>2458345.4606900001</v>
      </c>
      <c r="B243" s="1" t="s">
        <v>96</v>
      </c>
      <c r="C243" s="1">
        <v>10.757999999999999</v>
      </c>
      <c r="D243" s="1" t="s">
        <v>292</v>
      </c>
      <c r="E243" t="s">
        <v>98</v>
      </c>
      <c r="F243">
        <f t="shared" si="22"/>
        <v>8345.4606900000945</v>
      </c>
      <c r="G243">
        <f t="shared" si="23"/>
        <v>8345.5</v>
      </c>
      <c r="H243">
        <f t="shared" si="24"/>
        <v>10.757999999999999</v>
      </c>
      <c r="J243">
        <f t="shared" si="28"/>
        <v>8345.4606900000945</v>
      </c>
      <c r="K243">
        <f t="shared" si="25"/>
        <v>8345.25</v>
      </c>
      <c r="L243">
        <f t="shared" si="26"/>
        <v>8345.25</v>
      </c>
      <c r="M243">
        <f t="shared" si="27"/>
        <v>10.757999999999999</v>
      </c>
    </row>
    <row r="244" spans="1:13" x14ac:dyDescent="0.25">
      <c r="A244" s="1">
        <v>2458345.4622800001</v>
      </c>
      <c r="B244" s="1" t="s">
        <v>96</v>
      </c>
      <c r="C244" s="1">
        <v>10.773</v>
      </c>
      <c r="D244" s="1" t="s">
        <v>292</v>
      </c>
      <c r="E244" t="s">
        <v>98</v>
      </c>
      <c r="F244">
        <f t="shared" si="22"/>
        <v>8345.4622800000943</v>
      </c>
      <c r="G244">
        <f t="shared" si="23"/>
        <v>8345.5</v>
      </c>
      <c r="H244">
        <f t="shared" si="24"/>
        <v>10.773</v>
      </c>
      <c r="J244">
        <f t="shared" si="28"/>
        <v>8345.4622800000943</v>
      </c>
      <c r="K244">
        <f t="shared" si="25"/>
        <v>8345.25</v>
      </c>
      <c r="L244">
        <f t="shared" si="26"/>
        <v>8345.25</v>
      </c>
      <c r="M244">
        <f t="shared" si="27"/>
        <v>10.773</v>
      </c>
    </row>
    <row r="245" spans="1:13" x14ac:dyDescent="0.25">
      <c r="A245" s="1">
        <v>2458345.46386</v>
      </c>
      <c r="B245" s="1" t="s">
        <v>96</v>
      </c>
      <c r="C245" s="1">
        <v>10.75</v>
      </c>
      <c r="D245" s="1" t="s">
        <v>292</v>
      </c>
      <c r="E245" t="s">
        <v>98</v>
      </c>
      <c r="F245">
        <f t="shared" si="22"/>
        <v>8345.463860000018</v>
      </c>
      <c r="G245">
        <f t="shared" si="23"/>
        <v>8345.5</v>
      </c>
      <c r="H245">
        <f t="shared" si="24"/>
        <v>10.75</v>
      </c>
      <c r="J245">
        <f t="shared" si="28"/>
        <v>8345.463860000018</v>
      </c>
      <c r="K245">
        <f t="shared" si="25"/>
        <v>8345.25</v>
      </c>
      <c r="L245">
        <f t="shared" si="26"/>
        <v>8345.25</v>
      </c>
      <c r="M245">
        <f t="shared" si="27"/>
        <v>10.75</v>
      </c>
    </row>
    <row r="246" spans="1:13" x14ac:dyDescent="0.25">
      <c r="A246" s="1">
        <v>2458345.46545</v>
      </c>
      <c r="B246" s="1" t="s">
        <v>96</v>
      </c>
      <c r="C246" s="1">
        <v>10.766</v>
      </c>
      <c r="D246" s="1" t="s">
        <v>292</v>
      </c>
      <c r="E246" t="s">
        <v>98</v>
      </c>
      <c r="F246">
        <f t="shared" si="22"/>
        <v>8345.4654500000179</v>
      </c>
      <c r="G246">
        <f t="shared" si="23"/>
        <v>8345.5</v>
      </c>
      <c r="H246">
        <f t="shared" si="24"/>
        <v>10.766</v>
      </c>
      <c r="J246">
        <f t="shared" si="28"/>
        <v>8345.4654500000179</v>
      </c>
      <c r="K246">
        <f t="shared" si="25"/>
        <v>8345.25</v>
      </c>
      <c r="L246">
        <f t="shared" si="26"/>
        <v>8345.25</v>
      </c>
      <c r="M246">
        <f t="shared" si="27"/>
        <v>10.766</v>
      </c>
    </row>
    <row r="247" spans="1:13" x14ac:dyDescent="0.25">
      <c r="A247" s="1">
        <v>2458345.4670299999</v>
      </c>
      <c r="B247" s="1" t="s">
        <v>96</v>
      </c>
      <c r="C247" s="1">
        <v>10.744</v>
      </c>
      <c r="D247" s="1" t="s">
        <v>292</v>
      </c>
      <c r="E247" t="s">
        <v>98</v>
      </c>
      <c r="F247">
        <f t="shared" si="22"/>
        <v>8345.4670299999416</v>
      </c>
      <c r="G247">
        <f t="shared" si="23"/>
        <v>8345.5</v>
      </c>
      <c r="H247">
        <f t="shared" si="24"/>
        <v>10.744</v>
      </c>
      <c r="J247">
        <f t="shared" si="28"/>
        <v>8345.4670299999416</v>
      </c>
      <c r="K247">
        <f t="shared" si="25"/>
        <v>8345.25</v>
      </c>
      <c r="L247">
        <f t="shared" si="26"/>
        <v>8345.25</v>
      </c>
      <c r="M247">
        <f t="shared" si="27"/>
        <v>10.744</v>
      </c>
    </row>
    <row r="248" spans="1:13" x14ac:dyDescent="0.25">
      <c r="A248" s="1">
        <v>2458345.4686199999</v>
      </c>
      <c r="B248" s="1" t="s">
        <v>96</v>
      </c>
      <c r="C248" s="1">
        <v>10.766999999999999</v>
      </c>
      <c r="D248" s="1" t="s">
        <v>292</v>
      </c>
      <c r="E248" t="s">
        <v>98</v>
      </c>
      <c r="F248">
        <f t="shared" si="22"/>
        <v>8345.4686199999414</v>
      </c>
      <c r="G248">
        <f t="shared" si="23"/>
        <v>8345.5</v>
      </c>
      <c r="H248">
        <f t="shared" si="24"/>
        <v>10.766999999999999</v>
      </c>
      <c r="J248">
        <f t="shared" si="28"/>
        <v>8345.4686199999414</v>
      </c>
      <c r="K248">
        <f t="shared" si="25"/>
        <v>8345.25</v>
      </c>
      <c r="L248">
        <f t="shared" si="26"/>
        <v>8345.25</v>
      </c>
      <c r="M248">
        <f t="shared" si="27"/>
        <v>10.766999999999999</v>
      </c>
    </row>
    <row r="249" spans="1:13" x14ac:dyDescent="0.25">
      <c r="A249" s="1">
        <v>2458345.4702099999</v>
      </c>
      <c r="B249" s="1" t="s">
        <v>96</v>
      </c>
      <c r="C249" s="1">
        <v>10.778</v>
      </c>
      <c r="D249" s="1" t="s">
        <v>292</v>
      </c>
      <c r="E249" t="s">
        <v>98</v>
      </c>
      <c r="F249">
        <f t="shared" si="22"/>
        <v>8345.4702099999413</v>
      </c>
      <c r="G249">
        <f t="shared" si="23"/>
        <v>8345.5</v>
      </c>
      <c r="H249">
        <f t="shared" si="24"/>
        <v>10.778</v>
      </c>
      <c r="J249">
        <f t="shared" si="28"/>
        <v>8345.4702099999413</v>
      </c>
      <c r="K249">
        <f t="shared" si="25"/>
        <v>8345.25</v>
      </c>
      <c r="L249">
        <f t="shared" si="26"/>
        <v>8345.25</v>
      </c>
      <c r="M249">
        <f t="shared" si="27"/>
        <v>10.778</v>
      </c>
    </row>
    <row r="250" spans="1:13" x14ac:dyDescent="0.25">
      <c r="A250" s="1">
        <v>2458345.4730600002</v>
      </c>
      <c r="B250" s="1" t="s">
        <v>96</v>
      </c>
      <c r="C250" s="1">
        <v>10.827</v>
      </c>
      <c r="D250" s="1" t="s">
        <v>292</v>
      </c>
      <c r="E250" t="s">
        <v>98</v>
      </c>
      <c r="F250">
        <f t="shared" si="22"/>
        <v>8345.4730600002222</v>
      </c>
      <c r="G250">
        <f t="shared" si="23"/>
        <v>8345.5</v>
      </c>
      <c r="H250">
        <f t="shared" si="24"/>
        <v>10.827</v>
      </c>
      <c r="J250">
        <f t="shared" si="28"/>
        <v>8345.4730600002222</v>
      </c>
      <c r="K250">
        <f t="shared" si="25"/>
        <v>8345.25</v>
      </c>
      <c r="L250">
        <f t="shared" si="26"/>
        <v>8345.25</v>
      </c>
      <c r="M250">
        <f t="shared" si="27"/>
        <v>10.827</v>
      </c>
    </row>
    <row r="251" spans="1:13" x14ac:dyDescent="0.25">
      <c r="A251" s="1">
        <v>2458345.4746599998</v>
      </c>
      <c r="B251" s="1" t="s">
        <v>96</v>
      </c>
      <c r="C251" s="1">
        <v>10.813000000000001</v>
      </c>
      <c r="D251" s="1" t="s">
        <v>292</v>
      </c>
      <c r="E251" t="s">
        <v>98</v>
      </c>
      <c r="F251">
        <f t="shared" si="22"/>
        <v>8345.4746599998325</v>
      </c>
      <c r="G251">
        <f t="shared" si="23"/>
        <v>8345.5</v>
      </c>
      <c r="H251">
        <f t="shared" si="24"/>
        <v>10.813000000000001</v>
      </c>
      <c r="J251">
        <f t="shared" si="28"/>
        <v>8345.4746599998325</v>
      </c>
      <c r="K251">
        <f t="shared" si="25"/>
        <v>8345.25</v>
      </c>
      <c r="L251">
        <f t="shared" si="26"/>
        <v>8345.25</v>
      </c>
      <c r="M251">
        <f t="shared" si="27"/>
        <v>10.813000000000001</v>
      </c>
    </row>
    <row r="252" spans="1:13" x14ac:dyDescent="0.25">
      <c r="A252" s="1">
        <v>2458345.4762499998</v>
      </c>
      <c r="B252" s="1" t="s">
        <v>96</v>
      </c>
      <c r="C252" s="1">
        <v>10.823</v>
      </c>
      <c r="D252" s="1" t="s">
        <v>292</v>
      </c>
      <c r="E252" t="s">
        <v>98</v>
      </c>
      <c r="F252">
        <f t="shared" si="22"/>
        <v>8345.4762499998324</v>
      </c>
      <c r="G252">
        <f t="shared" si="23"/>
        <v>8345.5</v>
      </c>
      <c r="H252">
        <f t="shared" si="24"/>
        <v>10.823</v>
      </c>
      <c r="J252">
        <f t="shared" si="28"/>
        <v>8345.4762499998324</v>
      </c>
      <c r="K252">
        <f t="shared" si="25"/>
        <v>8345.25</v>
      </c>
      <c r="L252">
        <f t="shared" si="26"/>
        <v>8345.25</v>
      </c>
      <c r="M252">
        <f t="shared" si="27"/>
        <v>10.823</v>
      </c>
    </row>
    <row r="253" spans="1:13" x14ac:dyDescent="0.25">
      <c r="A253" s="1">
        <v>2458345.4778300002</v>
      </c>
      <c r="B253" s="1" t="s">
        <v>96</v>
      </c>
      <c r="C253" s="1">
        <v>10.817</v>
      </c>
      <c r="D253" s="1" t="s">
        <v>292</v>
      </c>
      <c r="E253" t="s">
        <v>98</v>
      </c>
      <c r="F253">
        <f t="shared" si="22"/>
        <v>8345.4778300002217</v>
      </c>
      <c r="G253">
        <f t="shared" si="23"/>
        <v>8345.5</v>
      </c>
      <c r="H253">
        <f t="shared" si="24"/>
        <v>10.817</v>
      </c>
      <c r="J253">
        <f t="shared" si="28"/>
        <v>8345.4778300002217</v>
      </c>
      <c r="K253">
        <f t="shared" si="25"/>
        <v>8345.25</v>
      </c>
      <c r="L253">
        <f t="shared" si="26"/>
        <v>8345.25</v>
      </c>
      <c r="M253">
        <f t="shared" si="27"/>
        <v>10.817</v>
      </c>
    </row>
    <row r="254" spans="1:13" x14ac:dyDescent="0.25">
      <c r="A254" s="1">
        <v>2458345.4794200002</v>
      </c>
      <c r="B254" s="1" t="s">
        <v>96</v>
      </c>
      <c r="C254" s="1">
        <v>10.821</v>
      </c>
      <c r="D254" s="1" t="s">
        <v>292</v>
      </c>
      <c r="E254" t="s">
        <v>98</v>
      </c>
      <c r="F254">
        <f t="shared" si="22"/>
        <v>8345.4794200002216</v>
      </c>
      <c r="G254">
        <f t="shared" si="23"/>
        <v>8345.5</v>
      </c>
      <c r="H254">
        <f t="shared" si="24"/>
        <v>10.821</v>
      </c>
      <c r="J254">
        <f t="shared" si="28"/>
        <v>8345.4794200002216</v>
      </c>
      <c r="K254">
        <f t="shared" si="25"/>
        <v>8345.25</v>
      </c>
      <c r="L254">
        <f t="shared" si="26"/>
        <v>8345.25</v>
      </c>
      <c r="M254">
        <f t="shared" si="27"/>
        <v>10.821</v>
      </c>
    </row>
    <row r="255" spans="1:13" x14ac:dyDescent="0.25">
      <c r="A255" s="1">
        <v>2458345.4810000001</v>
      </c>
      <c r="B255" s="1" t="s">
        <v>96</v>
      </c>
      <c r="C255" s="1">
        <v>10.811999999999999</v>
      </c>
      <c r="D255" s="1" t="s">
        <v>292</v>
      </c>
      <c r="E255" t="s">
        <v>98</v>
      </c>
      <c r="F255">
        <f t="shared" si="22"/>
        <v>8345.4810000001453</v>
      </c>
      <c r="G255">
        <f t="shared" si="23"/>
        <v>8345.5</v>
      </c>
      <c r="H255">
        <f t="shared" si="24"/>
        <v>10.811999999999999</v>
      </c>
      <c r="J255">
        <f t="shared" si="28"/>
        <v>8345.4810000001453</v>
      </c>
      <c r="K255">
        <f t="shared" si="25"/>
        <v>8345.25</v>
      </c>
      <c r="L255">
        <f t="shared" si="26"/>
        <v>8345.25</v>
      </c>
      <c r="M255">
        <f t="shared" si="27"/>
        <v>10.811999999999999</v>
      </c>
    </row>
    <row r="256" spans="1:13" x14ac:dyDescent="0.25">
      <c r="A256" s="1">
        <v>2458345.4825900001</v>
      </c>
      <c r="B256" s="1" t="s">
        <v>96</v>
      </c>
      <c r="C256" s="1">
        <v>10.813000000000001</v>
      </c>
      <c r="D256" s="1" t="s">
        <v>292</v>
      </c>
      <c r="E256" t="s">
        <v>98</v>
      </c>
      <c r="F256">
        <f t="shared" si="22"/>
        <v>8345.4825900001451</v>
      </c>
      <c r="G256">
        <f t="shared" si="23"/>
        <v>8345.5</v>
      </c>
      <c r="H256">
        <f t="shared" si="24"/>
        <v>10.813000000000001</v>
      </c>
      <c r="J256">
        <f t="shared" si="28"/>
        <v>8345.4825900001451</v>
      </c>
      <c r="K256">
        <f t="shared" si="25"/>
        <v>8345.25</v>
      </c>
      <c r="L256">
        <f t="shared" si="26"/>
        <v>8345.25</v>
      </c>
      <c r="M256">
        <f t="shared" si="27"/>
        <v>10.813000000000001</v>
      </c>
    </row>
    <row r="257" spans="1:13" x14ac:dyDescent="0.25">
      <c r="A257" s="1">
        <v>2458345.4841800001</v>
      </c>
      <c r="B257" s="1" t="s">
        <v>96</v>
      </c>
      <c r="C257" s="1">
        <v>10.798</v>
      </c>
      <c r="D257" s="1" t="s">
        <v>292</v>
      </c>
      <c r="E257" t="s">
        <v>98</v>
      </c>
      <c r="F257">
        <f t="shared" si="22"/>
        <v>8345.484180000145</v>
      </c>
      <c r="G257">
        <f t="shared" si="23"/>
        <v>8345.5</v>
      </c>
      <c r="H257">
        <f t="shared" si="24"/>
        <v>10.798</v>
      </c>
      <c r="J257">
        <f t="shared" si="28"/>
        <v>8345.484180000145</v>
      </c>
      <c r="K257">
        <f t="shared" si="25"/>
        <v>8345.25</v>
      </c>
      <c r="L257">
        <f t="shared" si="26"/>
        <v>8345.25</v>
      </c>
      <c r="M257">
        <f t="shared" si="27"/>
        <v>10.798</v>
      </c>
    </row>
    <row r="258" spans="1:13" x14ac:dyDescent="0.25">
      <c r="A258" s="1">
        <v>2458345.4857600001</v>
      </c>
      <c r="B258" s="1" t="s">
        <v>96</v>
      </c>
      <c r="C258" s="1">
        <v>10.811</v>
      </c>
      <c r="D258" s="1" t="s">
        <v>292</v>
      </c>
      <c r="E258" t="s">
        <v>98</v>
      </c>
      <c r="F258">
        <f t="shared" si="22"/>
        <v>8345.4857600000687</v>
      </c>
      <c r="G258">
        <f t="shared" si="23"/>
        <v>8345.5</v>
      </c>
      <c r="H258">
        <f t="shared" si="24"/>
        <v>10.811</v>
      </c>
      <c r="J258">
        <f t="shared" si="28"/>
        <v>8345.4857600000687</v>
      </c>
      <c r="K258">
        <f t="shared" si="25"/>
        <v>8345.25</v>
      </c>
      <c r="L258">
        <f t="shared" si="26"/>
        <v>8345.25</v>
      </c>
      <c r="M258">
        <f t="shared" si="27"/>
        <v>10.811</v>
      </c>
    </row>
    <row r="259" spans="1:13" x14ac:dyDescent="0.25">
      <c r="A259" s="1">
        <v>2458345.4873500001</v>
      </c>
      <c r="B259" s="1" t="s">
        <v>96</v>
      </c>
      <c r="C259" s="1">
        <v>10.795999999999999</v>
      </c>
      <c r="D259" s="1" t="s">
        <v>292</v>
      </c>
      <c r="E259" t="s">
        <v>98</v>
      </c>
      <c r="F259">
        <f t="shared" ref="F259:F322" si="29">+A259-2450000</f>
        <v>8345.4873500000685</v>
      </c>
      <c r="G259">
        <f t="shared" ref="G259:G322" si="30">+(ROUND(F259,1)*10)/10</f>
        <v>8345.5</v>
      </c>
      <c r="H259">
        <f t="shared" ref="H259:H322" si="31">+C259</f>
        <v>10.795999999999999</v>
      </c>
      <c r="J259">
        <f t="shared" si="28"/>
        <v>8345.4873500000685</v>
      </c>
      <c r="K259">
        <f t="shared" ref="K259:K322" si="32">+INT(J259*4)/4</f>
        <v>8345.25</v>
      </c>
      <c r="L259">
        <f t="shared" ref="L259:L322" si="33">+IF(J259-K259&gt;0.25,K259+0.25,K259)</f>
        <v>8345.25</v>
      </c>
      <c r="M259">
        <f t="shared" ref="M259:M322" si="34">+H259</f>
        <v>10.795999999999999</v>
      </c>
    </row>
    <row r="260" spans="1:13" x14ac:dyDescent="0.25">
      <c r="A260" s="1">
        <v>2458345.48893</v>
      </c>
      <c r="B260" s="1" t="s">
        <v>96</v>
      </c>
      <c r="C260" s="1">
        <v>10.81</v>
      </c>
      <c r="D260" s="1" t="s">
        <v>292</v>
      </c>
      <c r="E260" t="s">
        <v>98</v>
      </c>
      <c r="F260">
        <f t="shared" si="29"/>
        <v>8345.4889299999923</v>
      </c>
      <c r="G260">
        <f t="shared" si="30"/>
        <v>8345.5</v>
      </c>
      <c r="H260">
        <f t="shared" si="31"/>
        <v>10.81</v>
      </c>
      <c r="J260">
        <f t="shared" si="28"/>
        <v>8345.4889299999923</v>
      </c>
      <c r="K260">
        <f t="shared" si="32"/>
        <v>8345.25</v>
      </c>
      <c r="L260">
        <f t="shared" si="33"/>
        <v>8345.25</v>
      </c>
      <c r="M260">
        <f t="shared" si="34"/>
        <v>10.81</v>
      </c>
    </row>
    <row r="261" spans="1:13" x14ac:dyDescent="0.25">
      <c r="A261" s="1">
        <v>2458345.49052</v>
      </c>
      <c r="B261" s="1" t="s">
        <v>96</v>
      </c>
      <c r="C261" s="1">
        <v>10.815</v>
      </c>
      <c r="D261" s="1" t="s">
        <v>292</v>
      </c>
      <c r="E261" t="s">
        <v>98</v>
      </c>
      <c r="F261">
        <f t="shared" si="29"/>
        <v>8345.4905199999921</v>
      </c>
      <c r="G261">
        <f t="shared" si="30"/>
        <v>8345.5</v>
      </c>
      <c r="H261">
        <f t="shared" si="31"/>
        <v>10.815</v>
      </c>
      <c r="J261">
        <f t="shared" si="28"/>
        <v>8345.4905199999921</v>
      </c>
      <c r="K261">
        <f t="shared" si="32"/>
        <v>8345.25</v>
      </c>
      <c r="L261">
        <f t="shared" si="33"/>
        <v>8345.25</v>
      </c>
      <c r="M261">
        <f t="shared" si="34"/>
        <v>10.815</v>
      </c>
    </row>
    <row r="262" spans="1:13" x14ac:dyDescent="0.25">
      <c r="A262" s="1">
        <v>2458345.4920999999</v>
      </c>
      <c r="B262" s="1" t="s">
        <v>96</v>
      </c>
      <c r="C262" s="1">
        <v>10.821</v>
      </c>
      <c r="D262" s="1" t="s">
        <v>292</v>
      </c>
      <c r="E262" t="s">
        <v>98</v>
      </c>
      <c r="F262">
        <f t="shared" si="29"/>
        <v>8345.4920999999158</v>
      </c>
      <c r="G262">
        <f t="shared" si="30"/>
        <v>8345.5</v>
      </c>
      <c r="H262">
        <f t="shared" si="31"/>
        <v>10.821</v>
      </c>
      <c r="J262">
        <f t="shared" si="28"/>
        <v>8345.4920999999158</v>
      </c>
      <c r="K262">
        <f t="shared" si="32"/>
        <v>8345.25</v>
      </c>
      <c r="L262">
        <f t="shared" si="33"/>
        <v>8345.25</v>
      </c>
      <c r="M262">
        <f t="shared" si="34"/>
        <v>10.821</v>
      </c>
    </row>
    <row r="263" spans="1:13" x14ac:dyDescent="0.25">
      <c r="A263" s="1">
        <v>2458345.4936899999</v>
      </c>
      <c r="B263" s="1" t="s">
        <v>96</v>
      </c>
      <c r="C263" s="1">
        <v>10.82</v>
      </c>
      <c r="D263" s="1" t="s">
        <v>292</v>
      </c>
      <c r="E263" t="s">
        <v>98</v>
      </c>
      <c r="F263">
        <f t="shared" si="29"/>
        <v>8345.4936899999157</v>
      </c>
      <c r="G263">
        <f t="shared" si="30"/>
        <v>8345.5</v>
      </c>
      <c r="H263">
        <f t="shared" si="31"/>
        <v>10.82</v>
      </c>
      <c r="J263">
        <f t="shared" si="28"/>
        <v>8345.4936899999157</v>
      </c>
      <c r="K263">
        <f t="shared" si="32"/>
        <v>8345.25</v>
      </c>
      <c r="L263">
        <f t="shared" si="33"/>
        <v>8345.25</v>
      </c>
      <c r="M263">
        <f t="shared" si="34"/>
        <v>10.82</v>
      </c>
    </row>
    <row r="264" spans="1:13" x14ac:dyDescent="0.25">
      <c r="A264" s="1">
        <v>2458345.4952699998</v>
      </c>
      <c r="B264" s="1" t="s">
        <v>96</v>
      </c>
      <c r="C264" s="1">
        <v>10.818</v>
      </c>
      <c r="D264" s="1" t="s">
        <v>292</v>
      </c>
      <c r="E264" t="s">
        <v>98</v>
      </c>
      <c r="F264">
        <f t="shared" si="29"/>
        <v>8345.4952699998394</v>
      </c>
      <c r="G264">
        <f t="shared" si="30"/>
        <v>8345.5</v>
      </c>
      <c r="H264">
        <f t="shared" si="31"/>
        <v>10.818</v>
      </c>
      <c r="J264">
        <f t="shared" si="28"/>
        <v>8345.4952699998394</v>
      </c>
      <c r="K264">
        <f t="shared" si="32"/>
        <v>8345.25</v>
      </c>
      <c r="L264">
        <f t="shared" si="33"/>
        <v>8345.25</v>
      </c>
      <c r="M264">
        <f t="shared" si="34"/>
        <v>10.818</v>
      </c>
    </row>
    <row r="265" spans="1:13" x14ac:dyDescent="0.25">
      <c r="A265" s="1">
        <v>2458345.4968599998</v>
      </c>
      <c r="B265" s="1" t="s">
        <v>96</v>
      </c>
      <c r="C265" s="1">
        <v>10.82</v>
      </c>
      <c r="D265" s="1" t="s">
        <v>292</v>
      </c>
      <c r="E265" t="s">
        <v>98</v>
      </c>
      <c r="F265">
        <f t="shared" si="29"/>
        <v>8345.4968599998392</v>
      </c>
      <c r="G265">
        <f t="shared" si="30"/>
        <v>8345.5</v>
      </c>
      <c r="H265">
        <f t="shared" si="31"/>
        <v>10.82</v>
      </c>
      <c r="J265">
        <f t="shared" si="28"/>
        <v>8345.4968599998392</v>
      </c>
      <c r="K265">
        <f t="shared" si="32"/>
        <v>8345.25</v>
      </c>
      <c r="L265">
        <f t="shared" si="33"/>
        <v>8345.25</v>
      </c>
      <c r="M265">
        <f t="shared" si="34"/>
        <v>10.82</v>
      </c>
    </row>
    <row r="266" spans="1:13" x14ac:dyDescent="0.25">
      <c r="A266" s="1">
        <v>2458345.4984599999</v>
      </c>
      <c r="B266" s="1" t="s">
        <v>96</v>
      </c>
      <c r="C266" s="1">
        <v>10.821999999999999</v>
      </c>
      <c r="D266" s="1" t="s">
        <v>292</v>
      </c>
      <c r="E266" t="s">
        <v>98</v>
      </c>
      <c r="F266">
        <f t="shared" si="29"/>
        <v>8345.4984599999152</v>
      </c>
      <c r="G266">
        <f t="shared" si="30"/>
        <v>8345.5</v>
      </c>
      <c r="H266">
        <f t="shared" si="31"/>
        <v>10.821999999999999</v>
      </c>
      <c r="J266">
        <f t="shared" si="28"/>
        <v>8345.4984599999152</v>
      </c>
      <c r="K266">
        <f t="shared" si="32"/>
        <v>8345.25</v>
      </c>
      <c r="L266">
        <f t="shared" si="33"/>
        <v>8345.25</v>
      </c>
      <c r="M266">
        <f t="shared" si="34"/>
        <v>10.821999999999999</v>
      </c>
    </row>
    <row r="267" spans="1:13" x14ac:dyDescent="0.25">
      <c r="A267" s="1">
        <v>2458345.5000399998</v>
      </c>
      <c r="B267" s="1" t="s">
        <v>78</v>
      </c>
      <c r="C267" s="1">
        <v>10.823</v>
      </c>
      <c r="D267" s="1" t="s">
        <v>292</v>
      </c>
      <c r="E267" t="s">
        <v>98</v>
      </c>
      <c r="F267">
        <f t="shared" si="29"/>
        <v>8345.5000399998389</v>
      </c>
      <c r="G267">
        <f t="shared" si="30"/>
        <v>8345.5</v>
      </c>
      <c r="H267">
        <f t="shared" si="31"/>
        <v>10.823</v>
      </c>
      <c r="J267">
        <f t="shared" si="28"/>
        <v>8345.5000399998389</v>
      </c>
      <c r="K267">
        <f t="shared" si="32"/>
        <v>8345.5</v>
      </c>
      <c r="L267">
        <f t="shared" si="33"/>
        <v>8345.5</v>
      </c>
      <c r="M267">
        <f t="shared" si="34"/>
        <v>10.823</v>
      </c>
    </row>
    <row r="268" spans="1:13" x14ac:dyDescent="0.25">
      <c r="A268" s="1">
        <v>2458345.5016299998</v>
      </c>
      <c r="B268" s="1" t="s">
        <v>78</v>
      </c>
      <c r="C268" s="1">
        <v>10.814</v>
      </c>
      <c r="D268" s="1" t="s">
        <v>292</v>
      </c>
      <c r="E268" t="s">
        <v>98</v>
      </c>
      <c r="F268">
        <f t="shared" si="29"/>
        <v>8345.5016299998388</v>
      </c>
      <c r="G268">
        <f t="shared" si="30"/>
        <v>8345.5</v>
      </c>
      <c r="H268">
        <f t="shared" si="31"/>
        <v>10.814</v>
      </c>
      <c r="J268">
        <f t="shared" si="28"/>
        <v>8345.5016299998388</v>
      </c>
      <c r="K268">
        <f t="shared" si="32"/>
        <v>8345.5</v>
      </c>
      <c r="L268">
        <f t="shared" si="33"/>
        <v>8345.5</v>
      </c>
      <c r="M268">
        <f t="shared" si="34"/>
        <v>10.814</v>
      </c>
    </row>
    <row r="269" spans="1:13" x14ac:dyDescent="0.25">
      <c r="A269" s="1">
        <v>2458345.5032100002</v>
      </c>
      <c r="B269" s="1" t="s">
        <v>78</v>
      </c>
      <c r="C269" s="1">
        <v>10.816000000000001</v>
      </c>
      <c r="D269" s="1" t="s">
        <v>292</v>
      </c>
      <c r="E269" t="s">
        <v>98</v>
      </c>
      <c r="F269">
        <f t="shared" si="29"/>
        <v>8345.5032100002281</v>
      </c>
      <c r="G269">
        <f t="shared" si="30"/>
        <v>8345.5</v>
      </c>
      <c r="H269">
        <f t="shared" si="31"/>
        <v>10.816000000000001</v>
      </c>
      <c r="J269">
        <f t="shared" si="28"/>
        <v>8345.5032100002281</v>
      </c>
      <c r="K269">
        <f t="shared" si="32"/>
        <v>8345.5</v>
      </c>
      <c r="L269">
        <f t="shared" si="33"/>
        <v>8345.5</v>
      </c>
      <c r="M269">
        <f t="shared" si="34"/>
        <v>10.816000000000001</v>
      </c>
    </row>
    <row r="270" spans="1:13" x14ac:dyDescent="0.25">
      <c r="A270" s="1">
        <v>2458345.5048000002</v>
      </c>
      <c r="B270" s="1" t="s">
        <v>78</v>
      </c>
      <c r="C270" s="1">
        <v>10.805999999999999</v>
      </c>
      <c r="D270" s="1" t="s">
        <v>292</v>
      </c>
      <c r="E270" t="s">
        <v>98</v>
      </c>
      <c r="F270">
        <f t="shared" si="29"/>
        <v>8345.504800000228</v>
      </c>
      <c r="G270">
        <f t="shared" si="30"/>
        <v>8345.5</v>
      </c>
      <c r="H270">
        <f t="shared" si="31"/>
        <v>10.805999999999999</v>
      </c>
      <c r="J270">
        <f t="shared" si="28"/>
        <v>8345.504800000228</v>
      </c>
      <c r="K270">
        <f t="shared" si="32"/>
        <v>8345.5</v>
      </c>
      <c r="L270">
        <f t="shared" si="33"/>
        <v>8345.5</v>
      </c>
      <c r="M270">
        <f t="shared" si="34"/>
        <v>10.805999999999999</v>
      </c>
    </row>
    <row r="271" spans="1:13" x14ac:dyDescent="0.25">
      <c r="A271" s="1">
        <v>2458345.5063900002</v>
      </c>
      <c r="B271" s="1" t="s">
        <v>78</v>
      </c>
      <c r="C271" s="1">
        <v>10.824</v>
      </c>
      <c r="D271" s="1" t="s">
        <v>292</v>
      </c>
      <c r="E271" t="s">
        <v>98</v>
      </c>
      <c r="F271">
        <f t="shared" si="29"/>
        <v>8345.5063900002278</v>
      </c>
      <c r="G271">
        <f t="shared" si="30"/>
        <v>8345.5</v>
      </c>
      <c r="H271">
        <f t="shared" si="31"/>
        <v>10.824</v>
      </c>
      <c r="J271">
        <f t="shared" si="28"/>
        <v>8345.5063900002278</v>
      </c>
      <c r="K271">
        <f t="shared" si="32"/>
        <v>8345.5</v>
      </c>
      <c r="L271">
        <f t="shared" si="33"/>
        <v>8345.5</v>
      </c>
      <c r="M271">
        <f t="shared" si="34"/>
        <v>10.824</v>
      </c>
    </row>
    <row r="272" spans="1:13" x14ac:dyDescent="0.25">
      <c r="A272" s="1">
        <v>2458345.5079700002</v>
      </c>
      <c r="B272" s="1" t="s">
        <v>78</v>
      </c>
      <c r="C272" s="1">
        <v>10.814</v>
      </c>
      <c r="D272" s="1" t="s">
        <v>292</v>
      </c>
      <c r="E272" t="s">
        <v>98</v>
      </c>
      <c r="F272">
        <f t="shared" si="29"/>
        <v>8345.5079700001515</v>
      </c>
      <c r="G272">
        <f t="shared" si="30"/>
        <v>8345.5</v>
      </c>
      <c r="H272">
        <f t="shared" si="31"/>
        <v>10.814</v>
      </c>
      <c r="J272">
        <f t="shared" si="28"/>
        <v>8345.5079700001515</v>
      </c>
      <c r="K272">
        <f t="shared" si="32"/>
        <v>8345.5</v>
      </c>
      <c r="L272">
        <f t="shared" si="33"/>
        <v>8345.5</v>
      </c>
      <c r="M272">
        <f t="shared" si="34"/>
        <v>10.814</v>
      </c>
    </row>
    <row r="273" spans="1:13" x14ac:dyDescent="0.25">
      <c r="A273" s="1">
        <v>2458345.5095600002</v>
      </c>
      <c r="B273" s="1" t="s">
        <v>78</v>
      </c>
      <c r="C273" s="1">
        <v>10.817</v>
      </c>
      <c r="D273" s="1" t="s">
        <v>292</v>
      </c>
      <c r="E273" t="s">
        <v>98</v>
      </c>
      <c r="F273">
        <f t="shared" si="29"/>
        <v>8345.5095600001514</v>
      </c>
      <c r="G273">
        <f t="shared" si="30"/>
        <v>8345.5</v>
      </c>
      <c r="H273">
        <f t="shared" si="31"/>
        <v>10.817</v>
      </c>
      <c r="J273">
        <f t="shared" si="28"/>
        <v>8345.5095600001514</v>
      </c>
      <c r="K273">
        <f t="shared" si="32"/>
        <v>8345.5</v>
      </c>
      <c r="L273">
        <f t="shared" si="33"/>
        <v>8345.5</v>
      </c>
      <c r="M273">
        <f t="shared" si="34"/>
        <v>10.817</v>
      </c>
    </row>
    <row r="274" spans="1:13" x14ac:dyDescent="0.25">
      <c r="A274" s="1">
        <v>2458345.5111500002</v>
      </c>
      <c r="B274" s="1" t="s">
        <v>78</v>
      </c>
      <c r="C274" s="1">
        <v>10.814</v>
      </c>
      <c r="D274" s="1" t="s">
        <v>292</v>
      </c>
      <c r="E274" t="s">
        <v>98</v>
      </c>
      <c r="F274">
        <f t="shared" si="29"/>
        <v>8345.5111500001512</v>
      </c>
      <c r="G274">
        <f t="shared" si="30"/>
        <v>8345.5</v>
      </c>
      <c r="H274">
        <f t="shared" si="31"/>
        <v>10.814</v>
      </c>
      <c r="J274">
        <f t="shared" si="28"/>
        <v>8345.5111500001512</v>
      </c>
      <c r="K274">
        <f t="shared" si="32"/>
        <v>8345.5</v>
      </c>
      <c r="L274">
        <f t="shared" si="33"/>
        <v>8345.5</v>
      </c>
      <c r="M274">
        <f t="shared" si="34"/>
        <v>10.814</v>
      </c>
    </row>
    <row r="275" spans="1:13" x14ac:dyDescent="0.25">
      <c r="A275" s="1">
        <v>2458345.5127400002</v>
      </c>
      <c r="B275" s="1" t="s">
        <v>78</v>
      </c>
      <c r="C275" s="1">
        <v>10.816000000000001</v>
      </c>
      <c r="D275" s="1" t="s">
        <v>292</v>
      </c>
      <c r="E275" t="s">
        <v>98</v>
      </c>
      <c r="F275">
        <f t="shared" si="29"/>
        <v>8345.5127400001511</v>
      </c>
      <c r="G275">
        <f t="shared" si="30"/>
        <v>8345.5</v>
      </c>
      <c r="H275">
        <f t="shared" si="31"/>
        <v>10.816000000000001</v>
      </c>
      <c r="J275">
        <f t="shared" si="28"/>
        <v>8345.5127400001511</v>
      </c>
      <c r="K275">
        <f t="shared" si="32"/>
        <v>8345.5</v>
      </c>
      <c r="L275">
        <f t="shared" si="33"/>
        <v>8345.5</v>
      </c>
      <c r="M275">
        <f t="shared" si="34"/>
        <v>10.816000000000001</v>
      </c>
    </row>
    <row r="276" spans="1:13" x14ac:dyDescent="0.25">
      <c r="A276" s="1">
        <v>2458345.5143300002</v>
      </c>
      <c r="B276" s="1" t="s">
        <v>78</v>
      </c>
      <c r="C276" s="1">
        <v>10.818</v>
      </c>
      <c r="D276" s="1" t="s">
        <v>292</v>
      </c>
      <c r="E276" t="s">
        <v>98</v>
      </c>
      <c r="F276">
        <f t="shared" si="29"/>
        <v>8345.5143300001509</v>
      </c>
      <c r="G276">
        <f t="shared" si="30"/>
        <v>8345.5</v>
      </c>
      <c r="H276">
        <f t="shared" si="31"/>
        <v>10.818</v>
      </c>
      <c r="J276">
        <f t="shared" si="28"/>
        <v>8345.5143300001509</v>
      </c>
      <c r="K276">
        <f t="shared" si="32"/>
        <v>8345.5</v>
      </c>
      <c r="L276">
        <f t="shared" si="33"/>
        <v>8345.5</v>
      </c>
      <c r="M276">
        <f t="shared" si="34"/>
        <v>10.818</v>
      </c>
    </row>
    <row r="277" spans="1:13" x14ac:dyDescent="0.25">
      <c r="A277" s="1">
        <v>2458345.5159100001</v>
      </c>
      <c r="B277" s="1" t="s">
        <v>78</v>
      </c>
      <c r="C277" s="1">
        <v>10.801</v>
      </c>
      <c r="D277" s="1" t="s">
        <v>292</v>
      </c>
      <c r="E277" t="s">
        <v>98</v>
      </c>
      <c r="F277">
        <f t="shared" si="29"/>
        <v>8345.5159100000747</v>
      </c>
      <c r="G277">
        <f t="shared" si="30"/>
        <v>8345.5</v>
      </c>
      <c r="H277">
        <f t="shared" si="31"/>
        <v>10.801</v>
      </c>
      <c r="J277">
        <f t="shared" si="28"/>
        <v>8345.5159100000747</v>
      </c>
      <c r="K277">
        <f t="shared" si="32"/>
        <v>8345.5</v>
      </c>
      <c r="L277">
        <f t="shared" si="33"/>
        <v>8345.5</v>
      </c>
      <c r="M277">
        <f t="shared" si="34"/>
        <v>10.801</v>
      </c>
    </row>
    <row r="278" spans="1:13" x14ac:dyDescent="0.25">
      <c r="A278" s="1">
        <v>2458345.5175000001</v>
      </c>
      <c r="B278" s="1" t="s">
        <v>78</v>
      </c>
      <c r="C278" s="1">
        <v>10.797000000000001</v>
      </c>
      <c r="D278" s="1" t="s">
        <v>292</v>
      </c>
      <c r="E278" t="s">
        <v>98</v>
      </c>
      <c r="F278">
        <f t="shared" si="29"/>
        <v>8345.5175000000745</v>
      </c>
      <c r="G278">
        <f t="shared" si="30"/>
        <v>8345.5</v>
      </c>
      <c r="H278">
        <f t="shared" si="31"/>
        <v>10.797000000000001</v>
      </c>
      <c r="J278">
        <f t="shared" si="28"/>
        <v>8345.5175000000745</v>
      </c>
      <c r="K278">
        <f t="shared" si="32"/>
        <v>8345.5</v>
      </c>
      <c r="L278">
        <f t="shared" si="33"/>
        <v>8345.5</v>
      </c>
      <c r="M278">
        <f t="shared" si="34"/>
        <v>10.797000000000001</v>
      </c>
    </row>
    <row r="279" spans="1:13" x14ac:dyDescent="0.25">
      <c r="A279" s="1">
        <v>2458345.51908</v>
      </c>
      <c r="B279" s="1" t="s">
        <v>78</v>
      </c>
      <c r="C279" s="1">
        <v>10.815</v>
      </c>
      <c r="D279" s="1" t="s">
        <v>292</v>
      </c>
      <c r="E279" t="s">
        <v>98</v>
      </c>
      <c r="F279">
        <f t="shared" si="29"/>
        <v>8345.5190799999982</v>
      </c>
      <c r="G279">
        <f t="shared" si="30"/>
        <v>8345.5</v>
      </c>
      <c r="H279">
        <f t="shared" si="31"/>
        <v>10.815</v>
      </c>
      <c r="J279">
        <f t="shared" si="28"/>
        <v>8345.5190799999982</v>
      </c>
      <c r="K279">
        <f t="shared" si="32"/>
        <v>8345.5</v>
      </c>
      <c r="L279">
        <f t="shared" si="33"/>
        <v>8345.5</v>
      </c>
      <c r="M279">
        <f t="shared" si="34"/>
        <v>10.815</v>
      </c>
    </row>
    <row r="280" spans="1:13" x14ac:dyDescent="0.25">
      <c r="A280" s="1">
        <v>2458345.5206800001</v>
      </c>
      <c r="B280" s="1" t="s">
        <v>78</v>
      </c>
      <c r="C280" s="1">
        <v>10.81</v>
      </c>
      <c r="D280" s="1" t="s">
        <v>292</v>
      </c>
      <c r="E280" t="s">
        <v>98</v>
      </c>
      <c r="F280">
        <f t="shared" si="29"/>
        <v>8345.5206800000742</v>
      </c>
      <c r="G280">
        <f t="shared" si="30"/>
        <v>8345.5</v>
      </c>
      <c r="H280">
        <f t="shared" si="31"/>
        <v>10.81</v>
      </c>
      <c r="J280">
        <f t="shared" si="28"/>
        <v>8345.5206800000742</v>
      </c>
      <c r="K280">
        <f t="shared" si="32"/>
        <v>8345.5</v>
      </c>
      <c r="L280">
        <f t="shared" si="33"/>
        <v>8345.5</v>
      </c>
      <c r="M280">
        <f t="shared" si="34"/>
        <v>10.81</v>
      </c>
    </row>
    <row r="281" spans="1:13" x14ac:dyDescent="0.25">
      <c r="A281" s="1">
        <v>2458345.7259399998</v>
      </c>
      <c r="B281" s="1" t="s">
        <v>78</v>
      </c>
      <c r="C281" s="1">
        <v>10.833</v>
      </c>
      <c r="D281" s="1" t="s">
        <v>292</v>
      </c>
      <c r="E281" t="s">
        <v>99</v>
      </c>
      <c r="F281">
        <f t="shared" si="29"/>
        <v>8345.7259399998002</v>
      </c>
      <c r="G281">
        <f t="shared" si="30"/>
        <v>8345.7000000000007</v>
      </c>
      <c r="H281">
        <f t="shared" si="31"/>
        <v>10.833</v>
      </c>
      <c r="J281">
        <f t="shared" ref="J281:J344" si="35">+F281</f>
        <v>8345.7259399998002</v>
      </c>
      <c r="K281">
        <f t="shared" si="32"/>
        <v>8345.5</v>
      </c>
      <c r="L281">
        <f t="shared" si="33"/>
        <v>8345.5</v>
      </c>
      <c r="M281">
        <f t="shared" si="34"/>
        <v>10.833</v>
      </c>
    </row>
    <row r="282" spans="1:13" x14ac:dyDescent="0.25">
      <c r="A282" s="1">
        <v>2458345.72633</v>
      </c>
      <c r="B282" s="1" t="s">
        <v>78</v>
      </c>
      <c r="C282" s="1">
        <v>10.867000000000001</v>
      </c>
      <c r="D282" s="1" t="s">
        <v>292</v>
      </c>
      <c r="E282" t="s">
        <v>99</v>
      </c>
      <c r="F282">
        <f t="shared" si="29"/>
        <v>8345.7263299999759</v>
      </c>
      <c r="G282">
        <f t="shared" si="30"/>
        <v>8345.7000000000007</v>
      </c>
      <c r="H282">
        <f t="shared" si="31"/>
        <v>10.867000000000001</v>
      </c>
      <c r="J282">
        <f t="shared" si="35"/>
        <v>8345.7263299999759</v>
      </c>
      <c r="K282">
        <f t="shared" si="32"/>
        <v>8345.5</v>
      </c>
      <c r="L282">
        <f t="shared" si="33"/>
        <v>8345.5</v>
      </c>
      <c r="M282">
        <f t="shared" si="34"/>
        <v>10.867000000000001</v>
      </c>
    </row>
    <row r="283" spans="1:13" x14ac:dyDescent="0.25">
      <c r="A283" s="1">
        <v>2458345.7267399998</v>
      </c>
      <c r="B283" s="1" t="s">
        <v>78</v>
      </c>
      <c r="C283" s="1">
        <v>10.866</v>
      </c>
      <c r="D283" s="1" t="s">
        <v>292</v>
      </c>
      <c r="E283" t="s">
        <v>99</v>
      </c>
      <c r="F283">
        <f t="shared" si="29"/>
        <v>8345.7267399998382</v>
      </c>
      <c r="G283">
        <f t="shared" si="30"/>
        <v>8345.7000000000007</v>
      </c>
      <c r="H283">
        <f t="shared" si="31"/>
        <v>10.866</v>
      </c>
      <c r="J283">
        <f t="shared" si="35"/>
        <v>8345.7267399998382</v>
      </c>
      <c r="K283">
        <f t="shared" si="32"/>
        <v>8345.5</v>
      </c>
      <c r="L283">
        <f t="shared" si="33"/>
        <v>8345.5</v>
      </c>
      <c r="M283">
        <f t="shared" si="34"/>
        <v>10.866</v>
      </c>
    </row>
    <row r="284" spans="1:13" x14ac:dyDescent="0.25">
      <c r="A284" s="1">
        <v>2458345.72713</v>
      </c>
      <c r="B284" s="1" t="s">
        <v>78</v>
      </c>
      <c r="C284" s="1">
        <v>10.827999999999999</v>
      </c>
      <c r="D284" s="1" t="s">
        <v>292</v>
      </c>
      <c r="E284" t="s">
        <v>99</v>
      </c>
      <c r="F284">
        <f t="shared" si="29"/>
        <v>8345.7271300000139</v>
      </c>
      <c r="G284">
        <f t="shared" si="30"/>
        <v>8345.7000000000007</v>
      </c>
      <c r="H284">
        <f t="shared" si="31"/>
        <v>10.827999999999999</v>
      </c>
      <c r="J284">
        <f t="shared" si="35"/>
        <v>8345.7271300000139</v>
      </c>
      <c r="K284">
        <f t="shared" si="32"/>
        <v>8345.5</v>
      </c>
      <c r="L284">
        <f t="shared" si="33"/>
        <v>8345.5</v>
      </c>
      <c r="M284">
        <f t="shared" si="34"/>
        <v>10.827999999999999</v>
      </c>
    </row>
    <row r="285" spans="1:13" x14ac:dyDescent="0.25">
      <c r="A285" s="1">
        <v>2458345.7275200002</v>
      </c>
      <c r="B285" s="1" t="s">
        <v>78</v>
      </c>
      <c r="C285" s="1">
        <v>10.837999999999999</v>
      </c>
      <c r="D285" s="1" t="s">
        <v>292</v>
      </c>
      <c r="E285" t="s">
        <v>99</v>
      </c>
      <c r="F285">
        <f t="shared" si="29"/>
        <v>8345.7275200001895</v>
      </c>
      <c r="G285">
        <f t="shared" si="30"/>
        <v>8345.7000000000007</v>
      </c>
      <c r="H285">
        <f t="shared" si="31"/>
        <v>10.837999999999999</v>
      </c>
      <c r="J285">
        <f t="shared" si="35"/>
        <v>8345.7275200001895</v>
      </c>
      <c r="K285">
        <f t="shared" si="32"/>
        <v>8345.5</v>
      </c>
      <c r="L285">
        <f t="shared" si="33"/>
        <v>8345.5</v>
      </c>
      <c r="M285">
        <f t="shared" si="34"/>
        <v>10.837999999999999</v>
      </c>
    </row>
    <row r="286" spans="1:13" x14ac:dyDescent="0.25">
      <c r="A286" s="1">
        <v>2458345.7279300001</v>
      </c>
      <c r="B286" s="1" t="s">
        <v>78</v>
      </c>
      <c r="C286" s="1">
        <v>10.847</v>
      </c>
      <c r="D286" s="1" t="s">
        <v>292</v>
      </c>
      <c r="E286" t="s">
        <v>99</v>
      </c>
      <c r="F286">
        <f t="shared" si="29"/>
        <v>8345.7279300000519</v>
      </c>
      <c r="G286">
        <f t="shared" si="30"/>
        <v>8345.7000000000007</v>
      </c>
      <c r="H286">
        <f t="shared" si="31"/>
        <v>10.847</v>
      </c>
      <c r="J286">
        <f t="shared" si="35"/>
        <v>8345.7279300000519</v>
      </c>
      <c r="K286">
        <f t="shared" si="32"/>
        <v>8345.5</v>
      </c>
      <c r="L286">
        <f t="shared" si="33"/>
        <v>8345.5</v>
      </c>
      <c r="M286">
        <f t="shared" si="34"/>
        <v>10.847</v>
      </c>
    </row>
    <row r="287" spans="1:13" x14ac:dyDescent="0.25">
      <c r="A287" s="1">
        <v>2458345.7283299998</v>
      </c>
      <c r="B287" s="1" t="s">
        <v>78</v>
      </c>
      <c r="C287" s="1">
        <v>10.839</v>
      </c>
      <c r="D287" s="1" t="s">
        <v>292</v>
      </c>
      <c r="E287" t="s">
        <v>99</v>
      </c>
      <c r="F287">
        <f t="shared" si="29"/>
        <v>8345.728329999838</v>
      </c>
      <c r="G287">
        <f t="shared" si="30"/>
        <v>8345.7000000000007</v>
      </c>
      <c r="H287">
        <f t="shared" si="31"/>
        <v>10.839</v>
      </c>
      <c r="J287">
        <f t="shared" si="35"/>
        <v>8345.728329999838</v>
      </c>
      <c r="K287">
        <f t="shared" si="32"/>
        <v>8345.5</v>
      </c>
      <c r="L287">
        <f t="shared" si="33"/>
        <v>8345.5</v>
      </c>
      <c r="M287">
        <f t="shared" si="34"/>
        <v>10.839</v>
      </c>
    </row>
    <row r="288" spans="1:13" x14ac:dyDescent="0.25">
      <c r="A288" s="1">
        <v>2458345.7287300001</v>
      </c>
      <c r="B288" s="1" t="s">
        <v>78</v>
      </c>
      <c r="C288" s="1">
        <v>10.859</v>
      </c>
      <c r="D288" s="1" t="s">
        <v>292</v>
      </c>
      <c r="E288" t="s">
        <v>99</v>
      </c>
      <c r="F288">
        <f t="shared" si="29"/>
        <v>8345.7287300000899</v>
      </c>
      <c r="G288">
        <f t="shared" si="30"/>
        <v>8345.7000000000007</v>
      </c>
      <c r="H288">
        <f t="shared" si="31"/>
        <v>10.859</v>
      </c>
      <c r="J288">
        <f t="shared" si="35"/>
        <v>8345.7287300000899</v>
      </c>
      <c r="K288">
        <f t="shared" si="32"/>
        <v>8345.5</v>
      </c>
      <c r="L288">
        <f t="shared" si="33"/>
        <v>8345.5</v>
      </c>
      <c r="M288">
        <f t="shared" si="34"/>
        <v>10.859</v>
      </c>
    </row>
    <row r="289" spans="1:13" x14ac:dyDescent="0.25">
      <c r="A289" s="1">
        <v>2458345.7291199998</v>
      </c>
      <c r="B289" s="1" t="s">
        <v>78</v>
      </c>
      <c r="C289" s="1">
        <v>10.875</v>
      </c>
      <c r="D289" s="1" t="s">
        <v>292</v>
      </c>
      <c r="E289" t="s">
        <v>99</v>
      </c>
      <c r="F289">
        <f t="shared" si="29"/>
        <v>8345.7291199997999</v>
      </c>
      <c r="G289">
        <f t="shared" si="30"/>
        <v>8345.7000000000007</v>
      </c>
      <c r="H289">
        <f t="shared" si="31"/>
        <v>10.875</v>
      </c>
      <c r="J289">
        <f t="shared" si="35"/>
        <v>8345.7291199997999</v>
      </c>
      <c r="K289">
        <f t="shared" si="32"/>
        <v>8345.5</v>
      </c>
      <c r="L289">
        <f t="shared" si="33"/>
        <v>8345.5</v>
      </c>
      <c r="M289">
        <f t="shared" si="34"/>
        <v>10.875</v>
      </c>
    </row>
    <row r="290" spans="1:13" x14ac:dyDescent="0.25">
      <c r="A290" s="1">
        <v>2458345.7295400002</v>
      </c>
      <c r="B290" s="1" t="s">
        <v>78</v>
      </c>
      <c r="C290" s="1">
        <v>10.863</v>
      </c>
      <c r="D290" s="1" t="s">
        <v>292</v>
      </c>
      <c r="E290" t="s">
        <v>99</v>
      </c>
      <c r="F290">
        <f t="shared" si="29"/>
        <v>8345.729540000204</v>
      </c>
      <c r="G290">
        <f t="shared" si="30"/>
        <v>8345.7000000000007</v>
      </c>
      <c r="H290">
        <f t="shared" si="31"/>
        <v>10.863</v>
      </c>
      <c r="J290">
        <f t="shared" si="35"/>
        <v>8345.729540000204</v>
      </c>
      <c r="K290">
        <f t="shared" si="32"/>
        <v>8345.5</v>
      </c>
      <c r="L290">
        <f t="shared" si="33"/>
        <v>8345.5</v>
      </c>
      <c r="M290">
        <f t="shared" si="34"/>
        <v>10.863</v>
      </c>
    </row>
    <row r="291" spans="1:13" x14ac:dyDescent="0.25">
      <c r="A291" s="1">
        <v>2458345.72994</v>
      </c>
      <c r="B291" s="1" t="s">
        <v>78</v>
      </c>
      <c r="C291" s="1">
        <v>10.835000000000001</v>
      </c>
      <c r="D291" s="1" t="s">
        <v>292</v>
      </c>
      <c r="E291" t="s">
        <v>99</v>
      </c>
      <c r="F291">
        <f t="shared" si="29"/>
        <v>8345.7299399999902</v>
      </c>
      <c r="G291">
        <f t="shared" si="30"/>
        <v>8345.7000000000007</v>
      </c>
      <c r="H291">
        <f t="shared" si="31"/>
        <v>10.835000000000001</v>
      </c>
      <c r="J291">
        <f t="shared" si="35"/>
        <v>8345.7299399999902</v>
      </c>
      <c r="K291">
        <f t="shared" si="32"/>
        <v>8345.5</v>
      </c>
      <c r="L291">
        <f t="shared" si="33"/>
        <v>8345.5</v>
      </c>
      <c r="M291">
        <f t="shared" si="34"/>
        <v>10.835000000000001</v>
      </c>
    </row>
    <row r="292" spans="1:13" x14ac:dyDescent="0.25">
      <c r="A292" s="1">
        <v>2458345.7303499999</v>
      </c>
      <c r="B292" s="1" t="s">
        <v>78</v>
      </c>
      <c r="C292" s="1">
        <v>10.867000000000001</v>
      </c>
      <c r="D292" s="1" t="s">
        <v>292</v>
      </c>
      <c r="E292" t="s">
        <v>99</v>
      </c>
      <c r="F292">
        <f t="shared" si="29"/>
        <v>8345.7303499998525</v>
      </c>
      <c r="G292">
        <f t="shared" si="30"/>
        <v>8345.7000000000007</v>
      </c>
      <c r="H292">
        <f t="shared" si="31"/>
        <v>10.867000000000001</v>
      </c>
      <c r="J292">
        <f t="shared" si="35"/>
        <v>8345.7303499998525</v>
      </c>
      <c r="K292">
        <f t="shared" si="32"/>
        <v>8345.5</v>
      </c>
      <c r="L292">
        <f t="shared" si="33"/>
        <v>8345.5</v>
      </c>
      <c r="M292">
        <f t="shared" si="34"/>
        <v>10.867000000000001</v>
      </c>
    </row>
    <row r="293" spans="1:13" x14ac:dyDescent="0.25">
      <c r="A293" s="1">
        <v>2458345.73074</v>
      </c>
      <c r="B293" s="1" t="s">
        <v>78</v>
      </c>
      <c r="C293" s="1">
        <v>10.840999999999999</v>
      </c>
      <c r="D293" s="1" t="s">
        <v>292</v>
      </c>
      <c r="E293" t="s">
        <v>99</v>
      </c>
      <c r="F293">
        <f t="shared" si="29"/>
        <v>8345.7307400000282</v>
      </c>
      <c r="G293">
        <f t="shared" si="30"/>
        <v>8345.7000000000007</v>
      </c>
      <c r="H293">
        <f t="shared" si="31"/>
        <v>10.840999999999999</v>
      </c>
      <c r="J293">
        <f t="shared" si="35"/>
        <v>8345.7307400000282</v>
      </c>
      <c r="K293">
        <f t="shared" si="32"/>
        <v>8345.5</v>
      </c>
      <c r="L293">
        <f t="shared" si="33"/>
        <v>8345.5</v>
      </c>
      <c r="M293">
        <f t="shared" si="34"/>
        <v>10.840999999999999</v>
      </c>
    </row>
    <row r="294" spans="1:13" x14ac:dyDescent="0.25">
      <c r="A294" s="1">
        <v>2458345.7311499999</v>
      </c>
      <c r="B294" s="1" t="s">
        <v>78</v>
      </c>
      <c r="C294" s="1">
        <v>10.837</v>
      </c>
      <c r="D294" s="1" t="s">
        <v>292</v>
      </c>
      <c r="E294" t="s">
        <v>99</v>
      </c>
      <c r="F294">
        <f t="shared" si="29"/>
        <v>8345.7311499998905</v>
      </c>
      <c r="G294">
        <f t="shared" si="30"/>
        <v>8345.7000000000007</v>
      </c>
      <c r="H294">
        <f t="shared" si="31"/>
        <v>10.837</v>
      </c>
      <c r="J294">
        <f t="shared" si="35"/>
        <v>8345.7311499998905</v>
      </c>
      <c r="K294">
        <f t="shared" si="32"/>
        <v>8345.5</v>
      </c>
      <c r="L294">
        <f t="shared" si="33"/>
        <v>8345.5</v>
      </c>
      <c r="M294">
        <f t="shared" si="34"/>
        <v>10.837</v>
      </c>
    </row>
    <row r="295" spans="1:13" x14ac:dyDescent="0.25">
      <c r="A295" s="1">
        <v>2458345.7315500001</v>
      </c>
      <c r="B295" s="1" t="s">
        <v>78</v>
      </c>
      <c r="C295" s="1">
        <v>10.861000000000001</v>
      </c>
      <c r="D295" s="1" t="s">
        <v>292</v>
      </c>
      <c r="E295" t="s">
        <v>99</v>
      </c>
      <c r="F295">
        <f t="shared" si="29"/>
        <v>8345.7315500001423</v>
      </c>
      <c r="G295">
        <f t="shared" si="30"/>
        <v>8345.7000000000007</v>
      </c>
      <c r="H295">
        <f t="shared" si="31"/>
        <v>10.861000000000001</v>
      </c>
      <c r="J295">
        <f t="shared" si="35"/>
        <v>8345.7315500001423</v>
      </c>
      <c r="K295">
        <f t="shared" si="32"/>
        <v>8345.5</v>
      </c>
      <c r="L295">
        <f t="shared" si="33"/>
        <v>8345.5</v>
      </c>
      <c r="M295">
        <f t="shared" si="34"/>
        <v>10.861000000000001</v>
      </c>
    </row>
    <row r="296" spans="1:13" x14ac:dyDescent="0.25">
      <c r="A296" s="1">
        <v>2458345.7319399999</v>
      </c>
      <c r="B296" s="1" t="s">
        <v>78</v>
      </c>
      <c r="C296" s="1">
        <v>10.851000000000001</v>
      </c>
      <c r="D296" s="1" t="s">
        <v>292</v>
      </c>
      <c r="E296" t="s">
        <v>99</v>
      </c>
      <c r="F296">
        <f t="shared" si="29"/>
        <v>8345.7319399998523</v>
      </c>
      <c r="G296">
        <f t="shared" si="30"/>
        <v>8345.7000000000007</v>
      </c>
      <c r="H296">
        <f t="shared" si="31"/>
        <v>10.851000000000001</v>
      </c>
      <c r="J296">
        <f t="shared" si="35"/>
        <v>8345.7319399998523</v>
      </c>
      <c r="K296">
        <f t="shared" si="32"/>
        <v>8345.5</v>
      </c>
      <c r="L296">
        <f t="shared" si="33"/>
        <v>8345.5</v>
      </c>
      <c r="M296">
        <f t="shared" si="34"/>
        <v>10.851000000000001</v>
      </c>
    </row>
    <row r="297" spans="1:13" x14ac:dyDescent="0.25">
      <c r="A297" s="1">
        <v>2458345.7323500002</v>
      </c>
      <c r="B297" s="1" t="s">
        <v>78</v>
      </c>
      <c r="C297" s="1">
        <v>10.839</v>
      </c>
      <c r="D297" s="1" t="s">
        <v>292</v>
      </c>
      <c r="E297" t="s">
        <v>99</v>
      </c>
      <c r="F297">
        <f t="shared" si="29"/>
        <v>8345.7323500001803</v>
      </c>
      <c r="G297">
        <f t="shared" si="30"/>
        <v>8345.7000000000007</v>
      </c>
      <c r="H297">
        <f t="shared" si="31"/>
        <v>10.839</v>
      </c>
      <c r="J297">
        <f t="shared" si="35"/>
        <v>8345.7323500001803</v>
      </c>
      <c r="K297">
        <f t="shared" si="32"/>
        <v>8345.5</v>
      </c>
      <c r="L297">
        <f t="shared" si="33"/>
        <v>8345.5</v>
      </c>
      <c r="M297">
        <f t="shared" si="34"/>
        <v>10.839</v>
      </c>
    </row>
    <row r="298" spans="1:13" x14ac:dyDescent="0.25">
      <c r="A298" s="1">
        <v>2458345.73275</v>
      </c>
      <c r="B298" s="1" t="s">
        <v>78</v>
      </c>
      <c r="C298" s="1">
        <v>10.845000000000001</v>
      </c>
      <c r="D298" s="1" t="s">
        <v>292</v>
      </c>
      <c r="E298" t="s">
        <v>99</v>
      </c>
      <c r="F298">
        <f t="shared" si="29"/>
        <v>8345.7327499999665</v>
      </c>
      <c r="G298">
        <f t="shared" si="30"/>
        <v>8345.7000000000007</v>
      </c>
      <c r="H298">
        <f t="shared" si="31"/>
        <v>10.845000000000001</v>
      </c>
      <c r="J298">
        <f t="shared" si="35"/>
        <v>8345.7327499999665</v>
      </c>
      <c r="K298">
        <f t="shared" si="32"/>
        <v>8345.5</v>
      </c>
      <c r="L298">
        <f t="shared" si="33"/>
        <v>8345.5</v>
      </c>
      <c r="M298">
        <f t="shared" si="34"/>
        <v>10.845000000000001</v>
      </c>
    </row>
    <row r="299" spans="1:13" x14ac:dyDescent="0.25">
      <c r="A299" s="1">
        <v>2458345.7331500002</v>
      </c>
      <c r="B299" s="1" t="s">
        <v>78</v>
      </c>
      <c r="C299" s="1">
        <v>10.837</v>
      </c>
      <c r="D299" s="1" t="s">
        <v>292</v>
      </c>
      <c r="E299" t="s">
        <v>99</v>
      </c>
      <c r="F299">
        <f t="shared" si="29"/>
        <v>8345.7331500002183</v>
      </c>
      <c r="G299">
        <f t="shared" si="30"/>
        <v>8345.7000000000007</v>
      </c>
      <c r="H299">
        <f t="shared" si="31"/>
        <v>10.837</v>
      </c>
      <c r="J299">
        <f t="shared" si="35"/>
        <v>8345.7331500002183</v>
      </c>
      <c r="K299">
        <f t="shared" si="32"/>
        <v>8345.5</v>
      </c>
      <c r="L299">
        <f t="shared" si="33"/>
        <v>8345.5</v>
      </c>
      <c r="M299">
        <f t="shared" si="34"/>
        <v>10.837</v>
      </c>
    </row>
    <row r="300" spans="1:13" x14ac:dyDescent="0.25">
      <c r="A300" s="1">
        <v>2458345.73355</v>
      </c>
      <c r="B300" s="1" t="s">
        <v>78</v>
      </c>
      <c r="C300" s="1">
        <v>10.834</v>
      </c>
      <c r="D300" s="1" t="s">
        <v>292</v>
      </c>
      <c r="E300" t="s">
        <v>99</v>
      </c>
      <c r="F300">
        <f t="shared" si="29"/>
        <v>8345.7335500000045</v>
      </c>
      <c r="G300">
        <f t="shared" si="30"/>
        <v>8345.7000000000007</v>
      </c>
      <c r="H300">
        <f t="shared" si="31"/>
        <v>10.834</v>
      </c>
      <c r="J300">
        <f t="shared" si="35"/>
        <v>8345.7335500000045</v>
      </c>
      <c r="K300">
        <f t="shared" si="32"/>
        <v>8345.5</v>
      </c>
      <c r="L300">
        <f t="shared" si="33"/>
        <v>8345.5</v>
      </c>
      <c r="M300">
        <f t="shared" si="34"/>
        <v>10.834</v>
      </c>
    </row>
    <row r="301" spans="1:13" x14ac:dyDescent="0.25">
      <c r="A301" s="1">
        <v>2458345.7339499998</v>
      </c>
      <c r="B301" s="1" t="s">
        <v>78</v>
      </c>
      <c r="C301" s="1">
        <v>10.853</v>
      </c>
      <c r="D301" s="1" t="s">
        <v>292</v>
      </c>
      <c r="E301" t="s">
        <v>99</v>
      </c>
      <c r="F301">
        <f t="shared" si="29"/>
        <v>8345.7339499997906</v>
      </c>
      <c r="G301">
        <f t="shared" si="30"/>
        <v>8345.7000000000007</v>
      </c>
      <c r="H301">
        <f t="shared" si="31"/>
        <v>10.853</v>
      </c>
      <c r="J301">
        <f t="shared" si="35"/>
        <v>8345.7339499997906</v>
      </c>
      <c r="K301">
        <f t="shared" si="32"/>
        <v>8345.5</v>
      </c>
      <c r="L301">
        <f t="shared" si="33"/>
        <v>8345.5</v>
      </c>
      <c r="M301">
        <f t="shared" si="34"/>
        <v>10.853</v>
      </c>
    </row>
    <row r="302" spans="1:13" x14ac:dyDescent="0.25">
      <c r="A302" s="1">
        <v>2458345.73435</v>
      </c>
      <c r="B302" s="1" t="s">
        <v>78</v>
      </c>
      <c r="C302" s="1">
        <v>10.856999999999999</v>
      </c>
      <c r="D302" s="1" t="s">
        <v>292</v>
      </c>
      <c r="E302" t="s">
        <v>99</v>
      </c>
      <c r="F302">
        <f t="shared" si="29"/>
        <v>8345.7343500000425</v>
      </c>
      <c r="G302">
        <f t="shared" si="30"/>
        <v>8345.7000000000007</v>
      </c>
      <c r="H302">
        <f t="shared" si="31"/>
        <v>10.856999999999999</v>
      </c>
      <c r="J302">
        <f t="shared" si="35"/>
        <v>8345.7343500000425</v>
      </c>
      <c r="K302">
        <f t="shared" si="32"/>
        <v>8345.5</v>
      </c>
      <c r="L302">
        <f t="shared" si="33"/>
        <v>8345.5</v>
      </c>
      <c r="M302">
        <f t="shared" si="34"/>
        <v>10.856999999999999</v>
      </c>
    </row>
    <row r="303" spans="1:13" x14ac:dyDescent="0.25">
      <c r="A303" s="1">
        <v>2458345.7347599999</v>
      </c>
      <c r="B303" s="1" t="s">
        <v>78</v>
      </c>
      <c r="C303" s="1">
        <v>10.852</v>
      </c>
      <c r="D303" s="1" t="s">
        <v>292</v>
      </c>
      <c r="E303" t="s">
        <v>99</v>
      </c>
      <c r="F303">
        <f t="shared" si="29"/>
        <v>8345.7347599999048</v>
      </c>
      <c r="G303">
        <f t="shared" si="30"/>
        <v>8345.7000000000007</v>
      </c>
      <c r="H303">
        <f t="shared" si="31"/>
        <v>10.852</v>
      </c>
      <c r="J303">
        <f t="shared" si="35"/>
        <v>8345.7347599999048</v>
      </c>
      <c r="K303">
        <f t="shared" si="32"/>
        <v>8345.5</v>
      </c>
      <c r="L303">
        <f t="shared" si="33"/>
        <v>8345.5</v>
      </c>
      <c r="M303">
        <f t="shared" si="34"/>
        <v>10.852</v>
      </c>
    </row>
    <row r="304" spans="1:13" x14ac:dyDescent="0.25">
      <c r="A304" s="1">
        <v>2458345.7351600002</v>
      </c>
      <c r="B304" s="1" t="s">
        <v>78</v>
      </c>
      <c r="C304" s="1">
        <v>10.842000000000001</v>
      </c>
      <c r="D304" s="1" t="s">
        <v>292</v>
      </c>
      <c r="E304" t="s">
        <v>99</v>
      </c>
      <c r="F304">
        <f t="shared" si="29"/>
        <v>8345.7351600001566</v>
      </c>
      <c r="G304">
        <f t="shared" si="30"/>
        <v>8345.7000000000007</v>
      </c>
      <c r="H304">
        <f t="shared" si="31"/>
        <v>10.842000000000001</v>
      </c>
      <c r="J304">
        <f t="shared" si="35"/>
        <v>8345.7351600001566</v>
      </c>
      <c r="K304">
        <f t="shared" si="32"/>
        <v>8345.5</v>
      </c>
      <c r="L304">
        <f t="shared" si="33"/>
        <v>8345.5</v>
      </c>
      <c r="M304">
        <f t="shared" si="34"/>
        <v>10.842000000000001</v>
      </c>
    </row>
    <row r="305" spans="1:13" x14ac:dyDescent="0.25">
      <c r="A305" s="1">
        <v>2458345.7355599999</v>
      </c>
      <c r="B305" s="1" t="s">
        <v>78</v>
      </c>
      <c r="C305" s="1">
        <v>10.829000000000001</v>
      </c>
      <c r="D305" s="1" t="s">
        <v>292</v>
      </c>
      <c r="E305" t="s">
        <v>99</v>
      </c>
      <c r="F305">
        <f t="shared" si="29"/>
        <v>8345.7355599999428</v>
      </c>
      <c r="G305">
        <f t="shared" si="30"/>
        <v>8345.7000000000007</v>
      </c>
      <c r="H305">
        <f t="shared" si="31"/>
        <v>10.829000000000001</v>
      </c>
      <c r="J305">
        <f t="shared" si="35"/>
        <v>8345.7355599999428</v>
      </c>
      <c r="K305">
        <f t="shared" si="32"/>
        <v>8345.5</v>
      </c>
      <c r="L305">
        <f t="shared" si="33"/>
        <v>8345.5</v>
      </c>
      <c r="M305">
        <f t="shared" si="34"/>
        <v>10.829000000000001</v>
      </c>
    </row>
    <row r="306" spans="1:13" x14ac:dyDescent="0.25">
      <c r="A306" s="1">
        <v>2458345.7359600002</v>
      </c>
      <c r="B306" s="1" t="s">
        <v>78</v>
      </c>
      <c r="C306" s="1">
        <v>10.842000000000001</v>
      </c>
      <c r="D306" s="1" t="s">
        <v>292</v>
      </c>
      <c r="E306" t="s">
        <v>99</v>
      </c>
      <c r="F306">
        <f t="shared" si="29"/>
        <v>8345.7359600001946</v>
      </c>
      <c r="G306">
        <f t="shared" si="30"/>
        <v>8345.7000000000007</v>
      </c>
      <c r="H306">
        <f t="shared" si="31"/>
        <v>10.842000000000001</v>
      </c>
      <c r="J306">
        <f t="shared" si="35"/>
        <v>8345.7359600001946</v>
      </c>
      <c r="K306">
        <f t="shared" si="32"/>
        <v>8345.5</v>
      </c>
      <c r="L306">
        <f t="shared" si="33"/>
        <v>8345.5</v>
      </c>
      <c r="M306">
        <f t="shared" si="34"/>
        <v>10.842000000000001</v>
      </c>
    </row>
    <row r="307" spans="1:13" x14ac:dyDescent="0.25">
      <c r="A307" s="1">
        <v>2458345.7363499999</v>
      </c>
      <c r="B307" s="1" t="s">
        <v>78</v>
      </c>
      <c r="C307" s="1">
        <v>10.852</v>
      </c>
      <c r="D307" s="1" t="s">
        <v>292</v>
      </c>
      <c r="E307" t="s">
        <v>99</v>
      </c>
      <c r="F307">
        <f t="shared" si="29"/>
        <v>8345.7363499999046</v>
      </c>
      <c r="G307">
        <f t="shared" si="30"/>
        <v>8345.7000000000007</v>
      </c>
      <c r="H307">
        <f t="shared" si="31"/>
        <v>10.852</v>
      </c>
      <c r="J307">
        <f t="shared" si="35"/>
        <v>8345.7363499999046</v>
      </c>
      <c r="K307">
        <f t="shared" si="32"/>
        <v>8345.5</v>
      </c>
      <c r="L307">
        <f t="shared" si="33"/>
        <v>8345.5</v>
      </c>
      <c r="M307">
        <f t="shared" si="34"/>
        <v>10.852</v>
      </c>
    </row>
    <row r="308" spans="1:13" x14ac:dyDescent="0.25">
      <c r="A308" s="1">
        <v>2458345.7367600002</v>
      </c>
      <c r="B308" s="1" t="s">
        <v>78</v>
      </c>
      <c r="C308" s="1">
        <v>10.833</v>
      </c>
      <c r="D308" s="1" t="s">
        <v>292</v>
      </c>
      <c r="E308" t="s">
        <v>99</v>
      </c>
      <c r="F308">
        <f t="shared" si="29"/>
        <v>8345.7367600002326</v>
      </c>
      <c r="G308">
        <f t="shared" si="30"/>
        <v>8345.7000000000007</v>
      </c>
      <c r="H308">
        <f t="shared" si="31"/>
        <v>10.833</v>
      </c>
      <c r="J308">
        <f t="shared" si="35"/>
        <v>8345.7367600002326</v>
      </c>
      <c r="K308">
        <f t="shared" si="32"/>
        <v>8345.5</v>
      </c>
      <c r="L308">
        <f t="shared" si="33"/>
        <v>8345.5</v>
      </c>
      <c r="M308">
        <f t="shared" si="34"/>
        <v>10.833</v>
      </c>
    </row>
    <row r="309" spans="1:13" x14ac:dyDescent="0.25">
      <c r="A309" s="1">
        <v>2458345.7371499999</v>
      </c>
      <c r="B309" s="1" t="s">
        <v>78</v>
      </c>
      <c r="C309" s="1">
        <v>10.848000000000001</v>
      </c>
      <c r="D309" s="1" t="s">
        <v>292</v>
      </c>
      <c r="E309" t="s">
        <v>99</v>
      </c>
      <c r="F309">
        <f t="shared" si="29"/>
        <v>8345.7371499999426</v>
      </c>
      <c r="G309">
        <f t="shared" si="30"/>
        <v>8345.7000000000007</v>
      </c>
      <c r="H309">
        <f t="shared" si="31"/>
        <v>10.848000000000001</v>
      </c>
      <c r="J309">
        <f t="shared" si="35"/>
        <v>8345.7371499999426</v>
      </c>
      <c r="K309">
        <f t="shared" si="32"/>
        <v>8345.5</v>
      </c>
      <c r="L309">
        <f t="shared" si="33"/>
        <v>8345.5</v>
      </c>
      <c r="M309">
        <f t="shared" si="34"/>
        <v>10.848000000000001</v>
      </c>
    </row>
    <row r="310" spans="1:13" x14ac:dyDescent="0.25">
      <c r="A310" s="1">
        <v>2458345.7375599998</v>
      </c>
      <c r="B310" s="1" t="s">
        <v>78</v>
      </c>
      <c r="C310" s="1">
        <v>10.847</v>
      </c>
      <c r="D310" s="1" t="s">
        <v>292</v>
      </c>
      <c r="E310" t="s">
        <v>99</v>
      </c>
      <c r="F310">
        <f t="shared" si="29"/>
        <v>8345.7375599998049</v>
      </c>
      <c r="G310">
        <f t="shared" si="30"/>
        <v>8345.7000000000007</v>
      </c>
      <c r="H310">
        <f t="shared" si="31"/>
        <v>10.847</v>
      </c>
      <c r="J310">
        <f t="shared" si="35"/>
        <v>8345.7375599998049</v>
      </c>
      <c r="K310">
        <f t="shared" si="32"/>
        <v>8345.5</v>
      </c>
      <c r="L310">
        <f t="shared" si="33"/>
        <v>8345.5</v>
      </c>
      <c r="M310">
        <f t="shared" si="34"/>
        <v>10.847</v>
      </c>
    </row>
    <row r="311" spans="1:13" x14ac:dyDescent="0.25">
      <c r="A311" s="1">
        <v>2458345.7733700001</v>
      </c>
      <c r="B311" s="1" t="s">
        <v>78</v>
      </c>
      <c r="C311" s="1">
        <v>10.861000000000001</v>
      </c>
      <c r="D311" s="1" t="s">
        <v>292</v>
      </c>
      <c r="E311" t="s">
        <v>99</v>
      </c>
      <c r="F311">
        <f t="shared" si="29"/>
        <v>8345.7733700000681</v>
      </c>
      <c r="G311">
        <f t="shared" si="30"/>
        <v>8345.7999999999993</v>
      </c>
      <c r="H311">
        <f t="shared" si="31"/>
        <v>10.861000000000001</v>
      </c>
      <c r="J311">
        <f t="shared" si="35"/>
        <v>8345.7733700000681</v>
      </c>
      <c r="K311">
        <f t="shared" si="32"/>
        <v>8345.75</v>
      </c>
      <c r="L311">
        <f t="shared" si="33"/>
        <v>8345.75</v>
      </c>
      <c r="M311">
        <f t="shared" si="34"/>
        <v>10.861000000000001</v>
      </c>
    </row>
    <row r="312" spans="1:13" x14ac:dyDescent="0.25">
      <c r="A312" s="1">
        <v>2458345.7737699999</v>
      </c>
      <c r="B312" s="1" t="s">
        <v>78</v>
      </c>
      <c r="C312" s="1">
        <v>10.856</v>
      </c>
      <c r="D312" s="1" t="s">
        <v>292</v>
      </c>
      <c r="E312" t="s">
        <v>99</v>
      </c>
      <c r="F312">
        <f t="shared" si="29"/>
        <v>8345.7737699998543</v>
      </c>
      <c r="G312">
        <f t="shared" si="30"/>
        <v>8345.7999999999993</v>
      </c>
      <c r="H312">
        <f t="shared" si="31"/>
        <v>10.856</v>
      </c>
      <c r="J312">
        <f t="shared" si="35"/>
        <v>8345.7737699998543</v>
      </c>
      <c r="K312">
        <f t="shared" si="32"/>
        <v>8345.75</v>
      </c>
      <c r="L312">
        <f t="shared" si="33"/>
        <v>8345.75</v>
      </c>
      <c r="M312">
        <f t="shared" si="34"/>
        <v>10.856</v>
      </c>
    </row>
    <row r="313" spans="1:13" x14ac:dyDescent="0.25">
      <c r="A313" s="1">
        <v>2458345.7741700001</v>
      </c>
      <c r="B313" s="1" t="s">
        <v>78</v>
      </c>
      <c r="C313" s="1">
        <v>10.859</v>
      </c>
      <c r="D313" s="1" t="s">
        <v>292</v>
      </c>
      <c r="E313" t="s">
        <v>99</v>
      </c>
      <c r="F313">
        <f t="shared" si="29"/>
        <v>8345.7741700001061</v>
      </c>
      <c r="G313">
        <f t="shared" si="30"/>
        <v>8345.7999999999993</v>
      </c>
      <c r="H313">
        <f t="shared" si="31"/>
        <v>10.859</v>
      </c>
      <c r="J313">
        <f t="shared" si="35"/>
        <v>8345.7741700001061</v>
      </c>
      <c r="K313">
        <f t="shared" si="32"/>
        <v>8345.75</v>
      </c>
      <c r="L313">
        <f t="shared" si="33"/>
        <v>8345.75</v>
      </c>
      <c r="M313">
        <f t="shared" si="34"/>
        <v>10.859</v>
      </c>
    </row>
    <row r="314" spans="1:13" x14ac:dyDescent="0.25">
      <c r="A314" s="1">
        <v>2458345.7745699999</v>
      </c>
      <c r="B314" s="1" t="s">
        <v>78</v>
      </c>
      <c r="C314" s="1">
        <v>10.847</v>
      </c>
      <c r="D314" s="1" t="s">
        <v>292</v>
      </c>
      <c r="E314" t="s">
        <v>99</v>
      </c>
      <c r="F314">
        <f t="shared" si="29"/>
        <v>8345.7745699998923</v>
      </c>
      <c r="G314">
        <f t="shared" si="30"/>
        <v>8345.7999999999993</v>
      </c>
      <c r="H314">
        <f t="shared" si="31"/>
        <v>10.847</v>
      </c>
      <c r="J314">
        <f t="shared" si="35"/>
        <v>8345.7745699998923</v>
      </c>
      <c r="K314">
        <f t="shared" si="32"/>
        <v>8345.75</v>
      </c>
      <c r="L314">
        <f t="shared" si="33"/>
        <v>8345.75</v>
      </c>
      <c r="M314">
        <f t="shared" si="34"/>
        <v>10.847</v>
      </c>
    </row>
    <row r="315" spans="1:13" x14ac:dyDescent="0.25">
      <c r="A315" s="1">
        <v>2458345.7749800002</v>
      </c>
      <c r="B315" s="1" t="s">
        <v>78</v>
      </c>
      <c r="C315" s="1">
        <v>10.862</v>
      </c>
      <c r="D315" s="1" t="s">
        <v>292</v>
      </c>
      <c r="E315" t="s">
        <v>99</v>
      </c>
      <c r="F315">
        <f t="shared" si="29"/>
        <v>8345.7749800002202</v>
      </c>
      <c r="G315">
        <f t="shared" si="30"/>
        <v>8345.7999999999993</v>
      </c>
      <c r="H315">
        <f t="shared" si="31"/>
        <v>10.862</v>
      </c>
      <c r="J315">
        <f t="shared" si="35"/>
        <v>8345.7749800002202</v>
      </c>
      <c r="K315">
        <f t="shared" si="32"/>
        <v>8345.75</v>
      </c>
      <c r="L315">
        <f t="shared" si="33"/>
        <v>8345.75</v>
      </c>
      <c r="M315">
        <f t="shared" si="34"/>
        <v>10.862</v>
      </c>
    </row>
    <row r="316" spans="1:13" x14ac:dyDescent="0.25">
      <c r="A316" s="1">
        <v>2458345.77538</v>
      </c>
      <c r="B316" s="1" t="s">
        <v>78</v>
      </c>
      <c r="C316" s="1">
        <v>10.84</v>
      </c>
      <c r="D316" s="1" t="s">
        <v>292</v>
      </c>
      <c r="E316" t="s">
        <v>99</v>
      </c>
      <c r="F316">
        <f t="shared" si="29"/>
        <v>8345.7753800000064</v>
      </c>
      <c r="G316">
        <f t="shared" si="30"/>
        <v>8345.7999999999993</v>
      </c>
      <c r="H316">
        <f t="shared" si="31"/>
        <v>10.84</v>
      </c>
      <c r="J316">
        <f t="shared" si="35"/>
        <v>8345.7753800000064</v>
      </c>
      <c r="K316">
        <f t="shared" si="32"/>
        <v>8345.75</v>
      </c>
      <c r="L316">
        <f t="shared" si="33"/>
        <v>8345.75</v>
      </c>
      <c r="M316">
        <f t="shared" si="34"/>
        <v>10.84</v>
      </c>
    </row>
    <row r="317" spans="1:13" x14ac:dyDescent="0.25">
      <c r="A317" s="1">
        <v>2458345.7757899999</v>
      </c>
      <c r="B317" s="1" t="s">
        <v>78</v>
      </c>
      <c r="C317" s="1">
        <v>10.865</v>
      </c>
      <c r="D317" s="1" t="s">
        <v>292</v>
      </c>
      <c r="E317" t="s">
        <v>99</v>
      </c>
      <c r="F317">
        <f t="shared" si="29"/>
        <v>8345.7757899998687</v>
      </c>
      <c r="G317">
        <f t="shared" si="30"/>
        <v>8345.7999999999993</v>
      </c>
      <c r="H317">
        <f t="shared" si="31"/>
        <v>10.865</v>
      </c>
      <c r="J317">
        <f t="shared" si="35"/>
        <v>8345.7757899998687</v>
      </c>
      <c r="K317">
        <f t="shared" si="32"/>
        <v>8345.75</v>
      </c>
      <c r="L317">
        <f t="shared" si="33"/>
        <v>8345.75</v>
      </c>
      <c r="M317">
        <f t="shared" si="34"/>
        <v>10.865</v>
      </c>
    </row>
    <row r="318" spans="1:13" x14ac:dyDescent="0.25">
      <c r="A318" s="1">
        <v>2458345.77618</v>
      </c>
      <c r="B318" s="1" t="s">
        <v>78</v>
      </c>
      <c r="C318" s="1">
        <v>10.884</v>
      </c>
      <c r="D318" s="1" t="s">
        <v>292</v>
      </c>
      <c r="E318" t="s">
        <v>99</v>
      </c>
      <c r="F318">
        <f t="shared" si="29"/>
        <v>8345.7761800000444</v>
      </c>
      <c r="G318">
        <f t="shared" si="30"/>
        <v>8345.7999999999993</v>
      </c>
      <c r="H318">
        <f t="shared" si="31"/>
        <v>10.884</v>
      </c>
      <c r="J318">
        <f t="shared" si="35"/>
        <v>8345.7761800000444</v>
      </c>
      <c r="K318">
        <f t="shared" si="32"/>
        <v>8345.75</v>
      </c>
      <c r="L318">
        <f t="shared" si="33"/>
        <v>8345.75</v>
      </c>
      <c r="M318">
        <f t="shared" si="34"/>
        <v>10.884</v>
      </c>
    </row>
    <row r="319" spans="1:13" x14ac:dyDescent="0.25">
      <c r="A319" s="1">
        <v>2458345.7765700002</v>
      </c>
      <c r="B319" s="1" t="s">
        <v>78</v>
      </c>
      <c r="C319" s="1">
        <v>10.862</v>
      </c>
      <c r="D319" s="1" t="s">
        <v>292</v>
      </c>
      <c r="E319" t="s">
        <v>99</v>
      </c>
      <c r="F319">
        <f t="shared" si="29"/>
        <v>8345.7765700002201</v>
      </c>
      <c r="G319">
        <f t="shared" si="30"/>
        <v>8345.7999999999993</v>
      </c>
      <c r="H319">
        <f t="shared" si="31"/>
        <v>10.862</v>
      </c>
      <c r="J319">
        <f t="shared" si="35"/>
        <v>8345.7765700002201</v>
      </c>
      <c r="K319">
        <f t="shared" si="32"/>
        <v>8345.75</v>
      </c>
      <c r="L319">
        <f t="shared" si="33"/>
        <v>8345.75</v>
      </c>
      <c r="M319">
        <f t="shared" si="34"/>
        <v>10.862</v>
      </c>
    </row>
    <row r="320" spans="1:13" x14ac:dyDescent="0.25">
      <c r="A320" s="1">
        <v>2458345.7769800001</v>
      </c>
      <c r="B320" s="1" t="s">
        <v>78</v>
      </c>
      <c r="C320" s="1">
        <v>10.859</v>
      </c>
      <c r="D320" s="1" t="s">
        <v>292</v>
      </c>
      <c r="E320" t="s">
        <v>99</v>
      </c>
      <c r="F320">
        <f t="shared" si="29"/>
        <v>8345.7769800000824</v>
      </c>
      <c r="G320">
        <f t="shared" si="30"/>
        <v>8345.7999999999993</v>
      </c>
      <c r="H320">
        <f t="shared" si="31"/>
        <v>10.859</v>
      </c>
      <c r="J320">
        <f t="shared" si="35"/>
        <v>8345.7769800000824</v>
      </c>
      <c r="K320">
        <f t="shared" si="32"/>
        <v>8345.75</v>
      </c>
      <c r="L320">
        <f t="shared" si="33"/>
        <v>8345.75</v>
      </c>
      <c r="M320">
        <f t="shared" si="34"/>
        <v>10.859</v>
      </c>
    </row>
    <row r="321" spans="1:13" x14ac:dyDescent="0.25">
      <c r="A321" s="1">
        <v>2458346.6564699998</v>
      </c>
      <c r="B321" s="1" t="s">
        <v>79</v>
      </c>
      <c r="C321" s="1">
        <v>10.914999999999999</v>
      </c>
      <c r="D321" s="1" t="s">
        <v>292</v>
      </c>
      <c r="E321" t="s">
        <v>100</v>
      </c>
      <c r="F321">
        <f t="shared" si="29"/>
        <v>8346.6564699998125</v>
      </c>
      <c r="G321">
        <f t="shared" si="30"/>
        <v>8346.7000000000007</v>
      </c>
      <c r="H321">
        <f t="shared" si="31"/>
        <v>10.914999999999999</v>
      </c>
      <c r="J321">
        <f t="shared" si="35"/>
        <v>8346.6564699998125</v>
      </c>
      <c r="K321">
        <f t="shared" si="32"/>
        <v>8346.5</v>
      </c>
      <c r="L321">
        <f t="shared" si="33"/>
        <v>8346.5</v>
      </c>
      <c r="M321">
        <f t="shared" si="34"/>
        <v>10.914999999999999</v>
      </c>
    </row>
    <row r="322" spans="1:13" x14ac:dyDescent="0.25">
      <c r="A322" s="1">
        <v>2458346.6619000002</v>
      </c>
      <c r="B322" s="1" t="s">
        <v>79</v>
      </c>
      <c r="C322" s="1">
        <v>10.914</v>
      </c>
      <c r="D322" s="1" t="s">
        <v>292</v>
      </c>
      <c r="E322" t="s">
        <v>100</v>
      </c>
      <c r="F322">
        <f t="shared" si="29"/>
        <v>8346.661900000181</v>
      </c>
      <c r="G322">
        <f t="shared" si="30"/>
        <v>8346.7000000000007</v>
      </c>
      <c r="H322">
        <f t="shared" si="31"/>
        <v>10.914</v>
      </c>
      <c r="J322">
        <f t="shared" si="35"/>
        <v>8346.661900000181</v>
      </c>
      <c r="K322">
        <f t="shared" si="32"/>
        <v>8346.5</v>
      </c>
      <c r="L322">
        <f t="shared" si="33"/>
        <v>8346.5</v>
      </c>
      <c r="M322">
        <f t="shared" si="34"/>
        <v>10.914</v>
      </c>
    </row>
    <row r="323" spans="1:13" x14ac:dyDescent="0.25">
      <c r="A323" s="1">
        <v>2458346.6673099999</v>
      </c>
      <c r="B323" s="1" t="s">
        <v>79</v>
      </c>
      <c r="C323" s="1">
        <v>10.92</v>
      </c>
      <c r="D323" s="1" t="s">
        <v>292</v>
      </c>
      <c r="E323" t="s">
        <v>100</v>
      </c>
      <c r="F323">
        <f t="shared" ref="F323:F386" si="36">+A323-2450000</f>
        <v>8346.6673099999316</v>
      </c>
      <c r="G323">
        <f t="shared" ref="G323:G386" si="37">+(ROUND(F323,1)*10)/10</f>
        <v>8346.7000000000007</v>
      </c>
      <c r="H323">
        <f t="shared" ref="H323:H386" si="38">+C323</f>
        <v>10.92</v>
      </c>
      <c r="J323">
        <f t="shared" si="35"/>
        <v>8346.6673099999316</v>
      </c>
      <c r="K323">
        <f t="shared" ref="K323:K386" si="39">+INT(J323*4)/4</f>
        <v>8346.5</v>
      </c>
      <c r="L323">
        <f t="shared" ref="L323:L386" si="40">+IF(J323-K323&gt;0.25,K323+0.25,K323)</f>
        <v>8346.5</v>
      </c>
      <c r="M323">
        <f t="shared" ref="M323:M386" si="41">+H323</f>
        <v>10.92</v>
      </c>
    </row>
    <row r="324" spans="1:13" x14ac:dyDescent="0.25">
      <c r="A324" s="1">
        <v>2458346.6727399998</v>
      </c>
      <c r="B324" s="1" t="s">
        <v>79</v>
      </c>
      <c r="C324" s="1">
        <v>10.916</v>
      </c>
      <c r="D324" s="1" t="s">
        <v>292</v>
      </c>
      <c r="E324" t="s">
        <v>100</v>
      </c>
      <c r="F324">
        <f t="shared" si="36"/>
        <v>8346.6727399998344</v>
      </c>
      <c r="G324">
        <f t="shared" si="37"/>
        <v>8346.7000000000007</v>
      </c>
      <c r="H324">
        <f t="shared" si="38"/>
        <v>10.916</v>
      </c>
      <c r="J324">
        <f t="shared" si="35"/>
        <v>8346.6727399998344</v>
      </c>
      <c r="K324">
        <f t="shared" si="39"/>
        <v>8346.5</v>
      </c>
      <c r="L324">
        <f t="shared" si="40"/>
        <v>8346.5</v>
      </c>
      <c r="M324">
        <f t="shared" si="41"/>
        <v>10.916</v>
      </c>
    </row>
    <row r="325" spans="1:13" x14ac:dyDescent="0.25">
      <c r="A325" s="1">
        <v>2458346.6781600001</v>
      </c>
      <c r="B325" s="1" t="s">
        <v>79</v>
      </c>
      <c r="C325" s="1">
        <v>10.909000000000001</v>
      </c>
      <c r="D325" s="1" t="s">
        <v>292</v>
      </c>
      <c r="E325" t="s">
        <v>100</v>
      </c>
      <c r="F325">
        <f t="shared" si="36"/>
        <v>8346.6781600001268</v>
      </c>
      <c r="G325">
        <f t="shared" si="37"/>
        <v>8346.7000000000007</v>
      </c>
      <c r="H325">
        <f t="shared" si="38"/>
        <v>10.909000000000001</v>
      </c>
      <c r="J325">
        <f t="shared" si="35"/>
        <v>8346.6781600001268</v>
      </c>
      <c r="K325">
        <f t="shared" si="39"/>
        <v>8346.5</v>
      </c>
      <c r="L325">
        <f t="shared" si="40"/>
        <v>8346.5</v>
      </c>
      <c r="M325">
        <f t="shared" si="41"/>
        <v>10.909000000000001</v>
      </c>
    </row>
    <row r="326" spans="1:13" x14ac:dyDescent="0.25">
      <c r="A326" s="1">
        <v>2458346.68359</v>
      </c>
      <c r="B326" s="1" t="s">
        <v>79</v>
      </c>
      <c r="C326" s="1">
        <v>10.912000000000001</v>
      </c>
      <c r="D326" s="1" t="s">
        <v>292</v>
      </c>
      <c r="E326" t="s">
        <v>100</v>
      </c>
      <c r="F326">
        <f t="shared" si="36"/>
        <v>8346.6835900000297</v>
      </c>
      <c r="G326">
        <f t="shared" si="37"/>
        <v>8346.7000000000007</v>
      </c>
      <c r="H326">
        <f t="shared" si="38"/>
        <v>10.912000000000001</v>
      </c>
      <c r="J326">
        <f t="shared" si="35"/>
        <v>8346.6835900000297</v>
      </c>
      <c r="K326">
        <f t="shared" si="39"/>
        <v>8346.5</v>
      </c>
      <c r="L326">
        <f t="shared" si="40"/>
        <v>8346.5</v>
      </c>
      <c r="M326">
        <f t="shared" si="41"/>
        <v>10.912000000000001</v>
      </c>
    </row>
    <row r="327" spans="1:13" x14ac:dyDescent="0.25">
      <c r="A327" s="1">
        <v>2458346.6890199999</v>
      </c>
      <c r="B327" s="1" t="s">
        <v>79</v>
      </c>
      <c r="C327" s="1">
        <v>10.92</v>
      </c>
      <c r="D327" s="1" t="s">
        <v>292</v>
      </c>
      <c r="E327" t="s">
        <v>100</v>
      </c>
      <c r="F327">
        <f t="shared" si="36"/>
        <v>8346.6890199999325</v>
      </c>
      <c r="G327">
        <f t="shared" si="37"/>
        <v>8346.7000000000007</v>
      </c>
      <c r="H327">
        <f t="shared" si="38"/>
        <v>10.92</v>
      </c>
      <c r="J327">
        <f t="shared" si="35"/>
        <v>8346.6890199999325</v>
      </c>
      <c r="K327">
        <f t="shared" si="39"/>
        <v>8346.5</v>
      </c>
      <c r="L327">
        <f t="shared" si="40"/>
        <v>8346.5</v>
      </c>
      <c r="M327">
        <f t="shared" si="41"/>
        <v>10.92</v>
      </c>
    </row>
    <row r="328" spans="1:13" x14ac:dyDescent="0.25">
      <c r="A328" s="1">
        <v>2458346.6944300001</v>
      </c>
      <c r="B328" s="1" t="s">
        <v>79</v>
      </c>
      <c r="C328" s="1">
        <v>10.904</v>
      </c>
      <c r="D328" s="1" t="s">
        <v>292</v>
      </c>
      <c r="E328" t="s">
        <v>100</v>
      </c>
      <c r="F328">
        <f t="shared" si="36"/>
        <v>8346.6944300001487</v>
      </c>
      <c r="G328">
        <f t="shared" si="37"/>
        <v>8346.7000000000007</v>
      </c>
      <c r="H328">
        <f t="shared" si="38"/>
        <v>10.904</v>
      </c>
      <c r="J328">
        <f t="shared" si="35"/>
        <v>8346.6944300001487</v>
      </c>
      <c r="K328">
        <f t="shared" si="39"/>
        <v>8346.5</v>
      </c>
      <c r="L328">
        <f t="shared" si="40"/>
        <v>8346.5</v>
      </c>
      <c r="M328">
        <f t="shared" si="41"/>
        <v>10.904</v>
      </c>
    </row>
    <row r="329" spans="1:13" x14ac:dyDescent="0.25">
      <c r="A329" s="1">
        <v>2458346.6998600001</v>
      </c>
      <c r="B329" s="1" t="s">
        <v>79</v>
      </c>
      <c r="C329" s="1">
        <v>10.92</v>
      </c>
      <c r="D329" s="1" t="s">
        <v>292</v>
      </c>
      <c r="E329" t="s">
        <v>100</v>
      </c>
      <c r="F329">
        <f t="shared" si="36"/>
        <v>8346.6998600000516</v>
      </c>
      <c r="G329">
        <f t="shared" si="37"/>
        <v>8346.7000000000007</v>
      </c>
      <c r="H329">
        <f t="shared" si="38"/>
        <v>10.92</v>
      </c>
      <c r="J329">
        <f t="shared" si="35"/>
        <v>8346.6998600000516</v>
      </c>
      <c r="K329">
        <f t="shared" si="39"/>
        <v>8346.5</v>
      </c>
      <c r="L329">
        <f t="shared" si="40"/>
        <v>8346.5</v>
      </c>
      <c r="M329">
        <f t="shared" si="41"/>
        <v>10.92</v>
      </c>
    </row>
    <row r="330" spans="1:13" x14ac:dyDescent="0.25">
      <c r="A330" s="1">
        <v>2458346.7053</v>
      </c>
      <c r="B330" s="1" t="s">
        <v>79</v>
      </c>
      <c r="C330" s="1">
        <v>10.906000000000001</v>
      </c>
      <c r="D330" s="1" t="s">
        <v>292</v>
      </c>
      <c r="E330" t="s">
        <v>100</v>
      </c>
      <c r="F330">
        <f t="shared" si="36"/>
        <v>8346.7053000000305</v>
      </c>
      <c r="G330">
        <f t="shared" si="37"/>
        <v>8346.7000000000007</v>
      </c>
      <c r="H330">
        <f t="shared" si="38"/>
        <v>10.906000000000001</v>
      </c>
      <c r="J330">
        <f t="shared" si="35"/>
        <v>8346.7053000000305</v>
      </c>
      <c r="K330">
        <f t="shared" si="39"/>
        <v>8346.5</v>
      </c>
      <c r="L330">
        <f t="shared" si="40"/>
        <v>8346.5</v>
      </c>
      <c r="M330">
        <f t="shared" si="41"/>
        <v>10.906000000000001</v>
      </c>
    </row>
    <row r="331" spans="1:13" x14ac:dyDescent="0.25">
      <c r="A331" s="1">
        <v>2458346.71074</v>
      </c>
      <c r="B331" s="1" t="s">
        <v>79</v>
      </c>
      <c r="C331" s="1">
        <v>10.906000000000001</v>
      </c>
      <c r="D331" s="1" t="s">
        <v>292</v>
      </c>
      <c r="E331" t="s">
        <v>100</v>
      </c>
      <c r="F331">
        <f t="shared" si="36"/>
        <v>8346.7107400000095</v>
      </c>
      <c r="G331">
        <f t="shared" si="37"/>
        <v>8346.7000000000007</v>
      </c>
      <c r="H331">
        <f t="shared" si="38"/>
        <v>10.906000000000001</v>
      </c>
      <c r="J331">
        <f t="shared" si="35"/>
        <v>8346.7107400000095</v>
      </c>
      <c r="K331">
        <f t="shared" si="39"/>
        <v>8346.5</v>
      </c>
      <c r="L331">
        <f t="shared" si="40"/>
        <v>8346.5</v>
      </c>
      <c r="M331">
        <f t="shared" si="41"/>
        <v>10.906000000000001</v>
      </c>
    </row>
    <row r="332" spans="1:13" x14ac:dyDescent="0.25">
      <c r="A332" s="1">
        <v>2458346.7161599998</v>
      </c>
      <c r="B332" s="1" t="s">
        <v>79</v>
      </c>
      <c r="C332" s="1">
        <v>10.903</v>
      </c>
      <c r="D332" s="1" t="s">
        <v>292</v>
      </c>
      <c r="E332" t="s">
        <v>100</v>
      </c>
      <c r="F332">
        <f t="shared" si="36"/>
        <v>8346.7161599998362</v>
      </c>
      <c r="G332">
        <f t="shared" si="37"/>
        <v>8346.7000000000007</v>
      </c>
      <c r="H332">
        <f t="shared" si="38"/>
        <v>10.903</v>
      </c>
      <c r="J332">
        <f t="shared" si="35"/>
        <v>8346.7161599998362</v>
      </c>
      <c r="K332">
        <f t="shared" si="39"/>
        <v>8346.5</v>
      </c>
      <c r="L332">
        <f t="shared" si="40"/>
        <v>8346.5</v>
      </c>
      <c r="M332">
        <f t="shared" si="41"/>
        <v>10.903</v>
      </c>
    </row>
    <row r="333" spans="1:13" x14ac:dyDescent="0.25">
      <c r="A333" s="1">
        <v>2458346.7216099999</v>
      </c>
      <c r="B333" s="1" t="s">
        <v>79</v>
      </c>
      <c r="C333" s="1">
        <v>10.903</v>
      </c>
      <c r="D333" s="1" t="s">
        <v>292</v>
      </c>
      <c r="E333" t="s">
        <v>100</v>
      </c>
      <c r="F333">
        <f t="shared" si="36"/>
        <v>8346.7216099998914</v>
      </c>
      <c r="G333">
        <f t="shared" si="37"/>
        <v>8346.7000000000007</v>
      </c>
      <c r="H333">
        <f t="shared" si="38"/>
        <v>10.903</v>
      </c>
      <c r="J333">
        <f t="shared" si="35"/>
        <v>8346.7216099998914</v>
      </c>
      <c r="K333">
        <f t="shared" si="39"/>
        <v>8346.5</v>
      </c>
      <c r="L333">
        <f t="shared" si="40"/>
        <v>8346.5</v>
      </c>
      <c r="M333">
        <f t="shared" si="41"/>
        <v>10.903</v>
      </c>
    </row>
    <row r="334" spans="1:13" x14ac:dyDescent="0.25">
      <c r="A334" s="1">
        <v>2458346.7270399998</v>
      </c>
      <c r="B334" s="1" t="s">
        <v>79</v>
      </c>
      <c r="C334" s="1">
        <v>10.901</v>
      </c>
      <c r="D334" s="1" t="s">
        <v>292</v>
      </c>
      <c r="E334" t="s">
        <v>100</v>
      </c>
      <c r="F334">
        <f t="shared" si="36"/>
        <v>8346.7270399997942</v>
      </c>
      <c r="G334">
        <f t="shared" si="37"/>
        <v>8346.7000000000007</v>
      </c>
      <c r="H334">
        <f t="shared" si="38"/>
        <v>10.901</v>
      </c>
      <c r="J334">
        <f t="shared" si="35"/>
        <v>8346.7270399997942</v>
      </c>
      <c r="K334">
        <f t="shared" si="39"/>
        <v>8346.5</v>
      </c>
      <c r="L334">
        <f t="shared" si="40"/>
        <v>8346.5</v>
      </c>
      <c r="M334">
        <f t="shared" si="41"/>
        <v>10.901</v>
      </c>
    </row>
    <row r="335" spans="1:13" x14ac:dyDescent="0.25">
      <c r="A335" s="1">
        <v>2458346.7324700002</v>
      </c>
      <c r="B335" s="1" t="s">
        <v>79</v>
      </c>
      <c r="C335" s="1">
        <v>10.895</v>
      </c>
      <c r="D335" s="1" t="s">
        <v>292</v>
      </c>
      <c r="E335" t="s">
        <v>100</v>
      </c>
      <c r="F335">
        <f t="shared" si="36"/>
        <v>8346.7324700001627</v>
      </c>
      <c r="G335">
        <f t="shared" si="37"/>
        <v>8346.7000000000007</v>
      </c>
      <c r="H335">
        <f t="shared" si="38"/>
        <v>10.895</v>
      </c>
      <c r="J335">
        <f t="shared" si="35"/>
        <v>8346.7324700001627</v>
      </c>
      <c r="K335">
        <f t="shared" si="39"/>
        <v>8346.5</v>
      </c>
      <c r="L335">
        <f t="shared" si="40"/>
        <v>8346.5</v>
      </c>
      <c r="M335">
        <f t="shared" si="41"/>
        <v>10.895</v>
      </c>
    </row>
    <row r="336" spans="1:13" x14ac:dyDescent="0.25">
      <c r="A336" s="1">
        <v>2458346.73789</v>
      </c>
      <c r="B336" s="1" t="s">
        <v>79</v>
      </c>
      <c r="C336" s="1">
        <v>10.901999999999999</v>
      </c>
      <c r="D336" s="1" t="s">
        <v>292</v>
      </c>
      <c r="E336" t="s">
        <v>100</v>
      </c>
      <c r="F336">
        <f t="shared" si="36"/>
        <v>8346.7378899999894</v>
      </c>
      <c r="G336">
        <f t="shared" si="37"/>
        <v>8346.7000000000007</v>
      </c>
      <c r="H336">
        <f t="shared" si="38"/>
        <v>10.901999999999999</v>
      </c>
      <c r="J336">
        <f t="shared" si="35"/>
        <v>8346.7378899999894</v>
      </c>
      <c r="K336">
        <f t="shared" si="39"/>
        <v>8346.5</v>
      </c>
      <c r="L336">
        <f t="shared" si="40"/>
        <v>8346.5</v>
      </c>
      <c r="M336">
        <f t="shared" si="41"/>
        <v>10.901999999999999</v>
      </c>
    </row>
    <row r="337" spans="1:13" x14ac:dyDescent="0.25">
      <c r="A337" s="1">
        <v>2458346.7481800001</v>
      </c>
      <c r="B337" s="1" t="s">
        <v>79</v>
      </c>
      <c r="C337" s="1">
        <v>10.917999999999999</v>
      </c>
      <c r="D337" s="1" t="s">
        <v>292</v>
      </c>
      <c r="E337" t="s">
        <v>100</v>
      </c>
      <c r="F337">
        <f t="shared" si="36"/>
        <v>8346.7481800001115</v>
      </c>
      <c r="G337">
        <f t="shared" si="37"/>
        <v>8346.7000000000007</v>
      </c>
      <c r="H337">
        <f t="shared" si="38"/>
        <v>10.917999999999999</v>
      </c>
      <c r="J337">
        <f t="shared" si="35"/>
        <v>8346.7481800001115</v>
      </c>
      <c r="K337">
        <f t="shared" si="39"/>
        <v>8346.5</v>
      </c>
      <c r="L337">
        <f t="shared" si="40"/>
        <v>8346.5</v>
      </c>
      <c r="M337">
        <f t="shared" si="41"/>
        <v>10.917999999999999</v>
      </c>
    </row>
    <row r="338" spans="1:13" x14ac:dyDescent="0.25">
      <c r="A338" s="1">
        <v>2458346.75361</v>
      </c>
      <c r="B338" s="1" t="s">
        <v>79</v>
      </c>
      <c r="C338" s="1">
        <v>10.914999999999999</v>
      </c>
      <c r="D338" s="1" t="s">
        <v>292</v>
      </c>
      <c r="E338" t="s">
        <v>100</v>
      </c>
      <c r="F338">
        <f t="shared" si="36"/>
        <v>8346.7536100000143</v>
      </c>
      <c r="G338">
        <f t="shared" si="37"/>
        <v>8346.7999999999993</v>
      </c>
      <c r="H338">
        <f t="shared" si="38"/>
        <v>10.914999999999999</v>
      </c>
      <c r="J338">
        <f t="shared" si="35"/>
        <v>8346.7536100000143</v>
      </c>
      <c r="K338">
        <f t="shared" si="39"/>
        <v>8346.75</v>
      </c>
      <c r="L338">
        <f t="shared" si="40"/>
        <v>8346.75</v>
      </c>
      <c r="M338">
        <f t="shared" si="41"/>
        <v>10.914999999999999</v>
      </c>
    </row>
    <row r="339" spans="1:13" x14ac:dyDescent="0.25">
      <c r="A339" s="1">
        <v>2458346.7590600001</v>
      </c>
      <c r="B339" s="1" t="s">
        <v>79</v>
      </c>
      <c r="C339" s="1">
        <v>10.913</v>
      </c>
      <c r="D339" s="1" t="s">
        <v>292</v>
      </c>
      <c r="E339" t="s">
        <v>100</v>
      </c>
      <c r="F339">
        <f t="shared" si="36"/>
        <v>8346.7590600000694</v>
      </c>
      <c r="G339">
        <f t="shared" si="37"/>
        <v>8346.7999999999993</v>
      </c>
      <c r="H339">
        <f t="shared" si="38"/>
        <v>10.913</v>
      </c>
      <c r="J339">
        <f t="shared" si="35"/>
        <v>8346.7590600000694</v>
      </c>
      <c r="K339">
        <f t="shared" si="39"/>
        <v>8346.75</v>
      </c>
      <c r="L339">
        <f t="shared" si="40"/>
        <v>8346.75</v>
      </c>
      <c r="M339">
        <f t="shared" si="41"/>
        <v>10.913</v>
      </c>
    </row>
    <row r="340" spans="1:13" x14ac:dyDescent="0.25">
      <c r="A340" s="1">
        <v>2458346.7644799999</v>
      </c>
      <c r="B340" s="1" t="s">
        <v>79</v>
      </c>
      <c r="C340" s="1">
        <v>10.916</v>
      </c>
      <c r="D340" s="1" t="s">
        <v>292</v>
      </c>
      <c r="E340" t="s">
        <v>100</v>
      </c>
      <c r="F340">
        <f t="shared" si="36"/>
        <v>8346.7644799998961</v>
      </c>
      <c r="G340">
        <f t="shared" si="37"/>
        <v>8346.7999999999993</v>
      </c>
      <c r="H340">
        <f t="shared" si="38"/>
        <v>10.916</v>
      </c>
      <c r="J340">
        <f t="shared" si="35"/>
        <v>8346.7644799998961</v>
      </c>
      <c r="K340">
        <f t="shared" si="39"/>
        <v>8346.75</v>
      </c>
      <c r="L340">
        <f t="shared" si="40"/>
        <v>8346.75</v>
      </c>
      <c r="M340">
        <f t="shared" si="41"/>
        <v>10.916</v>
      </c>
    </row>
    <row r="341" spans="1:13" x14ac:dyDescent="0.25">
      <c r="A341" s="1">
        <v>2458346.76993</v>
      </c>
      <c r="B341" s="1" t="s">
        <v>79</v>
      </c>
      <c r="C341" s="1">
        <v>10.919</v>
      </c>
      <c r="D341" s="1" t="s">
        <v>292</v>
      </c>
      <c r="E341" t="s">
        <v>100</v>
      </c>
      <c r="F341">
        <f t="shared" si="36"/>
        <v>8346.7699299999513</v>
      </c>
      <c r="G341">
        <f t="shared" si="37"/>
        <v>8346.7999999999993</v>
      </c>
      <c r="H341">
        <f t="shared" si="38"/>
        <v>10.919</v>
      </c>
      <c r="J341">
        <f t="shared" si="35"/>
        <v>8346.7699299999513</v>
      </c>
      <c r="K341">
        <f t="shared" si="39"/>
        <v>8346.75</v>
      </c>
      <c r="L341">
        <f t="shared" si="40"/>
        <v>8346.75</v>
      </c>
      <c r="M341">
        <f t="shared" si="41"/>
        <v>10.919</v>
      </c>
    </row>
    <row r="342" spans="1:13" x14ac:dyDescent="0.25">
      <c r="A342" s="1">
        <v>2458346.77538</v>
      </c>
      <c r="B342" s="1" t="s">
        <v>79</v>
      </c>
      <c r="C342" s="1">
        <v>10.894</v>
      </c>
      <c r="D342" s="1" t="s">
        <v>292</v>
      </c>
      <c r="E342" t="s">
        <v>100</v>
      </c>
      <c r="F342">
        <f t="shared" si="36"/>
        <v>8346.7753800000064</v>
      </c>
      <c r="G342">
        <f t="shared" si="37"/>
        <v>8346.7999999999993</v>
      </c>
      <c r="H342">
        <f t="shared" si="38"/>
        <v>10.894</v>
      </c>
      <c r="J342">
        <f t="shared" si="35"/>
        <v>8346.7753800000064</v>
      </c>
      <c r="K342">
        <f t="shared" si="39"/>
        <v>8346.75</v>
      </c>
      <c r="L342">
        <f t="shared" si="40"/>
        <v>8346.75</v>
      </c>
      <c r="M342">
        <f t="shared" si="41"/>
        <v>10.894</v>
      </c>
    </row>
    <row r="343" spans="1:13" x14ac:dyDescent="0.25">
      <c r="A343" s="1">
        <v>2458346.7807999998</v>
      </c>
      <c r="B343" s="1" t="s">
        <v>79</v>
      </c>
      <c r="C343" s="1">
        <v>10.896000000000001</v>
      </c>
      <c r="D343" s="1" t="s">
        <v>292</v>
      </c>
      <c r="E343" t="s">
        <v>100</v>
      </c>
      <c r="F343">
        <f t="shared" si="36"/>
        <v>8346.7807999998331</v>
      </c>
      <c r="G343">
        <f t="shared" si="37"/>
        <v>8346.7999999999993</v>
      </c>
      <c r="H343">
        <f t="shared" si="38"/>
        <v>10.896000000000001</v>
      </c>
      <c r="J343">
        <f t="shared" si="35"/>
        <v>8346.7807999998331</v>
      </c>
      <c r="K343">
        <f t="shared" si="39"/>
        <v>8346.75</v>
      </c>
      <c r="L343">
        <f t="shared" si="40"/>
        <v>8346.75</v>
      </c>
      <c r="M343">
        <f t="shared" si="41"/>
        <v>10.896000000000001</v>
      </c>
    </row>
    <row r="344" spans="1:13" x14ac:dyDescent="0.25">
      <c r="A344" s="1">
        <v>2458346.7862399998</v>
      </c>
      <c r="B344" s="1" t="s">
        <v>79</v>
      </c>
      <c r="C344" s="1">
        <v>10.904999999999999</v>
      </c>
      <c r="D344" s="1" t="s">
        <v>292</v>
      </c>
      <c r="E344" t="s">
        <v>100</v>
      </c>
      <c r="F344">
        <f t="shared" si="36"/>
        <v>8346.7862399998121</v>
      </c>
      <c r="G344">
        <f t="shared" si="37"/>
        <v>8346.7999999999993</v>
      </c>
      <c r="H344">
        <f t="shared" si="38"/>
        <v>10.904999999999999</v>
      </c>
      <c r="J344">
        <f t="shared" si="35"/>
        <v>8346.7862399998121</v>
      </c>
      <c r="K344">
        <f t="shared" si="39"/>
        <v>8346.75</v>
      </c>
      <c r="L344">
        <f t="shared" si="40"/>
        <v>8346.75</v>
      </c>
      <c r="M344">
        <f t="shared" si="41"/>
        <v>10.904999999999999</v>
      </c>
    </row>
    <row r="345" spans="1:13" x14ac:dyDescent="0.25">
      <c r="A345" s="1">
        <v>2458346.7916899999</v>
      </c>
      <c r="B345" s="1" t="s">
        <v>79</v>
      </c>
      <c r="C345" s="1">
        <v>10.9</v>
      </c>
      <c r="D345" s="1" t="s">
        <v>292</v>
      </c>
      <c r="E345" t="s">
        <v>100</v>
      </c>
      <c r="F345">
        <f t="shared" si="36"/>
        <v>8346.7916899998672</v>
      </c>
      <c r="G345">
        <f t="shared" si="37"/>
        <v>8346.7999999999993</v>
      </c>
      <c r="H345">
        <f t="shared" si="38"/>
        <v>10.9</v>
      </c>
      <c r="J345">
        <f t="shared" ref="J345:J408" si="42">+F345</f>
        <v>8346.7916899998672</v>
      </c>
      <c r="K345">
        <f t="shared" si="39"/>
        <v>8346.75</v>
      </c>
      <c r="L345">
        <f t="shared" si="40"/>
        <v>8346.75</v>
      </c>
      <c r="M345">
        <f t="shared" si="41"/>
        <v>10.9</v>
      </c>
    </row>
    <row r="346" spans="1:13" x14ac:dyDescent="0.25">
      <c r="A346" s="1">
        <v>2458346.7971199998</v>
      </c>
      <c r="B346" s="1" t="s">
        <v>79</v>
      </c>
      <c r="C346" s="1">
        <v>10.9</v>
      </c>
      <c r="D346" s="1" t="s">
        <v>292</v>
      </c>
      <c r="E346" t="s">
        <v>100</v>
      </c>
      <c r="F346">
        <f t="shared" si="36"/>
        <v>8346.7971199997701</v>
      </c>
      <c r="G346">
        <f t="shared" si="37"/>
        <v>8346.7999999999993</v>
      </c>
      <c r="H346">
        <f t="shared" si="38"/>
        <v>10.9</v>
      </c>
      <c r="J346">
        <f t="shared" si="42"/>
        <v>8346.7971199997701</v>
      </c>
      <c r="K346">
        <f t="shared" si="39"/>
        <v>8346.75</v>
      </c>
      <c r="L346">
        <f t="shared" si="40"/>
        <v>8346.75</v>
      </c>
      <c r="M346">
        <f t="shared" si="41"/>
        <v>10.9</v>
      </c>
    </row>
    <row r="347" spans="1:13" x14ac:dyDescent="0.25">
      <c r="A347" s="1">
        <v>2458346.80253</v>
      </c>
      <c r="B347" s="1" t="s">
        <v>79</v>
      </c>
      <c r="C347" s="1">
        <v>10.903</v>
      </c>
      <c r="D347" s="1" t="s">
        <v>292</v>
      </c>
      <c r="E347" t="s">
        <v>100</v>
      </c>
      <c r="F347">
        <f t="shared" si="36"/>
        <v>8346.8025299999863</v>
      </c>
      <c r="G347">
        <f t="shared" si="37"/>
        <v>8346.7999999999993</v>
      </c>
      <c r="H347">
        <f t="shared" si="38"/>
        <v>10.903</v>
      </c>
      <c r="J347">
        <f t="shared" si="42"/>
        <v>8346.8025299999863</v>
      </c>
      <c r="K347">
        <f t="shared" si="39"/>
        <v>8346.75</v>
      </c>
      <c r="L347">
        <f t="shared" si="40"/>
        <v>8346.75</v>
      </c>
      <c r="M347">
        <f t="shared" si="41"/>
        <v>10.903</v>
      </c>
    </row>
    <row r="348" spans="1:13" x14ac:dyDescent="0.25">
      <c r="A348" s="1">
        <v>2458346.8079599999</v>
      </c>
      <c r="B348" s="1" t="s">
        <v>79</v>
      </c>
      <c r="C348" s="1">
        <v>10.907</v>
      </c>
      <c r="D348" s="1" t="s">
        <v>292</v>
      </c>
      <c r="E348" t="s">
        <v>100</v>
      </c>
      <c r="F348">
        <f t="shared" si="36"/>
        <v>8346.8079599998891</v>
      </c>
      <c r="G348">
        <f t="shared" si="37"/>
        <v>8346.7999999999993</v>
      </c>
      <c r="H348">
        <f t="shared" si="38"/>
        <v>10.907</v>
      </c>
      <c r="J348">
        <f t="shared" si="42"/>
        <v>8346.8079599998891</v>
      </c>
      <c r="K348">
        <f t="shared" si="39"/>
        <v>8346.75</v>
      </c>
      <c r="L348">
        <f t="shared" si="40"/>
        <v>8346.75</v>
      </c>
      <c r="M348">
        <f t="shared" si="41"/>
        <v>10.907</v>
      </c>
    </row>
    <row r="349" spans="1:13" x14ac:dyDescent="0.25">
      <c r="A349" s="1">
        <v>2458346.8133800002</v>
      </c>
      <c r="B349" s="1" t="s">
        <v>79</v>
      </c>
      <c r="C349" s="1">
        <v>10.898999999999999</v>
      </c>
      <c r="D349" s="1" t="s">
        <v>292</v>
      </c>
      <c r="E349" t="s">
        <v>100</v>
      </c>
      <c r="F349">
        <f t="shared" si="36"/>
        <v>8346.8133800001815</v>
      </c>
      <c r="G349">
        <f t="shared" si="37"/>
        <v>8346.7999999999993</v>
      </c>
      <c r="H349">
        <f t="shared" si="38"/>
        <v>10.898999999999999</v>
      </c>
      <c r="J349">
        <f t="shared" si="42"/>
        <v>8346.8133800001815</v>
      </c>
      <c r="K349">
        <f t="shared" si="39"/>
        <v>8346.75</v>
      </c>
      <c r="L349">
        <f t="shared" si="40"/>
        <v>8346.75</v>
      </c>
      <c r="M349">
        <f t="shared" si="41"/>
        <v>10.898999999999999</v>
      </c>
    </row>
    <row r="350" spans="1:13" x14ac:dyDescent="0.25">
      <c r="A350" s="1">
        <v>2458346.8188100001</v>
      </c>
      <c r="B350" s="1" t="s">
        <v>79</v>
      </c>
      <c r="C350" s="1">
        <v>10.913</v>
      </c>
      <c r="D350" s="1" t="s">
        <v>292</v>
      </c>
      <c r="E350" t="s">
        <v>100</v>
      </c>
      <c r="F350">
        <f t="shared" si="36"/>
        <v>8346.8188100000843</v>
      </c>
      <c r="G350">
        <f t="shared" si="37"/>
        <v>8346.7999999999993</v>
      </c>
      <c r="H350">
        <f t="shared" si="38"/>
        <v>10.913</v>
      </c>
      <c r="J350">
        <f t="shared" si="42"/>
        <v>8346.8188100000843</v>
      </c>
      <c r="K350">
        <f t="shared" si="39"/>
        <v>8346.75</v>
      </c>
      <c r="L350">
        <f t="shared" si="40"/>
        <v>8346.75</v>
      </c>
      <c r="M350">
        <f t="shared" si="41"/>
        <v>10.913</v>
      </c>
    </row>
    <row r="351" spans="1:13" x14ac:dyDescent="0.25">
      <c r="A351" s="1">
        <v>2458346.8276999998</v>
      </c>
      <c r="B351" s="1" t="s">
        <v>79</v>
      </c>
      <c r="C351" s="1">
        <v>10.92</v>
      </c>
      <c r="D351" s="1" t="s">
        <v>292</v>
      </c>
      <c r="E351" t="s">
        <v>100</v>
      </c>
      <c r="F351">
        <f t="shared" si="36"/>
        <v>8346.8276999997906</v>
      </c>
      <c r="G351">
        <f t="shared" si="37"/>
        <v>8346.7999999999993</v>
      </c>
      <c r="H351">
        <f t="shared" si="38"/>
        <v>10.92</v>
      </c>
      <c r="J351">
        <f t="shared" si="42"/>
        <v>8346.8276999997906</v>
      </c>
      <c r="K351">
        <f t="shared" si="39"/>
        <v>8346.75</v>
      </c>
      <c r="L351">
        <f t="shared" si="40"/>
        <v>8346.75</v>
      </c>
      <c r="M351">
        <f t="shared" si="41"/>
        <v>10.92</v>
      </c>
    </row>
    <row r="352" spans="1:13" x14ac:dyDescent="0.25">
      <c r="A352" s="1">
        <v>2458346.8331399998</v>
      </c>
      <c r="B352" s="1" t="s">
        <v>79</v>
      </c>
      <c r="C352" s="1">
        <v>10.917999999999999</v>
      </c>
      <c r="D352" s="1" t="s">
        <v>292</v>
      </c>
      <c r="E352" t="s">
        <v>100</v>
      </c>
      <c r="F352">
        <f t="shared" si="36"/>
        <v>8346.8331399997696</v>
      </c>
      <c r="G352">
        <f t="shared" si="37"/>
        <v>8346.7999999999993</v>
      </c>
      <c r="H352">
        <f t="shared" si="38"/>
        <v>10.917999999999999</v>
      </c>
      <c r="J352">
        <f t="shared" si="42"/>
        <v>8346.8331399997696</v>
      </c>
      <c r="K352">
        <f t="shared" si="39"/>
        <v>8346.75</v>
      </c>
      <c r="L352">
        <f t="shared" si="40"/>
        <v>8346.75</v>
      </c>
      <c r="M352">
        <f t="shared" si="41"/>
        <v>10.917999999999999</v>
      </c>
    </row>
    <row r="353" spans="1:13" x14ac:dyDescent="0.25">
      <c r="A353" s="1">
        <v>2458346.8385800002</v>
      </c>
      <c r="B353" s="1" t="s">
        <v>79</v>
      </c>
      <c r="C353" s="1">
        <v>10.917</v>
      </c>
      <c r="D353" s="1" t="s">
        <v>292</v>
      </c>
      <c r="E353" t="s">
        <v>100</v>
      </c>
      <c r="F353">
        <f t="shared" si="36"/>
        <v>8346.8385800002143</v>
      </c>
      <c r="G353">
        <f t="shared" si="37"/>
        <v>8346.7999999999993</v>
      </c>
      <c r="H353">
        <f t="shared" si="38"/>
        <v>10.917</v>
      </c>
      <c r="J353">
        <f t="shared" si="42"/>
        <v>8346.8385800002143</v>
      </c>
      <c r="K353">
        <f t="shared" si="39"/>
        <v>8346.75</v>
      </c>
      <c r="L353">
        <f t="shared" si="40"/>
        <v>8346.75</v>
      </c>
      <c r="M353">
        <f t="shared" si="41"/>
        <v>10.917</v>
      </c>
    </row>
    <row r="354" spans="1:13" x14ac:dyDescent="0.25">
      <c r="A354" s="1">
        <v>2458346.8440200002</v>
      </c>
      <c r="B354" s="1" t="s">
        <v>79</v>
      </c>
      <c r="C354" s="1">
        <v>10.919</v>
      </c>
      <c r="D354" s="1" t="s">
        <v>292</v>
      </c>
      <c r="E354" t="s">
        <v>100</v>
      </c>
      <c r="F354">
        <f t="shared" si="36"/>
        <v>8346.8440200001933</v>
      </c>
      <c r="G354">
        <f t="shared" si="37"/>
        <v>8346.7999999999993</v>
      </c>
      <c r="H354">
        <f t="shared" si="38"/>
        <v>10.919</v>
      </c>
      <c r="J354">
        <f t="shared" si="42"/>
        <v>8346.8440200001933</v>
      </c>
      <c r="K354">
        <f t="shared" si="39"/>
        <v>8346.75</v>
      </c>
      <c r="L354">
        <f t="shared" si="40"/>
        <v>8346.75</v>
      </c>
      <c r="M354">
        <f t="shared" si="41"/>
        <v>10.919</v>
      </c>
    </row>
    <row r="355" spans="1:13" x14ac:dyDescent="0.25">
      <c r="A355" s="1">
        <v>2458346.84944</v>
      </c>
      <c r="B355" s="1" t="s">
        <v>79</v>
      </c>
      <c r="C355" s="1">
        <v>10.917</v>
      </c>
      <c r="D355" s="1" t="s">
        <v>292</v>
      </c>
      <c r="E355" t="s">
        <v>100</v>
      </c>
      <c r="F355">
        <f t="shared" si="36"/>
        <v>8346.84944000002</v>
      </c>
      <c r="G355">
        <f t="shared" si="37"/>
        <v>8346.7999999999993</v>
      </c>
      <c r="H355">
        <f t="shared" si="38"/>
        <v>10.917</v>
      </c>
      <c r="J355">
        <f t="shared" si="42"/>
        <v>8346.84944000002</v>
      </c>
      <c r="K355">
        <f t="shared" si="39"/>
        <v>8346.75</v>
      </c>
      <c r="L355">
        <f t="shared" si="40"/>
        <v>8346.75</v>
      </c>
      <c r="M355">
        <f t="shared" si="41"/>
        <v>10.917</v>
      </c>
    </row>
    <row r="356" spans="1:13" x14ac:dyDescent="0.25">
      <c r="A356" s="1">
        <v>2458346.85488</v>
      </c>
      <c r="B356" s="1" t="s">
        <v>79</v>
      </c>
      <c r="C356" s="1">
        <v>10.923</v>
      </c>
      <c r="D356" s="1" t="s">
        <v>292</v>
      </c>
      <c r="E356" t="s">
        <v>100</v>
      </c>
      <c r="F356">
        <f t="shared" si="36"/>
        <v>8346.854879999999</v>
      </c>
      <c r="G356">
        <f t="shared" si="37"/>
        <v>8346.9</v>
      </c>
      <c r="H356">
        <f t="shared" si="38"/>
        <v>10.923</v>
      </c>
      <c r="J356">
        <f t="shared" si="42"/>
        <v>8346.854879999999</v>
      </c>
      <c r="K356">
        <f t="shared" si="39"/>
        <v>8346.75</v>
      </c>
      <c r="L356">
        <f t="shared" si="40"/>
        <v>8346.75</v>
      </c>
      <c r="M356">
        <f t="shared" si="41"/>
        <v>10.923</v>
      </c>
    </row>
    <row r="357" spans="1:13" x14ac:dyDescent="0.25">
      <c r="A357" s="1">
        <v>2458346.8603099999</v>
      </c>
      <c r="B357" s="1" t="s">
        <v>79</v>
      </c>
      <c r="C357" s="1">
        <v>10.9</v>
      </c>
      <c r="D357" s="1" t="s">
        <v>292</v>
      </c>
      <c r="E357" t="s">
        <v>100</v>
      </c>
      <c r="F357">
        <f t="shared" si="36"/>
        <v>8346.8603099999018</v>
      </c>
      <c r="G357">
        <f t="shared" si="37"/>
        <v>8346.9</v>
      </c>
      <c r="H357">
        <f t="shared" si="38"/>
        <v>10.9</v>
      </c>
      <c r="J357">
        <f t="shared" si="42"/>
        <v>8346.8603099999018</v>
      </c>
      <c r="K357">
        <f t="shared" si="39"/>
        <v>8346.75</v>
      </c>
      <c r="L357">
        <f t="shared" si="40"/>
        <v>8346.75</v>
      </c>
      <c r="M357">
        <f t="shared" si="41"/>
        <v>10.9</v>
      </c>
    </row>
    <row r="358" spans="1:13" x14ac:dyDescent="0.25">
      <c r="A358" s="1">
        <v>2458346.8657399998</v>
      </c>
      <c r="B358" s="1" t="s">
        <v>79</v>
      </c>
      <c r="C358" s="1">
        <v>10.914999999999999</v>
      </c>
      <c r="D358" s="1" t="s">
        <v>292</v>
      </c>
      <c r="E358" t="s">
        <v>100</v>
      </c>
      <c r="F358">
        <f t="shared" si="36"/>
        <v>8346.8657399998046</v>
      </c>
      <c r="G358">
        <f t="shared" si="37"/>
        <v>8346.9</v>
      </c>
      <c r="H358">
        <f t="shared" si="38"/>
        <v>10.914999999999999</v>
      </c>
      <c r="J358">
        <f t="shared" si="42"/>
        <v>8346.8657399998046</v>
      </c>
      <c r="K358">
        <f t="shared" si="39"/>
        <v>8346.75</v>
      </c>
      <c r="L358">
        <f t="shared" si="40"/>
        <v>8346.75</v>
      </c>
      <c r="M358">
        <f t="shared" si="41"/>
        <v>10.914999999999999</v>
      </c>
    </row>
    <row r="359" spans="1:13" x14ac:dyDescent="0.25">
      <c r="A359" s="1">
        <v>2458346.8711799998</v>
      </c>
      <c r="B359" s="1" t="s">
        <v>79</v>
      </c>
      <c r="C359" s="1">
        <v>10.917999999999999</v>
      </c>
      <c r="D359" s="1" t="s">
        <v>292</v>
      </c>
      <c r="E359" t="s">
        <v>100</v>
      </c>
      <c r="F359">
        <f t="shared" si="36"/>
        <v>8346.8711799997836</v>
      </c>
      <c r="G359">
        <f t="shared" si="37"/>
        <v>8346.9</v>
      </c>
      <c r="H359">
        <f t="shared" si="38"/>
        <v>10.917999999999999</v>
      </c>
      <c r="J359">
        <f t="shared" si="42"/>
        <v>8346.8711799997836</v>
      </c>
      <c r="K359">
        <f t="shared" si="39"/>
        <v>8346.75</v>
      </c>
      <c r="L359">
        <f t="shared" si="40"/>
        <v>8346.75</v>
      </c>
      <c r="M359">
        <f t="shared" si="41"/>
        <v>10.917999999999999</v>
      </c>
    </row>
    <row r="360" spans="1:13" x14ac:dyDescent="0.25">
      <c r="A360" s="1">
        <v>2458346.8766100002</v>
      </c>
      <c r="B360" s="1" t="s">
        <v>79</v>
      </c>
      <c r="C360" s="1">
        <v>10.875</v>
      </c>
      <c r="D360" s="1" t="s">
        <v>292</v>
      </c>
      <c r="E360" t="s">
        <v>100</v>
      </c>
      <c r="F360">
        <f t="shared" si="36"/>
        <v>8346.8766100001521</v>
      </c>
      <c r="G360">
        <f t="shared" si="37"/>
        <v>8346.9</v>
      </c>
      <c r="H360">
        <f t="shared" si="38"/>
        <v>10.875</v>
      </c>
      <c r="J360">
        <f t="shared" si="42"/>
        <v>8346.8766100001521</v>
      </c>
      <c r="K360">
        <f t="shared" si="39"/>
        <v>8346.75</v>
      </c>
      <c r="L360">
        <f t="shared" si="40"/>
        <v>8346.75</v>
      </c>
      <c r="M360">
        <f t="shared" si="41"/>
        <v>10.875</v>
      </c>
    </row>
    <row r="361" spans="1:13" x14ac:dyDescent="0.25">
      <c r="A361" s="1">
        <v>2458346.8820400001</v>
      </c>
      <c r="B361" s="1" t="s">
        <v>79</v>
      </c>
      <c r="C361" s="1">
        <v>10.823</v>
      </c>
      <c r="D361" s="1" t="s">
        <v>292</v>
      </c>
      <c r="E361" t="s">
        <v>100</v>
      </c>
      <c r="F361">
        <f t="shared" si="36"/>
        <v>8346.882040000055</v>
      </c>
      <c r="G361">
        <f t="shared" si="37"/>
        <v>8346.9</v>
      </c>
      <c r="H361">
        <f t="shared" si="38"/>
        <v>10.823</v>
      </c>
      <c r="J361">
        <f t="shared" si="42"/>
        <v>8346.882040000055</v>
      </c>
      <c r="K361">
        <f t="shared" si="39"/>
        <v>8346.75</v>
      </c>
      <c r="L361">
        <f t="shared" si="40"/>
        <v>8346.75</v>
      </c>
      <c r="M361">
        <f t="shared" si="41"/>
        <v>10.823</v>
      </c>
    </row>
    <row r="362" spans="1:13" x14ac:dyDescent="0.25">
      <c r="A362" s="1">
        <v>2458347.3645799998</v>
      </c>
      <c r="B362" s="1" t="s">
        <v>79</v>
      </c>
      <c r="C362" s="1">
        <v>10.99</v>
      </c>
      <c r="D362" s="1" t="s">
        <v>292</v>
      </c>
      <c r="E362" t="s">
        <v>297</v>
      </c>
      <c r="F362">
        <f t="shared" si="36"/>
        <v>8347.3645799998194</v>
      </c>
      <c r="G362">
        <f t="shared" si="37"/>
        <v>8347.4</v>
      </c>
      <c r="H362">
        <f t="shared" si="38"/>
        <v>10.99</v>
      </c>
      <c r="J362">
        <f t="shared" si="42"/>
        <v>8347.3645799998194</v>
      </c>
      <c r="K362">
        <f t="shared" si="39"/>
        <v>8347.25</v>
      </c>
      <c r="L362">
        <f t="shared" si="40"/>
        <v>8347.25</v>
      </c>
      <c r="M362">
        <f t="shared" si="41"/>
        <v>10.99</v>
      </c>
    </row>
    <row r="363" spans="1:13" x14ac:dyDescent="0.25">
      <c r="A363" s="1">
        <v>2458347.3736200002</v>
      </c>
      <c r="B363" s="1" t="s">
        <v>79</v>
      </c>
      <c r="C363" s="1">
        <v>10.848000000000001</v>
      </c>
      <c r="D363" s="1" t="s">
        <v>292</v>
      </c>
      <c r="E363" t="s">
        <v>2</v>
      </c>
      <c r="F363">
        <f t="shared" si="36"/>
        <v>8347.3736200002022</v>
      </c>
      <c r="G363">
        <f t="shared" si="37"/>
        <v>8347.4</v>
      </c>
      <c r="H363">
        <f t="shared" si="38"/>
        <v>10.848000000000001</v>
      </c>
      <c r="J363">
        <f t="shared" si="42"/>
        <v>8347.3736200002022</v>
      </c>
      <c r="K363">
        <f t="shared" si="39"/>
        <v>8347.25</v>
      </c>
      <c r="L363">
        <f t="shared" si="40"/>
        <v>8347.25</v>
      </c>
      <c r="M363">
        <f t="shared" si="41"/>
        <v>10.848000000000001</v>
      </c>
    </row>
    <row r="364" spans="1:13" x14ac:dyDescent="0.25">
      <c r="A364" s="1">
        <v>2458349.5223599998</v>
      </c>
      <c r="B364" s="1" t="s">
        <v>80</v>
      </c>
      <c r="C364" s="1">
        <v>10.864000000000001</v>
      </c>
      <c r="D364" s="1" t="s">
        <v>292</v>
      </c>
      <c r="E364" t="s">
        <v>94</v>
      </c>
      <c r="F364">
        <f t="shared" si="36"/>
        <v>8349.522359999828</v>
      </c>
      <c r="G364">
        <f t="shared" si="37"/>
        <v>8349.5</v>
      </c>
      <c r="H364">
        <f t="shared" si="38"/>
        <v>10.864000000000001</v>
      </c>
      <c r="J364">
        <f t="shared" si="42"/>
        <v>8349.522359999828</v>
      </c>
      <c r="K364">
        <f t="shared" si="39"/>
        <v>8349.5</v>
      </c>
      <c r="L364">
        <f t="shared" si="40"/>
        <v>8349.5</v>
      </c>
      <c r="M364">
        <f t="shared" si="41"/>
        <v>10.864000000000001</v>
      </c>
    </row>
    <row r="365" spans="1:13" x14ac:dyDescent="0.25">
      <c r="A365" s="1">
        <v>2458349.5225800001</v>
      </c>
      <c r="B365" s="1" t="s">
        <v>80</v>
      </c>
      <c r="C365" s="1">
        <v>10.867000000000001</v>
      </c>
      <c r="D365" s="1" t="s">
        <v>292</v>
      </c>
      <c r="E365" t="s">
        <v>94</v>
      </c>
      <c r="F365">
        <f t="shared" si="36"/>
        <v>8349.5225800001062</v>
      </c>
      <c r="G365">
        <f t="shared" si="37"/>
        <v>8349.5</v>
      </c>
      <c r="H365">
        <f t="shared" si="38"/>
        <v>10.867000000000001</v>
      </c>
      <c r="J365">
        <f t="shared" si="42"/>
        <v>8349.5225800001062</v>
      </c>
      <c r="K365">
        <f t="shared" si="39"/>
        <v>8349.5</v>
      </c>
      <c r="L365">
        <f t="shared" si="40"/>
        <v>8349.5</v>
      </c>
      <c r="M365">
        <f t="shared" si="41"/>
        <v>10.867000000000001</v>
      </c>
    </row>
    <row r="366" spans="1:13" x14ac:dyDescent="0.25">
      <c r="A366" s="1">
        <v>2458350.5195399998</v>
      </c>
      <c r="B366" s="1" t="s">
        <v>81</v>
      </c>
      <c r="C366" s="1">
        <v>10.86</v>
      </c>
      <c r="D366" s="1" t="s">
        <v>292</v>
      </c>
      <c r="E366" t="s">
        <v>94</v>
      </c>
      <c r="F366">
        <f t="shared" si="36"/>
        <v>8350.5195399997756</v>
      </c>
      <c r="G366">
        <f t="shared" si="37"/>
        <v>8350.5</v>
      </c>
      <c r="H366">
        <f t="shared" si="38"/>
        <v>10.86</v>
      </c>
      <c r="J366">
        <f t="shared" si="42"/>
        <v>8350.5195399997756</v>
      </c>
      <c r="K366">
        <f t="shared" si="39"/>
        <v>8350.5</v>
      </c>
      <c r="L366">
        <f t="shared" si="40"/>
        <v>8350.5</v>
      </c>
      <c r="M366">
        <f t="shared" si="41"/>
        <v>10.86</v>
      </c>
    </row>
    <row r="367" spans="1:13" x14ac:dyDescent="0.25">
      <c r="A367" s="1">
        <v>2458350.51975</v>
      </c>
      <c r="B367" s="1" t="s">
        <v>81</v>
      </c>
      <c r="C367" s="1">
        <v>10.872</v>
      </c>
      <c r="D367" s="1" t="s">
        <v>292</v>
      </c>
      <c r="E367" t="s">
        <v>94</v>
      </c>
      <c r="F367">
        <f t="shared" si="36"/>
        <v>8350.5197499999776</v>
      </c>
      <c r="G367">
        <f t="shared" si="37"/>
        <v>8350.5</v>
      </c>
      <c r="H367">
        <f t="shared" si="38"/>
        <v>10.872</v>
      </c>
      <c r="J367">
        <f t="shared" si="42"/>
        <v>8350.5197499999776</v>
      </c>
      <c r="K367">
        <f t="shared" si="39"/>
        <v>8350.5</v>
      </c>
      <c r="L367">
        <f t="shared" si="40"/>
        <v>8350.5</v>
      </c>
      <c r="M367">
        <f t="shared" si="41"/>
        <v>10.872</v>
      </c>
    </row>
    <row r="368" spans="1:13" x14ac:dyDescent="0.25">
      <c r="A368" s="1">
        <v>2458351.5167399999</v>
      </c>
      <c r="B368" s="1" t="s">
        <v>82</v>
      </c>
      <c r="C368" s="1">
        <v>10.904</v>
      </c>
      <c r="D368" s="1" t="s">
        <v>292</v>
      </c>
      <c r="E368" t="s">
        <v>94</v>
      </c>
      <c r="F368">
        <f t="shared" si="36"/>
        <v>8351.5167399998754</v>
      </c>
      <c r="G368">
        <f t="shared" si="37"/>
        <v>8351.5</v>
      </c>
      <c r="H368">
        <f t="shared" si="38"/>
        <v>10.904</v>
      </c>
      <c r="J368">
        <f t="shared" si="42"/>
        <v>8351.5167399998754</v>
      </c>
      <c r="K368">
        <f t="shared" si="39"/>
        <v>8351.5</v>
      </c>
      <c r="L368">
        <f t="shared" si="40"/>
        <v>8351.5</v>
      </c>
      <c r="M368">
        <f t="shared" si="41"/>
        <v>10.904</v>
      </c>
    </row>
    <row r="369" spans="1:13" x14ac:dyDescent="0.25">
      <c r="A369" s="1">
        <v>2458351.5169600002</v>
      </c>
      <c r="B369" s="1" t="s">
        <v>82</v>
      </c>
      <c r="C369" s="1">
        <v>10.877000000000001</v>
      </c>
      <c r="D369" s="1" t="s">
        <v>292</v>
      </c>
      <c r="E369" t="s">
        <v>94</v>
      </c>
      <c r="F369">
        <f t="shared" si="36"/>
        <v>8351.5169600001536</v>
      </c>
      <c r="G369">
        <f t="shared" si="37"/>
        <v>8351.5</v>
      </c>
      <c r="H369">
        <f t="shared" si="38"/>
        <v>10.877000000000001</v>
      </c>
      <c r="J369">
        <f t="shared" si="42"/>
        <v>8351.5169600001536</v>
      </c>
      <c r="K369">
        <f t="shared" si="39"/>
        <v>8351.5</v>
      </c>
      <c r="L369">
        <f t="shared" si="40"/>
        <v>8351.5</v>
      </c>
      <c r="M369">
        <f t="shared" si="41"/>
        <v>10.877000000000001</v>
      </c>
    </row>
    <row r="370" spans="1:13" x14ac:dyDescent="0.25">
      <c r="A370" s="1">
        <v>2458352.4991100002</v>
      </c>
      <c r="B370" s="1" t="s">
        <v>82</v>
      </c>
      <c r="C370" s="1">
        <v>10.942</v>
      </c>
      <c r="D370" s="1" t="s">
        <v>292</v>
      </c>
      <c r="E370" t="s">
        <v>94</v>
      </c>
      <c r="F370">
        <f t="shared" si="36"/>
        <v>8352.499110000208</v>
      </c>
      <c r="G370">
        <f t="shared" si="37"/>
        <v>8352.5</v>
      </c>
      <c r="H370">
        <f t="shared" si="38"/>
        <v>10.942</v>
      </c>
      <c r="J370">
        <f t="shared" si="42"/>
        <v>8352.499110000208</v>
      </c>
      <c r="K370">
        <f t="shared" si="39"/>
        <v>8352.25</v>
      </c>
      <c r="L370">
        <f t="shared" si="40"/>
        <v>8352.25</v>
      </c>
      <c r="M370">
        <f t="shared" si="41"/>
        <v>10.942</v>
      </c>
    </row>
    <row r="371" spans="1:13" x14ac:dyDescent="0.25">
      <c r="A371" s="1">
        <v>2458352.4993199999</v>
      </c>
      <c r="B371" s="1" t="s">
        <v>82</v>
      </c>
      <c r="C371" s="1">
        <v>10.935</v>
      </c>
      <c r="D371" s="1" t="s">
        <v>292</v>
      </c>
      <c r="E371" t="s">
        <v>94</v>
      </c>
      <c r="F371">
        <f t="shared" si="36"/>
        <v>8352.4993199999444</v>
      </c>
      <c r="G371">
        <f t="shared" si="37"/>
        <v>8352.5</v>
      </c>
      <c r="H371">
        <f t="shared" si="38"/>
        <v>10.935</v>
      </c>
      <c r="J371">
        <f t="shared" si="42"/>
        <v>8352.4993199999444</v>
      </c>
      <c r="K371">
        <f t="shared" si="39"/>
        <v>8352.25</v>
      </c>
      <c r="L371">
        <f t="shared" si="40"/>
        <v>8352.25</v>
      </c>
      <c r="M371">
        <f t="shared" si="41"/>
        <v>10.935</v>
      </c>
    </row>
    <row r="372" spans="1:13" x14ac:dyDescent="0.25">
      <c r="A372" s="1">
        <v>2458353.3606500002</v>
      </c>
      <c r="B372" s="1" t="s">
        <v>83</v>
      </c>
      <c r="C372" s="1">
        <v>10.914999999999999</v>
      </c>
      <c r="D372" s="1" t="s">
        <v>292</v>
      </c>
      <c r="E372" t="s">
        <v>101</v>
      </c>
      <c r="F372">
        <f t="shared" si="36"/>
        <v>8353.3606500001624</v>
      </c>
      <c r="G372">
        <f t="shared" si="37"/>
        <v>8353.4</v>
      </c>
      <c r="H372">
        <f t="shared" si="38"/>
        <v>10.914999999999999</v>
      </c>
      <c r="J372">
        <f t="shared" si="42"/>
        <v>8353.3606500001624</v>
      </c>
      <c r="K372">
        <f t="shared" si="39"/>
        <v>8353.25</v>
      </c>
      <c r="L372">
        <f t="shared" si="40"/>
        <v>8353.25</v>
      </c>
      <c r="M372">
        <f t="shared" si="41"/>
        <v>10.914999999999999</v>
      </c>
    </row>
    <row r="373" spans="1:13" x14ac:dyDescent="0.25">
      <c r="A373" s="1">
        <v>2458354.5084099998</v>
      </c>
      <c r="B373" s="1" t="s">
        <v>84</v>
      </c>
      <c r="C373" s="1">
        <v>10.929</v>
      </c>
      <c r="D373" s="1" t="s">
        <v>292</v>
      </c>
      <c r="E373" t="s">
        <v>94</v>
      </c>
      <c r="F373">
        <f t="shared" si="36"/>
        <v>8354.5084099997766</v>
      </c>
      <c r="G373">
        <f t="shared" si="37"/>
        <v>8354.5</v>
      </c>
      <c r="H373">
        <f t="shared" si="38"/>
        <v>10.929</v>
      </c>
      <c r="J373">
        <f t="shared" si="42"/>
        <v>8354.5084099997766</v>
      </c>
      <c r="K373">
        <f t="shared" si="39"/>
        <v>8354.5</v>
      </c>
      <c r="L373">
        <f t="shared" si="40"/>
        <v>8354.5</v>
      </c>
      <c r="M373">
        <f t="shared" si="41"/>
        <v>10.929</v>
      </c>
    </row>
    <row r="374" spans="1:13" x14ac:dyDescent="0.25">
      <c r="A374" s="1">
        <v>2458354.5086300001</v>
      </c>
      <c r="B374" s="1" t="s">
        <v>84</v>
      </c>
      <c r="C374" s="1">
        <v>10.91</v>
      </c>
      <c r="D374" s="1" t="s">
        <v>292</v>
      </c>
      <c r="E374" t="s">
        <v>94</v>
      </c>
      <c r="F374">
        <f t="shared" si="36"/>
        <v>8354.5086300000548</v>
      </c>
      <c r="G374">
        <f t="shared" si="37"/>
        <v>8354.5</v>
      </c>
      <c r="H374">
        <f t="shared" si="38"/>
        <v>10.91</v>
      </c>
      <c r="J374">
        <f t="shared" si="42"/>
        <v>8354.5086300000548</v>
      </c>
      <c r="K374">
        <f t="shared" si="39"/>
        <v>8354.5</v>
      </c>
      <c r="L374">
        <f t="shared" si="40"/>
        <v>8354.5</v>
      </c>
      <c r="M374">
        <f t="shared" si="41"/>
        <v>10.91</v>
      </c>
    </row>
    <row r="375" spans="1:13" x14ac:dyDescent="0.25">
      <c r="A375" s="1">
        <v>2458355.5055</v>
      </c>
      <c r="B375" s="1" t="s">
        <v>85</v>
      </c>
      <c r="C375" s="1">
        <v>10.932</v>
      </c>
      <c r="D375" s="1" t="s">
        <v>292</v>
      </c>
      <c r="E375" t="s">
        <v>94</v>
      </c>
      <c r="F375">
        <f t="shared" si="36"/>
        <v>8355.5054999999702</v>
      </c>
      <c r="G375">
        <f t="shared" si="37"/>
        <v>8355.5</v>
      </c>
      <c r="H375">
        <f t="shared" si="38"/>
        <v>10.932</v>
      </c>
      <c r="J375">
        <f t="shared" si="42"/>
        <v>8355.5054999999702</v>
      </c>
      <c r="K375">
        <f t="shared" si="39"/>
        <v>8355.5</v>
      </c>
      <c r="L375">
        <f t="shared" si="40"/>
        <v>8355.5</v>
      </c>
      <c r="M375">
        <f t="shared" si="41"/>
        <v>10.932</v>
      </c>
    </row>
    <row r="376" spans="1:13" x14ac:dyDescent="0.25">
      <c r="A376" s="1">
        <v>2458355.5057199998</v>
      </c>
      <c r="B376" s="1" t="s">
        <v>85</v>
      </c>
      <c r="C376" s="1">
        <v>10.903</v>
      </c>
      <c r="D376" s="1" t="s">
        <v>292</v>
      </c>
      <c r="E376" t="s">
        <v>94</v>
      </c>
      <c r="F376">
        <f t="shared" si="36"/>
        <v>8355.5057199997827</v>
      </c>
      <c r="G376">
        <f t="shared" si="37"/>
        <v>8355.5</v>
      </c>
      <c r="H376">
        <f t="shared" si="38"/>
        <v>10.903</v>
      </c>
      <c r="J376">
        <f t="shared" si="42"/>
        <v>8355.5057199997827</v>
      </c>
      <c r="K376">
        <f t="shared" si="39"/>
        <v>8355.5</v>
      </c>
      <c r="L376">
        <f t="shared" si="40"/>
        <v>8355.5</v>
      </c>
      <c r="M376">
        <f t="shared" si="41"/>
        <v>10.903</v>
      </c>
    </row>
    <row r="377" spans="1:13" x14ac:dyDescent="0.25">
      <c r="A377" s="1">
        <v>2458355.7532100002</v>
      </c>
      <c r="B377" s="1" t="s">
        <v>85</v>
      </c>
      <c r="C377" s="1">
        <v>10.933999999999999</v>
      </c>
      <c r="D377" s="1" t="s">
        <v>292</v>
      </c>
      <c r="E377" t="s">
        <v>102</v>
      </c>
      <c r="F377">
        <f t="shared" si="36"/>
        <v>8355.7532100002281</v>
      </c>
      <c r="G377">
        <f t="shared" si="37"/>
        <v>8355.7999999999993</v>
      </c>
      <c r="H377">
        <f t="shared" si="38"/>
        <v>10.933999999999999</v>
      </c>
      <c r="J377">
        <f t="shared" si="42"/>
        <v>8355.7532100002281</v>
      </c>
      <c r="K377">
        <f t="shared" si="39"/>
        <v>8355.75</v>
      </c>
      <c r="L377">
        <f t="shared" si="40"/>
        <v>8355.75</v>
      </c>
      <c r="M377">
        <f t="shared" si="41"/>
        <v>10.933999999999999</v>
      </c>
    </row>
    <row r="378" spans="1:13" x14ac:dyDescent="0.25">
      <c r="A378" s="1">
        <v>2458356.5029500001</v>
      </c>
      <c r="B378" s="1" t="s">
        <v>103</v>
      </c>
      <c r="C378" s="1">
        <v>10.923</v>
      </c>
      <c r="D378" s="1" t="s">
        <v>292</v>
      </c>
      <c r="E378" t="s">
        <v>94</v>
      </c>
      <c r="F378">
        <f t="shared" si="36"/>
        <v>8356.502950000111</v>
      </c>
      <c r="G378">
        <f t="shared" si="37"/>
        <v>8356.5</v>
      </c>
      <c r="H378">
        <f t="shared" si="38"/>
        <v>10.923</v>
      </c>
      <c r="J378">
        <f t="shared" si="42"/>
        <v>8356.502950000111</v>
      </c>
      <c r="K378">
        <f t="shared" si="39"/>
        <v>8356.5</v>
      </c>
      <c r="L378">
        <f t="shared" si="40"/>
        <v>8356.5</v>
      </c>
      <c r="M378">
        <f t="shared" si="41"/>
        <v>10.923</v>
      </c>
    </row>
    <row r="379" spans="1:13" x14ac:dyDescent="0.25">
      <c r="A379" s="1">
        <v>2458356.5031699999</v>
      </c>
      <c r="B379" s="1" t="s">
        <v>103</v>
      </c>
      <c r="C379" s="1">
        <v>10.913</v>
      </c>
      <c r="D379" s="1" t="s">
        <v>292</v>
      </c>
      <c r="E379" t="s">
        <v>94</v>
      </c>
      <c r="F379">
        <f t="shared" si="36"/>
        <v>8356.5031699999236</v>
      </c>
      <c r="G379">
        <f t="shared" si="37"/>
        <v>8356.5</v>
      </c>
      <c r="H379">
        <f t="shared" si="38"/>
        <v>10.913</v>
      </c>
      <c r="J379">
        <f t="shared" si="42"/>
        <v>8356.5031699999236</v>
      </c>
      <c r="K379">
        <f t="shared" si="39"/>
        <v>8356.5</v>
      </c>
      <c r="L379">
        <f t="shared" si="40"/>
        <v>8356.5</v>
      </c>
      <c r="M379">
        <f t="shared" si="41"/>
        <v>10.913</v>
      </c>
    </row>
    <row r="380" spans="1:13" x14ac:dyDescent="0.25">
      <c r="A380" s="1">
        <v>2458357.4999600002</v>
      </c>
      <c r="B380" s="1" t="s">
        <v>103</v>
      </c>
      <c r="C380" s="1">
        <v>10.961</v>
      </c>
      <c r="D380" s="1" t="s">
        <v>292</v>
      </c>
      <c r="E380" t="s">
        <v>94</v>
      </c>
      <c r="F380">
        <f t="shared" si="36"/>
        <v>8357.4999600001611</v>
      </c>
      <c r="G380">
        <f t="shared" si="37"/>
        <v>8357.5</v>
      </c>
      <c r="H380">
        <f t="shared" si="38"/>
        <v>10.961</v>
      </c>
      <c r="J380">
        <f t="shared" si="42"/>
        <v>8357.4999600001611</v>
      </c>
      <c r="K380">
        <f t="shared" si="39"/>
        <v>8357.25</v>
      </c>
      <c r="L380">
        <f t="shared" si="40"/>
        <v>8357.25</v>
      </c>
      <c r="M380">
        <f t="shared" si="41"/>
        <v>10.961</v>
      </c>
    </row>
    <row r="381" spans="1:13" x14ac:dyDescent="0.25">
      <c r="A381" s="1">
        <v>2458357.5001699999</v>
      </c>
      <c r="B381" s="1" t="s">
        <v>86</v>
      </c>
      <c r="C381" s="1">
        <v>10.959</v>
      </c>
      <c r="D381" s="1" t="s">
        <v>292</v>
      </c>
      <c r="E381" t="s">
        <v>94</v>
      </c>
      <c r="F381">
        <f t="shared" si="36"/>
        <v>8357.5001699998975</v>
      </c>
      <c r="G381">
        <f t="shared" si="37"/>
        <v>8357.5</v>
      </c>
      <c r="H381">
        <f t="shared" si="38"/>
        <v>10.959</v>
      </c>
      <c r="J381">
        <f t="shared" si="42"/>
        <v>8357.5001699998975</v>
      </c>
      <c r="K381">
        <f t="shared" si="39"/>
        <v>8357.5</v>
      </c>
      <c r="L381">
        <f t="shared" si="40"/>
        <v>8357.5</v>
      </c>
      <c r="M381">
        <f t="shared" si="41"/>
        <v>10.959</v>
      </c>
    </row>
    <row r="382" spans="1:13" x14ac:dyDescent="0.25">
      <c r="A382" s="1">
        <v>2458358.4885499999</v>
      </c>
      <c r="B382" s="1" t="s">
        <v>86</v>
      </c>
      <c r="C382" s="1">
        <v>10.964</v>
      </c>
      <c r="D382" s="1" t="s">
        <v>292</v>
      </c>
      <c r="E382" t="s">
        <v>94</v>
      </c>
      <c r="F382">
        <f t="shared" si="36"/>
        <v>8358.4885499998927</v>
      </c>
      <c r="G382">
        <f t="shared" si="37"/>
        <v>8358.5</v>
      </c>
      <c r="H382">
        <f t="shared" si="38"/>
        <v>10.964</v>
      </c>
      <c r="J382">
        <f t="shared" si="42"/>
        <v>8358.4885499998927</v>
      </c>
      <c r="K382">
        <f t="shared" si="39"/>
        <v>8358.25</v>
      </c>
      <c r="L382">
        <f t="shared" si="40"/>
        <v>8358.25</v>
      </c>
      <c r="M382">
        <f t="shared" si="41"/>
        <v>10.964</v>
      </c>
    </row>
    <row r="383" spans="1:13" x14ac:dyDescent="0.25">
      <c r="A383" s="1">
        <v>2458358.4887600001</v>
      </c>
      <c r="B383" s="1" t="s">
        <v>86</v>
      </c>
      <c r="C383" s="1">
        <v>10.997999999999999</v>
      </c>
      <c r="D383" s="1" t="s">
        <v>292</v>
      </c>
      <c r="E383" t="s">
        <v>94</v>
      </c>
      <c r="F383">
        <f t="shared" si="36"/>
        <v>8358.4887600000948</v>
      </c>
      <c r="G383">
        <f t="shared" si="37"/>
        <v>8358.5</v>
      </c>
      <c r="H383">
        <f t="shared" si="38"/>
        <v>10.997999999999999</v>
      </c>
      <c r="J383">
        <f t="shared" si="42"/>
        <v>8358.4887600000948</v>
      </c>
      <c r="K383">
        <f t="shared" si="39"/>
        <v>8358.25</v>
      </c>
      <c r="L383">
        <f t="shared" si="40"/>
        <v>8358.25</v>
      </c>
      <c r="M383">
        <f t="shared" si="41"/>
        <v>10.997999999999999</v>
      </c>
    </row>
    <row r="384" spans="1:13" x14ac:dyDescent="0.25">
      <c r="A384" s="1">
        <v>2458359.3707099999</v>
      </c>
      <c r="B384" s="1" t="s">
        <v>87</v>
      </c>
      <c r="C384" s="1">
        <v>11.002000000000001</v>
      </c>
      <c r="D384" s="1" t="s">
        <v>292</v>
      </c>
      <c r="E384" t="s">
        <v>101</v>
      </c>
      <c r="F384">
        <f t="shared" si="36"/>
        <v>8359.3707099999301</v>
      </c>
      <c r="G384">
        <f t="shared" si="37"/>
        <v>8359.4</v>
      </c>
      <c r="H384">
        <f t="shared" si="38"/>
        <v>11.002000000000001</v>
      </c>
      <c r="J384">
        <f t="shared" si="42"/>
        <v>8359.3707099999301</v>
      </c>
      <c r="K384">
        <f t="shared" si="39"/>
        <v>8359.25</v>
      </c>
      <c r="L384">
        <f t="shared" si="40"/>
        <v>8359.25</v>
      </c>
      <c r="M384">
        <f t="shared" si="41"/>
        <v>11.002000000000001</v>
      </c>
    </row>
    <row r="385" spans="1:13" x14ac:dyDescent="0.25">
      <c r="A385" s="1">
        <v>2458359.3714399999</v>
      </c>
      <c r="B385" s="1" t="s">
        <v>87</v>
      </c>
      <c r="C385" s="1">
        <v>11</v>
      </c>
      <c r="D385" s="1" t="s">
        <v>292</v>
      </c>
      <c r="E385" t="s">
        <v>101</v>
      </c>
      <c r="F385">
        <f t="shared" si="36"/>
        <v>8359.3714399999008</v>
      </c>
      <c r="G385">
        <f t="shared" si="37"/>
        <v>8359.4</v>
      </c>
      <c r="H385">
        <f t="shared" si="38"/>
        <v>11</v>
      </c>
      <c r="J385">
        <f t="shared" si="42"/>
        <v>8359.3714399999008</v>
      </c>
      <c r="K385">
        <f t="shared" si="39"/>
        <v>8359.25</v>
      </c>
      <c r="L385">
        <f t="shared" si="40"/>
        <v>8359.25</v>
      </c>
      <c r="M385">
        <f t="shared" si="41"/>
        <v>11</v>
      </c>
    </row>
    <row r="386" spans="1:13" x14ac:dyDescent="0.25">
      <c r="A386" s="1">
        <v>2458359.4889799999</v>
      </c>
      <c r="B386" s="1" t="s">
        <v>87</v>
      </c>
      <c r="C386" s="1">
        <v>11.013999999999999</v>
      </c>
      <c r="D386" s="1" t="s">
        <v>292</v>
      </c>
      <c r="E386" t="s">
        <v>94</v>
      </c>
      <c r="F386">
        <f t="shared" si="36"/>
        <v>8359.4889799999073</v>
      </c>
      <c r="G386">
        <f t="shared" si="37"/>
        <v>8359.5</v>
      </c>
      <c r="H386">
        <f t="shared" si="38"/>
        <v>11.013999999999999</v>
      </c>
      <c r="J386">
        <f t="shared" si="42"/>
        <v>8359.4889799999073</v>
      </c>
      <c r="K386">
        <f t="shared" si="39"/>
        <v>8359.25</v>
      </c>
      <c r="L386">
        <f t="shared" si="40"/>
        <v>8359.25</v>
      </c>
      <c r="M386">
        <f t="shared" si="41"/>
        <v>11.013999999999999</v>
      </c>
    </row>
    <row r="387" spans="1:13" x14ac:dyDescent="0.25">
      <c r="A387" s="1">
        <v>2458359.48918</v>
      </c>
      <c r="B387" s="1" t="s">
        <v>87</v>
      </c>
      <c r="C387" s="1">
        <v>11.048</v>
      </c>
      <c r="D387" s="1" t="s">
        <v>292</v>
      </c>
      <c r="E387" t="s">
        <v>94</v>
      </c>
      <c r="F387">
        <f t="shared" ref="F387:F450" si="43">+A387-2450000</f>
        <v>8359.4891800000332</v>
      </c>
      <c r="G387">
        <f t="shared" ref="G387:G450" si="44">+(ROUND(F387,1)*10)/10</f>
        <v>8359.5</v>
      </c>
      <c r="H387">
        <f t="shared" ref="H387:H450" si="45">+C387</f>
        <v>11.048</v>
      </c>
      <c r="J387">
        <f t="shared" si="42"/>
        <v>8359.4891800000332</v>
      </c>
      <c r="K387">
        <f t="shared" ref="K387:K450" si="46">+INT(J387*4)/4</f>
        <v>8359.25</v>
      </c>
      <c r="L387">
        <f t="shared" ref="L387:L402" si="47">+IF(J387-K387&gt;0.25,K387+0.25,K387)</f>
        <v>8359.25</v>
      </c>
      <c r="M387">
        <f t="shared" ref="M387:M450" si="48">+H387</f>
        <v>11.048</v>
      </c>
    </row>
    <row r="388" spans="1:13" x14ac:dyDescent="0.25">
      <c r="A388" s="1">
        <v>2458360.4896499999</v>
      </c>
      <c r="B388" s="1" t="s">
        <v>88</v>
      </c>
      <c r="C388" s="1">
        <v>11.061</v>
      </c>
      <c r="D388" s="1" t="s">
        <v>292</v>
      </c>
      <c r="E388" t="s">
        <v>94</v>
      </c>
      <c r="F388">
        <f t="shared" si="43"/>
        <v>8360.4896499998868</v>
      </c>
      <c r="G388">
        <f t="shared" si="44"/>
        <v>8360.5</v>
      </c>
      <c r="H388">
        <f t="shared" si="45"/>
        <v>11.061</v>
      </c>
      <c r="J388">
        <f t="shared" si="42"/>
        <v>8360.4896499998868</v>
      </c>
      <c r="K388">
        <f t="shared" si="46"/>
        <v>8360.25</v>
      </c>
      <c r="L388">
        <f t="shared" si="47"/>
        <v>8360.25</v>
      </c>
      <c r="M388">
        <f t="shared" si="48"/>
        <v>11.061</v>
      </c>
    </row>
    <row r="389" spans="1:13" x14ac:dyDescent="0.25">
      <c r="A389" s="1">
        <v>2458360.4898700002</v>
      </c>
      <c r="B389" s="1" t="s">
        <v>88</v>
      </c>
      <c r="C389" s="1">
        <v>11.058</v>
      </c>
      <c r="D389" s="1" t="s">
        <v>292</v>
      </c>
      <c r="E389" t="s">
        <v>94</v>
      </c>
      <c r="F389">
        <f t="shared" si="43"/>
        <v>8360.489870000165</v>
      </c>
      <c r="G389">
        <f t="shared" si="44"/>
        <v>8360.5</v>
      </c>
      <c r="H389">
        <f t="shared" si="45"/>
        <v>11.058</v>
      </c>
      <c r="J389">
        <f t="shared" si="42"/>
        <v>8360.489870000165</v>
      </c>
      <c r="K389">
        <f t="shared" si="46"/>
        <v>8360.25</v>
      </c>
      <c r="L389">
        <f t="shared" si="47"/>
        <v>8360.25</v>
      </c>
      <c r="M389">
        <f t="shared" si="48"/>
        <v>11.058</v>
      </c>
    </row>
    <row r="390" spans="1:13" x14ac:dyDescent="0.25">
      <c r="A390" s="1">
        <v>2458361.4898999999</v>
      </c>
      <c r="B390" s="1" t="s">
        <v>89</v>
      </c>
      <c r="C390" s="1">
        <v>11.071</v>
      </c>
      <c r="D390" s="1" t="s">
        <v>292</v>
      </c>
      <c r="E390" t="s">
        <v>94</v>
      </c>
      <c r="F390">
        <f t="shared" si="43"/>
        <v>8361.4898999999277</v>
      </c>
      <c r="G390">
        <f t="shared" si="44"/>
        <v>8361.5</v>
      </c>
      <c r="H390">
        <f t="shared" si="45"/>
        <v>11.071</v>
      </c>
      <c r="J390">
        <f t="shared" si="42"/>
        <v>8361.4898999999277</v>
      </c>
      <c r="K390">
        <f t="shared" si="46"/>
        <v>8361.25</v>
      </c>
      <c r="L390">
        <f t="shared" si="47"/>
        <v>8361.25</v>
      </c>
      <c r="M390">
        <f t="shared" si="48"/>
        <v>11.071</v>
      </c>
    </row>
    <row r="391" spans="1:13" x14ac:dyDescent="0.25">
      <c r="A391" s="1">
        <v>2458361.4901100001</v>
      </c>
      <c r="B391" s="1" t="s">
        <v>89</v>
      </c>
      <c r="C391" s="1">
        <v>11.101000000000001</v>
      </c>
      <c r="D391" s="1" t="s">
        <v>292</v>
      </c>
      <c r="E391" t="s">
        <v>94</v>
      </c>
      <c r="F391">
        <f t="shared" si="43"/>
        <v>8361.4901100001298</v>
      </c>
      <c r="G391">
        <f t="shared" si="44"/>
        <v>8361.5</v>
      </c>
      <c r="H391">
        <f t="shared" si="45"/>
        <v>11.101000000000001</v>
      </c>
      <c r="J391">
        <f t="shared" si="42"/>
        <v>8361.4901100001298</v>
      </c>
      <c r="K391">
        <f t="shared" si="46"/>
        <v>8361.25</v>
      </c>
      <c r="L391">
        <f t="shared" si="47"/>
        <v>8361.25</v>
      </c>
      <c r="M391">
        <f t="shared" si="48"/>
        <v>11.101000000000001</v>
      </c>
    </row>
    <row r="392" spans="1:13" x14ac:dyDescent="0.25">
      <c r="A392" s="1">
        <v>2458362.3596800002</v>
      </c>
      <c r="B392" s="1" t="s">
        <v>104</v>
      </c>
      <c r="C392" s="1">
        <v>11.096</v>
      </c>
      <c r="D392" s="1" t="s">
        <v>292</v>
      </c>
      <c r="E392" t="s">
        <v>101</v>
      </c>
      <c r="F392">
        <f t="shared" si="43"/>
        <v>8362.3596800002269</v>
      </c>
      <c r="G392">
        <f t="shared" si="44"/>
        <v>8362.4</v>
      </c>
      <c r="H392">
        <f t="shared" si="45"/>
        <v>11.096</v>
      </c>
      <c r="J392">
        <f t="shared" si="42"/>
        <v>8362.3596800002269</v>
      </c>
      <c r="K392">
        <f t="shared" si="46"/>
        <v>8362.25</v>
      </c>
      <c r="L392">
        <f t="shared" si="47"/>
        <v>8362.25</v>
      </c>
      <c r="M392">
        <f t="shared" si="48"/>
        <v>11.096</v>
      </c>
    </row>
    <row r="393" spans="1:13" x14ac:dyDescent="0.25">
      <c r="A393" s="1">
        <v>2458362.48979</v>
      </c>
      <c r="B393" s="1" t="s">
        <v>104</v>
      </c>
      <c r="C393" s="1">
        <v>11.116</v>
      </c>
      <c r="D393" s="1" t="s">
        <v>292</v>
      </c>
      <c r="E393" t="s">
        <v>94</v>
      </c>
      <c r="F393">
        <f t="shared" si="43"/>
        <v>8362.4897900000215</v>
      </c>
      <c r="G393">
        <f t="shared" si="44"/>
        <v>8362.5</v>
      </c>
      <c r="H393">
        <f t="shared" si="45"/>
        <v>11.116</v>
      </c>
      <c r="J393">
        <f t="shared" si="42"/>
        <v>8362.4897900000215</v>
      </c>
      <c r="K393">
        <f t="shared" si="46"/>
        <v>8362.25</v>
      </c>
      <c r="L393">
        <f t="shared" si="47"/>
        <v>8362.25</v>
      </c>
      <c r="M393">
        <f t="shared" si="48"/>
        <v>11.116</v>
      </c>
    </row>
    <row r="394" spans="1:13" x14ac:dyDescent="0.25">
      <c r="A394" s="1">
        <v>2458362.4899900001</v>
      </c>
      <c r="B394" s="1" t="s">
        <v>104</v>
      </c>
      <c r="C394" s="1">
        <v>11.114000000000001</v>
      </c>
      <c r="D394" s="1" t="s">
        <v>292</v>
      </c>
      <c r="E394" t="s">
        <v>94</v>
      </c>
      <c r="F394">
        <f t="shared" si="43"/>
        <v>8362.4899900001474</v>
      </c>
      <c r="G394">
        <f t="shared" si="44"/>
        <v>8362.5</v>
      </c>
      <c r="H394">
        <f t="shared" si="45"/>
        <v>11.114000000000001</v>
      </c>
      <c r="J394">
        <f t="shared" si="42"/>
        <v>8362.4899900001474</v>
      </c>
      <c r="K394">
        <f t="shared" si="46"/>
        <v>8362.25</v>
      </c>
      <c r="L394">
        <f t="shared" si="47"/>
        <v>8362.25</v>
      </c>
      <c r="M394">
        <f t="shared" si="48"/>
        <v>11.114000000000001</v>
      </c>
    </row>
    <row r="395" spans="1:13" x14ac:dyDescent="0.25">
      <c r="A395" s="1">
        <v>2458363.5060200002</v>
      </c>
      <c r="B395" s="1" t="s">
        <v>90</v>
      </c>
      <c r="C395" s="1">
        <v>11.134</v>
      </c>
      <c r="D395" s="1" t="s">
        <v>292</v>
      </c>
      <c r="E395" t="s">
        <v>94</v>
      </c>
      <c r="F395">
        <f t="shared" si="43"/>
        <v>8363.5060200002044</v>
      </c>
      <c r="G395">
        <f t="shared" si="44"/>
        <v>8363.5</v>
      </c>
      <c r="H395">
        <f t="shared" si="45"/>
        <v>11.134</v>
      </c>
      <c r="J395">
        <f t="shared" si="42"/>
        <v>8363.5060200002044</v>
      </c>
      <c r="K395">
        <f t="shared" si="46"/>
        <v>8363.5</v>
      </c>
      <c r="L395">
        <f t="shared" si="47"/>
        <v>8363.5</v>
      </c>
      <c r="M395">
        <f t="shared" si="48"/>
        <v>11.134</v>
      </c>
    </row>
    <row r="396" spans="1:13" x14ac:dyDescent="0.25">
      <c r="A396" s="1">
        <v>2458363.50624</v>
      </c>
      <c r="B396" s="1" t="s">
        <v>90</v>
      </c>
      <c r="C396" s="1">
        <v>11.131</v>
      </c>
      <c r="D396" s="1" t="s">
        <v>292</v>
      </c>
      <c r="E396" t="s">
        <v>94</v>
      </c>
      <c r="F396">
        <f t="shared" si="43"/>
        <v>8363.506240000017</v>
      </c>
      <c r="G396">
        <f t="shared" si="44"/>
        <v>8363.5</v>
      </c>
      <c r="H396">
        <f t="shared" si="45"/>
        <v>11.131</v>
      </c>
      <c r="J396">
        <f t="shared" si="42"/>
        <v>8363.506240000017</v>
      </c>
      <c r="K396">
        <f t="shared" si="46"/>
        <v>8363.5</v>
      </c>
      <c r="L396">
        <f t="shared" si="47"/>
        <v>8363.5</v>
      </c>
      <c r="M396">
        <f t="shared" si="48"/>
        <v>11.131</v>
      </c>
    </row>
    <row r="397" spans="1:13" x14ac:dyDescent="0.25">
      <c r="A397" s="1">
        <v>2458364.3155499999</v>
      </c>
      <c r="B397" s="1" t="s">
        <v>90</v>
      </c>
      <c r="C397" s="1">
        <v>11.128</v>
      </c>
      <c r="D397" s="1" t="s">
        <v>292</v>
      </c>
      <c r="E397" t="s">
        <v>105</v>
      </c>
      <c r="F397">
        <f t="shared" si="43"/>
        <v>8364.3155499999411</v>
      </c>
      <c r="G397">
        <f t="shared" si="44"/>
        <v>8364.2999999999993</v>
      </c>
      <c r="H397">
        <f t="shared" si="45"/>
        <v>11.128</v>
      </c>
      <c r="J397">
        <f t="shared" si="42"/>
        <v>8364.3155499999411</v>
      </c>
      <c r="K397">
        <f t="shared" si="46"/>
        <v>8364.25</v>
      </c>
      <c r="L397">
        <f t="shared" si="47"/>
        <v>8364.25</v>
      </c>
      <c r="M397">
        <f t="shared" si="48"/>
        <v>11.128</v>
      </c>
    </row>
    <row r="398" spans="1:13" x14ac:dyDescent="0.25">
      <c r="A398" s="1">
        <v>2458364.31598</v>
      </c>
      <c r="B398" s="1" t="s">
        <v>90</v>
      </c>
      <c r="C398" s="1">
        <v>11.122</v>
      </c>
      <c r="D398" s="1" t="s">
        <v>292</v>
      </c>
      <c r="E398" t="s">
        <v>105</v>
      </c>
      <c r="F398">
        <f t="shared" si="43"/>
        <v>8364.3159799999557</v>
      </c>
      <c r="G398">
        <f t="shared" si="44"/>
        <v>8364.2999999999993</v>
      </c>
      <c r="H398">
        <f t="shared" si="45"/>
        <v>11.122</v>
      </c>
      <c r="J398">
        <f t="shared" si="42"/>
        <v>8364.3159799999557</v>
      </c>
      <c r="K398">
        <f t="shared" si="46"/>
        <v>8364.25</v>
      </c>
      <c r="L398">
        <f t="shared" si="47"/>
        <v>8364.25</v>
      </c>
      <c r="M398">
        <f t="shared" si="48"/>
        <v>11.122</v>
      </c>
    </row>
    <row r="399" spans="1:13" x14ac:dyDescent="0.25">
      <c r="A399" s="1">
        <v>2458364.3163800002</v>
      </c>
      <c r="B399" s="1" t="s">
        <v>90</v>
      </c>
      <c r="C399" s="1">
        <v>11.129</v>
      </c>
      <c r="D399" s="1" t="s">
        <v>292</v>
      </c>
      <c r="E399" t="s">
        <v>105</v>
      </c>
      <c r="F399">
        <f t="shared" si="43"/>
        <v>8364.3163800002076</v>
      </c>
      <c r="G399">
        <f t="shared" si="44"/>
        <v>8364.2999999999993</v>
      </c>
      <c r="H399">
        <f t="shared" si="45"/>
        <v>11.129</v>
      </c>
      <c r="J399">
        <f t="shared" si="42"/>
        <v>8364.3163800002076</v>
      </c>
      <c r="K399">
        <f t="shared" si="46"/>
        <v>8364.25</v>
      </c>
      <c r="L399">
        <f t="shared" si="47"/>
        <v>8364.25</v>
      </c>
      <c r="M399">
        <f t="shared" si="48"/>
        <v>11.129</v>
      </c>
    </row>
    <row r="400" spans="1:13" x14ac:dyDescent="0.25">
      <c r="A400" s="1">
        <v>2458364.3167699999</v>
      </c>
      <c r="B400" s="1" t="s">
        <v>90</v>
      </c>
      <c r="C400" s="1">
        <v>11.148</v>
      </c>
      <c r="D400" s="1" t="s">
        <v>292</v>
      </c>
      <c r="E400" t="s">
        <v>105</v>
      </c>
      <c r="F400">
        <f t="shared" si="43"/>
        <v>8364.3167699999176</v>
      </c>
      <c r="G400">
        <f t="shared" si="44"/>
        <v>8364.2999999999993</v>
      </c>
      <c r="H400">
        <f t="shared" si="45"/>
        <v>11.148</v>
      </c>
      <c r="J400">
        <f t="shared" si="42"/>
        <v>8364.3167699999176</v>
      </c>
      <c r="K400">
        <f t="shared" si="46"/>
        <v>8364.25</v>
      </c>
      <c r="L400">
        <f t="shared" si="47"/>
        <v>8364.25</v>
      </c>
      <c r="M400">
        <f t="shared" si="48"/>
        <v>11.148</v>
      </c>
    </row>
    <row r="401" spans="1:13" x14ac:dyDescent="0.25">
      <c r="A401" s="1">
        <v>2458364.3171600001</v>
      </c>
      <c r="B401" s="1" t="s">
        <v>90</v>
      </c>
      <c r="C401" s="1">
        <v>11.14</v>
      </c>
      <c r="D401" s="1" t="s">
        <v>292</v>
      </c>
      <c r="E401" t="s">
        <v>105</v>
      </c>
      <c r="F401">
        <f t="shared" si="43"/>
        <v>8364.3171600000933</v>
      </c>
      <c r="G401">
        <f t="shared" si="44"/>
        <v>8364.2999999999993</v>
      </c>
      <c r="H401">
        <f t="shared" si="45"/>
        <v>11.14</v>
      </c>
      <c r="J401">
        <f t="shared" si="42"/>
        <v>8364.3171600000933</v>
      </c>
      <c r="K401">
        <f t="shared" si="46"/>
        <v>8364.25</v>
      </c>
      <c r="L401">
        <f t="shared" si="47"/>
        <v>8364.25</v>
      </c>
      <c r="M401">
        <f t="shared" si="48"/>
        <v>11.14</v>
      </c>
    </row>
    <row r="402" spans="1:13" x14ac:dyDescent="0.25">
      <c r="A402" s="1">
        <v>2458364.3175599999</v>
      </c>
      <c r="B402" s="1" t="s">
        <v>90</v>
      </c>
      <c r="C402" s="1">
        <v>11.121</v>
      </c>
      <c r="D402" s="1" t="s">
        <v>292</v>
      </c>
      <c r="E402" t="s">
        <v>105</v>
      </c>
      <c r="F402">
        <f t="shared" si="43"/>
        <v>8364.3175599998794</v>
      </c>
      <c r="G402">
        <f t="shared" si="44"/>
        <v>8364.2999999999993</v>
      </c>
      <c r="H402">
        <f t="shared" si="45"/>
        <v>11.121</v>
      </c>
      <c r="J402">
        <f t="shared" si="42"/>
        <v>8364.3175599998794</v>
      </c>
      <c r="K402">
        <f t="shared" si="46"/>
        <v>8364.25</v>
      </c>
      <c r="L402">
        <f t="shared" si="47"/>
        <v>8364.25</v>
      </c>
      <c r="M402">
        <f t="shared" si="48"/>
        <v>11.121</v>
      </c>
    </row>
    <row r="403" spans="1:13" x14ac:dyDescent="0.25">
      <c r="A403" s="1">
        <v>2458364.3179600001</v>
      </c>
      <c r="B403" s="1" t="s">
        <v>90</v>
      </c>
      <c r="C403" s="1">
        <v>11.161</v>
      </c>
      <c r="D403" s="1" t="s">
        <v>292</v>
      </c>
      <c r="E403" t="s">
        <v>105</v>
      </c>
      <c r="F403">
        <f t="shared" si="43"/>
        <v>8364.3179600001313</v>
      </c>
      <c r="G403">
        <f t="shared" si="44"/>
        <v>8364.2999999999993</v>
      </c>
      <c r="H403">
        <f t="shared" si="45"/>
        <v>11.161</v>
      </c>
      <c r="J403">
        <f t="shared" si="42"/>
        <v>8364.3179600001313</v>
      </c>
      <c r="K403">
        <f t="shared" si="46"/>
        <v>8364.25</v>
      </c>
      <c r="L403">
        <f>+IF(J403-K403&gt;0.25,K403+0.25,K403)</f>
        <v>8364.25</v>
      </c>
      <c r="M403">
        <f t="shared" si="48"/>
        <v>11.161</v>
      </c>
    </row>
    <row r="404" spans="1:13" x14ac:dyDescent="0.25">
      <c r="A404" s="1">
        <v>2458364.31837</v>
      </c>
      <c r="B404" s="1" t="s">
        <v>90</v>
      </c>
      <c r="C404" s="1">
        <v>11.129</v>
      </c>
      <c r="D404" s="1" t="s">
        <v>292</v>
      </c>
      <c r="E404" t="s">
        <v>105</v>
      </c>
      <c r="F404">
        <f t="shared" si="43"/>
        <v>8364.3183699999936</v>
      </c>
      <c r="G404">
        <f t="shared" si="44"/>
        <v>8364.2999999999993</v>
      </c>
      <c r="H404">
        <f t="shared" si="45"/>
        <v>11.129</v>
      </c>
      <c r="J404">
        <f t="shared" si="42"/>
        <v>8364.3183699999936</v>
      </c>
      <c r="K404">
        <f t="shared" si="46"/>
        <v>8364.25</v>
      </c>
      <c r="L404">
        <f t="shared" ref="L404:L408" si="49">+IF(J404-K404&gt;0.25,K404+0.25,K404)</f>
        <v>8364.25</v>
      </c>
      <c r="M404">
        <f t="shared" si="48"/>
        <v>11.129</v>
      </c>
    </row>
    <row r="405" spans="1:13" x14ac:dyDescent="0.25">
      <c r="A405" s="1">
        <v>2458364.3188100001</v>
      </c>
      <c r="B405" s="1" t="s">
        <v>90</v>
      </c>
      <c r="C405" s="1">
        <v>11.134</v>
      </c>
      <c r="D405" s="1" t="s">
        <v>292</v>
      </c>
      <c r="E405" t="s">
        <v>105</v>
      </c>
      <c r="F405">
        <f t="shared" si="43"/>
        <v>8364.3188100000843</v>
      </c>
      <c r="G405">
        <f t="shared" si="44"/>
        <v>8364.2999999999993</v>
      </c>
      <c r="H405">
        <f t="shared" si="45"/>
        <v>11.134</v>
      </c>
      <c r="J405">
        <f t="shared" si="42"/>
        <v>8364.3188100000843</v>
      </c>
      <c r="K405">
        <f t="shared" si="46"/>
        <v>8364.25</v>
      </c>
      <c r="L405">
        <f t="shared" si="49"/>
        <v>8364.25</v>
      </c>
      <c r="M405">
        <f t="shared" si="48"/>
        <v>11.134</v>
      </c>
    </row>
    <row r="406" spans="1:13" x14ac:dyDescent="0.25">
      <c r="A406" s="1">
        <v>2458364.3192099999</v>
      </c>
      <c r="B406" s="1" t="s">
        <v>90</v>
      </c>
      <c r="C406" s="1">
        <v>11.119</v>
      </c>
      <c r="D406" s="1" t="s">
        <v>292</v>
      </c>
      <c r="E406" t="s">
        <v>105</v>
      </c>
      <c r="F406">
        <f t="shared" si="43"/>
        <v>8364.3192099998705</v>
      </c>
      <c r="G406">
        <f t="shared" si="44"/>
        <v>8364.2999999999993</v>
      </c>
      <c r="H406">
        <f t="shared" si="45"/>
        <v>11.119</v>
      </c>
      <c r="J406">
        <f t="shared" si="42"/>
        <v>8364.3192099998705</v>
      </c>
      <c r="K406">
        <f t="shared" si="46"/>
        <v>8364.25</v>
      </c>
      <c r="L406">
        <f t="shared" si="49"/>
        <v>8364.25</v>
      </c>
      <c r="M406">
        <f t="shared" si="48"/>
        <v>11.119</v>
      </c>
    </row>
    <row r="407" spans="1:13" x14ac:dyDescent="0.25">
      <c r="A407" s="1">
        <v>2458364.3196100001</v>
      </c>
      <c r="B407" s="1" t="s">
        <v>90</v>
      </c>
      <c r="C407" s="1">
        <v>11.14</v>
      </c>
      <c r="D407" s="1" t="s">
        <v>292</v>
      </c>
      <c r="E407" t="s">
        <v>105</v>
      </c>
      <c r="F407">
        <f t="shared" si="43"/>
        <v>8364.3196100001223</v>
      </c>
      <c r="G407">
        <f t="shared" si="44"/>
        <v>8364.2999999999993</v>
      </c>
      <c r="H407">
        <f t="shared" si="45"/>
        <v>11.14</v>
      </c>
      <c r="J407">
        <f t="shared" si="42"/>
        <v>8364.3196100001223</v>
      </c>
      <c r="K407">
        <f t="shared" si="46"/>
        <v>8364.25</v>
      </c>
      <c r="L407">
        <f t="shared" si="49"/>
        <v>8364.25</v>
      </c>
      <c r="M407">
        <f t="shared" si="48"/>
        <v>11.14</v>
      </c>
    </row>
    <row r="408" spans="1:13" x14ac:dyDescent="0.25">
      <c r="A408" s="1">
        <v>2458364.3200599998</v>
      </c>
      <c r="B408" s="1" t="s">
        <v>90</v>
      </c>
      <c r="C408" s="1">
        <v>11.138</v>
      </c>
      <c r="D408" s="1" t="s">
        <v>292</v>
      </c>
      <c r="E408" t="s">
        <v>105</v>
      </c>
      <c r="F408">
        <f t="shared" si="43"/>
        <v>8364.3200599998236</v>
      </c>
      <c r="G408">
        <f t="shared" si="44"/>
        <v>8364.2999999999993</v>
      </c>
      <c r="H408">
        <f t="shared" si="45"/>
        <v>11.138</v>
      </c>
      <c r="J408">
        <f t="shared" si="42"/>
        <v>8364.3200599998236</v>
      </c>
      <c r="K408">
        <f t="shared" si="46"/>
        <v>8364.25</v>
      </c>
      <c r="L408">
        <f t="shared" si="49"/>
        <v>8364.25</v>
      </c>
      <c r="M408">
        <f t="shared" si="48"/>
        <v>11.138</v>
      </c>
    </row>
    <row r="409" spans="1:13" x14ac:dyDescent="0.25">
      <c r="A409" s="1">
        <v>2458364.3204600001</v>
      </c>
      <c r="B409" s="1" t="s">
        <v>90</v>
      </c>
      <c r="C409" s="1">
        <v>11.122999999999999</v>
      </c>
      <c r="D409" s="1" t="s">
        <v>292</v>
      </c>
      <c r="E409" t="s">
        <v>105</v>
      </c>
      <c r="F409">
        <f t="shared" si="43"/>
        <v>8364.3204600000754</v>
      </c>
      <c r="G409">
        <f t="shared" si="44"/>
        <v>8364.2999999999993</v>
      </c>
      <c r="H409">
        <f t="shared" si="45"/>
        <v>11.122999999999999</v>
      </c>
      <c r="J409">
        <f t="shared" ref="J409:J472" si="50">+F409</f>
        <v>8364.3204600000754</v>
      </c>
      <c r="K409">
        <f t="shared" si="46"/>
        <v>8364.25</v>
      </c>
      <c r="L409">
        <f t="shared" ref="L409:L472" si="51">+IF(J409-K409&gt;0.25,K409+0.25,K409)</f>
        <v>8364.25</v>
      </c>
      <c r="M409">
        <f t="shared" si="48"/>
        <v>11.122999999999999</v>
      </c>
    </row>
    <row r="410" spans="1:13" x14ac:dyDescent="0.25">
      <c r="A410" s="1">
        <v>2458364.3208699999</v>
      </c>
      <c r="B410" s="1" t="s">
        <v>90</v>
      </c>
      <c r="C410" s="1">
        <v>11.156000000000001</v>
      </c>
      <c r="D410" s="1" t="s">
        <v>292</v>
      </c>
      <c r="E410" t="s">
        <v>105</v>
      </c>
      <c r="F410">
        <f t="shared" si="43"/>
        <v>8364.3208699999377</v>
      </c>
      <c r="G410">
        <f t="shared" si="44"/>
        <v>8364.2999999999993</v>
      </c>
      <c r="H410">
        <f t="shared" si="45"/>
        <v>11.156000000000001</v>
      </c>
      <c r="J410">
        <f t="shared" si="50"/>
        <v>8364.3208699999377</v>
      </c>
      <c r="K410">
        <f t="shared" si="46"/>
        <v>8364.25</v>
      </c>
      <c r="L410">
        <f t="shared" si="51"/>
        <v>8364.25</v>
      </c>
      <c r="M410">
        <f t="shared" si="48"/>
        <v>11.156000000000001</v>
      </c>
    </row>
    <row r="411" spans="1:13" x14ac:dyDescent="0.25">
      <c r="A411" s="1">
        <v>2458364.3212899999</v>
      </c>
      <c r="B411" s="1" t="s">
        <v>90</v>
      </c>
      <c r="C411" s="1">
        <v>11.166</v>
      </c>
      <c r="D411" s="1" t="s">
        <v>292</v>
      </c>
      <c r="E411" t="s">
        <v>105</v>
      </c>
      <c r="F411">
        <f t="shared" si="43"/>
        <v>8364.3212899998762</v>
      </c>
      <c r="G411">
        <f t="shared" si="44"/>
        <v>8364.2999999999993</v>
      </c>
      <c r="H411">
        <f t="shared" si="45"/>
        <v>11.166</v>
      </c>
      <c r="J411">
        <f t="shared" si="50"/>
        <v>8364.3212899998762</v>
      </c>
      <c r="K411">
        <f t="shared" si="46"/>
        <v>8364.25</v>
      </c>
      <c r="L411">
        <f t="shared" si="51"/>
        <v>8364.25</v>
      </c>
      <c r="M411">
        <f t="shared" si="48"/>
        <v>11.166</v>
      </c>
    </row>
    <row r="412" spans="1:13" x14ac:dyDescent="0.25">
      <c r="A412" s="1">
        <v>2458364.3217000002</v>
      </c>
      <c r="B412" s="1" t="s">
        <v>90</v>
      </c>
      <c r="C412" s="1">
        <v>11.127000000000001</v>
      </c>
      <c r="D412" s="1" t="s">
        <v>292</v>
      </c>
      <c r="E412" t="s">
        <v>105</v>
      </c>
      <c r="F412">
        <f t="shared" si="43"/>
        <v>8364.3217000002041</v>
      </c>
      <c r="G412">
        <f t="shared" si="44"/>
        <v>8364.2999999999993</v>
      </c>
      <c r="H412">
        <f t="shared" si="45"/>
        <v>11.127000000000001</v>
      </c>
      <c r="J412">
        <f t="shared" si="50"/>
        <v>8364.3217000002041</v>
      </c>
      <c r="K412">
        <f t="shared" si="46"/>
        <v>8364.25</v>
      </c>
      <c r="L412">
        <f t="shared" si="51"/>
        <v>8364.25</v>
      </c>
      <c r="M412">
        <f t="shared" si="48"/>
        <v>11.127000000000001</v>
      </c>
    </row>
    <row r="413" spans="1:13" x14ac:dyDescent="0.25">
      <c r="A413" s="1">
        <v>2458364.3221399998</v>
      </c>
      <c r="B413" s="1" t="s">
        <v>90</v>
      </c>
      <c r="C413" s="1">
        <v>11.135999999999999</v>
      </c>
      <c r="D413" s="1" t="s">
        <v>292</v>
      </c>
      <c r="E413" t="s">
        <v>105</v>
      </c>
      <c r="F413">
        <f t="shared" si="43"/>
        <v>8364.3221399998292</v>
      </c>
      <c r="G413">
        <f t="shared" si="44"/>
        <v>8364.2999999999993</v>
      </c>
      <c r="H413">
        <f t="shared" si="45"/>
        <v>11.135999999999999</v>
      </c>
      <c r="J413">
        <f t="shared" si="50"/>
        <v>8364.3221399998292</v>
      </c>
      <c r="K413">
        <f t="shared" si="46"/>
        <v>8364.25</v>
      </c>
      <c r="L413">
        <f t="shared" si="51"/>
        <v>8364.25</v>
      </c>
      <c r="M413">
        <f t="shared" si="48"/>
        <v>11.135999999999999</v>
      </c>
    </row>
    <row r="414" spans="1:13" x14ac:dyDescent="0.25">
      <c r="A414" s="1">
        <v>2458364.3225400001</v>
      </c>
      <c r="B414" s="1" t="s">
        <v>90</v>
      </c>
      <c r="C414" s="1">
        <v>11.141</v>
      </c>
      <c r="D414" s="1" t="s">
        <v>292</v>
      </c>
      <c r="E414" t="s">
        <v>105</v>
      </c>
      <c r="F414">
        <f t="shared" si="43"/>
        <v>8364.3225400000811</v>
      </c>
      <c r="G414">
        <f t="shared" si="44"/>
        <v>8364.2999999999993</v>
      </c>
      <c r="H414">
        <f t="shared" si="45"/>
        <v>11.141</v>
      </c>
      <c r="J414">
        <f t="shared" si="50"/>
        <v>8364.3225400000811</v>
      </c>
      <c r="K414">
        <f t="shared" si="46"/>
        <v>8364.25</v>
      </c>
      <c r="L414">
        <f t="shared" si="51"/>
        <v>8364.25</v>
      </c>
      <c r="M414">
        <f t="shared" si="48"/>
        <v>11.141</v>
      </c>
    </row>
    <row r="415" spans="1:13" x14ac:dyDescent="0.25">
      <c r="A415" s="1">
        <v>2458364.3229499999</v>
      </c>
      <c r="B415" s="1" t="s">
        <v>90</v>
      </c>
      <c r="C415" s="1">
        <v>11.141</v>
      </c>
      <c r="D415" s="1" t="s">
        <v>292</v>
      </c>
      <c r="E415" t="s">
        <v>105</v>
      </c>
      <c r="F415">
        <f t="shared" si="43"/>
        <v>8364.3229499999434</v>
      </c>
      <c r="G415">
        <f t="shared" si="44"/>
        <v>8364.2999999999993</v>
      </c>
      <c r="H415">
        <f t="shared" si="45"/>
        <v>11.141</v>
      </c>
      <c r="J415">
        <f t="shared" si="50"/>
        <v>8364.3229499999434</v>
      </c>
      <c r="K415">
        <f t="shared" si="46"/>
        <v>8364.25</v>
      </c>
      <c r="L415">
        <f t="shared" si="51"/>
        <v>8364.25</v>
      </c>
      <c r="M415">
        <f t="shared" si="48"/>
        <v>11.141</v>
      </c>
    </row>
    <row r="416" spans="1:13" x14ac:dyDescent="0.25">
      <c r="A416" s="1">
        <v>2458364.3233599998</v>
      </c>
      <c r="B416" s="1" t="s">
        <v>90</v>
      </c>
      <c r="C416" s="1">
        <v>11.131</v>
      </c>
      <c r="D416" s="1" t="s">
        <v>292</v>
      </c>
      <c r="E416" t="s">
        <v>105</v>
      </c>
      <c r="F416">
        <f t="shared" si="43"/>
        <v>8364.3233599998057</v>
      </c>
      <c r="G416">
        <f t="shared" si="44"/>
        <v>8364.2999999999993</v>
      </c>
      <c r="H416">
        <f t="shared" si="45"/>
        <v>11.131</v>
      </c>
      <c r="J416">
        <f t="shared" si="50"/>
        <v>8364.3233599998057</v>
      </c>
      <c r="K416">
        <f t="shared" si="46"/>
        <v>8364.25</v>
      </c>
      <c r="L416">
        <f t="shared" si="51"/>
        <v>8364.25</v>
      </c>
      <c r="M416">
        <f t="shared" si="48"/>
        <v>11.131</v>
      </c>
    </row>
    <row r="417" spans="1:13" x14ac:dyDescent="0.25">
      <c r="A417" s="1">
        <v>2458364.3237600001</v>
      </c>
      <c r="B417" s="1" t="s">
        <v>90</v>
      </c>
      <c r="C417" s="1">
        <v>11.141</v>
      </c>
      <c r="D417" s="1" t="s">
        <v>292</v>
      </c>
      <c r="E417" t="s">
        <v>105</v>
      </c>
      <c r="F417">
        <f t="shared" si="43"/>
        <v>8364.3237600000575</v>
      </c>
      <c r="G417">
        <f t="shared" si="44"/>
        <v>8364.2999999999993</v>
      </c>
      <c r="H417">
        <f t="shared" si="45"/>
        <v>11.141</v>
      </c>
      <c r="J417">
        <f t="shared" si="50"/>
        <v>8364.3237600000575</v>
      </c>
      <c r="K417">
        <f t="shared" si="46"/>
        <v>8364.25</v>
      </c>
      <c r="L417">
        <f t="shared" si="51"/>
        <v>8364.25</v>
      </c>
      <c r="M417">
        <f t="shared" si="48"/>
        <v>11.141</v>
      </c>
    </row>
    <row r="418" spans="1:13" x14ac:dyDescent="0.25">
      <c r="A418" s="1">
        <v>2458364.3241699999</v>
      </c>
      <c r="B418" s="1" t="s">
        <v>90</v>
      </c>
      <c r="C418" s="1">
        <v>11.135</v>
      </c>
      <c r="D418" s="1" t="s">
        <v>292</v>
      </c>
      <c r="E418" t="s">
        <v>105</v>
      </c>
      <c r="F418">
        <f t="shared" si="43"/>
        <v>8364.3241699999198</v>
      </c>
      <c r="G418">
        <f t="shared" si="44"/>
        <v>8364.2999999999993</v>
      </c>
      <c r="H418">
        <f t="shared" si="45"/>
        <v>11.135</v>
      </c>
      <c r="J418">
        <f t="shared" si="50"/>
        <v>8364.3241699999198</v>
      </c>
      <c r="K418">
        <f t="shared" si="46"/>
        <v>8364.25</v>
      </c>
      <c r="L418">
        <f t="shared" si="51"/>
        <v>8364.25</v>
      </c>
      <c r="M418">
        <f t="shared" si="48"/>
        <v>11.135</v>
      </c>
    </row>
    <row r="419" spans="1:13" x14ac:dyDescent="0.25">
      <c r="A419" s="1">
        <v>2458364.3245899999</v>
      </c>
      <c r="B419" s="1" t="s">
        <v>90</v>
      </c>
      <c r="C419" s="1">
        <v>11.143000000000001</v>
      </c>
      <c r="D419" s="1" t="s">
        <v>292</v>
      </c>
      <c r="E419" t="s">
        <v>105</v>
      </c>
      <c r="F419">
        <f t="shared" si="43"/>
        <v>8364.3245899998583</v>
      </c>
      <c r="G419">
        <f t="shared" si="44"/>
        <v>8364.2999999999993</v>
      </c>
      <c r="H419">
        <f t="shared" si="45"/>
        <v>11.143000000000001</v>
      </c>
      <c r="J419">
        <f t="shared" si="50"/>
        <v>8364.3245899998583</v>
      </c>
      <c r="K419">
        <f t="shared" si="46"/>
        <v>8364.25</v>
      </c>
      <c r="L419">
        <f t="shared" si="51"/>
        <v>8364.25</v>
      </c>
      <c r="M419">
        <f t="shared" si="48"/>
        <v>11.143000000000001</v>
      </c>
    </row>
    <row r="420" spans="1:13" x14ac:dyDescent="0.25">
      <c r="A420" s="1">
        <v>2458364.3250000002</v>
      </c>
      <c r="B420" s="1" t="s">
        <v>90</v>
      </c>
      <c r="C420" s="1">
        <v>11.124000000000001</v>
      </c>
      <c r="D420" s="1" t="s">
        <v>292</v>
      </c>
      <c r="E420" t="s">
        <v>105</v>
      </c>
      <c r="F420">
        <f t="shared" si="43"/>
        <v>8364.3250000001863</v>
      </c>
      <c r="G420">
        <f t="shared" si="44"/>
        <v>8364.2999999999993</v>
      </c>
      <c r="H420">
        <f t="shared" si="45"/>
        <v>11.124000000000001</v>
      </c>
      <c r="J420">
        <f t="shared" si="50"/>
        <v>8364.3250000001863</v>
      </c>
      <c r="K420">
        <f t="shared" si="46"/>
        <v>8364.25</v>
      </c>
      <c r="L420">
        <f t="shared" si="51"/>
        <v>8364.25</v>
      </c>
      <c r="M420">
        <f t="shared" si="48"/>
        <v>11.124000000000001</v>
      </c>
    </row>
    <row r="421" spans="1:13" x14ac:dyDescent="0.25">
      <c r="A421" s="1">
        <v>2458364.3254</v>
      </c>
      <c r="B421" s="1" t="s">
        <v>90</v>
      </c>
      <c r="C421" s="1">
        <v>11.134</v>
      </c>
      <c r="D421" s="1" t="s">
        <v>292</v>
      </c>
      <c r="E421" t="s">
        <v>105</v>
      </c>
      <c r="F421">
        <f t="shared" si="43"/>
        <v>8364.3253999999724</v>
      </c>
      <c r="G421">
        <f t="shared" si="44"/>
        <v>8364.2999999999993</v>
      </c>
      <c r="H421">
        <f t="shared" si="45"/>
        <v>11.134</v>
      </c>
      <c r="J421">
        <f t="shared" si="50"/>
        <v>8364.3253999999724</v>
      </c>
      <c r="K421">
        <f t="shared" si="46"/>
        <v>8364.25</v>
      </c>
      <c r="L421">
        <f t="shared" si="51"/>
        <v>8364.25</v>
      </c>
      <c r="M421">
        <f t="shared" si="48"/>
        <v>11.134</v>
      </c>
    </row>
    <row r="422" spans="1:13" x14ac:dyDescent="0.25">
      <c r="A422" s="1">
        <v>2458364.3258400001</v>
      </c>
      <c r="B422" s="1" t="s">
        <v>90</v>
      </c>
      <c r="C422" s="1">
        <v>11.148999999999999</v>
      </c>
      <c r="D422" s="1" t="s">
        <v>292</v>
      </c>
      <c r="E422" t="s">
        <v>105</v>
      </c>
      <c r="F422">
        <f t="shared" si="43"/>
        <v>8364.3258400000632</v>
      </c>
      <c r="G422">
        <f t="shared" si="44"/>
        <v>8364.2999999999993</v>
      </c>
      <c r="H422">
        <f t="shared" si="45"/>
        <v>11.148999999999999</v>
      </c>
      <c r="J422">
        <f t="shared" si="50"/>
        <v>8364.3258400000632</v>
      </c>
      <c r="K422">
        <f t="shared" si="46"/>
        <v>8364.25</v>
      </c>
      <c r="L422">
        <f t="shared" si="51"/>
        <v>8364.25</v>
      </c>
      <c r="M422">
        <f t="shared" si="48"/>
        <v>11.148999999999999</v>
      </c>
    </row>
    <row r="423" spans="1:13" x14ac:dyDescent="0.25">
      <c r="A423" s="1">
        <v>2458364.3262399998</v>
      </c>
      <c r="B423" s="1" t="s">
        <v>90</v>
      </c>
      <c r="C423" s="1">
        <v>11.135</v>
      </c>
      <c r="D423" s="1" t="s">
        <v>292</v>
      </c>
      <c r="E423" t="s">
        <v>105</v>
      </c>
      <c r="F423">
        <f t="shared" si="43"/>
        <v>8364.3262399998493</v>
      </c>
      <c r="G423">
        <f t="shared" si="44"/>
        <v>8364.2999999999993</v>
      </c>
      <c r="H423">
        <f t="shared" si="45"/>
        <v>11.135</v>
      </c>
      <c r="J423">
        <f t="shared" si="50"/>
        <v>8364.3262399998493</v>
      </c>
      <c r="K423">
        <f t="shared" si="46"/>
        <v>8364.25</v>
      </c>
      <c r="L423">
        <f t="shared" si="51"/>
        <v>8364.25</v>
      </c>
      <c r="M423">
        <f t="shared" si="48"/>
        <v>11.135</v>
      </c>
    </row>
    <row r="424" spans="1:13" x14ac:dyDescent="0.25">
      <c r="A424" s="1">
        <v>2458364.3266799999</v>
      </c>
      <c r="B424" s="1" t="s">
        <v>90</v>
      </c>
      <c r="C424" s="1">
        <v>11.132999999999999</v>
      </c>
      <c r="D424" s="1" t="s">
        <v>292</v>
      </c>
      <c r="E424" t="s">
        <v>105</v>
      </c>
      <c r="F424">
        <f t="shared" si="43"/>
        <v>8364.3266799999401</v>
      </c>
      <c r="G424">
        <f t="shared" si="44"/>
        <v>8364.2999999999993</v>
      </c>
      <c r="H424">
        <f t="shared" si="45"/>
        <v>11.132999999999999</v>
      </c>
      <c r="J424">
        <f t="shared" si="50"/>
        <v>8364.3266799999401</v>
      </c>
      <c r="K424">
        <f t="shared" si="46"/>
        <v>8364.25</v>
      </c>
      <c r="L424">
        <f t="shared" si="51"/>
        <v>8364.25</v>
      </c>
      <c r="M424">
        <f t="shared" si="48"/>
        <v>11.132999999999999</v>
      </c>
    </row>
    <row r="425" spans="1:13" x14ac:dyDescent="0.25">
      <c r="A425" s="1">
        <v>2458364.3270700001</v>
      </c>
      <c r="B425" s="1" t="s">
        <v>90</v>
      </c>
      <c r="C425" s="1">
        <v>11.14</v>
      </c>
      <c r="D425" s="1" t="s">
        <v>292</v>
      </c>
      <c r="E425" t="s">
        <v>105</v>
      </c>
      <c r="F425">
        <f t="shared" si="43"/>
        <v>8364.3270700001158</v>
      </c>
      <c r="G425">
        <f t="shared" si="44"/>
        <v>8364.2999999999993</v>
      </c>
      <c r="H425">
        <f t="shared" si="45"/>
        <v>11.14</v>
      </c>
      <c r="J425">
        <f t="shared" si="50"/>
        <v>8364.3270700001158</v>
      </c>
      <c r="K425">
        <f t="shared" si="46"/>
        <v>8364.25</v>
      </c>
      <c r="L425">
        <f t="shared" si="51"/>
        <v>8364.25</v>
      </c>
      <c r="M425">
        <f t="shared" si="48"/>
        <v>11.14</v>
      </c>
    </row>
    <row r="426" spans="1:13" x14ac:dyDescent="0.25">
      <c r="A426" s="1">
        <v>2458364.3274599998</v>
      </c>
      <c r="B426" s="1" t="s">
        <v>90</v>
      </c>
      <c r="C426" s="1">
        <v>11.141999999999999</v>
      </c>
      <c r="D426" s="1" t="s">
        <v>292</v>
      </c>
      <c r="E426" t="s">
        <v>105</v>
      </c>
      <c r="F426">
        <f t="shared" si="43"/>
        <v>8364.3274599998258</v>
      </c>
      <c r="G426">
        <f t="shared" si="44"/>
        <v>8364.2999999999993</v>
      </c>
      <c r="H426">
        <f t="shared" si="45"/>
        <v>11.141999999999999</v>
      </c>
      <c r="J426">
        <f t="shared" si="50"/>
        <v>8364.3274599998258</v>
      </c>
      <c r="K426">
        <f t="shared" si="46"/>
        <v>8364.25</v>
      </c>
      <c r="L426">
        <f t="shared" si="51"/>
        <v>8364.25</v>
      </c>
      <c r="M426">
        <f t="shared" si="48"/>
        <v>11.141999999999999</v>
      </c>
    </row>
    <row r="427" spans="1:13" x14ac:dyDescent="0.25">
      <c r="A427" s="1">
        <v>2458364.3278600001</v>
      </c>
      <c r="B427" s="1" t="s">
        <v>90</v>
      </c>
      <c r="C427" s="1">
        <v>11.134</v>
      </c>
      <c r="D427" s="1" t="s">
        <v>292</v>
      </c>
      <c r="E427" t="s">
        <v>105</v>
      </c>
      <c r="F427">
        <f t="shared" si="43"/>
        <v>8364.3278600000776</v>
      </c>
      <c r="G427">
        <f t="shared" si="44"/>
        <v>8364.2999999999993</v>
      </c>
      <c r="H427">
        <f t="shared" si="45"/>
        <v>11.134</v>
      </c>
      <c r="J427">
        <f t="shared" si="50"/>
        <v>8364.3278600000776</v>
      </c>
      <c r="K427">
        <f t="shared" si="46"/>
        <v>8364.25</v>
      </c>
      <c r="L427">
        <f t="shared" si="51"/>
        <v>8364.25</v>
      </c>
      <c r="M427">
        <f t="shared" si="48"/>
        <v>11.134</v>
      </c>
    </row>
    <row r="428" spans="1:13" x14ac:dyDescent="0.25">
      <c r="A428" s="1">
        <v>2458364.3282499998</v>
      </c>
      <c r="B428" s="1" t="s">
        <v>90</v>
      </c>
      <c r="C428" s="1">
        <v>11.115</v>
      </c>
      <c r="D428" s="1" t="s">
        <v>292</v>
      </c>
      <c r="E428" t="s">
        <v>105</v>
      </c>
      <c r="F428">
        <f t="shared" si="43"/>
        <v>8364.3282499997877</v>
      </c>
      <c r="G428">
        <f t="shared" si="44"/>
        <v>8364.2999999999993</v>
      </c>
      <c r="H428">
        <f t="shared" si="45"/>
        <v>11.115</v>
      </c>
      <c r="J428">
        <f t="shared" si="50"/>
        <v>8364.3282499997877</v>
      </c>
      <c r="K428">
        <f t="shared" si="46"/>
        <v>8364.25</v>
      </c>
      <c r="L428">
        <f t="shared" si="51"/>
        <v>8364.25</v>
      </c>
      <c r="M428">
        <f t="shared" si="48"/>
        <v>11.115</v>
      </c>
    </row>
    <row r="429" spans="1:13" x14ac:dyDescent="0.25">
      <c r="A429" s="1">
        <v>2458364.3286899999</v>
      </c>
      <c r="B429" s="1" t="s">
        <v>90</v>
      </c>
      <c r="C429" s="1">
        <v>11.132999999999999</v>
      </c>
      <c r="D429" s="1" t="s">
        <v>292</v>
      </c>
      <c r="E429" t="s">
        <v>105</v>
      </c>
      <c r="F429">
        <f t="shared" si="43"/>
        <v>8364.3286899998784</v>
      </c>
      <c r="G429">
        <f t="shared" si="44"/>
        <v>8364.2999999999993</v>
      </c>
      <c r="H429">
        <f t="shared" si="45"/>
        <v>11.132999999999999</v>
      </c>
      <c r="J429">
        <f t="shared" si="50"/>
        <v>8364.3286899998784</v>
      </c>
      <c r="K429">
        <f t="shared" si="46"/>
        <v>8364.25</v>
      </c>
      <c r="L429">
        <f t="shared" si="51"/>
        <v>8364.25</v>
      </c>
      <c r="M429">
        <f t="shared" si="48"/>
        <v>11.132999999999999</v>
      </c>
    </row>
    <row r="430" spans="1:13" x14ac:dyDescent="0.25">
      <c r="A430" s="1">
        <v>2458364.3290800001</v>
      </c>
      <c r="B430" s="1" t="s">
        <v>90</v>
      </c>
      <c r="C430" s="1">
        <v>11.144</v>
      </c>
      <c r="D430" s="1" t="s">
        <v>292</v>
      </c>
      <c r="E430" t="s">
        <v>105</v>
      </c>
      <c r="F430">
        <f t="shared" si="43"/>
        <v>8364.3290800000541</v>
      </c>
      <c r="G430">
        <f t="shared" si="44"/>
        <v>8364.2999999999993</v>
      </c>
      <c r="H430">
        <f t="shared" si="45"/>
        <v>11.144</v>
      </c>
      <c r="J430">
        <f t="shared" si="50"/>
        <v>8364.3290800000541</v>
      </c>
      <c r="K430">
        <f t="shared" si="46"/>
        <v>8364.25</v>
      </c>
      <c r="L430">
        <f t="shared" si="51"/>
        <v>8364.25</v>
      </c>
      <c r="M430">
        <f t="shared" si="48"/>
        <v>11.144</v>
      </c>
    </row>
    <row r="431" spans="1:13" x14ac:dyDescent="0.25">
      <c r="A431" s="1">
        <v>2458364.3294799998</v>
      </c>
      <c r="B431" s="1" t="s">
        <v>90</v>
      </c>
      <c r="C431" s="1">
        <v>11.129</v>
      </c>
      <c r="D431" s="1" t="s">
        <v>292</v>
      </c>
      <c r="E431" t="s">
        <v>105</v>
      </c>
      <c r="F431">
        <f t="shared" si="43"/>
        <v>8364.3294799998403</v>
      </c>
      <c r="G431">
        <f t="shared" si="44"/>
        <v>8364.2999999999993</v>
      </c>
      <c r="H431">
        <f t="shared" si="45"/>
        <v>11.129</v>
      </c>
      <c r="J431">
        <f t="shared" si="50"/>
        <v>8364.3294799998403</v>
      </c>
      <c r="K431">
        <f t="shared" si="46"/>
        <v>8364.25</v>
      </c>
      <c r="L431">
        <f t="shared" si="51"/>
        <v>8364.25</v>
      </c>
      <c r="M431">
        <f t="shared" si="48"/>
        <v>11.129</v>
      </c>
    </row>
    <row r="432" spans="1:13" x14ac:dyDescent="0.25">
      <c r="A432" s="1">
        <v>2458364.3299199999</v>
      </c>
      <c r="B432" s="1" t="s">
        <v>90</v>
      </c>
      <c r="C432" s="1">
        <v>11.128</v>
      </c>
      <c r="D432" s="1" t="s">
        <v>292</v>
      </c>
      <c r="E432" t="s">
        <v>105</v>
      </c>
      <c r="F432">
        <f t="shared" si="43"/>
        <v>8364.329919999931</v>
      </c>
      <c r="G432">
        <f t="shared" si="44"/>
        <v>8364.2999999999993</v>
      </c>
      <c r="H432">
        <f t="shared" si="45"/>
        <v>11.128</v>
      </c>
      <c r="J432">
        <f t="shared" si="50"/>
        <v>8364.329919999931</v>
      </c>
      <c r="K432">
        <f t="shared" si="46"/>
        <v>8364.25</v>
      </c>
      <c r="L432">
        <f t="shared" si="51"/>
        <v>8364.25</v>
      </c>
      <c r="M432">
        <f t="shared" si="48"/>
        <v>11.128</v>
      </c>
    </row>
    <row r="433" spans="1:13" x14ac:dyDescent="0.25">
      <c r="A433" s="1">
        <v>2458364.3303100001</v>
      </c>
      <c r="B433" s="1" t="s">
        <v>90</v>
      </c>
      <c r="C433" s="1">
        <v>11.132</v>
      </c>
      <c r="D433" s="1" t="s">
        <v>292</v>
      </c>
      <c r="E433" t="s">
        <v>105</v>
      </c>
      <c r="F433">
        <f t="shared" si="43"/>
        <v>8364.3303100001067</v>
      </c>
      <c r="G433">
        <f t="shared" si="44"/>
        <v>8364.2999999999993</v>
      </c>
      <c r="H433">
        <f t="shared" si="45"/>
        <v>11.132</v>
      </c>
      <c r="J433">
        <f t="shared" si="50"/>
        <v>8364.3303100001067</v>
      </c>
      <c r="K433">
        <f t="shared" si="46"/>
        <v>8364.25</v>
      </c>
      <c r="L433">
        <f t="shared" si="51"/>
        <v>8364.25</v>
      </c>
      <c r="M433">
        <f t="shared" si="48"/>
        <v>11.132</v>
      </c>
    </row>
    <row r="434" spans="1:13" x14ac:dyDescent="0.25">
      <c r="A434" s="1">
        <v>2458364.3306999998</v>
      </c>
      <c r="B434" s="1" t="s">
        <v>90</v>
      </c>
      <c r="C434" s="1">
        <v>11.141</v>
      </c>
      <c r="D434" s="1" t="s">
        <v>292</v>
      </c>
      <c r="E434" t="s">
        <v>105</v>
      </c>
      <c r="F434">
        <f t="shared" si="43"/>
        <v>8364.3306999998167</v>
      </c>
      <c r="G434">
        <f t="shared" si="44"/>
        <v>8364.2999999999993</v>
      </c>
      <c r="H434">
        <f t="shared" si="45"/>
        <v>11.141</v>
      </c>
      <c r="J434">
        <f t="shared" si="50"/>
        <v>8364.3306999998167</v>
      </c>
      <c r="K434">
        <f t="shared" si="46"/>
        <v>8364.25</v>
      </c>
      <c r="L434">
        <f t="shared" si="51"/>
        <v>8364.25</v>
      </c>
      <c r="M434">
        <f t="shared" si="48"/>
        <v>11.141</v>
      </c>
    </row>
    <row r="435" spans="1:13" x14ac:dyDescent="0.25">
      <c r="A435" s="1">
        <v>2458364.3311000001</v>
      </c>
      <c r="B435" s="1" t="s">
        <v>90</v>
      </c>
      <c r="C435" s="1">
        <v>11.138</v>
      </c>
      <c r="D435" s="1" t="s">
        <v>292</v>
      </c>
      <c r="E435" t="s">
        <v>105</v>
      </c>
      <c r="F435">
        <f t="shared" si="43"/>
        <v>8364.3311000000685</v>
      </c>
      <c r="G435">
        <f t="shared" si="44"/>
        <v>8364.2999999999993</v>
      </c>
      <c r="H435">
        <f t="shared" si="45"/>
        <v>11.138</v>
      </c>
      <c r="J435">
        <f t="shared" si="50"/>
        <v>8364.3311000000685</v>
      </c>
      <c r="K435">
        <f t="shared" si="46"/>
        <v>8364.25</v>
      </c>
      <c r="L435">
        <f t="shared" si="51"/>
        <v>8364.25</v>
      </c>
      <c r="M435">
        <f t="shared" si="48"/>
        <v>11.138</v>
      </c>
    </row>
    <row r="436" spans="1:13" x14ac:dyDescent="0.25">
      <c r="A436" s="1">
        <v>2458364.3314899998</v>
      </c>
      <c r="B436" s="1" t="s">
        <v>90</v>
      </c>
      <c r="C436" s="1">
        <v>11.138999999999999</v>
      </c>
      <c r="D436" s="1" t="s">
        <v>292</v>
      </c>
      <c r="E436" t="s">
        <v>105</v>
      </c>
      <c r="F436">
        <f t="shared" si="43"/>
        <v>8364.3314899997786</v>
      </c>
      <c r="G436">
        <f t="shared" si="44"/>
        <v>8364.2999999999993</v>
      </c>
      <c r="H436">
        <f t="shared" si="45"/>
        <v>11.138999999999999</v>
      </c>
      <c r="J436">
        <f t="shared" si="50"/>
        <v>8364.3314899997786</v>
      </c>
      <c r="K436">
        <f t="shared" si="46"/>
        <v>8364.25</v>
      </c>
      <c r="L436">
        <f t="shared" si="51"/>
        <v>8364.25</v>
      </c>
      <c r="M436">
        <f t="shared" si="48"/>
        <v>11.138999999999999</v>
      </c>
    </row>
    <row r="437" spans="1:13" x14ac:dyDescent="0.25">
      <c r="A437" s="1">
        <v>2458364.33189</v>
      </c>
      <c r="B437" s="1" t="s">
        <v>90</v>
      </c>
      <c r="C437" s="1">
        <v>11.134</v>
      </c>
      <c r="D437" s="1" t="s">
        <v>292</v>
      </c>
      <c r="E437" t="s">
        <v>105</v>
      </c>
      <c r="F437">
        <f t="shared" si="43"/>
        <v>8364.3318900000304</v>
      </c>
      <c r="G437">
        <f t="shared" si="44"/>
        <v>8364.2999999999993</v>
      </c>
      <c r="H437">
        <f t="shared" si="45"/>
        <v>11.134</v>
      </c>
      <c r="J437">
        <f t="shared" si="50"/>
        <v>8364.3318900000304</v>
      </c>
      <c r="K437">
        <f t="shared" si="46"/>
        <v>8364.25</v>
      </c>
      <c r="L437">
        <f t="shared" si="51"/>
        <v>8364.25</v>
      </c>
      <c r="M437">
        <f t="shared" si="48"/>
        <v>11.134</v>
      </c>
    </row>
    <row r="438" spans="1:13" x14ac:dyDescent="0.25">
      <c r="A438" s="1">
        <v>2458364.3322800002</v>
      </c>
      <c r="B438" s="1" t="s">
        <v>90</v>
      </c>
      <c r="C438" s="1">
        <v>11.134</v>
      </c>
      <c r="D438" s="1" t="s">
        <v>292</v>
      </c>
      <c r="E438" t="s">
        <v>105</v>
      </c>
      <c r="F438">
        <f t="shared" si="43"/>
        <v>8364.3322800002061</v>
      </c>
      <c r="G438">
        <f t="shared" si="44"/>
        <v>8364.2999999999993</v>
      </c>
      <c r="H438">
        <f t="shared" si="45"/>
        <v>11.134</v>
      </c>
      <c r="J438">
        <f t="shared" si="50"/>
        <v>8364.3322800002061</v>
      </c>
      <c r="K438">
        <f t="shared" si="46"/>
        <v>8364.25</v>
      </c>
      <c r="L438">
        <f t="shared" si="51"/>
        <v>8364.25</v>
      </c>
      <c r="M438">
        <f t="shared" si="48"/>
        <v>11.134</v>
      </c>
    </row>
    <row r="439" spans="1:13" x14ac:dyDescent="0.25">
      <c r="A439" s="1">
        <v>2458364.3326699999</v>
      </c>
      <c r="B439" s="1" t="s">
        <v>90</v>
      </c>
      <c r="C439" s="1">
        <v>11.141</v>
      </c>
      <c r="D439" s="1" t="s">
        <v>292</v>
      </c>
      <c r="E439" t="s">
        <v>105</v>
      </c>
      <c r="F439">
        <f t="shared" si="43"/>
        <v>8364.3326699999161</v>
      </c>
      <c r="G439">
        <f t="shared" si="44"/>
        <v>8364.2999999999993</v>
      </c>
      <c r="H439">
        <f t="shared" si="45"/>
        <v>11.141</v>
      </c>
      <c r="J439">
        <f t="shared" si="50"/>
        <v>8364.3326699999161</v>
      </c>
      <c r="K439">
        <f t="shared" si="46"/>
        <v>8364.25</v>
      </c>
      <c r="L439">
        <f t="shared" si="51"/>
        <v>8364.25</v>
      </c>
      <c r="M439">
        <f t="shared" si="48"/>
        <v>11.141</v>
      </c>
    </row>
    <row r="440" spans="1:13" x14ac:dyDescent="0.25">
      <c r="A440" s="1">
        <v>2458364.3330700002</v>
      </c>
      <c r="B440" s="1" t="s">
        <v>90</v>
      </c>
      <c r="C440" s="1">
        <v>11.132999999999999</v>
      </c>
      <c r="D440" s="1" t="s">
        <v>292</v>
      </c>
      <c r="E440" t="s">
        <v>105</v>
      </c>
      <c r="F440">
        <f t="shared" si="43"/>
        <v>8364.3330700001679</v>
      </c>
      <c r="G440">
        <f t="shared" si="44"/>
        <v>8364.2999999999993</v>
      </c>
      <c r="H440">
        <f t="shared" si="45"/>
        <v>11.132999999999999</v>
      </c>
      <c r="J440">
        <f t="shared" si="50"/>
        <v>8364.3330700001679</v>
      </c>
      <c r="K440">
        <f t="shared" si="46"/>
        <v>8364.25</v>
      </c>
      <c r="L440">
        <f t="shared" si="51"/>
        <v>8364.25</v>
      </c>
      <c r="M440">
        <f t="shared" si="48"/>
        <v>11.132999999999999</v>
      </c>
    </row>
    <row r="441" spans="1:13" x14ac:dyDescent="0.25">
      <c r="A441" s="1">
        <v>2458364.33347</v>
      </c>
      <c r="B441" s="1" t="s">
        <v>90</v>
      </c>
      <c r="C441" s="1">
        <v>11.153</v>
      </c>
      <c r="D441" s="1" t="s">
        <v>292</v>
      </c>
      <c r="E441" t="s">
        <v>105</v>
      </c>
      <c r="F441">
        <f t="shared" si="43"/>
        <v>8364.3334699999541</v>
      </c>
      <c r="G441">
        <f t="shared" si="44"/>
        <v>8364.2999999999993</v>
      </c>
      <c r="H441">
        <f t="shared" si="45"/>
        <v>11.153</v>
      </c>
      <c r="J441">
        <f t="shared" si="50"/>
        <v>8364.3334699999541</v>
      </c>
      <c r="K441">
        <f t="shared" si="46"/>
        <v>8364.25</v>
      </c>
      <c r="L441">
        <f t="shared" si="51"/>
        <v>8364.25</v>
      </c>
      <c r="M441">
        <f t="shared" si="48"/>
        <v>11.153</v>
      </c>
    </row>
    <row r="442" spans="1:13" x14ac:dyDescent="0.25">
      <c r="A442" s="1">
        <v>2458364.3338600001</v>
      </c>
      <c r="B442" s="1" t="s">
        <v>90</v>
      </c>
      <c r="C442" s="1">
        <v>11.137</v>
      </c>
      <c r="D442" s="1" t="s">
        <v>292</v>
      </c>
      <c r="E442" t="s">
        <v>105</v>
      </c>
      <c r="F442">
        <f t="shared" si="43"/>
        <v>8364.3338600001298</v>
      </c>
      <c r="G442">
        <f t="shared" si="44"/>
        <v>8364.2999999999993</v>
      </c>
      <c r="H442">
        <f t="shared" si="45"/>
        <v>11.137</v>
      </c>
      <c r="J442">
        <f t="shared" si="50"/>
        <v>8364.3338600001298</v>
      </c>
      <c r="K442">
        <f t="shared" si="46"/>
        <v>8364.25</v>
      </c>
      <c r="L442">
        <f t="shared" si="51"/>
        <v>8364.25</v>
      </c>
      <c r="M442">
        <f t="shared" si="48"/>
        <v>11.137</v>
      </c>
    </row>
    <row r="443" spans="1:13" x14ac:dyDescent="0.25">
      <c r="A443" s="1">
        <v>2458364.3342599999</v>
      </c>
      <c r="B443" s="1" t="s">
        <v>90</v>
      </c>
      <c r="C443" s="1">
        <v>11.14</v>
      </c>
      <c r="D443" s="1" t="s">
        <v>292</v>
      </c>
      <c r="E443" t="s">
        <v>105</v>
      </c>
      <c r="F443">
        <f t="shared" si="43"/>
        <v>8364.334259999916</v>
      </c>
      <c r="G443">
        <f t="shared" si="44"/>
        <v>8364.2999999999993</v>
      </c>
      <c r="H443">
        <f t="shared" si="45"/>
        <v>11.14</v>
      </c>
      <c r="J443">
        <f t="shared" si="50"/>
        <v>8364.334259999916</v>
      </c>
      <c r="K443">
        <f t="shared" si="46"/>
        <v>8364.25</v>
      </c>
      <c r="L443">
        <f t="shared" si="51"/>
        <v>8364.25</v>
      </c>
      <c r="M443">
        <f t="shared" si="48"/>
        <v>11.14</v>
      </c>
    </row>
    <row r="444" spans="1:13" x14ac:dyDescent="0.25">
      <c r="A444" s="1">
        <v>2458364.3346500001</v>
      </c>
      <c r="B444" s="1" t="s">
        <v>90</v>
      </c>
      <c r="C444" s="1">
        <v>11.141999999999999</v>
      </c>
      <c r="D444" s="1" t="s">
        <v>292</v>
      </c>
      <c r="E444" t="s">
        <v>105</v>
      </c>
      <c r="F444">
        <f t="shared" si="43"/>
        <v>8364.3346500000916</v>
      </c>
      <c r="G444">
        <f t="shared" si="44"/>
        <v>8364.2999999999993</v>
      </c>
      <c r="H444">
        <f t="shared" si="45"/>
        <v>11.141999999999999</v>
      </c>
      <c r="J444">
        <f t="shared" si="50"/>
        <v>8364.3346500000916</v>
      </c>
      <c r="K444">
        <f t="shared" si="46"/>
        <v>8364.25</v>
      </c>
      <c r="L444">
        <f t="shared" si="51"/>
        <v>8364.25</v>
      </c>
      <c r="M444">
        <f t="shared" si="48"/>
        <v>11.141999999999999</v>
      </c>
    </row>
    <row r="445" spans="1:13" x14ac:dyDescent="0.25">
      <c r="A445" s="1">
        <v>2458364.3350399998</v>
      </c>
      <c r="B445" s="1" t="s">
        <v>90</v>
      </c>
      <c r="C445" s="1">
        <v>11.137</v>
      </c>
      <c r="D445" s="1" t="s">
        <v>292</v>
      </c>
      <c r="E445" t="s">
        <v>105</v>
      </c>
      <c r="F445">
        <f t="shared" si="43"/>
        <v>8364.3350399998017</v>
      </c>
      <c r="G445">
        <f t="shared" si="44"/>
        <v>8364.2999999999993</v>
      </c>
      <c r="H445">
        <f t="shared" si="45"/>
        <v>11.137</v>
      </c>
      <c r="J445">
        <f t="shared" si="50"/>
        <v>8364.3350399998017</v>
      </c>
      <c r="K445">
        <f t="shared" si="46"/>
        <v>8364.25</v>
      </c>
      <c r="L445">
        <f t="shared" si="51"/>
        <v>8364.25</v>
      </c>
      <c r="M445">
        <f t="shared" si="48"/>
        <v>11.137</v>
      </c>
    </row>
    <row r="446" spans="1:13" x14ac:dyDescent="0.25">
      <c r="A446" s="1">
        <v>2458364.3354400001</v>
      </c>
      <c r="B446" s="1" t="s">
        <v>90</v>
      </c>
      <c r="C446" s="1">
        <v>11.119</v>
      </c>
      <c r="D446" s="1" t="s">
        <v>292</v>
      </c>
      <c r="E446" t="s">
        <v>105</v>
      </c>
      <c r="F446">
        <f t="shared" si="43"/>
        <v>8364.3354400000535</v>
      </c>
      <c r="G446">
        <f t="shared" si="44"/>
        <v>8364.2999999999993</v>
      </c>
      <c r="H446">
        <f t="shared" si="45"/>
        <v>11.119</v>
      </c>
      <c r="J446">
        <f t="shared" si="50"/>
        <v>8364.3354400000535</v>
      </c>
      <c r="K446">
        <f t="shared" si="46"/>
        <v>8364.25</v>
      </c>
      <c r="L446">
        <f t="shared" si="51"/>
        <v>8364.25</v>
      </c>
      <c r="M446">
        <f t="shared" si="48"/>
        <v>11.119</v>
      </c>
    </row>
    <row r="447" spans="1:13" x14ac:dyDescent="0.25">
      <c r="A447" s="1">
        <v>2458364.3358700001</v>
      </c>
      <c r="B447" s="1" t="s">
        <v>90</v>
      </c>
      <c r="C447" s="1">
        <v>11.132999999999999</v>
      </c>
      <c r="D447" s="1" t="s">
        <v>292</v>
      </c>
      <c r="E447" t="s">
        <v>105</v>
      </c>
      <c r="F447">
        <f t="shared" si="43"/>
        <v>8364.3358700000681</v>
      </c>
      <c r="G447">
        <f t="shared" si="44"/>
        <v>8364.2999999999993</v>
      </c>
      <c r="H447">
        <f t="shared" si="45"/>
        <v>11.132999999999999</v>
      </c>
      <c r="J447">
        <f t="shared" si="50"/>
        <v>8364.3358700000681</v>
      </c>
      <c r="K447">
        <f t="shared" si="46"/>
        <v>8364.25</v>
      </c>
      <c r="L447">
        <f t="shared" si="51"/>
        <v>8364.25</v>
      </c>
      <c r="M447">
        <f t="shared" si="48"/>
        <v>11.132999999999999</v>
      </c>
    </row>
    <row r="448" spans="1:13" x14ac:dyDescent="0.25">
      <c r="A448" s="1">
        <v>2458364.3362599998</v>
      </c>
      <c r="B448" s="1" t="s">
        <v>90</v>
      </c>
      <c r="C448" s="1">
        <v>11.125</v>
      </c>
      <c r="D448" s="1" t="s">
        <v>292</v>
      </c>
      <c r="E448" t="s">
        <v>105</v>
      </c>
      <c r="F448">
        <f t="shared" si="43"/>
        <v>8364.3362599997781</v>
      </c>
      <c r="G448">
        <f t="shared" si="44"/>
        <v>8364.2999999999993</v>
      </c>
      <c r="H448">
        <f t="shared" si="45"/>
        <v>11.125</v>
      </c>
      <c r="J448">
        <f t="shared" si="50"/>
        <v>8364.3362599997781</v>
      </c>
      <c r="K448">
        <f t="shared" si="46"/>
        <v>8364.25</v>
      </c>
      <c r="L448">
        <f t="shared" si="51"/>
        <v>8364.25</v>
      </c>
      <c r="M448">
        <f t="shared" si="48"/>
        <v>11.125</v>
      </c>
    </row>
    <row r="449" spans="1:13" x14ac:dyDescent="0.25">
      <c r="A449" s="1">
        <v>2458364.3366700001</v>
      </c>
      <c r="B449" s="1" t="s">
        <v>90</v>
      </c>
      <c r="C449" s="1">
        <v>11.125</v>
      </c>
      <c r="D449" s="1" t="s">
        <v>292</v>
      </c>
      <c r="E449" t="s">
        <v>105</v>
      </c>
      <c r="F449">
        <f t="shared" si="43"/>
        <v>8364.3366700001061</v>
      </c>
      <c r="G449">
        <f t="shared" si="44"/>
        <v>8364.2999999999993</v>
      </c>
      <c r="H449">
        <f t="shared" si="45"/>
        <v>11.125</v>
      </c>
      <c r="J449">
        <f t="shared" si="50"/>
        <v>8364.3366700001061</v>
      </c>
      <c r="K449">
        <f t="shared" si="46"/>
        <v>8364.25</v>
      </c>
      <c r="L449">
        <f t="shared" si="51"/>
        <v>8364.25</v>
      </c>
      <c r="M449">
        <f t="shared" si="48"/>
        <v>11.125</v>
      </c>
    </row>
    <row r="450" spans="1:13" x14ac:dyDescent="0.25">
      <c r="A450" s="1">
        <v>2458364.33708</v>
      </c>
      <c r="B450" s="1" t="s">
        <v>90</v>
      </c>
      <c r="C450" s="1">
        <v>11.124000000000001</v>
      </c>
      <c r="D450" s="1" t="s">
        <v>292</v>
      </c>
      <c r="E450" t="s">
        <v>105</v>
      </c>
      <c r="F450">
        <f t="shared" si="43"/>
        <v>8364.3370799999684</v>
      </c>
      <c r="G450">
        <f t="shared" si="44"/>
        <v>8364.2999999999993</v>
      </c>
      <c r="H450">
        <f t="shared" si="45"/>
        <v>11.124000000000001</v>
      </c>
      <c r="J450">
        <f t="shared" si="50"/>
        <v>8364.3370799999684</v>
      </c>
      <c r="K450">
        <f t="shared" si="46"/>
        <v>8364.25</v>
      </c>
      <c r="L450">
        <f t="shared" si="51"/>
        <v>8364.25</v>
      </c>
      <c r="M450">
        <f t="shared" si="48"/>
        <v>11.124000000000001</v>
      </c>
    </row>
    <row r="451" spans="1:13" x14ac:dyDescent="0.25">
      <c r="A451" s="1">
        <v>2458364.3374899998</v>
      </c>
      <c r="B451" s="1" t="s">
        <v>90</v>
      </c>
      <c r="C451" s="1">
        <v>11.163</v>
      </c>
      <c r="D451" s="1" t="s">
        <v>292</v>
      </c>
      <c r="E451" t="s">
        <v>105</v>
      </c>
      <c r="F451">
        <f t="shared" ref="F451:F514" si="52">+A451-2450000</f>
        <v>8364.3374899998307</v>
      </c>
      <c r="G451">
        <f t="shared" ref="G451:G514" si="53">+(ROUND(F451,1)*10)/10</f>
        <v>8364.2999999999993</v>
      </c>
      <c r="H451">
        <f t="shared" ref="H451:H514" si="54">+C451</f>
        <v>11.163</v>
      </c>
      <c r="J451">
        <f t="shared" si="50"/>
        <v>8364.3374899998307</v>
      </c>
      <c r="K451">
        <f t="shared" ref="K451:K514" si="55">+INT(J451*4)/4</f>
        <v>8364.25</v>
      </c>
      <c r="L451">
        <f t="shared" si="51"/>
        <v>8364.25</v>
      </c>
      <c r="M451">
        <f t="shared" ref="M451:M514" si="56">+H451</f>
        <v>11.163</v>
      </c>
    </row>
    <row r="452" spans="1:13" x14ac:dyDescent="0.25">
      <c r="A452" s="1">
        <v>2458364.33788</v>
      </c>
      <c r="B452" s="1" t="s">
        <v>90</v>
      </c>
      <c r="C452" s="1">
        <v>11.129</v>
      </c>
      <c r="D452" s="1" t="s">
        <v>292</v>
      </c>
      <c r="E452" t="s">
        <v>105</v>
      </c>
      <c r="F452">
        <f t="shared" si="52"/>
        <v>8364.3378800000064</v>
      </c>
      <c r="G452">
        <f t="shared" si="53"/>
        <v>8364.2999999999993</v>
      </c>
      <c r="H452">
        <f t="shared" si="54"/>
        <v>11.129</v>
      </c>
      <c r="J452">
        <f t="shared" si="50"/>
        <v>8364.3378800000064</v>
      </c>
      <c r="K452">
        <f t="shared" si="55"/>
        <v>8364.25</v>
      </c>
      <c r="L452">
        <f t="shared" si="51"/>
        <v>8364.25</v>
      </c>
      <c r="M452">
        <f t="shared" si="56"/>
        <v>11.129</v>
      </c>
    </row>
    <row r="453" spans="1:13" x14ac:dyDescent="0.25">
      <c r="A453" s="1">
        <v>2458364.3382700002</v>
      </c>
      <c r="B453" s="1" t="s">
        <v>90</v>
      </c>
      <c r="C453" s="1">
        <v>11.129</v>
      </c>
      <c r="D453" s="1" t="s">
        <v>292</v>
      </c>
      <c r="E453" t="s">
        <v>105</v>
      </c>
      <c r="F453">
        <f t="shared" si="52"/>
        <v>8364.3382700001821</v>
      </c>
      <c r="G453">
        <f t="shared" si="53"/>
        <v>8364.2999999999993</v>
      </c>
      <c r="H453">
        <f t="shared" si="54"/>
        <v>11.129</v>
      </c>
      <c r="J453">
        <f t="shared" si="50"/>
        <v>8364.3382700001821</v>
      </c>
      <c r="K453">
        <f t="shared" si="55"/>
        <v>8364.25</v>
      </c>
      <c r="L453">
        <f t="shared" si="51"/>
        <v>8364.25</v>
      </c>
      <c r="M453">
        <f t="shared" si="56"/>
        <v>11.129</v>
      </c>
    </row>
    <row r="454" spans="1:13" x14ac:dyDescent="0.25">
      <c r="A454" s="1">
        <v>2458364.33868</v>
      </c>
      <c r="B454" s="1" t="s">
        <v>90</v>
      </c>
      <c r="C454" s="1">
        <v>11.132999999999999</v>
      </c>
      <c r="D454" s="1" t="s">
        <v>292</v>
      </c>
      <c r="E454" t="s">
        <v>105</v>
      </c>
      <c r="F454">
        <f t="shared" si="52"/>
        <v>8364.3386800000444</v>
      </c>
      <c r="G454">
        <f t="shared" si="53"/>
        <v>8364.2999999999993</v>
      </c>
      <c r="H454">
        <f t="shared" si="54"/>
        <v>11.132999999999999</v>
      </c>
      <c r="J454">
        <f t="shared" si="50"/>
        <v>8364.3386800000444</v>
      </c>
      <c r="K454">
        <f t="shared" si="55"/>
        <v>8364.25</v>
      </c>
      <c r="L454">
        <f t="shared" si="51"/>
        <v>8364.25</v>
      </c>
      <c r="M454">
        <f t="shared" si="56"/>
        <v>11.132999999999999</v>
      </c>
    </row>
    <row r="455" spans="1:13" x14ac:dyDescent="0.25">
      <c r="A455" s="1">
        <v>2458364.3390799998</v>
      </c>
      <c r="B455" s="1" t="s">
        <v>90</v>
      </c>
      <c r="C455" s="1">
        <v>11.118</v>
      </c>
      <c r="D455" s="1" t="s">
        <v>292</v>
      </c>
      <c r="E455" t="s">
        <v>105</v>
      </c>
      <c r="F455">
        <f t="shared" si="52"/>
        <v>8364.3390799998306</v>
      </c>
      <c r="G455">
        <f t="shared" si="53"/>
        <v>8364.2999999999993</v>
      </c>
      <c r="H455">
        <f t="shared" si="54"/>
        <v>11.118</v>
      </c>
      <c r="J455">
        <f t="shared" si="50"/>
        <v>8364.3390799998306</v>
      </c>
      <c r="K455">
        <f t="shared" si="55"/>
        <v>8364.25</v>
      </c>
      <c r="L455">
        <f t="shared" si="51"/>
        <v>8364.25</v>
      </c>
      <c r="M455">
        <f t="shared" si="56"/>
        <v>11.118</v>
      </c>
    </row>
    <row r="456" spans="1:13" x14ac:dyDescent="0.25">
      <c r="A456" s="1">
        <v>2458364.3395099998</v>
      </c>
      <c r="B456" s="1" t="s">
        <v>90</v>
      </c>
      <c r="C456" s="1">
        <v>11.131</v>
      </c>
      <c r="D456" s="1" t="s">
        <v>292</v>
      </c>
      <c r="E456" t="s">
        <v>105</v>
      </c>
      <c r="F456">
        <f t="shared" si="52"/>
        <v>8364.3395099998452</v>
      </c>
      <c r="G456">
        <f t="shared" si="53"/>
        <v>8364.2999999999993</v>
      </c>
      <c r="H456">
        <f t="shared" si="54"/>
        <v>11.131</v>
      </c>
      <c r="J456">
        <f t="shared" si="50"/>
        <v>8364.3395099998452</v>
      </c>
      <c r="K456">
        <f t="shared" si="55"/>
        <v>8364.25</v>
      </c>
      <c r="L456">
        <f t="shared" si="51"/>
        <v>8364.25</v>
      </c>
      <c r="M456">
        <f t="shared" si="56"/>
        <v>11.131</v>
      </c>
    </row>
    <row r="457" spans="1:13" x14ac:dyDescent="0.25">
      <c r="A457" s="1">
        <v>2458364.3399200002</v>
      </c>
      <c r="B457" s="1" t="s">
        <v>90</v>
      </c>
      <c r="C457" s="1">
        <v>11.128</v>
      </c>
      <c r="D457" s="1" t="s">
        <v>292</v>
      </c>
      <c r="E457" t="s">
        <v>105</v>
      </c>
      <c r="F457">
        <f t="shared" si="52"/>
        <v>8364.3399200001732</v>
      </c>
      <c r="G457">
        <f t="shared" si="53"/>
        <v>8364.2999999999993</v>
      </c>
      <c r="H457">
        <f t="shared" si="54"/>
        <v>11.128</v>
      </c>
      <c r="J457">
        <f t="shared" si="50"/>
        <v>8364.3399200001732</v>
      </c>
      <c r="K457">
        <f t="shared" si="55"/>
        <v>8364.25</v>
      </c>
      <c r="L457">
        <f t="shared" si="51"/>
        <v>8364.25</v>
      </c>
      <c r="M457">
        <f t="shared" si="56"/>
        <v>11.128</v>
      </c>
    </row>
    <row r="458" spans="1:13" x14ac:dyDescent="0.25">
      <c r="A458" s="1">
        <v>2458364.34032</v>
      </c>
      <c r="B458" s="1" t="s">
        <v>90</v>
      </c>
      <c r="C458" s="1">
        <v>11.137</v>
      </c>
      <c r="D458" s="1" t="s">
        <v>292</v>
      </c>
      <c r="E458" t="s">
        <v>105</v>
      </c>
      <c r="F458">
        <f t="shared" si="52"/>
        <v>8364.3403199999593</v>
      </c>
      <c r="G458">
        <f t="shared" si="53"/>
        <v>8364.2999999999993</v>
      </c>
      <c r="H458">
        <f t="shared" si="54"/>
        <v>11.137</v>
      </c>
      <c r="J458">
        <f t="shared" si="50"/>
        <v>8364.3403199999593</v>
      </c>
      <c r="K458">
        <f t="shared" si="55"/>
        <v>8364.25</v>
      </c>
      <c r="L458">
        <f t="shared" si="51"/>
        <v>8364.25</v>
      </c>
      <c r="M458">
        <f t="shared" si="56"/>
        <v>11.137</v>
      </c>
    </row>
    <row r="459" spans="1:13" x14ac:dyDescent="0.25">
      <c r="A459" s="1">
        <v>2458364.3407299998</v>
      </c>
      <c r="B459" s="1" t="s">
        <v>90</v>
      </c>
      <c r="C459" s="1">
        <v>11.143000000000001</v>
      </c>
      <c r="D459" s="1" t="s">
        <v>292</v>
      </c>
      <c r="E459" t="s">
        <v>105</v>
      </c>
      <c r="F459">
        <f t="shared" si="52"/>
        <v>8364.3407299998216</v>
      </c>
      <c r="G459">
        <f t="shared" si="53"/>
        <v>8364.2999999999993</v>
      </c>
      <c r="H459">
        <f t="shared" si="54"/>
        <v>11.143000000000001</v>
      </c>
      <c r="J459">
        <f t="shared" si="50"/>
        <v>8364.3407299998216</v>
      </c>
      <c r="K459">
        <f t="shared" si="55"/>
        <v>8364.25</v>
      </c>
      <c r="L459">
        <f t="shared" si="51"/>
        <v>8364.25</v>
      </c>
      <c r="M459">
        <f t="shared" si="56"/>
        <v>11.143000000000001</v>
      </c>
    </row>
    <row r="460" spans="1:13" x14ac:dyDescent="0.25">
      <c r="A460" s="1">
        <v>2458364.34112</v>
      </c>
      <c r="B460" s="1" t="s">
        <v>90</v>
      </c>
      <c r="C460" s="1">
        <v>11.125</v>
      </c>
      <c r="D460" s="1" t="s">
        <v>292</v>
      </c>
      <c r="E460" t="s">
        <v>105</v>
      </c>
      <c r="F460">
        <f t="shared" si="52"/>
        <v>8364.3411199999973</v>
      </c>
      <c r="G460">
        <f t="shared" si="53"/>
        <v>8364.2999999999993</v>
      </c>
      <c r="H460">
        <f t="shared" si="54"/>
        <v>11.125</v>
      </c>
      <c r="J460">
        <f t="shared" si="50"/>
        <v>8364.3411199999973</v>
      </c>
      <c r="K460">
        <f t="shared" si="55"/>
        <v>8364.25</v>
      </c>
      <c r="L460">
        <f t="shared" si="51"/>
        <v>8364.25</v>
      </c>
      <c r="M460">
        <f t="shared" si="56"/>
        <v>11.125</v>
      </c>
    </row>
    <row r="461" spans="1:13" x14ac:dyDescent="0.25">
      <c r="A461" s="1">
        <v>2458364.3415700002</v>
      </c>
      <c r="B461" s="1" t="s">
        <v>90</v>
      </c>
      <c r="C461" s="1">
        <v>11.145</v>
      </c>
      <c r="D461" s="1" t="s">
        <v>292</v>
      </c>
      <c r="E461" t="s">
        <v>105</v>
      </c>
      <c r="F461">
        <f t="shared" si="52"/>
        <v>8364.3415700001642</v>
      </c>
      <c r="G461">
        <f t="shared" si="53"/>
        <v>8364.2999999999993</v>
      </c>
      <c r="H461">
        <f t="shared" si="54"/>
        <v>11.145</v>
      </c>
      <c r="J461">
        <f t="shared" si="50"/>
        <v>8364.3415700001642</v>
      </c>
      <c r="K461">
        <f t="shared" si="55"/>
        <v>8364.25</v>
      </c>
      <c r="L461">
        <f t="shared" si="51"/>
        <v>8364.25</v>
      </c>
      <c r="M461">
        <f t="shared" si="56"/>
        <v>11.145</v>
      </c>
    </row>
    <row r="462" spans="1:13" x14ac:dyDescent="0.25">
      <c r="A462" s="1">
        <v>2458364.3420099998</v>
      </c>
      <c r="B462" s="1" t="s">
        <v>90</v>
      </c>
      <c r="C462" s="1">
        <v>11.147</v>
      </c>
      <c r="D462" s="1" t="s">
        <v>292</v>
      </c>
      <c r="E462" t="s">
        <v>105</v>
      </c>
      <c r="F462">
        <f t="shared" si="52"/>
        <v>8364.3420099997893</v>
      </c>
      <c r="G462">
        <f t="shared" si="53"/>
        <v>8364.2999999999993</v>
      </c>
      <c r="H462">
        <f t="shared" si="54"/>
        <v>11.147</v>
      </c>
      <c r="J462">
        <f t="shared" si="50"/>
        <v>8364.3420099997893</v>
      </c>
      <c r="K462">
        <f t="shared" si="55"/>
        <v>8364.25</v>
      </c>
      <c r="L462">
        <f t="shared" si="51"/>
        <v>8364.25</v>
      </c>
      <c r="M462">
        <f t="shared" si="56"/>
        <v>11.147</v>
      </c>
    </row>
    <row r="463" spans="1:13" x14ac:dyDescent="0.25">
      <c r="A463" s="1">
        <v>2458364.34246</v>
      </c>
      <c r="B463" s="1" t="s">
        <v>90</v>
      </c>
      <c r="C463" s="1">
        <v>11.138</v>
      </c>
      <c r="D463" s="1" t="s">
        <v>292</v>
      </c>
      <c r="E463" t="s">
        <v>105</v>
      </c>
      <c r="F463">
        <f t="shared" si="52"/>
        <v>8364.3424599999562</v>
      </c>
      <c r="G463">
        <f t="shared" si="53"/>
        <v>8364.2999999999993</v>
      </c>
      <c r="H463">
        <f t="shared" si="54"/>
        <v>11.138</v>
      </c>
      <c r="J463">
        <f t="shared" si="50"/>
        <v>8364.3424599999562</v>
      </c>
      <c r="K463">
        <f t="shared" si="55"/>
        <v>8364.25</v>
      </c>
      <c r="L463">
        <f t="shared" si="51"/>
        <v>8364.25</v>
      </c>
      <c r="M463">
        <f t="shared" si="56"/>
        <v>11.138</v>
      </c>
    </row>
    <row r="464" spans="1:13" x14ac:dyDescent="0.25">
      <c r="A464" s="1">
        <v>2458364.3428699998</v>
      </c>
      <c r="B464" s="1" t="s">
        <v>90</v>
      </c>
      <c r="C464" s="1">
        <v>11.137</v>
      </c>
      <c r="D464" s="1" t="s">
        <v>292</v>
      </c>
      <c r="E464" t="s">
        <v>105</v>
      </c>
      <c r="F464">
        <f t="shared" si="52"/>
        <v>8364.3428699998185</v>
      </c>
      <c r="G464">
        <f t="shared" si="53"/>
        <v>8364.2999999999993</v>
      </c>
      <c r="H464">
        <f t="shared" si="54"/>
        <v>11.137</v>
      </c>
      <c r="J464">
        <f t="shared" si="50"/>
        <v>8364.3428699998185</v>
      </c>
      <c r="K464">
        <f t="shared" si="55"/>
        <v>8364.25</v>
      </c>
      <c r="L464">
        <f t="shared" si="51"/>
        <v>8364.25</v>
      </c>
      <c r="M464">
        <f t="shared" si="56"/>
        <v>11.137</v>
      </c>
    </row>
    <row r="465" spans="1:13" x14ac:dyDescent="0.25">
      <c r="A465" s="1">
        <v>2458364.3432700001</v>
      </c>
      <c r="B465" s="1" t="s">
        <v>90</v>
      </c>
      <c r="C465" s="1">
        <v>11.12</v>
      </c>
      <c r="D465" s="1" t="s">
        <v>292</v>
      </c>
      <c r="E465" t="s">
        <v>105</v>
      </c>
      <c r="F465">
        <f t="shared" si="52"/>
        <v>8364.3432700000703</v>
      </c>
      <c r="G465">
        <f t="shared" si="53"/>
        <v>8364.2999999999993</v>
      </c>
      <c r="H465">
        <f t="shared" si="54"/>
        <v>11.12</v>
      </c>
      <c r="J465">
        <f t="shared" si="50"/>
        <v>8364.3432700000703</v>
      </c>
      <c r="K465">
        <f t="shared" si="55"/>
        <v>8364.25</v>
      </c>
      <c r="L465">
        <f t="shared" si="51"/>
        <v>8364.25</v>
      </c>
      <c r="M465">
        <f t="shared" si="56"/>
        <v>11.12</v>
      </c>
    </row>
    <row r="466" spans="1:13" x14ac:dyDescent="0.25">
      <c r="A466" s="1">
        <v>2458364.3436799999</v>
      </c>
      <c r="B466" s="1" t="s">
        <v>90</v>
      </c>
      <c r="C466" s="1">
        <v>11.135</v>
      </c>
      <c r="D466" s="1" t="s">
        <v>292</v>
      </c>
      <c r="E466" t="s">
        <v>105</v>
      </c>
      <c r="F466">
        <f t="shared" si="52"/>
        <v>8364.3436799999326</v>
      </c>
      <c r="G466">
        <f t="shared" si="53"/>
        <v>8364.2999999999993</v>
      </c>
      <c r="H466">
        <f t="shared" si="54"/>
        <v>11.135</v>
      </c>
      <c r="J466">
        <f t="shared" si="50"/>
        <v>8364.3436799999326</v>
      </c>
      <c r="K466">
        <f t="shared" si="55"/>
        <v>8364.25</v>
      </c>
      <c r="L466">
        <f t="shared" si="51"/>
        <v>8364.25</v>
      </c>
      <c r="M466">
        <f t="shared" si="56"/>
        <v>11.135</v>
      </c>
    </row>
    <row r="467" spans="1:13" x14ac:dyDescent="0.25">
      <c r="A467" s="1">
        <v>2458364.3440800002</v>
      </c>
      <c r="B467" s="1" t="s">
        <v>90</v>
      </c>
      <c r="C467" s="1">
        <v>11.129</v>
      </c>
      <c r="D467" s="1" t="s">
        <v>292</v>
      </c>
      <c r="E467" t="s">
        <v>105</v>
      </c>
      <c r="F467">
        <f t="shared" si="52"/>
        <v>8364.3440800001845</v>
      </c>
      <c r="G467">
        <f t="shared" si="53"/>
        <v>8364.2999999999993</v>
      </c>
      <c r="H467">
        <f t="shared" si="54"/>
        <v>11.129</v>
      </c>
      <c r="J467">
        <f t="shared" si="50"/>
        <v>8364.3440800001845</v>
      </c>
      <c r="K467">
        <f t="shared" si="55"/>
        <v>8364.25</v>
      </c>
      <c r="L467">
        <f t="shared" si="51"/>
        <v>8364.25</v>
      </c>
      <c r="M467">
        <f t="shared" si="56"/>
        <v>11.129</v>
      </c>
    </row>
    <row r="468" spans="1:13" x14ac:dyDescent="0.25">
      <c r="A468" s="1">
        <v>2458364.34449</v>
      </c>
      <c r="B468" s="1" t="s">
        <v>90</v>
      </c>
      <c r="C468" s="1">
        <v>11.138999999999999</v>
      </c>
      <c r="D468" s="1" t="s">
        <v>292</v>
      </c>
      <c r="E468" t="s">
        <v>105</v>
      </c>
      <c r="F468">
        <f t="shared" si="52"/>
        <v>8364.3444900000468</v>
      </c>
      <c r="G468">
        <f t="shared" si="53"/>
        <v>8364.2999999999993</v>
      </c>
      <c r="H468">
        <f t="shared" si="54"/>
        <v>11.138999999999999</v>
      </c>
      <c r="J468">
        <f t="shared" si="50"/>
        <v>8364.3444900000468</v>
      </c>
      <c r="K468">
        <f t="shared" si="55"/>
        <v>8364.25</v>
      </c>
      <c r="L468">
        <f t="shared" si="51"/>
        <v>8364.25</v>
      </c>
      <c r="M468">
        <f t="shared" si="56"/>
        <v>11.138999999999999</v>
      </c>
    </row>
    <row r="469" spans="1:13" x14ac:dyDescent="0.25">
      <c r="A469" s="1">
        <v>2458364.3448899998</v>
      </c>
      <c r="B469" s="1" t="s">
        <v>90</v>
      </c>
      <c r="C469" s="1">
        <v>11.144</v>
      </c>
      <c r="D469" s="1" t="s">
        <v>292</v>
      </c>
      <c r="E469" t="s">
        <v>105</v>
      </c>
      <c r="F469">
        <f t="shared" si="52"/>
        <v>8364.344889999833</v>
      </c>
      <c r="G469">
        <f t="shared" si="53"/>
        <v>8364.2999999999993</v>
      </c>
      <c r="H469">
        <f t="shared" si="54"/>
        <v>11.144</v>
      </c>
      <c r="J469">
        <f t="shared" si="50"/>
        <v>8364.344889999833</v>
      </c>
      <c r="K469">
        <f t="shared" si="55"/>
        <v>8364.25</v>
      </c>
      <c r="L469">
        <f t="shared" si="51"/>
        <v>8364.25</v>
      </c>
      <c r="M469">
        <f t="shared" si="56"/>
        <v>11.144</v>
      </c>
    </row>
    <row r="470" spans="1:13" x14ac:dyDescent="0.25">
      <c r="A470" s="1">
        <v>2458364.3452900001</v>
      </c>
      <c r="B470" s="1" t="s">
        <v>90</v>
      </c>
      <c r="C470" s="1">
        <v>11.147</v>
      </c>
      <c r="D470" s="1" t="s">
        <v>292</v>
      </c>
      <c r="E470" t="s">
        <v>105</v>
      </c>
      <c r="F470">
        <f t="shared" si="52"/>
        <v>8364.3452900000848</v>
      </c>
      <c r="G470">
        <f t="shared" si="53"/>
        <v>8364.2999999999993</v>
      </c>
      <c r="H470">
        <f t="shared" si="54"/>
        <v>11.147</v>
      </c>
      <c r="J470">
        <f t="shared" si="50"/>
        <v>8364.3452900000848</v>
      </c>
      <c r="K470">
        <f t="shared" si="55"/>
        <v>8364.25</v>
      </c>
      <c r="L470">
        <f t="shared" si="51"/>
        <v>8364.25</v>
      </c>
      <c r="M470">
        <f t="shared" si="56"/>
        <v>11.147</v>
      </c>
    </row>
    <row r="471" spans="1:13" x14ac:dyDescent="0.25">
      <c r="A471" s="1">
        <v>2458364.3457300002</v>
      </c>
      <c r="B471" s="1" t="s">
        <v>90</v>
      </c>
      <c r="C471" s="1">
        <v>11.116</v>
      </c>
      <c r="D471" s="1" t="s">
        <v>292</v>
      </c>
      <c r="E471" t="s">
        <v>105</v>
      </c>
      <c r="F471">
        <f t="shared" si="52"/>
        <v>8364.3457300001755</v>
      </c>
      <c r="G471">
        <f t="shared" si="53"/>
        <v>8364.2999999999993</v>
      </c>
      <c r="H471">
        <f t="shared" si="54"/>
        <v>11.116</v>
      </c>
      <c r="J471">
        <f t="shared" si="50"/>
        <v>8364.3457300001755</v>
      </c>
      <c r="K471">
        <f t="shared" si="55"/>
        <v>8364.25</v>
      </c>
      <c r="L471">
        <f t="shared" si="51"/>
        <v>8364.25</v>
      </c>
      <c r="M471">
        <f t="shared" si="56"/>
        <v>11.116</v>
      </c>
    </row>
    <row r="472" spans="1:13" x14ac:dyDescent="0.25">
      <c r="A472" s="1">
        <v>2458364.34613</v>
      </c>
      <c r="B472" s="1" t="s">
        <v>90</v>
      </c>
      <c r="C472" s="1">
        <v>11.144</v>
      </c>
      <c r="D472" s="1" t="s">
        <v>292</v>
      </c>
      <c r="E472" t="s">
        <v>105</v>
      </c>
      <c r="F472">
        <f t="shared" si="52"/>
        <v>8364.3461299999617</v>
      </c>
      <c r="G472">
        <f t="shared" si="53"/>
        <v>8364.2999999999993</v>
      </c>
      <c r="H472">
        <f t="shared" si="54"/>
        <v>11.144</v>
      </c>
      <c r="J472">
        <f t="shared" si="50"/>
        <v>8364.3461299999617</v>
      </c>
      <c r="K472">
        <f t="shared" si="55"/>
        <v>8364.25</v>
      </c>
      <c r="L472">
        <f t="shared" si="51"/>
        <v>8364.25</v>
      </c>
      <c r="M472">
        <f t="shared" si="56"/>
        <v>11.144</v>
      </c>
    </row>
    <row r="473" spans="1:13" x14ac:dyDescent="0.25">
      <c r="A473" s="1">
        <v>2458364.3465399998</v>
      </c>
      <c r="B473" s="1" t="s">
        <v>90</v>
      </c>
      <c r="C473" s="1">
        <v>11.146000000000001</v>
      </c>
      <c r="D473" s="1" t="s">
        <v>292</v>
      </c>
      <c r="E473" t="s">
        <v>105</v>
      </c>
      <c r="F473">
        <f t="shared" si="52"/>
        <v>8364.346539999824</v>
      </c>
      <c r="G473">
        <f t="shared" si="53"/>
        <v>8364.2999999999993</v>
      </c>
      <c r="H473">
        <f t="shared" si="54"/>
        <v>11.146000000000001</v>
      </c>
      <c r="J473">
        <f t="shared" ref="J473:J536" si="57">+F473</f>
        <v>8364.346539999824</v>
      </c>
      <c r="K473">
        <f t="shared" si="55"/>
        <v>8364.25</v>
      </c>
      <c r="L473">
        <f t="shared" ref="L473:L536" si="58">+IF(J473-K473&gt;0.25,K473+0.25,K473)</f>
        <v>8364.25</v>
      </c>
      <c r="M473">
        <f t="shared" si="56"/>
        <v>11.146000000000001</v>
      </c>
    </row>
    <row r="474" spans="1:13" x14ac:dyDescent="0.25">
      <c r="A474" s="1">
        <v>2458364.34693</v>
      </c>
      <c r="B474" s="1" t="s">
        <v>90</v>
      </c>
      <c r="C474" s="1">
        <v>11.14</v>
      </c>
      <c r="D474" s="1" t="s">
        <v>292</v>
      </c>
      <c r="E474" t="s">
        <v>105</v>
      </c>
      <c r="F474">
        <f t="shared" si="52"/>
        <v>8364.3469299999997</v>
      </c>
      <c r="G474">
        <f t="shared" si="53"/>
        <v>8364.2999999999993</v>
      </c>
      <c r="H474">
        <f t="shared" si="54"/>
        <v>11.14</v>
      </c>
      <c r="J474">
        <f t="shared" si="57"/>
        <v>8364.3469299999997</v>
      </c>
      <c r="K474">
        <f t="shared" si="55"/>
        <v>8364.25</v>
      </c>
      <c r="L474">
        <f t="shared" si="58"/>
        <v>8364.25</v>
      </c>
      <c r="M474">
        <f t="shared" si="56"/>
        <v>11.14</v>
      </c>
    </row>
    <row r="475" spans="1:13" x14ac:dyDescent="0.25">
      <c r="A475" s="1">
        <v>2458364.34736</v>
      </c>
      <c r="B475" s="1" t="s">
        <v>90</v>
      </c>
      <c r="C475" s="1">
        <v>11.114000000000001</v>
      </c>
      <c r="D475" s="1" t="s">
        <v>292</v>
      </c>
      <c r="E475" t="s">
        <v>105</v>
      </c>
      <c r="F475">
        <f t="shared" si="52"/>
        <v>8364.3473600000143</v>
      </c>
      <c r="G475">
        <f t="shared" si="53"/>
        <v>8364.2999999999993</v>
      </c>
      <c r="H475">
        <f t="shared" si="54"/>
        <v>11.114000000000001</v>
      </c>
      <c r="J475">
        <f t="shared" si="57"/>
        <v>8364.3473600000143</v>
      </c>
      <c r="K475">
        <f t="shared" si="55"/>
        <v>8364.25</v>
      </c>
      <c r="L475">
        <f t="shared" si="58"/>
        <v>8364.25</v>
      </c>
      <c r="M475">
        <f t="shared" si="56"/>
        <v>11.114000000000001</v>
      </c>
    </row>
    <row r="476" spans="1:13" x14ac:dyDescent="0.25">
      <c r="A476" s="1">
        <v>2458364.3477500002</v>
      </c>
      <c r="B476" s="1" t="s">
        <v>90</v>
      </c>
      <c r="C476" s="1">
        <v>11.135999999999999</v>
      </c>
      <c r="D476" s="1" t="s">
        <v>292</v>
      </c>
      <c r="E476" t="s">
        <v>105</v>
      </c>
      <c r="F476">
        <f t="shared" si="52"/>
        <v>8364.34775000019</v>
      </c>
      <c r="G476">
        <f t="shared" si="53"/>
        <v>8364.2999999999993</v>
      </c>
      <c r="H476">
        <f t="shared" si="54"/>
        <v>11.135999999999999</v>
      </c>
      <c r="J476">
        <f t="shared" si="57"/>
        <v>8364.34775000019</v>
      </c>
      <c r="K476">
        <f t="shared" si="55"/>
        <v>8364.25</v>
      </c>
      <c r="L476">
        <f t="shared" si="58"/>
        <v>8364.25</v>
      </c>
      <c r="M476">
        <f t="shared" si="56"/>
        <v>11.135999999999999</v>
      </c>
    </row>
    <row r="477" spans="1:13" x14ac:dyDescent="0.25">
      <c r="A477" s="1">
        <v>2458364.34815</v>
      </c>
      <c r="B477" s="1" t="s">
        <v>90</v>
      </c>
      <c r="C477" s="1">
        <v>11.151</v>
      </c>
      <c r="D477" s="1" t="s">
        <v>292</v>
      </c>
      <c r="E477" t="s">
        <v>105</v>
      </c>
      <c r="F477">
        <f t="shared" si="52"/>
        <v>8364.3481499999762</v>
      </c>
      <c r="G477">
        <f t="shared" si="53"/>
        <v>8364.2999999999993</v>
      </c>
      <c r="H477">
        <f t="shared" si="54"/>
        <v>11.151</v>
      </c>
      <c r="J477">
        <f t="shared" si="57"/>
        <v>8364.3481499999762</v>
      </c>
      <c r="K477">
        <f t="shared" si="55"/>
        <v>8364.25</v>
      </c>
      <c r="L477">
        <f t="shared" si="58"/>
        <v>8364.25</v>
      </c>
      <c r="M477">
        <f t="shared" si="56"/>
        <v>11.151</v>
      </c>
    </row>
    <row r="478" spans="1:13" x14ac:dyDescent="0.25">
      <c r="A478" s="1">
        <v>2458364.3485400002</v>
      </c>
      <c r="B478" s="1" t="s">
        <v>90</v>
      </c>
      <c r="C478" s="1">
        <v>11.143000000000001</v>
      </c>
      <c r="D478" s="1" t="s">
        <v>292</v>
      </c>
      <c r="E478" t="s">
        <v>105</v>
      </c>
      <c r="F478">
        <f t="shared" si="52"/>
        <v>8364.3485400001518</v>
      </c>
      <c r="G478">
        <f t="shared" si="53"/>
        <v>8364.2999999999993</v>
      </c>
      <c r="H478">
        <f t="shared" si="54"/>
        <v>11.143000000000001</v>
      </c>
      <c r="J478">
        <f t="shared" si="57"/>
        <v>8364.3485400001518</v>
      </c>
      <c r="K478">
        <f t="shared" si="55"/>
        <v>8364.25</v>
      </c>
      <c r="L478">
        <f t="shared" si="58"/>
        <v>8364.25</v>
      </c>
      <c r="M478">
        <f t="shared" si="56"/>
        <v>11.143000000000001</v>
      </c>
    </row>
    <row r="479" spans="1:13" x14ac:dyDescent="0.25">
      <c r="A479" s="1">
        <v>2458364.3489799998</v>
      </c>
      <c r="B479" s="1" t="s">
        <v>90</v>
      </c>
      <c r="C479" s="1">
        <v>11.147</v>
      </c>
      <c r="D479" s="1" t="s">
        <v>292</v>
      </c>
      <c r="E479" t="s">
        <v>105</v>
      </c>
      <c r="F479">
        <f t="shared" si="52"/>
        <v>8364.3489799997769</v>
      </c>
      <c r="G479">
        <f t="shared" si="53"/>
        <v>8364.2999999999993</v>
      </c>
      <c r="H479">
        <f t="shared" si="54"/>
        <v>11.147</v>
      </c>
      <c r="J479">
        <f t="shared" si="57"/>
        <v>8364.3489799997769</v>
      </c>
      <c r="K479">
        <f t="shared" si="55"/>
        <v>8364.25</v>
      </c>
      <c r="L479">
        <f t="shared" si="58"/>
        <v>8364.25</v>
      </c>
      <c r="M479">
        <f t="shared" si="56"/>
        <v>11.147</v>
      </c>
    </row>
    <row r="480" spans="1:13" x14ac:dyDescent="0.25">
      <c r="A480" s="1">
        <v>2458364.34937</v>
      </c>
      <c r="B480" s="1" t="s">
        <v>90</v>
      </c>
      <c r="C480" s="1">
        <v>11.141</v>
      </c>
      <c r="D480" s="1" t="s">
        <v>292</v>
      </c>
      <c r="E480" t="s">
        <v>105</v>
      </c>
      <c r="F480">
        <f t="shared" si="52"/>
        <v>8364.3493699999526</v>
      </c>
      <c r="G480">
        <f t="shared" si="53"/>
        <v>8364.2999999999993</v>
      </c>
      <c r="H480">
        <f t="shared" si="54"/>
        <v>11.141</v>
      </c>
      <c r="J480">
        <f t="shared" si="57"/>
        <v>8364.3493699999526</v>
      </c>
      <c r="K480">
        <f t="shared" si="55"/>
        <v>8364.25</v>
      </c>
      <c r="L480">
        <f t="shared" si="58"/>
        <v>8364.25</v>
      </c>
      <c r="M480">
        <f t="shared" si="56"/>
        <v>11.141</v>
      </c>
    </row>
    <row r="481" spans="1:13" x14ac:dyDescent="0.25">
      <c r="A481" s="1">
        <v>2458364.3497700002</v>
      </c>
      <c r="B481" s="1" t="s">
        <v>90</v>
      </c>
      <c r="C481" s="1">
        <v>11.143000000000001</v>
      </c>
      <c r="D481" s="1" t="s">
        <v>292</v>
      </c>
      <c r="E481" t="s">
        <v>105</v>
      </c>
      <c r="F481">
        <f t="shared" si="52"/>
        <v>8364.3497700002044</v>
      </c>
      <c r="G481">
        <f t="shared" si="53"/>
        <v>8364.2999999999993</v>
      </c>
      <c r="H481">
        <f t="shared" si="54"/>
        <v>11.143000000000001</v>
      </c>
      <c r="J481">
        <f t="shared" si="57"/>
        <v>8364.3497700002044</v>
      </c>
      <c r="K481">
        <f t="shared" si="55"/>
        <v>8364.25</v>
      </c>
      <c r="L481">
        <f t="shared" si="58"/>
        <v>8364.25</v>
      </c>
      <c r="M481">
        <f t="shared" si="56"/>
        <v>11.143000000000001</v>
      </c>
    </row>
    <row r="482" spans="1:13" x14ac:dyDescent="0.25">
      <c r="A482" s="1">
        <v>2458364.3502000002</v>
      </c>
      <c r="B482" s="1" t="s">
        <v>90</v>
      </c>
      <c r="C482" s="1">
        <v>11.111000000000001</v>
      </c>
      <c r="D482" s="1" t="s">
        <v>292</v>
      </c>
      <c r="E482" t="s">
        <v>105</v>
      </c>
      <c r="F482">
        <f t="shared" si="52"/>
        <v>8364.350200000219</v>
      </c>
      <c r="G482">
        <f t="shared" si="53"/>
        <v>8364.4</v>
      </c>
      <c r="H482">
        <f t="shared" si="54"/>
        <v>11.111000000000001</v>
      </c>
      <c r="J482">
        <f t="shared" si="57"/>
        <v>8364.350200000219</v>
      </c>
      <c r="K482">
        <f t="shared" si="55"/>
        <v>8364.25</v>
      </c>
      <c r="L482">
        <f t="shared" si="58"/>
        <v>8364.25</v>
      </c>
      <c r="M482">
        <f t="shared" si="56"/>
        <v>11.111000000000001</v>
      </c>
    </row>
    <row r="483" spans="1:13" x14ac:dyDescent="0.25">
      <c r="A483" s="1">
        <v>2458364.3505899999</v>
      </c>
      <c r="B483" s="1" t="s">
        <v>90</v>
      </c>
      <c r="C483" s="1">
        <v>11.134</v>
      </c>
      <c r="D483" s="1" t="s">
        <v>292</v>
      </c>
      <c r="E483" t="s">
        <v>105</v>
      </c>
      <c r="F483">
        <f t="shared" si="52"/>
        <v>8364.3505899999291</v>
      </c>
      <c r="G483">
        <f t="shared" si="53"/>
        <v>8364.4</v>
      </c>
      <c r="H483">
        <f t="shared" si="54"/>
        <v>11.134</v>
      </c>
      <c r="J483">
        <f t="shared" si="57"/>
        <v>8364.3505899999291</v>
      </c>
      <c r="K483">
        <f t="shared" si="55"/>
        <v>8364.25</v>
      </c>
      <c r="L483">
        <f t="shared" si="58"/>
        <v>8364.25</v>
      </c>
      <c r="M483">
        <f t="shared" si="56"/>
        <v>11.134</v>
      </c>
    </row>
    <row r="484" spans="1:13" x14ac:dyDescent="0.25">
      <c r="A484" s="1">
        <v>2458364.3509800001</v>
      </c>
      <c r="B484" s="1" t="s">
        <v>90</v>
      </c>
      <c r="C484" s="1">
        <v>11.116</v>
      </c>
      <c r="D484" s="1" t="s">
        <v>292</v>
      </c>
      <c r="E484" t="s">
        <v>105</v>
      </c>
      <c r="F484">
        <f t="shared" si="52"/>
        <v>8364.3509800001048</v>
      </c>
      <c r="G484">
        <f t="shared" si="53"/>
        <v>8364.4</v>
      </c>
      <c r="H484">
        <f t="shared" si="54"/>
        <v>11.116</v>
      </c>
      <c r="J484">
        <f t="shared" si="57"/>
        <v>8364.3509800001048</v>
      </c>
      <c r="K484">
        <f t="shared" si="55"/>
        <v>8364.25</v>
      </c>
      <c r="L484">
        <f t="shared" si="58"/>
        <v>8364.25</v>
      </c>
      <c r="M484">
        <f t="shared" si="56"/>
        <v>11.116</v>
      </c>
    </row>
    <row r="485" spans="1:13" x14ac:dyDescent="0.25">
      <c r="A485" s="1">
        <v>2458364.35182</v>
      </c>
      <c r="B485" s="1" t="s">
        <v>90</v>
      </c>
      <c r="C485" s="1">
        <v>11.145</v>
      </c>
      <c r="D485" s="1" t="s">
        <v>292</v>
      </c>
      <c r="E485" t="s">
        <v>105</v>
      </c>
      <c r="F485">
        <f t="shared" si="52"/>
        <v>8364.3518199999817</v>
      </c>
      <c r="G485">
        <f t="shared" si="53"/>
        <v>8364.4</v>
      </c>
      <c r="H485">
        <f t="shared" si="54"/>
        <v>11.145</v>
      </c>
      <c r="J485">
        <f t="shared" si="57"/>
        <v>8364.3518199999817</v>
      </c>
      <c r="K485">
        <f t="shared" si="55"/>
        <v>8364.25</v>
      </c>
      <c r="L485">
        <f t="shared" si="58"/>
        <v>8364.25</v>
      </c>
      <c r="M485">
        <f t="shared" si="56"/>
        <v>11.145</v>
      </c>
    </row>
    <row r="486" spans="1:13" x14ac:dyDescent="0.25">
      <c r="A486" s="1">
        <v>2458364.35244</v>
      </c>
      <c r="B486" s="1" t="s">
        <v>90</v>
      </c>
      <c r="C486" s="1">
        <v>11.121</v>
      </c>
      <c r="D486" s="1" t="s">
        <v>292</v>
      </c>
      <c r="E486" t="s">
        <v>101</v>
      </c>
      <c r="F486">
        <f t="shared" si="52"/>
        <v>8364.352440000046</v>
      </c>
      <c r="G486">
        <f t="shared" si="53"/>
        <v>8364.4</v>
      </c>
      <c r="H486">
        <f t="shared" si="54"/>
        <v>11.121</v>
      </c>
      <c r="J486">
        <f t="shared" si="57"/>
        <v>8364.352440000046</v>
      </c>
      <c r="K486">
        <f t="shared" si="55"/>
        <v>8364.25</v>
      </c>
      <c r="L486">
        <f t="shared" si="58"/>
        <v>8364.25</v>
      </c>
      <c r="M486">
        <f t="shared" si="56"/>
        <v>11.121</v>
      </c>
    </row>
    <row r="487" spans="1:13" x14ac:dyDescent="0.25">
      <c r="A487" s="1">
        <v>2458364.3530000001</v>
      </c>
      <c r="B487" s="1" t="s">
        <v>90</v>
      </c>
      <c r="C487" s="1">
        <v>11.159000000000001</v>
      </c>
      <c r="D487" s="1" t="s">
        <v>292</v>
      </c>
      <c r="E487" t="s">
        <v>105</v>
      </c>
      <c r="F487">
        <f t="shared" si="52"/>
        <v>8364.3530000001192</v>
      </c>
      <c r="G487">
        <f t="shared" si="53"/>
        <v>8364.4</v>
      </c>
      <c r="H487">
        <f t="shared" si="54"/>
        <v>11.159000000000001</v>
      </c>
      <c r="J487">
        <f t="shared" si="57"/>
        <v>8364.3530000001192</v>
      </c>
      <c r="K487">
        <f t="shared" si="55"/>
        <v>8364.25</v>
      </c>
      <c r="L487">
        <f t="shared" si="58"/>
        <v>8364.25</v>
      </c>
      <c r="M487">
        <f t="shared" si="56"/>
        <v>11.159000000000001</v>
      </c>
    </row>
    <row r="488" spans="1:13" x14ac:dyDescent="0.25">
      <c r="A488" s="1">
        <v>2458364.3531800001</v>
      </c>
      <c r="B488" s="1" t="s">
        <v>90</v>
      </c>
      <c r="C488" s="1">
        <v>11.116</v>
      </c>
      <c r="D488" s="1" t="s">
        <v>292</v>
      </c>
      <c r="E488" t="s">
        <v>101</v>
      </c>
      <c r="F488">
        <f t="shared" si="52"/>
        <v>8364.3531800000928</v>
      </c>
      <c r="G488">
        <f t="shared" si="53"/>
        <v>8364.4</v>
      </c>
      <c r="H488">
        <f t="shared" si="54"/>
        <v>11.116</v>
      </c>
      <c r="J488">
        <f t="shared" si="57"/>
        <v>8364.3531800000928</v>
      </c>
      <c r="K488">
        <f t="shared" si="55"/>
        <v>8364.25</v>
      </c>
      <c r="L488">
        <f t="shared" si="58"/>
        <v>8364.25</v>
      </c>
      <c r="M488">
        <f t="shared" si="56"/>
        <v>11.116</v>
      </c>
    </row>
    <row r="489" spans="1:13" x14ac:dyDescent="0.25">
      <c r="A489" s="1">
        <v>2458364.3534200001</v>
      </c>
      <c r="B489" s="1" t="s">
        <v>90</v>
      </c>
      <c r="C489" s="1">
        <v>11.147</v>
      </c>
      <c r="D489" s="1" t="s">
        <v>292</v>
      </c>
      <c r="E489" t="s">
        <v>105</v>
      </c>
      <c r="F489">
        <f t="shared" si="52"/>
        <v>8364.3534200000577</v>
      </c>
      <c r="G489">
        <f t="shared" si="53"/>
        <v>8364.4</v>
      </c>
      <c r="H489">
        <f t="shared" si="54"/>
        <v>11.147</v>
      </c>
      <c r="J489">
        <f t="shared" si="57"/>
        <v>8364.3534200000577</v>
      </c>
      <c r="K489">
        <f t="shared" si="55"/>
        <v>8364.25</v>
      </c>
      <c r="L489">
        <f t="shared" si="58"/>
        <v>8364.25</v>
      </c>
      <c r="M489">
        <f t="shared" si="56"/>
        <v>11.147</v>
      </c>
    </row>
    <row r="490" spans="1:13" x14ac:dyDescent="0.25">
      <c r="A490" s="1">
        <v>2458364.3538199998</v>
      </c>
      <c r="B490" s="1" t="s">
        <v>90</v>
      </c>
      <c r="C490" s="1">
        <v>11.167</v>
      </c>
      <c r="D490" s="1" t="s">
        <v>292</v>
      </c>
      <c r="E490" t="s">
        <v>105</v>
      </c>
      <c r="F490">
        <f t="shared" si="52"/>
        <v>8364.3538199998438</v>
      </c>
      <c r="G490">
        <f t="shared" si="53"/>
        <v>8364.4</v>
      </c>
      <c r="H490">
        <f t="shared" si="54"/>
        <v>11.167</v>
      </c>
      <c r="J490">
        <f t="shared" si="57"/>
        <v>8364.3538199998438</v>
      </c>
      <c r="K490">
        <f t="shared" si="55"/>
        <v>8364.25</v>
      </c>
      <c r="L490">
        <f t="shared" si="58"/>
        <v>8364.25</v>
      </c>
      <c r="M490">
        <f t="shared" si="56"/>
        <v>11.167</v>
      </c>
    </row>
    <row r="491" spans="1:13" x14ac:dyDescent="0.25">
      <c r="A491" s="1">
        <v>2458364.35421</v>
      </c>
      <c r="B491" s="1" t="s">
        <v>90</v>
      </c>
      <c r="C491" s="1">
        <v>11.134</v>
      </c>
      <c r="D491" s="1" t="s">
        <v>292</v>
      </c>
      <c r="E491" t="s">
        <v>105</v>
      </c>
      <c r="F491">
        <f t="shared" si="52"/>
        <v>8364.3542100000195</v>
      </c>
      <c r="G491">
        <f t="shared" si="53"/>
        <v>8364.4</v>
      </c>
      <c r="H491">
        <f t="shared" si="54"/>
        <v>11.134</v>
      </c>
      <c r="J491">
        <f t="shared" si="57"/>
        <v>8364.3542100000195</v>
      </c>
      <c r="K491">
        <f t="shared" si="55"/>
        <v>8364.25</v>
      </c>
      <c r="L491">
        <f t="shared" si="58"/>
        <v>8364.25</v>
      </c>
      <c r="M491">
        <f t="shared" si="56"/>
        <v>11.134</v>
      </c>
    </row>
    <row r="492" spans="1:13" x14ac:dyDescent="0.25">
      <c r="A492" s="1">
        <v>2458364.3546099998</v>
      </c>
      <c r="B492" s="1" t="s">
        <v>90</v>
      </c>
      <c r="C492" s="1">
        <v>11.137</v>
      </c>
      <c r="D492" s="1" t="s">
        <v>292</v>
      </c>
      <c r="E492" t="s">
        <v>105</v>
      </c>
      <c r="F492">
        <f t="shared" si="52"/>
        <v>8364.3546099998057</v>
      </c>
      <c r="G492">
        <f t="shared" si="53"/>
        <v>8364.4</v>
      </c>
      <c r="H492">
        <f t="shared" si="54"/>
        <v>11.137</v>
      </c>
      <c r="J492">
        <f t="shared" si="57"/>
        <v>8364.3546099998057</v>
      </c>
      <c r="K492">
        <f t="shared" si="55"/>
        <v>8364.25</v>
      </c>
      <c r="L492">
        <f t="shared" si="58"/>
        <v>8364.25</v>
      </c>
      <c r="M492">
        <f t="shared" si="56"/>
        <v>11.137</v>
      </c>
    </row>
    <row r="493" spans="1:13" x14ac:dyDescent="0.25">
      <c r="A493" s="1">
        <v>2458364.3550300002</v>
      </c>
      <c r="B493" s="1" t="s">
        <v>90</v>
      </c>
      <c r="C493" s="1">
        <v>11.148</v>
      </c>
      <c r="D493" s="1" t="s">
        <v>292</v>
      </c>
      <c r="E493" t="s">
        <v>105</v>
      </c>
      <c r="F493">
        <f t="shared" si="52"/>
        <v>8364.3550300002098</v>
      </c>
      <c r="G493">
        <f t="shared" si="53"/>
        <v>8364.4</v>
      </c>
      <c r="H493">
        <f t="shared" si="54"/>
        <v>11.148</v>
      </c>
      <c r="J493">
        <f t="shared" si="57"/>
        <v>8364.3550300002098</v>
      </c>
      <c r="K493">
        <f t="shared" si="55"/>
        <v>8364.25</v>
      </c>
      <c r="L493">
        <f t="shared" si="58"/>
        <v>8364.25</v>
      </c>
      <c r="M493">
        <f t="shared" si="56"/>
        <v>11.148</v>
      </c>
    </row>
    <row r="494" spans="1:13" x14ac:dyDescent="0.25">
      <c r="A494" s="1">
        <v>2458364.3558200002</v>
      </c>
      <c r="B494" s="1" t="s">
        <v>90</v>
      </c>
      <c r="C494" s="1">
        <v>11.132</v>
      </c>
      <c r="D494" s="1" t="s">
        <v>292</v>
      </c>
      <c r="E494" t="s">
        <v>105</v>
      </c>
      <c r="F494">
        <f t="shared" si="52"/>
        <v>8364.3558200001717</v>
      </c>
      <c r="G494">
        <f t="shared" si="53"/>
        <v>8364.4</v>
      </c>
      <c r="H494">
        <f t="shared" si="54"/>
        <v>11.132</v>
      </c>
      <c r="J494">
        <f t="shared" si="57"/>
        <v>8364.3558200001717</v>
      </c>
      <c r="K494">
        <f t="shared" si="55"/>
        <v>8364.25</v>
      </c>
      <c r="L494">
        <f t="shared" si="58"/>
        <v>8364.25</v>
      </c>
      <c r="M494">
        <f t="shared" si="56"/>
        <v>11.132</v>
      </c>
    </row>
    <row r="495" spans="1:13" x14ac:dyDescent="0.25">
      <c r="A495" s="1">
        <v>2458364.35623</v>
      </c>
      <c r="B495" s="1" t="s">
        <v>90</v>
      </c>
      <c r="C495" s="1">
        <v>11.137</v>
      </c>
      <c r="D495" s="1" t="s">
        <v>292</v>
      </c>
      <c r="E495" t="s">
        <v>105</v>
      </c>
      <c r="F495">
        <f t="shared" si="52"/>
        <v>8364.356230000034</v>
      </c>
      <c r="G495">
        <f t="shared" si="53"/>
        <v>8364.4</v>
      </c>
      <c r="H495">
        <f t="shared" si="54"/>
        <v>11.137</v>
      </c>
      <c r="J495">
        <f t="shared" si="57"/>
        <v>8364.356230000034</v>
      </c>
      <c r="K495">
        <f t="shared" si="55"/>
        <v>8364.25</v>
      </c>
      <c r="L495">
        <f t="shared" si="58"/>
        <v>8364.25</v>
      </c>
      <c r="M495">
        <f t="shared" si="56"/>
        <v>11.137</v>
      </c>
    </row>
    <row r="496" spans="1:13" x14ac:dyDescent="0.25">
      <c r="A496" s="1">
        <v>2458364.35665</v>
      </c>
      <c r="B496" s="1" t="s">
        <v>90</v>
      </c>
      <c r="C496" s="1">
        <v>11.137</v>
      </c>
      <c r="D496" s="1" t="s">
        <v>292</v>
      </c>
      <c r="E496" t="s">
        <v>105</v>
      </c>
      <c r="F496">
        <f t="shared" si="52"/>
        <v>8364.3566499999724</v>
      </c>
      <c r="G496">
        <f t="shared" si="53"/>
        <v>8364.4</v>
      </c>
      <c r="H496">
        <f t="shared" si="54"/>
        <v>11.137</v>
      </c>
      <c r="J496">
        <f t="shared" si="57"/>
        <v>8364.3566499999724</v>
      </c>
      <c r="K496">
        <f t="shared" si="55"/>
        <v>8364.25</v>
      </c>
      <c r="L496">
        <f t="shared" si="58"/>
        <v>8364.25</v>
      </c>
      <c r="M496">
        <f t="shared" si="56"/>
        <v>11.137</v>
      </c>
    </row>
    <row r="497" spans="1:13" x14ac:dyDescent="0.25">
      <c r="A497" s="1">
        <v>2458364.3570500002</v>
      </c>
      <c r="B497" s="1" t="s">
        <v>90</v>
      </c>
      <c r="C497" s="1">
        <v>11.15</v>
      </c>
      <c r="D497" s="1" t="s">
        <v>292</v>
      </c>
      <c r="E497" t="s">
        <v>105</v>
      </c>
      <c r="F497">
        <f t="shared" si="52"/>
        <v>8364.3570500002243</v>
      </c>
      <c r="G497">
        <f t="shared" si="53"/>
        <v>8364.4</v>
      </c>
      <c r="H497">
        <f t="shared" si="54"/>
        <v>11.15</v>
      </c>
      <c r="J497">
        <f t="shared" si="57"/>
        <v>8364.3570500002243</v>
      </c>
      <c r="K497">
        <f t="shared" si="55"/>
        <v>8364.25</v>
      </c>
      <c r="L497">
        <f t="shared" si="58"/>
        <v>8364.25</v>
      </c>
      <c r="M497">
        <f t="shared" si="56"/>
        <v>11.15</v>
      </c>
    </row>
    <row r="498" spans="1:13" x14ac:dyDescent="0.25">
      <c r="A498" s="1">
        <v>2458364.3574399999</v>
      </c>
      <c r="B498" s="1" t="s">
        <v>90</v>
      </c>
      <c r="C498" s="1">
        <v>11.129</v>
      </c>
      <c r="D498" s="1" t="s">
        <v>292</v>
      </c>
      <c r="E498" t="s">
        <v>105</v>
      </c>
      <c r="F498">
        <f t="shared" si="52"/>
        <v>8364.3574399999343</v>
      </c>
      <c r="G498">
        <f t="shared" si="53"/>
        <v>8364.4</v>
      </c>
      <c r="H498">
        <f t="shared" si="54"/>
        <v>11.129</v>
      </c>
      <c r="J498">
        <f t="shared" si="57"/>
        <v>8364.3574399999343</v>
      </c>
      <c r="K498">
        <f t="shared" si="55"/>
        <v>8364.25</v>
      </c>
      <c r="L498">
        <f t="shared" si="58"/>
        <v>8364.25</v>
      </c>
      <c r="M498">
        <f t="shared" si="56"/>
        <v>11.129</v>
      </c>
    </row>
    <row r="499" spans="1:13" x14ac:dyDescent="0.25">
      <c r="A499" s="1">
        <v>2458364.3578300001</v>
      </c>
      <c r="B499" s="1" t="s">
        <v>90</v>
      </c>
      <c r="C499" s="1">
        <v>11.164999999999999</v>
      </c>
      <c r="D499" s="1" t="s">
        <v>292</v>
      </c>
      <c r="E499" t="s">
        <v>105</v>
      </c>
      <c r="F499">
        <f t="shared" si="52"/>
        <v>8364.35783000011</v>
      </c>
      <c r="G499">
        <f t="shared" si="53"/>
        <v>8364.4</v>
      </c>
      <c r="H499">
        <f t="shared" si="54"/>
        <v>11.164999999999999</v>
      </c>
      <c r="J499">
        <f t="shared" si="57"/>
        <v>8364.35783000011</v>
      </c>
      <c r="K499">
        <f t="shared" si="55"/>
        <v>8364.25</v>
      </c>
      <c r="L499">
        <f t="shared" si="58"/>
        <v>8364.25</v>
      </c>
      <c r="M499">
        <f t="shared" si="56"/>
        <v>11.164999999999999</v>
      </c>
    </row>
    <row r="500" spans="1:13" x14ac:dyDescent="0.25">
      <c r="A500" s="1">
        <v>2458364.3582600001</v>
      </c>
      <c r="B500" s="1" t="s">
        <v>90</v>
      </c>
      <c r="C500" s="1">
        <v>11.116</v>
      </c>
      <c r="D500" s="1" t="s">
        <v>292</v>
      </c>
      <c r="E500" t="s">
        <v>105</v>
      </c>
      <c r="F500">
        <f t="shared" si="52"/>
        <v>8364.3582600001246</v>
      </c>
      <c r="G500">
        <f t="shared" si="53"/>
        <v>8364.4</v>
      </c>
      <c r="H500">
        <f t="shared" si="54"/>
        <v>11.116</v>
      </c>
      <c r="J500">
        <f t="shared" si="57"/>
        <v>8364.3582600001246</v>
      </c>
      <c r="K500">
        <f t="shared" si="55"/>
        <v>8364.25</v>
      </c>
      <c r="L500">
        <f t="shared" si="58"/>
        <v>8364.25</v>
      </c>
      <c r="M500">
        <f t="shared" si="56"/>
        <v>11.116</v>
      </c>
    </row>
    <row r="501" spans="1:13" x14ac:dyDescent="0.25">
      <c r="A501" s="1">
        <v>2458364.3586599999</v>
      </c>
      <c r="B501" s="1" t="s">
        <v>90</v>
      </c>
      <c r="C501" s="1">
        <v>11.135</v>
      </c>
      <c r="D501" s="1" t="s">
        <v>292</v>
      </c>
      <c r="E501" t="s">
        <v>105</v>
      </c>
      <c r="F501">
        <f t="shared" si="52"/>
        <v>8364.3586599999107</v>
      </c>
      <c r="G501">
        <f t="shared" si="53"/>
        <v>8364.4</v>
      </c>
      <c r="H501">
        <f t="shared" si="54"/>
        <v>11.135</v>
      </c>
      <c r="J501">
        <f t="shared" si="57"/>
        <v>8364.3586599999107</v>
      </c>
      <c r="K501">
        <f t="shared" si="55"/>
        <v>8364.25</v>
      </c>
      <c r="L501">
        <f t="shared" si="58"/>
        <v>8364.25</v>
      </c>
      <c r="M501">
        <f t="shared" si="56"/>
        <v>11.135</v>
      </c>
    </row>
    <row r="502" spans="1:13" x14ac:dyDescent="0.25">
      <c r="A502" s="1">
        <v>2458364.3590500001</v>
      </c>
      <c r="B502" s="1" t="s">
        <v>90</v>
      </c>
      <c r="C502" s="1">
        <v>11.146000000000001</v>
      </c>
      <c r="D502" s="1" t="s">
        <v>292</v>
      </c>
      <c r="E502" t="s">
        <v>105</v>
      </c>
      <c r="F502">
        <f t="shared" si="52"/>
        <v>8364.3590500000864</v>
      </c>
      <c r="G502">
        <f t="shared" si="53"/>
        <v>8364.4</v>
      </c>
      <c r="H502">
        <f t="shared" si="54"/>
        <v>11.146000000000001</v>
      </c>
      <c r="J502">
        <f t="shared" si="57"/>
        <v>8364.3590500000864</v>
      </c>
      <c r="K502">
        <f t="shared" si="55"/>
        <v>8364.25</v>
      </c>
      <c r="L502">
        <f t="shared" si="58"/>
        <v>8364.25</v>
      </c>
      <c r="M502">
        <f t="shared" si="56"/>
        <v>11.146000000000001</v>
      </c>
    </row>
    <row r="503" spans="1:13" x14ac:dyDescent="0.25">
      <c r="A503" s="1">
        <v>2458364.3594399998</v>
      </c>
      <c r="B503" s="1" t="s">
        <v>90</v>
      </c>
      <c r="C503" s="1">
        <v>11.122</v>
      </c>
      <c r="D503" s="1" t="s">
        <v>292</v>
      </c>
      <c r="E503" t="s">
        <v>105</v>
      </c>
      <c r="F503">
        <f t="shared" si="52"/>
        <v>8364.3594399997965</v>
      </c>
      <c r="G503">
        <f t="shared" si="53"/>
        <v>8364.4</v>
      </c>
      <c r="H503">
        <f t="shared" si="54"/>
        <v>11.122</v>
      </c>
      <c r="J503">
        <f t="shared" si="57"/>
        <v>8364.3594399997965</v>
      </c>
      <c r="K503">
        <f t="shared" si="55"/>
        <v>8364.25</v>
      </c>
      <c r="L503">
        <f t="shared" si="58"/>
        <v>8364.25</v>
      </c>
      <c r="M503">
        <f t="shared" si="56"/>
        <v>11.122</v>
      </c>
    </row>
    <row r="504" spans="1:13" x14ac:dyDescent="0.25">
      <c r="A504" s="1">
        <v>2458364.35984</v>
      </c>
      <c r="B504" s="1" t="s">
        <v>90</v>
      </c>
      <c r="C504" s="1">
        <v>11.134</v>
      </c>
      <c r="D504" s="1" t="s">
        <v>292</v>
      </c>
      <c r="E504" t="s">
        <v>105</v>
      </c>
      <c r="F504">
        <f t="shared" si="52"/>
        <v>8364.3598400000483</v>
      </c>
      <c r="G504">
        <f t="shared" si="53"/>
        <v>8364.4</v>
      </c>
      <c r="H504">
        <f t="shared" si="54"/>
        <v>11.134</v>
      </c>
      <c r="J504">
        <f t="shared" si="57"/>
        <v>8364.3598400000483</v>
      </c>
      <c r="K504">
        <f t="shared" si="55"/>
        <v>8364.25</v>
      </c>
      <c r="L504">
        <f t="shared" si="58"/>
        <v>8364.25</v>
      </c>
      <c r="M504">
        <f t="shared" si="56"/>
        <v>11.134</v>
      </c>
    </row>
    <row r="505" spans="1:13" x14ac:dyDescent="0.25">
      <c r="A505" s="1">
        <v>2458364.3602300002</v>
      </c>
      <c r="B505" s="1" t="s">
        <v>90</v>
      </c>
      <c r="C505" s="1">
        <v>11.137</v>
      </c>
      <c r="D505" s="1" t="s">
        <v>292</v>
      </c>
      <c r="E505" t="s">
        <v>105</v>
      </c>
      <c r="F505">
        <f t="shared" si="52"/>
        <v>8364.360230000224</v>
      </c>
      <c r="G505">
        <f t="shared" si="53"/>
        <v>8364.4</v>
      </c>
      <c r="H505">
        <f t="shared" si="54"/>
        <v>11.137</v>
      </c>
      <c r="J505">
        <f t="shared" si="57"/>
        <v>8364.360230000224</v>
      </c>
      <c r="K505">
        <f t="shared" si="55"/>
        <v>8364.25</v>
      </c>
      <c r="L505">
        <f t="shared" si="58"/>
        <v>8364.25</v>
      </c>
      <c r="M505">
        <f t="shared" si="56"/>
        <v>11.137</v>
      </c>
    </row>
    <row r="506" spans="1:13" x14ac:dyDescent="0.25">
      <c r="A506" s="1">
        <v>2458364.3606400001</v>
      </c>
      <c r="B506" s="1" t="s">
        <v>90</v>
      </c>
      <c r="C506" s="1">
        <v>11.161</v>
      </c>
      <c r="D506" s="1" t="s">
        <v>292</v>
      </c>
      <c r="E506" t="s">
        <v>105</v>
      </c>
      <c r="F506">
        <f t="shared" si="52"/>
        <v>8364.3606400000863</v>
      </c>
      <c r="G506">
        <f t="shared" si="53"/>
        <v>8364.4</v>
      </c>
      <c r="H506">
        <f t="shared" si="54"/>
        <v>11.161</v>
      </c>
      <c r="J506">
        <f t="shared" si="57"/>
        <v>8364.3606400000863</v>
      </c>
      <c r="K506">
        <f t="shared" si="55"/>
        <v>8364.25</v>
      </c>
      <c r="L506">
        <f t="shared" si="58"/>
        <v>8364.25</v>
      </c>
      <c r="M506">
        <f t="shared" si="56"/>
        <v>11.161</v>
      </c>
    </row>
    <row r="507" spans="1:13" x14ac:dyDescent="0.25">
      <c r="A507" s="1">
        <v>2458364.3610299998</v>
      </c>
      <c r="B507" s="1" t="s">
        <v>90</v>
      </c>
      <c r="C507" s="1">
        <v>11.132999999999999</v>
      </c>
      <c r="D507" s="1" t="s">
        <v>292</v>
      </c>
      <c r="E507" t="s">
        <v>105</v>
      </c>
      <c r="F507">
        <f t="shared" si="52"/>
        <v>8364.3610299997963</v>
      </c>
      <c r="G507">
        <f t="shared" si="53"/>
        <v>8364.4</v>
      </c>
      <c r="H507">
        <f t="shared" si="54"/>
        <v>11.132999999999999</v>
      </c>
      <c r="J507">
        <f t="shared" si="57"/>
        <v>8364.3610299997963</v>
      </c>
      <c r="K507">
        <f t="shared" si="55"/>
        <v>8364.25</v>
      </c>
      <c r="L507">
        <f t="shared" si="58"/>
        <v>8364.25</v>
      </c>
      <c r="M507">
        <f t="shared" si="56"/>
        <v>11.132999999999999</v>
      </c>
    </row>
    <row r="508" spans="1:13" x14ac:dyDescent="0.25">
      <c r="A508" s="1">
        <v>2458364.36142</v>
      </c>
      <c r="B508" s="1" t="s">
        <v>90</v>
      </c>
      <c r="C508" s="1">
        <v>11.14</v>
      </c>
      <c r="D508" s="1" t="s">
        <v>292</v>
      </c>
      <c r="E508" t="s">
        <v>105</v>
      </c>
      <c r="F508">
        <f t="shared" si="52"/>
        <v>8364.361419999972</v>
      </c>
      <c r="G508">
        <f t="shared" si="53"/>
        <v>8364.4</v>
      </c>
      <c r="H508">
        <f t="shared" si="54"/>
        <v>11.14</v>
      </c>
      <c r="J508">
        <f t="shared" si="57"/>
        <v>8364.361419999972</v>
      </c>
      <c r="K508">
        <f t="shared" si="55"/>
        <v>8364.25</v>
      </c>
      <c r="L508">
        <f t="shared" si="58"/>
        <v>8364.25</v>
      </c>
      <c r="M508">
        <f t="shared" si="56"/>
        <v>11.14</v>
      </c>
    </row>
    <row r="509" spans="1:13" x14ac:dyDescent="0.25">
      <c r="A509" s="1">
        <v>2458364.3618299998</v>
      </c>
      <c r="B509" s="1" t="s">
        <v>90</v>
      </c>
      <c r="C509" s="1">
        <v>11.138999999999999</v>
      </c>
      <c r="D509" s="1" t="s">
        <v>292</v>
      </c>
      <c r="E509" t="s">
        <v>105</v>
      </c>
      <c r="F509">
        <f t="shared" si="52"/>
        <v>8364.3618299998343</v>
      </c>
      <c r="G509">
        <f t="shared" si="53"/>
        <v>8364.4</v>
      </c>
      <c r="H509">
        <f t="shared" si="54"/>
        <v>11.138999999999999</v>
      </c>
      <c r="J509">
        <f t="shared" si="57"/>
        <v>8364.3618299998343</v>
      </c>
      <c r="K509">
        <f t="shared" si="55"/>
        <v>8364.25</v>
      </c>
      <c r="L509">
        <f t="shared" si="58"/>
        <v>8364.25</v>
      </c>
      <c r="M509">
        <f t="shared" si="56"/>
        <v>11.138999999999999</v>
      </c>
    </row>
    <row r="510" spans="1:13" x14ac:dyDescent="0.25">
      <c r="A510" s="1">
        <v>2458364.3622300001</v>
      </c>
      <c r="B510" s="1" t="s">
        <v>90</v>
      </c>
      <c r="C510" s="1">
        <v>11.134</v>
      </c>
      <c r="D510" s="1" t="s">
        <v>292</v>
      </c>
      <c r="E510" t="s">
        <v>105</v>
      </c>
      <c r="F510">
        <f t="shared" si="52"/>
        <v>8364.3622300000861</v>
      </c>
      <c r="G510">
        <f t="shared" si="53"/>
        <v>8364.4</v>
      </c>
      <c r="H510">
        <f t="shared" si="54"/>
        <v>11.134</v>
      </c>
      <c r="J510">
        <f t="shared" si="57"/>
        <v>8364.3622300000861</v>
      </c>
      <c r="K510">
        <f t="shared" si="55"/>
        <v>8364.25</v>
      </c>
      <c r="L510">
        <f t="shared" si="58"/>
        <v>8364.25</v>
      </c>
      <c r="M510">
        <f t="shared" si="56"/>
        <v>11.134</v>
      </c>
    </row>
    <row r="511" spans="1:13" x14ac:dyDescent="0.25">
      <c r="A511" s="1">
        <v>2458364.3626299999</v>
      </c>
      <c r="B511" s="1" t="s">
        <v>90</v>
      </c>
      <c r="C511" s="1">
        <v>11.119</v>
      </c>
      <c r="D511" s="1" t="s">
        <v>292</v>
      </c>
      <c r="E511" t="s">
        <v>105</v>
      </c>
      <c r="F511">
        <f t="shared" si="52"/>
        <v>8364.3626299998723</v>
      </c>
      <c r="G511">
        <f t="shared" si="53"/>
        <v>8364.4</v>
      </c>
      <c r="H511">
        <f t="shared" si="54"/>
        <v>11.119</v>
      </c>
      <c r="J511">
        <f t="shared" si="57"/>
        <v>8364.3626299998723</v>
      </c>
      <c r="K511">
        <f t="shared" si="55"/>
        <v>8364.25</v>
      </c>
      <c r="L511">
        <f t="shared" si="58"/>
        <v>8364.25</v>
      </c>
      <c r="M511">
        <f t="shared" si="56"/>
        <v>11.119</v>
      </c>
    </row>
    <row r="512" spans="1:13" x14ac:dyDescent="0.25">
      <c r="A512" s="1">
        <v>2458364.3630300001</v>
      </c>
      <c r="B512" s="1" t="s">
        <v>90</v>
      </c>
      <c r="C512" s="1">
        <v>11.121</v>
      </c>
      <c r="D512" s="1" t="s">
        <v>292</v>
      </c>
      <c r="E512" t="s">
        <v>105</v>
      </c>
      <c r="F512">
        <f t="shared" si="52"/>
        <v>8364.3630300001241</v>
      </c>
      <c r="G512">
        <f t="shared" si="53"/>
        <v>8364.4</v>
      </c>
      <c r="H512">
        <f t="shared" si="54"/>
        <v>11.121</v>
      </c>
      <c r="J512">
        <f t="shared" si="57"/>
        <v>8364.3630300001241</v>
      </c>
      <c r="K512">
        <f t="shared" si="55"/>
        <v>8364.25</v>
      </c>
      <c r="L512">
        <f t="shared" si="58"/>
        <v>8364.25</v>
      </c>
      <c r="M512">
        <f t="shared" si="56"/>
        <v>11.121</v>
      </c>
    </row>
    <row r="513" spans="1:13" x14ac:dyDescent="0.25">
      <c r="A513" s="1">
        <v>2458364.36344</v>
      </c>
      <c r="B513" s="1" t="s">
        <v>90</v>
      </c>
      <c r="C513" s="1">
        <v>11.141</v>
      </c>
      <c r="D513" s="1" t="s">
        <v>292</v>
      </c>
      <c r="E513" t="s">
        <v>105</v>
      </c>
      <c r="F513">
        <f t="shared" si="52"/>
        <v>8364.3634399999864</v>
      </c>
      <c r="G513">
        <f t="shared" si="53"/>
        <v>8364.4</v>
      </c>
      <c r="H513">
        <f t="shared" si="54"/>
        <v>11.141</v>
      </c>
      <c r="J513">
        <f t="shared" si="57"/>
        <v>8364.3634399999864</v>
      </c>
      <c r="K513">
        <f t="shared" si="55"/>
        <v>8364.25</v>
      </c>
      <c r="L513">
        <f t="shared" si="58"/>
        <v>8364.25</v>
      </c>
      <c r="M513">
        <f t="shared" si="56"/>
        <v>11.141</v>
      </c>
    </row>
    <row r="514" spans="1:13" x14ac:dyDescent="0.25">
      <c r="A514" s="1">
        <v>2458364.3638399998</v>
      </c>
      <c r="B514" s="1" t="s">
        <v>90</v>
      </c>
      <c r="C514" s="1">
        <v>11.116</v>
      </c>
      <c r="D514" s="1" t="s">
        <v>292</v>
      </c>
      <c r="E514" t="s">
        <v>105</v>
      </c>
      <c r="F514">
        <f t="shared" si="52"/>
        <v>8364.3638399997726</v>
      </c>
      <c r="G514">
        <f t="shared" si="53"/>
        <v>8364.4</v>
      </c>
      <c r="H514">
        <f t="shared" si="54"/>
        <v>11.116</v>
      </c>
      <c r="J514">
        <f t="shared" si="57"/>
        <v>8364.3638399997726</v>
      </c>
      <c r="K514">
        <f t="shared" si="55"/>
        <v>8364.25</v>
      </c>
      <c r="L514">
        <f t="shared" si="58"/>
        <v>8364.25</v>
      </c>
      <c r="M514">
        <f t="shared" si="56"/>
        <v>11.116</v>
      </c>
    </row>
    <row r="515" spans="1:13" x14ac:dyDescent="0.25">
      <c r="A515" s="1">
        <v>2458364.3642500001</v>
      </c>
      <c r="B515" s="1" t="s">
        <v>90</v>
      </c>
      <c r="C515" s="1">
        <v>11.137</v>
      </c>
      <c r="D515" s="1" t="s">
        <v>292</v>
      </c>
      <c r="E515" t="s">
        <v>105</v>
      </c>
      <c r="F515">
        <f t="shared" ref="F515:F578" si="59">+A515-2450000</f>
        <v>8364.3642500001006</v>
      </c>
      <c r="G515">
        <f t="shared" ref="G515:G578" si="60">+(ROUND(F515,1)*10)/10</f>
        <v>8364.4</v>
      </c>
      <c r="H515">
        <f t="shared" ref="H515:H578" si="61">+C515</f>
        <v>11.137</v>
      </c>
      <c r="J515">
        <f t="shared" si="57"/>
        <v>8364.3642500001006</v>
      </c>
      <c r="K515">
        <f t="shared" ref="K515:K578" si="62">+INT(J515*4)/4</f>
        <v>8364.25</v>
      </c>
      <c r="L515">
        <f t="shared" si="58"/>
        <v>8364.25</v>
      </c>
      <c r="M515">
        <f t="shared" ref="M515:M578" si="63">+H515</f>
        <v>11.137</v>
      </c>
    </row>
    <row r="516" spans="1:13" x14ac:dyDescent="0.25">
      <c r="A516" s="1">
        <v>2458364.3646399998</v>
      </c>
      <c r="B516" s="1" t="s">
        <v>90</v>
      </c>
      <c r="C516" s="1">
        <v>11.141</v>
      </c>
      <c r="D516" s="1" t="s">
        <v>292</v>
      </c>
      <c r="E516" t="s">
        <v>105</v>
      </c>
      <c r="F516">
        <f t="shared" si="59"/>
        <v>8364.3646399998106</v>
      </c>
      <c r="G516">
        <f t="shared" si="60"/>
        <v>8364.4</v>
      </c>
      <c r="H516">
        <f t="shared" si="61"/>
        <v>11.141</v>
      </c>
      <c r="J516">
        <f t="shared" si="57"/>
        <v>8364.3646399998106</v>
      </c>
      <c r="K516">
        <f t="shared" si="62"/>
        <v>8364.25</v>
      </c>
      <c r="L516">
        <f t="shared" si="58"/>
        <v>8364.25</v>
      </c>
      <c r="M516">
        <f t="shared" si="63"/>
        <v>11.141</v>
      </c>
    </row>
    <row r="517" spans="1:13" x14ac:dyDescent="0.25">
      <c r="A517" s="1">
        <v>2458364.3650400001</v>
      </c>
      <c r="B517" s="1" t="s">
        <v>90</v>
      </c>
      <c r="C517" s="1">
        <v>11.135999999999999</v>
      </c>
      <c r="D517" s="1" t="s">
        <v>292</v>
      </c>
      <c r="E517" t="s">
        <v>105</v>
      </c>
      <c r="F517">
        <f t="shared" si="59"/>
        <v>8364.3650400000624</v>
      </c>
      <c r="G517">
        <f t="shared" si="60"/>
        <v>8364.4</v>
      </c>
      <c r="H517">
        <f t="shared" si="61"/>
        <v>11.135999999999999</v>
      </c>
      <c r="J517">
        <f t="shared" si="57"/>
        <v>8364.3650400000624</v>
      </c>
      <c r="K517">
        <f t="shared" si="62"/>
        <v>8364.25</v>
      </c>
      <c r="L517">
        <f t="shared" si="58"/>
        <v>8364.25</v>
      </c>
      <c r="M517">
        <f t="shared" si="63"/>
        <v>11.135999999999999</v>
      </c>
    </row>
    <row r="518" spans="1:13" x14ac:dyDescent="0.25">
      <c r="A518" s="1">
        <v>2458364.3654499999</v>
      </c>
      <c r="B518" s="1" t="s">
        <v>90</v>
      </c>
      <c r="C518" s="1">
        <v>11.131</v>
      </c>
      <c r="D518" s="1" t="s">
        <v>292</v>
      </c>
      <c r="E518" t="s">
        <v>105</v>
      </c>
      <c r="F518">
        <f t="shared" si="59"/>
        <v>8364.3654499999247</v>
      </c>
      <c r="G518">
        <f t="shared" si="60"/>
        <v>8364.4</v>
      </c>
      <c r="H518">
        <f t="shared" si="61"/>
        <v>11.131</v>
      </c>
      <c r="J518">
        <f t="shared" si="57"/>
        <v>8364.3654499999247</v>
      </c>
      <c r="K518">
        <f t="shared" si="62"/>
        <v>8364.25</v>
      </c>
      <c r="L518">
        <f t="shared" si="58"/>
        <v>8364.25</v>
      </c>
      <c r="M518">
        <f t="shared" si="63"/>
        <v>11.131</v>
      </c>
    </row>
    <row r="519" spans="1:13" x14ac:dyDescent="0.25">
      <c r="A519" s="1">
        <v>2458364.3658599998</v>
      </c>
      <c r="B519" s="1" t="s">
        <v>90</v>
      </c>
      <c r="C519" s="1">
        <v>11.153</v>
      </c>
      <c r="D519" s="1" t="s">
        <v>292</v>
      </c>
      <c r="E519" t="s">
        <v>105</v>
      </c>
      <c r="F519">
        <f t="shared" si="59"/>
        <v>8364.3658599997871</v>
      </c>
      <c r="G519">
        <f t="shared" si="60"/>
        <v>8364.4</v>
      </c>
      <c r="H519">
        <f t="shared" si="61"/>
        <v>11.153</v>
      </c>
      <c r="J519">
        <f t="shared" si="57"/>
        <v>8364.3658599997871</v>
      </c>
      <c r="K519">
        <f t="shared" si="62"/>
        <v>8364.25</v>
      </c>
      <c r="L519">
        <f t="shared" si="58"/>
        <v>8364.25</v>
      </c>
      <c r="M519">
        <f t="shared" si="63"/>
        <v>11.153</v>
      </c>
    </row>
    <row r="520" spans="1:13" x14ac:dyDescent="0.25">
      <c r="A520" s="1">
        <v>2458364.36626</v>
      </c>
      <c r="B520" s="1" t="s">
        <v>90</v>
      </c>
      <c r="C520" s="1">
        <v>11.14</v>
      </c>
      <c r="D520" s="1" t="s">
        <v>292</v>
      </c>
      <c r="E520" t="s">
        <v>105</v>
      </c>
      <c r="F520">
        <f t="shared" si="59"/>
        <v>8364.3662600000389</v>
      </c>
      <c r="G520">
        <f t="shared" si="60"/>
        <v>8364.4</v>
      </c>
      <c r="H520">
        <f t="shared" si="61"/>
        <v>11.14</v>
      </c>
      <c r="J520">
        <f t="shared" si="57"/>
        <v>8364.3662600000389</v>
      </c>
      <c r="K520">
        <f t="shared" si="62"/>
        <v>8364.25</v>
      </c>
      <c r="L520">
        <f t="shared" si="58"/>
        <v>8364.25</v>
      </c>
      <c r="M520">
        <f t="shared" si="63"/>
        <v>11.14</v>
      </c>
    </row>
    <row r="521" spans="1:13" x14ac:dyDescent="0.25">
      <c r="A521" s="1">
        <v>2458364.3666699999</v>
      </c>
      <c r="B521" s="1" t="s">
        <v>90</v>
      </c>
      <c r="C521" s="1">
        <v>11.138</v>
      </c>
      <c r="D521" s="1" t="s">
        <v>292</v>
      </c>
      <c r="E521" t="s">
        <v>105</v>
      </c>
      <c r="F521">
        <f t="shared" si="59"/>
        <v>8364.3666699999012</v>
      </c>
      <c r="G521">
        <f t="shared" si="60"/>
        <v>8364.4</v>
      </c>
      <c r="H521">
        <f t="shared" si="61"/>
        <v>11.138</v>
      </c>
      <c r="J521">
        <f t="shared" si="57"/>
        <v>8364.3666699999012</v>
      </c>
      <c r="K521">
        <f t="shared" si="62"/>
        <v>8364.25</v>
      </c>
      <c r="L521">
        <f t="shared" si="58"/>
        <v>8364.25</v>
      </c>
      <c r="M521">
        <f t="shared" si="63"/>
        <v>11.138</v>
      </c>
    </row>
    <row r="522" spans="1:13" x14ac:dyDescent="0.25">
      <c r="A522" s="1">
        <v>2458364.3670700002</v>
      </c>
      <c r="B522" s="1" t="s">
        <v>90</v>
      </c>
      <c r="C522" s="1">
        <v>11.13</v>
      </c>
      <c r="D522" s="1" t="s">
        <v>292</v>
      </c>
      <c r="E522" t="s">
        <v>105</v>
      </c>
      <c r="F522">
        <f t="shared" si="59"/>
        <v>8364.367070000153</v>
      </c>
      <c r="G522">
        <f t="shared" si="60"/>
        <v>8364.4</v>
      </c>
      <c r="H522">
        <f t="shared" si="61"/>
        <v>11.13</v>
      </c>
      <c r="J522">
        <f t="shared" si="57"/>
        <v>8364.367070000153</v>
      </c>
      <c r="K522">
        <f t="shared" si="62"/>
        <v>8364.25</v>
      </c>
      <c r="L522">
        <f t="shared" si="58"/>
        <v>8364.25</v>
      </c>
      <c r="M522">
        <f t="shared" si="63"/>
        <v>11.13</v>
      </c>
    </row>
    <row r="523" spans="1:13" x14ac:dyDescent="0.25">
      <c r="A523" s="1">
        <v>2458364.3675000002</v>
      </c>
      <c r="B523" s="1" t="s">
        <v>90</v>
      </c>
      <c r="C523" s="1">
        <v>11.144</v>
      </c>
      <c r="D523" s="1" t="s">
        <v>292</v>
      </c>
      <c r="E523" t="s">
        <v>105</v>
      </c>
      <c r="F523">
        <f t="shared" si="59"/>
        <v>8364.3675000001676</v>
      </c>
      <c r="G523">
        <f t="shared" si="60"/>
        <v>8364.4</v>
      </c>
      <c r="H523">
        <f t="shared" si="61"/>
        <v>11.144</v>
      </c>
      <c r="J523">
        <f t="shared" si="57"/>
        <v>8364.3675000001676</v>
      </c>
      <c r="K523">
        <f t="shared" si="62"/>
        <v>8364.25</v>
      </c>
      <c r="L523">
        <f t="shared" si="58"/>
        <v>8364.25</v>
      </c>
      <c r="M523">
        <f t="shared" si="63"/>
        <v>11.144</v>
      </c>
    </row>
    <row r="524" spans="1:13" x14ac:dyDescent="0.25">
      <c r="A524" s="1">
        <v>2458364.3679</v>
      </c>
      <c r="B524" s="1" t="s">
        <v>90</v>
      </c>
      <c r="C524" s="1">
        <v>11.138999999999999</v>
      </c>
      <c r="D524" s="1" t="s">
        <v>292</v>
      </c>
      <c r="E524" t="s">
        <v>105</v>
      </c>
      <c r="F524">
        <f t="shared" si="59"/>
        <v>8364.3678999999538</v>
      </c>
      <c r="G524">
        <f t="shared" si="60"/>
        <v>8364.4</v>
      </c>
      <c r="H524">
        <f t="shared" si="61"/>
        <v>11.138999999999999</v>
      </c>
      <c r="J524">
        <f t="shared" si="57"/>
        <v>8364.3678999999538</v>
      </c>
      <c r="K524">
        <f t="shared" si="62"/>
        <v>8364.25</v>
      </c>
      <c r="L524">
        <f t="shared" si="58"/>
        <v>8364.25</v>
      </c>
      <c r="M524">
        <f t="shared" si="63"/>
        <v>11.138999999999999</v>
      </c>
    </row>
    <row r="525" spans="1:13" x14ac:dyDescent="0.25">
      <c r="A525" s="1">
        <v>2458364.3683099998</v>
      </c>
      <c r="B525" s="1" t="s">
        <v>90</v>
      </c>
      <c r="C525" s="1">
        <v>11.143000000000001</v>
      </c>
      <c r="D525" s="1" t="s">
        <v>292</v>
      </c>
      <c r="E525" t="s">
        <v>105</v>
      </c>
      <c r="F525">
        <f t="shared" si="59"/>
        <v>8364.3683099998161</v>
      </c>
      <c r="G525">
        <f t="shared" si="60"/>
        <v>8364.4</v>
      </c>
      <c r="H525">
        <f t="shared" si="61"/>
        <v>11.143000000000001</v>
      </c>
      <c r="J525">
        <f t="shared" si="57"/>
        <v>8364.3683099998161</v>
      </c>
      <c r="K525">
        <f t="shared" si="62"/>
        <v>8364.25</v>
      </c>
      <c r="L525">
        <f t="shared" si="58"/>
        <v>8364.25</v>
      </c>
      <c r="M525">
        <f t="shared" si="63"/>
        <v>11.143000000000001</v>
      </c>
    </row>
    <row r="526" spans="1:13" x14ac:dyDescent="0.25">
      <c r="A526" s="1">
        <v>2458364.3687100001</v>
      </c>
      <c r="B526" s="1" t="s">
        <v>90</v>
      </c>
      <c r="C526" s="1">
        <v>11.135999999999999</v>
      </c>
      <c r="D526" s="1" t="s">
        <v>292</v>
      </c>
      <c r="E526" t="s">
        <v>105</v>
      </c>
      <c r="F526">
        <f t="shared" si="59"/>
        <v>8364.3687100000679</v>
      </c>
      <c r="G526">
        <f t="shared" si="60"/>
        <v>8364.4</v>
      </c>
      <c r="H526">
        <f t="shared" si="61"/>
        <v>11.135999999999999</v>
      </c>
      <c r="J526">
        <f t="shared" si="57"/>
        <v>8364.3687100000679</v>
      </c>
      <c r="K526">
        <f t="shared" si="62"/>
        <v>8364.25</v>
      </c>
      <c r="L526">
        <f t="shared" si="58"/>
        <v>8364.25</v>
      </c>
      <c r="M526">
        <f t="shared" si="63"/>
        <v>11.135999999999999</v>
      </c>
    </row>
    <row r="527" spans="1:13" x14ac:dyDescent="0.25">
      <c r="A527" s="1">
        <v>2458364.3691199999</v>
      </c>
      <c r="B527" s="1" t="s">
        <v>90</v>
      </c>
      <c r="C527" s="1">
        <v>11.138999999999999</v>
      </c>
      <c r="D527" s="1" t="s">
        <v>292</v>
      </c>
      <c r="E527" t="s">
        <v>105</v>
      </c>
      <c r="F527">
        <f t="shared" si="59"/>
        <v>8364.3691199999303</v>
      </c>
      <c r="G527">
        <f t="shared" si="60"/>
        <v>8364.4</v>
      </c>
      <c r="H527">
        <f t="shared" si="61"/>
        <v>11.138999999999999</v>
      </c>
      <c r="J527">
        <f t="shared" si="57"/>
        <v>8364.3691199999303</v>
      </c>
      <c r="K527">
        <f t="shared" si="62"/>
        <v>8364.25</v>
      </c>
      <c r="L527">
        <f t="shared" si="58"/>
        <v>8364.25</v>
      </c>
      <c r="M527">
        <f t="shared" si="63"/>
        <v>11.138999999999999</v>
      </c>
    </row>
    <row r="528" spans="1:13" x14ac:dyDescent="0.25">
      <c r="A528" s="1">
        <v>2458364.3695200002</v>
      </c>
      <c r="B528" s="1" t="s">
        <v>90</v>
      </c>
      <c r="C528" s="1">
        <v>11.141999999999999</v>
      </c>
      <c r="D528" s="1" t="s">
        <v>292</v>
      </c>
      <c r="E528" t="s">
        <v>105</v>
      </c>
      <c r="F528">
        <f t="shared" si="59"/>
        <v>8364.3695200001821</v>
      </c>
      <c r="G528">
        <f t="shared" si="60"/>
        <v>8364.4</v>
      </c>
      <c r="H528">
        <f t="shared" si="61"/>
        <v>11.141999999999999</v>
      </c>
      <c r="J528">
        <f t="shared" si="57"/>
        <v>8364.3695200001821</v>
      </c>
      <c r="K528">
        <f t="shared" si="62"/>
        <v>8364.25</v>
      </c>
      <c r="L528">
        <f t="shared" si="58"/>
        <v>8364.25</v>
      </c>
      <c r="M528">
        <f t="shared" si="63"/>
        <v>11.141999999999999</v>
      </c>
    </row>
    <row r="529" spans="1:13" x14ac:dyDescent="0.25">
      <c r="A529" s="1">
        <v>2458364.36993</v>
      </c>
      <c r="B529" s="1" t="s">
        <v>90</v>
      </c>
      <c r="C529" s="1">
        <v>11.137</v>
      </c>
      <c r="D529" s="1" t="s">
        <v>292</v>
      </c>
      <c r="E529" t="s">
        <v>105</v>
      </c>
      <c r="F529">
        <f t="shared" si="59"/>
        <v>8364.3699300000444</v>
      </c>
      <c r="G529">
        <f t="shared" si="60"/>
        <v>8364.4</v>
      </c>
      <c r="H529">
        <f t="shared" si="61"/>
        <v>11.137</v>
      </c>
      <c r="J529">
        <f t="shared" si="57"/>
        <v>8364.3699300000444</v>
      </c>
      <c r="K529">
        <f t="shared" si="62"/>
        <v>8364.25</v>
      </c>
      <c r="L529">
        <f t="shared" si="58"/>
        <v>8364.25</v>
      </c>
      <c r="M529">
        <f t="shared" si="63"/>
        <v>11.137</v>
      </c>
    </row>
    <row r="530" spans="1:13" x14ac:dyDescent="0.25">
      <c r="A530" s="1">
        <v>2458364.3703299998</v>
      </c>
      <c r="B530" s="1" t="s">
        <v>90</v>
      </c>
      <c r="C530" s="1">
        <v>11.12</v>
      </c>
      <c r="D530" s="1" t="s">
        <v>292</v>
      </c>
      <c r="E530" t="s">
        <v>105</v>
      </c>
      <c r="F530">
        <f t="shared" si="59"/>
        <v>8364.3703299998306</v>
      </c>
      <c r="G530">
        <f t="shared" si="60"/>
        <v>8364.4</v>
      </c>
      <c r="H530">
        <f t="shared" si="61"/>
        <v>11.12</v>
      </c>
      <c r="J530">
        <f t="shared" si="57"/>
        <v>8364.3703299998306</v>
      </c>
      <c r="K530">
        <f t="shared" si="62"/>
        <v>8364.25</v>
      </c>
      <c r="L530">
        <f t="shared" si="58"/>
        <v>8364.25</v>
      </c>
      <c r="M530">
        <f t="shared" si="63"/>
        <v>11.12</v>
      </c>
    </row>
    <row r="531" spans="1:13" x14ac:dyDescent="0.25">
      <c r="A531" s="1">
        <v>2458364.3707300001</v>
      </c>
      <c r="B531" s="1" t="s">
        <v>90</v>
      </c>
      <c r="C531" s="1">
        <v>11.147</v>
      </c>
      <c r="D531" s="1" t="s">
        <v>292</v>
      </c>
      <c r="E531" t="s">
        <v>105</v>
      </c>
      <c r="F531">
        <f t="shared" si="59"/>
        <v>8364.3707300000824</v>
      </c>
      <c r="G531">
        <f t="shared" si="60"/>
        <v>8364.4</v>
      </c>
      <c r="H531">
        <f t="shared" si="61"/>
        <v>11.147</v>
      </c>
      <c r="J531">
        <f t="shared" si="57"/>
        <v>8364.3707300000824</v>
      </c>
      <c r="K531">
        <f t="shared" si="62"/>
        <v>8364.25</v>
      </c>
      <c r="L531">
        <f t="shared" si="58"/>
        <v>8364.25</v>
      </c>
      <c r="M531">
        <f t="shared" si="63"/>
        <v>11.147</v>
      </c>
    </row>
    <row r="532" spans="1:13" x14ac:dyDescent="0.25">
      <c r="A532" s="1">
        <v>2458364.3711700002</v>
      </c>
      <c r="B532" s="1" t="s">
        <v>90</v>
      </c>
      <c r="C532" s="1">
        <v>11.125</v>
      </c>
      <c r="D532" s="1" t="s">
        <v>292</v>
      </c>
      <c r="E532" t="s">
        <v>105</v>
      </c>
      <c r="F532">
        <f t="shared" si="59"/>
        <v>8364.3711700001732</v>
      </c>
      <c r="G532">
        <f t="shared" si="60"/>
        <v>8364.4</v>
      </c>
      <c r="H532">
        <f t="shared" si="61"/>
        <v>11.125</v>
      </c>
      <c r="J532">
        <f t="shared" si="57"/>
        <v>8364.3711700001732</v>
      </c>
      <c r="K532">
        <f t="shared" si="62"/>
        <v>8364.25</v>
      </c>
      <c r="L532">
        <f t="shared" si="58"/>
        <v>8364.25</v>
      </c>
      <c r="M532">
        <f t="shared" si="63"/>
        <v>11.125</v>
      </c>
    </row>
    <row r="533" spans="1:13" x14ac:dyDescent="0.25">
      <c r="A533" s="1">
        <v>2458364.37157</v>
      </c>
      <c r="B533" s="1" t="s">
        <v>90</v>
      </c>
      <c r="C533" s="1">
        <v>11.144</v>
      </c>
      <c r="D533" s="1" t="s">
        <v>292</v>
      </c>
      <c r="E533" t="s">
        <v>105</v>
      </c>
      <c r="F533">
        <f t="shared" si="59"/>
        <v>8364.3715699999593</v>
      </c>
      <c r="G533">
        <f t="shared" si="60"/>
        <v>8364.4</v>
      </c>
      <c r="H533">
        <f t="shared" si="61"/>
        <v>11.144</v>
      </c>
      <c r="J533">
        <f t="shared" si="57"/>
        <v>8364.3715699999593</v>
      </c>
      <c r="K533">
        <f t="shared" si="62"/>
        <v>8364.25</v>
      </c>
      <c r="L533">
        <f t="shared" si="58"/>
        <v>8364.25</v>
      </c>
      <c r="M533">
        <f t="shared" si="63"/>
        <v>11.144</v>
      </c>
    </row>
    <row r="534" spans="1:13" x14ac:dyDescent="0.25">
      <c r="A534" s="1">
        <v>2458364.3719799998</v>
      </c>
      <c r="B534" s="1" t="s">
        <v>90</v>
      </c>
      <c r="C534" s="1">
        <v>11.138999999999999</v>
      </c>
      <c r="D534" s="1" t="s">
        <v>292</v>
      </c>
      <c r="E534" t="s">
        <v>105</v>
      </c>
      <c r="F534">
        <f t="shared" si="59"/>
        <v>8364.3719799998216</v>
      </c>
      <c r="G534">
        <f t="shared" si="60"/>
        <v>8364.4</v>
      </c>
      <c r="H534">
        <f t="shared" si="61"/>
        <v>11.138999999999999</v>
      </c>
      <c r="J534">
        <f t="shared" si="57"/>
        <v>8364.3719799998216</v>
      </c>
      <c r="K534">
        <f t="shared" si="62"/>
        <v>8364.25</v>
      </c>
      <c r="L534">
        <f t="shared" si="58"/>
        <v>8364.25</v>
      </c>
      <c r="M534">
        <f t="shared" si="63"/>
        <v>11.138999999999999</v>
      </c>
    </row>
    <row r="535" spans="1:13" x14ac:dyDescent="0.25">
      <c r="A535" s="1">
        <v>2458364.3723800001</v>
      </c>
      <c r="B535" s="1" t="s">
        <v>90</v>
      </c>
      <c r="C535" s="1">
        <v>11.148999999999999</v>
      </c>
      <c r="D535" s="1" t="s">
        <v>292</v>
      </c>
      <c r="E535" t="s">
        <v>105</v>
      </c>
      <c r="F535">
        <f t="shared" si="59"/>
        <v>8364.3723800000735</v>
      </c>
      <c r="G535">
        <f t="shared" si="60"/>
        <v>8364.4</v>
      </c>
      <c r="H535">
        <f t="shared" si="61"/>
        <v>11.148999999999999</v>
      </c>
      <c r="J535">
        <f t="shared" si="57"/>
        <v>8364.3723800000735</v>
      </c>
      <c r="K535">
        <f t="shared" si="62"/>
        <v>8364.25</v>
      </c>
      <c r="L535">
        <f t="shared" si="58"/>
        <v>8364.25</v>
      </c>
      <c r="M535">
        <f t="shared" si="63"/>
        <v>11.148999999999999</v>
      </c>
    </row>
    <row r="536" spans="1:13" x14ac:dyDescent="0.25">
      <c r="A536" s="1">
        <v>2458364.3727899999</v>
      </c>
      <c r="B536" s="1" t="s">
        <v>90</v>
      </c>
      <c r="C536" s="1">
        <v>11.14</v>
      </c>
      <c r="D536" s="1" t="s">
        <v>292</v>
      </c>
      <c r="E536" t="s">
        <v>105</v>
      </c>
      <c r="F536">
        <f t="shared" si="59"/>
        <v>8364.3727899999358</v>
      </c>
      <c r="G536">
        <f t="shared" si="60"/>
        <v>8364.4</v>
      </c>
      <c r="H536">
        <f t="shared" si="61"/>
        <v>11.14</v>
      </c>
      <c r="J536">
        <f t="shared" si="57"/>
        <v>8364.3727899999358</v>
      </c>
      <c r="K536">
        <f t="shared" si="62"/>
        <v>8364.25</v>
      </c>
      <c r="L536">
        <f t="shared" si="58"/>
        <v>8364.25</v>
      </c>
      <c r="M536">
        <f t="shared" si="63"/>
        <v>11.14</v>
      </c>
    </row>
    <row r="537" spans="1:13" x14ac:dyDescent="0.25">
      <c r="A537" s="1">
        <v>2458364.3731800001</v>
      </c>
      <c r="B537" s="1" t="s">
        <v>90</v>
      </c>
      <c r="C537" s="1">
        <v>11.125999999999999</v>
      </c>
      <c r="D537" s="1" t="s">
        <v>292</v>
      </c>
      <c r="E537" t="s">
        <v>105</v>
      </c>
      <c r="F537">
        <f t="shared" si="59"/>
        <v>8364.3731800001115</v>
      </c>
      <c r="G537">
        <f t="shared" si="60"/>
        <v>8364.4</v>
      </c>
      <c r="H537">
        <f t="shared" si="61"/>
        <v>11.125999999999999</v>
      </c>
      <c r="J537">
        <f t="shared" ref="J537:J600" si="64">+F537</f>
        <v>8364.3731800001115</v>
      </c>
      <c r="K537">
        <f t="shared" si="62"/>
        <v>8364.25</v>
      </c>
      <c r="L537">
        <f t="shared" ref="L537:L600" si="65">+IF(J537-K537&gt;0.25,K537+0.25,K537)</f>
        <v>8364.25</v>
      </c>
      <c r="M537">
        <f t="shared" si="63"/>
        <v>11.125999999999999</v>
      </c>
    </row>
    <row r="538" spans="1:13" x14ac:dyDescent="0.25">
      <c r="A538" s="1">
        <v>2458364.3735699998</v>
      </c>
      <c r="B538" s="1" t="s">
        <v>90</v>
      </c>
      <c r="C538" s="1">
        <v>11.148999999999999</v>
      </c>
      <c r="D538" s="1" t="s">
        <v>292</v>
      </c>
      <c r="E538" t="s">
        <v>105</v>
      </c>
      <c r="F538">
        <f t="shared" si="59"/>
        <v>8364.3735699998215</v>
      </c>
      <c r="G538">
        <f t="shared" si="60"/>
        <v>8364.4</v>
      </c>
      <c r="H538">
        <f t="shared" si="61"/>
        <v>11.148999999999999</v>
      </c>
      <c r="J538">
        <f t="shared" si="64"/>
        <v>8364.3735699998215</v>
      </c>
      <c r="K538">
        <f t="shared" si="62"/>
        <v>8364.25</v>
      </c>
      <c r="L538">
        <f t="shared" si="65"/>
        <v>8364.25</v>
      </c>
      <c r="M538">
        <f t="shared" si="63"/>
        <v>11.148999999999999</v>
      </c>
    </row>
    <row r="539" spans="1:13" x14ac:dyDescent="0.25">
      <c r="A539" s="1">
        <v>2458364.3739700001</v>
      </c>
      <c r="B539" s="1" t="s">
        <v>90</v>
      </c>
      <c r="C539" s="1">
        <v>11.138999999999999</v>
      </c>
      <c r="D539" s="1" t="s">
        <v>292</v>
      </c>
      <c r="E539" t="s">
        <v>105</v>
      </c>
      <c r="F539">
        <f t="shared" si="59"/>
        <v>8364.3739700000733</v>
      </c>
      <c r="G539">
        <f t="shared" si="60"/>
        <v>8364.4</v>
      </c>
      <c r="H539">
        <f t="shared" si="61"/>
        <v>11.138999999999999</v>
      </c>
      <c r="J539">
        <f t="shared" si="64"/>
        <v>8364.3739700000733</v>
      </c>
      <c r="K539">
        <f t="shared" si="62"/>
        <v>8364.25</v>
      </c>
      <c r="L539">
        <f t="shared" si="65"/>
        <v>8364.25</v>
      </c>
      <c r="M539">
        <f t="shared" si="63"/>
        <v>11.138999999999999</v>
      </c>
    </row>
    <row r="540" spans="1:13" x14ac:dyDescent="0.25">
      <c r="A540" s="1">
        <v>2458364.3744000001</v>
      </c>
      <c r="B540" s="1" t="s">
        <v>90</v>
      </c>
      <c r="C540" s="1">
        <v>11.15</v>
      </c>
      <c r="D540" s="1" t="s">
        <v>292</v>
      </c>
      <c r="E540" t="s">
        <v>105</v>
      </c>
      <c r="F540">
        <f t="shared" si="59"/>
        <v>8364.3744000000879</v>
      </c>
      <c r="G540">
        <f t="shared" si="60"/>
        <v>8364.4</v>
      </c>
      <c r="H540">
        <f t="shared" si="61"/>
        <v>11.15</v>
      </c>
      <c r="J540">
        <f t="shared" si="64"/>
        <v>8364.3744000000879</v>
      </c>
      <c r="K540">
        <f t="shared" si="62"/>
        <v>8364.25</v>
      </c>
      <c r="L540">
        <f t="shared" si="65"/>
        <v>8364.25</v>
      </c>
      <c r="M540">
        <f t="shared" si="63"/>
        <v>11.15</v>
      </c>
    </row>
    <row r="541" spans="1:13" x14ac:dyDescent="0.25">
      <c r="A541" s="1">
        <v>2458364.3747899998</v>
      </c>
      <c r="B541" s="1" t="s">
        <v>90</v>
      </c>
      <c r="C541" s="1">
        <v>11.122</v>
      </c>
      <c r="D541" s="1" t="s">
        <v>292</v>
      </c>
      <c r="E541" t="s">
        <v>105</v>
      </c>
      <c r="F541">
        <f t="shared" si="59"/>
        <v>8364.3747899997979</v>
      </c>
      <c r="G541">
        <f t="shared" si="60"/>
        <v>8364.4</v>
      </c>
      <c r="H541">
        <f t="shared" si="61"/>
        <v>11.122</v>
      </c>
      <c r="J541">
        <f t="shared" si="64"/>
        <v>8364.3747899997979</v>
      </c>
      <c r="K541">
        <f t="shared" si="62"/>
        <v>8364.25</v>
      </c>
      <c r="L541">
        <f t="shared" si="65"/>
        <v>8364.25</v>
      </c>
      <c r="M541">
        <f t="shared" si="63"/>
        <v>11.122</v>
      </c>
    </row>
    <row r="542" spans="1:13" x14ac:dyDescent="0.25">
      <c r="A542" s="1">
        <v>2458364.3752100002</v>
      </c>
      <c r="B542" s="1" t="s">
        <v>90</v>
      </c>
      <c r="C542" s="1">
        <v>11.147</v>
      </c>
      <c r="D542" s="1" t="s">
        <v>292</v>
      </c>
      <c r="E542" t="s">
        <v>105</v>
      </c>
      <c r="F542">
        <f t="shared" si="59"/>
        <v>8364.3752100002021</v>
      </c>
      <c r="G542">
        <f t="shared" si="60"/>
        <v>8364.4</v>
      </c>
      <c r="H542">
        <f t="shared" si="61"/>
        <v>11.147</v>
      </c>
      <c r="J542">
        <f t="shared" si="64"/>
        <v>8364.3752100002021</v>
      </c>
      <c r="K542">
        <f t="shared" si="62"/>
        <v>8364.25</v>
      </c>
      <c r="L542">
        <f t="shared" si="65"/>
        <v>8364.25</v>
      </c>
      <c r="M542">
        <f t="shared" si="63"/>
        <v>11.147</v>
      </c>
    </row>
    <row r="543" spans="1:13" x14ac:dyDescent="0.25">
      <c r="A543" s="1">
        <v>2458364.3755999999</v>
      </c>
      <c r="B543" s="1" t="s">
        <v>90</v>
      </c>
      <c r="C543" s="1">
        <v>11.163</v>
      </c>
      <c r="D543" s="1" t="s">
        <v>292</v>
      </c>
      <c r="E543" t="s">
        <v>105</v>
      </c>
      <c r="F543">
        <f t="shared" si="59"/>
        <v>8364.3755999999121</v>
      </c>
      <c r="G543">
        <f t="shared" si="60"/>
        <v>8364.4</v>
      </c>
      <c r="H543">
        <f t="shared" si="61"/>
        <v>11.163</v>
      </c>
      <c r="J543">
        <f t="shared" si="64"/>
        <v>8364.3755999999121</v>
      </c>
      <c r="K543">
        <f t="shared" si="62"/>
        <v>8364.25</v>
      </c>
      <c r="L543">
        <f t="shared" si="65"/>
        <v>8364.25</v>
      </c>
      <c r="M543">
        <f t="shared" si="63"/>
        <v>11.163</v>
      </c>
    </row>
    <row r="544" spans="1:13" x14ac:dyDescent="0.25">
      <c r="A544" s="1">
        <v>2458364.3760099998</v>
      </c>
      <c r="B544" s="1" t="s">
        <v>90</v>
      </c>
      <c r="C544" s="1">
        <v>11.135</v>
      </c>
      <c r="D544" s="1" t="s">
        <v>292</v>
      </c>
      <c r="E544" t="s">
        <v>105</v>
      </c>
      <c r="F544">
        <f t="shared" si="59"/>
        <v>8364.3760099997744</v>
      </c>
      <c r="G544">
        <f t="shared" si="60"/>
        <v>8364.4</v>
      </c>
      <c r="H544">
        <f t="shared" si="61"/>
        <v>11.135</v>
      </c>
      <c r="J544">
        <f t="shared" si="64"/>
        <v>8364.3760099997744</v>
      </c>
      <c r="K544">
        <f t="shared" si="62"/>
        <v>8364.25</v>
      </c>
      <c r="L544">
        <f t="shared" si="65"/>
        <v>8364.25</v>
      </c>
      <c r="M544">
        <f t="shared" si="63"/>
        <v>11.135</v>
      </c>
    </row>
    <row r="545" spans="1:13" x14ac:dyDescent="0.25">
      <c r="A545" s="1">
        <v>2458364.37641</v>
      </c>
      <c r="B545" s="1" t="s">
        <v>90</v>
      </c>
      <c r="C545" s="1">
        <v>11.143000000000001</v>
      </c>
      <c r="D545" s="1" t="s">
        <v>292</v>
      </c>
      <c r="E545" t="s">
        <v>105</v>
      </c>
      <c r="F545">
        <f t="shared" si="59"/>
        <v>8364.3764100000262</v>
      </c>
      <c r="G545">
        <f t="shared" si="60"/>
        <v>8364.4</v>
      </c>
      <c r="H545">
        <f t="shared" si="61"/>
        <v>11.143000000000001</v>
      </c>
      <c r="J545">
        <f t="shared" si="64"/>
        <v>8364.3764100000262</v>
      </c>
      <c r="K545">
        <f t="shared" si="62"/>
        <v>8364.25</v>
      </c>
      <c r="L545">
        <f t="shared" si="65"/>
        <v>8364.25</v>
      </c>
      <c r="M545">
        <f t="shared" si="63"/>
        <v>11.143000000000001</v>
      </c>
    </row>
    <row r="546" spans="1:13" x14ac:dyDescent="0.25">
      <c r="A546" s="1">
        <v>2458364.3768199999</v>
      </c>
      <c r="B546" s="1" t="s">
        <v>90</v>
      </c>
      <c r="C546" s="1">
        <v>11.141</v>
      </c>
      <c r="D546" s="1" t="s">
        <v>292</v>
      </c>
      <c r="E546" t="s">
        <v>105</v>
      </c>
      <c r="F546">
        <f t="shared" si="59"/>
        <v>8364.3768199998885</v>
      </c>
      <c r="G546">
        <f t="shared" si="60"/>
        <v>8364.4</v>
      </c>
      <c r="H546">
        <f t="shared" si="61"/>
        <v>11.141</v>
      </c>
      <c r="J546">
        <f t="shared" si="64"/>
        <v>8364.3768199998885</v>
      </c>
      <c r="K546">
        <f t="shared" si="62"/>
        <v>8364.25</v>
      </c>
      <c r="L546">
        <f t="shared" si="65"/>
        <v>8364.25</v>
      </c>
      <c r="M546">
        <f t="shared" si="63"/>
        <v>11.141</v>
      </c>
    </row>
    <row r="547" spans="1:13" x14ac:dyDescent="0.25">
      <c r="A547" s="1">
        <v>2458364.3772100001</v>
      </c>
      <c r="B547" s="1" t="s">
        <v>90</v>
      </c>
      <c r="C547" s="1">
        <v>11.135</v>
      </c>
      <c r="D547" s="1" t="s">
        <v>292</v>
      </c>
      <c r="E547" t="s">
        <v>105</v>
      </c>
      <c r="F547">
        <f t="shared" si="59"/>
        <v>8364.3772100000642</v>
      </c>
      <c r="G547">
        <f t="shared" si="60"/>
        <v>8364.4</v>
      </c>
      <c r="H547">
        <f t="shared" si="61"/>
        <v>11.135</v>
      </c>
      <c r="J547">
        <f t="shared" si="64"/>
        <v>8364.3772100000642</v>
      </c>
      <c r="K547">
        <f t="shared" si="62"/>
        <v>8364.25</v>
      </c>
      <c r="L547">
        <f t="shared" si="65"/>
        <v>8364.25</v>
      </c>
      <c r="M547">
        <f t="shared" si="63"/>
        <v>11.135</v>
      </c>
    </row>
    <row r="548" spans="1:13" x14ac:dyDescent="0.25">
      <c r="A548" s="1">
        <v>2458364.3776099999</v>
      </c>
      <c r="B548" s="1" t="s">
        <v>90</v>
      </c>
      <c r="C548" s="1">
        <v>11.143000000000001</v>
      </c>
      <c r="D548" s="1" t="s">
        <v>292</v>
      </c>
      <c r="E548" t="s">
        <v>105</v>
      </c>
      <c r="F548">
        <f t="shared" si="59"/>
        <v>8364.3776099998504</v>
      </c>
      <c r="G548">
        <f t="shared" si="60"/>
        <v>8364.4</v>
      </c>
      <c r="H548">
        <f t="shared" si="61"/>
        <v>11.143000000000001</v>
      </c>
      <c r="J548">
        <f t="shared" si="64"/>
        <v>8364.3776099998504</v>
      </c>
      <c r="K548">
        <f t="shared" si="62"/>
        <v>8364.25</v>
      </c>
      <c r="L548">
        <f t="shared" si="65"/>
        <v>8364.25</v>
      </c>
      <c r="M548">
        <f t="shared" si="63"/>
        <v>11.143000000000001</v>
      </c>
    </row>
    <row r="549" spans="1:13" x14ac:dyDescent="0.25">
      <c r="A549" s="1">
        <v>2458364.3780200002</v>
      </c>
      <c r="B549" s="1" t="s">
        <v>90</v>
      </c>
      <c r="C549" s="1">
        <v>11.151</v>
      </c>
      <c r="D549" s="1" t="s">
        <v>292</v>
      </c>
      <c r="E549" t="s">
        <v>105</v>
      </c>
      <c r="F549">
        <f t="shared" si="59"/>
        <v>8364.3780200001784</v>
      </c>
      <c r="G549">
        <f t="shared" si="60"/>
        <v>8364.4</v>
      </c>
      <c r="H549">
        <f t="shared" si="61"/>
        <v>11.151</v>
      </c>
      <c r="J549">
        <f t="shared" si="64"/>
        <v>8364.3780200001784</v>
      </c>
      <c r="K549">
        <f t="shared" si="62"/>
        <v>8364.25</v>
      </c>
      <c r="L549">
        <f t="shared" si="65"/>
        <v>8364.25</v>
      </c>
      <c r="M549">
        <f t="shared" si="63"/>
        <v>11.151</v>
      </c>
    </row>
    <row r="550" spans="1:13" x14ac:dyDescent="0.25">
      <c r="A550" s="1">
        <v>2458364.3784599998</v>
      </c>
      <c r="B550" s="1" t="s">
        <v>90</v>
      </c>
      <c r="C550" s="1">
        <v>11.141</v>
      </c>
      <c r="D550" s="1" t="s">
        <v>292</v>
      </c>
      <c r="E550" t="s">
        <v>105</v>
      </c>
      <c r="F550">
        <f t="shared" si="59"/>
        <v>8364.3784599998035</v>
      </c>
      <c r="G550">
        <f t="shared" si="60"/>
        <v>8364.4</v>
      </c>
      <c r="H550">
        <f t="shared" si="61"/>
        <v>11.141</v>
      </c>
      <c r="J550">
        <f t="shared" si="64"/>
        <v>8364.3784599998035</v>
      </c>
      <c r="K550">
        <f t="shared" si="62"/>
        <v>8364.25</v>
      </c>
      <c r="L550">
        <f t="shared" si="65"/>
        <v>8364.25</v>
      </c>
      <c r="M550">
        <f t="shared" si="63"/>
        <v>11.141</v>
      </c>
    </row>
    <row r="551" spans="1:13" x14ac:dyDescent="0.25">
      <c r="A551" s="1">
        <v>2458364.3788600001</v>
      </c>
      <c r="B551" s="1" t="s">
        <v>90</v>
      </c>
      <c r="C551" s="1">
        <v>11.138</v>
      </c>
      <c r="D551" s="1" t="s">
        <v>292</v>
      </c>
      <c r="E551" t="s">
        <v>105</v>
      </c>
      <c r="F551">
        <f t="shared" si="59"/>
        <v>8364.3788600000553</v>
      </c>
      <c r="G551">
        <f t="shared" si="60"/>
        <v>8364.4</v>
      </c>
      <c r="H551">
        <f t="shared" si="61"/>
        <v>11.138</v>
      </c>
      <c r="J551">
        <f t="shared" si="64"/>
        <v>8364.3788600000553</v>
      </c>
      <c r="K551">
        <f t="shared" si="62"/>
        <v>8364.25</v>
      </c>
      <c r="L551">
        <f t="shared" si="65"/>
        <v>8364.25</v>
      </c>
      <c r="M551">
        <f t="shared" si="63"/>
        <v>11.138</v>
      </c>
    </row>
    <row r="552" spans="1:13" x14ac:dyDescent="0.25">
      <c r="A552" s="1">
        <v>2458364.3792599998</v>
      </c>
      <c r="B552" s="1" t="s">
        <v>90</v>
      </c>
      <c r="C552" s="1">
        <v>11.146000000000001</v>
      </c>
      <c r="D552" s="1" t="s">
        <v>292</v>
      </c>
      <c r="E552" t="s">
        <v>105</v>
      </c>
      <c r="F552">
        <f t="shared" si="59"/>
        <v>8364.3792599998415</v>
      </c>
      <c r="G552">
        <f t="shared" si="60"/>
        <v>8364.4</v>
      </c>
      <c r="H552">
        <f t="shared" si="61"/>
        <v>11.146000000000001</v>
      </c>
      <c r="J552">
        <f t="shared" si="64"/>
        <v>8364.3792599998415</v>
      </c>
      <c r="K552">
        <f t="shared" si="62"/>
        <v>8364.25</v>
      </c>
      <c r="L552">
        <f t="shared" si="65"/>
        <v>8364.25</v>
      </c>
      <c r="M552">
        <f t="shared" si="63"/>
        <v>11.146000000000001</v>
      </c>
    </row>
    <row r="553" spans="1:13" x14ac:dyDescent="0.25">
      <c r="A553" s="1">
        <v>2458364.3796600001</v>
      </c>
      <c r="B553" s="1" t="s">
        <v>90</v>
      </c>
      <c r="C553" s="1">
        <v>11.138999999999999</v>
      </c>
      <c r="D553" s="1" t="s">
        <v>292</v>
      </c>
      <c r="E553" t="s">
        <v>105</v>
      </c>
      <c r="F553">
        <f t="shared" si="59"/>
        <v>8364.3796600000933</v>
      </c>
      <c r="G553">
        <f t="shared" si="60"/>
        <v>8364.4</v>
      </c>
      <c r="H553">
        <f t="shared" si="61"/>
        <v>11.138999999999999</v>
      </c>
      <c r="J553">
        <f t="shared" si="64"/>
        <v>8364.3796600000933</v>
      </c>
      <c r="K553">
        <f t="shared" si="62"/>
        <v>8364.25</v>
      </c>
      <c r="L553">
        <f t="shared" si="65"/>
        <v>8364.25</v>
      </c>
      <c r="M553">
        <f t="shared" si="63"/>
        <v>11.138999999999999</v>
      </c>
    </row>
    <row r="554" spans="1:13" x14ac:dyDescent="0.25">
      <c r="A554" s="1">
        <v>2458364.38051</v>
      </c>
      <c r="B554" s="1" t="s">
        <v>90</v>
      </c>
      <c r="C554" s="1">
        <v>11.151</v>
      </c>
      <c r="D554" s="1" t="s">
        <v>292</v>
      </c>
      <c r="E554" t="s">
        <v>105</v>
      </c>
      <c r="F554">
        <f t="shared" si="59"/>
        <v>8364.3805100000463</v>
      </c>
      <c r="G554">
        <f t="shared" si="60"/>
        <v>8364.4</v>
      </c>
      <c r="H554">
        <f t="shared" si="61"/>
        <v>11.151</v>
      </c>
      <c r="J554">
        <f t="shared" si="64"/>
        <v>8364.3805100000463</v>
      </c>
      <c r="K554">
        <f t="shared" si="62"/>
        <v>8364.25</v>
      </c>
      <c r="L554">
        <f t="shared" si="65"/>
        <v>8364.25</v>
      </c>
      <c r="M554">
        <f t="shared" si="63"/>
        <v>11.151</v>
      </c>
    </row>
    <row r="555" spans="1:13" x14ac:dyDescent="0.25">
      <c r="A555" s="1">
        <v>2458364.3809099998</v>
      </c>
      <c r="B555" s="1" t="s">
        <v>90</v>
      </c>
      <c r="C555" s="1">
        <v>11.135</v>
      </c>
      <c r="D555" s="1" t="s">
        <v>292</v>
      </c>
      <c r="E555" t="s">
        <v>105</v>
      </c>
      <c r="F555">
        <f t="shared" si="59"/>
        <v>8364.3809099998325</v>
      </c>
      <c r="G555">
        <f t="shared" si="60"/>
        <v>8364.4</v>
      </c>
      <c r="H555">
        <f t="shared" si="61"/>
        <v>11.135</v>
      </c>
      <c r="J555">
        <f t="shared" si="64"/>
        <v>8364.3809099998325</v>
      </c>
      <c r="K555">
        <f t="shared" si="62"/>
        <v>8364.25</v>
      </c>
      <c r="L555">
        <f t="shared" si="65"/>
        <v>8364.25</v>
      </c>
      <c r="M555">
        <f t="shared" si="63"/>
        <v>11.135</v>
      </c>
    </row>
    <row r="556" spans="1:13" x14ac:dyDescent="0.25">
      <c r="A556" s="1">
        <v>2458364.3813200002</v>
      </c>
      <c r="B556" s="1" t="s">
        <v>90</v>
      </c>
      <c r="C556" s="1">
        <v>11.151999999999999</v>
      </c>
      <c r="D556" s="1" t="s">
        <v>292</v>
      </c>
      <c r="E556" t="s">
        <v>105</v>
      </c>
      <c r="F556">
        <f t="shared" si="59"/>
        <v>8364.3813200001605</v>
      </c>
      <c r="G556">
        <f t="shared" si="60"/>
        <v>8364.4</v>
      </c>
      <c r="H556">
        <f t="shared" si="61"/>
        <v>11.151999999999999</v>
      </c>
      <c r="J556">
        <f t="shared" si="64"/>
        <v>8364.3813200001605</v>
      </c>
      <c r="K556">
        <f t="shared" si="62"/>
        <v>8364.25</v>
      </c>
      <c r="L556">
        <f t="shared" si="65"/>
        <v>8364.25</v>
      </c>
      <c r="M556">
        <f t="shared" si="63"/>
        <v>11.151999999999999</v>
      </c>
    </row>
    <row r="557" spans="1:13" x14ac:dyDescent="0.25">
      <c r="A557" s="1">
        <v>2458364.3817099999</v>
      </c>
      <c r="B557" s="1" t="s">
        <v>90</v>
      </c>
      <c r="C557" s="1">
        <v>11.135</v>
      </c>
      <c r="D557" s="1" t="s">
        <v>292</v>
      </c>
      <c r="E557" t="s">
        <v>105</v>
      </c>
      <c r="F557">
        <f t="shared" si="59"/>
        <v>8364.3817099998705</v>
      </c>
      <c r="G557">
        <f t="shared" si="60"/>
        <v>8364.4</v>
      </c>
      <c r="H557">
        <f t="shared" si="61"/>
        <v>11.135</v>
      </c>
      <c r="J557">
        <f t="shared" si="64"/>
        <v>8364.3817099998705</v>
      </c>
      <c r="K557">
        <f t="shared" si="62"/>
        <v>8364.25</v>
      </c>
      <c r="L557">
        <f t="shared" si="65"/>
        <v>8364.25</v>
      </c>
      <c r="M557">
        <f t="shared" si="63"/>
        <v>11.135</v>
      </c>
    </row>
    <row r="558" spans="1:13" x14ac:dyDescent="0.25">
      <c r="A558" s="1">
        <v>2458364.3821200002</v>
      </c>
      <c r="B558" s="1" t="s">
        <v>90</v>
      </c>
      <c r="C558" s="1">
        <v>11.137</v>
      </c>
      <c r="D558" s="1" t="s">
        <v>292</v>
      </c>
      <c r="E558" t="s">
        <v>105</v>
      </c>
      <c r="F558">
        <f t="shared" si="59"/>
        <v>8364.3821200001985</v>
      </c>
      <c r="G558">
        <f t="shared" si="60"/>
        <v>8364.4</v>
      </c>
      <c r="H558">
        <f t="shared" si="61"/>
        <v>11.137</v>
      </c>
      <c r="J558">
        <f t="shared" si="64"/>
        <v>8364.3821200001985</v>
      </c>
      <c r="K558">
        <f t="shared" si="62"/>
        <v>8364.25</v>
      </c>
      <c r="L558">
        <f t="shared" si="65"/>
        <v>8364.25</v>
      </c>
      <c r="M558">
        <f t="shared" si="63"/>
        <v>11.137</v>
      </c>
    </row>
    <row r="559" spans="1:13" x14ac:dyDescent="0.25">
      <c r="A559" s="1">
        <v>2458364.38252</v>
      </c>
      <c r="B559" s="1" t="s">
        <v>90</v>
      </c>
      <c r="C559" s="1">
        <v>11.135999999999999</v>
      </c>
      <c r="D559" s="1" t="s">
        <v>292</v>
      </c>
      <c r="E559" t="s">
        <v>105</v>
      </c>
      <c r="F559">
        <f t="shared" si="59"/>
        <v>8364.3825199999847</v>
      </c>
      <c r="G559">
        <f t="shared" si="60"/>
        <v>8364.4</v>
      </c>
      <c r="H559">
        <f t="shared" si="61"/>
        <v>11.135999999999999</v>
      </c>
      <c r="J559">
        <f t="shared" si="64"/>
        <v>8364.3825199999847</v>
      </c>
      <c r="K559">
        <f t="shared" si="62"/>
        <v>8364.25</v>
      </c>
      <c r="L559">
        <f t="shared" si="65"/>
        <v>8364.25</v>
      </c>
      <c r="M559">
        <f t="shared" si="63"/>
        <v>11.135999999999999</v>
      </c>
    </row>
    <row r="560" spans="1:13" x14ac:dyDescent="0.25">
      <c r="A560" s="1">
        <v>2458364.3829299998</v>
      </c>
      <c r="B560" s="1" t="s">
        <v>90</v>
      </c>
      <c r="C560" s="1">
        <v>11.134</v>
      </c>
      <c r="D560" s="1" t="s">
        <v>292</v>
      </c>
      <c r="E560" t="s">
        <v>105</v>
      </c>
      <c r="F560">
        <f t="shared" si="59"/>
        <v>8364.382929999847</v>
      </c>
      <c r="G560">
        <f t="shared" si="60"/>
        <v>8364.4</v>
      </c>
      <c r="H560">
        <f t="shared" si="61"/>
        <v>11.134</v>
      </c>
      <c r="J560">
        <f t="shared" si="64"/>
        <v>8364.382929999847</v>
      </c>
      <c r="K560">
        <f t="shared" si="62"/>
        <v>8364.25</v>
      </c>
      <c r="L560">
        <f t="shared" si="65"/>
        <v>8364.25</v>
      </c>
      <c r="M560">
        <f t="shared" si="63"/>
        <v>11.134</v>
      </c>
    </row>
    <row r="561" spans="1:13" x14ac:dyDescent="0.25">
      <c r="A561" s="1">
        <v>2458364.3833599999</v>
      </c>
      <c r="B561" s="1" t="s">
        <v>90</v>
      </c>
      <c r="C561" s="1">
        <v>11.132999999999999</v>
      </c>
      <c r="D561" s="1" t="s">
        <v>292</v>
      </c>
      <c r="E561" t="s">
        <v>105</v>
      </c>
      <c r="F561">
        <f t="shared" si="59"/>
        <v>8364.3833599998616</v>
      </c>
      <c r="G561">
        <f t="shared" si="60"/>
        <v>8364.4</v>
      </c>
      <c r="H561">
        <f t="shared" si="61"/>
        <v>11.132999999999999</v>
      </c>
      <c r="J561">
        <f t="shared" si="64"/>
        <v>8364.3833599998616</v>
      </c>
      <c r="K561">
        <f t="shared" si="62"/>
        <v>8364.25</v>
      </c>
      <c r="L561">
        <f t="shared" si="65"/>
        <v>8364.25</v>
      </c>
      <c r="M561">
        <f t="shared" si="63"/>
        <v>11.132999999999999</v>
      </c>
    </row>
    <row r="562" spans="1:13" x14ac:dyDescent="0.25">
      <c r="A562" s="1">
        <v>2458364.3837600001</v>
      </c>
      <c r="B562" s="1" t="s">
        <v>90</v>
      </c>
      <c r="C562" s="1">
        <v>11.137</v>
      </c>
      <c r="D562" s="1" t="s">
        <v>292</v>
      </c>
      <c r="E562" t="s">
        <v>105</v>
      </c>
      <c r="F562">
        <f t="shared" si="59"/>
        <v>8364.3837600001134</v>
      </c>
      <c r="G562">
        <f t="shared" si="60"/>
        <v>8364.4</v>
      </c>
      <c r="H562">
        <f t="shared" si="61"/>
        <v>11.137</v>
      </c>
      <c r="J562">
        <f t="shared" si="64"/>
        <v>8364.3837600001134</v>
      </c>
      <c r="K562">
        <f t="shared" si="62"/>
        <v>8364.25</v>
      </c>
      <c r="L562">
        <f t="shared" si="65"/>
        <v>8364.25</v>
      </c>
      <c r="M562">
        <f t="shared" si="63"/>
        <v>11.137</v>
      </c>
    </row>
    <row r="563" spans="1:13" x14ac:dyDescent="0.25">
      <c r="A563" s="1">
        <v>2458364.3841499998</v>
      </c>
      <c r="B563" s="1" t="s">
        <v>90</v>
      </c>
      <c r="C563" s="1">
        <v>11.151</v>
      </c>
      <c r="D563" s="1" t="s">
        <v>292</v>
      </c>
      <c r="E563" t="s">
        <v>105</v>
      </c>
      <c r="F563">
        <f t="shared" si="59"/>
        <v>8364.3841499998234</v>
      </c>
      <c r="G563">
        <f t="shared" si="60"/>
        <v>8364.4</v>
      </c>
      <c r="H563">
        <f t="shared" si="61"/>
        <v>11.151</v>
      </c>
      <c r="J563">
        <f t="shared" si="64"/>
        <v>8364.3841499998234</v>
      </c>
      <c r="K563">
        <f t="shared" si="62"/>
        <v>8364.25</v>
      </c>
      <c r="L563">
        <f t="shared" si="65"/>
        <v>8364.25</v>
      </c>
      <c r="M563">
        <f t="shared" si="63"/>
        <v>11.151</v>
      </c>
    </row>
    <row r="564" spans="1:13" x14ac:dyDescent="0.25">
      <c r="A564" s="1">
        <v>2458364.3845500001</v>
      </c>
      <c r="B564" s="1" t="s">
        <v>90</v>
      </c>
      <c r="C564" s="1">
        <v>11.127000000000001</v>
      </c>
      <c r="D564" s="1" t="s">
        <v>292</v>
      </c>
      <c r="E564" t="s">
        <v>105</v>
      </c>
      <c r="F564">
        <f t="shared" si="59"/>
        <v>8364.3845500000753</v>
      </c>
      <c r="G564">
        <f t="shared" si="60"/>
        <v>8364.4</v>
      </c>
      <c r="H564">
        <f t="shared" si="61"/>
        <v>11.127000000000001</v>
      </c>
      <c r="J564">
        <f t="shared" si="64"/>
        <v>8364.3845500000753</v>
      </c>
      <c r="K564">
        <f t="shared" si="62"/>
        <v>8364.25</v>
      </c>
      <c r="L564">
        <f t="shared" si="65"/>
        <v>8364.25</v>
      </c>
      <c r="M564">
        <f t="shared" si="63"/>
        <v>11.127000000000001</v>
      </c>
    </row>
    <row r="565" spans="1:13" x14ac:dyDescent="0.25">
      <c r="A565" s="1">
        <v>2458364.3849399998</v>
      </c>
      <c r="B565" s="1" t="s">
        <v>90</v>
      </c>
      <c r="C565" s="1">
        <v>11.14</v>
      </c>
      <c r="D565" s="1" t="s">
        <v>292</v>
      </c>
      <c r="E565" t="s">
        <v>105</v>
      </c>
      <c r="F565">
        <f t="shared" si="59"/>
        <v>8364.3849399997853</v>
      </c>
      <c r="G565">
        <f t="shared" si="60"/>
        <v>8364.4</v>
      </c>
      <c r="H565">
        <f t="shared" si="61"/>
        <v>11.14</v>
      </c>
      <c r="J565">
        <f t="shared" si="64"/>
        <v>8364.3849399997853</v>
      </c>
      <c r="K565">
        <f t="shared" si="62"/>
        <v>8364.25</v>
      </c>
      <c r="L565">
        <f t="shared" si="65"/>
        <v>8364.25</v>
      </c>
      <c r="M565">
        <f t="shared" si="63"/>
        <v>11.14</v>
      </c>
    </row>
    <row r="566" spans="1:13" x14ac:dyDescent="0.25">
      <c r="A566" s="1">
        <v>2458364.38533</v>
      </c>
      <c r="B566" s="1" t="s">
        <v>90</v>
      </c>
      <c r="C566" s="1">
        <v>11.14</v>
      </c>
      <c r="D566" s="1" t="s">
        <v>292</v>
      </c>
      <c r="E566" t="s">
        <v>105</v>
      </c>
      <c r="F566">
        <f t="shared" si="59"/>
        <v>8364.385329999961</v>
      </c>
      <c r="G566">
        <f t="shared" si="60"/>
        <v>8364.4</v>
      </c>
      <c r="H566">
        <f t="shared" si="61"/>
        <v>11.14</v>
      </c>
      <c r="J566">
        <f t="shared" si="64"/>
        <v>8364.385329999961</v>
      </c>
      <c r="K566">
        <f t="shared" si="62"/>
        <v>8364.25</v>
      </c>
      <c r="L566">
        <f t="shared" si="65"/>
        <v>8364.25</v>
      </c>
      <c r="M566">
        <f t="shared" si="63"/>
        <v>11.14</v>
      </c>
    </row>
    <row r="567" spans="1:13" x14ac:dyDescent="0.25">
      <c r="A567" s="1">
        <v>2458364.3857300002</v>
      </c>
      <c r="B567" s="1" t="s">
        <v>90</v>
      </c>
      <c r="C567" s="1">
        <v>11.132999999999999</v>
      </c>
      <c r="D567" s="1" t="s">
        <v>292</v>
      </c>
      <c r="E567" t="s">
        <v>105</v>
      </c>
      <c r="F567">
        <f t="shared" si="59"/>
        <v>8364.3857300002128</v>
      </c>
      <c r="G567">
        <f t="shared" si="60"/>
        <v>8364.4</v>
      </c>
      <c r="H567">
        <f t="shared" si="61"/>
        <v>11.132999999999999</v>
      </c>
      <c r="J567">
        <f t="shared" si="64"/>
        <v>8364.3857300002128</v>
      </c>
      <c r="K567">
        <f t="shared" si="62"/>
        <v>8364.25</v>
      </c>
      <c r="L567">
        <f t="shared" si="65"/>
        <v>8364.25</v>
      </c>
      <c r="M567">
        <f t="shared" si="63"/>
        <v>11.132999999999999</v>
      </c>
    </row>
    <row r="568" spans="1:13" x14ac:dyDescent="0.25">
      <c r="A568" s="1">
        <v>2458364.3861199999</v>
      </c>
      <c r="B568" s="1" t="s">
        <v>90</v>
      </c>
      <c r="C568" s="1">
        <v>11.135</v>
      </c>
      <c r="D568" s="1" t="s">
        <v>292</v>
      </c>
      <c r="E568" t="s">
        <v>105</v>
      </c>
      <c r="F568">
        <f t="shared" si="59"/>
        <v>8364.3861199999228</v>
      </c>
      <c r="G568">
        <f t="shared" si="60"/>
        <v>8364.4</v>
      </c>
      <c r="H568">
        <f t="shared" si="61"/>
        <v>11.135</v>
      </c>
      <c r="J568">
        <f t="shared" si="64"/>
        <v>8364.3861199999228</v>
      </c>
      <c r="K568">
        <f t="shared" si="62"/>
        <v>8364.25</v>
      </c>
      <c r="L568">
        <f t="shared" si="65"/>
        <v>8364.25</v>
      </c>
      <c r="M568">
        <f t="shared" si="63"/>
        <v>11.135</v>
      </c>
    </row>
    <row r="569" spans="1:13" x14ac:dyDescent="0.25">
      <c r="A569" s="1">
        <v>2458364.3865499999</v>
      </c>
      <c r="B569" s="1" t="s">
        <v>90</v>
      </c>
      <c r="C569" s="1">
        <v>11.138</v>
      </c>
      <c r="D569" s="1" t="s">
        <v>292</v>
      </c>
      <c r="E569" t="s">
        <v>105</v>
      </c>
      <c r="F569">
        <f t="shared" si="59"/>
        <v>8364.3865499999374</v>
      </c>
      <c r="G569">
        <f t="shared" si="60"/>
        <v>8364.4</v>
      </c>
      <c r="H569">
        <f t="shared" si="61"/>
        <v>11.138</v>
      </c>
      <c r="J569">
        <f t="shared" si="64"/>
        <v>8364.3865499999374</v>
      </c>
      <c r="K569">
        <f t="shared" si="62"/>
        <v>8364.25</v>
      </c>
      <c r="L569">
        <f t="shared" si="65"/>
        <v>8364.25</v>
      </c>
      <c r="M569">
        <f t="shared" si="63"/>
        <v>11.138</v>
      </c>
    </row>
    <row r="570" spans="1:13" x14ac:dyDescent="0.25">
      <c r="A570" s="1">
        <v>2458364.3869400001</v>
      </c>
      <c r="B570" s="1" t="s">
        <v>90</v>
      </c>
      <c r="C570" s="1">
        <v>11.134</v>
      </c>
      <c r="D570" s="1" t="s">
        <v>292</v>
      </c>
      <c r="E570" t="s">
        <v>105</v>
      </c>
      <c r="F570">
        <f t="shared" si="59"/>
        <v>8364.3869400001131</v>
      </c>
      <c r="G570">
        <f t="shared" si="60"/>
        <v>8364.4</v>
      </c>
      <c r="H570">
        <f t="shared" si="61"/>
        <v>11.134</v>
      </c>
      <c r="J570">
        <f t="shared" si="64"/>
        <v>8364.3869400001131</v>
      </c>
      <c r="K570">
        <f t="shared" si="62"/>
        <v>8364.25</v>
      </c>
      <c r="L570">
        <f t="shared" si="65"/>
        <v>8364.25</v>
      </c>
      <c r="M570">
        <f t="shared" si="63"/>
        <v>11.134</v>
      </c>
    </row>
    <row r="571" spans="1:13" x14ac:dyDescent="0.25">
      <c r="A571" s="1">
        <v>2458364.3873399999</v>
      </c>
      <c r="B571" s="1" t="s">
        <v>90</v>
      </c>
      <c r="C571" s="1">
        <v>11.144</v>
      </c>
      <c r="D571" s="1" t="s">
        <v>292</v>
      </c>
      <c r="E571" t="s">
        <v>105</v>
      </c>
      <c r="F571">
        <f t="shared" si="59"/>
        <v>8364.3873399998993</v>
      </c>
      <c r="G571">
        <f t="shared" si="60"/>
        <v>8364.4</v>
      </c>
      <c r="H571">
        <f t="shared" si="61"/>
        <v>11.144</v>
      </c>
      <c r="J571">
        <f t="shared" si="64"/>
        <v>8364.3873399998993</v>
      </c>
      <c r="K571">
        <f t="shared" si="62"/>
        <v>8364.25</v>
      </c>
      <c r="L571">
        <f t="shared" si="65"/>
        <v>8364.25</v>
      </c>
      <c r="M571">
        <f t="shared" si="63"/>
        <v>11.144</v>
      </c>
    </row>
    <row r="572" spans="1:13" x14ac:dyDescent="0.25">
      <c r="A572" s="1">
        <v>2458364.3877300001</v>
      </c>
      <c r="B572" s="1" t="s">
        <v>90</v>
      </c>
      <c r="C572" s="1">
        <v>11.122999999999999</v>
      </c>
      <c r="D572" s="1" t="s">
        <v>292</v>
      </c>
      <c r="E572" t="s">
        <v>105</v>
      </c>
      <c r="F572">
        <f t="shared" si="59"/>
        <v>8364.387730000075</v>
      </c>
      <c r="G572">
        <f t="shared" si="60"/>
        <v>8364.4</v>
      </c>
      <c r="H572">
        <f t="shared" si="61"/>
        <v>11.122999999999999</v>
      </c>
      <c r="J572">
        <f t="shared" si="64"/>
        <v>8364.387730000075</v>
      </c>
      <c r="K572">
        <f t="shared" si="62"/>
        <v>8364.25</v>
      </c>
      <c r="L572">
        <f t="shared" si="65"/>
        <v>8364.25</v>
      </c>
      <c r="M572">
        <f t="shared" si="63"/>
        <v>11.122999999999999</v>
      </c>
    </row>
    <row r="573" spans="1:13" x14ac:dyDescent="0.25">
      <c r="A573" s="1">
        <v>2458364.3881600001</v>
      </c>
      <c r="B573" s="1" t="s">
        <v>90</v>
      </c>
      <c r="C573" s="1">
        <v>11.141999999999999</v>
      </c>
      <c r="D573" s="1" t="s">
        <v>292</v>
      </c>
      <c r="E573" t="s">
        <v>105</v>
      </c>
      <c r="F573">
        <f t="shared" si="59"/>
        <v>8364.3881600000896</v>
      </c>
      <c r="G573">
        <f t="shared" si="60"/>
        <v>8364.4</v>
      </c>
      <c r="H573">
        <f t="shared" si="61"/>
        <v>11.141999999999999</v>
      </c>
      <c r="J573">
        <f t="shared" si="64"/>
        <v>8364.3881600000896</v>
      </c>
      <c r="K573">
        <f t="shared" si="62"/>
        <v>8364.25</v>
      </c>
      <c r="L573">
        <f t="shared" si="65"/>
        <v>8364.25</v>
      </c>
      <c r="M573">
        <f t="shared" si="63"/>
        <v>11.141999999999999</v>
      </c>
    </row>
    <row r="574" spans="1:13" x14ac:dyDescent="0.25">
      <c r="A574" s="1">
        <v>2458364.3885499998</v>
      </c>
      <c r="B574" s="1" t="s">
        <v>90</v>
      </c>
      <c r="C574" s="1">
        <v>11.137</v>
      </c>
      <c r="D574" s="1" t="s">
        <v>292</v>
      </c>
      <c r="E574" t="s">
        <v>105</v>
      </c>
      <c r="F574">
        <f t="shared" si="59"/>
        <v>8364.3885499997996</v>
      </c>
      <c r="G574">
        <f t="shared" si="60"/>
        <v>8364.4</v>
      </c>
      <c r="H574">
        <f t="shared" si="61"/>
        <v>11.137</v>
      </c>
      <c r="J574">
        <f t="shared" si="64"/>
        <v>8364.3885499997996</v>
      </c>
      <c r="K574">
        <f t="shared" si="62"/>
        <v>8364.25</v>
      </c>
      <c r="L574">
        <f t="shared" si="65"/>
        <v>8364.25</v>
      </c>
      <c r="M574">
        <f t="shared" si="63"/>
        <v>11.137</v>
      </c>
    </row>
    <row r="575" spans="1:13" x14ac:dyDescent="0.25">
      <c r="A575" s="1">
        <v>2458364.3889500001</v>
      </c>
      <c r="B575" s="1" t="s">
        <v>90</v>
      </c>
      <c r="C575" s="1">
        <v>11.135</v>
      </c>
      <c r="D575" s="1" t="s">
        <v>292</v>
      </c>
      <c r="E575" t="s">
        <v>105</v>
      </c>
      <c r="F575">
        <f t="shared" si="59"/>
        <v>8364.3889500000514</v>
      </c>
      <c r="G575">
        <f t="shared" si="60"/>
        <v>8364.4</v>
      </c>
      <c r="H575">
        <f t="shared" si="61"/>
        <v>11.135</v>
      </c>
      <c r="J575">
        <f t="shared" si="64"/>
        <v>8364.3889500000514</v>
      </c>
      <c r="K575">
        <f t="shared" si="62"/>
        <v>8364.25</v>
      </c>
      <c r="L575">
        <f t="shared" si="65"/>
        <v>8364.25</v>
      </c>
      <c r="M575">
        <f t="shared" si="63"/>
        <v>11.135</v>
      </c>
    </row>
    <row r="576" spans="1:13" x14ac:dyDescent="0.25">
      <c r="A576" s="1">
        <v>2458364.3893400002</v>
      </c>
      <c r="B576" s="1" t="s">
        <v>90</v>
      </c>
      <c r="C576" s="1">
        <v>11.15</v>
      </c>
      <c r="D576" s="1" t="s">
        <v>292</v>
      </c>
      <c r="E576" t="s">
        <v>105</v>
      </c>
      <c r="F576">
        <f t="shared" si="59"/>
        <v>8364.3893400002271</v>
      </c>
      <c r="G576">
        <f t="shared" si="60"/>
        <v>8364.4</v>
      </c>
      <c r="H576">
        <f t="shared" si="61"/>
        <v>11.15</v>
      </c>
      <c r="J576">
        <f t="shared" si="64"/>
        <v>8364.3893400002271</v>
      </c>
      <c r="K576">
        <f t="shared" si="62"/>
        <v>8364.25</v>
      </c>
      <c r="L576">
        <f t="shared" si="65"/>
        <v>8364.25</v>
      </c>
      <c r="M576">
        <f t="shared" si="63"/>
        <v>11.15</v>
      </c>
    </row>
    <row r="577" spans="1:13" x14ac:dyDescent="0.25">
      <c r="A577" s="1">
        <v>2458364.38974</v>
      </c>
      <c r="B577" s="1" t="s">
        <v>90</v>
      </c>
      <c r="C577" s="1">
        <v>11.121</v>
      </c>
      <c r="D577" s="1" t="s">
        <v>292</v>
      </c>
      <c r="E577" t="s">
        <v>105</v>
      </c>
      <c r="F577">
        <f t="shared" si="59"/>
        <v>8364.3897400000133</v>
      </c>
      <c r="G577">
        <f t="shared" si="60"/>
        <v>8364.4</v>
      </c>
      <c r="H577">
        <f t="shared" si="61"/>
        <v>11.121</v>
      </c>
      <c r="J577">
        <f t="shared" si="64"/>
        <v>8364.3897400000133</v>
      </c>
      <c r="K577">
        <f t="shared" si="62"/>
        <v>8364.25</v>
      </c>
      <c r="L577">
        <f t="shared" si="65"/>
        <v>8364.25</v>
      </c>
      <c r="M577">
        <f t="shared" si="63"/>
        <v>11.121</v>
      </c>
    </row>
    <row r="578" spans="1:13" x14ac:dyDescent="0.25">
      <c r="A578" s="1">
        <v>2458364.3901399998</v>
      </c>
      <c r="B578" s="1" t="s">
        <v>90</v>
      </c>
      <c r="C578" s="1">
        <v>11.138</v>
      </c>
      <c r="D578" s="1" t="s">
        <v>292</v>
      </c>
      <c r="E578" t="s">
        <v>105</v>
      </c>
      <c r="F578">
        <f t="shared" si="59"/>
        <v>8364.3901399997994</v>
      </c>
      <c r="G578">
        <f t="shared" si="60"/>
        <v>8364.4</v>
      </c>
      <c r="H578">
        <f t="shared" si="61"/>
        <v>11.138</v>
      </c>
      <c r="J578">
        <f t="shared" si="64"/>
        <v>8364.3901399997994</v>
      </c>
      <c r="K578">
        <f t="shared" si="62"/>
        <v>8364.25</v>
      </c>
      <c r="L578">
        <f t="shared" si="65"/>
        <v>8364.25</v>
      </c>
      <c r="M578">
        <f t="shared" si="63"/>
        <v>11.138</v>
      </c>
    </row>
    <row r="579" spans="1:13" x14ac:dyDescent="0.25">
      <c r="A579" s="1">
        <v>2458364.39053</v>
      </c>
      <c r="B579" s="1" t="s">
        <v>90</v>
      </c>
      <c r="C579" s="1">
        <v>11.135999999999999</v>
      </c>
      <c r="D579" s="1" t="s">
        <v>292</v>
      </c>
      <c r="E579" t="s">
        <v>105</v>
      </c>
      <c r="F579">
        <f t="shared" ref="F579:F642" si="66">+A579-2450000</f>
        <v>8364.3905299999751</v>
      </c>
      <c r="G579">
        <f t="shared" ref="G579:G642" si="67">+(ROUND(F579,1)*10)/10</f>
        <v>8364.4</v>
      </c>
      <c r="H579">
        <f t="shared" ref="H579:H642" si="68">+C579</f>
        <v>11.135999999999999</v>
      </c>
      <c r="J579">
        <f t="shared" si="64"/>
        <v>8364.3905299999751</v>
      </c>
      <c r="K579">
        <f t="shared" ref="K579:K642" si="69">+INT(J579*4)/4</f>
        <v>8364.25</v>
      </c>
      <c r="L579">
        <f t="shared" si="65"/>
        <v>8364.25</v>
      </c>
      <c r="M579">
        <f t="shared" ref="M579:M642" si="70">+H579</f>
        <v>11.135999999999999</v>
      </c>
    </row>
    <row r="580" spans="1:13" x14ac:dyDescent="0.25">
      <c r="A580" s="1">
        <v>2458364.3909200002</v>
      </c>
      <c r="B580" s="1" t="s">
        <v>90</v>
      </c>
      <c r="C580" s="1">
        <v>11.132999999999999</v>
      </c>
      <c r="D580" s="1" t="s">
        <v>292</v>
      </c>
      <c r="E580" t="s">
        <v>105</v>
      </c>
      <c r="F580">
        <f t="shared" si="66"/>
        <v>8364.3909200001508</v>
      </c>
      <c r="G580">
        <f t="shared" si="67"/>
        <v>8364.4</v>
      </c>
      <c r="H580">
        <f t="shared" si="68"/>
        <v>11.132999999999999</v>
      </c>
      <c r="J580">
        <f t="shared" si="64"/>
        <v>8364.3909200001508</v>
      </c>
      <c r="K580">
        <f t="shared" si="69"/>
        <v>8364.25</v>
      </c>
      <c r="L580">
        <f t="shared" si="65"/>
        <v>8364.25</v>
      </c>
      <c r="M580">
        <f t="shared" si="70"/>
        <v>11.132999999999999</v>
      </c>
    </row>
    <row r="581" spans="1:13" x14ac:dyDescent="0.25">
      <c r="A581" s="1">
        <v>2458364.3913199999</v>
      </c>
      <c r="B581" s="1" t="s">
        <v>90</v>
      </c>
      <c r="C581" s="1">
        <v>11.128</v>
      </c>
      <c r="D581" s="1" t="s">
        <v>292</v>
      </c>
      <c r="E581" t="s">
        <v>105</v>
      </c>
      <c r="F581">
        <f t="shared" si="66"/>
        <v>8364.391319999937</v>
      </c>
      <c r="G581">
        <f t="shared" si="67"/>
        <v>8364.4</v>
      </c>
      <c r="H581">
        <f t="shared" si="68"/>
        <v>11.128</v>
      </c>
      <c r="J581">
        <f t="shared" si="64"/>
        <v>8364.391319999937</v>
      </c>
      <c r="K581">
        <f t="shared" si="69"/>
        <v>8364.25</v>
      </c>
      <c r="L581">
        <f t="shared" si="65"/>
        <v>8364.25</v>
      </c>
      <c r="M581">
        <f t="shared" si="70"/>
        <v>11.128</v>
      </c>
    </row>
    <row r="582" spans="1:13" x14ac:dyDescent="0.25">
      <c r="A582" s="1">
        <v>2458364.3917100001</v>
      </c>
      <c r="B582" s="1" t="s">
        <v>90</v>
      </c>
      <c r="C582" s="1">
        <v>11.11</v>
      </c>
      <c r="D582" s="1" t="s">
        <v>292</v>
      </c>
      <c r="E582" t="s">
        <v>105</v>
      </c>
      <c r="F582">
        <f t="shared" si="66"/>
        <v>8364.3917100001127</v>
      </c>
      <c r="G582">
        <f t="shared" si="67"/>
        <v>8364.4</v>
      </c>
      <c r="H582">
        <f t="shared" si="68"/>
        <v>11.11</v>
      </c>
      <c r="J582">
        <f t="shared" si="64"/>
        <v>8364.3917100001127</v>
      </c>
      <c r="K582">
        <f t="shared" si="69"/>
        <v>8364.25</v>
      </c>
      <c r="L582">
        <f t="shared" si="65"/>
        <v>8364.25</v>
      </c>
      <c r="M582">
        <f t="shared" si="70"/>
        <v>11.11</v>
      </c>
    </row>
    <row r="583" spans="1:13" x14ac:dyDescent="0.25">
      <c r="A583" s="1">
        <v>2458364.3921400001</v>
      </c>
      <c r="B583" s="1" t="s">
        <v>90</v>
      </c>
      <c r="C583" s="1">
        <v>11.163</v>
      </c>
      <c r="D583" s="1" t="s">
        <v>292</v>
      </c>
      <c r="E583" t="s">
        <v>105</v>
      </c>
      <c r="F583">
        <f t="shared" si="66"/>
        <v>8364.3921400001273</v>
      </c>
      <c r="G583">
        <f t="shared" si="67"/>
        <v>8364.4</v>
      </c>
      <c r="H583">
        <f t="shared" si="68"/>
        <v>11.163</v>
      </c>
      <c r="J583">
        <f t="shared" si="64"/>
        <v>8364.3921400001273</v>
      </c>
      <c r="K583">
        <f t="shared" si="69"/>
        <v>8364.25</v>
      </c>
      <c r="L583">
        <f t="shared" si="65"/>
        <v>8364.25</v>
      </c>
      <c r="M583">
        <f t="shared" si="70"/>
        <v>11.163</v>
      </c>
    </row>
    <row r="584" spans="1:13" x14ac:dyDescent="0.25">
      <c r="A584" s="1">
        <v>2458364.3925299998</v>
      </c>
      <c r="B584" s="1" t="s">
        <v>90</v>
      </c>
      <c r="C584" s="1">
        <v>11.132999999999999</v>
      </c>
      <c r="D584" s="1" t="s">
        <v>292</v>
      </c>
      <c r="E584" t="s">
        <v>105</v>
      </c>
      <c r="F584">
        <f t="shared" si="66"/>
        <v>8364.3925299998373</v>
      </c>
      <c r="G584">
        <f t="shared" si="67"/>
        <v>8364.4</v>
      </c>
      <c r="H584">
        <f t="shared" si="68"/>
        <v>11.132999999999999</v>
      </c>
      <c r="J584">
        <f t="shared" si="64"/>
        <v>8364.3925299998373</v>
      </c>
      <c r="K584">
        <f t="shared" si="69"/>
        <v>8364.25</v>
      </c>
      <c r="L584">
        <f t="shared" si="65"/>
        <v>8364.25</v>
      </c>
      <c r="M584">
        <f t="shared" si="70"/>
        <v>11.132999999999999</v>
      </c>
    </row>
    <row r="585" spans="1:13" x14ac:dyDescent="0.25">
      <c r="A585" s="1">
        <v>2458364.3929300001</v>
      </c>
      <c r="B585" s="1" t="s">
        <v>90</v>
      </c>
      <c r="C585" s="1">
        <v>11.151999999999999</v>
      </c>
      <c r="D585" s="1" t="s">
        <v>292</v>
      </c>
      <c r="E585" t="s">
        <v>105</v>
      </c>
      <c r="F585">
        <f t="shared" si="66"/>
        <v>8364.3929300000891</v>
      </c>
      <c r="G585">
        <f t="shared" si="67"/>
        <v>8364.4</v>
      </c>
      <c r="H585">
        <f t="shared" si="68"/>
        <v>11.151999999999999</v>
      </c>
      <c r="J585">
        <f t="shared" si="64"/>
        <v>8364.3929300000891</v>
      </c>
      <c r="K585">
        <f t="shared" si="69"/>
        <v>8364.25</v>
      </c>
      <c r="L585">
        <f t="shared" si="65"/>
        <v>8364.25</v>
      </c>
      <c r="M585">
        <f t="shared" si="70"/>
        <v>11.151999999999999</v>
      </c>
    </row>
    <row r="586" spans="1:13" x14ac:dyDescent="0.25">
      <c r="A586" s="1">
        <v>2458364.3933299999</v>
      </c>
      <c r="B586" s="1" t="s">
        <v>90</v>
      </c>
      <c r="C586" s="1">
        <v>11.138999999999999</v>
      </c>
      <c r="D586" s="1" t="s">
        <v>292</v>
      </c>
      <c r="E586" t="s">
        <v>105</v>
      </c>
      <c r="F586">
        <f t="shared" si="66"/>
        <v>8364.3933299998753</v>
      </c>
      <c r="G586">
        <f t="shared" si="67"/>
        <v>8364.4</v>
      </c>
      <c r="H586">
        <f t="shared" si="68"/>
        <v>11.138999999999999</v>
      </c>
      <c r="J586">
        <f t="shared" si="64"/>
        <v>8364.3933299998753</v>
      </c>
      <c r="K586">
        <f t="shared" si="69"/>
        <v>8364.25</v>
      </c>
      <c r="L586">
        <f t="shared" si="65"/>
        <v>8364.25</v>
      </c>
      <c r="M586">
        <f t="shared" si="70"/>
        <v>11.138999999999999</v>
      </c>
    </row>
    <row r="587" spans="1:13" x14ac:dyDescent="0.25">
      <c r="A587" s="1">
        <v>2458364.3937300001</v>
      </c>
      <c r="B587" s="1" t="s">
        <v>90</v>
      </c>
      <c r="C587" s="1">
        <v>11.134</v>
      </c>
      <c r="D587" s="1" t="s">
        <v>292</v>
      </c>
      <c r="E587" t="s">
        <v>105</v>
      </c>
      <c r="F587">
        <f t="shared" si="66"/>
        <v>8364.3937300001271</v>
      </c>
      <c r="G587">
        <f t="shared" si="67"/>
        <v>8364.4</v>
      </c>
      <c r="H587">
        <f t="shared" si="68"/>
        <v>11.134</v>
      </c>
      <c r="J587">
        <f t="shared" si="64"/>
        <v>8364.3937300001271</v>
      </c>
      <c r="K587">
        <f t="shared" si="69"/>
        <v>8364.25</v>
      </c>
      <c r="L587">
        <f t="shared" si="65"/>
        <v>8364.25</v>
      </c>
      <c r="M587">
        <f t="shared" si="70"/>
        <v>11.134</v>
      </c>
    </row>
    <row r="588" spans="1:13" x14ac:dyDescent="0.25">
      <c r="A588" s="1">
        <v>2458364.3941199998</v>
      </c>
      <c r="B588" s="1" t="s">
        <v>90</v>
      </c>
      <c r="C588" s="1">
        <v>11.112</v>
      </c>
      <c r="D588" s="1" t="s">
        <v>292</v>
      </c>
      <c r="E588" t="s">
        <v>105</v>
      </c>
      <c r="F588">
        <f t="shared" si="66"/>
        <v>8364.3941199998371</v>
      </c>
      <c r="G588">
        <f t="shared" si="67"/>
        <v>8364.4</v>
      </c>
      <c r="H588">
        <f t="shared" si="68"/>
        <v>11.112</v>
      </c>
      <c r="J588">
        <f t="shared" si="64"/>
        <v>8364.3941199998371</v>
      </c>
      <c r="K588">
        <f t="shared" si="69"/>
        <v>8364.25</v>
      </c>
      <c r="L588">
        <f t="shared" si="65"/>
        <v>8364.25</v>
      </c>
      <c r="M588">
        <f t="shared" si="70"/>
        <v>11.112</v>
      </c>
    </row>
    <row r="589" spans="1:13" x14ac:dyDescent="0.25">
      <c r="A589" s="1">
        <v>2458364.39451</v>
      </c>
      <c r="B589" s="1" t="s">
        <v>90</v>
      </c>
      <c r="C589" s="1">
        <v>11.131</v>
      </c>
      <c r="D589" s="1" t="s">
        <v>292</v>
      </c>
      <c r="E589" t="s">
        <v>105</v>
      </c>
      <c r="F589">
        <f t="shared" si="66"/>
        <v>8364.3945100000128</v>
      </c>
      <c r="G589">
        <f t="shared" si="67"/>
        <v>8364.4</v>
      </c>
      <c r="H589">
        <f t="shared" si="68"/>
        <v>11.131</v>
      </c>
      <c r="J589">
        <f t="shared" si="64"/>
        <v>8364.3945100000128</v>
      </c>
      <c r="K589">
        <f t="shared" si="69"/>
        <v>8364.25</v>
      </c>
      <c r="L589">
        <f t="shared" si="65"/>
        <v>8364.25</v>
      </c>
      <c r="M589">
        <f t="shared" si="70"/>
        <v>11.131</v>
      </c>
    </row>
    <row r="590" spans="1:13" x14ac:dyDescent="0.25">
      <c r="A590" s="1">
        <v>2458364.3949099998</v>
      </c>
      <c r="B590" s="1" t="s">
        <v>90</v>
      </c>
      <c r="C590" s="1">
        <v>11.163</v>
      </c>
      <c r="D590" s="1" t="s">
        <v>292</v>
      </c>
      <c r="E590" t="s">
        <v>105</v>
      </c>
      <c r="F590">
        <f t="shared" si="66"/>
        <v>8364.394909999799</v>
      </c>
      <c r="G590">
        <f t="shared" si="67"/>
        <v>8364.4</v>
      </c>
      <c r="H590">
        <f t="shared" si="68"/>
        <v>11.163</v>
      </c>
      <c r="J590">
        <f t="shared" si="64"/>
        <v>8364.394909999799</v>
      </c>
      <c r="K590">
        <f t="shared" si="69"/>
        <v>8364.25</v>
      </c>
      <c r="L590">
        <f t="shared" si="65"/>
        <v>8364.25</v>
      </c>
      <c r="M590">
        <f t="shared" si="70"/>
        <v>11.163</v>
      </c>
    </row>
    <row r="591" spans="1:13" x14ac:dyDescent="0.25">
      <c r="A591" s="1">
        <v>2458364.3953</v>
      </c>
      <c r="B591" s="1" t="s">
        <v>90</v>
      </c>
      <c r="C591" s="1">
        <v>11.117000000000001</v>
      </c>
      <c r="D591" s="1" t="s">
        <v>292</v>
      </c>
      <c r="E591" t="s">
        <v>105</v>
      </c>
      <c r="F591">
        <f t="shared" si="66"/>
        <v>8364.3952999999747</v>
      </c>
      <c r="G591">
        <f t="shared" si="67"/>
        <v>8364.4</v>
      </c>
      <c r="H591">
        <f t="shared" si="68"/>
        <v>11.117000000000001</v>
      </c>
      <c r="J591">
        <f t="shared" si="64"/>
        <v>8364.3952999999747</v>
      </c>
      <c r="K591">
        <f t="shared" si="69"/>
        <v>8364.25</v>
      </c>
      <c r="L591">
        <f t="shared" si="65"/>
        <v>8364.25</v>
      </c>
      <c r="M591">
        <f t="shared" si="70"/>
        <v>11.117000000000001</v>
      </c>
    </row>
    <row r="592" spans="1:13" x14ac:dyDescent="0.25">
      <c r="A592" s="1">
        <v>2458364.39573</v>
      </c>
      <c r="B592" s="1" t="s">
        <v>90</v>
      </c>
      <c r="C592" s="1">
        <v>11.125999999999999</v>
      </c>
      <c r="D592" s="1" t="s">
        <v>292</v>
      </c>
      <c r="E592" t="s">
        <v>105</v>
      </c>
      <c r="F592">
        <f t="shared" si="66"/>
        <v>8364.3957299999893</v>
      </c>
      <c r="G592">
        <f t="shared" si="67"/>
        <v>8364.4</v>
      </c>
      <c r="H592">
        <f t="shared" si="68"/>
        <v>11.125999999999999</v>
      </c>
      <c r="J592">
        <f t="shared" si="64"/>
        <v>8364.3957299999893</v>
      </c>
      <c r="K592">
        <f t="shared" si="69"/>
        <v>8364.25</v>
      </c>
      <c r="L592">
        <f t="shared" si="65"/>
        <v>8364.25</v>
      </c>
      <c r="M592">
        <f t="shared" si="70"/>
        <v>11.125999999999999</v>
      </c>
    </row>
    <row r="593" spans="1:13" x14ac:dyDescent="0.25">
      <c r="A593" s="1">
        <v>2458364.3961200002</v>
      </c>
      <c r="B593" s="1" t="s">
        <v>90</v>
      </c>
      <c r="C593" s="1">
        <v>11.135999999999999</v>
      </c>
      <c r="D593" s="1" t="s">
        <v>292</v>
      </c>
      <c r="E593" t="s">
        <v>105</v>
      </c>
      <c r="F593">
        <f t="shared" si="66"/>
        <v>8364.396120000165</v>
      </c>
      <c r="G593">
        <f t="shared" si="67"/>
        <v>8364.4</v>
      </c>
      <c r="H593">
        <f t="shared" si="68"/>
        <v>11.135999999999999</v>
      </c>
      <c r="J593">
        <f t="shared" si="64"/>
        <v>8364.396120000165</v>
      </c>
      <c r="K593">
        <f t="shared" si="69"/>
        <v>8364.25</v>
      </c>
      <c r="L593">
        <f t="shared" si="65"/>
        <v>8364.25</v>
      </c>
      <c r="M593">
        <f t="shared" si="70"/>
        <v>11.135999999999999</v>
      </c>
    </row>
    <row r="594" spans="1:13" x14ac:dyDescent="0.25">
      <c r="A594" s="1">
        <v>2458364.3965099999</v>
      </c>
      <c r="B594" s="1" t="s">
        <v>90</v>
      </c>
      <c r="C594" s="1">
        <v>11.132999999999999</v>
      </c>
      <c r="D594" s="1" t="s">
        <v>292</v>
      </c>
      <c r="E594" t="s">
        <v>105</v>
      </c>
      <c r="F594">
        <f t="shared" si="66"/>
        <v>8364.396509999875</v>
      </c>
      <c r="G594">
        <f t="shared" si="67"/>
        <v>8364.4</v>
      </c>
      <c r="H594">
        <f t="shared" si="68"/>
        <v>11.132999999999999</v>
      </c>
      <c r="J594">
        <f t="shared" si="64"/>
        <v>8364.396509999875</v>
      </c>
      <c r="K594">
        <f t="shared" si="69"/>
        <v>8364.25</v>
      </c>
      <c r="L594">
        <f t="shared" si="65"/>
        <v>8364.25</v>
      </c>
      <c r="M594">
        <f t="shared" si="70"/>
        <v>11.132999999999999</v>
      </c>
    </row>
    <row r="595" spans="1:13" x14ac:dyDescent="0.25">
      <c r="A595" s="1">
        <v>2458364.3969100001</v>
      </c>
      <c r="B595" s="1" t="s">
        <v>90</v>
      </c>
      <c r="C595" s="1">
        <v>11.135</v>
      </c>
      <c r="D595" s="1" t="s">
        <v>292</v>
      </c>
      <c r="E595" t="s">
        <v>105</v>
      </c>
      <c r="F595">
        <f t="shared" si="66"/>
        <v>8364.3969100001268</v>
      </c>
      <c r="G595">
        <f t="shared" si="67"/>
        <v>8364.4</v>
      </c>
      <c r="H595">
        <f t="shared" si="68"/>
        <v>11.135</v>
      </c>
      <c r="J595">
        <f t="shared" si="64"/>
        <v>8364.3969100001268</v>
      </c>
      <c r="K595">
        <f t="shared" si="69"/>
        <v>8364.25</v>
      </c>
      <c r="L595">
        <f t="shared" si="65"/>
        <v>8364.25</v>
      </c>
      <c r="M595">
        <f t="shared" si="70"/>
        <v>11.135</v>
      </c>
    </row>
    <row r="596" spans="1:13" x14ac:dyDescent="0.25">
      <c r="A596" s="1">
        <v>2458364.3972999998</v>
      </c>
      <c r="B596" s="1" t="s">
        <v>90</v>
      </c>
      <c r="C596" s="1">
        <v>11.135999999999999</v>
      </c>
      <c r="D596" s="1" t="s">
        <v>292</v>
      </c>
      <c r="E596" t="s">
        <v>105</v>
      </c>
      <c r="F596">
        <f t="shared" si="66"/>
        <v>8364.3972999998368</v>
      </c>
      <c r="G596">
        <f t="shared" si="67"/>
        <v>8364.4</v>
      </c>
      <c r="H596">
        <f t="shared" si="68"/>
        <v>11.135999999999999</v>
      </c>
      <c r="J596">
        <f t="shared" si="64"/>
        <v>8364.3972999998368</v>
      </c>
      <c r="K596">
        <f t="shared" si="69"/>
        <v>8364.25</v>
      </c>
      <c r="L596">
        <f t="shared" si="65"/>
        <v>8364.25</v>
      </c>
      <c r="M596">
        <f t="shared" si="70"/>
        <v>11.135999999999999</v>
      </c>
    </row>
    <row r="597" spans="1:13" x14ac:dyDescent="0.25">
      <c r="A597" s="1">
        <v>2458364.3977000001</v>
      </c>
      <c r="B597" s="1" t="s">
        <v>90</v>
      </c>
      <c r="C597" s="1">
        <v>11.117000000000001</v>
      </c>
      <c r="D597" s="1" t="s">
        <v>292</v>
      </c>
      <c r="E597" t="s">
        <v>105</v>
      </c>
      <c r="F597">
        <f t="shared" si="66"/>
        <v>8364.3977000000887</v>
      </c>
      <c r="G597">
        <f t="shared" si="67"/>
        <v>8364.4</v>
      </c>
      <c r="H597">
        <f t="shared" si="68"/>
        <v>11.117000000000001</v>
      </c>
      <c r="J597">
        <f t="shared" si="64"/>
        <v>8364.3977000000887</v>
      </c>
      <c r="K597">
        <f t="shared" si="69"/>
        <v>8364.25</v>
      </c>
      <c r="L597">
        <f t="shared" si="65"/>
        <v>8364.25</v>
      </c>
      <c r="M597">
        <f t="shared" si="70"/>
        <v>11.117000000000001</v>
      </c>
    </row>
    <row r="598" spans="1:13" x14ac:dyDescent="0.25">
      <c r="A598" s="1">
        <v>2458364.3980999999</v>
      </c>
      <c r="B598" s="1" t="s">
        <v>90</v>
      </c>
      <c r="C598" s="1">
        <v>11.138</v>
      </c>
      <c r="D598" s="1" t="s">
        <v>292</v>
      </c>
      <c r="E598" t="s">
        <v>105</v>
      </c>
      <c r="F598">
        <f t="shared" si="66"/>
        <v>8364.3980999998748</v>
      </c>
      <c r="G598">
        <f t="shared" si="67"/>
        <v>8364.4</v>
      </c>
      <c r="H598">
        <f t="shared" si="68"/>
        <v>11.138</v>
      </c>
      <c r="J598">
        <f t="shared" si="64"/>
        <v>8364.3980999998748</v>
      </c>
      <c r="K598">
        <f t="shared" si="69"/>
        <v>8364.25</v>
      </c>
      <c r="L598">
        <f t="shared" si="65"/>
        <v>8364.25</v>
      </c>
      <c r="M598">
        <f t="shared" si="70"/>
        <v>11.138</v>
      </c>
    </row>
    <row r="599" spans="1:13" x14ac:dyDescent="0.25">
      <c r="A599" s="1">
        <v>2458364.3984900001</v>
      </c>
      <c r="B599" s="1" t="s">
        <v>90</v>
      </c>
      <c r="C599" s="1">
        <v>11.148</v>
      </c>
      <c r="D599" s="1" t="s">
        <v>292</v>
      </c>
      <c r="E599" t="s">
        <v>105</v>
      </c>
      <c r="F599">
        <f t="shared" si="66"/>
        <v>8364.3984900000505</v>
      </c>
      <c r="G599">
        <f t="shared" si="67"/>
        <v>8364.4</v>
      </c>
      <c r="H599">
        <f t="shared" si="68"/>
        <v>11.148</v>
      </c>
      <c r="J599">
        <f t="shared" si="64"/>
        <v>8364.3984900000505</v>
      </c>
      <c r="K599">
        <f t="shared" si="69"/>
        <v>8364.25</v>
      </c>
      <c r="L599">
        <f t="shared" si="65"/>
        <v>8364.25</v>
      </c>
      <c r="M599">
        <f t="shared" si="70"/>
        <v>11.148</v>
      </c>
    </row>
    <row r="600" spans="1:13" x14ac:dyDescent="0.25">
      <c r="A600" s="1">
        <v>2458364.3988999999</v>
      </c>
      <c r="B600" s="1" t="s">
        <v>90</v>
      </c>
      <c r="C600" s="1">
        <v>11.129</v>
      </c>
      <c r="D600" s="1" t="s">
        <v>292</v>
      </c>
      <c r="E600" t="s">
        <v>105</v>
      </c>
      <c r="F600">
        <f t="shared" si="66"/>
        <v>8364.3988999999128</v>
      </c>
      <c r="G600">
        <f t="shared" si="67"/>
        <v>8364.4</v>
      </c>
      <c r="H600">
        <f t="shared" si="68"/>
        <v>11.129</v>
      </c>
      <c r="J600">
        <f t="shared" si="64"/>
        <v>8364.3988999999128</v>
      </c>
      <c r="K600">
        <f t="shared" si="69"/>
        <v>8364.25</v>
      </c>
      <c r="L600">
        <f t="shared" si="65"/>
        <v>8364.25</v>
      </c>
      <c r="M600">
        <f t="shared" si="70"/>
        <v>11.129</v>
      </c>
    </row>
    <row r="601" spans="1:13" x14ac:dyDescent="0.25">
      <c r="A601" s="1">
        <v>2458364.3993299999</v>
      </c>
      <c r="B601" s="1" t="s">
        <v>90</v>
      </c>
      <c r="C601" s="1">
        <v>11.122999999999999</v>
      </c>
      <c r="D601" s="1" t="s">
        <v>292</v>
      </c>
      <c r="E601" t="s">
        <v>105</v>
      </c>
      <c r="F601">
        <f t="shared" si="66"/>
        <v>8364.3993299999274</v>
      </c>
      <c r="G601">
        <f t="shared" si="67"/>
        <v>8364.4</v>
      </c>
      <c r="H601">
        <f t="shared" si="68"/>
        <v>11.122999999999999</v>
      </c>
      <c r="J601">
        <f t="shared" ref="J601:J664" si="71">+F601</f>
        <v>8364.3993299999274</v>
      </c>
      <c r="K601">
        <f t="shared" si="69"/>
        <v>8364.25</v>
      </c>
      <c r="L601">
        <f t="shared" ref="L601:L664" si="72">+IF(J601-K601&gt;0.25,K601+0.25,K601)</f>
        <v>8364.25</v>
      </c>
      <c r="M601">
        <f t="shared" si="70"/>
        <v>11.122999999999999</v>
      </c>
    </row>
    <row r="602" spans="1:13" x14ac:dyDescent="0.25">
      <c r="A602" s="1">
        <v>2458364.3997300002</v>
      </c>
      <c r="B602" s="1" t="s">
        <v>90</v>
      </c>
      <c r="C602" s="1">
        <v>11.125999999999999</v>
      </c>
      <c r="D602" s="1" t="s">
        <v>292</v>
      </c>
      <c r="E602" t="s">
        <v>105</v>
      </c>
      <c r="F602">
        <f t="shared" si="66"/>
        <v>8364.3997300001793</v>
      </c>
      <c r="G602">
        <f t="shared" si="67"/>
        <v>8364.4</v>
      </c>
      <c r="H602">
        <f t="shared" si="68"/>
        <v>11.125999999999999</v>
      </c>
      <c r="J602">
        <f t="shared" si="71"/>
        <v>8364.3997300001793</v>
      </c>
      <c r="K602">
        <f t="shared" si="69"/>
        <v>8364.25</v>
      </c>
      <c r="L602">
        <f t="shared" si="72"/>
        <v>8364.25</v>
      </c>
      <c r="M602">
        <f t="shared" si="70"/>
        <v>11.125999999999999</v>
      </c>
    </row>
    <row r="603" spans="1:13" x14ac:dyDescent="0.25">
      <c r="A603" s="1">
        <v>2458364.40013</v>
      </c>
      <c r="B603" s="1" t="s">
        <v>90</v>
      </c>
      <c r="C603" s="1">
        <v>11.135</v>
      </c>
      <c r="D603" s="1" t="s">
        <v>292</v>
      </c>
      <c r="E603" t="s">
        <v>105</v>
      </c>
      <c r="F603">
        <f t="shared" si="66"/>
        <v>8364.4001299999654</v>
      </c>
      <c r="G603">
        <f t="shared" si="67"/>
        <v>8364.4</v>
      </c>
      <c r="H603">
        <f t="shared" si="68"/>
        <v>11.135</v>
      </c>
      <c r="J603">
        <f t="shared" si="71"/>
        <v>8364.4001299999654</v>
      </c>
      <c r="K603">
        <f t="shared" si="69"/>
        <v>8364.25</v>
      </c>
      <c r="L603">
        <f t="shared" si="72"/>
        <v>8364.25</v>
      </c>
      <c r="M603">
        <f t="shared" si="70"/>
        <v>11.135</v>
      </c>
    </row>
    <row r="604" spans="1:13" x14ac:dyDescent="0.25">
      <c r="A604" s="1">
        <v>2458364.4005200001</v>
      </c>
      <c r="B604" s="1" t="s">
        <v>90</v>
      </c>
      <c r="C604" s="1">
        <v>11.13</v>
      </c>
      <c r="D604" s="1" t="s">
        <v>292</v>
      </c>
      <c r="E604" t="s">
        <v>105</v>
      </c>
      <c r="F604">
        <f t="shared" si="66"/>
        <v>8364.4005200001411</v>
      </c>
      <c r="G604">
        <f t="shared" si="67"/>
        <v>8364.4</v>
      </c>
      <c r="H604">
        <f t="shared" si="68"/>
        <v>11.13</v>
      </c>
      <c r="J604">
        <f t="shared" si="71"/>
        <v>8364.4005200001411</v>
      </c>
      <c r="K604">
        <f t="shared" si="69"/>
        <v>8364.25</v>
      </c>
      <c r="L604">
        <f t="shared" si="72"/>
        <v>8364.25</v>
      </c>
      <c r="M604">
        <f t="shared" si="70"/>
        <v>11.13</v>
      </c>
    </row>
    <row r="605" spans="1:13" x14ac:dyDescent="0.25">
      <c r="A605" s="1">
        <v>2458364.4009099999</v>
      </c>
      <c r="B605" s="1" t="s">
        <v>90</v>
      </c>
      <c r="C605" s="1">
        <v>11.13</v>
      </c>
      <c r="D605" s="1" t="s">
        <v>292</v>
      </c>
      <c r="E605" t="s">
        <v>105</v>
      </c>
      <c r="F605">
        <f t="shared" si="66"/>
        <v>8364.4009099998511</v>
      </c>
      <c r="G605">
        <f t="shared" si="67"/>
        <v>8364.4</v>
      </c>
      <c r="H605">
        <f t="shared" si="68"/>
        <v>11.13</v>
      </c>
      <c r="J605">
        <f t="shared" si="71"/>
        <v>8364.4009099998511</v>
      </c>
      <c r="K605">
        <f t="shared" si="69"/>
        <v>8364.25</v>
      </c>
      <c r="L605">
        <f t="shared" si="72"/>
        <v>8364.25</v>
      </c>
      <c r="M605">
        <f t="shared" si="70"/>
        <v>11.13</v>
      </c>
    </row>
    <row r="606" spans="1:13" x14ac:dyDescent="0.25">
      <c r="A606" s="1">
        <v>2458364.4013</v>
      </c>
      <c r="B606" s="1" t="s">
        <v>90</v>
      </c>
      <c r="C606" s="1">
        <v>11.14</v>
      </c>
      <c r="D606" s="1" t="s">
        <v>292</v>
      </c>
      <c r="E606" t="s">
        <v>105</v>
      </c>
      <c r="F606">
        <f t="shared" si="66"/>
        <v>8364.4013000000268</v>
      </c>
      <c r="G606">
        <f t="shared" si="67"/>
        <v>8364.4</v>
      </c>
      <c r="H606">
        <f t="shared" si="68"/>
        <v>11.14</v>
      </c>
      <c r="J606">
        <f t="shared" si="71"/>
        <v>8364.4013000000268</v>
      </c>
      <c r="K606">
        <f t="shared" si="69"/>
        <v>8364.25</v>
      </c>
      <c r="L606">
        <f t="shared" si="72"/>
        <v>8364.25</v>
      </c>
      <c r="M606">
        <f t="shared" si="70"/>
        <v>11.14</v>
      </c>
    </row>
    <row r="607" spans="1:13" x14ac:dyDescent="0.25">
      <c r="A607" s="1">
        <v>2458364.4016900002</v>
      </c>
      <c r="B607" s="1" t="s">
        <v>90</v>
      </c>
      <c r="C607" s="1">
        <v>11.135999999999999</v>
      </c>
      <c r="D607" s="1" t="s">
        <v>292</v>
      </c>
      <c r="E607" t="s">
        <v>105</v>
      </c>
      <c r="F607">
        <f t="shared" si="66"/>
        <v>8364.4016900002025</v>
      </c>
      <c r="G607">
        <f t="shared" si="67"/>
        <v>8364.4</v>
      </c>
      <c r="H607">
        <f t="shared" si="68"/>
        <v>11.135999999999999</v>
      </c>
      <c r="J607">
        <f t="shared" si="71"/>
        <v>8364.4016900002025</v>
      </c>
      <c r="K607">
        <f t="shared" si="69"/>
        <v>8364.25</v>
      </c>
      <c r="L607">
        <f t="shared" si="72"/>
        <v>8364.25</v>
      </c>
      <c r="M607">
        <f t="shared" si="70"/>
        <v>11.135999999999999</v>
      </c>
    </row>
    <row r="608" spans="1:13" x14ac:dyDescent="0.25">
      <c r="A608" s="1">
        <v>2458364.4020799999</v>
      </c>
      <c r="B608" s="1" t="s">
        <v>90</v>
      </c>
      <c r="C608" s="1">
        <v>11.129</v>
      </c>
      <c r="D608" s="1" t="s">
        <v>292</v>
      </c>
      <c r="E608" t="s">
        <v>105</v>
      </c>
      <c r="F608">
        <f t="shared" si="66"/>
        <v>8364.4020799999125</v>
      </c>
      <c r="G608">
        <f t="shared" si="67"/>
        <v>8364.4</v>
      </c>
      <c r="H608">
        <f t="shared" si="68"/>
        <v>11.129</v>
      </c>
      <c r="J608">
        <f t="shared" si="71"/>
        <v>8364.4020799999125</v>
      </c>
      <c r="K608">
        <f t="shared" si="69"/>
        <v>8364.25</v>
      </c>
      <c r="L608">
        <f t="shared" si="72"/>
        <v>8364.25</v>
      </c>
      <c r="M608">
        <f t="shared" si="70"/>
        <v>11.129</v>
      </c>
    </row>
    <row r="609" spans="1:13" x14ac:dyDescent="0.25">
      <c r="A609" s="1">
        <v>2458364.4024800002</v>
      </c>
      <c r="B609" s="1" t="s">
        <v>90</v>
      </c>
      <c r="C609" s="1">
        <v>11.138</v>
      </c>
      <c r="D609" s="1" t="s">
        <v>292</v>
      </c>
      <c r="E609" t="s">
        <v>105</v>
      </c>
      <c r="F609">
        <f t="shared" si="66"/>
        <v>8364.4024800001644</v>
      </c>
      <c r="G609">
        <f t="shared" si="67"/>
        <v>8364.4</v>
      </c>
      <c r="H609">
        <f t="shared" si="68"/>
        <v>11.138</v>
      </c>
      <c r="J609">
        <f t="shared" si="71"/>
        <v>8364.4024800001644</v>
      </c>
      <c r="K609">
        <f t="shared" si="69"/>
        <v>8364.25</v>
      </c>
      <c r="L609">
        <f t="shared" si="72"/>
        <v>8364.25</v>
      </c>
      <c r="M609">
        <f t="shared" si="70"/>
        <v>11.138</v>
      </c>
    </row>
    <row r="610" spans="1:13" x14ac:dyDescent="0.25">
      <c r="A610" s="1">
        <v>2458364.40288</v>
      </c>
      <c r="B610" s="1" t="s">
        <v>90</v>
      </c>
      <c r="C610" s="1">
        <v>11.128</v>
      </c>
      <c r="D610" s="1" t="s">
        <v>292</v>
      </c>
      <c r="E610" t="s">
        <v>105</v>
      </c>
      <c r="F610">
        <f t="shared" si="66"/>
        <v>8364.4028799999505</v>
      </c>
      <c r="G610">
        <f t="shared" si="67"/>
        <v>8364.4</v>
      </c>
      <c r="H610">
        <f t="shared" si="68"/>
        <v>11.128</v>
      </c>
      <c r="J610">
        <f t="shared" si="71"/>
        <v>8364.4028799999505</v>
      </c>
      <c r="K610">
        <f t="shared" si="69"/>
        <v>8364.25</v>
      </c>
      <c r="L610">
        <f t="shared" si="72"/>
        <v>8364.25</v>
      </c>
      <c r="M610">
        <f t="shared" si="70"/>
        <v>11.128</v>
      </c>
    </row>
    <row r="611" spans="1:13" x14ac:dyDescent="0.25">
      <c r="A611" s="1">
        <v>2458364.40331</v>
      </c>
      <c r="B611" s="1" t="s">
        <v>90</v>
      </c>
      <c r="C611" s="1">
        <v>11.135</v>
      </c>
      <c r="D611" s="1" t="s">
        <v>292</v>
      </c>
      <c r="E611" t="s">
        <v>105</v>
      </c>
      <c r="F611">
        <f t="shared" si="66"/>
        <v>8364.4033099999651</v>
      </c>
      <c r="G611">
        <f t="shared" si="67"/>
        <v>8364.4</v>
      </c>
      <c r="H611">
        <f t="shared" si="68"/>
        <v>11.135</v>
      </c>
      <c r="J611">
        <f t="shared" si="71"/>
        <v>8364.4033099999651</v>
      </c>
      <c r="K611">
        <f t="shared" si="69"/>
        <v>8364.25</v>
      </c>
      <c r="L611">
        <f t="shared" si="72"/>
        <v>8364.25</v>
      </c>
      <c r="M611">
        <f t="shared" si="70"/>
        <v>11.135</v>
      </c>
    </row>
    <row r="612" spans="1:13" x14ac:dyDescent="0.25">
      <c r="A612" s="1">
        <v>2458364.4037000001</v>
      </c>
      <c r="B612" s="1" t="s">
        <v>90</v>
      </c>
      <c r="C612" s="1">
        <v>11.132999999999999</v>
      </c>
      <c r="D612" s="1" t="s">
        <v>292</v>
      </c>
      <c r="E612" t="s">
        <v>105</v>
      </c>
      <c r="F612">
        <f t="shared" si="66"/>
        <v>8364.4037000001408</v>
      </c>
      <c r="G612">
        <f t="shared" si="67"/>
        <v>8364.4</v>
      </c>
      <c r="H612">
        <f t="shared" si="68"/>
        <v>11.132999999999999</v>
      </c>
      <c r="J612">
        <f t="shared" si="71"/>
        <v>8364.4037000001408</v>
      </c>
      <c r="K612">
        <f t="shared" si="69"/>
        <v>8364.25</v>
      </c>
      <c r="L612">
        <f t="shared" si="72"/>
        <v>8364.25</v>
      </c>
      <c r="M612">
        <f t="shared" si="70"/>
        <v>11.132999999999999</v>
      </c>
    </row>
    <row r="613" spans="1:13" x14ac:dyDescent="0.25">
      <c r="A613" s="1">
        <v>2458364.4040999999</v>
      </c>
      <c r="B613" s="1" t="s">
        <v>90</v>
      </c>
      <c r="C613" s="1">
        <v>11.144</v>
      </c>
      <c r="D613" s="1" t="s">
        <v>292</v>
      </c>
      <c r="E613" t="s">
        <v>105</v>
      </c>
      <c r="F613">
        <f t="shared" si="66"/>
        <v>8364.404099999927</v>
      </c>
      <c r="G613">
        <f t="shared" si="67"/>
        <v>8364.4</v>
      </c>
      <c r="H613">
        <f t="shared" si="68"/>
        <v>11.144</v>
      </c>
      <c r="J613">
        <f t="shared" si="71"/>
        <v>8364.404099999927</v>
      </c>
      <c r="K613">
        <f t="shared" si="69"/>
        <v>8364.25</v>
      </c>
      <c r="L613">
        <f t="shared" si="72"/>
        <v>8364.25</v>
      </c>
      <c r="M613">
        <f t="shared" si="70"/>
        <v>11.144</v>
      </c>
    </row>
    <row r="614" spans="1:13" x14ac:dyDescent="0.25">
      <c r="A614" s="1">
        <v>2458364.4044900001</v>
      </c>
      <c r="B614" s="1" t="s">
        <v>90</v>
      </c>
      <c r="C614" s="1">
        <v>11.132999999999999</v>
      </c>
      <c r="D614" s="1" t="s">
        <v>292</v>
      </c>
      <c r="E614" t="s">
        <v>105</v>
      </c>
      <c r="F614">
        <f t="shared" si="66"/>
        <v>8364.4044900001027</v>
      </c>
      <c r="G614">
        <f t="shared" si="67"/>
        <v>8364.4</v>
      </c>
      <c r="H614">
        <f t="shared" si="68"/>
        <v>11.132999999999999</v>
      </c>
      <c r="J614">
        <f t="shared" si="71"/>
        <v>8364.4044900001027</v>
      </c>
      <c r="K614">
        <f t="shared" si="69"/>
        <v>8364.25</v>
      </c>
      <c r="L614">
        <f t="shared" si="72"/>
        <v>8364.25</v>
      </c>
      <c r="M614">
        <f t="shared" si="70"/>
        <v>11.132999999999999</v>
      </c>
    </row>
    <row r="615" spans="1:13" x14ac:dyDescent="0.25">
      <c r="A615" s="1">
        <v>2458364.4048799998</v>
      </c>
      <c r="B615" s="1" t="s">
        <v>90</v>
      </c>
      <c r="C615" s="1">
        <v>11.134</v>
      </c>
      <c r="D615" s="1" t="s">
        <v>292</v>
      </c>
      <c r="E615" t="s">
        <v>105</v>
      </c>
      <c r="F615">
        <f t="shared" si="66"/>
        <v>8364.4048799998127</v>
      </c>
      <c r="G615">
        <f t="shared" si="67"/>
        <v>8364.4</v>
      </c>
      <c r="H615">
        <f t="shared" si="68"/>
        <v>11.134</v>
      </c>
      <c r="J615">
        <f t="shared" si="71"/>
        <v>8364.4048799998127</v>
      </c>
      <c r="K615">
        <f t="shared" si="69"/>
        <v>8364.25</v>
      </c>
      <c r="L615">
        <f t="shared" si="72"/>
        <v>8364.25</v>
      </c>
      <c r="M615">
        <f t="shared" si="70"/>
        <v>11.134</v>
      </c>
    </row>
    <row r="616" spans="1:13" x14ac:dyDescent="0.25">
      <c r="A616" s="1">
        <v>2458364.4052800001</v>
      </c>
      <c r="B616" s="1" t="s">
        <v>90</v>
      </c>
      <c r="C616" s="1">
        <v>11.146000000000001</v>
      </c>
      <c r="D616" s="1" t="s">
        <v>292</v>
      </c>
      <c r="E616" t="s">
        <v>105</v>
      </c>
      <c r="F616">
        <f t="shared" si="66"/>
        <v>8364.4052800000645</v>
      </c>
      <c r="G616">
        <f t="shared" si="67"/>
        <v>8364.4</v>
      </c>
      <c r="H616">
        <f t="shared" si="68"/>
        <v>11.146000000000001</v>
      </c>
      <c r="J616">
        <f t="shared" si="71"/>
        <v>8364.4052800000645</v>
      </c>
      <c r="K616">
        <f t="shared" si="69"/>
        <v>8364.25</v>
      </c>
      <c r="L616">
        <f t="shared" si="72"/>
        <v>8364.25</v>
      </c>
      <c r="M616">
        <f t="shared" si="70"/>
        <v>11.146000000000001</v>
      </c>
    </row>
    <row r="617" spans="1:13" x14ac:dyDescent="0.25">
      <c r="A617" s="1">
        <v>2458364.4057100001</v>
      </c>
      <c r="B617" s="1" t="s">
        <v>90</v>
      </c>
      <c r="C617" s="1">
        <v>11.131</v>
      </c>
      <c r="D617" s="1" t="s">
        <v>292</v>
      </c>
      <c r="E617" t="s">
        <v>105</v>
      </c>
      <c r="F617">
        <f t="shared" si="66"/>
        <v>8364.4057100000791</v>
      </c>
      <c r="G617">
        <f t="shared" si="67"/>
        <v>8364.4</v>
      </c>
      <c r="H617">
        <f t="shared" si="68"/>
        <v>11.131</v>
      </c>
      <c r="J617">
        <f t="shared" si="71"/>
        <v>8364.4057100000791</v>
      </c>
      <c r="K617">
        <f t="shared" si="69"/>
        <v>8364.25</v>
      </c>
      <c r="L617">
        <f t="shared" si="72"/>
        <v>8364.25</v>
      </c>
      <c r="M617">
        <f t="shared" si="70"/>
        <v>11.131</v>
      </c>
    </row>
    <row r="618" spans="1:13" x14ac:dyDescent="0.25">
      <c r="A618" s="1">
        <v>2458364.4060999998</v>
      </c>
      <c r="B618" s="1" t="s">
        <v>90</v>
      </c>
      <c r="C618" s="1">
        <v>11.124000000000001</v>
      </c>
      <c r="D618" s="1" t="s">
        <v>292</v>
      </c>
      <c r="E618" t="s">
        <v>105</v>
      </c>
      <c r="F618">
        <f t="shared" si="66"/>
        <v>8364.4060999997891</v>
      </c>
      <c r="G618">
        <f t="shared" si="67"/>
        <v>8364.4</v>
      </c>
      <c r="H618">
        <f t="shared" si="68"/>
        <v>11.124000000000001</v>
      </c>
      <c r="J618">
        <f t="shared" si="71"/>
        <v>8364.4060999997891</v>
      </c>
      <c r="K618">
        <f t="shared" si="69"/>
        <v>8364.25</v>
      </c>
      <c r="L618">
        <f t="shared" si="72"/>
        <v>8364.25</v>
      </c>
      <c r="M618">
        <f t="shared" si="70"/>
        <v>11.124000000000001</v>
      </c>
    </row>
    <row r="619" spans="1:13" x14ac:dyDescent="0.25">
      <c r="A619" s="1">
        <v>2458364.40649</v>
      </c>
      <c r="B619" s="1" t="s">
        <v>90</v>
      </c>
      <c r="C619" s="1">
        <v>11.128</v>
      </c>
      <c r="D619" s="1" t="s">
        <v>292</v>
      </c>
      <c r="E619" t="s">
        <v>105</v>
      </c>
      <c r="F619">
        <f t="shared" si="66"/>
        <v>8364.4064899999648</v>
      </c>
      <c r="G619">
        <f t="shared" si="67"/>
        <v>8364.4</v>
      </c>
      <c r="H619">
        <f t="shared" si="68"/>
        <v>11.128</v>
      </c>
      <c r="J619">
        <f t="shared" si="71"/>
        <v>8364.4064899999648</v>
      </c>
      <c r="K619">
        <f t="shared" si="69"/>
        <v>8364.25</v>
      </c>
      <c r="L619">
        <f t="shared" si="72"/>
        <v>8364.25</v>
      </c>
      <c r="M619">
        <f t="shared" si="70"/>
        <v>11.128</v>
      </c>
    </row>
    <row r="620" spans="1:13" x14ac:dyDescent="0.25">
      <c r="A620" s="1">
        <v>2458364.4069300001</v>
      </c>
      <c r="B620" s="1" t="s">
        <v>90</v>
      </c>
      <c r="C620" s="1">
        <v>11.11</v>
      </c>
      <c r="D620" s="1" t="s">
        <v>292</v>
      </c>
      <c r="E620" t="s">
        <v>105</v>
      </c>
      <c r="F620">
        <f t="shared" si="66"/>
        <v>8364.4069300000556</v>
      </c>
      <c r="G620">
        <f t="shared" si="67"/>
        <v>8364.4</v>
      </c>
      <c r="H620">
        <f t="shared" si="68"/>
        <v>11.11</v>
      </c>
      <c r="J620">
        <f t="shared" si="71"/>
        <v>8364.4069300000556</v>
      </c>
      <c r="K620">
        <f t="shared" si="69"/>
        <v>8364.25</v>
      </c>
      <c r="L620">
        <f t="shared" si="72"/>
        <v>8364.25</v>
      </c>
      <c r="M620">
        <f t="shared" si="70"/>
        <v>11.11</v>
      </c>
    </row>
    <row r="621" spans="1:13" x14ac:dyDescent="0.25">
      <c r="A621" s="1">
        <v>2458364.4073299998</v>
      </c>
      <c r="B621" s="1" t="s">
        <v>90</v>
      </c>
      <c r="C621" s="1">
        <v>11.135</v>
      </c>
      <c r="D621" s="1" t="s">
        <v>292</v>
      </c>
      <c r="E621" t="s">
        <v>105</v>
      </c>
      <c r="F621">
        <f t="shared" si="66"/>
        <v>8364.4073299998417</v>
      </c>
      <c r="G621">
        <f t="shared" si="67"/>
        <v>8364.4</v>
      </c>
      <c r="H621">
        <f t="shared" si="68"/>
        <v>11.135</v>
      </c>
      <c r="J621">
        <f t="shared" si="71"/>
        <v>8364.4073299998417</v>
      </c>
      <c r="K621">
        <f t="shared" si="69"/>
        <v>8364.25</v>
      </c>
      <c r="L621">
        <f t="shared" si="72"/>
        <v>8364.25</v>
      </c>
      <c r="M621">
        <f t="shared" si="70"/>
        <v>11.135</v>
      </c>
    </row>
    <row r="622" spans="1:13" x14ac:dyDescent="0.25">
      <c r="A622" s="1">
        <v>2458364.4077499998</v>
      </c>
      <c r="B622" s="1" t="s">
        <v>90</v>
      </c>
      <c r="C622" s="1">
        <v>11.137</v>
      </c>
      <c r="D622" s="1" t="s">
        <v>292</v>
      </c>
      <c r="E622" t="s">
        <v>105</v>
      </c>
      <c r="F622">
        <f t="shared" si="66"/>
        <v>8364.4077499997802</v>
      </c>
      <c r="G622">
        <f t="shared" si="67"/>
        <v>8364.4</v>
      </c>
      <c r="H622">
        <f t="shared" si="68"/>
        <v>11.137</v>
      </c>
      <c r="J622">
        <f t="shared" si="71"/>
        <v>8364.4077499997802</v>
      </c>
      <c r="K622">
        <f t="shared" si="69"/>
        <v>8364.25</v>
      </c>
      <c r="L622">
        <f t="shared" si="72"/>
        <v>8364.25</v>
      </c>
      <c r="M622">
        <f t="shared" si="70"/>
        <v>11.137</v>
      </c>
    </row>
    <row r="623" spans="1:13" x14ac:dyDescent="0.25">
      <c r="A623" s="1">
        <v>2458364.4081799998</v>
      </c>
      <c r="B623" s="1" t="s">
        <v>90</v>
      </c>
      <c r="C623" s="1">
        <v>11.135</v>
      </c>
      <c r="D623" s="1" t="s">
        <v>292</v>
      </c>
      <c r="E623" t="s">
        <v>105</v>
      </c>
      <c r="F623">
        <f t="shared" si="66"/>
        <v>8364.4081799997948</v>
      </c>
      <c r="G623">
        <f t="shared" si="67"/>
        <v>8364.4</v>
      </c>
      <c r="H623">
        <f t="shared" si="68"/>
        <v>11.135</v>
      </c>
      <c r="J623">
        <f t="shared" si="71"/>
        <v>8364.4081799997948</v>
      </c>
      <c r="K623">
        <f t="shared" si="69"/>
        <v>8364.25</v>
      </c>
      <c r="L623">
        <f t="shared" si="72"/>
        <v>8364.25</v>
      </c>
      <c r="M623">
        <f t="shared" si="70"/>
        <v>11.135</v>
      </c>
    </row>
    <row r="624" spans="1:13" x14ac:dyDescent="0.25">
      <c r="A624" s="1">
        <v>2458364.40858</v>
      </c>
      <c r="B624" s="1" t="s">
        <v>90</v>
      </c>
      <c r="C624" s="1">
        <v>11.132999999999999</v>
      </c>
      <c r="D624" s="1" t="s">
        <v>292</v>
      </c>
      <c r="E624" t="s">
        <v>105</v>
      </c>
      <c r="F624">
        <f t="shared" si="66"/>
        <v>8364.4085800000466</v>
      </c>
      <c r="G624">
        <f t="shared" si="67"/>
        <v>8364.4</v>
      </c>
      <c r="H624">
        <f t="shared" si="68"/>
        <v>11.132999999999999</v>
      </c>
      <c r="J624">
        <f t="shared" si="71"/>
        <v>8364.4085800000466</v>
      </c>
      <c r="K624">
        <f t="shared" si="69"/>
        <v>8364.25</v>
      </c>
      <c r="L624">
        <f t="shared" si="72"/>
        <v>8364.25</v>
      </c>
      <c r="M624">
        <f t="shared" si="70"/>
        <v>11.132999999999999</v>
      </c>
    </row>
    <row r="625" spans="1:13" x14ac:dyDescent="0.25">
      <c r="A625" s="1">
        <v>2458364.4089799998</v>
      </c>
      <c r="B625" s="1" t="s">
        <v>90</v>
      </c>
      <c r="C625" s="1">
        <v>11.132</v>
      </c>
      <c r="D625" s="1" t="s">
        <v>292</v>
      </c>
      <c r="E625" t="s">
        <v>105</v>
      </c>
      <c r="F625">
        <f t="shared" si="66"/>
        <v>8364.4089799998328</v>
      </c>
      <c r="G625">
        <f t="shared" si="67"/>
        <v>8364.4</v>
      </c>
      <c r="H625">
        <f t="shared" si="68"/>
        <v>11.132</v>
      </c>
      <c r="J625">
        <f t="shared" si="71"/>
        <v>8364.4089799998328</v>
      </c>
      <c r="K625">
        <f t="shared" si="69"/>
        <v>8364.25</v>
      </c>
      <c r="L625">
        <f t="shared" si="72"/>
        <v>8364.25</v>
      </c>
      <c r="M625">
        <f t="shared" si="70"/>
        <v>11.132</v>
      </c>
    </row>
    <row r="626" spans="1:13" x14ac:dyDescent="0.25">
      <c r="A626" s="1">
        <v>2458364.4093999998</v>
      </c>
      <c r="B626" s="1" t="s">
        <v>90</v>
      </c>
      <c r="C626" s="1">
        <v>11.131</v>
      </c>
      <c r="D626" s="1" t="s">
        <v>292</v>
      </c>
      <c r="E626" t="s">
        <v>105</v>
      </c>
      <c r="F626">
        <f t="shared" si="66"/>
        <v>8364.4093999997713</v>
      </c>
      <c r="G626">
        <f t="shared" si="67"/>
        <v>8364.4</v>
      </c>
      <c r="H626">
        <f t="shared" si="68"/>
        <v>11.131</v>
      </c>
      <c r="J626">
        <f t="shared" si="71"/>
        <v>8364.4093999997713</v>
      </c>
      <c r="K626">
        <f t="shared" si="69"/>
        <v>8364.25</v>
      </c>
      <c r="L626">
        <f t="shared" si="72"/>
        <v>8364.25</v>
      </c>
      <c r="M626">
        <f t="shared" si="70"/>
        <v>11.131</v>
      </c>
    </row>
    <row r="627" spans="1:13" x14ac:dyDescent="0.25">
      <c r="A627" s="1">
        <v>2458364.4097899999</v>
      </c>
      <c r="B627" s="1" t="s">
        <v>90</v>
      </c>
      <c r="C627" s="1">
        <v>11.115</v>
      </c>
      <c r="D627" s="1" t="s">
        <v>292</v>
      </c>
      <c r="E627" t="s">
        <v>105</v>
      </c>
      <c r="F627">
        <f t="shared" si="66"/>
        <v>8364.409789999947</v>
      </c>
      <c r="G627">
        <f t="shared" si="67"/>
        <v>8364.4</v>
      </c>
      <c r="H627">
        <f t="shared" si="68"/>
        <v>11.115</v>
      </c>
      <c r="J627">
        <f t="shared" si="71"/>
        <v>8364.409789999947</v>
      </c>
      <c r="K627">
        <f t="shared" si="69"/>
        <v>8364.25</v>
      </c>
      <c r="L627">
        <f t="shared" si="72"/>
        <v>8364.25</v>
      </c>
      <c r="M627">
        <f t="shared" si="70"/>
        <v>11.115</v>
      </c>
    </row>
    <row r="628" spans="1:13" x14ac:dyDescent="0.25">
      <c r="A628" s="1">
        <v>2458364.41022</v>
      </c>
      <c r="B628" s="1" t="s">
        <v>90</v>
      </c>
      <c r="C628" s="1">
        <v>11.143000000000001</v>
      </c>
      <c r="D628" s="1" t="s">
        <v>292</v>
      </c>
      <c r="E628" t="s">
        <v>105</v>
      </c>
      <c r="F628">
        <f t="shared" si="66"/>
        <v>8364.4102199999616</v>
      </c>
      <c r="G628">
        <f t="shared" si="67"/>
        <v>8364.4</v>
      </c>
      <c r="H628">
        <f t="shared" si="68"/>
        <v>11.143000000000001</v>
      </c>
      <c r="J628">
        <f t="shared" si="71"/>
        <v>8364.4102199999616</v>
      </c>
      <c r="K628">
        <f t="shared" si="69"/>
        <v>8364.25</v>
      </c>
      <c r="L628">
        <f t="shared" si="72"/>
        <v>8364.25</v>
      </c>
      <c r="M628">
        <f t="shared" si="70"/>
        <v>11.143000000000001</v>
      </c>
    </row>
    <row r="629" spans="1:13" x14ac:dyDescent="0.25">
      <c r="A629" s="1">
        <v>2458364.41065</v>
      </c>
      <c r="B629" s="1" t="s">
        <v>90</v>
      </c>
      <c r="C629" s="1">
        <v>11.127000000000001</v>
      </c>
      <c r="D629" s="1" t="s">
        <v>292</v>
      </c>
      <c r="E629" t="s">
        <v>105</v>
      </c>
      <c r="F629">
        <f t="shared" si="66"/>
        <v>8364.4106499999762</v>
      </c>
      <c r="G629">
        <f t="shared" si="67"/>
        <v>8364.4</v>
      </c>
      <c r="H629">
        <f t="shared" si="68"/>
        <v>11.127000000000001</v>
      </c>
      <c r="J629">
        <f t="shared" si="71"/>
        <v>8364.4106499999762</v>
      </c>
      <c r="K629">
        <f t="shared" si="69"/>
        <v>8364.25</v>
      </c>
      <c r="L629">
        <f t="shared" si="72"/>
        <v>8364.25</v>
      </c>
      <c r="M629">
        <f t="shared" si="70"/>
        <v>11.127000000000001</v>
      </c>
    </row>
    <row r="630" spans="1:13" x14ac:dyDescent="0.25">
      <c r="A630" s="1">
        <v>2458364.4110400002</v>
      </c>
      <c r="B630" s="1" t="s">
        <v>90</v>
      </c>
      <c r="C630" s="1">
        <v>11.116</v>
      </c>
      <c r="D630" s="1" t="s">
        <v>292</v>
      </c>
      <c r="E630" t="s">
        <v>105</v>
      </c>
      <c r="F630">
        <f t="shared" si="66"/>
        <v>8364.4110400001518</v>
      </c>
      <c r="G630">
        <f t="shared" si="67"/>
        <v>8364.4</v>
      </c>
      <c r="H630">
        <f t="shared" si="68"/>
        <v>11.116</v>
      </c>
      <c r="J630">
        <f t="shared" si="71"/>
        <v>8364.4110400001518</v>
      </c>
      <c r="K630">
        <f t="shared" si="69"/>
        <v>8364.25</v>
      </c>
      <c r="L630">
        <f t="shared" si="72"/>
        <v>8364.25</v>
      </c>
      <c r="M630">
        <f t="shared" si="70"/>
        <v>11.116</v>
      </c>
    </row>
    <row r="631" spans="1:13" x14ac:dyDescent="0.25">
      <c r="A631" s="1">
        <v>2458364.4114399999</v>
      </c>
      <c r="B631" s="1" t="s">
        <v>90</v>
      </c>
      <c r="C631" s="1">
        <v>11.125999999999999</v>
      </c>
      <c r="D631" s="1" t="s">
        <v>292</v>
      </c>
      <c r="E631" t="s">
        <v>105</v>
      </c>
      <c r="F631">
        <f t="shared" si="66"/>
        <v>8364.411439999938</v>
      </c>
      <c r="G631">
        <f t="shared" si="67"/>
        <v>8364.4</v>
      </c>
      <c r="H631">
        <f t="shared" si="68"/>
        <v>11.125999999999999</v>
      </c>
      <c r="J631">
        <f t="shared" si="71"/>
        <v>8364.411439999938</v>
      </c>
      <c r="K631">
        <f t="shared" si="69"/>
        <v>8364.25</v>
      </c>
      <c r="L631">
        <f t="shared" si="72"/>
        <v>8364.25</v>
      </c>
      <c r="M631">
        <f t="shared" si="70"/>
        <v>11.125999999999999</v>
      </c>
    </row>
    <row r="632" spans="1:13" x14ac:dyDescent="0.25">
      <c r="A632" s="1">
        <v>2458364.4118400002</v>
      </c>
      <c r="B632" s="1" t="s">
        <v>90</v>
      </c>
      <c r="C632" s="1">
        <v>11.122</v>
      </c>
      <c r="D632" s="1" t="s">
        <v>292</v>
      </c>
      <c r="E632" t="s">
        <v>105</v>
      </c>
      <c r="F632">
        <f t="shared" si="66"/>
        <v>8364.4118400001898</v>
      </c>
      <c r="G632">
        <f t="shared" si="67"/>
        <v>8364.4</v>
      </c>
      <c r="H632">
        <f t="shared" si="68"/>
        <v>11.122</v>
      </c>
      <c r="J632">
        <f t="shared" si="71"/>
        <v>8364.4118400001898</v>
      </c>
      <c r="K632">
        <f t="shared" si="69"/>
        <v>8364.25</v>
      </c>
      <c r="L632">
        <f t="shared" si="72"/>
        <v>8364.25</v>
      </c>
      <c r="M632">
        <f t="shared" si="70"/>
        <v>11.122</v>
      </c>
    </row>
    <row r="633" spans="1:13" x14ac:dyDescent="0.25">
      <c r="A633" s="1">
        <v>2458364.4122299999</v>
      </c>
      <c r="B633" s="1" t="s">
        <v>90</v>
      </c>
      <c r="C633" s="1">
        <v>11.132999999999999</v>
      </c>
      <c r="D633" s="1" t="s">
        <v>292</v>
      </c>
      <c r="E633" t="s">
        <v>105</v>
      </c>
      <c r="F633">
        <f t="shared" si="66"/>
        <v>8364.4122299998999</v>
      </c>
      <c r="G633">
        <f t="shared" si="67"/>
        <v>8364.4</v>
      </c>
      <c r="H633">
        <f t="shared" si="68"/>
        <v>11.132999999999999</v>
      </c>
      <c r="J633">
        <f t="shared" si="71"/>
        <v>8364.4122299998999</v>
      </c>
      <c r="K633">
        <f t="shared" si="69"/>
        <v>8364.25</v>
      </c>
      <c r="L633">
        <f t="shared" si="72"/>
        <v>8364.25</v>
      </c>
      <c r="M633">
        <f t="shared" si="70"/>
        <v>11.132999999999999</v>
      </c>
    </row>
    <row r="634" spans="1:13" x14ac:dyDescent="0.25">
      <c r="A634" s="1">
        <v>2458364.4126499998</v>
      </c>
      <c r="B634" s="1" t="s">
        <v>90</v>
      </c>
      <c r="C634" s="1">
        <v>11.125999999999999</v>
      </c>
      <c r="D634" s="1" t="s">
        <v>292</v>
      </c>
      <c r="E634" t="s">
        <v>105</v>
      </c>
      <c r="F634">
        <f t="shared" si="66"/>
        <v>8364.4126499998383</v>
      </c>
      <c r="G634">
        <f t="shared" si="67"/>
        <v>8364.4</v>
      </c>
      <c r="H634">
        <f t="shared" si="68"/>
        <v>11.125999999999999</v>
      </c>
      <c r="J634">
        <f t="shared" si="71"/>
        <v>8364.4126499998383</v>
      </c>
      <c r="K634">
        <f t="shared" si="69"/>
        <v>8364.25</v>
      </c>
      <c r="L634">
        <f t="shared" si="72"/>
        <v>8364.25</v>
      </c>
      <c r="M634">
        <f t="shared" si="70"/>
        <v>11.125999999999999</v>
      </c>
    </row>
    <row r="635" spans="1:13" x14ac:dyDescent="0.25">
      <c r="A635" s="1">
        <v>2458364.4130600002</v>
      </c>
      <c r="B635" s="1" t="s">
        <v>90</v>
      </c>
      <c r="C635" s="1">
        <v>11.144</v>
      </c>
      <c r="D635" s="1" t="s">
        <v>292</v>
      </c>
      <c r="E635" t="s">
        <v>105</v>
      </c>
      <c r="F635">
        <f t="shared" si="66"/>
        <v>8364.4130600001663</v>
      </c>
      <c r="G635">
        <f t="shared" si="67"/>
        <v>8364.4</v>
      </c>
      <c r="H635">
        <f t="shared" si="68"/>
        <v>11.144</v>
      </c>
      <c r="J635">
        <f t="shared" si="71"/>
        <v>8364.4130600001663</v>
      </c>
      <c r="K635">
        <f t="shared" si="69"/>
        <v>8364.25</v>
      </c>
      <c r="L635">
        <f t="shared" si="72"/>
        <v>8364.25</v>
      </c>
      <c r="M635">
        <f t="shared" si="70"/>
        <v>11.144</v>
      </c>
    </row>
    <row r="636" spans="1:13" x14ac:dyDescent="0.25">
      <c r="A636" s="1">
        <v>2458364.4134499999</v>
      </c>
      <c r="B636" s="1" t="s">
        <v>90</v>
      </c>
      <c r="C636" s="1">
        <v>11.141</v>
      </c>
      <c r="D636" s="1" t="s">
        <v>292</v>
      </c>
      <c r="E636" t="s">
        <v>105</v>
      </c>
      <c r="F636">
        <f t="shared" si="66"/>
        <v>8364.4134499998763</v>
      </c>
      <c r="G636">
        <f t="shared" si="67"/>
        <v>8364.4</v>
      </c>
      <c r="H636">
        <f t="shared" si="68"/>
        <v>11.141</v>
      </c>
      <c r="J636">
        <f t="shared" si="71"/>
        <v>8364.4134499998763</v>
      </c>
      <c r="K636">
        <f t="shared" si="69"/>
        <v>8364.25</v>
      </c>
      <c r="L636">
        <f t="shared" si="72"/>
        <v>8364.25</v>
      </c>
      <c r="M636">
        <f t="shared" si="70"/>
        <v>11.141</v>
      </c>
    </row>
    <row r="637" spans="1:13" x14ac:dyDescent="0.25">
      <c r="A637" s="1">
        <v>2458364.4138799999</v>
      </c>
      <c r="B637" s="1" t="s">
        <v>90</v>
      </c>
      <c r="C637" s="1">
        <v>11.114000000000001</v>
      </c>
      <c r="D637" s="1" t="s">
        <v>292</v>
      </c>
      <c r="E637" t="s">
        <v>105</v>
      </c>
      <c r="F637">
        <f t="shared" si="66"/>
        <v>8364.4138799998909</v>
      </c>
      <c r="G637">
        <f t="shared" si="67"/>
        <v>8364.4</v>
      </c>
      <c r="H637">
        <f t="shared" si="68"/>
        <v>11.114000000000001</v>
      </c>
      <c r="J637">
        <f t="shared" si="71"/>
        <v>8364.4138799998909</v>
      </c>
      <c r="K637">
        <f t="shared" si="69"/>
        <v>8364.25</v>
      </c>
      <c r="L637">
        <f t="shared" si="72"/>
        <v>8364.25</v>
      </c>
      <c r="M637">
        <f t="shared" si="70"/>
        <v>11.114000000000001</v>
      </c>
    </row>
    <row r="638" spans="1:13" x14ac:dyDescent="0.25">
      <c r="A638" s="1">
        <v>2458364.4142700001</v>
      </c>
      <c r="B638" s="1" t="s">
        <v>90</v>
      </c>
      <c r="C638" s="1">
        <v>11.159000000000001</v>
      </c>
      <c r="D638" s="1" t="s">
        <v>292</v>
      </c>
      <c r="E638" t="s">
        <v>105</v>
      </c>
      <c r="F638">
        <f t="shared" si="66"/>
        <v>8364.4142700000666</v>
      </c>
      <c r="G638">
        <f t="shared" si="67"/>
        <v>8364.4</v>
      </c>
      <c r="H638">
        <f t="shared" si="68"/>
        <v>11.159000000000001</v>
      </c>
      <c r="J638">
        <f t="shared" si="71"/>
        <v>8364.4142700000666</v>
      </c>
      <c r="K638">
        <f t="shared" si="69"/>
        <v>8364.25</v>
      </c>
      <c r="L638">
        <f t="shared" si="72"/>
        <v>8364.25</v>
      </c>
      <c r="M638">
        <f t="shared" si="70"/>
        <v>11.159000000000001</v>
      </c>
    </row>
    <row r="639" spans="1:13" x14ac:dyDescent="0.25">
      <c r="A639" s="1">
        <v>2458364.4147000001</v>
      </c>
      <c r="B639" s="1" t="s">
        <v>90</v>
      </c>
      <c r="C639" s="1">
        <v>11.131</v>
      </c>
      <c r="D639" s="1" t="s">
        <v>292</v>
      </c>
      <c r="E639" t="s">
        <v>105</v>
      </c>
      <c r="F639">
        <f t="shared" si="66"/>
        <v>8364.4147000000812</v>
      </c>
      <c r="G639">
        <f t="shared" si="67"/>
        <v>8364.4</v>
      </c>
      <c r="H639">
        <f t="shared" si="68"/>
        <v>11.131</v>
      </c>
      <c r="J639">
        <f t="shared" si="71"/>
        <v>8364.4147000000812</v>
      </c>
      <c r="K639">
        <f t="shared" si="69"/>
        <v>8364.25</v>
      </c>
      <c r="L639">
        <f t="shared" si="72"/>
        <v>8364.25</v>
      </c>
      <c r="M639">
        <f t="shared" si="70"/>
        <v>11.131</v>
      </c>
    </row>
    <row r="640" spans="1:13" x14ac:dyDescent="0.25">
      <c r="A640" s="1">
        <v>2458364.4150899998</v>
      </c>
      <c r="B640" s="1" t="s">
        <v>90</v>
      </c>
      <c r="C640" s="1">
        <v>11.135</v>
      </c>
      <c r="D640" s="1" t="s">
        <v>292</v>
      </c>
      <c r="E640" t="s">
        <v>105</v>
      </c>
      <c r="F640">
        <f t="shared" si="66"/>
        <v>8364.4150899997912</v>
      </c>
      <c r="G640">
        <f t="shared" si="67"/>
        <v>8364.4</v>
      </c>
      <c r="H640">
        <f t="shared" si="68"/>
        <v>11.135</v>
      </c>
      <c r="J640">
        <f t="shared" si="71"/>
        <v>8364.4150899997912</v>
      </c>
      <c r="K640">
        <f t="shared" si="69"/>
        <v>8364.25</v>
      </c>
      <c r="L640">
        <f t="shared" si="72"/>
        <v>8364.25</v>
      </c>
      <c r="M640">
        <f t="shared" si="70"/>
        <v>11.135</v>
      </c>
    </row>
    <row r="641" spans="1:13" x14ac:dyDescent="0.25">
      <c r="A641" s="1">
        <v>2458364.41549</v>
      </c>
      <c r="B641" s="1" t="s">
        <v>90</v>
      </c>
      <c r="C641" s="1">
        <v>11.117000000000001</v>
      </c>
      <c r="D641" s="1" t="s">
        <v>292</v>
      </c>
      <c r="E641" t="s">
        <v>105</v>
      </c>
      <c r="F641">
        <f t="shared" si="66"/>
        <v>8364.4154900000431</v>
      </c>
      <c r="G641">
        <f t="shared" si="67"/>
        <v>8364.4</v>
      </c>
      <c r="H641">
        <f t="shared" si="68"/>
        <v>11.117000000000001</v>
      </c>
      <c r="J641">
        <f t="shared" si="71"/>
        <v>8364.4154900000431</v>
      </c>
      <c r="K641">
        <f t="shared" si="69"/>
        <v>8364.25</v>
      </c>
      <c r="L641">
        <f t="shared" si="72"/>
        <v>8364.25</v>
      </c>
      <c r="M641">
        <f t="shared" si="70"/>
        <v>11.117000000000001</v>
      </c>
    </row>
    <row r="642" spans="1:13" x14ac:dyDescent="0.25">
      <c r="A642" s="1">
        <v>2458364.4158899998</v>
      </c>
      <c r="B642" s="1" t="s">
        <v>90</v>
      </c>
      <c r="C642" s="1">
        <v>11.131</v>
      </c>
      <c r="D642" s="1" t="s">
        <v>292</v>
      </c>
      <c r="E642" t="s">
        <v>105</v>
      </c>
      <c r="F642">
        <f t="shared" si="66"/>
        <v>8364.4158899998292</v>
      </c>
      <c r="G642">
        <f t="shared" si="67"/>
        <v>8364.4</v>
      </c>
      <c r="H642">
        <f t="shared" si="68"/>
        <v>11.131</v>
      </c>
      <c r="J642">
        <f t="shared" si="71"/>
        <v>8364.4158899998292</v>
      </c>
      <c r="K642">
        <f t="shared" si="69"/>
        <v>8364.25</v>
      </c>
      <c r="L642">
        <f t="shared" si="72"/>
        <v>8364.25</v>
      </c>
      <c r="M642">
        <f t="shared" si="70"/>
        <v>11.131</v>
      </c>
    </row>
    <row r="643" spans="1:13" x14ac:dyDescent="0.25">
      <c r="A643" s="1">
        <v>2458364.41628</v>
      </c>
      <c r="B643" s="1" t="s">
        <v>90</v>
      </c>
      <c r="C643" s="1">
        <v>11.124000000000001</v>
      </c>
      <c r="D643" s="1" t="s">
        <v>292</v>
      </c>
      <c r="E643" t="s">
        <v>105</v>
      </c>
      <c r="F643">
        <f t="shared" ref="F643:F706" si="73">+A643-2450000</f>
        <v>8364.4162800000049</v>
      </c>
      <c r="G643">
        <f t="shared" ref="G643:G706" si="74">+(ROUND(F643,1)*10)/10</f>
        <v>8364.4</v>
      </c>
      <c r="H643">
        <f t="shared" ref="H643:H706" si="75">+C643</f>
        <v>11.124000000000001</v>
      </c>
      <c r="J643">
        <f t="shared" si="71"/>
        <v>8364.4162800000049</v>
      </c>
      <c r="K643">
        <f t="shared" ref="K643:K706" si="76">+INT(J643*4)/4</f>
        <v>8364.25</v>
      </c>
      <c r="L643">
        <f t="shared" si="72"/>
        <v>8364.25</v>
      </c>
      <c r="M643">
        <f t="shared" ref="M643:M706" si="77">+H643</f>
        <v>11.124000000000001</v>
      </c>
    </row>
    <row r="644" spans="1:13" x14ac:dyDescent="0.25">
      <c r="A644" s="1">
        <v>2458364.4183100001</v>
      </c>
      <c r="B644" s="1" t="s">
        <v>90</v>
      </c>
      <c r="C644" s="1">
        <v>11.159000000000001</v>
      </c>
      <c r="D644" s="1" t="s">
        <v>292</v>
      </c>
      <c r="E644" t="s">
        <v>105</v>
      </c>
      <c r="F644">
        <f t="shared" si="73"/>
        <v>8364.4183100000955</v>
      </c>
      <c r="G644">
        <f t="shared" si="74"/>
        <v>8364.4</v>
      </c>
      <c r="H644">
        <f t="shared" si="75"/>
        <v>11.159000000000001</v>
      </c>
      <c r="J644">
        <f t="shared" si="71"/>
        <v>8364.4183100000955</v>
      </c>
      <c r="K644">
        <f t="shared" si="76"/>
        <v>8364.25</v>
      </c>
      <c r="L644">
        <f t="shared" si="72"/>
        <v>8364.25</v>
      </c>
      <c r="M644">
        <f t="shared" si="77"/>
        <v>11.159000000000001</v>
      </c>
    </row>
    <row r="645" spans="1:13" x14ac:dyDescent="0.25">
      <c r="A645" s="1">
        <v>2458364.4186999998</v>
      </c>
      <c r="B645" s="1" t="s">
        <v>90</v>
      </c>
      <c r="C645" s="1">
        <v>11.113</v>
      </c>
      <c r="D645" s="1" t="s">
        <v>292</v>
      </c>
      <c r="E645" t="s">
        <v>105</v>
      </c>
      <c r="F645">
        <f t="shared" si="73"/>
        <v>8364.4186999998055</v>
      </c>
      <c r="G645">
        <f t="shared" si="74"/>
        <v>8364.4</v>
      </c>
      <c r="H645">
        <f t="shared" si="75"/>
        <v>11.113</v>
      </c>
      <c r="J645">
        <f t="shared" si="71"/>
        <v>8364.4186999998055</v>
      </c>
      <c r="K645">
        <f t="shared" si="76"/>
        <v>8364.25</v>
      </c>
      <c r="L645">
        <f t="shared" si="72"/>
        <v>8364.25</v>
      </c>
      <c r="M645">
        <f t="shared" si="77"/>
        <v>11.113</v>
      </c>
    </row>
    <row r="646" spans="1:13" x14ac:dyDescent="0.25">
      <c r="A646" s="1">
        <v>2458364.4901800002</v>
      </c>
      <c r="B646" s="1" t="s">
        <v>90</v>
      </c>
      <c r="C646" s="1">
        <v>11.144</v>
      </c>
      <c r="D646" s="1" t="s">
        <v>292</v>
      </c>
      <c r="E646" t="s">
        <v>94</v>
      </c>
      <c r="F646">
        <f t="shared" si="73"/>
        <v>8364.4901800001971</v>
      </c>
      <c r="G646">
        <f t="shared" si="74"/>
        <v>8364.5</v>
      </c>
      <c r="H646">
        <f t="shared" si="75"/>
        <v>11.144</v>
      </c>
      <c r="J646">
        <f t="shared" si="71"/>
        <v>8364.4901800001971</v>
      </c>
      <c r="K646">
        <f t="shared" si="76"/>
        <v>8364.25</v>
      </c>
      <c r="L646">
        <f t="shared" si="72"/>
        <v>8364.25</v>
      </c>
      <c r="M646">
        <f t="shared" si="77"/>
        <v>11.144</v>
      </c>
    </row>
    <row r="647" spans="1:13" x14ac:dyDescent="0.25">
      <c r="A647" s="1">
        <v>2458364.4904</v>
      </c>
      <c r="B647" s="1" t="s">
        <v>90</v>
      </c>
      <c r="C647" s="1">
        <v>11.138999999999999</v>
      </c>
      <c r="D647" s="1" t="s">
        <v>292</v>
      </c>
      <c r="E647" t="s">
        <v>94</v>
      </c>
      <c r="F647">
        <f t="shared" si="73"/>
        <v>8364.4904000000097</v>
      </c>
      <c r="G647">
        <f t="shared" si="74"/>
        <v>8364.5</v>
      </c>
      <c r="H647">
        <f t="shared" si="75"/>
        <v>11.138999999999999</v>
      </c>
      <c r="J647">
        <f t="shared" si="71"/>
        <v>8364.4904000000097</v>
      </c>
      <c r="K647">
        <f t="shared" si="76"/>
        <v>8364.25</v>
      </c>
      <c r="L647">
        <f t="shared" si="72"/>
        <v>8364.25</v>
      </c>
      <c r="M647">
        <f t="shared" si="77"/>
        <v>11.138999999999999</v>
      </c>
    </row>
    <row r="648" spans="1:13" x14ac:dyDescent="0.25">
      <c r="A648" s="1">
        <v>2458365.4907300002</v>
      </c>
      <c r="B648" s="1" t="s">
        <v>91</v>
      </c>
      <c r="C648" s="1">
        <v>11.13</v>
      </c>
      <c r="D648" s="1" t="s">
        <v>292</v>
      </c>
      <c r="E648" t="s">
        <v>94</v>
      </c>
      <c r="F648">
        <f t="shared" si="73"/>
        <v>8365.4907300001942</v>
      </c>
      <c r="G648">
        <f t="shared" si="74"/>
        <v>8365.5</v>
      </c>
      <c r="H648">
        <f t="shared" si="75"/>
        <v>11.13</v>
      </c>
      <c r="J648">
        <f t="shared" si="71"/>
        <v>8365.4907300001942</v>
      </c>
      <c r="K648">
        <f t="shared" si="76"/>
        <v>8365.25</v>
      </c>
      <c r="L648">
        <f t="shared" si="72"/>
        <v>8365.25</v>
      </c>
      <c r="M648">
        <f t="shared" si="77"/>
        <v>11.13</v>
      </c>
    </row>
    <row r="649" spans="1:13" x14ac:dyDescent="0.25">
      <c r="A649" s="1">
        <v>2458365.49095</v>
      </c>
      <c r="B649" s="1" t="s">
        <v>91</v>
      </c>
      <c r="C649" s="1">
        <v>11.143000000000001</v>
      </c>
      <c r="D649" s="1" t="s">
        <v>292</v>
      </c>
      <c r="E649" t="s">
        <v>94</v>
      </c>
      <c r="F649">
        <f t="shared" si="73"/>
        <v>8365.4909500000067</v>
      </c>
      <c r="G649">
        <f t="shared" si="74"/>
        <v>8365.5</v>
      </c>
      <c r="H649">
        <f t="shared" si="75"/>
        <v>11.143000000000001</v>
      </c>
      <c r="J649">
        <f t="shared" si="71"/>
        <v>8365.4909500000067</v>
      </c>
      <c r="K649">
        <f t="shared" si="76"/>
        <v>8365.25</v>
      </c>
      <c r="L649">
        <f t="shared" si="72"/>
        <v>8365.25</v>
      </c>
      <c r="M649">
        <f t="shared" si="77"/>
        <v>11.143000000000001</v>
      </c>
    </row>
    <row r="650" spans="1:13" x14ac:dyDescent="0.25">
      <c r="A650" s="1">
        <v>2458366.3880400001</v>
      </c>
      <c r="B650" s="1" t="s">
        <v>106</v>
      </c>
      <c r="C650" s="1">
        <v>11.12</v>
      </c>
      <c r="D650" s="1" t="s">
        <v>292</v>
      </c>
      <c r="E650" t="s">
        <v>107</v>
      </c>
      <c r="F650">
        <f t="shared" si="73"/>
        <v>8366.3880400001071</v>
      </c>
      <c r="G650">
        <f t="shared" si="74"/>
        <v>8366.4</v>
      </c>
      <c r="H650">
        <f t="shared" si="75"/>
        <v>11.12</v>
      </c>
      <c r="J650">
        <f t="shared" si="71"/>
        <v>8366.3880400001071</v>
      </c>
      <c r="K650">
        <f t="shared" si="76"/>
        <v>8366.25</v>
      </c>
      <c r="L650">
        <f t="shared" si="72"/>
        <v>8366.25</v>
      </c>
      <c r="M650">
        <f t="shared" si="77"/>
        <v>11.12</v>
      </c>
    </row>
    <row r="651" spans="1:13" x14ac:dyDescent="0.25">
      <c r="A651" s="1">
        <v>2458366.4938400001</v>
      </c>
      <c r="B651" s="1" t="s">
        <v>106</v>
      </c>
      <c r="C651" s="1">
        <v>11.173999999999999</v>
      </c>
      <c r="D651" s="1" t="s">
        <v>292</v>
      </c>
      <c r="E651" t="s">
        <v>94</v>
      </c>
      <c r="F651">
        <f t="shared" si="73"/>
        <v>8366.4938400001265</v>
      </c>
      <c r="G651">
        <f t="shared" si="74"/>
        <v>8366.5</v>
      </c>
      <c r="H651">
        <f t="shared" si="75"/>
        <v>11.173999999999999</v>
      </c>
      <c r="J651">
        <f t="shared" si="71"/>
        <v>8366.4938400001265</v>
      </c>
      <c r="K651">
        <f t="shared" si="76"/>
        <v>8366.25</v>
      </c>
      <c r="L651">
        <f t="shared" si="72"/>
        <v>8366.25</v>
      </c>
      <c r="M651">
        <f t="shared" si="77"/>
        <v>11.173999999999999</v>
      </c>
    </row>
    <row r="652" spans="1:13" x14ac:dyDescent="0.25">
      <c r="A652" s="1">
        <v>2458366.4940499999</v>
      </c>
      <c r="B652" s="1" t="s">
        <v>106</v>
      </c>
      <c r="C652" s="1">
        <v>11.191000000000001</v>
      </c>
      <c r="D652" s="1" t="s">
        <v>292</v>
      </c>
      <c r="E652" t="s">
        <v>94</v>
      </c>
      <c r="F652">
        <f t="shared" si="73"/>
        <v>8366.4940499998629</v>
      </c>
      <c r="G652">
        <f t="shared" si="74"/>
        <v>8366.5</v>
      </c>
      <c r="H652">
        <f t="shared" si="75"/>
        <v>11.191000000000001</v>
      </c>
      <c r="J652">
        <f t="shared" si="71"/>
        <v>8366.4940499998629</v>
      </c>
      <c r="K652">
        <f t="shared" si="76"/>
        <v>8366.25</v>
      </c>
      <c r="L652">
        <f t="shared" si="72"/>
        <v>8366.25</v>
      </c>
      <c r="M652">
        <f t="shared" si="77"/>
        <v>11.191000000000001</v>
      </c>
    </row>
    <row r="653" spans="1:13" x14ac:dyDescent="0.25">
      <c r="A653" s="1">
        <v>2458367.4917000001</v>
      </c>
      <c r="B653" s="1" t="s">
        <v>108</v>
      </c>
      <c r="C653" s="1">
        <v>11.186999999999999</v>
      </c>
      <c r="D653" s="1" t="s">
        <v>292</v>
      </c>
      <c r="E653" t="s">
        <v>94</v>
      </c>
      <c r="F653">
        <f t="shared" si="73"/>
        <v>8367.4917000001296</v>
      </c>
      <c r="G653">
        <f t="shared" si="74"/>
        <v>8367.5</v>
      </c>
      <c r="H653">
        <f t="shared" si="75"/>
        <v>11.186999999999999</v>
      </c>
      <c r="J653">
        <f t="shared" si="71"/>
        <v>8367.4917000001296</v>
      </c>
      <c r="K653">
        <f t="shared" si="76"/>
        <v>8367.25</v>
      </c>
      <c r="L653">
        <f t="shared" si="72"/>
        <v>8367.25</v>
      </c>
      <c r="M653">
        <f t="shared" si="77"/>
        <v>11.186999999999999</v>
      </c>
    </row>
    <row r="654" spans="1:13" x14ac:dyDescent="0.25">
      <c r="A654" s="1">
        <v>2458367.4918999998</v>
      </c>
      <c r="B654" s="1" t="s">
        <v>108</v>
      </c>
      <c r="C654" s="1">
        <v>11.195</v>
      </c>
      <c r="D654" s="1" t="s">
        <v>292</v>
      </c>
      <c r="E654" t="s">
        <v>94</v>
      </c>
      <c r="F654">
        <f t="shared" si="73"/>
        <v>8367.4918999997899</v>
      </c>
      <c r="G654">
        <f t="shared" si="74"/>
        <v>8367.5</v>
      </c>
      <c r="H654">
        <f t="shared" si="75"/>
        <v>11.195</v>
      </c>
      <c r="J654">
        <f t="shared" si="71"/>
        <v>8367.4918999997899</v>
      </c>
      <c r="K654">
        <f t="shared" si="76"/>
        <v>8367.25</v>
      </c>
      <c r="L654">
        <f t="shared" si="72"/>
        <v>8367.25</v>
      </c>
      <c r="M654">
        <f t="shared" si="77"/>
        <v>11.195</v>
      </c>
    </row>
    <row r="655" spans="1:13" x14ac:dyDescent="0.25">
      <c r="A655" s="1">
        <v>2458367.5932300002</v>
      </c>
      <c r="B655" s="1" t="s">
        <v>109</v>
      </c>
      <c r="C655" s="1">
        <v>11.125999999999999</v>
      </c>
      <c r="D655" s="1" t="s">
        <v>292</v>
      </c>
      <c r="E655" t="s">
        <v>102</v>
      </c>
      <c r="F655">
        <f t="shared" si="73"/>
        <v>8367.5932300002314</v>
      </c>
      <c r="G655">
        <f t="shared" si="74"/>
        <v>8367.6</v>
      </c>
      <c r="H655">
        <f t="shared" si="75"/>
        <v>11.125999999999999</v>
      </c>
      <c r="J655">
        <f t="shared" si="71"/>
        <v>8367.5932300002314</v>
      </c>
      <c r="K655">
        <f t="shared" si="76"/>
        <v>8367.5</v>
      </c>
      <c r="L655">
        <f t="shared" si="72"/>
        <v>8367.5</v>
      </c>
      <c r="M655">
        <f t="shared" si="77"/>
        <v>11.125999999999999</v>
      </c>
    </row>
    <row r="656" spans="1:13" x14ac:dyDescent="0.25">
      <c r="A656" s="1">
        <v>2458367.59552</v>
      </c>
      <c r="B656" s="1" t="s">
        <v>109</v>
      </c>
      <c r="C656" s="1">
        <v>11.125999999999999</v>
      </c>
      <c r="D656" s="1" t="s">
        <v>292</v>
      </c>
      <c r="E656" t="s">
        <v>102</v>
      </c>
      <c r="F656">
        <f t="shared" si="73"/>
        <v>8367.5955199999735</v>
      </c>
      <c r="G656">
        <f t="shared" si="74"/>
        <v>8367.6</v>
      </c>
      <c r="H656">
        <f t="shared" si="75"/>
        <v>11.125999999999999</v>
      </c>
      <c r="J656">
        <f t="shared" si="71"/>
        <v>8367.5955199999735</v>
      </c>
      <c r="K656">
        <f t="shared" si="76"/>
        <v>8367.5</v>
      </c>
      <c r="L656">
        <f t="shared" si="72"/>
        <v>8367.5</v>
      </c>
      <c r="M656">
        <f t="shared" si="77"/>
        <v>11.125999999999999</v>
      </c>
    </row>
    <row r="657" spans="1:13" x14ac:dyDescent="0.25">
      <c r="A657" s="1">
        <v>2458367.5978199998</v>
      </c>
      <c r="B657" s="1" t="s">
        <v>109</v>
      </c>
      <c r="C657" s="1">
        <v>11.113</v>
      </c>
      <c r="D657" s="1" t="s">
        <v>292</v>
      </c>
      <c r="E657" t="s">
        <v>102</v>
      </c>
      <c r="F657">
        <f t="shared" si="73"/>
        <v>8367.5978199997917</v>
      </c>
      <c r="G657">
        <f t="shared" si="74"/>
        <v>8367.6</v>
      </c>
      <c r="H657">
        <f t="shared" si="75"/>
        <v>11.113</v>
      </c>
      <c r="J657">
        <f t="shared" si="71"/>
        <v>8367.5978199997917</v>
      </c>
      <c r="K657">
        <f t="shared" si="76"/>
        <v>8367.5</v>
      </c>
      <c r="L657">
        <f t="shared" si="72"/>
        <v>8367.5</v>
      </c>
      <c r="M657">
        <f t="shared" si="77"/>
        <v>11.113</v>
      </c>
    </row>
    <row r="658" spans="1:13" x14ac:dyDescent="0.25">
      <c r="A658" s="1">
        <v>2458367.6001200001</v>
      </c>
      <c r="B658" s="1" t="s">
        <v>109</v>
      </c>
      <c r="C658" s="1">
        <v>11.115</v>
      </c>
      <c r="D658" s="1" t="s">
        <v>292</v>
      </c>
      <c r="E658" t="s">
        <v>102</v>
      </c>
      <c r="F658">
        <f t="shared" si="73"/>
        <v>8367.6001200000755</v>
      </c>
      <c r="G658">
        <f t="shared" si="74"/>
        <v>8367.6</v>
      </c>
      <c r="H658">
        <f t="shared" si="75"/>
        <v>11.115</v>
      </c>
      <c r="J658">
        <f t="shared" si="71"/>
        <v>8367.6001200000755</v>
      </c>
      <c r="K658">
        <f t="shared" si="76"/>
        <v>8367.5</v>
      </c>
      <c r="L658">
        <f t="shared" si="72"/>
        <v>8367.5</v>
      </c>
      <c r="M658">
        <f t="shared" si="77"/>
        <v>11.115</v>
      </c>
    </row>
    <row r="659" spans="1:13" x14ac:dyDescent="0.25">
      <c r="A659" s="1">
        <v>2458367.6024099998</v>
      </c>
      <c r="B659" s="1" t="s">
        <v>109</v>
      </c>
      <c r="C659" s="1">
        <v>11.132</v>
      </c>
      <c r="D659" s="1" t="s">
        <v>292</v>
      </c>
      <c r="E659" t="s">
        <v>102</v>
      </c>
      <c r="F659">
        <f t="shared" si="73"/>
        <v>8367.6024099998176</v>
      </c>
      <c r="G659">
        <f t="shared" si="74"/>
        <v>8367.6</v>
      </c>
      <c r="H659">
        <f t="shared" si="75"/>
        <v>11.132</v>
      </c>
      <c r="J659">
        <f t="shared" si="71"/>
        <v>8367.6024099998176</v>
      </c>
      <c r="K659">
        <f t="shared" si="76"/>
        <v>8367.5</v>
      </c>
      <c r="L659">
        <f t="shared" si="72"/>
        <v>8367.5</v>
      </c>
      <c r="M659">
        <f t="shared" si="77"/>
        <v>11.132</v>
      </c>
    </row>
    <row r="660" spans="1:13" x14ac:dyDescent="0.25">
      <c r="A660" s="1">
        <v>2458367.6047</v>
      </c>
      <c r="B660" s="1" t="s">
        <v>109</v>
      </c>
      <c r="C660" s="1">
        <v>11.125999999999999</v>
      </c>
      <c r="D660" s="1" t="s">
        <v>292</v>
      </c>
      <c r="E660" t="s">
        <v>102</v>
      </c>
      <c r="F660">
        <f t="shared" si="73"/>
        <v>8367.6047000000253</v>
      </c>
      <c r="G660">
        <f t="shared" si="74"/>
        <v>8367.6</v>
      </c>
      <c r="H660">
        <f t="shared" si="75"/>
        <v>11.125999999999999</v>
      </c>
      <c r="J660">
        <f t="shared" si="71"/>
        <v>8367.6047000000253</v>
      </c>
      <c r="K660">
        <f t="shared" si="76"/>
        <v>8367.5</v>
      </c>
      <c r="L660">
        <f t="shared" si="72"/>
        <v>8367.5</v>
      </c>
      <c r="M660">
        <f t="shared" si="77"/>
        <v>11.125999999999999</v>
      </c>
    </row>
    <row r="661" spans="1:13" x14ac:dyDescent="0.25">
      <c r="A661" s="1">
        <v>2458367.6069999998</v>
      </c>
      <c r="B661" s="1" t="s">
        <v>109</v>
      </c>
      <c r="C661" s="1">
        <v>11.122999999999999</v>
      </c>
      <c r="D661" s="1" t="s">
        <v>292</v>
      </c>
      <c r="E661" t="s">
        <v>102</v>
      </c>
      <c r="F661">
        <f t="shared" si="73"/>
        <v>8367.6069999998435</v>
      </c>
      <c r="G661">
        <f t="shared" si="74"/>
        <v>8367.6</v>
      </c>
      <c r="H661">
        <f t="shared" si="75"/>
        <v>11.122999999999999</v>
      </c>
      <c r="J661">
        <f t="shared" si="71"/>
        <v>8367.6069999998435</v>
      </c>
      <c r="K661">
        <f t="shared" si="76"/>
        <v>8367.5</v>
      </c>
      <c r="L661">
        <f t="shared" si="72"/>
        <v>8367.5</v>
      </c>
      <c r="M661">
        <f t="shared" si="77"/>
        <v>11.122999999999999</v>
      </c>
    </row>
    <row r="662" spans="1:13" x14ac:dyDescent="0.25">
      <c r="A662" s="1">
        <v>2458367.6092900001</v>
      </c>
      <c r="B662" s="1" t="s">
        <v>109</v>
      </c>
      <c r="C662" s="1">
        <v>11.124000000000001</v>
      </c>
      <c r="D662" s="1" t="s">
        <v>292</v>
      </c>
      <c r="E662" t="s">
        <v>102</v>
      </c>
      <c r="F662">
        <f t="shared" si="73"/>
        <v>8367.6092900000513</v>
      </c>
      <c r="G662">
        <f t="shared" si="74"/>
        <v>8367.6</v>
      </c>
      <c r="H662">
        <f t="shared" si="75"/>
        <v>11.124000000000001</v>
      </c>
      <c r="J662">
        <f t="shared" si="71"/>
        <v>8367.6092900000513</v>
      </c>
      <c r="K662">
        <f t="shared" si="76"/>
        <v>8367.5</v>
      </c>
      <c r="L662">
        <f t="shared" si="72"/>
        <v>8367.5</v>
      </c>
      <c r="M662">
        <f t="shared" si="77"/>
        <v>11.124000000000001</v>
      </c>
    </row>
    <row r="663" spans="1:13" x14ac:dyDescent="0.25">
      <c r="A663" s="1">
        <v>2458367.6115999999</v>
      </c>
      <c r="B663" s="1" t="s">
        <v>109</v>
      </c>
      <c r="C663" s="1">
        <v>11.125</v>
      </c>
      <c r="D663" s="1" t="s">
        <v>292</v>
      </c>
      <c r="E663" t="s">
        <v>102</v>
      </c>
      <c r="F663">
        <f t="shared" si="73"/>
        <v>8367.6115999999456</v>
      </c>
      <c r="G663">
        <f t="shared" si="74"/>
        <v>8367.6</v>
      </c>
      <c r="H663">
        <f t="shared" si="75"/>
        <v>11.125</v>
      </c>
      <c r="J663">
        <f t="shared" si="71"/>
        <v>8367.6115999999456</v>
      </c>
      <c r="K663">
        <f t="shared" si="76"/>
        <v>8367.5</v>
      </c>
      <c r="L663">
        <f t="shared" si="72"/>
        <v>8367.5</v>
      </c>
      <c r="M663">
        <f t="shared" si="77"/>
        <v>11.125</v>
      </c>
    </row>
    <row r="664" spans="1:13" x14ac:dyDescent="0.25">
      <c r="A664" s="1">
        <v>2458367.6138900002</v>
      </c>
      <c r="B664" s="1" t="s">
        <v>109</v>
      </c>
      <c r="C664" s="1">
        <v>11.125999999999999</v>
      </c>
      <c r="D664" s="1" t="s">
        <v>292</v>
      </c>
      <c r="E664" t="s">
        <v>102</v>
      </c>
      <c r="F664">
        <f t="shared" si="73"/>
        <v>8367.6138900001533</v>
      </c>
      <c r="G664">
        <f t="shared" si="74"/>
        <v>8367.6</v>
      </c>
      <c r="H664">
        <f t="shared" si="75"/>
        <v>11.125999999999999</v>
      </c>
      <c r="J664">
        <f t="shared" si="71"/>
        <v>8367.6138900001533</v>
      </c>
      <c r="K664">
        <f t="shared" si="76"/>
        <v>8367.5</v>
      </c>
      <c r="L664">
        <f t="shared" si="72"/>
        <v>8367.5</v>
      </c>
      <c r="M664">
        <f t="shared" si="77"/>
        <v>11.125999999999999</v>
      </c>
    </row>
    <row r="665" spans="1:13" x14ac:dyDescent="0.25">
      <c r="A665" s="1">
        <v>2458367.6161799999</v>
      </c>
      <c r="B665" s="1" t="s">
        <v>109</v>
      </c>
      <c r="C665" s="1">
        <v>11.118</v>
      </c>
      <c r="D665" s="1" t="s">
        <v>292</v>
      </c>
      <c r="E665" t="s">
        <v>102</v>
      </c>
      <c r="F665">
        <f t="shared" si="73"/>
        <v>8367.6161799998954</v>
      </c>
      <c r="G665">
        <f t="shared" si="74"/>
        <v>8367.6</v>
      </c>
      <c r="H665">
        <f t="shared" si="75"/>
        <v>11.118</v>
      </c>
      <c r="J665">
        <f t="shared" ref="J665:J728" si="78">+F665</f>
        <v>8367.6161799998954</v>
      </c>
      <c r="K665">
        <f t="shared" si="76"/>
        <v>8367.5</v>
      </c>
      <c r="L665">
        <f t="shared" ref="L665:L728" si="79">+IF(J665-K665&gt;0.25,K665+0.25,K665)</f>
        <v>8367.5</v>
      </c>
      <c r="M665">
        <f t="shared" si="77"/>
        <v>11.118</v>
      </c>
    </row>
    <row r="666" spans="1:13" x14ac:dyDescent="0.25">
      <c r="A666" s="1">
        <v>2458367.6184700001</v>
      </c>
      <c r="B666" s="1" t="s">
        <v>109</v>
      </c>
      <c r="C666" s="1">
        <v>11.12</v>
      </c>
      <c r="D666" s="1" t="s">
        <v>292</v>
      </c>
      <c r="E666" t="s">
        <v>102</v>
      </c>
      <c r="F666">
        <f t="shared" si="73"/>
        <v>8367.6184700001031</v>
      </c>
      <c r="G666">
        <f t="shared" si="74"/>
        <v>8367.6</v>
      </c>
      <c r="H666">
        <f t="shared" si="75"/>
        <v>11.12</v>
      </c>
      <c r="J666">
        <f t="shared" si="78"/>
        <v>8367.6184700001031</v>
      </c>
      <c r="K666">
        <f t="shared" si="76"/>
        <v>8367.5</v>
      </c>
      <c r="L666">
        <f t="shared" si="79"/>
        <v>8367.5</v>
      </c>
      <c r="M666">
        <f t="shared" si="77"/>
        <v>11.12</v>
      </c>
    </row>
    <row r="667" spans="1:13" x14ac:dyDescent="0.25">
      <c r="A667" s="1">
        <v>2458367.6209</v>
      </c>
      <c r="B667" s="1" t="s">
        <v>109</v>
      </c>
      <c r="C667" s="1">
        <v>11.122</v>
      </c>
      <c r="D667" s="1" t="s">
        <v>292</v>
      </c>
      <c r="E667" t="s">
        <v>102</v>
      </c>
      <c r="F667">
        <f t="shared" si="73"/>
        <v>8367.6208999999799</v>
      </c>
      <c r="G667">
        <f t="shared" si="74"/>
        <v>8367.6</v>
      </c>
      <c r="H667">
        <f t="shared" si="75"/>
        <v>11.122</v>
      </c>
      <c r="J667">
        <f t="shared" si="78"/>
        <v>8367.6208999999799</v>
      </c>
      <c r="K667">
        <f t="shared" si="76"/>
        <v>8367.5</v>
      </c>
      <c r="L667">
        <f t="shared" si="79"/>
        <v>8367.5</v>
      </c>
      <c r="M667">
        <f t="shared" si="77"/>
        <v>11.122</v>
      </c>
    </row>
    <row r="668" spans="1:13" x14ac:dyDescent="0.25">
      <c r="A668" s="1">
        <v>2458367.6231900002</v>
      </c>
      <c r="B668" s="1" t="s">
        <v>109</v>
      </c>
      <c r="C668" s="1">
        <v>11.118</v>
      </c>
      <c r="D668" s="1" t="s">
        <v>292</v>
      </c>
      <c r="E668" t="s">
        <v>102</v>
      </c>
      <c r="F668">
        <f t="shared" si="73"/>
        <v>8367.6231900001876</v>
      </c>
      <c r="G668">
        <f t="shared" si="74"/>
        <v>8367.6</v>
      </c>
      <c r="H668">
        <f t="shared" si="75"/>
        <v>11.118</v>
      </c>
      <c r="J668">
        <f t="shared" si="78"/>
        <v>8367.6231900001876</v>
      </c>
      <c r="K668">
        <f t="shared" si="76"/>
        <v>8367.5</v>
      </c>
      <c r="L668">
        <f t="shared" si="79"/>
        <v>8367.5</v>
      </c>
      <c r="M668">
        <f t="shared" si="77"/>
        <v>11.118</v>
      </c>
    </row>
    <row r="669" spans="1:13" x14ac:dyDescent="0.25">
      <c r="A669" s="1">
        <v>2458367.6255000001</v>
      </c>
      <c r="B669" s="1" t="s">
        <v>109</v>
      </c>
      <c r="C669" s="1">
        <v>11.132999999999999</v>
      </c>
      <c r="D669" s="1" t="s">
        <v>292</v>
      </c>
      <c r="E669" t="s">
        <v>102</v>
      </c>
      <c r="F669">
        <f t="shared" si="73"/>
        <v>8367.625500000082</v>
      </c>
      <c r="G669">
        <f t="shared" si="74"/>
        <v>8367.6</v>
      </c>
      <c r="H669">
        <f t="shared" si="75"/>
        <v>11.132999999999999</v>
      </c>
      <c r="J669">
        <f t="shared" si="78"/>
        <v>8367.625500000082</v>
      </c>
      <c r="K669">
        <f t="shared" si="76"/>
        <v>8367.5</v>
      </c>
      <c r="L669">
        <f t="shared" si="79"/>
        <v>8367.5</v>
      </c>
      <c r="M669">
        <f t="shared" si="77"/>
        <v>11.132999999999999</v>
      </c>
    </row>
    <row r="670" spans="1:13" x14ac:dyDescent="0.25">
      <c r="A670" s="1">
        <v>2458367.6277899998</v>
      </c>
      <c r="B670" s="1" t="s">
        <v>109</v>
      </c>
      <c r="C670" s="1">
        <v>11.128</v>
      </c>
      <c r="D670" s="1" t="s">
        <v>292</v>
      </c>
      <c r="E670" t="s">
        <v>102</v>
      </c>
      <c r="F670">
        <f t="shared" si="73"/>
        <v>8367.627789999824</v>
      </c>
      <c r="G670">
        <f t="shared" si="74"/>
        <v>8367.6</v>
      </c>
      <c r="H670">
        <f t="shared" si="75"/>
        <v>11.128</v>
      </c>
      <c r="J670">
        <f t="shared" si="78"/>
        <v>8367.627789999824</v>
      </c>
      <c r="K670">
        <f t="shared" si="76"/>
        <v>8367.5</v>
      </c>
      <c r="L670">
        <f t="shared" si="79"/>
        <v>8367.5</v>
      </c>
      <c r="M670">
        <f t="shared" si="77"/>
        <v>11.128</v>
      </c>
    </row>
    <row r="671" spans="1:13" x14ac:dyDescent="0.25">
      <c r="A671" s="1">
        <v>2458367.63008</v>
      </c>
      <c r="B671" s="1" t="s">
        <v>109</v>
      </c>
      <c r="C671" s="1">
        <v>11.124000000000001</v>
      </c>
      <c r="D671" s="1" t="s">
        <v>292</v>
      </c>
      <c r="E671" t="s">
        <v>102</v>
      </c>
      <c r="F671">
        <f t="shared" si="73"/>
        <v>8367.6300800000317</v>
      </c>
      <c r="G671">
        <f t="shared" si="74"/>
        <v>8367.6</v>
      </c>
      <c r="H671">
        <f t="shared" si="75"/>
        <v>11.124000000000001</v>
      </c>
      <c r="J671">
        <f t="shared" si="78"/>
        <v>8367.6300800000317</v>
      </c>
      <c r="K671">
        <f t="shared" si="76"/>
        <v>8367.5</v>
      </c>
      <c r="L671">
        <f t="shared" si="79"/>
        <v>8367.5</v>
      </c>
      <c r="M671">
        <f t="shared" si="77"/>
        <v>11.124000000000001</v>
      </c>
    </row>
    <row r="672" spans="1:13" x14ac:dyDescent="0.25">
      <c r="A672" s="1">
        <v>2458367.6323799998</v>
      </c>
      <c r="B672" s="1" t="s">
        <v>109</v>
      </c>
      <c r="C672" s="1">
        <v>11.132999999999999</v>
      </c>
      <c r="D672" s="1" t="s">
        <v>292</v>
      </c>
      <c r="E672" t="s">
        <v>102</v>
      </c>
      <c r="F672">
        <f t="shared" si="73"/>
        <v>8367.6323799998499</v>
      </c>
      <c r="G672">
        <f t="shared" si="74"/>
        <v>8367.6</v>
      </c>
      <c r="H672">
        <f t="shared" si="75"/>
        <v>11.132999999999999</v>
      </c>
      <c r="J672">
        <f t="shared" si="78"/>
        <v>8367.6323799998499</v>
      </c>
      <c r="K672">
        <f t="shared" si="76"/>
        <v>8367.5</v>
      </c>
      <c r="L672">
        <f t="shared" si="79"/>
        <v>8367.5</v>
      </c>
      <c r="M672">
        <f t="shared" si="77"/>
        <v>11.132999999999999</v>
      </c>
    </row>
    <row r="673" spans="1:13" x14ac:dyDescent="0.25">
      <c r="A673" s="1">
        <v>2458367.6346800001</v>
      </c>
      <c r="B673" s="1" t="s">
        <v>109</v>
      </c>
      <c r="C673" s="1">
        <v>11.13</v>
      </c>
      <c r="D673" s="1" t="s">
        <v>292</v>
      </c>
      <c r="E673" t="s">
        <v>102</v>
      </c>
      <c r="F673">
        <f t="shared" si="73"/>
        <v>8367.6346800001338</v>
      </c>
      <c r="G673">
        <f t="shared" si="74"/>
        <v>8367.6</v>
      </c>
      <c r="H673">
        <f t="shared" si="75"/>
        <v>11.13</v>
      </c>
      <c r="J673">
        <f t="shared" si="78"/>
        <v>8367.6346800001338</v>
      </c>
      <c r="K673">
        <f t="shared" si="76"/>
        <v>8367.5</v>
      </c>
      <c r="L673">
        <f t="shared" si="79"/>
        <v>8367.5</v>
      </c>
      <c r="M673">
        <f t="shared" si="77"/>
        <v>11.13</v>
      </c>
    </row>
    <row r="674" spans="1:13" x14ac:dyDescent="0.25">
      <c r="A674" s="1">
        <v>2458367.63698</v>
      </c>
      <c r="B674" s="1" t="s">
        <v>109</v>
      </c>
      <c r="C674" s="1">
        <v>11.122999999999999</v>
      </c>
      <c r="D674" s="1" t="s">
        <v>292</v>
      </c>
      <c r="E674" t="s">
        <v>102</v>
      </c>
      <c r="F674">
        <f t="shared" si="73"/>
        <v>8367.636979999952</v>
      </c>
      <c r="G674">
        <f t="shared" si="74"/>
        <v>8367.6</v>
      </c>
      <c r="H674">
        <f t="shared" si="75"/>
        <v>11.122999999999999</v>
      </c>
      <c r="J674">
        <f t="shared" si="78"/>
        <v>8367.636979999952</v>
      </c>
      <c r="K674">
        <f t="shared" si="76"/>
        <v>8367.5</v>
      </c>
      <c r="L674">
        <f t="shared" si="79"/>
        <v>8367.5</v>
      </c>
      <c r="M674">
        <f t="shared" si="77"/>
        <v>11.122999999999999</v>
      </c>
    </row>
    <row r="675" spans="1:13" x14ac:dyDescent="0.25">
      <c r="A675" s="1">
        <v>2458367.6392700002</v>
      </c>
      <c r="B675" s="1" t="s">
        <v>109</v>
      </c>
      <c r="C675" s="1">
        <v>11.128</v>
      </c>
      <c r="D675" s="1" t="s">
        <v>292</v>
      </c>
      <c r="E675" t="s">
        <v>102</v>
      </c>
      <c r="F675">
        <f t="shared" si="73"/>
        <v>8367.6392700001597</v>
      </c>
      <c r="G675">
        <f t="shared" si="74"/>
        <v>8367.6</v>
      </c>
      <c r="H675">
        <f t="shared" si="75"/>
        <v>11.128</v>
      </c>
      <c r="J675">
        <f t="shared" si="78"/>
        <v>8367.6392700001597</v>
      </c>
      <c r="K675">
        <f t="shared" si="76"/>
        <v>8367.5</v>
      </c>
      <c r="L675">
        <f t="shared" si="79"/>
        <v>8367.5</v>
      </c>
      <c r="M675">
        <f t="shared" si="77"/>
        <v>11.128</v>
      </c>
    </row>
    <row r="676" spans="1:13" x14ac:dyDescent="0.25">
      <c r="A676" s="1">
        <v>2458367.6415599999</v>
      </c>
      <c r="B676" s="1" t="s">
        <v>109</v>
      </c>
      <c r="C676" s="1">
        <v>11.125</v>
      </c>
      <c r="D676" s="1" t="s">
        <v>292</v>
      </c>
      <c r="E676" t="s">
        <v>102</v>
      </c>
      <c r="F676">
        <f t="shared" si="73"/>
        <v>8367.6415599999018</v>
      </c>
      <c r="G676">
        <f t="shared" si="74"/>
        <v>8367.6</v>
      </c>
      <c r="H676">
        <f t="shared" si="75"/>
        <v>11.125</v>
      </c>
      <c r="J676">
        <f t="shared" si="78"/>
        <v>8367.6415599999018</v>
      </c>
      <c r="K676">
        <f t="shared" si="76"/>
        <v>8367.5</v>
      </c>
      <c r="L676">
        <f t="shared" si="79"/>
        <v>8367.5</v>
      </c>
      <c r="M676">
        <f t="shared" si="77"/>
        <v>11.125</v>
      </c>
    </row>
    <row r="677" spans="1:13" x14ac:dyDescent="0.25">
      <c r="A677" s="1">
        <v>2458367.6438699998</v>
      </c>
      <c r="B677" s="1" t="s">
        <v>109</v>
      </c>
      <c r="C677" s="1">
        <v>11.131</v>
      </c>
      <c r="D677" s="1" t="s">
        <v>292</v>
      </c>
      <c r="E677" t="s">
        <v>102</v>
      </c>
      <c r="F677">
        <f t="shared" si="73"/>
        <v>8367.6438699997962</v>
      </c>
      <c r="G677">
        <f t="shared" si="74"/>
        <v>8367.6</v>
      </c>
      <c r="H677">
        <f t="shared" si="75"/>
        <v>11.131</v>
      </c>
      <c r="J677">
        <f t="shared" si="78"/>
        <v>8367.6438699997962</v>
      </c>
      <c r="K677">
        <f t="shared" si="76"/>
        <v>8367.5</v>
      </c>
      <c r="L677">
        <f t="shared" si="79"/>
        <v>8367.5</v>
      </c>
      <c r="M677">
        <f t="shared" si="77"/>
        <v>11.131</v>
      </c>
    </row>
    <row r="678" spans="1:13" x14ac:dyDescent="0.25">
      <c r="A678" s="1">
        <v>2458367.64616</v>
      </c>
      <c r="B678" s="1" t="s">
        <v>109</v>
      </c>
      <c r="C678" s="1">
        <v>11.124000000000001</v>
      </c>
      <c r="D678" s="1" t="s">
        <v>292</v>
      </c>
      <c r="E678" t="s">
        <v>102</v>
      </c>
      <c r="F678">
        <f t="shared" si="73"/>
        <v>8367.6461600000039</v>
      </c>
      <c r="G678">
        <f t="shared" si="74"/>
        <v>8367.6</v>
      </c>
      <c r="H678">
        <f t="shared" si="75"/>
        <v>11.124000000000001</v>
      </c>
      <c r="J678">
        <f t="shared" si="78"/>
        <v>8367.6461600000039</v>
      </c>
      <c r="K678">
        <f t="shared" si="76"/>
        <v>8367.5</v>
      </c>
      <c r="L678">
        <f t="shared" si="79"/>
        <v>8367.5</v>
      </c>
      <c r="M678">
        <f t="shared" si="77"/>
        <v>11.124000000000001</v>
      </c>
    </row>
    <row r="679" spans="1:13" x14ac:dyDescent="0.25">
      <c r="A679" s="1">
        <v>2458367.6484500002</v>
      </c>
      <c r="B679" s="1" t="s">
        <v>109</v>
      </c>
      <c r="C679" s="1">
        <v>11.122</v>
      </c>
      <c r="D679" s="1" t="s">
        <v>292</v>
      </c>
      <c r="E679" t="s">
        <v>102</v>
      </c>
      <c r="F679">
        <f t="shared" si="73"/>
        <v>8367.6484500002116</v>
      </c>
      <c r="G679">
        <f t="shared" si="74"/>
        <v>8367.6</v>
      </c>
      <c r="H679">
        <f t="shared" si="75"/>
        <v>11.122</v>
      </c>
      <c r="J679">
        <f t="shared" si="78"/>
        <v>8367.6484500002116</v>
      </c>
      <c r="K679">
        <f t="shared" si="76"/>
        <v>8367.5</v>
      </c>
      <c r="L679">
        <f t="shared" si="79"/>
        <v>8367.5</v>
      </c>
      <c r="M679">
        <f t="shared" si="77"/>
        <v>11.122</v>
      </c>
    </row>
    <row r="680" spans="1:13" x14ac:dyDescent="0.25">
      <c r="A680" s="1">
        <v>2458367.65075</v>
      </c>
      <c r="B680" s="1" t="s">
        <v>109</v>
      </c>
      <c r="C680" s="1">
        <v>11.121</v>
      </c>
      <c r="D680" s="1" t="s">
        <v>292</v>
      </c>
      <c r="E680" t="s">
        <v>102</v>
      </c>
      <c r="F680">
        <f t="shared" si="73"/>
        <v>8367.6507500000298</v>
      </c>
      <c r="G680">
        <f t="shared" si="74"/>
        <v>8367.7000000000007</v>
      </c>
      <c r="H680">
        <f t="shared" si="75"/>
        <v>11.121</v>
      </c>
      <c r="J680">
        <f t="shared" si="78"/>
        <v>8367.6507500000298</v>
      </c>
      <c r="K680">
        <f t="shared" si="76"/>
        <v>8367.5</v>
      </c>
      <c r="L680">
        <f t="shared" si="79"/>
        <v>8367.5</v>
      </c>
      <c r="M680">
        <f t="shared" si="77"/>
        <v>11.121</v>
      </c>
    </row>
    <row r="681" spans="1:13" x14ac:dyDescent="0.25">
      <c r="A681" s="1">
        <v>2458368.4934299998</v>
      </c>
      <c r="B681" s="1" t="s">
        <v>109</v>
      </c>
      <c r="C681" s="1">
        <v>11.237</v>
      </c>
      <c r="D681" s="1" t="s">
        <v>292</v>
      </c>
      <c r="E681" t="s">
        <v>94</v>
      </c>
      <c r="F681">
        <f t="shared" si="73"/>
        <v>8368.4934299997985</v>
      </c>
      <c r="G681">
        <f t="shared" si="74"/>
        <v>8368.5</v>
      </c>
      <c r="H681">
        <f t="shared" si="75"/>
        <v>11.237</v>
      </c>
      <c r="J681">
        <f t="shared" si="78"/>
        <v>8368.4934299997985</v>
      </c>
      <c r="K681">
        <f t="shared" si="76"/>
        <v>8368.25</v>
      </c>
      <c r="L681">
        <f t="shared" si="79"/>
        <v>8368.25</v>
      </c>
      <c r="M681">
        <f t="shared" si="77"/>
        <v>11.237</v>
      </c>
    </row>
    <row r="682" spans="1:13" x14ac:dyDescent="0.25">
      <c r="A682" s="1">
        <v>2458368.49364</v>
      </c>
      <c r="B682" s="1" t="s">
        <v>109</v>
      </c>
      <c r="C682" s="1">
        <v>11.222</v>
      </c>
      <c r="D682" s="1" t="s">
        <v>292</v>
      </c>
      <c r="E682" t="s">
        <v>94</v>
      </c>
      <c r="F682">
        <f t="shared" si="73"/>
        <v>8368.4936400000006</v>
      </c>
      <c r="G682">
        <f t="shared" si="74"/>
        <v>8368.5</v>
      </c>
      <c r="H682">
        <f t="shared" si="75"/>
        <v>11.222</v>
      </c>
      <c r="J682">
        <f t="shared" si="78"/>
        <v>8368.4936400000006</v>
      </c>
      <c r="K682">
        <f t="shared" si="76"/>
        <v>8368.25</v>
      </c>
      <c r="L682">
        <f t="shared" si="79"/>
        <v>8368.25</v>
      </c>
      <c r="M682">
        <f t="shared" si="77"/>
        <v>11.222</v>
      </c>
    </row>
    <row r="683" spans="1:13" x14ac:dyDescent="0.25">
      <c r="A683" s="1">
        <v>2458368.5691200001</v>
      </c>
      <c r="B683" s="1" t="s">
        <v>110</v>
      </c>
      <c r="C683" s="1">
        <v>11.256</v>
      </c>
      <c r="D683" s="1" t="s">
        <v>292</v>
      </c>
      <c r="E683" t="s">
        <v>97</v>
      </c>
      <c r="F683">
        <f t="shared" si="73"/>
        <v>8368.5691200001165</v>
      </c>
      <c r="G683">
        <f t="shared" si="74"/>
        <v>8368.6</v>
      </c>
      <c r="H683">
        <f t="shared" si="75"/>
        <v>11.256</v>
      </c>
      <c r="J683">
        <f t="shared" si="78"/>
        <v>8368.5691200001165</v>
      </c>
      <c r="K683">
        <f t="shared" si="76"/>
        <v>8368.5</v>
      </c>
      <c r="L683">
        <f t="shared" si="79"/>
        <v>8368.5</v>
      </c>
      <c r="M683">
        <f t="shared" si="77"/>
        <v>11.256</v>
      </c>
    </row>
    <row r="684" spans="1:13" x14ac:dyDescent="0.25">
      <c r="A684" s="1">
        <v>2458369.31586</v>
      </c>
      <c r="B684" s="1" t="s">
        <v>110</v>
      </c>
      <c r="C684" s="1">
        <v>11.231</v>
      </c>
      <c r="D684" s="1" t="s">
        <v>292</v>
      </c>
      <c r="E684" t="s">
        <v>101</v>
      </c>
      <c r="F684">
        <f t="shared" si="73"/>
        <v>8369.3158599999733</v>
      </c>
      <c r="G684">
        <f t="shared" si="74"/>
        <v>8369.2999999999993</v>
      </c>
      <c r="H684">
        <f t="shared" si="75"/>
        <v>11.231</v>
      </c>
      <c r="J684">
        <f t="shared" si="78"/>
        <v>8369.3158599999733</v>
      </c>
      <c r="K684">
        <f t="shared" si="76"/>
        <v>8369.25</v>
      </c>
      <c r="L684">
        <f t="shared" si="79"/>
        <v>8369.25</v>
      </c>
      <c r="M684">
        <f t="shared" si="77"/>
        <v>11.231</v>
      </c>
    </row>
    <row r="685" spans="1:13" x14ac:dyDescent="0.25">
      <c r="A685" s="1">
        <v>2458369.3161800001</v>
      </c>
      <c r="B685" s="1" t="s">
        <v>110</v>
      </c>
      <c r="C685" s="1">
        <v>11.228999999999999</v>
      </c>
      <c r="D685" s="1" t="s">
        <v>292</v>
      </c>
      <c r="E685" t="s">
        <v>101</v>
      </c>
      <c r="F685">
        <f t="shared" si="73"/>
        <v>8369.3161800000817</v>
      </c>
      <c r="G685">
        <f t="shared" si="74"/>
        <v>8369.2999999999993</v>
      </c>
      <c r="H685">
        <f t="shared" si="75"/>
        <v>11.228999999999999</v>
      </c>
      <c r="J685">
        <f t="shared" si="78"/>
        <v>8369.3161800000817</v>
      </c>
      <c r="K685">
        <f t="shared" si="76"/>
        <v>8369.25</v>
      </c>
      <c r="L685">
        <f t="shared" si="79"/>
        <v>8369.25</v>
      </c>
      <c r="M685">
        <f t="shared" si="77"/>
        <v>11.228999999999999</v>
      </c>
    </row>
    <row r="686" spans="1:13" x14ac:dyDescent="0.25">
      <c r="A686" s="1">
        <v>2458369.4948999998</v>
      </c>
      <c r="B686" s="1" t="s">
        <v>110</v>
      </c>
      <c r="C686" s="1">
        <v>11.249000000000001</v>
      </c>
      <c r="D686" s="1" t="s">
        <v>292</v>
      </c>
      <c r="E686" t="s">
        <v>94</v>
      </c>
      <c r="F686">
        <f t="shared" si="73"/>
        <v>8369.494899999816</v>
      </c>
      <c r="G686">
        <f t="shared" si="74"/>
        <v>8369.5</v>
      </c>
      <c r="H686">
        <f t="shared" si="75"/>
        <v>11.249000000000001</v>
      </c>
      <c r="J686">
        <f t="shared" si="78"/>
        <v>8369.494899999816</v>
      </c>
      <c r="K686">
        <f t="shared" si="76"/>
        <v>8369.25</v>
      </c>
      <c r="L686">
        <f t="shared" si="79"/>
        <v>8369.25</v>
      </c>
      <c r="M686">
        <f t="shared" si="77"/>
        <v>11.249000000000001</v>
      </c>
    </row>
    <row r="687" spans="1:13" x14ac:dyDescent="0.25">
      <c r="A687" s="1">
        <v>2458369.49511</v>
      </c>
      <c r="B687" s="1" t="s">
        <v>110</v>
      </c>
      <c r="C687" s="1">
        <v>11.262</v>
      </c>
      <c r="D687" s="1" t="s">
        <v>292</v>
      </c>
      <c r="E687" t="s">
        <v>94</v>
      </c>
      <c r="F687">
        <f t="shared" si="73"/>
        <v>8369.495110000018</v>
      </c>
      <c r="G687">
        <f t="shared" si="74"/>
        <v>8369.5</v>
      </c>
      <c r="H687">
        <f t="shared" si="75"/>
        <v>11.262</v>
      </c>
      <c r="J687">
        <f t="shared" si="78"/>
        <v>8369.495110000018</v>
      </c>
      <c r="K687">
        <f t="shared" si="76"/>
        <v>8369.25</v>
      </c>
      <c r="L687">
        <f t="shared" si="79"/>
        <v>8369.25</v>
      </c>
      <c r="M687">
        <f t="shared" si="77"/>
        <v>11.262</v>
      </c>
    </row>
    <row r="688" spans="1:13" x14ac:dyDescent="0.25">
      <c r="A688" s="1">
        <v>2458370.3423600001</v>
      </c>
      <c r="B688" s="1" t="s">
        <v>111</v>
      </c>
      <c r="C688" s="1">
        <v>11.3</v>
      </c>
      <c r="D688" s="1" t="s">
        <v>292</v>
      </c>
      <c r="E688" t="s">
        <v>5</v>
      </c>
      <c r="F688">
        <f t="shared" si="73"/>
        <v>8370.3423600001261</v>
      </c>
      <c r="G688">
        <f t="shared" si="74"/>
        <v>8370.2999999999993</v>
      </c>
      <c r="H688">
        <f t="shared" si="75"/>
        <v>11.3</v>
      </c>
      <c r="J688">
        <f t="shared" si="78"/>
        <v>8370.3423600001261</v>
      </c>
      <c r="K688">
        <f t="shared" si="76"/>
        <v>8370.25</v>
      </c>
      <c r="L688">
        <f t="shared" si="79"/>
        <v>8370.25</v>
      </c>
      <c r="M688">
        <f t="shared" si="77"/>
        <v>11.3</v>
      </c>
    </row>
    <row r="689" spans="1:13" x14ac:dyDescent="0.25">
      <c r="A689" s="1">
        <v>2458370.5057000001</v>
      </c>
      <c r="B689" s="1" t="s">
        <v>112</v>
      </c>
      <c r="C689" s="1">
        <v>11.308</v>
      </c>
      <c r="D689" s="1" t="s">
        <v>292</v>
      </c>
      <c r="E689" t="s">
        <v>94</v>
      </c>
      <c r="F689">
        <f t="shared" si="73"/>
        <v>8370.5057000000961</v>
      </c>
      <c r="G689">
        <f t="shared" si="74"/>
        <v>8370.5</v>
      </c>
      <c r="H689">
        <f t="shared" si="75"/>
        <v>11.308</v>
      </c>
      <c r="J689">
        <f t="shared" si="78"/>
        <v>8370.5057000000961</v>
      </c>
      <c r="K689">
        <f t="shared" si="76"/>
        <v>8370.5</v>
      </c>
      <c r="L689">
        <f t="shared" si="79"/>
        <v>8370.5</v>
      </c>
      <c r="M689">
        <f t="shared" si="77"/>
        <v>11.308</v>
      </c>
    </row>
    <row r="690" spans="1:13" x14ac:dyDescent="0.25">
      <c r="A690" s="1">
        <v>2458370.5059099998</v>
      </c>
      <c r="B690" s="1" t="s">
        <v>112</v>
      </c>
      <c r="C690" s="1">
        <v>11.305999999999999</v>
      </c>
      <c r="D690" s="1" t="s">
        <v>292</v>
      </c>
      <c r="E690" t="s">
        <v>94</v>
      </c>
      <c r="F690">
        <f t="shared" si="73"/>
        <v>8370.5059099998325</v>
      </c>
      <c r="G690">
        <f t="shared" si="74"/>
        <v>8370.5</v>
      </c>
      <c r="H690">
        <f t="shared" si="75"/>
        <v>11.305999999999999</v>
      </c>
      <c r="J690">
        <f t="shared" si="78"/>
        <v>8370.5059099998325</v>
      </c>
      <c r="K690">
        <f t="shared" si="76"/>
        <v>8370.5</v>
      </c>
      <c r="L690">
        <f t="shared" si="79"/>
        <v>8370.5</v>
      </c>
      <c r="M690">
        <f t="shared" si="77"/>
        <v>11.305999999999999</v>
      </c>
    </row>
    <row r="691" spans="1:13" x14ac:dyDescent="0.25">
      <c r="A691" s="1">
        <v>2458371.4945800002</v>
      </c>
      <c r="B691" s="1" t="s">
        <v>112</v>
      </c>
      <c r="C691" s="1">
        <v>11.304</v>
      </c>
      <c r="D691" s="1" t="s">
        <v>292</v>
      </c>
      <c r="E691" t="s">
        <v>94</v>
      </c>
      <c r="F691">
        <f t="shared" si="73"/>
        <v>8371.4945800001733</v>
      </c>
      <c r="G691">
        <f t="shared" si="74"/>
        <v>8371.5</v>
      </c>
      <c r="H691">
        <f t="shared" si="75"/>
        <v>11.304</v>
      </c>
      <c r="J691">
        <f t="shared" si="78"/>
        <v>8371.4945800001733</v>
      </c>
      <c r="K691">
        <f t="shared" si="76"/>
        <v>8371.25</v>
      </c>
      <c r="L691">
        <f t="shared" si="79"/>
        <v>8371.25</v>
      </c>
      <c r="M691">
        <f t="shared" si="77"/>
        <v>11.304</v>
      </c>
    </row>
    <row r="692" spans="1:13" x14ac:dyDescent="0.25">
      <c r="A692" s="1">
        <v>2458371.4948</v>
      </c>
      <c r="B692" s="1" t="s">
        <v>112</v>
      </c>
      <c r="C692" s="1">
        <v>11.323</v>
      </c>
      <c r="D692" s="1" t="s">
        <v>292</v>
      </c>
      <c r="E692" t="s">
        <v>94</v>
      </c>
      <c r="F692">
        <f t="shared" si="73"/>
        <v>8371.4947999999858</v>
      </c>
      <c r="G692">
        <f t="shared" si="74"/>
        <v>8371.5</v>
      </c>
      <c r="H692">
        <f t="shared" si="75"/>
        <v>11.323</v>
      </c>
      <c r="J692">
        <f t="shared" si="78"/>
        <v>8371.4947999999858</v>
      </c>
      <c r="K692">
        <f t="shared" si="76"/>
        <v>8371.25</v>
      </c>
      <c r="L692">
        <f t="shared" si="79"/>
        <v>8371.25</v>
      </c>
      <c r="M692">
        <f t="shared" si="77"/>
        <v>11.323</v>
      </c>
    </row>
    <row r="693" spans="1:13" x14ac:dyDescent="0.25">
      <c r="A693" s="1">
        <v>2458372.4944000002</v>
      </c>
      <c r="B693" s="1" t="s">
        <v>113</v>
      </c>
      <c r="C693" s="1">
        <v>11.337</v>
      </c>
      <c r="D693" s="1" t="s">
        <v>292</v>
      </c>
      <c r="E693" t="s">
        <v>94</v>
      </c>
      <c r="F693">
        <f t="shared" si="73"/>
        <v>8372.4944000001997</v>
      </c>
      <c r="G693">
        <f t="shared" si="74"/>
        <v>8372.5</v>
      </c>
      <c r="H693">
        <f t="shared" si="75"/>
        <v>11.337</v>
      </c>
      <c r="J693">
        <f t="shared" si="78"/>
        <v>8372.4944000001997</v>
      </c>
      <c r="K693">
        <f t="shared" si="76"/>
        <v>8372.25</v>
      </c>
      <c r="L693">
        <f t="shared" si="79"/>
        <v>8372.25</v>
      </c>
      <c r="M693">
        <f t="shared" si="77"/>
        <v>11.337</v>
      </c>
    </row>
    <row r="694" spans="1:13" x14ac:dyDescent="0.25">
      <c r="A694" s="1">
        <v>2458372.49462</v>
      </c>
      <c r="B694" s="1" t="s">
        <v>113</v>
      </c>
      <c r="C694" s="1">
        <v>11.35</v>
      </c>
      <c r="D694" s="1" t="s">
        <v>292</v>
      </c>
      <c r="E694" t="s">
        <v>94</v>
      </c>
      <c r="F694">
        <f t="shared" si="73"/>
        <v>8372.4946200000122</v>
      </c>
      <c r="G694">
        <f t="shared" si="74"/>
        <v>8372.5</v>
      </c>
      <c r="H694">
        <f t="shared" si="75"/>
        <v>11.35</v>
      </c>
      <c r="J694">
        <f t="shared" si="78"/>
        <v>8372.4946200000122</v>
      </c>
      <c r="K694">
        <f t="shared" si="76"/>
        <v>8372.25</v>
      </c>
      <c r="L694">
        <f t="shared" si="79"/>
        <v>8372.25</v>
      </c>
      <c r="M694">
        <f t="shared" si="77"/>
        <v>11.35</v>
      </c>
    </row>
    <row r="695" spans="1:13" x14ac:dyDescent="0.25">
      <c r="A695" s="1">
        <v>2458373.4962300002</v>
      </c>
      <c r="B695" s="1" t="s">
        <v>114</v>
      </c>
      <c r="C695" s="1">
        <v>11.377000000000001</v>
      </c>
      <c r="D695" s="1" t="s">
        <v>292</v>
      </c>
      <c r="E695" t="s">
        <v>94</v>
      </c>
      <c r="F695">
        <f t="shared" si="73"/>
        <v>8373.4962300001644</v>
      </c>
      <c r="G695">
        <f t="shared" si="74"/>
        <v>8373.5</v>
      </c>
      <c r="H695">
        <f t="shared" si="75"/>
        <v>11.377000000000001</v>
      </c>
      <c r="J695">
        <f t="shared" si="78"/>
        <v>8373.4962300001644</v>
      </c>
      <c r="K695">
        <f t="shared" si="76"/>
        <v>8373.25</v>
      </c>
      <c r="L695">
        <f t="shared" si="79"/>
        <v>8373.25</v>
      </c>
      <c r="M695">
        <f t="shared" si="77"/>
        <v>11.377000000000001</v>
      </c>
    </row>
    <row r="696" spans="1:13" x14ac:dyDescent="0.25">
      <c r="A696" s="1">
        <v>2458373.49645</v>
      </c>
      <c r="B696" s="1" t="s">
        <v>114</v>
      </c>
      <c r="C696" s="1">
        <v>11.364000000000001</v>
      </c>
      <c r="D696" s="1" t="s">
        <v>292</v>
      </c>
      <c r="E696" t="s">
        <v>94</v>
      </c>
      <c r="F696">
        <f t="shared" si="73"/>
        <v>8373.4964499999769</v>
      </c>
      <c r="G696">
        <f t="shared" si="74"/>
        <v>8373.5</v>
      </c>
      <c r="H696">
        <f t="shared" si="75"/>
        <v>11.364000000000001</v>
      </c>
      <c r="J696">
        <f t="shared" si="78"/>
        <v>8373.4964499999769</v>
      </c>
      <c r="K696">
        <f t="shared" si="76"/>
        <v>8373.25</v>
      </c>
      <c r="L696">
        <f t="shared" si="79"/>
        <v>8373.25</v>
      </c>
      <c r="M696">
        <f t="shared" si="77"/>
        <v>11.364000000000001</v>
      </c>
    </row>
    <row r="697" spans="1:13" x14ac:dyDescent="0.25">
      <c r="A697" s="1">
        <v>2458374.4963600002</v>
      </c>
      <c r="B697" s="1" t="s">
        <v>115</v>
      </c>
      <c r="C697" s="1">
        <v>11.393000000000001</v>
      </c>
      <c r="D697" s="1" t="s">
        <v>292</v>
      </c>
      <c r="E697" t="s">
        <v>94</v>
      </c>
      <c r="F697">
        <f t="shared" si="73"/>
        <v>8374.4963600002229</v>
      </c>
      <c r="G697">
        <f t="shared" si="74"/>
        <v>8374.5</v>
      </c>
      <c r="H697">
        <f t="shared" si="75"/>
        <v>11.393000000000001</v>
      </c>
      <c r="J697">
        <f t="shared" si="78"/>
        <v>8374.4963600002229</v>
      </c>
      <c r="K697">
        <f t="shared" si="76"/>
        <v>8374.25</v>
      </c>
      <c r="L697">
        <f t="shared" si="79"/>
        <v>8374.25</v>
      </c>
      <c r="M697">
        <f t="shared" si="77"/>
        <v>11.393000000000001</v>
      </c>
    </row>
    <row r="698" spans="1:13" x14ac:dyDescent="0.25">
      <c r="A698" s="1">
        <v>2458374.49658</v>
      </c>
      <c r="B698" s="1" t="s">
        <v>115</v>
      </c>
      <c r="C698" s="1">
        <v>11.387</v>
      </c>
      <c r="D698" s="1" t="s">
        <v>292</v>
      </c>
      <c r="E698" t="s">
        <v>94</v>
      </c>
      <c r="F698">
        <f t="shared" si="73"/>
        <v>8374.4965800000355</v>
      </c>
      <c r="G698">
        <f t="shared" si="74"/>
        <v>8374.5</v>
      </c>
      <c r="H698">
        <f t="shared" si="75"/>
        <v>11.387</v>
      </c>
      <c r="J698">
        <f t="shared" si="78"/>
        <v>8374.4965800000355</v>
      </c>
      <c r="K698">
        <f t="shared" si="76"/>
        <v>8374.25</v>
      </c>
      <c r="L698">
        <f t="shared" si="79"/>
        <v>8374.25</v>
      </c>
      <c r="M698">
        <f t="shared" si="77"/>
        <v>11.387</v>
      </c>
    </row>
    <row r="699" spans="1:13" x14ac:dyDescent="0.25">
      <c r="A699" s="1">
        <v>2458375.3075600001</v>
      </c>
      <c r="B699" s="1" t="s">
        <v>116</v>
      </c>
      <c r="C699" s="1">
        <v>11.347</v>
      </c>
      <c r="D699" s="1" t="s">
        <v>292</v>
      </c>
      <c r="E699" t="s">
        <v>101</v>
      </c>
      <c r="F699">
        <f t="shared" si="73"/>
        <v>8375.307560000103</v>
      </c>
      <c r="G699">
        <f t="shared" si="74"/>
        <v>8375.2999999999993</v>
      </c>
      <c r="H699">
        <f t="shared" si="75"/>
        <v>11.347</v>
      </c>
      <c r="J699">
        <f t="shared" si="78"/>
        <v>8375.307560000103</v>
      </c>
      <c r="K699">
        <f t="shared" si="76"/>
        <v>8375.25</v>
      </c>
      <c r="L699">
        <f t="shared" si="79"/>
        <v>8375.25</v>
      </c>
      <c r="M699">
        <f t="shared" si="77"/>
        <v>11.347</v>
      </c>
    </row>
    <row r="700" spans="1:13" x14ac:dyDescent="0.25">
      <c r="A700" s="1">
        <v>2458375.3075600001</v>
      </c>
      <c r="B700" s="1" t="s">
        <v>116</v>
      </c>
      <c r="C700" s="1">
        <v>11.343999999999999</v>
      </c>
      <c r="D700" s="1" t="s">
        <v>292</v>
      </c>
      <c r="E700" t="s">
        <v>101</v>
      </c>
      <c r="F700">
        <f t="shared" si="73"/>
        <v>8375.307560000103</v>
      </c>
      <c r="G700">
        <f t="shared" si="74"/>
        <v>8375.2999999999993</v>
      </c>
      <c r="H700">
        <f t="shared" si="75"/>
        <v>11.343999999999999</v>
      </c>
      <c r="J700">
        <f t="shared" si="78"/>
        <v>8375.307560000103</v>
      </c>
      <c r="K700">
        <f t="shared" si="76"/>
        <v>8375.25</v>
      </c>
      <c r="L700">
        <f t="shared" si="79"/>
        <v>8375.25</v>
      </c>
      <c r="M700">
        <f t="shared" si="77"/>
        <v>11.343999999999999</v>
      </c>
    </row>
    <row r="701" spans="1:13" x14ac:dyDescent="0.25">
      <c r="A701" s="1">
        <v>2458375.3078700001</v>
      </c>
      <c r="B701" s="1" t="s">
        <v>116</v>
      </c>
      <c r="C701" s="1">
        <v>11.358000000000001</v>
      </c>
      <c r="D701" s="1" t="s">
        <v>292</v>
      </c>
      <c r="E701" t="s">
        <v>101</v>
      </c>
      <c r="F701">
        <f t="shared" si="73"/>
        <v>8375.3078700001352</v>
      </c>
      <c r="G701">
        <f t="shared" si="74"/>
        <v>8375.2999999999993</v>
      </c>
      <c r="H701">
        <f t="shared" si="75"/>
        <v>11.358000000000001</v>
      </c>
      <c r="J701">
        <f t="shared" si="78"/>
        <v>8375.3078700001352</v>
      </c>
      <c r="K701">
        <f t="shared" si="76"/>
        <v>8375.25</v>
      </c>
      <c r="L701">
        <f t="shared" si="79"/>
        <v>8375.25</v>
      </c>
      <c r="M701">
        <f t="shared" si="77"/>
        <v>11.358000000000001</v>
      </c>
    </row>
    <row r="702" spans="1:13" x14ac:dyDescent="0.25">
      <c r="A702" s="1">
        <v>2458375.3078700001</v>
      </c>
      <c r="B702" s="1" t="s">
        <v>116</v>
      </c>
      <c r="C702" s="1">
        <v>11.356</v>
      </c>
      <c r="D702" s="1" t="s">
        <v>292</v>
      </c>
      <c r="E702" t="s">
        <v>101</v>
      </c>
      <c r="F702">
        <f t="shared" si="73"/>
        <v>8375.3078700001352</v>
      </c>
      <c r="G702">
        <f t="shared" si="74"/>
        <v>8375.2999999999993</v>
      </c>
      <c r="H702">
        <f t="shared" si="75"/>
        <v>11.356</v>
      </c>
      <c r="J702">
        <f t="shared" si="78"/>
        <v>8375.3078700001352</v>
      </c>
      <c r="K702">
        <f t="shared" si="76"/>
        <v>8375.25</v>
      </c>
      <c r="L702">
        <f t="shared" si="79"/>
        <v>8375.25</v>
      </c>
      <c r="M702">
        <f t="shared" si="77"/>
        <v>11.356</v>
      </c>
    </row>
    <row r="703" spans="1:13" x14ac:dyDescent="0.25">
      <c r="A703" s="1">
        <v>2458375.4983600001</v>
      </c>
      <c r="B703" s="1" t="s">
        <v>116</v>
      </c>
      <c r="C703" s="1">
        <v>11.388999999999999</v>
      </c>
      <c r="D703" s="1" t="s">
        <v>292</v>
      </c>
      <c r="E703" t="s">
        <v>94</v>
      </c>
      <c r="F703">
        <f t="shared" si="73"/>
        <v>8375.4983600000851</v>
      </c>
      <c r="G703">
        <f t="shared" si="74"/>
        <v>8375.5</v>
      </c>
      <c r="H703">
        <f t="shared" si="75"/>
        <v>11.388999999999999</v>
      </c>
      <c r="J703">
        <f t="shared" si="78"/>
        <v>8375.4983600000851</v>
      </c>
      <c r="K703">
        <f t="shared" si="76"/>
        <v>8375.25</v>
      </c>
      <c r="L703">
        <f t="shared" si="79"/>
        <v>8375.25</v>
      </c>
      <c r="M703">
        <f t="shared" si="77"/>
        <v>11.388999999999999</v>
      </c>
    </row>
    <row r="704" spans="1:13" x14ac:dyDescent="0.25">
      <c r="A704" s="1">
        <v>2458375.4985699998</v>
      </c>
      <c r="B704" s="1" t="s">
        <v>116</v>
      </c>
      <c r="C704" s="1">
        <v>11.403</v>
      </c>
      <c r="D704" s="1" t="s">
        <v>292</v>
      </c>
      <c r="E704" t="s">
        <v>94</v>
      </c>
      <c r="F704">
        <f t="shared" si="73"/>
        <v>8375.4985699998215</v>
      </c>
      <c r="G704">
        <f t="shared" si="74"/>
        <v>8375.5</v>
      </c>
      <c r="H704">
        <f t="shared" si="75"/>
        <v>11.403</v>
      </c>
      <c r="J704">
        <f t="shared" si="78"/>
        <v>8375.4985699998215</v>
      </c>
      <c r="K704">
        <f t="shared" si="76"/>
        <v>8375.25</v>
      </c>
      <c r="L704">
        <f t="shared" si="79"/>
        <v>8375.25</v>
      </c>
      <c r="M704">
        <f t="shared" si="77"/>
        <v>11.403</v>
      </c>
    </row>
    <row r="705" spans="1:13" x14ac:dyDescent="0.25">
      <c r="A705" s="1">
        <v>2458376.3046400002</v>
      </c>
      <c r="B705" s="1" t="s">
        <v>117</v>
      </c>
      <c r="C705" s="1">
        <v>11.367000000000001</v>
      </c>
      <c r="D705" s="1" t="s">
        <v>292</v>
      </c>
      <c r="E705" t="s">
        <v>101</v>
      </c>
      <c r="F705">
        <f t="shared" si="73"/>
        <v>8376.3046400002204</v>
      </c>
      <c r="G705">
        <f t="shared" si="74"/>
        <v>8376.2999999999993</v>
      </c>
      <c r="H705">
        <f t="shared" si="75"/>
        <v>11.367000000000001</v>
      </c>
      <c r="J705">
        <f t="shared" si="78"/>
        <v>8376.3046400002204</v>
      </c>
      <c r="K705">
        <f t="shared" si="76"/>
        <v>8376.25</v>
      </c>
      <c r="L705">
        <f t="shared" si="79"/>
        <v>8376.25</v>
      </c>
      <c r="M705">
        <f t="shared" si="77"/>
        <v>11.367000000000001</v>
      </c>
    </row>
    <row r="706" spans="1:13" x14ac:dyDescent="0.25">
      <c r="A706" s="1">
        <v>2458376.3049499998</v>
      </c>
      <c r="B706" s="1" t="s">
        <v>117</v>
      </c>
      <c r="C706" s="1">
        <v>11.372999999999999</v>
      </c>
      <c r="D706" s="1" t="s">
        <v>292</v>
      </c>
      <c r="E706" t="s">
        <v>101</v>
      </c>
      <c r="F706">
        <f t="shared" si="73"/>
        <v>8376.3049499997869</v>
      </c>
      <c r="G706">
        <f t="shared" si="74"/>
        <v>8376.2999999999993</v>
      </c>
      <c r="H706">
        <f t="shared" si="75"/>
        <v>11.372999999999999</v>
      </c>
      <c r="J706">
        <f t="shared" si="78"/>
        <v>8376.3049499997869</v>
      </c>
      <c r="K706">
        <f t="shared" si="76"/>
        <v>8376.25</v>
      </c>
      <c r="L706">
        <f t="shared" si="79"/>
        <v>8376.25</v>
      </c>
      <c r="M706">
        <f t="shared" si="77"/>
        <v>11.372999999999999</v>
      </c>
    </row>
    <row r="707" spans="1:13" x14ac:dyDescent="0.25">
      <c r="A707" s="1">
        <v>2458378.301</v>
      </c>
      <c r="B707" s="1" t="s">
        <v>118</v>
      </c>
      <c r="C707" s="1">
        <v>11.368</v>
      </c>
      <c r="D707" s="1" t="s">
        <v>292</v>
      </c>
      <c r="E707" t="s">
        <v>101</v>
      </c>
      <c r="F707">
        <f t="shared" ref="F707:F770" si="80">+A707-2450000</f>
        <v>8378.3009999999776</v>
      </c>
      <c r="G707">
        <f t="shared" ref="G707:G770" si="81">+(ROUND(F707,1)*10)/10</f>
        <v>8378.2999999999993</v>
      </c>
      <c r="H707">
        <f t="shared" ref="H707:H770" si="82">+C707</f>
        <v>11.368</v>
      </c>
      <c r="J707">
        <f t="shared" si="78"/>
        <v>8378.3009999999776</v>
      </c>
      <c r="K707">
        <f t="shared" ref="K707:K770" si="83">+INT(J707*4)/4</f>
        <v>8378.25</v>
      </c>
      <c r="L707">
        <f t="shared" si="79"/>
        <v>8378.25</v>
      </c>
      <c r="M707">
        <f t="shared" ref="M707:M770" si="84">+H707</f>
        <v>11.368</v>
      </c>
    </row>
    <row r="708" spans="1:13" x14ac:dyDescent="0.25">
      <c r="A708" s="1">
        <v>2458378.3013300002</v>
      </c>
      <c r="B708" s="1" t="s">
        <v>118</v>
      </c>
      <c r="C708" s="1">
        <v>11.369</v>
      </c>
      <c r="D708" s="1" t="s">
        <v>292</v>
      </c>
      <c r="E708" t="s">
        <v>101</v>
      </c>
      <c r="F708">
        <f t="shared" si="80"/>
        <v>8378.3013300001621</v>
      </c>
      <c r="G708">
        <f t="shared" si="81"/>
        <v>8378.2999999999993</v>
      </c>
      <c r="H708">
        <f t="shared" si="82"/>
        <v>11.369</v>
      </c>
      <c r="J708">
        <f t="shared" si="78"/>
        <v>8378.3013300001621</v>
      </c>
      <c r="K708">
        <f t="shared" si="83"/>
        <v>8378.25</v>
      </c>
      <c r="L708">
        <f t="shared" si="79"/>
        <v>8378.25</v>
      </c>
      <c r="M708">
        <f t="shared" si="84"/>
        <v>11.369</v>
      </c>
    </row>
    <row r="709" spans="1:13" x14ac:dyDescent="0.25">
      <c r="A709" s="1">
        <v>2458379.3897799999</v>
      </c>
      <c r="B709" s="1" t="s">
        <v>119</v>
      </c>
      <c r="C709" s="1">
        <v>11.41</v>
      </c>
      <c r="D709" s="1" t="s">
        <v>292</v>
      </c>
      <c r="E709" t="s">
        <v>120</v>
      </c>
      <c r="F709">
        <f t="shared" si="80"/>
        <v>8379.3897799998522</v>
      </c>
      <c r="G709">
        <f t="shared" si="81"/>
        <v>8379.4</v>
      </c>
      <c r="H709">
        <f t="shared" si="82"/>
        <v>11.41</v>
      </c>
      <c r="J709">
        <f t="shared" si="78"/>
        <v>8379.3897799998522</v>
      </c>
      <c r="K709">
        <f t="shared" si="83"/>
        <v>8379.25</v>
      </c>
      <c r="L709">
        <f t="shared" si="79"/>
        <v>8379.25</v>
      </c>
      <c r="M709">
        <f t="shared" si="84"/>
        <v>11.41</v>
      </c>
    </row>
    <row r="710" spans="1:13" x14ac:dyDescent="0.25">
      <c r="A710" s="1">
        <v>2458380.5132599999</v>
      </c>
      <c r="B710" s="1" t="s">
        <v>121</v>
      </c>
      <c r="C710" s="1">
        <v>11.43</v>
      </c>
      <c r="D710" s="1" t="s">
        <v>292</v>
      </c>
      <c r="E710" t="s">
        <v>94</v>
      </c>
      <c r="F710">
        <f t="shared" si="80"/>
        <v>8380.5132599999197</v>
      </c>
      <c r="G710">
        <f t="shared" si="81"/>
        <v>8380.5</v>
      </c>
      <c r="H710">
        <f t="shared" si="82"/>
        <v>11.43</v>
      </c>
      <c r="J710">
        <f t="shared" si="78"/>
        <v>8380.5132599999197</v>
      </c>
      <c r="K710">
        <f t="shared" si="83"/>
        <v>8380.5</v>
      </c>
      <c r="L710">
        <f t="shared" si="79"/>
        <v>8380.5</v>
      </c>
      <c r="M710">
        <f t="shared" si="84"/>
        <v>11.43</v>
      </c>
    </row>
    <row r="711" spans="1:13" x14ac:dyDescent="0.25">
      <c r="A711" s="1">
        <v>2458380.5134700001</v>
      </c>
      <c r="B711" s="1" t="s">
        <v>121</v>
      </c>
      <c r="C711" s="1">
        <v>11.417</v>
      </c>
      <c r="D711" s="1" t="s">
        <v>292</v>
      </c>
      <c r="E711" t="s">
        <v>94</v>
      </c>
      <c r="F711">
        <f t="shared" si="80"/>
        <v>8380.5134700001217</v>
      </c>
      <c r="G711">
        <f t="shared" si="81"/>
        <v>8380.5</v>
      </c>
      <c r="H711">
        <f t="shared" si="82"/>
        <v>11.417</v>
      </c>
      <c r="J711">
        <f t="shared" si="78"/>
        <v>8380.5134700001217</v>
      </c>
      <c r="K711">
        <f t="shared" si="83"/>
        <v>8380.5</v>
      </c>
      <c r="L711">
        <f t="shared" si="79"/>
        <v>8380.5</v>
      </c>
      <c r="M711">
        <f t="shared" si="84"/>
        <v>11.417</v>
      </c>
    </row>
    <row r="712" spans="1:13" x14ac:dyDescent="0.25">
      <c r="A712" s="1">
        <v>2458381.3846900002</v>
      </c>
      <c r="B712" s="1" t="s">
        <v>121</v>
      </c>
      <c r="C712" s="1">
        <v>11.43</v>
      </c>
      <c r="D712" s="1" t="s">
        <v>292</v>
      </c>
      <c r="E712" t="s">
        <v>120</v>
      </c>
      <c r="F712">
        <f t="shared" si="80"/>
        <v>8381.38469000021</v>
      </c>
      <c r="G712">
        <f t="shared" si="81"/>
        <v>8381.4</v>
      </c>
      <c r="H712">
        <f t="shared" si="82"/>
        <v>11.43</v>
      </c>
      <c r="J712">
        <f t="shared" si="78"/>
        <v>8381.38469000021</v>
      </c>
      <c r="K712">
        <f t="shared" si="83"/>
        <v>8381.25</v>
      </c>
      <c r="L712">
        <f t="shared" si="79"/>
        <v>8381.25</v>
      </c>
      <c r="M712">
        <f t="shared" si="84"/>
        <v>11.43</v>
      </c>
    </row>
    <row r="713" spans="1:13" x14ac:dyDescent="0.25">
      <c r="A713" s="1">
        <v>2458381.4966000002</v>
      </c>
      <c r="B713" s="1" t="s">
        <v>121</v>
      </c>
      <c r="C713" s="1">
        <v>11.427</v>
      </c>
      <c r="D713" s="1" t="s">
        <v>292</v>
      </c>
      <c r="E713" t="s">
        <v>94</v>
      </c>
      <c r="F713">
        <f t="shared" si="80"/>
        <v>8381.4966000001878</v>
      </c>
      <c r="G713">
        <f t="shared" si="81"/>
        <v>8381.5</v>
      </c>
      <c r="H713">
        <f t="shared" si="82"/>
        <v>11.427</v>
      </c>
      <c r="J713">
        <f t="shared" si="78"/>
        <v>8381.4966000001878</v>
      </c>
      <c r="K713">
        <f t="shared" si="83"/>
        <v>8381.25</v>
      </c>
      <c r="L713">
        <f t="shared" si="79"/>
        <v>8381.25</v>
      </c>
      <c r="M713">
        <f t="shared" si="84"/>
        <v>11.427</v>
      </c>
    </row>
    <row r="714" spans="1:13" x14ac:dyDescent="0.25">
      <c r="A714" s="1">
        <v>2458381.49682</v>
      </c>
      <c r="B714" s="1" t="s">
        <v>121</v>
      </c>
      <c r="C714" s="1">
        <v>11.430999999999999</v>
      </c>
      <c r="D714" s="1" t="s">
        <v>292</v>
      </c>
      <c r="E714" t="s">
        <v>94</v>
      </c>
      <c r="F714">
        <f t="shared" si="80"/>
        <v>8381.4968200000003</v>
      </c>
      <c r="G714">
        <f t="shared" si="81"/>
        <v>8381.5</v>
      </c>
      <c r="H714">
        <f t="shared" si="82"/>
        <v>11.430999999999999</v>
      </c>
      <c r="J714">
        <f t="shared" si="78"/>
        <v>8381.4968200000003</v>
      </c>
      <c r="K714">
        <f t="shared" si="83"/>
        <v>8381.25</v>
      </c>
      <c r="L714">
        <f t="shared" si="79"/>
        <v>8381.25</v>
      </c>
      <c r="M714">
        <f t="shared" si="84"/>
        <v>11.430999999999999</v>
      </c>
    </row>
    <row r="715" spans="1:13" x14ac:dyDescent="0.25">
      <c r="A715" s="1">
        <v>2458382.3648100002</v>
      </c>
      <c r="B715" s="1" t="s">
        <v>122</v>
      </c>
      <c r="C715" s="1">
        <v>11.44</v>
      </c>
      <c r="D715" s="1" t="s">
        <v>292</v>
      </c>
      <c r="E715" t="s">
        <v>120</v>
      </c>
      <c r="F715">
        <f t="shared" si="80"/>
        <v>8382.3648100001737</v>
      </c>
      <c r="G715">
        <f t="shared" si="81"/>
        <v>8382.4</v>
      </c>
      <c r="H715">
        <f t="shared" si="82"/>
        <v>11.44</v>
      </c>
      <c r="J715">
        <f t="shared" si="78"/>
        <v>8382.3648100001737</v>
      </c>
      <c r="K715">
        <f t="shared" si="83"/>
        <v>8382.25</v>
      </c>
      <c r="L715">
        <f t="shared" si="79"/>
        <v>8382.25</v>
      </c>
      <c r="M715">
        <f t="shared" si="84"/>
        <v>11.44</v>
      </c>
    </row>
    <row r="716" spans="1:13" x14ac:dyDescent="0.25">
      <c r="A716" s="1">
        <v>2458382.4913699999</v>
      </c>
      <c r="B716" s="1" t="s">
        <v>122</v>
      </c>
      <c r="C716" s="1">
        <v>11.417999999999999</v>
      </c>
      <c r="D716" s="1" t="s">
        <v>292</v>
      </c>
      <c r="E716" t="s">
        <v>94</v>
      </c>
      <c r="F716">
        <f t="shared" si="80"/>
        <v>8382.4913699999452</v>
      </c>
      <c r="G716">
        <f t="shared" si="81"/>
        <v>8382.5</v>
      </c>
      <c r="H716">
        <f t="shared" si="82"/>
        <v>11.417999999999999</v>
      </c>
      <c r="J716">
        <f t="shared" si="78"/>
        <v>8382.4913699999452</v>
      </c>
      <c r="K716">
        <f t="shared" si="83"/>
        <v>8382.25</v>
      </c>
      <c r="L716">
        <f t="shared" si="79"/>
        <v>8382.25</v>
      </c>
      <c r="M716">
        <f t="shared" si="84"/>
        <v>11.417999999999999</v>
      </c>
    </row>
    <row r="717" spans="1:13" x14ac:dyDescent="0.25">
      <c r="A717" s="1">
        <v>2458382.4915800001</v>
      </c>
      <c r="B717" s="1" t="s">
        <v>122</v>
      </c>
      <c r="C717" s="1">
        <v>11.459</v>
      </c>
      <c r="D717" s="1" t="s">
        <v>292</v>
      </c>
      <c r="E717" t="s">
        <v>94</v>
      </c>
      <c r="F717">
        <f t="shared" si="80"/>
        <v>8382.4915800001472</v>
      </c>
      <c r="G717">
        <f t="shared" si="81"/>
        <v>8382.5</v>
      </c>
      <c r="H717">
        <f t="shared" si="82"/>
        <v>11.459</v>
      </c>
      <c r="J717">
        <f t="shared" si="78"/>
        <v>8382.4915800001472</v>
      </c>
      <c r="K717">
        <f t="shared" si="83"/>
        <v>8382.25</v>
      </c>
      <c r="L717">
        <f t="shared" si="79"/>
        <v>8382.25</v>
      </c>
      <c r="M717">
        <f t="shared" si="84"/>
        <v>11.459</v>
      </c>
    </row>
    <row r="718" spans="1:13" x14ac:dyDescent="0.25">
      <c r="A718" s="1">
        <v>2458383.3724099998</v>
      </c>
      <c r="B718" s="1" t="s">
        <v>123</v>
      </c>
      <c r="C718" s="1">
        <v>11.413</v>
      </c>
      <c r="D718" s="1" t="s">
        <v>292</v>
      </c>
      <c r="E718" t="s">
        <v>101</v>
      </c>
      <c r="F718">
        <f t="shared" si="80"/>
        <v>8383.3724099998362</v>
      </c>
      <c r="G718">
        <f t="shared" si="81"/>
        <v>8383.4</v>
      </c>
      <c r="H718">
        <f t="shared" si="82"/>
        <v>11.413</v>
      </c>
      <c r="J718">
        <f t="shared" si="78"/>
        <v>8383.3724099998362</v>
      </c>
      <c r="K718">
        <f t="shared" si="83"/>
        <v>8383.25</v>
      </c>
      <c r="L718">
        <f t="shared" si="79"/>
        <v>8383.25</v>
      </c>
      <c r="M718">
        <f t="shared" si="84"/>
        <v>11.413</v>
      </c>
    </row>
    <row r="719" spans="1:13" x14ac:dyDescent="0.25">
      <c r="A719" s="1">
        <v>2458383.3727199999</v>
      </c>
      <c r="B719" s="1" t="s">
        <v>123</v>
      </c>
      <c r="C719" s="1">
        <v>11.414999999999999</v>
      </c>
      <c r="D719" s="1" t="s">
        <v>292</v>
      </c>
      <c r="E719" t="s">
        <v>101</v>
      </c>
      <c r="F719">
        <f t="shared" si="80"/>
        <v>8383.3727199998684</v>
      </c>
      <c r="G719">
        <f t="shared" si="81"/>
        <v>8383.4</v>
      </c>
      <c r="H719">
        <f t="shared" si="82"/>
        <v>11.414999999999999</v>
      </c>
      <c r="J719">
        <f t="shared" si="78"/>
        <v>8383.3727199998684</v>
      </c>
      <c r="K719">
        <f t="shared" si="83"/>
        <v>8383.25</v>
      </c>
      <c r="L719">
        <f t="shared" si="79"/>
        <v>8383.25</v>
      </c>
      <c r="M719">
        <f t="shared" si="84"/>
        <v>11.414999999999999</v>
      </c>
    </row>
    <row r="720" spans="1:13" x14ac:dyDescent="0.25">
      <c r="A720" s="1">
        <v>2458383.4951999998</v>
      </c>
      <c r="B720" s="1" t="s">
        <v>123</v>
      </c>
      <c r="C720" s="1">
        <v>11.444000000000001</v>
      </c>
      <c r="D720" s="1" t="s">
        <v>292</v>
      </c>
      <c r="E720" t="s">
        <v>94</v>
      </c>
      <c r="F720">
        <f t="shared" si="80"/>
        <v>8383.495199999772</v>
      </c>
      <c r="G720">
        <f t="shared" si="81"/>
        <v>8383.5</v>
      </c>
      <c r="H720">
        <f t="shared" si="82"/>
        <v>11.444000000000001</v>
      </c>
      <c r="J720">
        <f t="shared" si="78"/>
        <v>8383.495199999772</v>
      </c>
      <c r="K720">
        <f t="shared" si="83"/>
        <v>8383.25</v>
      </c>
      <c r="L720">
        <f t="shared" si="79"/>
        <v>8383.25</v>
      </c>
      <c r="M720">
        <f t="shared" si="84"/>
        <v>11.444000000000001</v>
      </c>
    </row>
    <row r="721" spans="1:13" x14ac:dyDescent="0.25">
      <c r="A721" s="1">
        <v>2458383.4954200001</v>
      </c>
      <c r="B721" s="1" t="s">
        <v>123</v>
      </c>
      <c r="C721" s="1">
        <v>11.446</v>
      </c>
      <c r="D721" s="1" t="s">
        <v>292</v>
      </c>
      <c r="E721" t="s">
        <v>94</v>
      </c>
      <c r="F721">
        <f t="shared" si="80"/>
        <v>8383.4954200000502</v>
      </c>
      <c r="G721">
        <f t="shared" si="81"/>
        <v>8383.5</v>
      </c>
      <c r="H721">
        <f t="shared" si="82"/>
        <v>11.446</v>
      </c>
      <c r="J721">
        <f t="shared" si="78"/>
        <v>8383.4954200000502</v>
      </c>
      <c r="K721">
        <f t="shared" si="83"/>
        <v>8383.25</v>
      </c>
      <c r="L721">
        <f t="shared" si="79"/>
        <v>8383.25</v>
      </c>
      <c r="M721">
        <f t="shared" si="84"/>
        <v>11.446</v>
      </c>
    </row>
    <row r="722" spans="1:13" x14ac:dyDescent="0.25">
      <c r="A722" s="1">
        <v>2458384.4955799999</v>
      </c>
      <c r="B722" s="1" t="s">
        <v>124</v>
      </c>
      <c r="C722" s="1">
        <v>11.475</v>
      </c>
      <c r="D722" s="1" t="s">
        <v>292</v>
      </c>
      <c r="E722" t="s">
        <v>94</v>
      </c>
      <c r="F722">
        <f t="shared" si="80"/>
        <v>8384.4955799998716</v>
      </c>
      <c r="G722">
        <f t="shared" si="81"/>
        <v>8384.5</v>
      </c>
      <c r="H722">
        <f t="shared" si="82"/>
        <v>11.475</v>
      </c>
      <c r="J722">
        <f t="shared" si="78"/>
        <v>8384.4955799998716</v>
      </c>
      <c r="K722">
        <f t="shared" si="83"/>
        <v>8384.25</v>
      </c>
      <c r="L722">
        <f t="shared" si="79"/>
        <v>8384.25</v>
      </c>
      <c r="M722">
        <f t="shared" si="84"/>
        <v>11.475</v>
      </c>
    </row>
    <row r="723" spans="1:13" x14ac:dyDescent="0.25">
      <c r="A723" s="1">
        <v>2458384.4957900001</v>
      </c>
      <c r="B723" s="1" t="s">
        <v>124</v>
      </c>
      <c r="C723" s="1">
        <v>11.481</v>
      </c>
      <c r="D723" s="1" t="s">
        <v>292</v>
      </c>
      <c r="E723" t="s">
        <v>94</v>
      </c>
      <c r="F723">
        <f t="shared" si="80"/>
        <v>8384.4957900000736</v>
      </c>
      <c r="G723">
        <f t="shared" si="81"/>
        <v>8384.5</v>
      </c>
      <c r="H723">
        <f t="shared" si="82"/>
        <v>11.481</v>
      </c>
      <c r="J723">
        <f t="shared" si="78"/>
        <v>8384.4957900000736</v>
      </c>
      <c r="K723">
        <f t="shared" si="83"/>
        <v>8384.25</v>
      </c>
      <c r="L723">
        <f t="shared" si="79"/>
        <v>8384.25</v>
      </c>
      <c r="M723">
        <f t="shared" si="84"/>
        <v>11.481</v>
      </c>
    </row>
    <row r="724" spans="1:13" x14ac:dyDescent="0.25">
      <c r="A724" s="1">
        <v>2458385.3724099998</v>
      </c>
      <c r="B724" s="1" t="s">
        <v>125</v>
      </c>
      <c r="C724" s="1">
        <v>11.449</v>
      </c>
      <c r="D724" s="1" t="s">
        <v>292</v>
      </c>
      <c r="E724" t="s">
        <v>107</v>
      </c>
      <c r="F724">
        <f t="shared" si="80"/>
        <v>8385.3724099998362</v>
      </c>
      <c r="G724">
        <f t="shared" si="81"/>
        <v>8385.4</v>
      </c>
      <c r="H724">
        <f t="shared" si="82"/>
        <v>11.449</v>
      </c>
      <c r="J724">
        <f t="shared" si="78"/>
        <v>8385.3724099998362</v>
      </c>
      <c r="K724">
        <f t="shared" si="83"/>
        <v>8385.25</v>
      </c>
      <c r="L724">
        <f t="shared" si="79"/>
        <v>8385.25</v>
      </c>
      <c r="M724">
        <f t="shared" si="84"/>
        <v>11.449</v>
      </c>
    </row>
    <row r="725" spans="1:13" x14ac:dyDescent="0.25">
      <c r="A725" s="1">
        <v>2458385.37335</v>
      </c>
      <c r="B725" s="1" t="s">
        <v>125</v>
      </c>
      <c r="C725" s="1">
        <v>11.48</v>
      </c>
      <c r="D725" s="1" t="s">
        <v>292</v>
      </c>
      <c r="E725" t="s">
        <v>120</v>
      </c>
      <c r="F725">
        <f t="shared" si="80"/>
        <v>8385.3733500000089</v>
      </c>
      <c r="G725">
        <f t="shared" si="81"/>
        <v>8385.4</v>
      </c>
      <c r="H725">
        <f t="shared" si="82"/>
        <v>11.48</v>
      </c>
      <c r="J725">
        <f t="shared" si="78"/>
        <v>8385.3733500000089</v>
      </c>
      <c r="K725">
        <f t="shared" si="83"/>
        <v>8385.25</v>
      </c>
      <c r="L725">
        <f t="shared" si="79"/>
        <v>8385.25</v>
      </c>
      <c r="M725">
        <f t="shared" si="84"/>
        <v>11.48</v>
      </c>
    </row>
    <row r="726" spans="1:13" x14ac:dyDescent="0.25">
      <c r="A726" s="1">
        <v>2458385.49547</v>
      </c>
      <c r="B726" s="1" t="s">
        <v>125</v>
      </c>
      <c r="C726" s="1">
        <v>11.48</v>
      </c>
      <c r="D726" s="1" t="s">
        <v>292</v>
      </c>
      <c r="E726" t="s">
        <v>94</v>
      </c>
      <c r="F726">
        <f t="shared" si="80"/>
        <v>8385.4954699999653</v>
      </c>
      <c r="G726">
        <f t="shared" si="81"/>
        <v>8385.5</v>
      </c>
      <c r="H726">
        <f t="shared" si="82"/>
        <v>11.48</v>
      </c>
      <c r="J726">
        <f t="shared" si="78"/>
        <v>8385.4954699999653</v>
      </c>
      <c r="K726">
        <f t="shared" si="83"/>
        <v>8385.25</v>
      </c>
      <c r="L726">
        <f t="shared" si="79"/>
        <v>8385.25</v>
      </c>
      <c r="M726">
        <f t="shared" si="84"/>
        <v>11.48</v>
      </c>
    </row>
    <row r="727" spans="1:13" x14ac:dyDescent="0.25">
      <c r="A727" s="1">
        <v>2458385.4956800002</v>
      </c>
      <c r="B727" s="1" t="s">
        <v>125</v>
      </c>
      <c r="C727" s="1">
        <v>11.481</v>
      </c>
      <c r="D727" s="1" t="s">
        <v>292</v>
      </c>
      <c r="E727" t="s">
        <v>94</v>
      </c>
      <c r="F727">
        <f t="shared" si="80"/>
        <v>8385.4956800001673</v>
      </c>
      <c r="G727">
        <f t="shared" si="81"/>
        <v>8385.5</v>
      </c>
      <c r="H727">
        <f t="shared" si="82"/>
        <v>11.481</v>
      </c>
      <c r="J727">
        <f t="shared" si="78"/>
        <v>8385.4956800001673</v>
      </c>
      <c r="K727">
        <f t="shared" si="83"/>
        <v>8385.25</v>
      </c>
      <c r="L727">
        <f t="shared" si="79"/>
        <v>8385.25</v>
      </c>
      <c r="M727">
        <f t="shared" si="84"/>
        <v>11.481</v>
      </c>
    </row>
    <row r="728" spans="1:13" x14ac:dyDescent="0.25">
      <c r="A728" s="1">
        <v>2458386.2860500002</v>
      </c>
      <c r="B728" s="1" t="s">
        <v>126</v>
      </c>
      <c r="C728" s="1">
        <v>11.451000000000001</v>
      </c>
      <c r="D728" s="1" t="s">
        <v>292</v>
      </c>
      <c r="E728" t="s">
        <v>101</v>
      </c>
      <c r="F728">
        <f t="shared" si="80"/>
        <v>8386.286050000228</v>
      </c>
      <c r="G728">
        <f t="shared" si="81"/>
        <v>8386.2999999999993</v>
      </c>
      <c r="H728">
        <f t="shared" si="82"/>
        <v>11.451000000000001</v>
      </c>
      <c r="J728">
        <f t="shared" si="78"/>
        <v>8386.286050000228</v>
      </c>
      <c r="K728">
        <f t="shared" si="83"/>
        <v>8386.25</v>
      </c>
      <c r="L728">
        <f t="shared" si="79"/>
        <v>8386.25</v>
      </c>
      <c r="M728">
        <f t="shared" si="84"/>
        <v>11.451000000000001</v>
      </c>
    </row>
    <row r="729" spans="1:13" x14ac:dyDescent="0.25">
      <c r="A729" s="1">
        <v>2458386.2863699999</v>
      </c>
      <c r="B729" s="1" t="s">
        <v>126</v>
      </c>
      <c r="C729" s="1">
        <v>11.449</v>
      </c>
      <c r="D729" s="1" t="s">
        <v>292</v>
      </c>
      <c r="E729" t="s">
        <v>101</v>
      </c>
      <c r="F729">
        <f t="shared" si="80"/>
        <v>8386.2863699998707</v>
      </c>
      <c r="G729">
        <f t="shared" si="81"/>
        <v>8386.2999999999993</v>
      </c>
      <c r="H729">
        <f t="shared" si="82"/>
        <v>11.449</v>
      </c>
      <c r="J729">
        <f t="shared" ref="J729:J792" si="85">+F729</f>
        <v>8386.2863699998707</v>
      </c>
      <c r="K729">
        <f t="shared" si="83"/>
        <v>8386.25</v>
      </c>
      <c r="L729">
        <f t="shared" ref="L729:L792" si="86">+IF(J729-K729&gt;0.25,K729+0.25,K729)</f>
        <v>8386.25</v>
      </c>
      <c r="M729">
        <f t="shared" si="84"/>
        <v>11.449</v>
      </c>
    </row>
    <row r="730" spans="1:13" x14ac:dyDescent="0.25">
      <c r="A730" s="1">
        <v>2458386.5143300002</v>
      </c>
      <c r="B730" s="1" t="s">
        <v>127</v>
      </c>
      <c r="C730" s="1">
        <v>11.504</v>
      </c>
      <c r="D730" s="1" t="s">
        <v>292</v>
      </c>
      <c r="E730" t="s">
        <v>94</v>
      </c>
      <c r="F730">
        <f t="shared" si="80"/>
        <v>8386.5143300001509</v>
      </c>
      <c r="G730">
        <f t="shared" si="81"/>
        <v>8386.5</v>
      </c>
      <c r="H730">
        <f t="shared" si="82"/>
        <v>11.504</v>
      </c>
      <c r="J730">
        <f t="shared" si="85"/>
        <v>8386.5143300001509</v>
      </c>
      <c r="K730">
        <f t="shared" si="83"/>
        <v>8386.5</v>
      </c>
      <c r="L730">
        <f t="shared" si="86"/>
        <v>8386.5</v>
      </c>
      <c r="M730">
        <f t="shared" si="84"/>
        <v>11.504</v>
      </c>
    </row>
    <row r="731" spans="1:13" x14ac:dyDescent="0.25">
      <c r="A731" s="1">
        <v>2458386.5145399999</v>
      </c>
      <c r="B731" s="1" t="s">
        <v>127</v>
      </c>
      <c r="C731" s="1">
        <v>11.504</v>
      </c>
      <c r="D731" s="1" t="s">
        <v>292</v>
      </c>
      <c r="E731" t="s">
        <v>94</v>
      </c>
      <c r="F731">
        <f t="shared" si="80"/>
        <v>8386.5145399998873</v>
      </c>
      <c r="G731">
        <f t="shared" si="81"/>
        <v>8386.5</v>
      </c>
      <c r="H731">
        <f t="shared" si="82"/>
        <v>11.504</v>
      </c>
      <c r="J731">
        <f t="shared" si="85"/>
        <v>8386.5145399998873</v>
      </c>
      <c r="K731">
        <f t="shared" si="83"/>
        <v>8386.5</v>
      </c>
      <c r="L731">
        <f t="shared" si="86"/>
        <v>8386.5</v>
      </c>
      <c r="M731">
        <f t="shared" si="84"/>
        <v>11.504</v>
      </c>
    </row>
    <row r="732" spans="1:13" x14ac:dyDescent="0.25">
      <c r="A732" s="1">
        <v>2458387.5057600001</v>
      </c>
      <c r="B732" s="1" t="s">
        <v>128</v>
      </c>
      <c r="C732" s="1">
        <v>11.526</v>
      </c>
      <c r="D732" s="1" t="s">
        <v>292</v>
      </c>
      <c r="E732" t="s">
        <v>94</v>
      </c>
      <c r="F732">
        <f t="shared" si="80"/>
        <v>8387.5057600000873</v>
      </c>
      <c r="G732">
        <f t="shared" si="81"/>
        <v>8387.5</v>
      </c>
      <c r="H732">
        <f t="shared" si="82"/>
        <v>11.526</v>
      </c>
      <c r="J732">
        <f t="shared" si="85"/>
        <v>8387.5057600000873</v>
      </c>
      <c r="K732">
        <f t="shared" si="83"/>
        <v>8387.5</v>
      </c>
      <c r="L732">
        <f t="shared" si="86"/>
        <v>8387.5</v>
      </c>
      <c r="M732">
        <f t="shared" si="84"/>
        <v>11.526</v>
      </c>
    </row>
    <row r="733" spans="1:13" x14ac:dyDescent="0.25">
      <c r="A733" s="1">
        <v>2458387.5059699998</v>
      </c>
      <c r="B733" s="1" t="s">
        <v>128</v>
      </c>
      <c r="C733" s="1">
        <v>11.537000000000001</v>
      </c>
      <c r="D733" s="1" t="s">
        <v>292</v>
      </c>
      <c r="E733" t="s">
        <v>94</v>
      </c>
      <c r="F733">
        <f t="shared" si="80"/>
        <v>8387.5059699998237</v>
      </c>
      <c r="G733">
        <f t="shared" si="81"/>
        <v>8387.5</v>
      </c>
      <c r="H733">
        <f t="shared" si="82"/>
        <v>11.537000000000001</v>
      </c>
      <c r="J733">
        <f t="shared" si="85"/>
        <v>8387.5059699998237</v>
      </c>
      <c r="K733">
        <f t="shared" si="83"/>
        <v>8387.5</v>
      </c>
      <c r="L733">
        <f t="shared" si="86"/>
        <v>8387.5</v>
      </c>
      <c r="M733">
        <f t="shared" si="84"/>
        <v>11.537000000000001</v>
      </c>
    </row>
    <row r="734" spans="1:13" x14ac:dyDescent="0.25">
      <c r="A734" s="1">
        <v>2458388.2853399999</v>
      </c>
      <c r="B734" s="1" t="s">
        <v>128</v>
      </c>
      <c r="C734" s="1">
        <v>11.478999999999999</v>
      </c>
      <c r="D734" s="1" t="s">
        <v>292</v>
      </c>
      <c r="E734" t="s">
        <v>101</v>
      </c>
      <c r="F734">
        <f t="shared" si="80"/>
        <v>8388.285339999944</v>
      </c>
      <c r="G734">
        <f t="shared" si="81"/>
        <v>8388.2999999999993</v>
      </c>
      <c r="H734">
        <f t="shared" si="82"/>
        <v>11.478999999999999</v>
      </c>
      <c r="J734">
        <f t="shared" si="85"/>
        <v>8388.285339999944</v>
      </c>
      <c r="K734">
        <f t="shared" si="83"/>
        <v>8388.25</v>
      </c>
      <c r="L734">
        <f t="shared" si="86"/>
        <v>8388.25</v>
      </c>
      <c r="M734">
        <f t="shared" si="84"/>
        <v>11.478999999999999</v>
      </c>
    </row>
    <row r="735" spans="1:13" x14ac:dyDescent="0.25">
      <c r="A735" s="1">
        <v>2458388.28565</v>
      </c>
      <c r="B735" s="1" t="s">
        <v>128</v>
      </c>
      <c r="C735" s="1">
        <v>11.484</v>
      </c>
      <c r="D735" s="1" t="s">
        <v>292</v>
      </c>
      <c r="E735" t="s">
        <v>101</v>
      </c>
      <c r="F735">
        <f t="shared" si="80"/>
        <v>8388.2856499999762</v>
      </c>
      <c r="G735">
        <f t="shared" si="81"/>
        <v>8388.2999999999993</v>
      </c>
      <c r="H735">
        <f t="shared" si="82"/>
        <v>11.484</v>
      </c>
      <c r="J735">
        <f t="shared" si="85"/>
        <v>8388.2856499999762</v>
      </c>
      <c r="K735">
        <f t="shared" si="83"/>
        <v>8388.25</v>
      </c>
      <c r="L735">
        <f t="shared" si="86"/>
        <v>8388.25</v>
      </c>
      <c r="M735">
        <f t="shared" si="84"/>
        <v>11.484</v>
      </c>
    </row>
    <row r="736" spans="1:13" x14ac:dyDescent="0.25">
      <c r="A736" s="1">
        <v>2458388.3413300002</v>
      </c>
      <c r="B736" s="1" t="s">
        <v>128</v>
      </c>
      <c r="C736" s="1">
        <v>11.516999999999999</v>
      </c>
      <c r="D736" s="1" t="s">
        <v>292</v>
      </c>
      <c r="E736" t="s">
        <v>2</v>
      </c>
      <c r="F736">
        <f t="shared" si="80"/>
        <v>8388.3413300001994</v>
      </c>
      <c r="G736">
        <f t="shared" si="81"/>
        <v>8388.2999999999993</v>
      </c>
      <c r="H736">
        <f t="shared" si="82"/>
        <v>11.516999999999999</v>
      </c>
      <c r="J736">
        <f t="shared" si="85"/>
        <v>8388.3413300001994</v>
      </c>
      <c r="K736">
        <f t="shared" si="83"/>
        <v>8388.25</v>
      </c>
      <c r="L736">
        <f t="shared" si="86"/>
        <v>8388.25</v>
      </c>
      <c r="M736">
        <f t="shared" si="84"/>
        <v>11.516999999999999</v>
      </c>
    </row>
    <row r="737" spans="1:13" x14ac:dyDescent="0.25">
      <c r="A737" s="1">
        <v>2458388.3536700001</v>
      </c>
      <c r="B737" s="1" t="s">
        <v>128</v>
      </c>
      <c r="C737" s="1">
        <v>11.5</v>
      </c>
      <c r="D737" s="1" t="s">
        <v>292</v>
      </c>
      <c r="E737" t="s">
        <v>120</v>
      </c>
      <c r="F737">
        <f t="shared" si="80"/>
        <v>8388.3536700000986</v>
      </c>
      <c r="G737">
        <f t="shared" si="81"/>
        <v>8388.4</v>
      </c>
      <c r="H737">
        <f t="shared" si="82"/>
        <v>11.5</v>
      </c>
      <c r="J737">
        <f t="shared" si="85"/>
        <v>8388.3536700000986</v>
      </c>
      <c r="K737">
        <f t="shared" si="83"/>
        <v>8388.25</v>
      </c>
      <c r="L737">
        <f t="shared" si="86"/>
        <v>8388.25</v>
      </c>
      <c r="M737">
        <f t="shared" si="84"/>
        <v>11.5</v>
      </c>
    </row>
    <row r="738" spans="1:13" x14ac:dyDescent="0.25">
      <c r="A738" s="1">
        <v>2458388.51388</v>
      </c>
      <c r="B738" s="1" t="s">
        <v>129</v>
      </c>
      <c r="C738" s="1">
        <v>11.526999999999999</v>
      </c>
      <c r="D738" s="1" t="s">
        <v>292</v>
      </c>
      <c r="E738" t="s">
        <v>94</v>
      </c>
      <c r="F738">
        <f t="shared" si="80"/>
        <v>8388.5138799999841</v>
      </c>
      <c r="G738">
        <f t="shared" si="81"/>
        <v>8388.5</v>
      </c>
      <c r="H738">
        <f t="shared" si="82"/>
        <v>11.526999999999999</v>
      </c>
      <c r="J738">
        <f t="shared" si="85"/>
        <v>8388.5138799999841</v>
      </c>
      <c r="K738">
        <f t="shared" si="83"/>
        <v>8388.5</v>
      </c>
      <c r="L738">
        <f t="shared" si="86"/>
        <v>8388.5</v>
      </c>
      <c r="M738">
        <f t="shared" si="84"/>
        <v>11.526999999999999</v>
      </c>
    </row>
    <row r="739" spans="1:13" x14ac:dyDescent="0.25">
      <c r="A739" s="1">
        <v>2458388.5140900002</v>
      </c>
      <c r="B739" s="1" t="s">
        <v>129</v>
      </c>
      <c r="C739" s="1">
        <v>11.528</v>
      </c>
      <c r="D739" s="1" t="s">
        <v>292</v>
      </c>
      <c r="E739" t="s">
        <v>94</v>
      </c>
      <c r="F739">
        <f t="shared" si="80"/>
        <v>8388.5140900001861</v>
      </c>
      <c r="G739">
        <f t="shared" si="81"/>
        <v>8388.5</v>
      </c>
      <c r="H739">
        <f t="shared" si="82"/>
        <v>11.528</v>
      </c>
      <c r="J739">
        <f t="shared" si="85"/>
        <v>8388.5140900001861</v>
      </c>
      <c r="K739">
        <f t="shared" si="83"/>
        <v>8388.5</v>
      </c>
      <c r="L739">
        <f t="shared" si="86"/>
        <v>8388.5</v>
      </c>
      <c r="M739">
        <f t="shared" si="84"/>
        <v>11.528</v>
      </c>
    </row>
    <row r="740" spans="1:13" x14ac:dyDescent="0.25">
      <c r="A740" s="1">
        <v>2458389.2865900001</v>
      </c>
      <c r="B740" s="1" t="s">
        <v>129</v>
      </c>
      <c r="C740" s="1">
        <v>11.484</v>
      </c>
      <c r="D740" s="1" t="s">
        <v>292</v>
      </c>
      <c r="E740" t="s">
        <v>101</v>
      </c>
      <c r="F740">
        <f t="shared" si="80"/>
        <v>8389.2865900001489</v>
      </c>
      <c r="G740">
        <f t="shared" si="81"/>
        <v>8389.2999999999993</v>
      </c>
      <c r="H740">
        <f t="shared" si="82"/>
        <v>11.484</v>
      </c>
      <c r="J740">
        <f t="shared" si="85"/>
        <v>8389.2865900001489</v>
      </c>
      <c r="K740">
        <f t="shared" si="83"/>
        <v>8389.25</v>
      </c>
      <c r="L740">
        <f t="shared" si="86"/>
        <v>8389.25</v>
      </c>
      <c r="M740">
        <f t="shared" si="84"/>
        <v>11.484</v>
      </c>
    </row>
    <row r="741" spans="1:13" x14ac:dyDescent="0.25">
      <c r="A741" s="1">
        <v>2458389.2869000002</v>
      </c>
      <c r="B741" s="1" t="s">
        <v>129</v>
      </c>
      <c r="C741" s="1">
        <v>11.484</v>
      </c>
      <c r="D741" s="1" t="s">
        <v>292</v>
      </c>
      <c r="E741" t="s">
        <v>101</v>
      </c>
      <c r="F741">
        <f t="shared" si="80"/>
        <v>8389.286900000181</v>
      </c>
      <c r="G741">
        <f t="shared" si="81"/>
        <v>8389.2999999999993</v>
      </c>
      <c r="H741">
        <f t="shared" si="82"/>
        <v>11.484</v>
      </c>
      <c r="J741">
        <f t="shared" si="85"/>
        <v>8389.286900000181</v>
      </c>
      <c r="K741">
        <f t="shared" si="83"/>
        <v>8389.25</v>
      </c>
      <c r="L741">
        <f t="shared" si="86"/>
        <v>8389.25</v>
      </c>
      <c r="M741">
        <f t="shared" si="84"/>
        <v>11.484</v>
      </c>
    </row>
    <row r="742" spans="1:13" x14ac:dyDescent="0.25">
      <c r="A742" s="1">
        <v>2458389.3335600002</v>
      </c>
      <c r="B742" s="1" t="s">
        <v>129</v>
      </c>
      <c r="C742" s="1">
        <v>11.51</v>
      </c>
      <c r="D742" s="1" t="s">
        <v>292</v>
      </c>
      <c r="E742" t="s">
        <v>120</v>
      </c>
      <c r="F742">
        <f t="shared" si="80"/>
        <v>8389.3335600001737</v>
      </c>
      <c r="G742">
        <f t="shared" si="81"/>
        <v>8389.2999999999993</v>
      </c>
      <c r="H742">
        <f t="shared" si="82"/>
        <v>11.51</v>
      </c>
      <c r="J742">
        <f t="shared" si="85"/>
        <v>8389.3335600001737</v>
      </c>
      <c r="K742">
        <f t="shared" si="83"/>
        <v>8389.25</v>
      </c>
      <c r="L742">
        <f t="shared" si="86"/>
        <v>8389.25</v>
      </c>
      <c r="M742">
        <f t="shared" si="84"/>
        <v>11.51</v>
      </c>
    </row>
    <row r="743" spans="1:13" x14ac:dyDescent="0.25">
      <c r="A743" s="1">
        <v>2458389.51443</v>
      </c>
      <c r="B743" s="1" t="s">
        <v>130</v>
      </c>
      <c r="C743" s="1">
        <v>11.54</v>
      </c>
      <c r="D743" s="1" t="s">
        <v>292</v>
      </c>
      <c r="E743" t="s">
        <v>94</v>
      </c>
      <c r="F743">
        <f t="shared" si="80"/>
        <v>8389.5144299999811</v>
      </c>
      <c r="G743">
        <f t="shared" si="81"/>
        <v>8389.5</v>
      </c>
      <c r="H743">
        <f t="shared" si="82"/>
        <v>11.54</v>
      </c>
      <c r="J743">
        <f t="shared" si="85"/>
        <v>8389.5144299999811</v>
      </c>
      <c r="K743">
        <f t="shared" si="83"/>
        <v>8389.5</v>
      </c>
      <c r="L743">
        <f t="shared" si="86"/>
        <v>8389.5</v>
      </c>
      <c r="M743">
        <f t="shared" si="84"/>
        <v>11.54</v>
      </c>
    </row>
    <row r="744" spans="1:13" x14ac:dyDescent="0.25">
      <c r="A744" s="1">
        <v>2458389.5146400002</v>
      </c>
      <c r="B744" s="1" t="s">
        <v>130</v>
      </c>
      <c r="C744" s="1">
        <v>11.557</v>
      </c>
      <c r="D744" s="1" t="s">
        <v>292</v>
      </c>
      <c r="E744" t="s">
        <v>94</v>
      </c>
      <c r="F744">
        <f t="shared" si="80"/>
        <v>8389.5146400001831</v>
      </c>
      <c r="G744">
        <f t="shared" si="81"/>
        <v>8389.5</v>
      </c>
      <c r="H744">
        <f t="shared" si="82"/>
        <v>11.557</v>
      </c>
      <c r="J744">
        <f t="shared" si="85"/>
        <v>8389.5146400001831</v>
      </c>
      <c r="K744">
        <f t="shared" si="83"/>
        <v>8389.5</v>
      </c>
      <c r="L744">
        <f t="shared" si="86"/>
        <v>8389.5</v>
      </c>
      <c r="M744">
        <f t="shared" si="84"/>
        <v>11.557</v>
      </c>
    </row>
    <row r="745" spans="1:13" x14ac:dyDescent="0.25">
      <c r="A745" s="1">
        <v>2458389.6833700002</v>
      </c>
      <c r="B745" s="1" t="s">
        <v>130</v>
      </c>
      <c r="C745" s="1">
        <v>11.539</v>
      </c>
      <c r="D745" s="1" t="s">
        <v>292</v>
      </c>
      <c r="E745" t="s">
        <v>131</v>
      </c>
      <c r="F745">
        <f t="shared" si="80"/>
        <v>8389.6833700002171</v>
      </c>
      <c r="G745">
        <f t="shared" si="81"/>
        <v>8389.7000000000007</v>
      </c>
      <c r="H745">
        <f t="shared" si="82"/>
        <v>11.539</v>
      </c>
      <c r="J745">
        <f t="shared" si="85"/>
        <v>8389.6833700002171</v>
      </c>
      <c r="K745">
        <f t="shared" si="83"/>
        <v>8389.5</v>
      </c>
      <c r="L745">
        <f t="shared" si="86"/>
        <v>8389.5</v>
      </c>
      <c r="M745">
        <f t="shared" si="84"/>
        <v>11.539</v>
      </c>
    </row>
    <row r="746" spans="1:13" x14ac:dyDescent="0.25">
      <c r="A746" s="1">
        <v>2458390.3020799998</v>
      </c>
      <c r="B746" s="1" t="s">
        <v>130</v>
      </c>
      <c r="C746" s="1">
        <v>11.494999999999999</v>
      </c>
      <c r="D746" s="1" t="s">
        <v>292</v>
      </c>
      <c r="E746" t="s">
        <v>101</v>
      </c>
      <c r="F746">
        <f t="shared" si="80"/>
        <v>8390.3020799998194</v>
      </c>
      <c r="G746">
        <f t="shared" si="81"/>
        <v>8390.2999999999993</v>
      </c>
      <c r="H746">
        <f t="shared" si="82"/>
        <v>11.494999999999999</v>
      </c>
      <c r="J746">
        <f t="shared" si="85"/>
        <v>8390.3020799998194</v>
      </c>
      <c r="K746">
        <f t="shared" si="83"/>
        <v>8390.25</v>
      </c>
      <c r="L746">
        <f t="shared" si="86"/>
        <v>8390.25</v>
      </c>
      <c r="M746">
        <f t="shared" si="84"/>
        <v>11.494999999999999</v>
      </c>
    </row>
    <row r="747" spans="1:13" x14ac:dyDescent="0.25">
      <c r="A747" s="1">
        <v>2458390.3023999999</v>
      </c>
      <c r="B747" s="1" t="s">
        <v>130</v>
      </c>
      <c r="C747" s="1">
        <v>11.491</v>
      </c>
      <c r="D747" s="1" t="s">
        <v>292</v>
      </c>
      <c r="E747" t="s">
        <v>101</v>
      </c>
      <c r="F747">
        <f t="shared" si="80"/>
        <v>8390.3023999999277</v>
      </c>
      <c r="G747">
        <f t="shared" si="81"/>
        <v>8390.2999999999993</v>
      </c>
      <c r="H747">
        <f t="shared" si="82"/>
        <v>11.491</v>
      </c>
      <c r="J747">
        <f t="shared" si="85"/>
        <v>8390.3023999999277</v>
      </c>
      <c r="K747">
        <f t="shared" si="83"/>
        <v>8390.25</v>
      </c>
      <c r="L747">
        <f t="shared" si="86"/>
        <v>8390.25</v>
      </c>
      <c r="M747">
        <f t="shared" si="84"/>
        <v>11.491</v>
      </c>
    </row>
    <row r="748" spans="1:13" x14ac:dyDescent="0.25">
      <c r="A748" s="1">
        <v>2458390.3675799998</v>
      </c>
      <c r="B748" s="1" t="s">
        <v>130</v>
      </c>
      <c r="C748" s="1">
        <v>11.52</v>
      </c>
      <c r="D748" s="1" t="s">
        <v>292</v>
      </c>
      <c r="E748" t="s">
        <v>120</v>
      </c>
      <c r="F748">
        <f t="shared" si="80"/>
        <v>8390.3675799998455</v>
      </c>
      <c r="G748">
        <f t="shared" si="81"/>
        <v>8390.4</v>
      </c>
      <c r="H748">
        <f t="shared" si="82"/>
        <v>11.52</v>
      </c>
      <c r="J748">
        <f t="shared" si="85"/>
        <v>8390.3675799998455</v>
      </c>
      <c r="K748">
        <f t="shared" si="83"/>
        <v>8390.25</v>
      </c>
      <c r="L748">
        <f t="shared" si="86"/>
        <v>8390.25</v>
      </c>
      <c r="M748">
        <f t="shared" si="84"/>
        <v>11.52</v>
      </c>
    </row>
    <row r="749" spans="1:13" x14ac:dyDescent="0.25">
      <c r="A749" s="1">
        <v>2458390.5189399999</v>
      </c>
      <c r="B749" s="1" t="s">
        <v>132</v>
      </c>
      <c r="C749" s="1">
        <v>11.54</v>
      </c>
      <c r="D749" s="1" t="s">
        <v>292</v>
      </c>
      <c r="E749" t="s">
        <v>94</v>
      </c>
      <c r="F749">
        <f t="shared" si="80"/>
        <v>8390.5189399998635</v>
      </c>
      <c r="G749">
        <f t="shared" si="81"/>
        <v>8390.5</v>
      </c>
      <c r="H749">
        <f t="shared" si="82"/>
        <v>11.54</v>
      </c>
      <c r="J749">
        <f t="shared" si="85"/>
        <v>8390.5189399998635</v>
      </c>
      <c r="K749">
        <f t="shared" si="83"/>
        <v>8390.5</v>
      </c>
      <c r="L749">
        <f t="shared" si="86"/>
        <v>8390.5</v>
      </c>
      <c r="M749">
        <f t="shared" si="84"/>
        <v>11.54</v>
      </c>
    </row>
    <row r="750" spans="1:13" x14ac:dyDescent="0.25">
      <c r="A750" s="1">
        <v>2458390.5191500001</v>
      </c>
      <c r="B750" s="1" t="s">
        <v>132</v>
      </c>
      <c r="C750" s="1">
        <v>11.542999999999999</v>
      </c>
      <c r="D750" s="1" t="s">
        <v>292</v>
      </c>
      <c r="E750" t="s">
        <v>94</v>
      </c>
      <c r="F750">
        <f t="shared" si="80"/>
        <v>8390.5191500000656</v>
      </c>
      <c r="G750">
        <f t="shared" si="81"/>
        <v>8390.5</v>
      </c>
      <c r="H750">
        <f t="shared" si="82"/>
        <v>11.542999999999999</v>
      </c>
      <c r="J750">
        <f t="shared" si="85"/>
        <v>8390.5191500000656</v>
      </c>
      <c r="K750">
        <f t="shared" si="83"/>
        <v>8390.5</v>
      </c>
      <c r="L750">
        <f t="shared" si="86"/>
        <v>8390.5</v>
      </c>
      <c r="M750">
        <f t="shared" si="84"/>
        <v>11.542999999999999</v>
      </c>
    </row>
    <row r="751" spans="1:13" x14ac:dyDescent="0.25">
      <c r="A751" s="1">
        <v>2458392.5086099999</v>
      </c>
      <c r="B751" s="1" t="s">
        <v>133</v>
      </c>
      <c r="C751" s="1">
        <v>11.554</v>
      </c>
      <c r="D751" s="1" t="s">
        <v>292</v>
      </c>
      <c r="E751" t="s">
        <v>94</v>
      </c>
      <c r="F751">
        <f t="shared" si="80"/>
        <v>8392.5086099999025</v>
      </c>
      <c r="G751">
        <f t="shared" si="81"/>
        <v>8392.5</v>
      </c>
      <c r="H751">
        <f t="shared" si="82"/>
        <v>11.554</v>
      </c>
      <c r="J751">
        <f t="shared" si="85"/>
        <v>8392.5086099999025</v>
      </c>
      <c r="K751">
        <f t="shared" si="83"/>
        <v>8392.5</v>
      </c>
      <c r="L751">
        <f t="shared" si="86"/>
        <v>8392.5</v>
      </c>
      <c r="M751">
        <f t="shared" si="84"/>
        <v>11.554</v>
      </c>
    </row>
    <row r="752" spans="1:13" x14ac:dyDescent="0.25">
      <c r="A752" s="1">
        <v>2458392.50881</v>
      </c>
      <c r="B752" s="1" t="s">
        <v>133</v>
      </c>
      <c r="C752" s="1">
        <v>11.537000000000001</v>
      </c>
      <c r="D752" s="1" t="s">
        <v>292</v>
      </c>
      <c r="E752" t="s">
        <v>94</v>
      </c>
      <c r="F752">
        <f t="shared" si="80"/>
        <v>8392.5088100000285</v>
      </c>
      <c r="G752">
        <f t="shared" si="81"/>
        <v>8392.5</v>
      </c>
      <c r="H752">
        <f t="shared" si="82"/>
        <v>11.537000000000001</v>
      </c>
      <c r="J752">
        <f t="shared" si="85"/>
        <v>8392.5088100000285</v>
      </c>
      <c r="K752">
        <f t="shared" si="83"/>
        <v>8392.5</v>
      </c>
      <c r="L752">
        <f t="shared" si="86"/>
        <v>8392.5</v>
      </c>
      <c r="M752">
        <f t="shared" si="84"/>
        <v>11.537000000000001</v>
      </c>
    </row>
    <row r="753" spans="1:13" x14ac:dyDescent="0.25">
      <c r="A753" s="1">
        <v>2458393.5122400001</v>
      </c>
      <c r="B753" s="1" t="s">
        <v>134</v>
      </c>
      <c r="C753" s="1">
        <v>11.555999999999999</v>
      </c>
      <c r="D753" s="1" t="s">
        <v>292</v>
      </c>
      <c r="E753" t="s">
        <v>94</v>
      </c>
      <c r="F753">
        <f t="shared" si="80"/>
        <v>8393.5122400000691</v>
      </c>
      <c r="G753">
        <f t="shared" si="81"/>
        <v>8393.5</v>
      </c>
      <c r="H753">
        <f t="shared" si="82"/>
        <v>11.555999999999999</v>
      </c>
      <c r="J753">
        <f t="shared" si="85"/>
        <v>8393.5122400000691</v>
      </c>
      <c r="K753">
        <f t="shared" si="83"/>
        <v>8393.5</v>
      </c>
      <c r="L753">
        <f t="shared" si="86"/>
        <v>8393.5</v>
      </c>
      <c r="M753">
        <f t="shared" si="84"/>
        <v>11.555999999999999</v>
      </c>
    </row>
    <row r="754" spans="1:13" x14ac:dyDescent="0.25">
      <c r="A754" s="1">
        <v>2458393.5124499998</v>
      </c>
      <c r="B754" s="1" t="s">
        <v>134</v>
      </c>
      <c r="C754" s="1">
        <v>11.548999999999999</v>
      </c>
      <c r="D754" s="1" t="s">
        <v>292</v>
      </c>
      <c r="E754" t="s">
        <v>94</v>
      </c>
      <c r="F754">
        <f t="shared" si="80"/>
        <v>8393.5124499998055</v>
      </c>
      <c r="G754">
        <f t="shared" si="81"/>
        <v>8393.5</v>
      </c>
      <c r="H754">
        <f t="shared" si="82"/>
        <v>11.548999999999999</v>
      </c>
      <c r="J754">
        <f t="shared" si="85"/>
        <v>8393.5124499998055</v>
      </c>
      <c r="K754">
        <f t="shared" si="83"/>
        <v>8393.5</v>
      </c>
      <c r="L754">
        <f t="shared" si="86"/>
        <v>8393.5</v>
      </c>
      <c r="M754">
        <f t="shared" si="84"/>
        <v>11.548999999999999</v>
      </c>
    </row>
    <row r="755" spans="1:13" x14ac:dyDescent="0.25">
      <c r="A755" s="1">
        <v>2458394.3505199999</v>
      </c>
      <c r="B755" s="1" t="s">
        <v>134</v>
      </c>
      <c r="C755" s="1">
        <v>11.57</v>
      </c>
      <c r="D755" s="1" t="s">
        <v>292</v>
      </c>
      <c r="E755" t="s">
        <v>120</v>
      </c>
      <c r="F755">
        <f t="shared" si="80"/>
        <v>8394.3505199998617</v>
      </c>
      <c r="G755">
        <f t="shared" si="81"/>
        <v>8394.4</v>
      </c>
      <c r="H755">
        <f t="shared" si="82"/>
        <v>11.57</v>
      </c>
      <c r="J755">
        <f t="shared" si="85"/>
        <v>8394.3505199998617</v>
      </c>
      <c r="K755">
        <f t="shared" si="83"/>
        <v>8394.25</v>
      </c>
      <c r="L755">
        <f t="shared" si="86"/>
        <v>8394.25</v>
      </c>
      <c r="M755">
        <f t="shared" si="84"/>
        <v>11.57</v>
      </c>
    </row>
    <row r="756" spans="1:13" x14ac:dyDescent="0.25">
      <c r="A756" s="1">
        <v>2458394.5167999999</v>
      </c>
      <c r="B756" s="1" t="s">
        <v>135</v>
      </c>
      <c r="C756" s="1">
        <v>11.587</v>
      </c>
      <c r="D756" s="1" t="s">
        <v>292</v>
      </c>
      <c r="E756" t="s">
        <v>94</v>
      </c>
      <c r="F756">
        <f t="shared" si="80"/>
        <v>8394.5167999998666</v>
      </c>
      <c r="G756">
        <f t="shared" si="81"/>
        <v>8394.5</v>
      </c>
      <c r="H756">
        <f t="shared" si="82"/>
        <v>11.587</v>
      </c>
      <c r="J756">
        <f t="shared" si="85"/>
        <v>8394.5167999998666</v>
      </c>
      <c r="K756">
        <f t="shared" si="83"/>
        <v>8394.5</v>
      </c>
      <c r="L756">
        <f t="shared" si="86"/>
        <v>8394.5</v>
      </c>
      <c r="M756">
        <f t="shared" si="84"/>
        <v>11.587</v>
      </c>
    </row>
    <row r="757" spans="1:13" x14ac:dyDescent="0.25">
      <c r="A757" s="1">
        <v>2458394.5170100001</v>
      </c>
      <c r="B757" s="1" t="s">
        <v>135</v>
      </c>
      <c r="C757" s="1">
        <v>11.602</v>
      </c>
      <c r="D757" s="1" t="s">
        <v>292</v>
      </c>
      <c r="E757" t="s">
        <v>94</v>
      </c>
      <c r="F757">
        <f t="shared" si="80"/>
        <v>8394.5170100000687</v>
      </c>
      <c r="G757">
        <f t="shared" si="81"/>
        <v>8394.5</v>
      </c>
      <c r="H757">
        <f t="shared" si="82"/>
        <v>11.602</v>
      </c>
      <c r="J757">
        <f t="shared" si="85"/>
        <v>8394.5170100000687</v>
      </c>
      <c r="K757">
        <f t="shared" si="83"/>
        <v>8394.5</v>
      </c>
      <c r="L757">
        <f t="shared" si="86"/>
        <v>8394.5</v>
      </c>
      <c r="M757">
        <f t="shared" si="84"/>
        <v>11.602</v>
      </c>
    </row>
    <row r="758" spans="1:13" x14ac:dyDescent="0.25">
      <c r="A758" s="1">
        <v>2458395.3368199999</v>
      </c>
      <c r="B758" s="1" t="s">
        <v>135</v>
      </c>
      <c r="C758" s="1">
        <v>11.58</v>
      </c>
      <c r="D758" s="1" t="s">
        <v>292</v>
      </c>
      <c r="E758" t="s">
        <v>120</v>
      </c>
      <c r="F758">
        <f t="shared" si="80"/>
        <v>8395.3368199998513</v>
      </c>
      <c r="G758">
        <f t="shared" si="81"/>
        <v>8395.2999999999993</v>
      </c>
      <c r="H758">
        <f t="shared" si="82"/>
        <v>11.58</v>
      </c>
      <c r="J758">
        <f t="shared" si="85"/>
        <v>8395.3368199998513</v>
      </c>
      <c r="K758">
        <f t="shared" si="83"/>
        <v>8395.25</v>
      </c>
      <c r="L758">
        <f t="shared" si="86"/>
        <v>8395.25</v>
      </c>
      <c r="M758">
        <f t="shared" si="84"/>
        <v>11.58</v>
      </c>
    </row>
    <row r="759" spans="1:13" x14ac:dyDescent="0.25">
      <c r="A759" s="1">
        <v>2458395.5095299999</v>
      </c>
      <c r="B759" s="1" t="s">
        <v>136</v>
      </c>
      <c r="C759" s="1">
        <v>11.597</v>
      </c>
      <c r="D759" s="1" t="s">
        <v>292</v>
      </c>
      <c r="E759" t="s">
        <v>94</v>
      </c>
      <c r="F759">
        <f t="shared" si="80"/>
        <v>8395.509529999923</v>
      </c>
      <c r="G759">
        <f t="shared" si="81"/>
        <v>8395.5</v>
      </c>
      <c r="H759">
        <f t="shared" si="82"/>
        <v>11.597</v>
      </c>
      <c r="J759">
        <f t="shared" si="85"/>
        <v>8395.509529999923</v>
      </c>
      <c r="K759">
        <f t="shared" si="83"/>
        <v>8395.5</v>
      </c>
      <c r="L759">
        <f t="shared" si="86"/>
        <v>8395.5</v>
      </c>
      <c r="M759">
        <f t="shared" si="84"/>
        <v>11.597</v>
      </c>
    </row>
    <row r="760" spans="1:13" x14ac:dyDescent="0.25">
      <c r="A760" s="1">
        <v>2458395.5097400001</v>
      </c>
      <c r="B760" s="1" t="s">
        <v>136</v>
      </c>
      <c r="C760" s="1">
        <v>11.590999999999999</v>
      </c>
      <c r="D760" s="1" t="s">
        <v>292</v>
      </c>
      <c r="E760" t="s">
        <v>94</v>
      </c>
      <c r="F760">
        <f t="shared" si="80"/>
        <v>8395.509740000125</v>
      </c>
      <c r="G760">
        <f t="shared" si="81"/>
        <v>8395.5</v>
      </c>
      <c r="H760">
        <f t="shared" si="82"/>
        <v>11.590999999999999</v>
      </c>
      <c r="J760">
        <f t="shared" si="85"/>
        <v>8395.509740000125</v>
      </c>
      <c r="K760">
        <f t="shared" si="83"/>
        <v>8395.5</v>
      </c>
      <c r="L760">
        <f t="shared" si="86"/>
        <v>8395.5</v>
      </c>
      <c r="M760">
        <f t="shared" si="84"/>
        <v>11.590999999999999</v>
      </c>
    </row>
    <row r="761" spans="1:13" x14ac:dyDescent="0.25">
      <c r="A761" s="1">
        <v>2458395.62659</v>
      </c>
      <c r="B761" s="1" t="s">
        <v>136</v>
      </c>
      <c r="C761" s="1">
        <v>11.606</v>
      </c>
      <c r="D761" s="1" t="s">
        <v>292</v>
      </c>
      <c r="E761" t="s">
        <v>131</v>
      </c>
      <c r="F761">
        <f t="shared" si="80"/>
        <v>8395.6265899999999</v>
      </c>
      <c r="G761">
        <f t="shared" si="81"/>
        <v>8395.6</v>
      </c>
      <c r="H761">
        <f t="shared" si="82"/>
        <v>11.606</v>
      </c>
      <c r="J761">
        <f t="shared" si="85"/>
        <v>8395.6265899999999</v>
      </c>
      <c r="K761">
        <f t="shared" si="83"/>
        <v>8395.5</v>
      </c>
      <c r="L761">
        <f t="shared" si="86"/>
        <v>8395.5</v>
      </c>
      <c r="M761">
        <f t="shared" si="84"/>
        <v>11.606</v>
      </c>
    </row>
    <row r="762" spans="1:13" x14ac:dyDescent="0.25">
      <c r="A762" s="1">
        <v>2458396.41298</v>
      </c>
      <c r="B762" s="1" t="s">
        <v>136</v>
      </c>
      <c r="C762" s="1">
        <v>11.59</v>
      </c>
      <c r="D762" s="1" t="s">
        <v>292</v>
      </c>
      <c r="E762" t="s">
        <v>120</v>
      </c>
      <c r="F762">
        <f t="shared" si="80"/>
        <v>8396.4129800000228</v>
      </c>
      <c r="G762">
        <f t="shared" si="81"/>
        <v>8396.4</v>
      </c>
      <c r="H762">
        <f t="shared" si="82"/>
        <v>11.59</v>
      </c>
      <c r="J762">
        <f t="shared" si="85"/>
        <v>8396.4129800000228</v>
      </c>
      <c r="K762">
        <f t="shared" si="83"/>
        <v>8396.25</v>
      </c>
      <c r="L762">
        <f t="shared" si="86"/>
        <v>8396.25</v>
      </c>
      <c r="M762">
        <f t="shared" si="84"/>
        <v>11.59</v>
      </c>
    </row>
    <row r="763" spans="1:13" x14ac:dyDescent="0.25">
      <c r="A763" s="1">
        <v>2458396.5133400001</v>
      </c>
      <c r="B763" s="1" t="s">
        <v>137</v>
      </c>
      <c r="C763" s="1">
        <v>11.583</v>
      </c>
      <c r="D763" s="1" t="s">
        <v>292</v>
      </c>
      <c r="E763" t="s">
        <v>94</v>
      </c>
      <c r="F763">
        <f t="shared" si="80"/>
        <v>8396.5133400000632</v>
      </c>
      <c r="G763">
        <f t="shared" si="81"/>
        <v>8396.5</v>
      </c>
      <c r="H763">
        <f t="shared" si="82"/>
        <v>11.583</v>
      </c>
      <c r="J763">
        <f t="shared" si="85"/>
        <v>8396.5133400000632</v>
      </c>
      <c r="K763">
        <f t="shared" si="83"/>
        <v>8396.5</v>
      </c>
      <c r="L763">
        <f t="shared" si="86"/>
        <v>8396.5</v>
      </c>
      <c r="M763">
        <f t="shared" si="84"/>
        <v>11.583</v>
      </c>
    </row>
    <row r="764" spans="1:13" x14ac:dyDescent="0.25">
      <c r="A764" s="1">
        <v>2458396.5135599999</v>
      </c>
      <c r="B764" s="1" t="s">
        <v>137</v>
      </c>
      <c r="C764" s="1">
        <v>11.618</v>
      </c>
      <c r="D764" s="1" t="s">
        <v>292</v>
      </c>
      <c r="E764" t="s">
        <v>94</v>
      </c>
      <c r="F764">
        <f t="shared" si="80"/>
        <v>8396.5135599998757</v>
      </c>
      <c r="G764">
        <f t="shared" si="81"/>
        <v>8396.5</v>
      </c>
      <c r="H764">
        <f t="shared" si="82"/>
        <v>11.618</v>
      </c>
      <c r="J764">
        <f t="shared" si="85"/>
        <v>8396.5135599998757</v>
      </c>
      <c r="K764">
        <f t="shared" si="83"/>
        <v>8396.5</v>
      </c>
      <c r="L764">
        <f t="shared" si="86"/>
        <v>8396.5</v>
      </c>
      <c r="M764">
        <f t="shared" si="84"/>
        <v>11.618</v>
      </c>
    </row>
    <row r="765" spans="1:13" x14ac:dyDescent="0.25">
      <c r="A765" s="1">
        <v>2458397.5133400001</v>
      </c>
      <c r="B765" s="1" t="s">
        <v>138</v>
      </c>
      <c r="C765" s="1">
        <v>11.627000000000001</v>
      </c>
      <c r="D765" s="1" t="s">
        <v>292</v>
      </c>
      <c r="E765" t="s">
        <v>94</v>
      </c>
      <c r="F765">
        <f t="shared" si="80"/>
        <v>8397.5133400000632</v>
      </c>
      <c r="G765">
        <f t="shared" si="81"/>
        <v>8397.5</v>
      </c>
      <c r="H765">
        <f t="shared" si="82"/>
        <v>11.627000000000001</v>
      </c>
      <c r="J765">
        <f t="shared" si="85"/>
        <v>8397.5133400000632</v>
      </c>
      <c r="K765">
        <f t="shared" si="83"/>
        <v>8397.5</v>
      </c>
      <c r="L765">
        <f t="shared" si="86"/>
        <v>8397.5</v>
      </c>
      <c r="M765">
        <f t="shared" si="84"/>
        <v>11.627000000000001</v>
      </c>
    </row>
    <row r="766" spans="1:13" x14ac:dyDescent="0.25">
      <c r="A766" s="1">
        <v>2458397.5135499998</v>
      </c>
      <c r="B766" s="1" t="s">
        <v>138</v>
      </c>
      <c r="C766" s="1">
        <v>11.613</v>
      </c>
      <c r="D766" s="1" t="s">
        <v>292</v>
      </c>
      <c r="E766" t="s">
        <v>94</v>
      </c>
      <c r="F766">
        <f t="shared" si="80"/>
        <v>8397.5135499997996</v>
      </c>
      <c r="G766">
        <f t="shared" si="81"/>
        <v>8397.5</v>
      </c>
      <c r="H766">
        <f t="shared" si="82"/>
        <v>11.613</v>
      </c>
      <c r="J766">
        <f t="shared" si="85"/>
        <v>8397.5135499997996</v>
      </c>
      <c r="K766">
        <f t="shared" si="83"/>
        <v>8397.5</v>
      </c>
      <c r="L766">
        <f t="shared" si="86"/>
        <v>8397.5</v>
      </c>
      <c r="M766">
        <f t="shared" si="84"/>
        <v>11.613</v>
      </c>
    </row>
    <row r="767" spans="1:13" x14ac:dyDescent="0.25">
      <c r="A767" s="1">
        <v>2458398.2902799998</v>
      </c>
      <c r="B767" s="1" t="s">
        <v>138</v>
      </c>
      <c r="C767" s="1">
        <v>11.55</v>
      </c>
      <c r="D767" s="1" t="s">
        <v>292</v>
      </c>
      <c r="E767" t="s">
        <v>5</v>
      </c>
      <c r="F767">
        <f t="shared" si="80"/>
        <v>8398.290279999841</v>
      </c>
      <c r="G767">
        <f t="shared" si="81"/>
        <v>8398.2999999999993</v>
      </c>
      <c r="H767">
        <f t="shared" si="82"/>
        <v>11.55</v>
      </c>
      <c r="J767">
        <f t="shared" si="85"/>
        <v>8398.290279999841</v>
      </c>
      <c r="K767">
        <f t="shared" si="83"/>
        <v>8398.25</v>
      </c>
      <c r="L767">
        <f t="shared" si="86"/>
        <v>8398.25</v>
      </c>
      <c r="M767">
        <f t="shared" si="84"/>
        <v>11.55</v>
      </c>
    </row>
    <row r="768" spans="1:13" x14ac:dyDescent="0.25">
      <c r="A768" s="1">
        <v>2458400.5726299998</v>
      </c>
      <c r="B768" s="1" t="s">
        <v>139</v>
      </c>
      <c r="C768" s="1">
        <v>11.638999999999999</v>
      </c>
      <c r="D768" s="1" t="s">
        <v>292</v>
      </c>
      <c r="E768" t="s">
        <v>94</v>
      </c>
      <c r="F768">
        <f t="shared" si="80"/>
        <v>8400.572629999835</v>
      </c>
      <c r="G768">
        <f t="shared" si="81"/>
        <v>8400.6</v>
      </c>
      <c r="H768">
        <f t="shared" si="82"/>
        <v>11.638999999999999</v>
      </c>
      <c r="J768">
        <f t="shared" si="85"/>
        <v>8400.572629999835</v>
      </c>
      <c r="K768">
        <f t="shared" si="83"/>
        <v>8400.5</v>
      </c>
      <c r="L768">
        <f t="shared" si="86"/>
        <v>8400.5</v>
      </c>
      <c r="M768">
        <f t="shared" si="84"/>
        <v>11.638999999999999</v>
      </c>
    </row>
    <row r="769" spans="1:13" x14ac:dyDescent="0.25">
      <c r="A769" s="1">
        <v>2458400.57284</v>
      </c>
      <c r="B769" s="1" t="s">
        <v>139</v>
      </c>
      <c r="C769" s="1">
        <v>11.645</v>
      </c>
      <c r="D769" s="1" t="s">
        <v>292</v>
      </c>
      <c r="E769" t="s">
        <v>94</v>
      </c>
      <c r="F769">
        <f t="shared" si="80"/>
        <v>8400.5728400000371</v>
      </c>
      <c r="G769">
        <f t="shared" si="81"/>
        <v>8400.6</v>
      </c>
      <c r="H769">
        <f t="shared" si="82"/>
        <v>11.645</v>
      </c>
      <c r="J769">
        <f t="shared" si="85"/>
        <v>8400.5728400000371</v>
      </c>
      <c r="K769">
        <f t="shared" si="83"/>
        <v>8400.5</v>
      </c>
      <c r="L769">
        <f t="shared" si="86"/>
        <v>8400.5</v>
      </c>
      <c r="M769">
        <f t="shared" si="84"/>
        <v>11.645</v>
      </c>
    </row>
    <row r="770" spans="1:13" x14ac:dyDescent="0.25">
      <c r="A770" s="1">
        <v>2458401.27183</v>
      </c>
      <c r="B770" s="1" t="s">
        <v>139</v>
      </c>
      <c r="C770" s="1">
        <v>11.602</v>
      </c>
      <c r="D770" s="1" t="s">
        <v>292</v>
      </c>
      <c r="E770" t="s">
        <v>101</v>
      </c>
      <c r="F770">
        <f t="shared" si="80"/>
        <v>8401.2718299999833</v>
      </c>
      <c r="G770">
        <f t="shared" si="81"/>
        <v>8401.2999999999993</v>
      </c>
      <c r="H770">
        <f t="shared" si="82"/>
        <v>11.602</v>
      </c>
      <c r="J770">
        <f t="shared" si="85"/>
        <v>8401.2718299999833</v>
      </c>
      <c r="K770">
        <f t="shared" si="83"/>
        <v>8401.25</v>
      </c>
      <c r="L770">
        <f t="shared" si="86"/>
        <v>8401.25</v>
      </c>
      <c r="M770">
        <f t="shared" si="84"/>
        <v>11.602</v>
      </c>
    </row>
    <row r="771" spans="1:13" x14ac:dyDescent="0.25">
      <c r="A771" s="1">
        <v>2458401.2721500001</v>
      </c>
      <c r="B771" s="1" t="s">
        <v>139</v>
      </c>
      <c r="C771" s="1">
        <v>11.609</v>
      </c>
      <c r="D771" s="1" t="s">
        <v>292</v>
      </c>
      <c r="E771" t="s">
        <v>101</v>
      </c>
      <c r="F771">
        <f t="shared" ref="F771:F834" si="87">+A771-2450000</f>
        <v>8401.2721500000916</v>
      </c>
      <c r="G771">
        <f t="shared" ref="G771:G834" si="88">+(ROUND(F771,1)*10)/10</f>
        <v>8401.2999999999993</v>
      </c>
      <c r="H771">
        <f t="shared" ref="H771:H834" si="89">+C771</f>
        <v>11.609</v>
      </c>
      <c r="J771">
        <f t="shared" si="85"/>
        <v>8401.2721500000916</v>
      </c>
      <c r="K771">
        <f t="shared" ref="K771:K834" si="90">+INT(J771*4)/4</f>
        <v>8401.25</v>
      </c>
      <c r="L771">
        <f t="shared" si="86"/>
        <v>8401.25</v>
      </c>
      <c r="M771">
        <f t="shared" ref="M771:M834" si="91">+H771</f>
        <v>11.609</v>
      </c>
    </row>
    <row r="772" spans="1:13" x14ac:dyDescent="0.25">
      <c r="A772" s="1">
        <v>2458401.5538699999</v>
      </c>
      <c r="B772" s="1" t="s">
        <v>140</v>
      </c>
      <c r="C772" s="1">
        <v>11.651</v>
      </c>
      <c r="D772" s="1" t="s">
        <v>292</v>
      </c>
      <c r="E772" t="s">
        <v>94</v>
      </c>
      <c r="F772">
        <f t="shared" si="87"/>
        <v>8401.5538699999452</v>
      </c>
      <c r="G772">
        <f t="shared" si="88"/>
        <v>8401.6</v>
      </c>
      <c r="H772">
        <f t="shared" si="89"/>
        <v>11.651</v>
      </c>
      <c r="J772">
        <f t="shared" si="85"/>
        <v>8401.5538699999452</v>
      </c>
      <c r="K772">
        <f t="shared" si="90"/>
        <v>8401.5</v>
      </c>
      <c r="L772">
        <f t="shared" si="86"/>
        <v>8401.5</v>
      </c>
      <c r="M772">
        <f t="shared" si="91"/>
        <v>11.651</v>
      </c>
    </row>
    <row r="773" spans="1:13" x14ac:dyDescent="0.25">
      <c r="A773" s="1">
        <v>2458401.5540800001</v>
      </c>
      <c r="B773" s="1" t="s">
        <v>140</v>
      </c>
      <c r="C773" s="1">
        <v>11.651</v>
      </c>
      <c r="D773" s="1" t="s">
        <v>292</v>
      </c>
      <c r="E773" t="s">
        <v>94</v>
      </c>
      <c r="F773">
        <f t="shared" si="87"/>
        <v>8401.5540800001472</v>
      </c>
      <c r="G773">
        <f t="shared" si="88"/>
        <v>8401.6</v>
      </c>
      <c r="H773">
        <f t="shared" si="89"/>
        <v>11.651</v>
      </c>
      <c r="J773">
        <f t="shared" si="85"/>
        <v>8401.5540800001472</v>
      </c>
      <c r="K773">
        <f t="shared" si="90"/>
        <v>8401.5</v>
      </c>
      <c r="L773">
        <f t="shared" si="86"/>
        <v>8401.5</v>
      </c>
      <c r="M773">
        <f t="shared" si="91"/>
        <v>11.651</v>
      </c>
    </row>
    <row r="774" spans="1:13" x14ac:dyDescent="0.25">
      <c r="A774" s="1">
        <v>2458402.2620600001</v>
      </c>
      <c r="B774" s="1" t="s">
        <v>140</v>
      </c>
      <c r="C774" s="1">
        <v>11.627000000000001</v>
      </c>
      <c r="D774" s="1" t="s">
        <v>292</v>
      </c>
      <c r="E774" t="s">
        <v>101</v>
      </c>
      <c r="F774">
        <f t="shared" si="87"/>
        <v>8402.2620600000955</v>
      </c>
      <c r="G774">
        <f t="shared" si="88"/>
        <v>8402.2999999999993</v>
      </c>
      <c r="H774">
        <f t="shared" si="89"/>
        <v>11.627000000000001</v>
      </c>
      <c r="J774">
        <f t="shared" si="85"/>
        <v>8402.2620600000955</v>
      </c>
      <c r="K774">
        <f t="shared" si="90"/>
        <v>8402.25</v>
      </c>
      <c r="L774">
        <f t="shared" si="86"/>
        <v>8402.25</v>
      </c>
      <c r="M774">
        <f t="shared" si="91"/>
        <v>11.627000000000001</v>
      </c>
    </row>
    <row r="775" spans="1:13" x14ac:dyDescent="0.25">
      <c r="A775" s="1">
        <v>2458402.2623700001</v>
      </c>
      <c r="B775" s="1" t="s">
        <v>140</v>
      </c>
      <c r="C775" s="1">
        <v>11.614000000000001</v>
      </c>
      <c r="D775" s="1" t="s">
        <v>292</v>
      </c>
      <c r="E775" t="s">
        <v>101</v>
      </c>
      <c r="F775">
        <f t="shared" si="87"/>
        <v>8402.2623700001277</v>
      </c>
      <c r="G775">
        <f t="shared" si="88"/>
        <v>8402.2999999999993</v>
      </c>
      <c r="H775">
        <f t="shared" si="89"/>
        <v>11.614000000000001</v>
      </c>
      <c r="J775">
        <f t="shared" si="85"/>
        <v>8402.2623700001277</v>
      </c>
      <c r="K775">
        <f t="shared" si="90"/>
        <v>8402.25</v>
      </c>
      <c r="L775">
        <f t="shared" si="86"/>
        <v>8402.25</v>
      </c>
      <c r="M775">
        <f t="shared" si="91"/>
        <v>11.614000000000001</v>
      </c>
    </row>
    <row r="776" spans="1:13" x14ac:dyDescent="0.25">
      <c r="A776" s="1">
        <v>2458402.5707999999</v>
      </c>
      <c r="B776" s="1" t="s">
        <v>141</v>
      </c>
      <c r="C776" s="1">
        <v>11.638999999999999</v>
      </c>
      <c r="D776" s="1" t="s">
        <v>292</v>
      </c>
      <c r="E776" t="s">
        <v>94</v>
      </c>
      <c r="F776">
        <f t="shared" si="87"/>
        <v>8402.5707999998704</v>
      </c>
      <c r="G776">
        <f t="shared" si="88"/>
        <v>8402.6</v>
      </c>
      <c r="H776">
        <f t="shared" si="89"/>
        <v>11.638999999999999</v>
      </c>
      <c r="J776">
        <f t="shared" si="85"/>
        <v>8402.5707999998704</v>
      </c>
      <c r="K776">
        <f t="shared" si="90"/>
        <v>8402.5</v>
      </c>
      <c r="L776">
        <f t="shared" si="86"/>
        <v>8402.5</v>
      </c>
      <c r="M776">
        <f t="shared" si="91"/>
        <v>11.638999999999999</v>
      </c>
    </row>
    <row r="777" spans="1:13" x14ac:dyDescent="0.25">
      <c r="A777" s="1">
        <v>2458402.5710200001</v>
      </c>
      <c r="B777" s="1" t="s">
        <v>141</v>
      </c>
      <c r="C777" s="1">
        <v>11.628</v>
      </c>
      <c r="D777" s="1" t="s">
        <v>292</v>
      </c>
      <c r="E777" t="s">
        <v>94</v>
      </c>
      <c r="F777">
        <f t="shared" si="87"/>
        <v>8402.5710200001486</v>
      </c>
      <c r="G777">
        <f t="shared" si="88"/>
        <v>8402.6</v>
      </c>
      <c r="H777">
        <f t="shared" si="89"/>
        <v>11.628</v>
      </c>
      <c r="J777">
        <f t="shared" si="85"/>
        <v>8402.5710200001486</v>
      </c>
      <c r="K777">
        <f t="shared" si="90"/>
        <v>8402.5</v>
      </c>
      <c r="L777">
        <f t="shared" si="86"/>
        <v>8402.5</v>
      </c>
      <c r="M777">
        <f t="shared" si="91"/>
        <v>11.628</v>
      </c>
    </row>
    <row r="778" spans="1:13" x14ac:dyDescent="0.25">
      <c r="A778" s="1">
        <v>2458403.5682000001</v>
      </c>
      <c r="B778" s="1" t="s">
        <v>142</v>
      </c>
      <c r="C778" s="1">
        <v>11.645</v>
      </c>
      <c r="D778" s="1" t="s">
        <v>292</v>
      </c>
      <c r="E778" t="s">
        <v>94</v>
      </c>
      <c r="F778">
        <f t="shared" si="87"/>
        <v>8403.5682000000961</v>
      </c>
      <c r="G778">
        <f t="shared" si="88"/>
        <v>8403.6</v>
      </c>
      <c r="H778">
        <f t="shared" si="89"/>
        <v>11.645</v>
      </c>
      <c r="J778">
        <f t="shared" si="85"/>
        <v>8403.5682000000961</v>
      </c>
      <c r="K778">
        <f t="shared" si="90"/>
        <v>8403.5</v>
      </c>
      <c r="L778">
        <f t="shared" si="86"/>
        <v>8403.5</v>
      </c>
      <c r="M778">
        <f t="shared" si="91"/>
        <v>11.645</v>
      </c>
    </row>
    <row r="779" spans="1:13" x14ac:dyDescent="0.25">
      <c r="A779" s="1">
        <v>2458403.5684099998</v>
      </c>
      <c r="B779" s="1" t="s">
        <v>142</v>
      </c>
      <c r="C779" s="1">
        <v>11.63</v>
      </c>
      <c r="D779" s="1" t="s">
        <v>292</v>
      </c>
      <c r="E779" t="s">
        <v>94</v>
      </c>
      <c r="F779">
        <f t="shared" si="87"/>
        <v>8403.5684099998325</v>
      </c>
      <c r="G779">
        <f t="shared" si="88"/>
        <v>8403.6</v>
      </c>
      <c r="H779">
        <f t="shared" si="89"/>
        <v>11.63</v>
      </c>
      <c r="J779">
        <f t="shared" si="85"/>
        <v>8403.5684099998325</v>
      </c>
      <c r="K779">
        <f t="shared" si="90"/>
        <v>8403.5</v>
      </c>
      <c r="L779">
        <f t="shared" si="86"/>
        <v>8403.5</v>
      </c>
      <c r="M779">
        <f t="shared" si="91"/>
        <v>11.63</v>
      </c>
    </row>
    <row r="780" spans="1:13" x14ac:dyDescent="0.25">
      <c r="A780" s="1">
        <v>2458404.34516</v>
      </c>
      <c r="B780" s="1" t="s">
        <v>142</v>
      </c>
      <c r="C780" s="1">
        <v>11.611000000000001</v>
      </c>
      <c r="D780" s="1" t="s">
        <v>292</v>
      </c>
      <c r="E780" t="s">
        <v>101</v>
      </c>
      <c r="F780">
        <f t="shared" si="87"/>
        <v>8404.3451600000262</v>
      </c>
      <c r="G780">
        <f t="shared" si="88"/>
        <v>8404.2999999999993</v>
      </c>
      <c r="H780">
        <f t="shared" si="89"/>
        <v>11.611000000000001</v>
      </c>
      <c r="J780">
        <f t="shared" si="85"/>
        <v>8404.3451600000262</v>
      </c>
      <c r="K780">
        <f t="shared" si="90"/>
        <v>8404.25</v>
      </c>
      <c r="L780">
        <f t="shared" si="86"/>
        <v>8404.25</v>
      </c>
      <c r="M780">
        <f t="shared" si="91"/>
        <v>11.611000000000001</v>
      </c>
    </row>
    <row r="781" spans="1:13" x14ac:dyDescent="0.25">
      <c r="A781" s="1">
        <v>2458404.3454999998</v>
      </c>
      <c r="B781" s="1" t="s">
        <v>142</v>
      </c>
      <c r="C781" s="1">
        <v>11.628</v>
      </c>
      <c r="D781" s="1" t="s">
        <v>292</v>
      </c>
      <c r="E781" t="s">
        <v>101</v>
      </c>
      <c r="F781">
        <f t="shared" si="87"/>
        <v>8404.3454999998212</v>
      </c>
      <c r="G781">
        <f t="shared" si="88"/>
        <v>8404.2999999999993</v>
      </c>
      <c r="H781">
        <f t="shared" si="89"/>
        <v>11.628</v>
      </c>
      <c r="J781">
        <f t="shared" si="85"/>
        <v>8404.3454999998212</v>
      </c>
      <c r="K781">
        <f t="shared" si="90"/>
        <v>8404.25</v>
      </c>
      <c r="L781">
        <f t="shared" si="86"/>
        <v>8404.25</v>
      </c>
      <c r="M781">
        <f t="shared" si="91"/>
        <v>11.628</v>
      </c>
    </row>
    <row r="782" spans="1:13" x14ac:dyDescent="0.25">
      <c r="A782" s="1">
        <v>2458404.5653300001</v>
      </c>
      <c r="B782" s="1" t="s">
        <v>143</v>
      </c>
      <c r="C782" s="1">
        <v>11.653</v>
      </c>
      <c r="D782" s="1" t="s">
        <v>292</v>
      </c>
      <c r="E782" t="s">
        <v>94</v>
      </c>
      <c r="F782">
        <f t="shared" si="87"/>
        <v>8404.5653300001286</v>
      </c>
      <c r="G782">
        <f t="shared" si="88"/>
        <v>8404.6</v>
      </c>
      <c r="H782">
        <f t="shared" si="89"/>
        <v>11.653</v>
      </c>
      <c r="J782">
        <f t="shared" si="85"/>
        <v>8404.5653300001286</v>
      </c>
      <c r="K782">
        <f t="shared" si="90"/>
        <v>8404.5</v>
      </c>
      <c r="L782">
        <f t="shared" si="86"/>
        <v>8404.5</v>
      </c>
      <c r="M782">
        <f t="shared" si="91"/>
        <v>11.653</v>
      </c>
    </row>
    <row r="783" spans="1:13" x14ac:dyDescent="0.25">
      <c r="A783" s="1">
        <v>2458404.5655399999</v>
      </c>
      <c r="B783" s="1" t="s">
        <v>143</v>
      </c>
      <c r="C783" s="1">
        <v>11.661</v>
      </c>
      <c r="D783" s="1" t="s">
        <v>292</v>
      </c>
      <c r="E783" t="s">
        <v>94</v>
      </c>
      <c r="F783">
        <f t="shared" si="87"/>
        <v>8404.565539999865</v>
      </c>
      <c r="G783">
        <f t="shared" si="88"/>
        <v>8404.6</v>
      </c>
      <c r="H783">
        <f t="shared" si="89"/>
        <v>11.661</v>
      </c>
      <c r="J783">
        <f t="shared" si="85"/>
        <v>8404.565539999865</v>
      </c>
      <c r="K783">
        <f t="shared" si="90"/>
        <v>8404.5</v>
      </c>
      <c r="L783">
        <f t="shared" si="86"/>
        <v>8404.5</v>
      </c>
      <c r="M783">
        <f t="shared" si="91"/>
        <v>11.661</v>
      </c>
    </row>
    <row r="784" spans="1:13" x14ac:dyDescent="0.25">
      <c r="A784" s="1">
        <v>2458405.5625399998</v>
      </c>
      <c r="B784" s="1" t="s">
        <v>144</v>
      </c>
      <c r="C784" s="1">
        <v>11.667999999999999</v>
      </c>
      <c r="D784" s="1" t="s">
        <v>292</v>
      </c>
      <c r="E784" t="s">
        <v>94</v>
      </c>
      <c r="F784">
        <f t="shared" si="87"/>
        <v>8405.5625399998389</v>
      </c>
      <c r="G784">
        <f t="shared" si="88"/>
        <v>8405.6</v>
      </c>
      <c r="H784">
        <f t="shared" si="89"/>
        <v>11.667999999999999</v>
      </c>
      <c r="J784">
        <f t="shared" si="85"/>
        <v>8405.5625399998389</v>
      </c>
      <c r="K784">
        <f t="shared" si="90"/>
        <v>8405.5</v>
      </c>
      <c r="L784">
        <f t="shared" si="86"/>
        <v>8405.5</v>
      </c>
      <c r="M784">
        <f t="shared" si="91"/>
        <v>11.667999999999999</v>
      </c>
    </row>
    <row r="785" spans="1:13" x14ac:dyDescent="0.25">
      <c r="A785" s="1">
        <v>2458405.56275</v>
      </c>
      <c r="B785" s="1" t="s">
        <v>144</v>
      </c>
      <c r="C785" s="1">
        <v>11.69</v>
      </c>
      <c r="D785" s="1" t="s">
        <v>292</v>
      </c>
      <c r="E785" t="s">
        <v>94</v>
      </c>
      <c r="F785">
        <f t="shared" si="87"/>
        <v>8405.562750000041</v>
      </c>
      <c r="G785">
        <f t="shared" si="88"/>
        <v>8405.6</v>
      </c>
      <c r="H785">
        <f t="shared" si="89"/>
        <v>11.69</v>
      </c>
      <c r="J785">
        <f t="shared" si="85"/>
        <v>8405.562750000041</v>
      </c>
      <c r="K785">
        <f t="shared" si="90"/>
        <v>8405.5</v>
      </c>
      <c r="L785">
        <f t="shared" si="86"/>
        <v>8405.5</v>
      </c>
      <c r="M785">
        <f t="shared" si="91"/>
        <v>11.69</v>
      </c>
    </row>
    <row r="786" spans="1:13" x14ac:dyDescent="0.25">
      <c r="A786" s="1">
        <v>2458406.2601299998</v>
      </c>
      <c r="B786" s="1" t="s">
        <v>144</v>
      </c>
      <c r="C786" s="1">
        <v>11.641</v>
      </c>
      <c r="D786" s="1" t="s">
        <v>292</v>
      </c>
      <c r="E786" t="s">
        <v>101</v>
      </c>
      <c r="F786">
        <f t="shared" si="87"/>
        <v>8406.260129999835</v>
      </c>
      <c r="G786">
        <f t="shared" si="88"/>
        <v>8406.2999999999993</v>
      </c>
      <c r="H786">
        <f t="shared" si="89"/>
        <v>11.641</v>
      </c>
      <c r="J786">
        <f t="shared" si="85"/>
        <v>8406.260129999835</v>
      </c>
      <c r="K786">
        <f t="shared" si="90"/>
        <v>8406.25</v>
      </c>
      <c r="L786">
        <f t="shared" si="86"/>
        <v>8406.25</v>
      </c>
      <c r="M786">
        <f t="shared" si="91"/>
        <v>11.641</v>
      </c>
    </row>
    <row r="787" spans="1:13" x14ac:dyDescent="0.25">
      <c r="A787" s="1">
        <v>2458406.2604399999</v>
      </c>
      <c r="B787" s="1" t="s">
        <v>144</v>
      </c>
      <c r="C787" s="1">
        <v>11.635999999999999</v>
      </c>
      <c r="D787" s="1" t="s">
        <v>292</v>
      </c>
      <c r="E787" t="s">
        <v>101</v>
      </c>
      <c r="F787">
        <f t="shared" si="87"/>
        <v>8406.2604399998672</v>
      </c>
      <c r="G787">
        <f t="shared" si="88"/>
        <v>8406.2999999999993</v>
      </c>
      <c r="H787">
        <f t="shared" si="89"/>
        <v>11.635999999999999</v>
      </c>
      <c r="J787">
        <f t="shared" si="85"/>
        <v>8406.2604399998672</v>
      </c>
      <c r="K787">
        <f t="shared" si="90"/>
        <v>8406.25</v>
      </c>
      <c r="L787">
        <f t="shared" si="86"/>
        <v>8406.25</v>
      </c>
      <c r="M787">
        <f t="shared" si="91"/>
        <v>11.635999999999999</v>
      </c>
    </row>
    <row r="788" spans="1:13" x14ac:dyDescent="0.25">
      <c r="A788" s="1">
        <v>2458406.5597999999</v>
      </c>
      <c r="B788" s="1" t="s">
        <v>145</v>
      </c>
      <c r="C788" s="1">
        <v>11.69</v>
      </c>
      <c r="D788" s="1" t="s">
        <v>292</v>
      </c>
      <c r="E788" t="s">
        <v>94</v>
      </c>
      <c r="F788">
        <f t="shared" si="87"/>
        <v>8406.55979999993</v>
      </c>
      <c r="G788">
        <f t="shared" si="88"/>
        <v>8406.6</v>
      </c>
      <c r="H788">
        <f t="shared" si="89"/>
        <v>11.69</v>
      </c>
      <c r="J788">
        <f t="shared" si="85"/>
        <v>8406.55979999993</v>
      </c>
      <c r="K788">
        <f t="shared" si="90"/>
        <v>8406.5</v>
      </c>
      <c r="L788">
        <f t="shared" si="86"/>
        <v>8406.5</v>
      </c>
      <c r="M788">
        <f t="shared" si="91"/>
        <v>11.69</v>
      </c>
    </row>
    <row r="789" spans="1:13" x14ac:dyDescent="0.25">
      <c r="A789" s="1">
        <v>2458406.5600100001</v>
      </c>
      <c r="B789" s="1" t="s">
        <v>145</v>
      </c>
      <c r="C789" s="1">
        <v>11.651</v>
      </c>
      <c r="D789" s="1" t="s">
        <v>292</v>
      </c>
      <c r="E789" t="s">
        <v>94</v>
      </c>
      <c r="F789">
        <f t="shared" si="87"/>
        <v>8406.560010000132</v>
      </c>
      <c r="G789">
        <f t="shared" si="88"/>
        <v>8406.6</v>
      </c>
      <c r="H789">
        <f t="shared" si="89"/>
        <v>11.651</v>
      </c>
      <c r="J789">
        <f t="shared" si="85"/>
        <v>8406.560010000132</v>
      </c>
      <c r="K789">
        <f t="shared" si="90"/>
        <v>8406.5</v>
      </c>
      <c r="L789">
        <f t="shared" si="86"/>
        <v>8406.5</v>
      </c>
      <c r="M789">
        <f t="shared" si="91"/>
        <v>11.651</v>
      </c>
    </row>
    <row r="790" spans="1:13" x14ac:dyDescent="0.25">
      <c r="A790" s="1">
        <v>2458407.29575</v>
      </c>
      <c r="B790" s="1" t="s">
        <v>145</v>
      </c>
      <c r="C790" s="1">
        <v>11.629</v>
      </c>
      <c r="D790" s="1" t="s">
        <v>292</v>
      </c>
      <c r="E790" t="s">
        <v>101</v>
      </c>
      <c r="F790">
        <f t="shared" si="87"/>
        <v>8407.2957500000484</v>
      </c>
      <c r="G790">
        <f t="shared" si="88"/>
        <v>8407.2999999999993</v>
      </c>
      <c r="H790">
        <f t="shared" si="89"/>
        <v>11.629</v>
      </c>
      <c r="J790">
        <f t="shared" si="85"/>
        <v>8407.2957500000484</v>
      </c>
      <c r="K790">
        <f t="shared" si="90"/>
        <v>8407.25</v>
      </c>
      <c r="L790">
        <f t="shared" si="86"/>
        <v>8407.25</v>
      </c>
      <c r="M790">
        <f t="shared" si="91"/>
        <v>11.629</v>
      </c>
    </row>
    <row r="791" spans="1:13" x14ac:dyDescent="0.25">
      <c r="A791" s="1">
        <v>2458407.2960600001</v>
      </c>
      <c r="B791" s="1" t="s">
        <v>145</v>
      </c>
      <c r="C791" s="1">
        <v>11.629</v>
      </c>
      <c r="D791" s="1" t="s">
        <v>292</v>
      </c>
      <c r="E791" t="s">
        <v>101</v>
      </c>
      <c r="F791">
        <f t="shared" si="87"/>
        <v>8407.2960600000806</v>
      </c>
      <c r="G791">
        <f t="shared" si="88"/>
        <v>8407.2999999999993</v>
      </c>
      <c r="H791">
        <f t="shared" si="89"/>
        <v>11.629</v>
      </c>
      <c r="J791">
        <f t="shared" si="85"/>
        <v>8407.2960600000806</v>
      </c>
      <c r="K791">
        <f t="shared" si="90"/>
        <v>8407.25</v>
      </c>
      <c r="L791">
        <f t="shared" si="86"/>
        <v>8407.25</v>
      </c>
      <c r="M791">
        <f t="shared" si="91"/>
        <v>11.629</v>
      </c>
    </row>
    <row r="792" spans="1:13" x14ac:dyDescent="0.25">
      <c r="A792" s="1">
        <v>2458407.5570200002</v>
      </c>
      <c r="B792" s="1" t="s">
        <v>146</v>
      </c>
      <c r="C792" s="1">
        <v>11.696</v>
      </c>
      <c r="D792" s="1" t="s">
        <v>292</v>
      </c>
      <c r="E792" t="s">
        <v>94</v>
      </c>
      <c r="F792">
        <f t="shared" si="87"/>
        <v>8407.5570200001821</v>
      </c>
      <c r="G792">
        <f t="shared" si="88"/>
        <v>8407.6</v>
      </c>
      <c r="H792">
        <f t="shared" si="89"/>
        <v>11.696</v>
      </c>
      <c r="J792">
        <f t="shared" si="85"/>
        <v>8407.5570200001821</v>
      </c>
      <c r="K792">
        <f t="shared" si="90"/>
        <v>8407.5</v>
      </c>
      <c r="L792">
        <f t="shared" si="86"/>
        <v>8407.5</v>
      </c>
      <c r="M792">
        <f t="shared" si="91"/>
        <v>11.696</v>
      </c>
    </row>
    <row r="793" spans="1:13" x14ac:dyDescent="0.25">
      <c r="A793" s="1">
        <v>2458407.5572299999</v>
      </c>
      <c r="B793" s="1" t="s">
        <v>146</v>
      </c>
      <c r="C793" s="1">
        <v>11.698</v>
      </c>
      <c r="D793" s="1" t="s">
        <v>292</v>
      </c>
      <c r="E793" t="s">
        <v>94</v>
      </c>
      <c r="F793">
        <f t="shared" si="87"/>
        <v>8407.5572299999185</v>
      </c>
      <c r="G793">
        <f t="shared" si="88"/>
        <v>8407.6</v>
      </c>
      <c r="H793">
        <f t="shared" si="89"/>
        <v>11.698</v>
      </c>
      <c r="J793">
        <f t="shared" ref="J793:J856" si="92">+F793</f>
        <v>8407.5572299999185</v>
      </c>
      <c r="K793">
        <f t="shared" si="90"/>
        <v>8407.5</v>
      </c>
      <c r="L793">
        <f t="shared" ref="L793:L856" si="93">+IF(J793-K793&gt;0.25,K793+0.25,K793)</f>
        <v>8407.5</v>
      </c>
      <c r="M793">
        <f t="shared" si="91"/>
        <v>11.698</v>
      </c>
    </row>
    <row r="794" spans="1:13" x14ac:dyDescent="0.25">
      <c r="A794" s="1">
        <v>2458408.5541500002</v>
      </c>
      <c r="B794" s="1" t="s">
        <v>147</v>
      </c>
      <c r="C794" s="1">
        <v>11.641</v>
      </c>
      <c r="D794" s="1" t="s">
        <v>292</v>
      </c>
      <c r="E794" t="s">
        <v>94</v>
      </c>
      <c r="F794">
        <f t="shared" si="87"/>
        <v>8408.5541500002146</v>
      </c>
      <c r="G794">
        <f t="shared" si="88"/>
        <v>8408.6</v>
      </c>
      <c r="H794">
        <f t="shared" si="89"/>
        <v>11.641</v>
      </c>
      <c r="J794">
        <f t="shared" si="92"/>
        <v>8408.5541500002146</v>
      </c>
      <c r="K794">
        <f t="shared" si="90"/>
        <v>8408.5</v>
      </c>
      <c r="L794">
        <f t="shared" si="93"/>
        <v>8408.5</v>
      </c>
      <c r="M794">
        <f t="shared" si="91"/>
        <v>11.641</v>
      </c>
    </row>
    <row r="795" spans="1:13" x14ac:dyDescent="0.25">
      <c r="A795" s="1">
        <v>2458408.55437</v>
      </c>
      <c r="B795" s="1" t="s">
        <v>147</v>
      </c>
      <c r="C795" s="1">
        <v>11.682</v>
      </c>
      <c r="D795" s="1" t="s">
        <v>292</v>
      </c>
      <c r="E795" t="s">
        <v>94</v>
      </c>
      <c r="F795">
        <f t="shared" si="87"/>
        <v>8408.5543700000271</v>
      </c>
      <c r="G795">
        <f t="shared" si="88"/>
        <v>8408.6</v>
      </c>
      <c r="H795">
        <f t="shared" si="89"/>
        <v>11.682</v>
      </c>
      <c r="J795">
        <f t="shared" si="92"/>
        <v>8408.5543700000271</v>
      </c>
      <c r="K795">
        <f t="shared" si="90"/>
        <v>8408.5</v>
      </c>
      <c r="L795">
        <f t="shared" si="93"/>
        <v>8408.5</v>
      </c>
      <c r="M795">
        <f t="shared" si="91"/>
        <v>11.682</v>
      </c>
    </row>
    <row r="796" spans="1:13" x14ac:dyDescent="0.25">
      <c r="A796" s="1">
        <v>2458409.2542400002</v>
      </c>
      <c r="B796" s="1" t="s">
        <v>147</v>
      </c>
      <c r="C796" s="1">
        <v>11.601000000000001</v>
      </c>
      <c r="D796" s="1" t="s">
        <v>292</v>
      </c>
      <c r="E796" t="s">
        <v>101</v>
      </c>
      <c r="F796">
        <f t="shared" si="87"/>
        <v>8409.2542400001548</v>
      </c>
      <c r="G796">
        <f t="shared" si="88"/>
        <v>8409.2999999999993</v>
      </c>
      <c r="H796">
        <f t="shared" si="89"/>
        <v>11.601000000000001</v>
      </c>
      <c r="J796">
        <f t="shared" si="92"/>
        <v>8409.2542400001548</v>
      </c>
      <c r="K796">
        <f t="shared" si="90"/>
        <v>8409.25</v>
      </c>
      <c r="L796">
        <f t="shared" si="93"/>
        <v>8409.25</v>
      </c>
      <c r="M796">
        <f t="shared" si="91"/>
        <v>11.601000000000001</v>
      </c>
    </row>
    <row r="797" spans="1:13" x14ac:dyDescent="0.25">
      <c r="A797" s="1">
        <v>2458409.2545500002</v>
      </c>
      <c r="B797" s="1" t="s">
        <v>147</v>
      </c>
      <c r="C797" s="1">
        <v>11.613</v>
      </c>
      <c r="D797" s="1" t="s">
        <v>292</v>
      </c>
      <c r="E797" t="s">
        <v>101</v>
      </c>
      <c r="F797">
        <f t="shared" si="87"/>
        <v>8409.254550000187</v>
      </c>
      <c r="G797">
        <f t="shared" si="88"/>
        <v>8409.2999999999993</v>
      </c>
      <c r="H797">
        <f t="shared" si="89"/>
        <v>11.613</v>
      </c>
      <c r="J797">
        <f t="shared" si="92"/>
        <v>8409.254550000187</v>
      </c>
      <c r="K797">
        <f t="shared" si="90"/>
        <v>8409.25</v>
      </c>
      <c r="L797">
        <f t="shared" si="93"/>
        <v>8409.25</v>
      </c>
      <c r="M797">
        <f t="shared" si="91"/>
        <v>11.613</v>
      </c>
    </row>
    <row r="798" spans="1:13" x14ac:dyDescent="0.25">
      <c r="A798" s="1">
        <v>2458409.5513800001</v>
      </c>
      <c r="B798" s="1" t="s">
        <v>148</v>
      </c>
      <c r="C798" s="1">
        <v>11.686999999999999</v>
      </c>
      <c r="D798" s="1" t="s">
        <v>292</v>
      </c>
      <c r="E798" t="s">
        <v>94</v>
      </c>
      <c r="F798">
        <f t="shared" si="87"/>
        <v>8409.5513800000772</v>
      </c>
      <c r="G798">
        <f t="shared" si="88"/>
        <v>8409.6</v>
      </c>
      <c r="H798">
        <f t="shared" si="89"/>
        <v>11.686999999999999</v>
      </c>
      <c r="J798">
        <f t="shared" si="92"/>
        <v>8409.5513800000772</v>
      </c>
      <c r="K798">
        <f t="shared" si="90"/>
        <v>8409.5</v>
      </c>
      <c r="L798">
        <f t="shared" si="93"/>
        <v>8409.5</v>
      </c>
      <c r="M798">
        <f t="shared" si="91"/>
        <v>11.686999999999999</v>
      </c>
    </row>
    <row r="799" spans="1:13" x14ac:dyDescent="0.25">
      <c r="A799" s="1">
        <v>2458409.5515899998</v>
      </c>
      <c r="B799" s="1" t="s">
        <v>148</v>
      </c>
      <c r="C799" s="1">
        <v>11.662000000000001</v>
      </c>
      <c r="D799" s="1" t="s">
        <v>292</v>
      </c>
      <c r="E799" t="s">
        <v>94</v>
      </c>
      <c r="F799">
        <f t="shared" si="87"/>
        <v>8409.5515899998136</v>
      </c>
      <c r="G799">
        <f t="shared" si="88"/>
        <v>8409.6</v>
      </c>
      <c r="H799">
        <f t="shared" si="89"/>
        <v>11.662000000000001</v>
      </c>
      <c r="J799">
        <f t="shared" si="92"/>
        <v>8409.5515899998136</v>
      </c>
      <c r="K799">
        <f t="shared" si="90"/>
        <v>8409.5</v>
      </c>
      <c r="L799">
        <f t="shared" si="93"/>
        <v>8409.5</v>
      </c>
      <c r="M799">
        <f t="shared" si="91"/>
        <v>11.662000000000001</v>
      </c>
    </row>
    <row r="800" spans="1:13" x14ac:dyDescent="0.25">
      <c r="A800" s="1">
        <v>2458410.5486499998</v>
      </c>
      <c r="B800" s="1" t="s">
        <v>149</v>
      </c>
      <c r="C800" s="1">
        <v>11.683</v>
      </c>
      <c r="D800" s="1" t="s">
        <v>292</v>
      </c>
      <c r="E800" t="s">
        <v>94</v>
      </c>
      <c r="F800">
        <f t="shared" si="87"/>
        <v>8410.5486499997787</v>
      </c>
      <c r="G800">
        <f t="shared" si="88"/>
        <v>8410.5</v>
      </c>
      <c r="H800">
        <f t="shared" si="89"/>
        <v>11.683</v>
      </c>
      <c r="J800">
        <f t="shared" si="92"/>
        <v>8410.5486499997787</v>
      </c>
      <c r="K800">
        <f t="shared" si="90"/>
        <v>8410.5</v>
      </c>
      <c r="L800">
        <f t="shared" si="93"/>
        <v>8410.5</v>
      </c>
      <c r="M800">
        <f t="shared" si="91"/>
        <v>11.683</v>
      </c>
    </row>
    <row r="801" spans="1:13" x14ac:dyDescent="0.25">
      <c r="A801" s="1">
        <v>2458410.54886</v>
      </c>
      <c r="B801" s="1" t="s">
        <v>149</v>
      </c>
      <c r="C801" s="1">
        <v>11.686999999999999</v>
      </c>
      <c r="D801" s="1" t="s">
        <v>292</v>
      </c>
      <c r="E801" t="s">
        <v>94</v>
      </c>
      <c r="F801">
        <f t="shared" si="87"/>
        <v>8410.5488599999808</v>
      </c>
      <c r="G801">
        <f t="shared" si="88"/>
        <v>8410.5</v>
      </c>
      <c r="H801">
        <f t="shared" si="89"/>
        <v>11.686999999999999</v>
      </c>
      <c r="J801">
        <f t="shared" si="92"/>
        <v>8410.5488599999808</v>
      </c>
      <c r="K801">
        <f t="shared" si="90"/>
        <v>8410.5</v>
      </c>
      <c r="L801">
        <f t="shared" si="93"/>
        <v>8410.5</v>
      </c>
      <c r="M801">
        <f t="shared" si="91"/>
        <v>11.686999999999999</v>
      </c>
    </row>
    <row r="802" spans="1:13" x14ac:dyDescent="0.25">
      <c r="A802" s="1">
        <v>2458411.3205300001</v>
      </c>
      <c r="B802" s="1" t="s">
        <v>149</v>
      </c>
      <c r="C802" s="1">
        <v>11.645</v>
      </c>
      <c r="D802" s="1" t="s">
        <v>292</v>
      </c>
      <c r="E802" t="s">
        <v>101</v>
      </c>
      <c r="F802">
        <f t="shared" si="87"/>
        <v>8411.3205300001428</v>
      </c>
      <c r="G802">
        <f t="shared" si="88"/>
        <v>8411.2999999999993</v>
      </c>
      <c r="H802">
        <f t="shared" si="89"/>
        <v>11.645</v>
      </c>
      <c r="J802">
        <f t="shared" si="92"/>
        <v>8411.3205300001428</v>
      </c>
      <c r="K802">
        <f t="shared" si="90"/>
        <v>8411.25</v>
      </c>
      <c r="L802">
        <f t="shared" si="93"/>
        <v>8411.25</v>
      </c>
      <c r="M802">
        <f t="shared" si="91"/>
        <v>11.645</v>
      </c>
    </row>
    <row r="803" spans="1:13" x14ac:dyDescent="0.25">
      <c r="A803" s="1">
        <v>2458411.3208400002</v>
      </c>
      <c r="B803" s="1" t="s">
        <v>149</v>
      </c>
      <c r="C803" s="1">
        <v>11.635999999999999</v>
      </c>
      <c r="D803" s="1" t="s">
        <v>292</v>
      </c>
      <c r="E803" t="s">
        <v>101</v>
      </c>
      <c r="F803">
        <f t="shared" si="87"/>
        <v>8411.3208400001749</v>
      </c>
      <c r="G803">
        <f t="shared" si="88"/>
        <v>8411.2999999999993</v>
      </c>
      <c r="H803">
        <f t="shared" si="89"/>
        <v>11.635999999999999</v>
      </c>
      <c r="J803">
        <f t="shared" si="92"/>
        <v>8411.3208400001749</v>
      </c>
      <c r="K803">
        <f t="shared" si="90"/>
        <v>8411.25</v>
      </c>
      <c r="L803">
        <f t="shared" si="93"/>
        <v>8411.25</v>
      </c>
      <c r="M803">
        <f t="shared" si="91"/>
        <v>11.635999999999999</v>
      </c>
    </row>
    <row r="804" spans="1:13" x14ac:dyDescent="0.25">
      <c r="A804" s="1">
        <v>2458411.5458200001</v>
      </c>
      <c r="B804" s="1" t="s">
        <v>150</v>
      </c>
      <c r="C804" s="1">
        <v>11.659000000000001</v>
      </c>
      <c r="D804" s="1" t="s">
        <v>292</v>
      </c>
      <c r="E804" t="s">
        <v>94</v>
      </c>
      <c r="F804">
        <f t="shared" si="87"/>
        <v>8411.5458200001158</v>
      </c>
      <c r="G804">
        <f t="shared" si="88"/>
        <v>8411.5</v>
      </c>
      <c r="H804">
        <f t="shared" si="89"/>
        <v>11.659000000000001</v>
      </c>
      <c r="J804">
        <f t="shared" si="92"/>
        <v>8411.5458200001158</v>
      </c>
      <c r="K804">
        <f t="shared" si="90"/>
        <v>8411.5</v>
      </c>
      <c r="L804">
        <f t="shared" si="93"/>
        <v>8411.5</v>
      </c>
      <c r="M804">
        <f t="shared" si="91"/>
        <v>11.659000000000001</v>
      </c>
    </row>
    <row r="805" spans="1:13" x14ac:dyDescent="0.25">
      <c r="A805" s="1">
        <v>2458411.5460199998</v>
      </c>
      <c r="B805" s="1" t="s">
        <v>150</v>
      </c>
      <c r="C805" s="1">
        <v>11.678000000000001</v>
      </c>
      <c r="D805" s="1" t="s">
        <v>292</v>
      </c>
      <c r="E805" t="s">
        <v>94</v>
      </c>
      <c r="F805">
        <f t="shared" si="87"/>
        <v>8411.546019999776</v>
      </c>
      <c r="G805">
        <f t="shared" si="88"/>
        <v>8411.5</v>
      </c>
      <c r="H805">
        <f t="shared" si="89"/>
        <v>11.678000000000001</v>
      </c>
      <c r="J805">
        <f t="shared" si="92"/>
        <v>8411.546019999776</v>
      </c>
      <c r="K805">
        <f t="shared" si="90"/>
        <v>8411.5</v>
      </c>
      <c r="L805">
        <f t="shared" si="93"/>
        <v>8411.5</v>
      </c>
      <c r="M805">
        <f t="shared" si="91"/>
        <v>11.678000000000001</v>
      </c>
    </row>
    <row r="806" spans="1:13" x14ac:dyDescent="0.25">
      <c r="A806" s="1">
        <v>2458413.5409200001</v>
      </c>
      <c r="B806" s="1" t="s">
        <v>151</v>
      </c>
      <c r="C806" s="1">
        <v>11.691000000000001</v>
      </c>
      <c r="D806" s="1" t="s">
        <v>292</v>
      </c>
      <c r="E806" t="s">
        <v>94</v>
      </c>
      <c r="F806">
        <f t="shared" si="87"/>
        <v>8413.5409200000577</v>
      </c>
      <c r="G806">
        <f t="shared" si="88"/>
        <v>8413.5</v>
      </c>
      <c r="H806">
        <f t="shared" si="89"/>
        <v>11.691000000000001</v>
      </c>
      <c r="J806">
        <f t="shared" si="92"/>
        <v>8413.5409200000577</v>
      </c>
      <c r="K806">
        <f t="shared" si="90"/>
        <v>8413.5</v>
      </c>
      <c r="L806">
        <f t="shared" si="93"/>
        <v>8413.5</v>
      </c>
      <c r="M806">
        <f t="shared" si="91"/>
        <v>11.691000000000001</v>
      </c>
    </row>
    <row r="807" spans="1:13" x14ac:dyDescent="0.25">
      <c r="A807" s="1">
        <v>2458413.5411399999</v>
      </c>
      <c r="B807" s="1" t="s">
        <v>151</v>
      </c>
      <c r="C807" s="1">
        <v>11.648</v>
      </c>
      <c r="D807" s="1" t="s">
        <v>292</v>
      </c>
      <c r="E807" t="s">
        <v>94</v>
      </c>
      <c r="F807">
        <f t="shared" si="87"/>
        <v>8413.5411399998702</v>
      </c>
      <c r="G807">
        <f t="shared" si="88"/>
        <v>8413.5</v>
      </c>
      <c r="H807">
        <f t="shared" si="89"/>
        <v>11.648</v>
      </c>
      <c r="J807">
        <f t="shared" si="92"/>
        <v>8413.5411399998702</v>
      </c>
      <c r="K807">
        <f t="shared" si="90"/>
        <v>8413.5</v>
      </c>
      <c r="L807">
        <f t="shared" si="93"/>
        <v>8413.5</v>
      </c>
      <c r="M807">
        <f t="shared" si="91"/>
        <v>11.648</v>
      </c>
    </row>
    <row r="808" spans="1:13" x14ac:dyDescent="0.25">
      <c r="A808" s="1">
        <v>2458414.5381700001</v>
      </c>
      <c r="B808" s="1" t="s">
        <v>152</v>
      </c>
      <c r="C808" s="1">
        <v>11.711</v>
      </c>
      <c r="D808" s="1" t="s">
        <v>292</v>
      </c>
      <c r="E808" t="s">
        <v>94</v>
      </c>
      <c r="F808">
        <f t="shared" si="87"/>
        <v>8414.5381700000726</v>
      </c>
      <c r="G808">
        <f t="shared" si="88"/>
        <v>8414.5</v>
      </c>
      <c r="H808">
        <f t="shared" si="89"/>
        <v>11.711</v>
      </c>
      <c r="J808">
        <f t="shared" si="92"/>
        <v>8414.5381700000726</v>
      </c>
      <c r="K808">
        <f t="shared" si="90"/>
        <v>8414.5</v>
      </c>
      <c r="L808">
        <f t="shared" si="93"/>
        <v>8414.5</v>
      </c>
      <c r="M808">
        <f t="shared" si="91"/>
        <v>11.711</v>
      </c>
    </row>
    <row r="809" spans="1:13" x14ac:dyDescent="0.25">
      <c r="A809" s="1">
        <v>2458414.5383700002</v>
      </c>
      <c r="B809" s="1" t="s">
        <v>152</v>
      </c>
      <c r="C809" s="1">
        <v>11.717000000000001</v>
      </c>
      <c r="D809" s="1" t="s">
        <v>292</v>
      </c>
      <c r="E809" t="s">
        <v>94</v>
      </c>
      <c r="F809">
        <f t="shared" si="87"/>
        <v>8414.5383700001985</v>
      </c>
      <c r="G809">
        <f t="shared" si="88"/>
        <v>8414.5</v>
      </c>
      <c r="H809">
        <f t="shared" si="89"/>
        <v>11.717000000000001</v>
      </c>
      <c r="J809">
        <f t="shared" si="92"/>
        <v>8414.5383700001985</v>
      </c>
      <c r="K809">
        <f t="shared" si="90"/>
        <v>8414.5</v>
      </c>
      <c r="L809">
        <f t="shared" si="93"/>
        <v>8414.5</v>
      </c>
      <c r="M809">
        <f t="shared" si="91"/>
        <v>11.717000000000001</v>
      </c>
    </row>
    <row r="810" spans="1:13" x14ac:dyDescent="0.25">
      <c r="A810" s="1">
        <v>2458415.2420299998</v>
      </c>
      <c r="B810" s="1" t="s">
        <v>152</v>
      </c>
      <c r="C810" s="1">
        <v>11.657999999999999</v>
      </c>
      <c r="D810" s="1" t="s">
        <v>292</v>
      </c>
      <c r="E810" t="s">
        <v>101</v>
      </c>
      <c r="F810">
        <f t="shared" si="87"/>
        <v>8415.2420299998485</v>
      </c>
      <c r="G810">
        <f t="shared" si="88"/>
        <v>8415.2000000000007</v>
      </c>
      <c r="H810">
        <f t="shared" si="89"/>
        <v>11.657999999999999</v>
      </c>
      <c r="J810">
        <f t="shared" si="92"/>
        <v>8415.2420299998485</v>
      </c>
      <c r="K810">
        <f t="shared" si="90"/>
        <v>8415</v>
      </c>
      <c r="L810">
        <f t="shared" si="93"/>
        <v>8415</v>
      </c>
      <c r="M810">
        <f t="shared" si="91"/>
        <v>11.657999999999999</v>
      </c>
    </row>
    <row r="811" spans="1:13" x14ac:dyDescent="0.25">
      <c r="A811" s="1">
        <v>2458415.2423399999</v>
      </c>
      <c r="B811" s="1" t="s">
        <v>152</v>
      </c>
      <c r="C811" s="1">
        <v>11.663</v>
      </c>
      <c r="D811" s="1" t="s">
        <v>292</v>
      </c>
      <c r="E811" t="s">
        <v>101</v>
      </c>
      <c r="F811">
        <f t="shared" si="87"/>
        <v>8415.2423399998806</v>
      </c>
      <c r="G811">
        <f t="shared" si="88"/>
        <v>8415.2000000000007</v>
      </c>
      <c r="H811">
        <f t="shared" si="89"/>
        <v>11.663</v>
      </c>
      <c r="J811">
        <f t="shared" si="92"/>
        <v>8415.2423399998806</v>
      </c>
      <c r="K811">
        <f t="shared" si="90"/>
        <v>8415</v>
      </c>
      <c r="L811">
        <f t="shared" si="93"/>
        <v>8415</v>
      </c>
      <c r="M811">
        <f t="shared" si="91"/>
        <v>11.663</v>
      </c>
    </row>
    <row r="812" spans="1:13" x14ac:dyDescent="0.25">
      <c r="A812" s="1">
        <v>2458415.53541</v>
      </c>
      <c r="B812" s="1" t="s">
        <v>153</v>
      </c>
      <c r="C812" s="1">
        <v>11.715</v>
      </c>
      <c r="D812" s="1" t="s">
        <v>292</v>
      </c>
      <c r="E812" t="s">
        <v>94</v>
      </c>
      <c r="F812">
        <f t="shared" si="87"/>
        <v>8415.5354100000113</v>
      </c>
      <c r="G812">
        <f t="shared" si="88"/>
        <v>8415.5</v>
      </c>
      <c r="H812">
        <f t="shared" si="89"/>
        <v>11.715</v>
      </c>
      <c r="J812">
        <f t="shared" si="92"/>
        <v>8415.5354100000113</v>
      </c>
      <c r="K812">
        <f t="shared" si="90"/>
        <v>8415.5</v>
      </c>
      <c r="L812">
        <f t="shared" si="93"/>
        <v>8415.5</v>
      </c>
      <c r="M812">
        <f t="shared" si="91"/>
        <v>11.715</v>
      </c>
    </row>
    <row r="813" spans="1:13" x14ac:dyDescent="0.25">
      <c r="A813" s="1">
        <v>2458415.5356299998</v>
      </c>
      <c r="B813" s="1" t="s">
        <v>153</v>
      </c>
      <c r="C813" s="1">
        <v>11.71</v>
      </c>
      <c r="D813" s="1" t="s">
        <v>292</v>
      </c>
      <c r="E813" t="s">
        <v>94</v>
      </c>
      <c r="F813">
        <f t="shared" si="87"/>
        <v>8415.5356299998239</v>
      </c>
      <c r="G813">
        <f t="shared" si="88"/>
        <v>8415.5</v>
      </c>
      <c r="H813">
        <f t="shared" si="89"/>
        <v>11.71</v>
      </c>
      <c r="J813">
        <f t="shared" si="92"/>
        <v>8415.5356299998239</v>
      </c>
      <c r="K813">
        <f t="shared" si="90"/>
        <v>8415.5</v>
      </c>
      <c r="L813">
        <f t="shared" si="93"/>
        <v>8415.5</v>
      </c>
      <c r="M813">
        <f t="shared" si="91"/>
        <v>11.71</v>
      </c>
    </row>
    <row r="814" spans="1:13" x14ac:dyDescent="0.25">
      <c r="A814" s="1">
        <v>2458416.5326</v>
      </c>
      <c r="B814" s="1" t="s">
        <v>154</v>
      </c>
      <c r="C814" s="1">
        <v>11.714</v>
      </c>
      <c r="D814" s="1" t="s">
        <v>292</v>
      </c>
      <c r="E814" t="s">
        <v>94</v>
      </c>
      <c r="F814">
        <f t="shared" si="87"/>
        <v>8416.532600000035</v>
      </c>
      <c r="G814">
        <f t="shared" si="88"/>
        <v>8416.5</v>
      </c>
      <c r="H814">
        <f t="shared" si="89"/>
        <v>11.714</v>
      </c>
      <c r="J814">
        <f t="shared" si="92"/>
        <v>8416.532600000035</v>
      </c>
      <c r="K814">
        <f t="shared" si="90"/>
        <v>8416.5</v>
      </c>
      <c r="L814">
        <f t="shared" si="93"/>
        <v>8416.5</v>
      </c>
      <c r="M814">
        <f t="shared" si="91"/>
        <v>11.714</v>
      </c>
    </row>
    <row r="815" spans="1:13" x14ac:dyDescent="0.25">
      <c r="A815" s="1">
        <v>2458416.5328199998</v>
      </c>
      <c r="B815" s="1" t="s">
        <v>154</v>
      </c>
      <c r="C815" s="1">
        <v>11.718999999999999</v>
      </c>
      <c r="D815" s="1" t="s">
        <v>292</v>
      </c>
      <c r="E815" t="s">
        <v>94</v>
      </c>
      <c r="F815">
        <f t="shared" si="87"/>
        <v>8416.5328199998476</v>
      </c>
      <c r="G815">
        <f t="shared" si="88"/>
        <v>8416.5</v>
      </c>
      <c r="H815">
        <f t="shared" si="89"/>
        <v>11.718999999999999</v>
      </c>
      <c r="J815">
        <f t="shared" si="92"/>
        <v>8416.5328199998476</v>
      </c>
      <c r="K815">
        <f t="shared" si="90"/>
        <v>8416.5</v>
      </c>
      <c r="L815">
        <f t="shared" si="93"/>
        <v>8416.5</v>
      </c>
      <c r="M815">
        <f t="shared" si="91"/>
        <v>11.718999999999999</v>
      </c>
    </row>
    <row r="816" spans="1:13" x14ac:dyDescent="0.25">
      <c r="A816" s="1">
        <v>2458417.5334100001</v>
      </c>
      <c r="B816" s="1" t="s">
        <v>155</v>
      </c>
      <c r="C816" s="1">
        <v>11.685</v>
      </c>
      <c r="D816" s="1" t="s">
        <v>292</v>
      </c>
      <c r="E816" t="s">
        <v>94</v>
      </c>
      <c r="F816">
        <f t="shared" si="87"/>
        <v>8417.5334100001492</v>
      </c>
      <c r="G816">
        <f t="shared" si="88"/>
        <v>8417.5</v>
      </c>
      <c r="H816">
        <f t="shared" si="89"/>
        <v>11.685</v>
      </c>
      <c r="J816">
        <f t="shared" si="92"/>
        <v>8417.5334100001492</v>
      </c>
      <c r="K816">
        <f t="shared" si="90"/>
        <v>8417.5</v>
      </c>
      <c r="L816">
        <f t="shared" si="93"/>
        <v>8417.5</v>
      </c>
      <c r="M816">
        <f t="shared" si="91"/>
        <v>11.685</v>
      </c>
    </row>
    <row r="817" spans="1:13" x14ac:dyDescent="0.25">
      <c r="A817" s="1">
        <v>2458417.53363</v>
      </c>
      <c r="B817" s="1" t="s">
        <v>155</v>
      </c>
      <c r="C817" s="1">
        <v>11.688000000000001</v>
      </c>
      <c r="D817" s="1" t="s">
        <v>292</v>
      </c>
      <c r="E817" t="s">
        <v>94</v>
      </c>
      <c r="F817">
        <f t="shared" si="87"/>
        <v>8417.5336299999617</v>
      </c>
      <c r="G817">
        <f t="shared" si="88"/>
        <v>8417.5</v>
      </c>
      <c r="H817">
        <f t="shared" si="89"/>
        <v>11.688000000000001</v>
      </c>
      <c r="J817">
        <f t="shared" si="92"/>
        <v>8417.5336299999617</v>
      </c>
      <c r="K817">
        <f t="shared" si="90"/>
        <v>8417.5</v>
      </c>
      <c r="L817">
        <f t="shared" si="93"/>
        <v>8417.5</v>
      </c>
      <c r="M817">
        <f t="shared" si="91"/>
        <v>11.688000000000001</v>
      </c>
    </row>
    <row r="818" spans="1:13" x14ac:dyDescent="0.25">
      <c r="A818" s="1">
        <v>2458418.52795</v>
      </c>
      <c r="B818" s="1" t="s">
        <v>156</v>
      </c>
      <c r="C818" s="1">
        <v>11.754</v>
      </c>
      <c r="D818" s="1" t="s">
        <v>292</v>
      </c>
      <c r="E818" t="s">
        <v>94</v>
      </c>
      <c r="F818">
        <f t="shared" si="87"/>
        <v>8418.5279500000179</v>
      </c>
      <c r="G818">
        <f t="shared" si="88"/>
        <v>8418.5</v>
      </c>
      <c r="H818">
        <f t="shared" si="89"/>
        <v>11.754</v>
      </c>
      <c r="J818">
        <f t="shared" si="92"/>
        <v>8418.5279500000179</v>
      </c>
      <c r="K818">
        <f t="shared" si="90"/>
        <v>8418.5</v>
      </c>
      <c r="L818">
        <f t="shared" si="93"/>
        <v>8418.5</v>
      </c>
      <c r="M818">
        <f t="shared" si="91"/>
        <v>11.754</v>
      </c>
    </row>
    <row r="819" spans="1:13" x14ac:dyDescent="0.25">
      <c r="A819" s="1">
        <v>2458418.5281699998</v>
      </c>
      <c r="B819" s="1" t="s">
        <v>156</v>
      </c>
      <c r="C819" s="1">
        <v>11.731</v>
      </c>
      <c r="D819" s="1" t="s">
        <v>292</v>
      </c>
      <c r="E819" t="s">
        <v>94</v>
      </c>
      <c r="F819">
        <f t="shared" si="87"/>
        <v>8418.5281699998304</v>
      </c>
      <c r="G819">
        <f t="shared" si="88"/>
        <v>8418.5</v>
      </c>
      <c r="H819">
        <f t="shared" si="89"/>
        <v>11.731</v>
      </c>
      <c r="J819">
        <f t="shared" si="92"/>
        <v>8418.5281699998304</v>
      </c>
      <c r="K819">
        <f t="shared" si="90"/>
        <v>8418.5</v>
      </c>
      <c r="L819">
        <f t="shared" si="93"/>
        <v>8418.5</v>
      </c>
      <c r="M819">
        <f t="shared" si="91"/>
        <v>11.731</v>
      </c>
    </row>
    <row r="820" spans="1:13" x14ac:dyDescent="0.25">
      <c r="A820" s="1">
        <v>2458419.52788</v>
      </c>
      <c r="B820" s="1" t="s">
        <v>157</v>
      </c>
      <c r="C820" s="1">
        <v>11.73</v>
      </c>
      <c r="D820" s="1" t="s">
        <v>292</v>
      </c>
      <c r="E820" t="s">
        <v>94</v>
      </c>
      <c r="F820">
        <f t="shared" si="87"/>
        <v>8419.5278799999505</v>
      </c>
      <c r="G820">
        <f t="shared" si="88"/>
        <v>8419.5</v>
      </c>
      <c r="H820">
        <f t="shared" si="89"/>
        <v>11.73</v>
      </c>
      <c r="J820">
        <f t="shared" si="92"/>
        <v>8419.5278799999505</v>
      </c>
      <c r="K820">
        <f t="shared" si="90"/>
        <v>8419.5</v>
      </c>
      <c r="L820">
        <f t="shared" si="93"/>
        <v>8419.5</v>
      </c>
      <c r="M820">
        <f t="shared" si="91"/>
        <v>11.73</v>
      </c>
    </row>
    <row r="821" spans="1:13" x14ac:dyDescent="0.25">
      <c r="A821" s="1">
        <v>2458419.5280800001</v>
      </c>
      <c r="B821" s="1" t="s">
        <v>157</v>
      </c>
      <c r="C821" s="1">
        <v>11.728999999999999</v>
      </c>
      <c r="D821" s="1" t="s">
        <v>292</v>
      </c>
      <c r="E821" t="s">
        <v>94</v>
      </c>
      <c r="F821">
        <f t="shared" si="87"/>
        <v>8419.5280800000764</v>
      </c>
      <c r="G821">
        <f t="shared" si="88"/>
        <v>8419.5</v>
      </c>
      <c r="H821">
        <f t="shared" si="89"/>
        <v>11.728999999999999</v>
      </c>
      <c r="J821">
        <f t="shared" si="92"/>
        <v>8419.5280800000764</v>
      </c>
      <c r="K821">
        <f t="shared" si="90"/>
        <v>8419.5</v>
      </c>
      <c r="L821">
        <f t="shared" si="93"/>
        <v>8419.5</v>
      </c>
      <c r="M821">
        <f t="shared" si="91"/>
        <v>11.728999999999999</v>
      </c>
    </row>
    <row r="822" spans="1:13" x14ac:dyDescent="0.25">
      <c r="A822" s="1">
        <v>2458420.2450999999</v>
      </c>
      <c r="B822" s="1" t="s">
        <v>157</v>
      </c>
      <c r="C822" s="1">
        <v>11.7</v>
      </c>
      <c r="D822" s="1" t="s">
        <v>292</v>
      </c>
      <c r="E822" t="s">
        <v>101</v>
      </c>
      <c r="F822">
        <f t="shared" si="87"/>
        <v>8420.2450999999419</v>
      </c>
      <c r="G822">
        <f t="shared" si="88"/>
        <v>8420.2000000000007</v>
      </c>
      <c r="H822">
        <f t="shared" si="89"/>
        <v>11.7</v>
      </c>
      <c r="J822">
        <f t="shared" si="92"/>
        <v>8420.2450999999419</v>
      </c>
      <c r="K822">
        <f t="shared" si="90"/>
        <v>8420</v>
      </c>
      <c r="L822">
        <f t="shared" si="93"/>
        <v>8420</v>
      </c>
      <c r="M822">
        <f t="shared" si="91"/>
        <v>11.7</v>
      </c>
    </row>
    <row r="823" spans="1:13" x14ac:dyDescent="0.25">
      <c r="A823" s="1">
        <v>2458420.2454200001</v>
      </c>
      <c r="B823" s="1" t="s">
        <v>157</v>
      </c>
      <c r="C823" s="1">
        <v>11.7</v>
      </c>
      <c r="D823" s="1" t="s">
        <v>292</v>
      </c>
      <c r="E823" t="s">
        <v>101</v>
      </c>
      <c r="F823">
        <f t="shared" si="87"/>
        <v>8420.2454200000502</v>
      </c>
      <c r="G823">
        <f t="shared" si="88"/>
        <v>8420.2000000000007</v>
      </c>
      <c r="H823">
        <f t="shared" si="89"/>
        <v>11.7</v>
      </c>
      <c r="J823">
        <f t="shared" si="92"/>
        <v>8420.2454200000502</v>
      </c>
      <c r="K823">
        <f t="shared" si="90"/>
        <v>8420</v>
      </c>
      <c r="L823">
        <f t="shared" si="93"/>
        <v>8420</v>
      </c>
      <c r="M823">
        <f t="shared" si="91"/>
        <v>11.7</v>
      </c>
    </row>
    <row r="824" spans="1:13" x14ac:dyDescent="0.25">
      <c r="A824" s="1">
        <v>2458420.5251799999</v>
      </c>
      <c r="B824" s="1" t="s">
        <v>158</v>
      </c>
      <c r="C824" s="1">
        <v>11.715</v>
      </c>
      <c r="D824" s="1" t="s">
        <v>292</v>
      </c>
      <c r="E824" t="s">
        <v>94</v>
      </c>
      <c r="F824">
        <f t="shared" si="87"/>
        <v>8420.5251799998805</v>
      </c>
      <c r="G824">
        <f t="shared" si="88"/>
        <v>8420.5</v>
      </c>
      <c r="H824">
        <f t="shared" si="89"/>
        <v>11.715</v>
      </c>
      <c r="J824">
        <f t="shared" si="92"/>
        <v>8420.5251799998805</v>
      </c>
      <c r="K824">
        <f t="shared" si="90"/>
        <v>8420.5</v>
      </c>
      <c r="L824">
        <f t="shared" si="93"/>
        <v>8420.5</v>
      </c>
      <c r="M824">
        <f t="shared" si="91"/>
        <v>11.715</v>
      </c>
    </row>
    <row r="825" spans="1:13" x14ac:dyDescent="0.25">
      <c r="A825" s="1">
        <v>2458420.5253900001</v>
      </c>
      <c r="B825" s="1" t="s">
        <v>158</v>
      </c>
      <c r="C825" s="1">
        <v>11.722</v>
      </c>
      <c r="D825" s="1" t="s">
        <v>292</v>
      </c>
      <c r="E825" t="s">
        <v>94</v>
      </c>
      <c r="F825">
        <f t="shared" si="87"/>
        <v>8420.5253900000826</v>
      </c>
      <c r="G825">
        <f t="shared" si="88"/>
        <v>8420.5</v>
      </c>
      <c r="H825">
        <f t="shared" si="89"/>
        <v>11.722</v>
      </c>
      <c r="J825">
        <f t="shared" si="92"/>
        <v>8420.5253900000826</v>
      </c>
      <c r="K825">
        <f t="shared" si="90"/>
        <v>8420.5</v>
      </c>
      <c r="L825">
        <f t="shared" si="93"/>
        <v>8420.5</v>
      </c>
      <c r="M825">
        <f t="shared" si="91"/>
        <v>11.722</v>
      </c>
    </row>
    <row r="826" spans="1:13" x14ac:dyDescent="0.25">
      <c r="A826" s="1">
        <v>2458420.6235400001</v>
      </c>
      <c r="B826" s="1" t="s">
        <v>158</v>
      </c>
      <c r="C826" s="1">
        <v>11.759</v>
      </c>
      <c r="D826" s="1" t="s">
        <v>292</v>
      </c>
      <c r="E826" t="s">
        <v>131</v>
      </c>
      <c r="F826">
        <f t="shared" si="87"/>
        <v>8420.6235400000587</v>
      </c>
      <c r="G826">
        <f t="shared" si="88"/>
        <v>8420.6</v>
      </c>
      <c r="H826">
        <f t="shared" si="89"/>
        <v>11.759</v>
      </c>
      <c r="J826">
        <f t="shared" si="92"/>
        <v>8420.6235400000587</v>
      </c>
      <c r="K826">
        <f t="shared" si="90"/>
        <v>8420.5</v>
      </c>
      <c r="L826">
        <f t="shared" si="93"/>
        <v>8420.5</v>
      </c>
      <c r="M826">
        <f t="shared" si="91"/>
        <v>11.759</v>
      </c>
    </row>
    <row r="827" spans="1:13" x14ac:dyDescent="0.25">
      <c r="A827" s="1">
        <v>2458421.5222700001</v>
      </c>
      <c r="B827" s="1" t="s">
        <v>159</v>
      </c>
      <c r="C827" s="1">
        <v>11.74</v>
      </c>
      <c r="D827" s="1" t="s">
        <v>292</v>
      </c>
      <c r="E827" t="s">
        <v>94</v>
      </c>
      <c r="F827">
        <f t="shared" si="87"/>
        <v>8421.5222700000741</v>
      </c>
      <c r="G827">
        <f t="shared" si="88"/>
        <v>8421.5</v>
      </c>
      <c r="H827">
        <f t="shared" si="89"/>
        <v>11.74</v>
      </c>
      <c r="J827">
        <f t="shared" si="92"/>
        <v>8421.5222700000741</v>
      </c>
      <c r="K827">
        <f t="shared" si="90"/>
        <v>8421.5</v>
      </c>
      <c r="L827">
        <f t="shared" si="93"/>
        <v>8421.5</v>
      </c>
      <c r="M827">
        <f t="shared" si="91"/>
        <v>11.74</v>
      </c>
    </row>
    <row r="828" spans="1:13" x14ac:dyDescent="0.25">
      <c r="A828" s="1">
        <v>2458421.5224899999</v>
      </c>
      <c r="B828" s="1" t="s">
        <v>159</v>
      </c>
      <c r="C828" s="1">
        <v>11.728</v>
      </c>
      <c r="D828" s="1" t="s">
        <v>292</v>
      </c>
      <c r="E828" t="s">
        <v>94</v>
      </c>
      <c r="F828">
        <f t="shared" si="87"/>
        <v>8421.5224899998866</v>
      </c>
      <c r="G828">
        <f t="shared" si="88"/>
        <v>8421.5</v>
      </c>
      <c r="H828">
        <f t="shared" si="89"/>
        <v>11.728</v>
      </c>
      <c r="J828">
        <f t="shared" si="92"/>
        <v>8421.5224899998866</v>
      </c>
      <c r="K828">
        <f t="shared" si="90"/>
        <v>8421.5</v>
      </c>
      <c r="L828">
        <f t="shared" si="93"/>
        <v>8421.5</v>
      </c>
      <c r="M828">
        <f t="shared" si="91"/>
        <v>11.728</v>
      </c>
    </row>
    <row r="829" spans="1:13" x14ac:dyDescent="0.25">
      <c r="A829" s="1">
        <v>2458422.5196099998</v>
      </c>
      <c r="B829" s="1" t="s">
        <v>160</v>
      </c>
      <c r="C829" s="1">
        <v>11.741</v>
      </c>
      <c r="D829" s="1" t="s">
        <v>292</v>
      </c>
      <c r="E829" t="s">
        <v>94</v>
      </c>
      <c r="F829">
        <f t="shared" si="87"/>
        <v>8422.5196099998429</v>
      </c>
      <c r="G829">
        <f t="shared" si="88"/>
        <v>8422.5</v>
      </c>
      <c r="H829">
        <f t="shared" si="89"/>
        <v>11.741</v>
      </c>
      <c r="J829">
        <f t="shared" si="92"/>
        <v>8422.5196099998429</v>
      </c>
      <c r="K829">
        <f t="shared" si="90"/>
        <v>8422.5</v>
      </c>
      <c r="L829">
        <f t="shared" si="93"/>
        <v>8422.5</v>
      </c>
      <c r="M829">
        <f t="shared" si="91"/>
        <v>11.741</v>
      </c>
    </row>
    <row r="830" spans="1:13" x14ac:dyDescent="0.25">
      <c r="A830" s="1">
        <v>2458422.51982</v>
      </c>
      <c r="B830" s="1" t="s">
        <v>160</v>
      </c>
      <c r="C830" s="1">
        <v>11.731</v>
      </c>
      <c r="D830" s="1" t="s">
        <v>292</v>
      </c>
      <c r="E830" t="s">
        <v>94</v>
      </c>
      <c r="F830">
        <f t="shared" si="87"/>
        <v>8422.519820000045</v>
      </c>
      <c r="G830">
        <f t="shared" si="88"/>
        <v>8422.5</v>
      </c>
      <c r="H830">
        <f t="shared" si="89"/>
        <v>11.731</v>
      </c>
      <c r="J830">
        <f t="shared" si="92"/>
        <v>8422.519820000045</v>
      </c>
      <c r="K830">
        <f t="shared" si="90"/>
        <v>8422.5</v>
      </c>
      <c r="L830">
        <f t="shared" si="93"/>
        <v>8422.5</v>
      </c>
      <c r="M830">
        <f t="shared" si="91"/>
        <v>11.731</v>
      </c>
    </row>
    <row r="831" spans="1:13" x14ac:dyDescent="0.25">
      <c r="A831" s="1">
        <v>2458423.21667</v>
      </c>
      <c r="B831" s="1" t="s">
        <v>160</v>
      </c>
      <c r="C831" s="1">
        <v>11.66</v>
      </c>
      <c r="D831" s="1" t="s">
        <v>292</v>
      </c>
      <c r="E831" t="s">
        <v>5</v>
      </c>
      <c r="F831">
        <f t="shared" si="87"/>
        <v>8423.2166699999943</v>
      </c>
      <c r="G831">
        <f t="shared" si="88"/>
        <v>8423.2000000000007</v>
      </c>
      <c r="H831">
        <f t="shared" si="89"/>
        <v>11.66</v>
      </c>
      <c r="J831">
        <f t="shared" si="92"/>
        <v>8423.2166699999943</v>
      </c>
      <c r="K831">
        <f t="shared" si="90"/>
        <v>8423</v>
      </c>
      <c r="L831">
        <f t="shared" si="93"/>
        <v>8423</v>
      </c>
      <c r="M831">
        <f t="shared" si="91"/>
        <v>11.66</v>
      </c>
    </row>
    <row r="832" spans="1:13" x14ac:dyDescent="0.25">
      <c r="A832" s="1">
        <v>2458423.5200499999</v>
      </c>
      <c r="B832" s="1" t="s">
        <v>161</v>
      </c>
      <c r="C832" s="1">
        <v>11.727</v>
      </c>
      <c r="D832" s="1" t="s">
        <v>292</v>
      </c>
      <c r="E832" t="s">
        <v>94</v>
      </c>
      <c r="F832">
        <f t="shared" si="87"/>
        <v>8423.5200499999337</v>
      </c>
      <c r="G832">
        <f t="shared" si="88"/>
        <v>8423.5</v>
      </c>
      <c r="H832">
        <f t="shared" si="89"/>
        <v>11.727</v>
      </c>
      <c r="J832">
        <f t="shared" si="92"/>
        <v>8423.5200499999337</v>
      </c>
      <c r="K832">
        <f t="shared" si="90"/>
        <v>8423.5</v>
      </c>
      <c r="L832">
        <f t="shared" si="93"/>
        <v>8423.5</v>
      </c>
      <c r="M832">
        <f t="shared" si="91"/>
        <v>11.727</v>
      </c>
    </row>
    <row r="833" spans="1:13" x14ac:dyDescent="0.25">
      <c r="A833" s="1">
        <v>2458423.5202700002</v>
      </c>
      <c r="B833" s="1" t="s">
        <v>161</v>
      </c>
      <c r="C833" s="1">
        <v>11.712</v>
      </c>
      <c r="D833" s="1" t="s">
        <v>292</v>
      </c>
      <c r="E833" t="s">
        <v>94</v>
      </c>
      <c r="F833">
        <f t="shared" si="87"/>
        <v>8423.5202700002119</v>
      </c>
      <c r="G833">
        <f t="shared" si="88"/>
        <v>8423.5</v>
      </c>
      <c r="H833">
        <f t="shared" si="89"/>
        <v>11.712</v>
      </c>
      <c r="J833">
        <f t="shared" si="92"/>
        <v>8423.5202700002119</v>
      </c>
      <c r="K833">
        <f t="shared" si="90"/>
        <v>8423.5</v>
      </c>
      <c r="L833">
        <f t="shared" si="93"/>
        <v>8423.5</v>
      </c>
      <c r="M833">
        <f t="shared" si="91"/>
        <v>11.712</v>
      </c>
    </row>
    <row r="834" spans="1:13" x14ac:dyDescent="0.25">
      <c r="A834" s="1">
        <v>2458424.5139899999</v>
      </c>
      <c r="B834" s="1" t="s">
        <v>162</v>
      </c>
      <c r="C834" s="1">
        <v>11.757</v>
      </c>
      <c r="D834" s="1" t="s">
        <v>292</v>
      </c>
      <c r="E834" t="s">
        <v>94</v>
      </c>
      <c r="F834">
        <f t="shared" si="87"/>
        <v>8424.5139899998903</v>
      </c>
      <c r="G834">
        <f t="shared" si="88"/>
        <v>8424.5</v>
      </c>
      <c r="H834">
        <f t="shared" si="89"/>
        <v>11.757</v>
      </c>
      <c r="J834">
        <f t="shared" si="92"/>
        <v>8424.5139899998903</v>
      </c>
      <c r="K834">
        <f t="shared" si="90"/>
        <v>8424.5</v>
      </c>
      <c r="L834">
        <f t="shared" si="93"/>
        <v>8424.5</v>
      </c>
      <c r="M834">
        <f t="shared" si="91"/>
        <v>11.757</v>
      </c>
    </row>
    <row r="835" spans="1:13" x14ac:dyDescent="0.25">
      <c r="A835" s="1">
        <v>2458424.5142000001</v>
      </c>
      <c r="B835" s="1" t="s">
        <v>162</v>
      </c>
      <c r="C835" s="1">
        <v>11.753</v>
      </c>
      <c r="D835" s="1" t="s">
        <v>292</v>
      </c>
      <c r="E835" t="s">
        <v>94</v>
      </c>
      <c r="F835">
        <f t="shared" ref="F835:F898" si="94">+A835-2450000</f>
        <v>8424.5142000000924</v>
      </c>
      <c r="G835">
        <f t="shared" ref="G835:G898" si="95">+(ROUND(F835,1)*10)/10</f>
        <v>8424.5</v>
      </c>
      <c r="H835">
        <f t="shared" ref="H835:H898" si="96">+C835</f>
        <v>11.753</v>
      </c>
      <c r="J835">
        <f t="shared" si="92"/>
        <v>8424.5142000000924</v>
      </c>
      <c r="K835">
        <f t="shared" ref="K835:K898" si="97">+INT(J835*4)/4</f>
        <v>8424.5</v>
      </c>
      <c r="L835">
        <f t="shared" si="93"/>
        <v>8424.5</v>
      </c>
      <c r="M835">
        <f t="shared" ref="M835:M898" si="98">+H835</f>
        <v>11.753</v>
      </c>
    </row>
    <row r="836" spans="1:13" x14ac:dyDescent="0.25">
      <c r="A836" s="1">
        <v>2458425.4286699998</v>
      </c>
      <c r="B836" s="1" t="s">
        <v>162</v>
      </c>
      <c r="C836" s="1">
        <v>11.712</v>
      </c>
      <c r="D836" s="1" t="s">
        <v>292</v>
      </c>
      <c r="E836" t="s">
        <v>101</v>
      </c>
      <c r="F836">
        <f t="shared" si="94"/>
        <v>8425.4286699998192</v>
      </c>
      <c r="G836">
        <f t="shared" si="95"/>
        <v>8425.4</v>
      </c>
      <c r="H836">
        <f t="shared" si="96"/>
        <v>11.712</v>
      </c>
      <c r="J836">
        <f t="shared" si="92"/>
        <v>8425.4286699998192</v>
      </c>
      <c r="K836">
        <f t="shared" si="97"/>
        <v>8425.25</v>
      </c>
      <c r="L836">
        <f t="shared" si="93"/>
        <v>8425.25</v>
      </c>
      <c r="M836">
        <f t="shared" si="98"/>
        <v>11.712</v>
      </c>
    </row>
    <row r="837" spans="1:13" x14ac:dyDescent="0.25">
      <c r="A837" s="1">
        <v>2458425.4289899999</v>
      </c>
      <c r="B837" s="1" t="s">
        <v>162</v>
      </c>
      <c r="C837" s="1">
        <v>11.718</v>
      </c>
      <c r="D837" s="1" t="s">
        <v>292</v>
      </c>
      <c r="E837" t="s">
        <v>101</v>
      </c>
      <c r="F837">
        <f t="shared" si="94"/>
        <v>8425.4289899999276</v>
      </c>
      <c r="G837">
        <f t="shared" si="95"/>
        <v>8425.4</v>
      </c>
      <c r="H837">
        <f t="shared" si="96"/>
        <v>11.718</v>
      </c>
      <c r="J837">
        <f t="shared" si="92"/>
        <v>8425.4289899999276</v>
      </c>
      <c r="K837">
        <f t="shared" si="97"/>
        <v>8425.25</v>
      </c>
      <c r="L837">
        <f t="shared" si="93"/>
        <v>8425.25</v>
      </c>
      <c r="M837">
        <f t="shared" si="98"/>
        <v>11.718</v>
      </c>
    </row>
    <row r="838" spans="1:13" x14ac:dyDescent="0.25">
      <c r="A838" s="1">
        <v>2458425.51144</v>
      </c>
      <c r="B838" s="1" t="s">
        <v>163</v>
      </c>
      <c r="C838" s="1">
        <v>11.779</v>
      </c>
      <c r="D838" s="1" t="s">
        <v>292</v>
      </c>
      <c r="E838" t="s">
        <v>94</v>
      </c>
      <c r="F838">
        <f t="shared" si="94"/>
        <v>8425.5114400000311</v>
      </c>
      <c r="G838">
        <f t="shared" si="95"/>
        <v>8425.5</v>
      </c>
      <c r="H838">
        <f t="shared" si="96"/>
        <v>11.779</v>
      </c>
      <c r="J838">
        <f t="shared" si="92"/>
        <v>8425.5114400000311</v>
      </c>
      <c r="K838">
        <f t="shared" si="97"/>
        <v>8425.5</v>
      </c>
      <c r="L838">
        <f t="shared" si="93"/>
        <v>8425.5</v>
      </c>
      <c r="M838">
        <f t="shared" si="98"/>
        <v>11.779</v>
      </c>
    </row>
    <row r="839" spans="1:13" x14ac:dyDescent="0.25">
      <c r="A839" s="1">
        <v>2458425.5116599998</v>
      </c>
      <c r="B839" s="1" t="s">
        <v>163</v>
      </c>
      <c r="C839" s="1">
        <v>11.789</v>
      </c>
      <c r="D839" s="1" t="s">
        <v>292</v>
      </c>
      <c r="E839" t="s">
        <v>94</v>
      </c>
      <c r="F839">
        <f t="shared" si="94"/>
        <v>8425.5116599998437</v>
      </c>
      <c r="G839">
        <f t="shared" si="95"/>
        <v>8425.5</v>
      </c>
      <c r="H839">
        <f t="shared" si="96"/>
        <v>11.789</v>
      </c>
      <c r="J839">
        <f t="shared" si="92"/>
        <v>8425.5116599998437</v>
      </c>
      <c r="K839">
        <f t="shared" si="97"/>
        <v>8425.5</v>
      </c>
      <c r="L839">
        <f t="shared" si="93"/>
        <v>8425.5</v>
      </c>
      <c r="M839">
        <f t="shared" si="98"/>
        <v>11.789</v>
      </c>
    </row>
    <row r="840" spans="1:13" x14ac:dyDescent="0.25">
      <c r="A840" s="1">
        <v>2458425.6217</v>
      </c>
      <c r="B840" s="1" t="s">
        <v>163</v>
      </c>
      <c r="C840" s="1">
        <v>11.768000000000001</v>
      </c>
      <c r="D840" s="1" t="s">
        <v>292</v>
      </c>
      <c r="E840" t="s">
        <v>131</v>
      </c>
      <c r="F840">
        <f t="shared" si="94"/>
        <v>8425.6217000000179</v>
      </c>
      <c r="G840">
        <f t="shared" si="95"/>
        <v>8425.6</v>
      </c>
      <c r="H840">
        <f t="shared" si="96"/>
        <v>11.768000000000001</v>
      </c>
      <c r="J840">
        <f t="shared" si="92"/>
        <v>8425.6217000000179</v>
      </c>
      <c r="K840">
        <f t="shared" si="97"/>
        <v>8425.5</v>
      </c>
      <c r="L840">
        <f t="shared" si="93"/>
        <v>8425.5</v>
      </c>
      <c r="M840">
        <f t="shared" si="98"/>
        <v>11.768000000000001</v>
      </c>
    </row>
    <row r="841" spans="1:13" x14ac:dyDescent="0.25">
      <c r="A841" s="1">
        <v>2458427.5127099999</v>
      </c>
      <c r="B841" s="1" t="s">
        <v>164</v>
      </c>
      <c r="C841" s="1">
        <v>11.787000000000001</v>
      </c>
      <c r="D841" s="1" t="s">
        <v>292</v>
      </c>
      <c r="E841" t="s">
        <v>94</v>
      </c>
      <c r="F841">
        <f t="shared" si="94"/>
        <v>8427.5127099999227</v>
      </c>
      <c r="G841">
        <f t="shared" si="95"/>
        <v>8427.5</v>
      </c>
      <c r="H841">
        <f t="shared" si="96"/>
        <v>11.787000000000001</v>
      </c>
      <c r="J841">
        <f t="shared" si="92"/>
        <v>8427.5127099999227</v>
      </c>
      <c r="K841">
        <f t="shared" si="97"/>
        <v>8427.5</v>
      </c>
      <c r="L841">
        <f t="shared" si="93"/>
        <v>8427.5</v>
      </c>
      <c r="M841">
        <f t="shared" si="98"/>
        <v>11.787000000000001</v>
      </c>
    </row>
    <row r="842" spans="1:13" x14ac:dyDescent="0.25">
      <c r="A842" s="1">
        <v>2458427.5129300002</v>
      </c>
      <c r="B842" s="1" t="s">
        <v>164</v>
      </c>
      <c r="C842" s="1">
        <v>11.782999999999999</v>
      </c>
      <c r="D842" s="1" t="s">
        <v>292</v>
      </c>
      <c r="E842" t="s">
        <v>94</v>
      </c>
      <c r="F842">
        <f t="shared" si="94"/>
        <v>8427.5129300002009</v>
      </c>
      <c r="G842">
        <f t="shared" si="95"/>
        <v>8427.5</v>
      </c>
      <c r="H842">
        <f t="shared" si="96"/>
        <v>11.782999999999999</v>
      </c>
      <c r="J842">
        <f t="shared" si="92"/>
        <v>8427.5129300002009</v>
      </c>
      <c r="K842">
        <f t="shared" si="97"/>
        <v>8427.5</v>
      </c>
      <c r="L842">
        <f t="shared" si="93"/>
        <v>8427.5</v>
      </c>
      <c r="M842">
        <f t="shared" si="98"/>
        <v>11.782999999999999</v>
      </c>
    </row>
    <row r="843" spans="1:13" x14ac:dyDescent="0.25">
      <c r="A843" s="1">
        <v>2458428.2588900002</v>
      </c>
      <c r="B843" s="1" t="s">
        <v>164</v>
      </c>
      <c r="C843" s="1">
        <v>11.744999999999999</v>
      </c>
      <c r="D843" s="1" t="s">
        <v>292</v>
      </c>
      <c r="E843" t="s">
        <v>101</v>
      </c>
      <c r="F843">
        <f t="shared" si="94"/>
        <v>8428.258890000172</v>
      </c>
      <c r="G843">
        <f t="shared" si="95"/>
        <v>8428.2999999999993</v>
      </c>
      <c r="H843">
        <f t="shared" si="96"/>
        <v>11.744999999999999</v>
      </c>
      <c r="J843">
        <f t="shared" si="92"/>
        <v>8428.258890000172</v>
      </c>
      <c r="K843">
        <f t="shared" si="97"/>
        <v>8428.25</v>
      </c>
      <c r="L843">
        <f t="shared" si="93"/>
        <v>8428.25</v>
      </c>
      <c r="M843">
        <f t="shared" si="98"/>
        <v>11.744999999999999</v>
      </c>
    </row>
    <row r="844" spans="1:13" x14ac:dyDescent="0.25">
      <c r="A844" s="1">
        <v>2458428.2592099998</v>
      </c>
      <c r="B844" s="1" t="s">
        <v>164</v>
      </c>
      <c r="C844" s="1">
        <v>11.741</v>
      </c>
      <c r="D844" s="1" t="s">
        <v>292</v>
      </c>
      <c r="E844" t="s">
        <v>101</v>
      </c>
      <c r="F844">
        <f t="shared" si="94"/>
        <v>8428.2592099998146</v>
      </c>
      <c r="G844">
        <f t="shared" si="95"/>
        <v>8428.2999999999993</v>
      </c>
      <c r="H844">
        <f t="shared" si="96"/>
        <v>11.741</v>
      </c>
      <c r="J844">
        <f t="shared" si="92"/>
        <v>8428.2592099998146</v>
      </c>
      <c r="K844">
        <f t="shared" si="97"/>
        <v>8428.25</v>
      </c>
      <c r="L844">
        <f t="shared" si="93"/>
        <v>8428.25</v>
      </c>
      <c r="M844">
        <f t="shared" si="98"/>
        <v>11.741</v>
      </c>
    </row>
    <row r="845" spans="1:13" x14ac:dyDescent="0.25">
      <c r="A845" s="1">
        <v>2458428.5131399999</v>
      </c>
      <c r="B845" s="1" t="s">
        <v>165</v>
      </c>
      <c r="C845" s="1">
        <v>11.826000000000001</v>
      </c>
      <c r="D845" s="1" t="s">
        <v>292</v>
      </c>
      <c r="E845" t="s">
        <v>94</v>
      </c>
      <c r="F845">
        <f t="shared" si="94"/>
        <v>8428.5131399999373</v>
      </c>
      <c r="G845">
        <f t="shared" si="95"/>
        <v>8428.5</v>
      </c>
      <c r="H845">
        <f t="shared" si="96"/>
        <v>11.826000000000001</v>
      </c>
      <c r="J845">
        <f t="shared" si="92"/>
        <v>8428.5131399999373</v>
      </c>
      <c r="K845">
        <f t="shared" si="97"/>
        <v>8428.5</v>
      </c>
      <c r="L845">
        <f t="shared" si="93"/>
        <v>8428.5</v>
      </c>
      <c r="M845">
        <f t="shared" si="98"/>
        <v>11.826000000000001</v>
      </c>
    </row>
    <row r="846" spans="1:13" x14ac:dyDescent="0.25">
      <c r="A846" s="1">
        <v>2458428.5133500001</v>
      </c>
      <c r="B846" s="1" t="s">
        <v>165</v>
      </c>
      <c r="C846" s="1">
        <v>11.808999999999999</v>
      </c>
      <c r="D846" s="1" t="s">
        <v>292</v>
      </c>
      <c r="E846" t="s">
        <v>94</v>
      </c>
      <c r="F846">
        <f t="shared" si="94"/>
        <v>8428.5133500001393</v>
      </c>
      <c r="G846">
        <f t="shared" si="95"/>
        <v>8428.5</v>
      </c>
      <c r="H846">
        <f t="shared" si="96"/>
        <v>11.808999999999999</v>
      </c>
      <c r="J846">
        <f t="shared" si="92"/>
        <v>8428.5133500001393</v>
      </c>
      <c r="K846">
        <f t="shared" si="97"/>
        <v>8428.5</v>
      </c>
      <c r="L846">
        <f t="shared" si="93"/>
        <v>8428.5</v>
      </c>
      <c r="M846">
        <f t="shared" si="98"/>
        <v>11.808999999999999</v>
      </c>
    </row>
    <row r="847" spans="1:13" x14ac:dyDescent="0.25">
      <c r="A847" s="1">
        <v>2458429.5136099998</v>
      </c>
      <c r="B847" s="1" t="s">
        <v>166</v>
      </c>
      <c r="C847" s="1">
        <v>11.817</v>
      </c>
      <c r="D847" s="1" t="s">
        <v>292</v>
      </c>
      <c r="E847" t="s">
        <v>94</v>
      </c>
      <c r="F847">
        <f t="shared" si="94"/>
        <v>8429.5136099997908</v>
      </c>
      <c r="G847">
        <f t="shared" si="95"/>
        <v>8429.5</v>
      </c>
      <c r="H847">
        <f t="shared" si="96"/>
        <v>11.817</v>
      </c>
      <c r="J847">
        <f t="shared" si="92"/>
        <v>8429.5136099997908</v>
      </c>
      <c r="K847">
        <f t="shared" si="97"/>
        <v>8429.5</v>
      </c>
      <c r="L847">
        <f t="shared" si="93"/>
        <v>8429.5</v>
      </c>
      <c r="M847">
        <f t="shared" si="98"/>
        <v>11.817</v>
      </c>
    </row>
    <row r="848" spans="1:13" x14ac:dyDescent="0.25">
      <c r="A848" s="1">
        <v>2458429.5138300001</v>
      </c>
      <c r="B848" s="1" t="s">
        <v>166</v>
      </c>
      <c r="C848" s="1">
        <v>11.805</v>
      </c>
      <c r="D848" s="1" t="s">
        <v>292</v>
      </c>
      <c r="E848" t="s">
        <v>94</v>
      </c>
      <c r="F848">
        <f t="shared" si="94"/>
        <v>8429.513830000069</v>
      </c>
      <c r="G848">
        <f t="shared" si="95"/>
        <v>8429.5</v>
      </c>
      <c r="H848">
        <f t="shared" si="96"/>
        <v>11.805</v>
      </c>
      <c r="J848">
        <f t="shared" si="92"/>
        <v>8429.513830000069</v>
      </c>
      <c r="K848">
        <f t="shared" si="97"/>
        <v>8429.5</v>
      </c>
      <c r="L848">
        <f t="shared" si="93"/>
        <v>8429.5</v>
      </c>
      <c r="M848">
        <f t="shared" si="98"/>
        <v>11.805</v>
      </c>
    </row>
    <row r="849" spans="1:13" x14ac:dyDescent="0.25">
      <c r="A849" s="1">
        <v>2458429.5971599999</v>
      </c>
      <c r="B849" s="1" t="s">
        <v>166</v>
      </c>
      <c r="C849" s="1">
        <v>11.81</v>
      </c>
      <c r="D849" s="1" t="s">
        <v>292</v>
      </c>
      <c r="E849" t="s">
        <v>131</v>
      </c>
      <c r="F849">
        <f t="shared" si="94"/>
        <v>8429.5971599998884</v>
      </c>
      <c r="G849">
        <f t="shared" si="95"/>
        <v>8429.6</v>
      </c>
      <c r="H849">
        <f t="shared" si="96"/>
        <v>11.81</v>
      </c>
      <c r="J849">
        <f t="shared" si="92"/>
        <v>8429.5971599998884</v>
      </c>
      <c r="K849">
        <f t="shared" si="97"/>
        <v>8429.5</v>
      </c>
      <c r="L849">
        <f t="shared" si="93"/>
        <v>8429.5</v>
      </c>
      <c r="M849">
        <f t="shared" si="98"/>
        <v>11.81</v>
      </c>
    </row>
    <row r="850" spans="1:13" x14ac:dyDescent="0.25">
      <c r="A850" s="1">
        <v>2458430.5139100002</v>
      </c>
      <c r="B850" s="1" t="s">
        <v>167</v>
      </c>
      <c r="C850" s="1">
        <v>11.849</v>
      </c>
      <c r="D850" s="1" t="s">
        <v>292</v>
      </c>
      <c r="E850" t="s">
        <v>94</v>
      </c>
      <c r="F850">
        <f t="shared" si="94"/>
        <v>8430.5139100002125</v>
      </c>
      <c r="G850">
        <f t="shared" si="95"/>
        <v>8430.5</v>
      </c>
      <c r="H850">
        <f t="shared" si="96"/>
        <v>11.849</v>
      </c>
      <c r="J850">
        <f t="shared" si="92"/>
        <v>8430.5139100002125</v>
      </c>
      <c r="K850">
        <f t="shared" si="97"/>
        <v>8430.5</v>
      </c>
      <c r="L850">
        <f t="shared" si="93"/>
        <v>8430.5</v>
      </c>
      <c r="M850">
        <f t="shared" si="98"/>
        <v>11.849</v>
      </c>
    </row>
    <row r="851" spans="1:13" x14ac:dyDescent="0.25">
      <c r="A851" s="1">
        <v>2458430.5141099999</v>
      </c>
      <c r="B851" s="1" t="s">
        <v>167</v>
      </c>
      <c r="C851" s="1">
        <v>11.845000000000001</v>
      </c>
      <c r="D851" s="1" t="s">
        <v>292</v>
      </c>
      <c r="E851" t="s">
        <v>94</v>
      </c>
      <c r="F851">
        <f t="shared" si="94"/>
        <v>8430.5141099998727</v>
      </c>
      <c r="G851">
        <f t="shared" si="95"/>
        <v>8430.5</v>
      </c>
      <c r="H851">
        <f t="shared" si="96"/>
        <v>11.845000000000001</v>
      </c>
      <c r="J851">
        <f t="shared" si="92"/>
        <v>8430.5141099998727</v>
      </c>
      <c r="K851">
        <f t="shared" si="97"/>
        <v>8430.5</v>
      </c>
      <c r="L851">
        <f t="shared" si="93"/>
        <v>8430.5</v>
      </c>
      <c r="M851">
        <f t="shared" si="98"/>
        <v>11.845000000000001</v>
      </c>
    </row>
    <row r="852" spans="1:13" x14ac:dyDescent="0.25">
      <c r="A852" s="1">
        <v>2458431.22523</v>
      </c>
      <c r="B852" s="1" t="s">
        <v>167</v>
      </c>
      <c r="C852" s="1">
        <v>11.765000000000001</v>
      </c>
      <c r="D852" s="1" t="s">
        <v>292</v>
      </c>
      <c r="E852" t="s">
        <v>101</v>
      </c>
      <c r="F852">
        <f t="shared" si="94"/>
        <v>8431.2252299999818</v>
      </c>
      <c r="G852">
        <f t="shared" si="95"/>
        <v>8431.2000000000007</v>
      </c>
      <c r="H852">
        <f t="shared" si="96"/>
        <v>11.765000000000001</v>
      </c>
      <c r="J852">
        <f t="shared" si="92"/>
        <v>8431.2252299999818</v>
      </c>
      <c r="K852">
        <f t="shared" si="97"/>
        <v>8431</v>
      </c>
      <c r="L852">
        <f t="shared" si="93"/>
        <v>8431</v>
      </c>
      <c r="M852">
        <f t="shared" si="98"/>
        <v>11.765000000000001</v>
      </c>
    </row>
    <row r="853" spans="1:13" x14ac:dyDescent="0.25">
      <c r="A853" s="1">
        <v>2458431.5044800001</v>
      </c>
      <c r="B853" s="1" t="s">
        <v>168</v>
      </c>
      <c r="C853" s="1">
        <v>11.853</v>
      </c>
      <c r="D853" s="1" t="s">
        <v>292</v>
      </c>
      <c r="E853" t="s">
        <v>94</v>
      </c>
      <c r="F853">
        <f t="shared" si="94"/>
        <v>8431.5044800001197</v>
      </c>
      <c r="G853">
        <f t="shared" si="95"/>
        <v>8431.5</v>
      </c>
      <c r="H853">
        <f t="shared" si="96"/>
        <v>11.853</v>
      </c>
      <c r="J853">
        <f t="shared" si="92"/>
        <v>8431.5044800001197</v>
      </c>
      <c r="K853">
        <f t="shared" si="97"/>
        <v>8431.5</v>
      </c>
      <c r="L853">
        <f t="shared" si="93"/>
        <v>8431.5</v>
      </c>
      <c r="M853">
        <f t="shared" si="98"/>
        <v>11.853</v>
      </c>
    </row>
    <row r="854" spans="1:13" x14ac:dyDescent="0.25">
      <c r="A854" s="1">
        <v>2458431.5046999999</v>
      </c>
      <c r="B854" s="1" t="s">
        <v>168</v>
      </c>
      <c r="C854" s="1">
        <v>11.791</v>
      </c>
      <c r="D854" s="1" t="s">
        <v>292</v>
      </c>
      <c r="E854" t="s">
        <v>94</v>
      </c>
      <c r="F854">
        <f t="shared" si="94"/>
        <v>8431.5046999999322</v>
      </c>
      <c r="G854">
        <f t="shared" si="95"/>
        <v>8431.5</v>
      </c>
      <c r="H854">
        <f t="shared" si="96"/>
        <v>11.791</v>
      </c>
      <c r="J854">
        <f t="shared" si="92"/>
        <v>8431.5046999999322</v>
      </c>
      <c r="K854">
        <f t="shared" si="97"/>
        <v>8431.5</v>
      </c>
      <c r="L854">
        <f t="shared" si="93"/>
        <v>8431.5</v>
      </c>
      <c r="M854">
        <f t="shared" si="98"/>
        <v>11.791</v>
      </c>
    </row>
    <row r="855" spans="1:13" x14ac:dyDescent="0.25">
      <c r="A855" s="1">
        <v>2458432.5039300001</v>
      </c>
      <c r="B855" s="1" t="s">
        <v>169</v>
      </c>
      <c r="C855" s="1">
        <v>11.839</v>
      </c>
      <c r="D855" s="1" t="s">
        <v>292</v>
      </c>
      <c r="E855" t="s">
        <v>94</v>
      </c>
      <c r="F855">
        <f t="shared" si="94"/>
        <v>8432.5039300001226</v>
      </c>
      <c r="G855">
        <f t="shared" si="95"/>
        <v>8432.5</v>
      </c>
      <c r="H855">
        <f t="shared" si="96"/>
        <v>11.839</v>
      </c>
      <c r="J855">
        <f t="shared" si="92"/>
        <v>8432.5039300001226</v>
      </c>
      <c r="K855">
        <f t="shared" si="97"/>
        <v>8432.5</v>
      </c>
      <c r="L855">
        <f t="shared" si="93"/>
        <v>8432.5</v>
      </c>
      <c r="M855">
        <f t="shared" si="98"/>
        <v>11.839</v>
      </c>
    </row>
    <row r="856" spans="1:13" x14ac:dyDescent="0.25">
      <c r="A856" s="1">
        <v>2458432.5041399999</v>
      </c>
      <c r="B856" s="1" t="s">
        <v>169</v>
      </c>
      <c r="C856" s="1">
        <v>11.833</v>
      </c>
      <c r="D856" s="1" t="s">
        <v>292</v>
      </c>
      <c r="E856" t="s">
        <v>94</v>
      </c>
      <c r="F856">
        <f t="shared" si="94"/>
        <v>8432.504139999859</v>
      </c>
      <c r="G856">
        <f t="shared" si="95"/>
        <v>8432.5</v>
      </c>
      <c r="H856">
        <f t="shared" si="96"/>
        <v>11.833</v>
      </c>
      <c r="J856">
        <f t="shared" si="92"/>
        <v>8432.504139999859</v>
      </c>
      <c r="K856">
        <f t="shared" si="97"/>
        <v>8432.5</v>
      </c>
      <c r="L856">
        <f t="shared" si="93"/>
        <v>8432.5</v>
      </c>
      <c r="M856">
        <f t="shared" si="98"/>
        <v>11.833</v>
      </c>
    </row>
    <row r="857" spans="1:13" x14ac:dyDescent="0.25">
      <c r="A857" s="1">
        <v>2458433.2361099999</v>
      </c>
      <c r="B857" s="1" t="s">
        <v>169</v>
      </c>
      <c r="C857" s="1">
        <v>11.795999999999999</v>
      </c>
      <c r="D857" s="1" t="s">
        <v>292</v>
      </c>
      <c r="E857" t="s">
        <v>101</v>
      </c>
      <c r="F857">
        <f t="shared" si="94"/>
        <v>8433.2361099999398</v>
      </c>
      <c r="G857">
        <f t="shared" si="95"/>
        <v>8433.2000000000007</v>
      </c>
      <c r="H857">
        <f t="shared" si="96"/>
        <v>11.795999999999999</v>
      </c>
      <c r="J857">
        <f t="shared" ref="J857:J920" si="99">+F857</f>
        <v>8433.2361099999398</v>
      </c>
      <c r="K857">
        <f t="shared" si="97"/>
        <v>8433</v>
      </c>
      <c r="L857">
        <f t="shared" ref="L857:L920" si="100">+IF(J857-K857&gt;0.25,K857+0.25,K857)</f>
        <v>8433</v>
      </c>
      <c r="M857">
        <f t="shared" si="98"/>
        <v>11.795999999999999</v>
      </c>
    </row>
    <row r="858" spans="1:13" x14ac:dyDescent="0.25">
      <c r="A858" s="1">
        <v>2458433.23642</v>
      </c>
      <c r="B858" s="1" t="s">
        <v>169</v>
      </c>
      <c r="C858" s="1">
        <v>11.794</v>
      </c>
      <c r="D858" s="1" t="s">
        <v>292</v>
      </c>
      <c r="E858" t="s">
        <v>101</v>
      </c>
      <c r="F858">
        <f t="shared" si="94"/>
        <v>8433.236419999972</v>
      </c>
      <c r="G858">
        <f t="shared" si="95"/>
        <v>8433.2000000000007</v>
      </c>
      <c r="H858">
        <f t="shared" si="96"/>
        <v>11.794</v>
      </c>
      <c r="J858">
        <f t="shared" si="99"/>
        <v>8433.236419999972</v>
      </c>
      <c r="K858">
        <f t="shared" si="97"/>
        <v>8433</v>
      </c>
      <c r="L858">
        <f t="shared" si="100"/>
        <v>8433</v>
      </c>
      <c r="M858">
        <f t="shared" si="98"/>
        <v>11.794</v>
      </c>
    </row>
    <row r="859" spans="1:13" x14ac:dyDescent="0.25">
      <c r="A859" s="1">
        <v>2458433.5043100002</v>
      </c>
      <c r="B859" s="1" t="s">
        <v>170</v>
      </c>
      <c r="C859" s="1">
        <v>11.829000000000001</v>
      </c>
      <c r="D859" s="1" t="s">
        <v>292</v>
      </c>
      <c r="E859" t="s">
        <v>94</v>
      </c>
      <c r="F859">
        <f t="shared" si="94"/>
        <v>8433.5043100002222</v>
      </c>
      <c r="G859">
        <f t="shared" si="95"/>
        <v>8433.5</v>
      </c>
      <c r="H859">
        <f t="shared" si="96"/>
        <v>11.829000000000001</v>
      </c>
      <c r="J859">
        <f t="shared" si="99"/>
        <v>8433.5043100002222</v>
      </c>
      <c r="K859">
        <f t="shared" si="97"/>
        <v>8433.5</v>
      </c>
      <c r="L859">
        <f t="shared" si="100"/>
        <v>8433.5</v>
      </c>
      <c r="M859">
        <f t="shared" si="98"/>
        <v>11.829000000000001</v>
      </c>
    </row>
    <row r="860" spans="1:13" x14ac:dyDescent="0.25">
      <c r="A860" s="1">
        <v>2458433.50453</v>
      </c>
      <c r="B860" s="1" t="s">
        <v>170</v>
      </c>
      <c r="C860" s="1">
        <v>11.856</v>
      </c>
      <c r="D860" s="1" t="s">
        <v>292</v>
      </c>
      <c r="E860" t="s">
        <v>94</v>
      </c>
      <c r="F860">
        <f t="shared" si="94"/>
        <v>8433.5045300000347</v>
      </c>
      <c r="G860">
        <f t="shared" si="95"/>
        <v>8433.5</v>
      </c>
      <c r="H860">
        <f t="shared" si="96"/>
        <v>11.856</v>
      </c>
      <c r="J860">
        <f t="shared" si="99"/>
        <v>8433.5045300000347</v>
      </c>
      <c r="K860">
        <f t="shared" si="97"/>
        <v>8433.5</v>
      </c>
      <c r="L860">
        <f t="shared" si="100"/>
        <v>8433.5</v>
      </c>
      <c r="M860">
        <f t="shared" si="98"/>
        <v>11.856</v>
      </c>
    </row>
    <row r="861" spans="1:13" x14ac:dyDescent="0.25">
      <c r="A861" s="1">
        <v>2458434.5046600001</v>
      </c>
      <c r="B861" s="1" t="s">
        <v>171</v>
      </c>
      <c r="C861" s="1">
        <v>11.911</v>
      </c>
      <c r="D861" s="1" t="s">
        <v>292</v>
      </c>
      <c r="E861" t="s">
        <v>94</v>
      </c>
      <c r="F861">
        <f t="shared" si="94"/>
        <v>8434.5046600000933</v>
      </c>
      <c r="G861">
        <f t="shared" si="95"/>
        <v>8434.5</v>
      </c>
      <c r="H861">
        <f t="shared" si="96"/>
        <v>11.911</v>
      </c>
      <c r="J861">
        <f t="shared" si="99"/>
        <v>8434.5046600000933</v>
      </c>
      <c r="K861">
        <f t="shared" si="97"/>
        <v>8434.5</v>
      </c>
      <c r="L861">
        <f t="shared" si="100"/>
        <v>8434.5</v>
      </c>
      <c r="M861">
        <f t="shared" si="98"/>
        <v>11.911</v>
      </c>
    </row>
    <row r="862" spans="1:13" x14ac:dyDescent="0.25">
      <c r="A862" s="1">
        <v>2458434.5048799999</v>
      </c>
      <c r="B862" s="1" t="s">
        <v>171</v>
      </c>
      <c r="C862" s="1">
        <v>11.881</v>
      </c>
      <c r="D862" s="1" t="s">
        <v>292</v>
      </c>
      <c r="E862" t="s">
        <v>94</v>
      </c>
      <c r="F862">
        <f t="shared" si="94"/>
        <v>8434.5048799999058</v>
      </c>
      <c r="G862">
        <f t="shared" si="95"/>
        <v>8434.5</v>
      </c>
      <c r="H862">
        <f t="shared" si="96"/>
        <v>11.881</v>
      </c>
      <c r="J862">
        <f t="shared" si="99"/>
        <v>8434.5048799999058</v>
      </c>
      <c r="K862">
        <f t="shared" si="97"/>
        <v>8434.5</v>
      </c>
      <c r="L862">
        <f t="shared" si="100"/>
        <v>8434.5</v>
      </c>
      <c r="M862">
        <f t="shared" si="98"/>
        <v>11.881</v>
      </c>
    </row>
    <row r="863" spans="1:13" x14ac:dyDescent="0.25">
      <c r="A863" s="1">
        <v>2458435.5055200001</v>
      </c>
      <c r="B863" s="1" t="s">
        <v>172</v>
      </c>
      <c r="C863" s="1">
        <v>11.858000000000001</v>
      </c>
      <c r="D863" s="1" t="s">
        <v>292</v>
      </c>
      <c r="E863" t="s">
        <v>94</v>
      </c>
      <c r="F863">
        <f t="shared" si="94"/>
        <v>8435.5055200001225</v>
      </c>
      <c r="G863">
        <f t="shared" si="95"/>
        <v>8435.5</v>
      </c>
      <c r="H863">
        <f t="shared" si="96"/>
        <v>11.858000000000001</v>
      </c>
      <c r="J863">
        <f t="shared" si="99"/>
        <v>8435.5055200001225</v>
      </c>
      <c r="K863">
        <f t="shared" si="97"/>
        <v>8435.5</v>
      </c>
      <c r="L863">
        <f t="shared" si="100"/>
        <v>8435.5</v>
      </c>
      <c r="M863">
        <f t="shared" si="98"/>
        <v>11.858000000000001</v>
      </c>
    </row>
    <row r="864" spans="1:13" x14ac:dyDescent="0.25">
      <c r="A864" s="1">
        <v>2458435.5057299999</v>
      </c>
      <c r="B864" s="1" t="s">
        <v>172</v>
      </c>
      <c r="C864" s="1">
        <v>11.868</v>
      </c>
      <c r="D864" s="1" t="s">
        <v>292</v>
      </c>
      <c r="E864" t="s">
        <v>94</v>
      </c>
      <c r="F864">
        <f t="shared" si="94"/>
        <v>8435.5057299998589</v>
      </c>
      <c r="G864">
        <f t="shared" si="95"/>
        <v>8435.5</v>
      </c>
      <c r="H864">
        <f t="shared" si="96"/>
        <v>11.868</v>
      </c>
      <c r="J864">
        <f t="shared" si="99"/>
        <v>8435.5057299998589</v>
      </c>
      <c r="K864">
        <f t="shared" si="97"/>
        <v>8435.5</v>
      </c>
      <c r="L864">
        <f t="shared" si="100"/>
        <v>8435.5</v>
      </c>
      <c r="M864">
        <f t="shared" si="98"/>
        <v>11.868</v>
      </c>
    </row>
    <row r="865" spans="1:13" x14ac:dyDescent="0.25">
      <c r="A865" s="1">
        <v>2458436.5058900001</v>
      </c>
      <c r="B865" s="1" t="s">
        <v>173</v>
      </c>
      <c r="C865" s="1">
        <v>11.930999999999999</v>
      </c>
      <c r="D865" s="1" t="s">
        <v>292</v>
      </c>
      <c r="E865" t="s">
        <v>94</v>
      </c>
      <c r="F865">
        <f t="shared" si="94"/>
        <v>8436.5058900001459</v>
      </c>
      <c r="G865">
        <f t="shared" si="95"/>
        <v>8436.5</v>
      </c>
      <c r="H865">
        <f t="shared" si="96"/>
        <v>11.930999999999999</v>
      </c>
      <c r="J865">
        <f t="shared" si="99"/>
        <v>8436.5058900001459</v>
      </c>
      <c r="K865">
        <f t="shared" si="97"/>
        <v>8436.5</v>
      </c>
      <c r="L865">
        <f t="shared" si="100"/>
        <v>8436.5</v>
      </c>
      <c r="M865">
        <f t="shared" si="98"/>
        <v>11.930999999999999</v>
      </c>
    </row>
    <row r="866" spans="1:13" x14ac:dyDescent="0.25">
      <c r="A866" s="1">
        <v>2458436.5060899998</v>
      </c>
      <c r="B866" s="1" t="s">
        <v>173</v>
      </c>
      <c r="C866" s="1">
        <v>11.914</v>
      </c>
      <c r="D866" s="1" t="s">
        <v>292</v>
      </c>
      <c r="E866" t="s">
        <v>94</v>
      </c>
      <c r="F866">
        <f t="shared" si="94"/>
        <v>8436.5060899998061</v>
      </c>
      <c r="G866">
        <f t="shared" si="95"/>
        <v>8436.5</v>
      </c>
      <c r="H866">
        <f t="shared" si="96"/>
        <v>11.914</v>
      </c>
      <c r="J866">
        <f t="shared" si="99"/>
        <v>8436.5060899998061</v>
      </c>
      <c r="K866">
        <f t="shared" si="97"/>
        <v>8436.5</v>
      </c>
      <c r="L866">
        <f t="shared" si="100"/>
        <v>8436.5</v>
      </c>
      <c r="M866">
        <f t="shared" si="98"/>
        <v>11.914</v>
      </c>
    </row>
    <row r="867" spans="1:13" x14ac:dyDescent="0.25">
      <c r="A867" s="1">
        <v>2458436.6137899999</v>
      </c>
      <c r="B867" s="1" t="s">
        <v>173</v>
      </c>
      <c r="C867" s="1">
        <v>11.914999999999999</v>
      </c>
      <c r="D867" s="1" t="s">
        <v>292</v>
      </c>
      <c r="E867" t="s">
        <v>131</v>
      </c>
      <c r="F867">
        <f t="shared" si="94"/>
        <v>8436.6137899998575</v>
      </c>
      <c r="G867">
        <f t="shared" si="95"/>
        <v>8436.6</v>
      </c>
      <c r="H867">
        <f t="shared" si="96"/>
        <v>11.914999999999999</v>
      </c>
      <c r="J867">
        <f t="shared" si="99"/>
        <v>8436.6137899998575</v>
      </c>
      <c r="K867">
        <f t="shared" si="97"/>
        <v>8436.5</v>
      </c>
      <c r="L867">
        <f t="shared" si="100"/>
        <v>8436.5</v>
      </c>
      <c r="M867">
        <f t="shared" si="98"/>
        <v>11.914999999999999</v>
      </c>
    </row>
    <row r="868" spans="1:13" x14ac:dyDescent="0.25">
      <c r="A868" s="1">
        <v>2458437.273</v>
      </c>
      <c r="B868" s="1" t="s">
        <v>173</v>
      </c>
      <c r="C868" s="1">
        <v>11.867000000000001</v>
      </c>
      <c r="D868" s="1" t="s">
        <v>292</v>
      </c>
      <c r="E868" t="s">
        <v>101</v>
      </c>
      <c r="F868">
        <f t="shared" si="94"/>
        <v>8437.2730000000447</v>
      </c>
      <c r="G868">
        <f t="shared" si="95"/>
        <v>8437.2999999999993</v>
      </c>
      <c r="H868">
        <f t="shared" si="96"/>
        <v>11.867000000000001</v>
      </c>
      <c r="J868">
        <f t="shared" si="99"/>
        <v>8437.2730000000447</v>
      </c>
      <c r="K868">
        <f t="shared" si="97"/>
        <v>8437.25</v>
      </c>
      <c r="L868">
        <f t="shared" si="100"/>
        <v>8437.25</v>
      </c>
      <c r="M868">
        <f t="shared" si="98"/>
        <v>11.867000000000001</v>
      </c>
    </row>
    <row r="869" spans="1:13" x14ac:dyDescent="0.25">
      <c r="A869" s="1">
        <v>2458437.2733100001</v>
      </c>
      <c r="B869" s="1" t="s">
        <v>173</v>
      </c>
      <c r="C869" s="1">
        <v>11.874000000000001</v>
      </c>
      <c r="D869" s="1" t="s">
        <v>292</v>
      </c>
      <c r="E869" t="s">
        <v>101</v>
      </c>
      <c r="F869">
        <f t="shared" si="94"/>
        <v>8437.2733100000769</v>
      </c>
      <c r="G869">
        <f t="shared" si="95"/>
        <v>8437.2999999999993</v>
      </c>
      <c r="H869">
        <f t="shared" si="96"/>
        <v>11.874000000000001</v>
      </c>
      <c r="J869">
        <f t="shared" si="99"/>
        <v>8437.2733100000769</v>
      </c>
      <c r="K869">
        <f t="shared" si="97"/>
        <v>8437.25</v>
      </c>
      <c r="L869">
        <f t="shared" si="100"/>
        <v>8437.25</v>
      </c>
      <c r="M869">
        <f t="shared" si="98"/>
        <v>11.874000000000001</v>
      </c>
    </row>
    <row r="870" spans="1:13" x14ac:dyDescent="0.25">
      <c r="A870" s="1">
        <v>2458438.5065100002</v>
      </c>
      <c r="B870" s="1" t="s">
        <v>266</v>
      </c>
      <c r="C870" s="1">
        <v>11.962</v>
      </c>
      <c r="D870" s="1" t="s">
        <v>292</v>
      </c>
      <c r="E870" t="s">
        <v>94</v>
      </c>
      <c r="F870">
        <f t="shared" si="94"/>
        <v>8438.5065100002103</v>
      </c>
      <c r="G870">
        <f t="shared" si="95"/>
        <v>8438.5</v>
      </c>
      <c r="H870">
        <f t="shared" si="96"/>
        <v>11.962</v>
      </c>
      <c r="J870">
        <f t="shared" si="99"/>
        <v>8438.5065100002103</v>
      </c>
      <c r="K870">
        <f t="shared" si="97"/>
        <v>8438.5</v>
      </c>
      <c r="L870">
        <f t="shared" si="100"/>
        <v>8438.5</v>
      </c>
      <c r="M870">
        <f t="shared" si="98"/>
        <v>11.962</v>
      </c>
    </row>
    <row r="871" spans="1:13" x14ac:dyDescent="0.25">
      <c r="A871" s="1">
        <v>2458438.50673</v>
      </c>
      <c r="B871" s="1" t="s">
        <v>266</v>
      </c>
      <c r="C871" s="1">
        <v>11.94</v>
      </c>
      <c r="D871" s="1" t="s">
        <v>292</v>
      </c>
      <c r="E871" t="s">
        <v>94</v>
      </c>
      <c r="F871">
        <f t="shared" si="94"/>
        <v>8438.5067300000228</v>
      </c>
      <c r="G871">
        <f t="shared" si="95"/>
        <v>8438.5</v>
      </c>
      <c r="H871">
        <f t="shared" si="96"/>
        <v>11.94</v>
      </c>
      <c r="J871">
        <f t="shared" si="99"/>
        <v>8438.5067300000228</v>
      </c>
      <c r="K871">
        <f t="shared" si="97"/>
        <v>8438.5</v>
      </c>
      <c r="L871">
        <f t="shared" si="100"/>
        <v>8438.5</v>
      </c>
      <c r="M871">
        <f t="shared" si="98"/>
        <v>11.94</v>
      </c>
    </row>
    <row r="872" spans="1:13" x14ac:dyDescent="0.25">
      <c r="A872" s="1">
        <v>2458439.1979200002</v>
      </c>
      <c r="B872" s="1" t="s">
        <v>266</v>
      </c>
      <c r="C872" s="1">
        <v>11.9</v>
      </c>
      <c r="D872" s="1" t="s">
        <v>292</v>
      </c>
      <c r="E872" t="s">
        <v>5</v>
      </c>
      <c r="F872">
        <f t="shared" si="94"/>
        <v>8439.1979200001806</v>
      </c>
      <c r="G872">
        <f t="shared" si="95"/>
        <v>8439.2000000000007</v>
      </c>
      <c r="H872">
        <f t="shared" si="96"/>
        <v>11.9</v>
      </c>
      <c r="J872">
        <f t="shared" si="99"/>
        <v>8439.1979200001806</v>
      </c>
      <c r="K872">
        <f t="shared" si="97"/>
        <v>8439</v>
      </c>
      <c r="L872">
        <f t="shared" si="100"/>
        <v>8439</v>
      </c>
      <c r="M872">
        <f t="shared" si="98"/>
        <v>11.9</v>
      </c>
    </row>
    <row r="873" spans="1:13" x14ac:dyDescent="0.25">
      <c r="A873" s="1">
        <v>2458439.5072300001</v>
      </c>
      <c r="B873" s="1" t="s">
        <v>267</v>
      </c>
      <c r="C873" s="1">
        <v>12.003</v>
      </c>
      <c r="D873" s="1" t="s">
        <v>292</v>
      </c>
      <c r="E873" t="s">
        <v>94</v>
      </c>
      <c r="F873">
        <f t="shared" si="94"/>
        <v>8439.5072300001048</v>
      </c>
      <c r="G873">
        <f t="shared" si="95"/>
        <v>8439.5</v>
      </c>
      <c r="H873">
        <f t="shared" si="96"/>
        <v>12.003</v>
      </c>
      <c r="J873">
        <f t="shared" si="99"/>
        <v>8439.5072300001048</v>
      </c>
      <c r="K873">
        <f t="shared" si="97"/>
        <v>8439.5</v>
      </c>
      <c r="L873">
        <f t="shared" si="100"/>
        <v>8439.5</v>
      </c>
      <c r="M873">
        <f t="shared" si="98"/>
        <v>12.003</v>
      </c>
    </row>
    <row r="874" spans="1:13" x14ac:dyDescent="0.25">
      <c r="A874" s="1">
        <v>2458439.5074399998</v>
      </c>
      <c r="B874" s="1" t="s">
        <v>267</v>
      </c>
      <c r="C874" s="1">
        <v>11.986000000000001</v>
      </c>
      <c r="D874" s="1" t="s">
        <v>292</v>
      </c>
      <c r="E874" t="s">
        <v>94</v>
      </c>
      <c r="F874">
        <f t="shared" si="94"/>
        <v>8439.5074399998412</v>
      </c>
      <c r="G874">
        <f t="shared" si="95"/>
        <v>8439.5</v>
      </c>
      <c r="H874">
        <f t="shared" si="96"/>
        <v>11.986000000000001</v>
      </c>
      <c r="J874">
        <f t="shared" si="99"/>
        <v>8439.5074399998412</v>
      </c>
      <c r="K874">
        <f t="shared" si="97"/>
        <v>8439.5</v>
      </c>
      <c r="L874">
        <f t="shared" si="100"/>
        <v>8439.5</v>
      </c>
      <c r="M874">
        <f t="shared" si="98"/>
        <v>11.986000000000001</v>
      </c>
    </row>
    <row r="875" spans="1:13" x14ac:dyDescent="0.25">
      <c r="A875" s="1">
        <v>2458440.3501900001</v>
      </c>
      <c r="B875" s="1" t="s">
        <v>267</v>
      </c>
      <c r="C875" s="1">
        <v>11.95</v>
      </c>
      <c r="D875" s="1" t="s">
        <v>292</v>
      </c>
      <c r="E875" t="s">
        <v>101</v>
      </c>
      <c r="F875">
        <f t="shared" si="94"/>
        <v>8440.3501900001429</v>
      </c>
      <c r="G875">
        <f t="shared" si="95"/>
        <v>8440.4</v>
      </c>
      <c r="H875">
        <f t="shared" si="96"/>
        <v>11.95</v>
      </c>
      <c r="J875">
        <f t="shared" si="99"/>
        <v>8440.3501900001429</v>
      </c>
      <c r="K875">
        <f t="shared" si="97"/>
        <v>8440.25</v>
      </c>
      <c r="L875">
        <f t="shared" si="100"/>
        <v>8440.25</v>
      </c>
      <c r="M875">
        <f t="shared" si="98"/>
        <v>11.95</v>
      </c>
    </row>
    <row r="876" spans="1:13" x14ac:dyDescent="0.25">
      <c r="A876" s="1">
        <v>2458440.3505000002</v>
      </c>
      <c r="B876" s="1" t="s">
        <v>267</v>
      </c>
      <c r="C876" s="1">
        <v>11.949</v>
      </c>
      <c r="D876" s="1" t="s">
        <v>292</v>
      </c>
      <c r="E876" t="s">
        <v>101</v>
      </c>
      <c r="F876">
        <f t="shared" si="94"/>
        <v>8440.3505000001751</v>
      </c>
      <c r="G876">
        <f t="shared" si="95"/>
        <v>8440.4</v>
      </c>
      <c r="H876">
        <f t="shared" si="96"/>
        <v>11.949</v>
      </c>
      <c r="J876">
        <f t="shared" si="99"/>
        <v>8440.3505000001751</v>
      </c>
      <c r="K876">
        <f t="shared" si="97"/>
        <v>8440.25</v>
      </c>
      <c r="L876">
        <f t="shared" si="100"/>
        <v>8440.25</v>
      </c>
      <c r="M876">
        <f t="shared" si="98"/>
        <v>11.949</v>
      </c>
    </row>
    <row r="877" spans="1:13" x14ac:dyDescent="0.25">
      <c r="A877" s="1">
        <v>2458440.5079899998</v>
      </c>
      <c r="B877" s="1" t="s">
        <v>268</v>
      </c>
      <c r="C877" s="1">
        <v>11.99</v>
      </c>
      <c r="D877" s="1" t="s">
        <v>292</v>
      </c>
      <c r="E877" t="s">
        <v>94</v>
      </c>
      <c r="F877">
        <f t="shared" si="94"/>
        <v>8440.5079899998382</v>
      </c>
      <c r="G877">
        <f t="shared" si="95"/>
        <v>8440.5</v>
      </c>
      <c r="H877">
        <f t="shared" si="96"/>
        <v>11.99</v>
      </c>
      <c r="J877">
        <f t="shared" si="99"/>
        <v>8440.5079899998382</v>
      </c>
      <c r="K877">
        <f t="shared" si="97"/>
        <v>8440.5</v>
      </c>
      <c r="L877">
        <f t="shared" si="100"/>
        <v>8440.5</v>
      </c>
      <c r="M877">
        <f t="shared" si="98"/>
        <v>11.99</v>
      </c>
    </row>
    <row r="878" spans="1:13" x14ac:dyDescent="0.25">
      <c r="A878" s="1">
        <v>2458440.5082100001</v>
      </c>
      <c r="B878" s="1" t="s">
        <v>268</v>
      </c>
      <c r="C878" s="1">
        <v>11.997999999999999</v>
      </c>
      <c r="D878" s="1" t="s">
        <v>292</v>
      </c>
      <c r="E878" t="s">
        <v>94</v>
      </c>
      <c r="F878">
        <f t="shared" si="94"/>
        <v>8440.5082100001164</v>
      </c>
      <c r="G878">
        <f t="shared" si="95"/>
        <v>8440.5</v>
      </c>
      <c r="H878">
        <f t="shared" si="96"/>
        <v>11.997999999999999</v>
      </c>
      <c r="J878">
        <f t="shared" si="99"/>
        <v>8440.5082100001164</v>
      </c>
      <c r="K878">
        <f t="shared" si="97"/>
        <v>8440.5</v>
      </c>
      <c r="L878">
        <f t="shared" si="100"/>
        <v>8440.5</v>
      </c>
      <c r="M878">
        <f t="shared" si="98"/>
        <v>11.997999999999999</v>
      </c>
    </row>
    <row r="879" spans="1:13" x14ac:dyDescent="0.25">
      <c r="A879" s="1">
        <v>2458441.5113599999</v>
      </c>
      <c r="B879" s="1" t="s">
        <v>269</v>
      </c>
      <c r="C879" s="1">
        <v>12.05</v>
      </c>
      <c r="D879" s="1" t="s">
        <v>292</v>
      </c>
      <c r="E879" t="s">
        <v>94</v>
      </c>
      <c r="F879">
        <f t="shared" si="94"/>
        <v>8441.5113599998876</v>
      </c>
      <c r="G879">
        <f t="shared" si="95"/>
        <v>8441.5</v>
      </c>
      <c r="H879">
        <f t="shared" si="96"/>
        <v>12.05</v>
      </c>
      <c r="J879">
        <f t="shared" si="99"/>
        <v>8441.5113599998876</v>
      </c>
      <c r="K879">
        <f t="shared" si="97"/>
        <v>8441.5</v>
      </c>
      <c r="L879">
        <f t="shared" si="100"/>
        <v>8441.5</v>
      </c>
      <c r="M879">
        <f t="shared" si="98"/>
        <v>12.05</v>
      </c>
    </row>
    <row r="880" spans="1:13" x14ac:dyDescent="0.25">
      <c r="A880" s="1">
        <v>2458441.5115800002</v>
      </c>
      <c r="B880" s="1" t="s">
        <v>269</v>
      </c>
      <c r="C880" s="1">
        <v>12.010999999999999</v>
      </c>
      <c r="D880" s="1" t="s">
        <v>292</v>
      </c>
      <c r="E880" t="s">
        <v>94</v>
      </c>
      <c r="F880">
        <f t="shared" si="94"/>
        <v>8441.5115800001658</v>
      </c>
      <c r="G880">
        <f t="shared" si="95"/>
        <v>8441.5</v>
      </c>
      <c r="H880">
        <f t="shared" si="96"/>
        <v>12.010999999999999</v>
      </c>
      <c r="J880">
        <f t="shared" si="99"/>
        <v>8441.5115800001658</v>
      </c>
      <c r="K880">
        <f t="shared" si="97"/>
        <v>8441.5</v>
      </c>
      <c r="L880">
        <f t="shared" si="100"/>
        <v>8441.5</v>
      </c>
      <c r="M880">
        <f t="shared" si="98"/>
        <v>12.010999999999999</v>
      </c>
    </row>
    <row r="881" spans="1:13" x14ac:dyDescent="0.25">
      <c r="A881" s="1">
        <v>2458442.5114500001</v>
      </c>
      <c r="B881" s="1" t="s">
        <v>270</v>
      </c>
      <c r="C881" s="1">
        <v>11.997999999999999</v>
      </c>
      <c r="D881" s="1" t="s">
        <v>292</v>
      </c>
      <c r="E881" t="s">
        <v>94</v>
      </c>
      <c r="F881">
        <f t="shared" si="94"/>
        <v>8442.5114500001073</v>
      </c>
      <c r="G881">
        <f t="shared" si="95"/>
        <v>8442.5</v>
      </c>
      <c r="H881">
        <f t="shared" si="96"/>
        <v>11.997999999999999</v>
      </c>
      <c r="J881">
        <f t="shared" si="99"/>
        <v>8442.5114500001073</v>
      </c>
      <c r="K881">
        <f t="shared" si="97"/>
        <v>8442.5</v>
      </c>
      <c r="L881">
        <f t="shared" si="100"/>
        <v>8442.5</v>
      </c>
      <c r="M881">
        <f t="shared" si="98"/>
        <v>11.997999999999999</v>
      </c>
    </row>
    <row r="882" spans="1:13" x14ac:dyDescent="0.25">
      <c r="A882" s="1">
        <v>2458442.5116699999</v>
      </c>
      <c r="B882" s="1" t="s">
        <v>270</v>
      </c>
      <c r="C882" s="1">
        <v>12.013999999999999</v>
      </c>
      <c r="D882" s="1" t="s">
        <v>292</v>
      </c>
      <c r="E882" t="s">
        <v>94</v>
      </c>
      <c r="F882">
        <f t="shared" si="94"/>
        <v>8442.5116699999198</v>
      </c>
      <c r="G882">
        <f t="shared" si="95"/>
        <v>8442.5</v>
      </c>
      <c r="H882">
        <f t="shared" si="96"/>
        <v>12.013999999999999</v>
      </c>
      <c r="J882">
        <f t="shared" si="99"/>
        <v>8442.5116699999198</v>
      </c>
      <c r="K882">
        <f t="shared" si="97"/>
        <v>8442.5</v>
      </c>
      <c r="L882">
        <f t="shared" si="100"/>
        <v>8442.5</v>
      </c>
      <c r="M882">
        <f t="shared" si="98"/>
        <v>12.013999999999999</v>
      </c>
    </row>
    <row r="883" spans="1:13" x14ac:dyDescent="0.25">
      <c r="A883" s="1">
        <v>2458442.64567</v>
      </c>
      <c r="B883" s="1" t="s">
        <v>270</v>
      </c>
      <c r="C883" s="1">
        <v>11.959</v>
      </c>
      <c r="D883" s="1" t="s">
        <v>292</v>
      </c>
      <c r="E883" t="s">
        <v>131</v>
      </c>
      <c r="F883">
        <f t="shared" si="94"/>
        <v>8442.6456699999981</v>
      </c>
      <c r="G883">
        <f t="shared" si="95"/>
        <v>8442.6</v>
      </c>
      <c r="H883">
        <f t="shared" si="96"/>
        <v>11.959</v>
      </c>
      <c r="J883">
        <f t="shared" si="99"/>
        <v>8442.6456699999981</v>
      </c>
      <c r="K883">
        <f t="shared" si="97"/>
        <v>8442.5</v>
      </c>
      <c r="L883">
        <f t="shared" si="100"/>
        <v>8442.5</v>
      </c>
      <c r="M883">
        <f t="shared" si="98"/>
        <v>11.959</v>
      </c>
    </row>
    <row r="884" spans="1:13" x14ac:dyDescent="0.25">
      <c r="A884" s="1">
        <v>2458443.5118900002</v>
      </c>
      <c r="B884" s="1" t="s">
        <v>271</v>
      </c>
      <c r="C884" s="1">
        <v>11.964</v>
      </c>
      <c r="D884" s="1" t="s">
        <v>292</v>
      </c>
      <c r="E884" t="s">
        <v>94</v>
      </c>
      <c r="F884">
        <f t="shared" si="94"/>
        <v>8443.511890000198</v>
      </c>
      <c r="G884">
        <f t="shared" si="95"/>
        <v>8443.5</v>
      </c>
      <c r="H884">
        <f t="shared" si="96"/>
        <v>11.964</v>
      </c>
      <c r="J884">
        <f t="shared" si="99"/>
        <v>8443.511890000198</v>
      </c>
      <c r="K884">
        <f t="shared" si="97"/>
        <v>8443.5</v>
      </c>
      <c r="L884">
        <f t="shared" si="100"/>
        <v>8443.5</v>
      </c>
      <c r="M884">
        <f t="shared" si="98"/>
        <v>11.964</v>
      </c>
    </row>
    <row r="885" spans="1:13" x14ac:dyDescent="0.25">
      <c r="A885" s="1">
        <v>2458443.5120999999</v>
      </c>
      <c r="B885" s="1" t="s">
        <v>271</v>
      </c>
      <c r="C885" s="1">
        <v>11.984999999999999</v>
      </c>
      <c r="D885" s="1" t="s">
        <v>292</v>
      </c>
      <c r="E885" t="s">
        <v>94</v>
      </c>
      <c r="F885">
        <f t="shared" si="94"/>
        <v>8443.5120999999344</v>
      </c>
      <c r="G885">
        <f t="shared" si="95"/>
        <v>8443.5</v>
      </c>
      <c r="H885">
        <f t="shared" si="96"/>
        <v>11.984999999999999</v>
      </c>
      <c r="J885">
        <f t="shared" si="99"/>
        <v>8443.5120999999344</v>
      </c>
      <c r="K885">
        <f t="shared" si="97"/>
        <v>8443.5</v>
      </c>
      <c r="L885">
        <f t="shared" si="100"/>
        <v>8443.5</v>
      </c>
      <c r="M885">
        <f t="shared" si="98"/>
        <v>11.984999999999999</v>
      </c>
    </row>
    <row r="886" spans="1:13" x14ac:dyDescent="0.25">
      <c r="A886" s="1">
        <v>2458444.5128299999</v>
      </c>
      <c r="B886" s="1" t="s">
        <v>272</v>
      </c>
      <c r="C886" s="1">
        <v>12.074999999999999</v>
      </c>
      <c r="D886" s="1" t="s">
        <v>292</v>
      </c>
      <c r="E886" t="s">
        <v>94</v>
      </c>
      <c r="F886">
        <f t="shared" si="94"/>
        <v>8444.5128299999051</v>
      </c>
      <c r="G886">
        <f t="shared" si="95"/>
        <v>8444.5</v>
      </c>
      <c r="H886">
        <f t="shared" si="96"/>
        <v>12.074999999999999</v>
      </c>
      <c r="J886">
        <f t="shared" si="99"/>
        <v>8444.5128299999051</v>
      </c>
      <c r="K886">
        <f t="shared" si="97"/>
        <v>8444.5</v>
      </c>
      <c r="L886">
        <f t="shared" si="100"/>
        <v>8444.5</v>
      </c>
      <c r="M886">
        <f t="shared" si="98"/>
        <v>12.074999999999999</v>
      </c>
    </row>
    <row r="887" spans="1:13" x14ac:dyDescent="0.25">
      <c r="A887" s="1">
        <v>2458444.5130500002</v>
      </c>
      <c r="B887" s="1" t="s">
        <v>272</v>
      </c>
      <c r="C887" s="1">
        <v>12.065</v>
      </c>
      <c r="D887" s="1" t="s">
        <v>292</v>
      </c>
      <c r="E887" t="s">
        <v>94</v>
      </c>
      <c r="F887">
        <f t="shared" si="94"/>
        <v>8444.5130500001833</v>
      </c>
      <c r="G887">
        <f t="shared" si="95"/>
        <v>8444.5</v>
      </c>
      <c r="H887">
        <f t="shared" si="96"/>
        <v>12.065</v>
      </c>
      <c r="J887">
        <f t="shared" si="99"/>
        <v>8444.5130500001833</v>
      </c>
      <c r="K887">
        <f t="shared" si="97"/>
        <v>8444.5</v>
      </c>
      <c r="L887">
        <f t="shared" si="100"/>
        <v>8444.5</v>
      </c>
      <c r="M887">
        <f t="shared" si="98"/>
        <v>12.065</v>
      </c>
    </row>
    <row r="888" spans="1:13" x14ac:dyDescent="0.25">
      <c r="A888" s="1">
        <v>2458445.5045099999</v>
      </c>
      <c r="B888" s="1" t="s">
        <v>274</v>
      </c>
      <c r="C888" s="1">
        <v>12.079000000000001</v>
      </c>
      <c r="D888" s="1" t="s">
        <v>292</v>
      </c>
      <c r="E888" t="s">
        <v>94</v>
      </c>
      <c r="F888">
        <f t="shared" si="94"/>
        <v>8445.5045099998824</v>
      </c>
      <c r="G888">
        <f t="shared" si="95"/>
        <v>8445.5</v>
      </c>
      <c r="H888">
        <f t="shared" si="96"/>
        <v>12.079000000000001</v>
      </c>
      <c r="J888">
        <f t="shared" si="99"/>
        <v>8445.5045099998824</v>
      </c>
      <c r="K888">
        <f t="shared" si="97"/>
        <v>8445.5</v>
      </c>
      <c r="L888">
        <f t="shared" si="100"/>
        <v>8445.5</v>
      </c>
      <c r="M888">
        <f t="shared" si="98"/>
        <v>12.079000000000001</v>
      </c>
    </row>
    <row r="889" spans="1:13" x14ac:dyDescent="0.25">
      <c r="A889" s="1">
        <v>2458445.5047200001</v>
      </c>
      <c r="B889" s="1" t="s">
        <v>274</v>
      </c>
      <c r="C889" s="1">
        <v>12.095000000000001</v>
      </c>
      <c r="D889" s="1" t="s">
        <v>292</v>
      </c>
      <c r="E889" t="s">
        <v>94</v>
      </c>
      <c r="F889">
        <f t="shared" si="94"/>
        <v>8445.5047200000845</v>
      </c>
      <c r="G889">
        <f t="shared" si="95"/>
        <v>8445.5</v>
      </c>
      <c r="H889">
        <f t="shared" si="96"/>
        <v>12.095000000000001</v>
      </c>
      <c r="J889">
        <f t="shared" si="99"/>
        <v>8445.5047200000845</v>
      </c>
      <c r="K889">
        <f t="shared" si="97"/>
        <v>8445.5</v>
      </c>
      <c r="L889">
        <f t="shared" si="100"/>
        <v>8445.5</v>
      </c>
      <c r="M889">
        <f t="shared" si="98"/>
        <v>12.095000000000001</v>
      </c>
    </row>
    <row r="890" spans="1:13" x14ac:dyDescent="0.25">
      <c r="A890" s="1">
        <v>2458446.5050599999</v>
      </c>
      <c r="B890" s="1" t="s">
        <v>275</v>
      </c>
      <c r="C890" s="1">
        <v>12.045</v>
      </c>
      <c r="D890" s="1" t="s">
        <v>292</v>
      </c>
      <c r="E890" t="s">
        <v>94</v>
      </c>
      <c r="F890">
        <f t="shared" si="94"/>
        <v>8446.5050599998794</v>
      </c>
      <c r="G890">
        <f t="shared" si="95"/>
        <v>8446.5</v>
      </c>
      <c r="H890">
        <f t="shared" si="96"/>
        <v>12.045</v>
      </c>
      <c r="J890">
        <f t="shared" si="99"/>
        <v>8446.5050599998794</v>
      </c>
      <c r="K890">
        <f t="shared" si="97"/>
        <v>8446.5</v>
      </c>
      <c r="L890">
        <f t="shared" si="100"/>
        <v>8446.5</v>
      </c>
      <c r="M890">
        <f t="shared" si="98"/>
        <v>12.045</v>
      </c>
    </row>
    <row r="891" spans="1:13" x14ac:dyDescent="0.25">
      <c r="A891" s="1">
        <v>2458446.5052800002</v>
      </c>
      <c r="B891" s="1" t="s">
        <v>275</v>
      </c>
      <c r="C891" s="1">
        <v>12.048999999999999</v>
      </c>
      <c r="D891" s="1" t="s">
        <v>292</v>
      </c>
      <c r="E891" t="s">
        <v>94</v>
      </c>
      <c r="F891">
        <f t="shared" si="94"/>
        <v>8446.5052800001577</v>
      </c>
      <c r="G891">
        <f t="shared" si="95"/>
        <v>8446.5</v>
      </c>
      <c r="H891">
        <f t="shared" si="96"/>
        <v>12.048999999999999</v>
      </c>
      <c r="J891">
        <f t="shared" si="99"/>
        <v>8446.5052800001577</v>
      </c>
      <c r="K891">
        <f t="shared" si="97"/>
        <v>8446.5</v>
      </c>
      <c r="L891">
        <f t="shared" si="100"/>
        <v>8446.5</v>
      </c>
      <c r="M891">
        <f t="shared" si="98"/>
        <v>12.048999999999999</v>
      </c>
    </row>
    <row r="892" spans="1:13" x14ac:dyDescent="0.25">
      <c r="A892" s="1">
        <v>2458447.5054600001</v>
      </c>
      <c r="B892" s="1" t="s">
        <v>276</v>
      </c>
      <c r="C892" s="1">
        <v>12.077</v>
      </c>
      <c r="D892" s="1" t="s">
        <v>292</v>
      </c>
      <c r="E892" t="s">
        <v>94</v>
      </c>
      <c r="F892">
        <f t="shared" si="94"/>
        <v>8447.5054600001313</v>
      </c>
      <c r="G892">
        <f t="shared" si="95"/>
        <v>8447.5</v>
      </c>
      <c r="H892">
        <f t="shared" si="96"/>
        <v>12.077</v>
      </c>
      <c r="J892">
        <f t="shared" si="99"/>
        <v>8447.5054600001313</v>
      </c>
      <c r="K892">
        <f t="shared" si="97"/>
        <v>8447.5</v>
      </c>
      <c r="L892">
        <f t="shared" si="100"/>
        <v>8447.5</v>
      </c>
      <c r="M892">
        <f t="shared" si="98"/>
        <v>12.077</v>
      </c>
    </row>
    <row r="893" spans="1:13" x14ac:dyDescent="0.25">
      <c r="A893" s="1">
        <v>2458447.5056799999</v>
      </c>
      <c r="B893" s="1" t="s">
        <v>276</v>
      </c>
      <c r="C893" s="1">
        <v>12.106</v>
      </c>
      <c r="D893" s="1" t="s">
        <v>292</v>
      </c>
      <c r="E893" t="s">
        <v>94</v>
      </c>
      <c r="F893">
        <f t="shared" si="94"/>
        <v>8447.5056799999438</v>
      </c>
      <c r="G893">
        <f t="shared" si="95"/>
        <v>8447.5</v>
      </c>
      <c r="H893">
        <f t="shared" si="96"/>
        <v>12.106</v>
      </c>
      <c r="J893">
        <f t="shared" si="99"/>
        <v>8447.5056799999438</v>
      </c>
      <c r="K893">
        <f t="shared" si="97"/>
        <v>8447.5</v>
      </c>
      <c r="L893">
        <f t="shared" si="100"/>
        <v>8447.5</v>
      </c>
      <c r="M893">
        <f t="shared" si="98"/>
        <v>12.106</v>
      </c>
    </row>
    <row r="894" spans="1:13" x14ac:dyDescent="0.25">
      <c r="A894" s="1">
        <v>2458448.5062099998</v>
      </c>
      <c r="B894" s="1" t="s">
        <v>277</v>
      </c>
      <c r="C894" s="1">
        <v>12.054</v>
      </c>
      <c r="D894" s="1" t="s">
        <v>292</v>
      </c>
      <c r="E894" t="s">
        <v>94</v>
      </c>
      <c r="F894">
        <f t="shared" si="94"/>
        <v>8448.5062099997886</v>
      </c>
      <c r="G894">
        <f t="shared" si="95"/>
        <v>8448.5</v>
      </c>
      <c r="H894">
        <f t="shared" si="96"/>
        <v>12.054</v>
      </c>
      <c r="J894">
        <f t="shared" si="99"/>
        <v>8448.5062099997886</v>
      </c>
      <c r="K894">
        <f t="shared" si="97"/>
        <v>8448.5</v>
      </c>
      <c r="L894">
        <f t="shared" si="100"/>
        <v>8448.5</v>
      </c>
      <c r="M894">
        <f t="shared" si="98"/>
        <v>12.054</v>
      </c>
    </row>
    <row r="895" spans="1:13" x14ac:dyDescent="0.25">
      <c r="A895" s="1">
        <v>2458448.50642</v>
      </c>
      <c r="B895" s="1" t="s">
        <v>277</v>
      </c>
      <c r="C895" s="1">
        <v>12.09</v>
      </c>
      <c r="D895" s="1" t="s">
        <v>292</v>
      </c>
      <c r="E895" t="s">
        <v>94</v>
      </c>
      <c r="F895">
        <f t="shared" si="94"/>
        <v>8448.5064199999906</v>
      </c>
      <c r="G895">
        <f t="shared" si="95"/>
        <v>8448.5</v>
      </c>
      <c r="H895">
        <f t="shared" si="96"/>
        <v>12.09</v>
      </c>
      <c r="J895">
        <f t="shared" si="99"/>
        <v>8448.5064199999906</v>
      </c>
      <c r="K895">
        <f t="shared" si="97"/>
        <v>8448.5</v>
      </c>
      <c r="L895">
        <f t="shared" si="100"/>
        <v>8448.5</v>
      </c>
      <c r="M895">
        <f t="shared" si="98"/>
        <v>12.09</v>
      </c>
    </row>
    <row r="896" spans="1:13" x14ac:dyDescent="0.25">
      <c r="A896" s="1">
        <v>2458449.5063499999</v>
      </c>
      <c r="B896" s="1" t="s">
        <v>278</v>
      </c>
      <c r="C896" s="1">
        <v>12.106</v>
      </c>
      <c r="D896" s="1" t="s">
        <v>292</v>
      </c>
      <c r="E896" t="s">
        <v>94</v>
      </c>
      <c r="F896">
        <f t="shared" si="94"/>
        <v>8449.5063499999233</v>
      </c>
      <c r="G896">
        <f t="shared" si="95"/>
        <v>8449.5</v>
      </c>
      <c r="H896">
        <f t="shared" si="96"/>
        <v>12.106</v>
      </c>
      <c r="J896">
        <f t="shared" si="99"/>
        <v>8449.5063499999233</v>
      </c>
      <c r="K896">
        <f t="shared" si="97"/>
        <v>8449.5</v>
      </c>
      <c r="L896">
        <f t="shared" si="100"/>
        <v>8449.5</v>
      </c>
      <c r="M896">
        <f t="shared" si="98"/>
        <v>12.106</v>
      </c>
    </row>
    <row r="897" spans="1:13" x14ac:dyDescent="0.25">
      <c r="A897" s="1">
        <v>2458449.5065700002</v>
      </c>
      <c r="B897" s="1" t="s">
        <v>278</v>
      </c>
      <c r="C897" s="1">
        <v>12.13</v>
      </c>
      <c r="D897" s="1" t="s">
        <v>292</v>
      </c>
      <c r="E897" t="s">
        <v>94</v>
      </c>
      <c r="F897">
        <f t="shared" si="94"/>
        <v>8449.5065700002015</v>
      </c>
      <c r="G897">
        <f t="shared" si="95"/>
        <v>8449.5</v>
      </c>
      <c r="H897">
        <f t="shared" si="96"/>
        <v>12.13</v>
      </c>
      <c r="J897">
        <f t="shared" si="99"/>
        <v>8449.5065700002015</v>
      </c>
      <c r="K897">
        <f t="shared" si="97"/>
        <v>8449.5</v>
      </c>
      <c r="L897">
        <f t="shared" si="100"/>
        <v>8449.5</v>
      </c>
      <c r="M897">
        <f t="shared" si="98"/>
        <v>12.13</v>
      </c>
    </row>
    <row r="898" spans="1:13" x14ac:dyDescent="0.25">
      <c r="A898" s="1">
        <v>2458450.50416</v>
      </c>
      <c r="B898" s="1" t="s">
        <v>279</v>
      </c>
      <c r="C898" s="1">
        <v>12.144</v>
      </c>
      <c r="D898" s="1" t="s">
        <v>292</v>
      </c>
      <c r="E898" t="s">
        <v>94</v>
      </c>
      <c r="F898">
        <f t="shared" si="94"/>
        <v>8450.5041600000113</v>
      </c>
      <c r="G898">
        <f t="shared" si="95"/>
        <v>8450.5</v>
      </c>
      <c r="H898">
        <f t="shared" si="96"/>
        <v>12.144</v>
      </c>
      <c r="J898">
        <f t="shared" si="99"/>
        <v>8450.5041600000113</v>
      </c>
      <c r="K898">
        <f t="shared" si="97"/>
        <v>8450.5</v>
      </c>
      <c r="L898">
        <f t="shared" si="100"/>
        <v>8450.5</v>
      </c>
      <c r="M898">
        <f t="shared" si="98"/>
        <v>12.144</v>
      </c>
    </row>
    <row r="899" spans="1:13" x14ac:dyDescent="0.25">
      <c r="A899" s="1">
        <v>2458450.5043799998</v>
      </c>
      <c r="B899" s="1" t="s">
        <v>279</v>
      </c>
      <c r="C899" s="1">
        <v>12.108000000000001</v>
      </c>
      <c r="D899" s="1" t="s">
        <v>292</v>
      </c>
      <c r="E899" t="s">
        <v>94</v>
      </c>
      <c r="F899">
        <f t="shared" ref="F899:F962" si="101">+A899-2450000</f>
        <v>8450.5043799998239</v>
      </c>
      <c r="G899">
        <f t="shared" ref="G899:G962" si="102">+(ROUND(F899,1)*10)/10</f>
        <v>8450.5</v>
      </c>
      <c r="H899">
        <f t="shared" ref="H899:H962" si="103">+C899</f>
        <v>12.108000000000001</v>
      </c>
      <c r="J899">
        <f t="shared" si="99"/>
        <v>8450.5043799998239</v>
      </c>
      <c r="K899">
        <f t="shared" ref="K899:K962" si="104">+INT(J899*4)/4</f>
        <v>8450.5</v>
      </c>
      <c r="L899">
        <f t="shared" si="100"/>
        <v>8450.5</v>
      </c>
      <c r="M899">
        <f t="shared" ref="M899:M962" si="105">+H899</f>
        <v>12.108000000000001</v>
      </c>
    </row>
    <row r="900" spans="1:13" x14ac:dyDescent="0.25">
      <c r="A900" s="1">
        <v>2458451.5046999999</v>
      </c>
      <c r="B900" s="1" t="s">
        <v>280</v>
      </c>
      <c r="C900" s="1">
        <v>12.109</v>
      </c>
      <c r="D900" s="1" t="s">
        <v>292</v>
      </c>
      <c r="E900" t="s">
        <v>94</v>
      </c>
      <c r="F900">
        <f t="shared" si="101"/>
        <v>8451.5046999999322</v>
      </c>
      <c r="G900">
        <f t="shared" si="102"/>
        <v>8451.5</v>
      </c>
      <c r="H900">
        <f t="shared" si="103"/>
        <v>12.109</v>
      </c>
      <c r="J900">
        <f t="shared" si="99"/>
        <v>8451.5046999999322</v>
      </c>
      <c r="K900">
        <f t="shared" si="104"/>
        <v>8451.5</v>
      </c>
      <c r="L900">
        <f t="shared" si="100"/>
        <v>8451.5</v>
      </c>
      <c r="M900">
        <f t="shared" si="105"/>
        <v>12.109</v>
      </c>
    </row>
    <row r="901" spans="1:13" x14ac:dyDescent="0.25">
      <c r="A901" s="1">
        <v>2458451.5049200002</v>
      </c>
      <c r="B901" s="1" t="s">
        <v>280</v>
      </c>
      <c r="C901" s="1">
        <v>12.122</v>
      </c>
      <c r="D901" s="1" t="s">
        <v>292</v>
      </c>
      <c r="E901" t="s">
        <v>94</v>
      </c>
      <c r="F901">
        <f t="shared" si="101"/>
        <v>8451.5049200002104</v>
      </c>
      <c r="G901">
        <f t="shared" si="102"/>
        <v>8451.5</v>
      </c>
      <c r="H901">
        <f t="shared" si="103"/>
        <v>12.122</v>
      </c>
      <c r="J901">
        <f t="shared" si="99"/>
        <v>8451.5049200002104</v>
      </c>
      <c r="K901">
        <f t="shared" si="104"/>
        <v>8451.5</v>
      </c>
      <c r="L901">
        <f t="shared" si="100"/>
        <v>8451.5</v>
      </c>
      <c r="M901">
        <f t="shared" si="105"/>
        <v>12.122</v>
      </c>
    </row>
    <row r="902" spans="1:13" x14ac:dyDescent="0.25">
      <c r="A902" s="1">
        <v>2458453.2179899998</v>
      </c>
      <c r="B902" s="1" t="s">
        <v>281</v>
      </c>
      <c r="C902" s="1">
        <v>12.074999999999999</v>
      </c>
      <c r="D902" s="1" t="s">
        <v>292</v>
      </c>
      <c r="E902" t="s">
        <v>101</v>
      </c>
      <c r="F902">
        <f t="shared" si="101"/>
        <v>8453.2179899998009</v>
      </c>
      <c r="G902">
        <f t="shared" si="102"/>
        <v>8453.2000000000007</v>
      </c>
      <c r="H902">
        <f t="shared" si="103"/>
        <v>12.074999999999999</v>
      </c>
      <c r="J902">
        <f t="shared" si="99"/>
        <v>8453.2179899998009</v>
      </c>
      <c r="K902">
        <f t="shared" si="104"/>
        <v>8453</v>
      </c>
      <c r="L902">
        <f t="shared" si="100"/>
        <v>8453</v>
      </c>
      <c r="M902">
        <f t="shared" si="105"/>
        <v>12.074999999999999</v>
      </c>
    </row>
    <row r="903" spans="1:13" x14ac:dyDescent="0.25">
      <c r="A903" s="1">
        <v>2458453.2183099999</v>
      </c>
      <c r="B903" s="1" t="s">
        <v>281</v>
      </c>
      <c r="C903" s="1">
        <v>12.076000000000001</v>
      </c>
      <c r="D903" s="1" t="s">
        <v>292</v>
      </c>
      <c r="E903" t="s">
        <v>101</v>
      </c>
      <c r="F903">
        <f t="shared" si="101"/>
        <v>8453.2183099999093</v>
      </c>
      <c r="G903">
        <f t="shared" si="102"/>
        <v>8453.2000000000007</v>
      </c>
      <c r="H903">
        <f t="shared" si="103"/>
        <v>12.076000000000001</v>
      </c>
      <c r="J903">
        <f t="shared" si="99"/>
        <v>8453.2183099999093</v>
      </c>
      <c r="K903">
        <f t="shared" si="104"/>
        <v>8453</v>
      </c>
      <c r="L903">
        <f t="shared" si="100"/>
        <v>8453</v>
      </c>
      <c r="M903">
        <f t="shared" si="105"/>
        <v>12.076000000000001</v>
      </c>
    </row>
    <row r="904" spans="1:13" x14ac:dyDescent="0.25">
      <c r="A904" s="1">
        <v>2458462.21257</v>
      </c>
      <c r="B904" s="1" t="s">
        <v>282</v>
      </c>
      <c r="C904" s="1">
        <v>12.086</v>
      </c>
      <c r="D904" s="1" t="s">
        <v>292</v>
      </c>
      <c r="E904" t="s">
        <v>101</v>
      </c>
      <c r="F904">
        <f t="shared" si="101"/>
        <v>8462.2125699999742</v>
      </c>
      <c r="G904">
        <f t="shared" si="102"/>
        <v>8462.2000000000007</v>
      </c>
      <c r="H904">
        <f t="shared" si="103"/>
        <v>12.086</v>
      </c>
      <c r="J904">
        <f t="shared" si="99"/>
        <v>8462.2125699999742</v>
      </c>
      <c r="K904">
        <f t="shared" si="104"/>
        <v>8462</v>
      </c>
      <c r="L904">
        <f t="shared" si="100"/>
        <v>8462</v>
      </c>
      <c r="M904">
        <f t="shared" si="105"/>
        <v>12.086</v>
      </c>
    </row>
    <row r="905" spans="1:13" x14ac:dyDescent="0.25">
      <c r="A905" s="1">
        <v>2458462.21288</v>
      </c>
      <c r="B905" s="1" t="s">
        <v>282</v>
      </c>
      <c r="C905" s="1">
        <v>12.082000000000001</v>
      </c>
      <c r="D905" s="1" t="s">
        <v>292</v>
      </c>
      <c r="E905" t="s">
        <v>101</v>
      </c>
      <c r="F905">
        <f t="shared" si="101"/>
        <v>8462.2128800000064</v>
      </c>
      <c r="G905">
        <f t="shared" si="102"/>
        <v>8462.2000000000007</v>
      </c>
      <c r="H905">
        <f t="shared" si="103"/>
        <v>12.082000000000001</v>
      </c>
      <c r="J905">
        <f t="shared" si="99"/>
        <v>8462.2128800000064</v>
      </c>
      <c r="K905">
        <f t="shared" si="104"/>
        <v>8462</v>
      </c>
      <c r="L905">
        <f t="shared" si="100"/>
        <v>8462</v>
      </c>
      <c r="M905">
        <f t="shared" si="105"/>
        <v>12.082000000000001</v>
      </c>
    </row>
    <row r="906" spans="1:13" x14ac:dyDescent="0.25">
      <c r="A906" s="1">
        <v>2458464.25801</v>
      </c>
      <c r="B906" s="1" t="s">
        <v>283</v>
      </c>
      <c r="C906" s="1">
        <v>12.093</v>
      </c>
      <c r="D906" s="1" t="s">
        <v>292</v>
      </c>
      <c r="E906" t="s">
        <v>101</v>
      </c>
      <c r="F906">
        <f t="shared" si="101"/>
        <v>8464.2580099999905</v>
      </c>
      <c r="G906">
        <f t="shared" si="102"/>
        <v>8464.2999999999993</v>
      </c>
      <c r="H906">
        <f t="shared" si="103"/>
        <v>12.093</v>
      </c>
      <c r="J906">
        <f t="shared" si="99"/>
        <v>8464.2580099999905</v>
      </c>
      <c r="K906">
        <f t="shared" si="104"/>
        <v>8464.25</v>
      </c>
      <c r="L906">
        <f t="shared" si="100"/>
        <v>8464.25</v>
      </c>
      <c r="M906">
        <f t="shared" si="105"/>
        <v>12.093</v>
      </c>
    </row>
    <row r="907" spans="1:13" x14ac:dyDescent="0.25">
      <c r="A907" s="1">
        <v>2458464.2583300001</v>
      </c>
      <c r="B907" s="1" t="s">
        <v>283</v>
      </c>
      <c r="C907" s="1">
        <v>12.07</v>
      </c>
      <c r="D907" s="1" t="s">
        <v>292</v>
      </c>
      <c r="E907" t="s">
        <v>101</v>
      </c>
      <c r="F907">
        <f t="shared" si="101"/>
        <v>8464.2583300000988</v>
      </c>
      <c r="G907">
        <f t="shared" si="102"/>
        <v>8464.2999999999993</v>
      </c>
      <c r="H907">
        <f t="shared" si="103"/>
        <v>12.07</v>
      </c>
      <c r="J907">
        <f t="shared" si="99"/>
        <v>8464.2583300000988</v>
      </c>
      <c r="K907">
        <f t="shared" si="104"/>
        <v>8464.25</v>
      </c>
      <c r="L907">
        <f t="shared" si="100"/>
        <v>8464.25</v>
      </c>
      <c r="M907">
        <f t="shared" si="105"/>
        <v>12.07</v>
      </c>
    </row>
    <row r="908" spans="1:13" x14ac:dyDescent="0.25">
      <c r="A908" s="1">
        <v>2458478.30235</v>
      </c>
      <c r="B908" s="1" t="s">
        <v>289</v>
      </c>
      <c r="C908" s="1">
        <v>12.179</v>
      </c>
      <c r="D908" s="1" t="s">
        <v>292</v>
      </c>
      <c r="E908" t="s">
        <v>101</v>
      </c>
      <c r="F908">
        <f t="shared" si="101"/>
        <v>8478.3023500000127</v>
      </c>
      <c r="G908">
        <f t="shared" si="102"/>
        <v>8478.2999999999993</v>
      </c>
      <c r="H908">
        <f t="shared" si="103"/>
        <v>12.179</v>
      </c>
      <c r="J908">
        <f t="shared" si="99"/>
        <v>8478.3023500000127</v>
      </c>
      <c r="K908">
        <f t="shared" si="104"/>
        <v>8478.25</v>
      </c>
      <c r="L908">
        <f t="shared" si="100"/>
        <v>8478.25</v>
      </c>
      <c r="M908">
        <f t="shared" si="105"/>
        <v>12.179</v>
      </c>
    </row>
    <row r="909" spans="1:13" x14ac:dyDescent="0.25">
      <c r="A909" s="1">
        <v>2458478.30266</v>
      </c>
      <c r="B909" s="1" t="s">
        <v>289</v>
      </c>
      <c r="C909" s="1">
        <v>12.162000000000001</v>
      </c>
      <c r="D909" s="1" t="s">
        <v>292</v>
      </c>
      <c r="E909" t="s">
        <v>101</v>
      </c>
      <c r="F909">
        <f t="shared" si="101"/>
        <v>8478.3026600000449</v>
      </c>
      <c r="G909">
        <f t="shared" si="102"/>
        <v>8478.2999999999993</v>
      </c>
      <c r="H909">
        <f t="shared" si="103"/>
        <v>12.162000000000001</v>
      </c>
      <c r="J909">
        <f t="shared" si="99"/>
        <v>8478.3026600000449</v>
      </c>
      <c r="K909">
        <f t="shared" si="104"/>
        <v>8478.25</v>
      </c>
      <c r="L909">
        <f t="shared" si="100"/>
        <v>8478.25</v>
      </c>
      <c r="M909">
        <f t="shared" si="105"/>
        <v>12.162000000000001</v>
      </c>
    </row>
    <row r="910" spans="1:13" x14ac:dyDescent="0.25">
      <c r="A910" s="1">
        <v>2458479.21</v>
      </c>
      <c r="B910" s="1" t="s">
        <v>290</v>
      </c>
      <c r="C910" s="1">
        <v>12.151999999999999</v>
      </c>
      <c r="D910" s="1" t="s">
        <v>292</v>
      </c>
      <c r="E910" t="s">
        <v>101</v>
      </c>
      <c r="F910">
        <f t="shared" si="101"/>
        <v>8479.2099999999627</v>
      </c>
      <c r="G910">
        <f t="shared" si="102"/>
        <v>8479.2000000000007</v>
      </c>
      <c r="H910">
        <f t="shared" si="103"/>
        <v>12.151999999999999</v>
      </c>
      <c r="J910">
        <f t="shared" si="99"/>
        <v>8479.2099999999627</v>
      </c>
      <c r="K910">
        <f t="shared" si="104"/>
        <v>8479</v>
      </c>
      <c r="L910">
        <f t="shared" si="100"/>
        <v>8479</v>
      </c>
      <c r="M910">
        <f t="shared" si="105"/>
        <v>12.151999999999999</v>
      </c>
    </row>
    <row r="911" spans="1:13" x14ac:dyDescent="0.25">
      <c r="A911" s="1">
        <v>2458479.2103200001</v>
      </c>
      <c r="B911" s="1" t="s">
        <v>290</v>
      </c>
      <c r="C911" s="1">
        <v>12.121</v>
      </c>
      <c r="D911" s="1" t="s">
        <v>292</v>
      </c>
      <c r="E911" t="s">
        <v>101</v>
      </c>
      <c r="F911">
        <f t="shared" si="101"/>
        <v>8479.2103200000711</v>
      </c>
      <c r="G911">
        <f t="shared" si="102"/>
        <v>8479.2000000000007</v>
      </c>
      <c r="H911">
        <f t="shared" si="103"/>
        <v>12.121</v>
      </c>
      <c r="J911">
        <f t="shared" si="99"/>
        <v>8479.2103200000711</v>
      </c>
      <c r="K911">
        <f t="shared" si="104"/>
        <v>8479</v>
      </c>
      <c r="L911">
        <f t="shared" si="100"/>
        <v>8479</v>
      </c>
      <c r="M911">
        <f t="shared" si="105"/>
        <v>12.121</v>
      </c>
    </row>
    <row r="912" spans="1:13" x14ac:dyDescent="0.25">
      <c r="A912" s="1">
        <v>2458487.2123400001</v>
      </c>
      <c r="B912" s="1" t="s">
        <v>291</v>
      </c>
      <c r="C912" s="1">
        <v>12.211</v>
      </c>
      <c r="D912" s="1" t="s">
        <v>292</v>
      </c>
      <c r="E912" t="s">
        <v>101</v>
      </c>
      <c r="F912">
        <f t="shared" si="101"/>
        <v>8487.2123400000855</v>
      </c>
      <c r="G912">
        <f t="shared" si="102"/>
        <v>8487.2000000000007</v>
      </c>
      <c r="H912">
        <f t="shared" si="103"/>
        <v>12.211</v>
      </c>
      <c r="J912">
        <f t="shared" si="99"/>
        <v>8487.2123400000855</v>
      </c>
      <c r="K912">
        <f t="shared" si="104"/>
        <v>8487</v>
      </c>
      <c r="L912">
        <f t="shared" si="100"/>
        <v>8487</v>
      </c>
      <c r="M912">
        <f t="shared" si="105"/>
        <v>12.211</v>
      </c>
    </row>
    <row r="913" spans="1:13" x14ac:dyDescent="0.25">
      <c r="A913" s="1">
        <v>2458487.2126500001</v>
      </c>
      <c r="B913" s="1" t="s">
        <v>291</v>
      </c>
      <c r="C913" s="1">
        <v>12.166</v>
      </c>
      <c r="D913" s="1" t="s">
        <v>292</v>
      </c>
      <c r="E913" t="s">
        <v>101</v>
      </c>
      <c r="F913">
        <f t="shared" si="101"/>
        <v>8487.2126500001177</v>
      </c>
      <c r="G913">
        <f t="shared" si="102"/>
        <v>8487.2000000000007</v>
      </c>
      <c r="H913">
        <f t="shared" si="103"/>
        <v>12.166</v>
      </c>
      <c r="J913">
        <f t="shared" si="99"/>
        <v>8487.2126500001177</v>
      </c>
      <c r="K913">
        <f t="shared" si="104"/>
        <v>8487</v>
      </c>
      <c r="L913">
        <f t="shared" si="100"/>
        <v>8487</v>
      </c>
      <c r="M913">
        <f t="shared" si="105"/>
        <v>12.166</v>
      </c>
    </row>
    <row r="914" spans="1:13" x14ac:dyDescent="0.25">
      <c r="A914" s="1">
        <v>2458503.2306400002</v>
      </c>
      <c r="B914" s="1" t="s">
        <v>309</v>
      </c>
      <c r="C914" s="1">
        <v>12.366</v>
      </c>
      <c r="D914" s="1" t="s">
        <v>292</v>
      </c>
      <c r="E914" t="s">
        <v>101</v>
      </c>
      <c r="F914">
        <f t="shared" si="101"/>
        <v>8503.230640000198</v>
      </c>
      <c r="G914">
        <f t="shared" si="102"/>
        <v>8503.2000000000007</v>
      </c>
      <c r="H914">
        <f t="shared" si="103"/>
        <v>12.366</v>
      </c>
      <c r="J914">
        <f t="shared" si="99"/>
        <v>8503.230640000198</v>
      </c>
      <c r="K914">
        <f t="shared" si="104"/>
        <v>8503</v>
      </c>
      <c r="L914">
        <f t="shared" si="100"/>
        <v>8503</v>
      </c>
      <c r="M914">
        <f t="shared" si="105"/>
        <v>12.366</v>
      </c>
    </row>
    <row r="915" spans="1:13" x14ac:dyDescent="0.25">
      <c r="A915" s="1">
        <v>2458503.23098</v>
      </c>
      <c r="B915" s="1" t="s">
        <v>309</v>
      </c>
      <c r="C915" s="1">
        <v>12.185</v>
      </c>
      <c r="D915" s="1" t="s">
        <v>292</v>
      </c>
      <c r="E915" t="s">
        <v>101</v>
      </c>
      <c r="F915">
        <f t="shared" si="101"/>
        <v>8503.230979999993</v>
      </c>
      <c r="G915">
        <f t="shared" si="102"/>
        <v>8503.2000000000007</v>
      </c>
      <c r="H915">
        <f t="shared" si="103"/>
        <v>12.185</v>
      </c>
      <c r="J915">
        <f t="shared" si="99"/>
        <v>8503.230979999993</v>
      </c>
      <c r="K915">
        <f t="shared" si="104"/>
        <v>8503</v>
      </c>
      <c r="L915">
        <f t="shared" si="100"/>
        <v>8503</v>
      </c>
      <c r="M915">
        <f t="shared" si="105"/>
        <v>12.185</v>
      </c>
    </row>
    <row r="916" spans="1:13" x14ac:dyDescent="0.25">
      <c r="A916" s="1">
        <v>2458577.6209</v>
      </c>
      <c r="B916" s="1" t="s">
        <v>310</v>
      </c>
      <c r="C916" s="1">
        <v>12.61</v>
      </c>
      <c r="D916" s="1" t="s">
        <v>292</v>
      </c>
      <c r="E916" t="s">
        <v>101</v>
      </c>
      <c r="F916">
        <f t="shared" si="101"/>
        <v>8577.6208999999799</v>
      </c>
      <c r="G916">
        <f t="shared" si="102"/>
        <v>8577.6</v>
      </c>
      <c r="H916">
        <f t="shared" si="103"/>
        <v>12.61</v>
      </c>
      <c r="J916">
        <f t="shared" si="99"/>
        <v>8577.6208999999799</v>
      </c>
      <c r="K916">
        <f t="shared" si="104"/>
        <v>8577.5</v>
      </c>
      <c r="L916">
        <f t="shared" si="100"/>
        <v>8577.5</v>
      </c>
      <c r="M916">
        <f t="shared" si="105"/>
        <v>12.61</v>
      </c>
    </row>
    <row r="917" spans="1:13" x14ac:dyDescent="0.25">
      <c r="A917" s="1">
        <v>2458577.6212200001</v>
      </c>
      <c r="B917" s="1" t="s">
        <v>310</v>
      </c>
      <c r="C917" s="1">
        <v>12.624000000000001</v>
      </c>
      <c r="D917" s="1" t="s">
        <v>292</v>
      </c>
      <c r="E917" t="s">
        <v>101</v>
      </c>
      <c r="F917">
        <f t="shared" si="101"/>
        <v>8577.6212200000882</v>
      </c>
      <c r="G917">
        <f t="shared" si="102"/>
        <v>8577.6</v>
      </c>
      <c r="H917">
        <f t="shared" si="103"/>
        <v>12.624000000000001</v>
      </c>
      <c r="J917">
        <f t="shared" si="99"/>
        <v>8577.6212200000882</v>
      </c>
      <c r="K917">
        <f t="shared" si="104"/>
        <v>8577.5</v>
      </c>
      <c r="L917">
        <f t="shared" si="100"/>
        <v>8577.5</v>
      </c>
      <c r="M917">
        <f t="shared" si="105"/>
        <v>12.624000000000001</v>
      </c>
    </row>
    <row r="918" spans="1:13" x14ac:dyDescent="0.25">
      <c r="A918" s="1">
        <v>2458597.6397000002</v>
      </c>
      <c r="B918" s="1" t="s">
        <v>311</v>
      </c>
      <c r="C918" s="1">
        <v>12.718999999999999</v>
      </c>
      <c r="D918" s="1" t="s">
        <v>292</v>
      </c>
      <c r="E918" t="s">
        <v>101</v>
      </c>
      <c r="F918">
        <f t="shared" si="101"/>
        <v>8597.6397000001743</v>
      </c>
      <c r="G918">
        <f t="shared" si="102"/>
        <v>8597.6</v>
      </c>
      <c r="H918">
        <f t="shared" si="103"/>
        <v>12.718999999999999</v>
      </c>
      <c r="J918">
        <f t="shared" si="99"/>
        <v>8597.6397000001743</v>
      </c>
      <c r="K918">
        <f t="shared" si="104"/>
        <v>8597.5</v>
      </c>
      <c r="L918">
        <f t="shared" si="100"/>
        <v>8597.5</v>
      </c>
      <c r="M918">
        <f t="shared" si="105"/>
        <v>12.718999999999999</v>
      </c>
    </row>
    <row r="919" spans="1:13" x14ac:dyDescent="0.25">
      <c r="A919" s="1">
        <v>2458597.6400100002</v>
      </c>
      <c r="B919" s="1" t="s">
        <v>311</v>
      </c>
      <c r="C919" s="1">
        <v>12.763</v>
      </c>
      <c r="D919" s="1" t="s">
        <v>292</v>
      </c>
      <c r="E919" t="s">
        <v>101</v>
      </c>
      <c r="F919">
        <f t="shared" si="101"/>
        <v>8597.6400100002065</v>
      </c>
      <c r="G919">
        <f t="shared" si="102"/>
        <v>8597.6</v>
      </c>
      <c r="H919">
        <f t="shared" si="103"/>
        <v>12.763</v>
      </c>
      <c r="J919">
        <f t="shared" si="99"/>
        <v>8597.6400100002065</v>
      </c>
      <c r="K919">
        <f t="shared" si="104"/>
        <v>8597.5</v>
      </c>
      <c r="L919">
        <f t="shared" si="100"/>
        <v>8597.5</v>
      </c>
      <c r="M919">
        <f t="shared" si="105"/>
        <v>12.763</v>
      </c>
    </row>
    <row r="920" spans="1:13" x14ac:dyDescent="0.25">
      <c r="A920" s="1">
        <v>2458643.4489899999</v>
      </c>
      <c r="B920" s="1" t="s">
        <v>312</v>
      </c>
      <c r="C920" s="1">
        <v>12.858000000000001</v>
      </c>
      <c r="D920" s="1" t="s">
        <v>292</v>
      </c>
      <c r="E920" t="s">
        <v>101</v>
      </c>
      <c r="F920">
        <f t="shared" si="101"/>
        <v>8643.4489899999462</v>
      </c>
      <c r="G920">
        <f t="shared" si="102"/>
        <v>8643.4</v>
      </c>
      <c r="H920">
        <f t="shared" si="103"/>
        <v>12.858000000000001</v>
      </c>
      <c r="J920">
        <f t="shared" si="99"/>
        <v>8643.4489899999462</v>
      </c>
      <c r="K920">
        <f t="shared" si="104"/>
        <v>8643.25</v>
      </c>
      <c r="L920">
        <f t="shared" si="100"/>
        <v>8643.25</v>
      </c>
      <c r="M920">
        <f t="shared" si="105"/>
        <v>12.858000000000001</v>
      </c>
    </row>
    <row r="921" spans="1:13" x14ac:dyDescent="0.25">
      <c r="A921" s="1">
        <v>2458643.4493200001</v>
      </c>
      <c r="B921" s="1" t="s">
        <v>312</v>
      </c>
      <c r="C921" s="1">
        <v>12.851000000000001</v>
      </c>
      <c r="D921" s="1" t="s">
        <v>292</v>
      </c>
      <c r="E921" t="s">
        <v>101</v>
      </c>
      <c r="F921">
        <f t="shared" si="101"/>
        <v>8643.4493200001307</v>
      </c>
      <c r="G921">
        <f t="shared" si="102"/>
        <v>8643.4</v>
      </c>
      <c r="H921">
        <f t="shared" si="103"/>
        <v>12.851000000000001</v>
      </c>
      <c r="J921">
        <f t="shared" ref="J921:J984" si="106">+F921</f>
        <v>8643.4493200001307</v>
      </c>
      <c r="K921">
        <f t="shared" si="104"/>
        <v>8643.25</v>
      </c>
      <c r="L921">
        <f t="shared" ref="L921:L984" si="107">+IF(J921-K921&gt;0.25,K921+0.25,K921)</f>
        <v>8643.25</v>
      </c>
      <c r="M921">
        <f t="shared" si="105"/>
        <v>12.851000000000001</v>
      </c>
    </row>
    <row r="922" spans="1:13" x14ac:dyDescent="0.25">
      <c r="A922" s="1">
        <v>2458649.7807800001</v>
      </c>
      <c r="B922" s="1" t="s">
        <v>313</v>
      </c>
      <c r="C922" s="1">
        <v>12.964</v>
      </c>
      <c r="D922" s="1" t="s">
        <v>292</v>
      </c>
      <c r="E922" t="s">
        <v>131</v>
      </c>
      <c r="F922">
        <f t="shared" si="101"/>
        <v>8649.7807800001465</v>
      </c>
      <c r="G922">
        <f t="shared" si="102"/>
        <v>8649.7999999999993</v>
      </c>
      <c r="H922">
        <f t="shared" si="103"/>
        <v>12.964</v>
      </c>
      <c r="J922">
        <f t="shared" si="106"/>
        <v>8649.7807800001465</v>
      </c>
      <c r="K922">
        <f t="shared" si="104"/>
        <v>8649.75</v>
      </c>
      <c r="L922">
        <f t="shared" si="107"/>
        <v>8649.75</v>
      </c>
      <c r="M922">
        <f t="shared" si="105"/>
        <v>12.964</v>
      </c>
    </row>
    <row r="923" spans="1:13" x14ac:dyDescent="0.25">
      <c r="A923" s="1">
        <v>2458654.7340000002</v>
      </c>
      <c r="B923" s="1" t="s">
        <v>314</v>
      </c>
      <c r="C923" s="1">
        <v>12.923999999999999</v>
      </c>
      <c r="D923" s="1" t="s">
        <v>292</v>
      </c>
      <c r="E923" t="s">
        <v>131</v>
      </c>
      <c r="F923">
        <f t="shared" si="101"/>
        <v>8654.7340000001714</v>
      </c>
      <c r="G923">
        <f t="shared" si="102"/>
        <v>8654.7000000000007</v>
      </c>
      <c r="H923">
        <f t="shared" si="103"/>
        <v>12.923999999999999</v>
      </c>
      <c r="J923">
        <f t="shared" si="106"/>
        <v>8654.7340000001714</v>
      </c>
      <c r="K923">
        <f t="shared" si="104"/>
        <v>8654.5</v>
      </c>
      <c r="L923">
        <f t="shared" si="107"/>
        <v>8654.5</v>
      </c>
      <c r="M923">
        <f t="shared" si="105"/>
        <v>12.923999999999999</v>
      </c>
    </row>
    <row r="924" spans="1:13" x14ac:dyDescent="0.25">
      <c r="A924" s="1">
        <v>2458663.4413800002</v>
      </c>
      <c r="B924" s="1" t="s">
        <v>315</v>
      </c>
      <c r="C924" s="1">
        <v>12.824999999999999</v>
      </c>
      <c r="D924" s="1" t="s">
        <v>292</v>
      </c>
      <c r="E924" t="s">
        <v>101</v>
      </c>
      <c r="F924">
        <f t="shared" si="101"/>
        <v>8663.4413800002076</v>
      </c>
      <c r="G924">
        <f t="shared" si="102"/>
        <v>8663.4</v>
      </c>
      <c r="H924">
        <f t="shared" si="103"/>
        <v>12.824999999999999</v>
      </c>
      <c r="J924">
        <f t="shared" si="106"/>
        <v>8663.4413800002076</v>
      </c>
      <c r="K924">
        <f t="shared" si="104"/>
        <v>8663.25</v>
      </c>
      <c r="L924">
        <f t="shared" si="107"/>
        <v>8663.25</v>
      </c>
      <c r="M924">
        <f t="shared" si="105"/>
        <v>12.824999999999999</v>
      </c>
    </row>
    <row r="925" spans="1:13" x14ac:dyDescent="0.25">
      <c r="A925" s="1">
        <v>2458663.4416999999</v>
      </c>
      <c r="B925" s="1" t="s">
        <v>315</v>
      </c>
      <c r="C925" s="1">
        <v>12.82</v>
      </c>
      <c r="D925" s="1" t="s">
        <v>292</v>
      </c>
      <c r="E925" t="s">
        <v>101</v>
      </c>
      <c r="F925">
        <f t="shared" si="101"/>
        <v>8663.4416999998502</v>
      </c>
      <c r="G925">
        <f t="shared" si="102"/>
        <v>8663.4</v>
      </c>
      <c r="H925">
        <f t="shared" si="103"/>
        <v>12.82</v>
      </c>
      <c r="J925">
        <f t="shared" si="106"/>
        <v>8663.4416999998502</v>
      </c>
      <c r="K925">
        <f t="shared" si="104"/>
        <v>8663.25</v>
      </c>
      <c r="L925">
        <f t="shared" si="107"/>
        <v>8663.25</v>
      </c>
      <c r="M925">
        <f t="shared" si="105"/>
        <v>12.82</v>
      </c>
    </row>
    <row r="926" spans="1:13" x14ac:dyDescent="0.25">
      <c r="A926" s="1">
        <v>2458664.4152799998</v>
      </c>
      <c r="B926" s="1" t="s">
        <v>316</v>
      </c>
      <c r="C926" s="1">
        <v>12.79</v>
      </c>
      <c r="D926" s="1" t="s">
        <v>292</v>
      </c>
      <c r="E926" t="s">
        <v>5</v>
      </c>
      <c r="F926">
        <f t="shared" si="101"/>
        <v>8664.415279999841</v>
      </c>
      <c r="G926">
        <f t="shared" si="102"/>
        <v>8664.4</v>
      </c>
      <c r="H926">
        <f t="shared" si="103"/>
        <v>12.79</v>
      </c>
      <c r="J926">
        <f t="shared" si="106"/>
        <v>8664.415279999841</v>
      </c>
      <c r="K926">
        <f t="shared" si="104"/>
        <v>8664.25</v>
      </c>
      <c r="L926">
        <f t="shared" si="107"/>
        <v>8664.25</v>
      </c>
      <c r="M926">
        <f t="shared" si="105"/>
        <v>12.79</v>
      </c>
    </row>
    <row r="927" spans="1:13" x14ac:dyDescent="0.25">
      <c r="A927" s="1">
        <v>2458665.75238</v>
      </c>
      <c r="B927" s="1" t="s">
        <v>317</v>
      </c>
      <c r="C927" s="1">
        <v>12.88</v>
      </c>
      <c r="D927" s="1" t="s">
        <v>292</v>
      </c>
      <c r="E927" t="s">
        <v>131</v>
      </c>
      <c r="F927">
        <f t="shared" si="101"/>
        <v>8665.7523799999617</v>
      </c>
      <c r="G927">
        <f t="shared" si="102"/>
        <v>8665.7999999999993</v>
      </c>
      <c r="H927">
        <f t="shared" si="103"/>
        <v>12.88</v>
      </c>
      <c r="J927">
        <f t="shared" si="106"/>
        <v>8665.7523799999617</v>
      </c>
      <c r="K927">
        <f t="shared" si="104"/>
        <v>8665.75</v>
      </c>
      <c r="L927">
        <f t="shared" si="107"/>
        <v>8665.75</v>
      </c>
      <c r="M927">
        <f t="shared" si="105"/>
        <v>12.88</v>
      </c>
    </row>
    <row r="928" spans="1:13" x14ac:dyDescent="0.25">
      <c r="A928" s="1">
        <v>2458672.4233900001</v>
      </c>
      <c r="B928" s="1" t="s">
        <v>318</v>
      </c>
      <c r="C928" s="1">
        <v>12.791</v>
      </c>
      <c r="D928" s="1" t="s">
        <v>292</v>
      </c>
      <c r="E928" t="s">
        <v>101</v>
      </c>
      <c r="F928">
        <f t="shared" si="101"/>
        <v>8672.4233900001273</v>
      </c>
      <c r="G928">
        <f t="shared" si="102"/>
        <v>8672.4</v>
      </c>
      <c r="H928">
        <f t="shared" si="103"/>
        <v>12.791</v>
      </c>
      <c r="J928">
        <f t="shared" si="106"/>
        <v>8672.4233900001273</v>
      </c>
      <c r="K928">
        <f t="shared" si="104"/>
        <v>8672.25</v>
      </c>
      <c r="L928">
        <f t="shared" si="107"/>
        <v>8672.25</v>
      </c>
      <c r="M928">
        <f t="shared" si="105"/>
        <v>12.791</v>
      </c>
    </row>
    <row r="929" spans="1:13" x14ac:dyDescent="0.25">
      <c r="A929" s="1">
        <v>2458672.4237199998</v>
      </c>
      <c r="B929" s="1" t="s">
        <v>318</v>
      </c>
      <c r="C929" s="1">
        <v>12.756</v>
      </c>
      <c r="D929" s="1" t="s">
        <v>292</v>
      </c>
      <c r="E929" t="s">
        <v>101</v>
      </c>
      <c r="F929">
        <f t="shared" si="101"/>
        <v>8672.4237199998461</v>
      </c>
      <c r="G929">
        <f t="shared" si="102"/>
        <v>8672.4</v>
      </c>
      <c r="H929">
        <f t="shared" si="103"/>
        <v>12.756</v>
      </c>
      <c r="J929">
        <f t="shared" si="106"/>
        <v>8672.4237199998461</v>
      </c>
      <c r="K929">
        <f t="shared" si="104"/>
        <v>8672.25</v>
      </c>
      <c r="L929">
        <f t="shared" si="107"/>
        <v>8672.25</v>
      </c>
      <c r="M929">
        <f t="shared" si="105"/>
        <v>12.756</v>
      </c>
    </row>
    <row r="930" spans="1:13" x14ac:dyDescent="0.25">
      <c r="A930" s="1">
        <v>2458677.7299100002</v>
      </c>
      <c r="B930" s="1" t="s">
        <v>319</v>
      </c>
      <c r="C930" s="1">
        <v>12.839</v>
      </c>
      <c r="D930" s="1" t="s">
        <v>292</v>
      </c>
      <c r="E930" t="s">
        <v>131</v>
      </c>
      <c r="F930">
        <f t="shared" si="101"/>
        <v>8677.7299100002274</v>
      </c>
      <c r="G930">
        <f t="shared" si="102"/>
        <v>8677.7000000000007</v>
      </c>
      <c r="H930">
        <f t="shared" si="103"/>
        <v>12.839</v>
      </c>
      <c r="J930">
        <f t="shared" si="106"/>
        <v>8677.7299100002274</v>
      </c>
      <c r="K930">
        <f t="shared" si="104"/>
        <v>8677.5</v>
      </c>
      <c r="L930">
        <f t="shared" si="107"/>
        <v>8677.5</v>
      </c>
      <c r="M930">
        <f t="shared" si="105"/>
        <v>12.839</v>
      </c>
    </row>
    <row r="931" spans="1:13" x14ac:dyDescent="0.25">
      <c r="A931" s="1">
        <v>2458681.3980800002</v>
      </c>
      <c r="B931" s="1" t="s">
        <v>320</v>
      </c>
      <c r="C931" s="1">
        <v>12.821</v>
      </c>
      <c r="D931" s="1" t="s">
        <v>292</v>
      </c>
      <c r="E931" t="s">
        <v>101</v>
      </c>
      <c r="F931">
        <f t="shared" si="101"/>
        <v>8681.3980800001882</v>
      </c>
      <c r="G931">
        <f t="shared" si="102"/>
        <v>8681.4</v>
      </c>
      <c r="H931">
        <f t="shared" si="103"/>
        <v>12.821</v>
      </c>
      <c r="J931">
        <f t="shared" si="106"/>
        <v>8681.3980800001882</v>
      </c>
      <c r="K931">
        <f t="shared" si="104"/>
        <v>8681.25</v>
      </c>
      <c r="L931">
        <f t="shared" si="107"/>
        <v>8681.25</v>
      </c>
      <c r="M931">
        <f t="shared" si="105"/>
        <v>12.821</v>
      </c>
    </row>
    <row r="932" spans="1:13" x14ac:dyDescent="0.25">
      <c r="A932" s="1">
        <v>2458681.3983900002</v>
      </c>
      <c r="B932" s="1" t="s">
        <v>320</v>
      </c>
      <c r="C932" s="1">
        <v>12.785</v>
      </c>
      <c r="D932" s="1" t="s">
        <v>292</v>
      </c>
      <c r="E932" t="s">
        <v>101</v>
      </c>
      <c r="F932">
        <f t="shared" si="101"/>
        <v>8681.3983900002204</v>
      </c>
      <c r="G932">
        <f t="shared" si="102"/>
        <v>8681.4</v>
      </c>
      <c r="H932">
        <f t="shared" si="103"/>
        <v>12.785</v>
      </c>
      <c r="J932">
        <f t="shared" si="106"/>
        <v>8681.3983900002204</v>
      </c>
      <c r="K932">
        <f t="shared" si="104"/>
        <v>8681.25</v>
      </c>
      <c r="L932">
        <f t="shared" si="107"/>
        <v>8681.25</v>
      </c>
      <c r="M932">
        <f t="shared" si="105"/>
        <v>12.785</v>
      </c>
    </row>
    <row r="933" spans="1:13" x14ac:dyDescent="0.25">
      <c r="A933" s="1">
        <v>2458685.43126</v>
      </c>
      <c r="B933" s="1" t="s">
        <v>321</v>
      </c>
      <c r="C933" s="1">
        <v>12.756</v>
      </c>
      <c r="D933" s="1" t="s">
        <v>292</v>
      </c>
      <c r="E933" t="s">
        <v>101</v>
      </c>
      <c r="F933">
        <f t="shared" si="101"/>
        <v>8685.431259999983</v>
      </c>
      <c r="G933">
        <f t="shared" si="102"/>
        <v>8685.4</v>
      </c>
      <c r="H933">
        <f t="shared" si="103"/>
        <v>12.756</v>
      </c>
      <c r="J933">
        <f t="shared" si="106"/>
        <v>8685.431259999983</v>
      </c>
      <c r="K933">
        <f t="shared" si="104"/>
        <v>8685.25</v>
      </c>
      <c r="L933">
        <f t="shared" si="107"/>
        <v>8685.25</v>
      </c>
      <c r="M933">
        <f t="shared" si="105"/>
        <v>12.756</v>
      </c>
    </row>
    <row r="934" spans="1:13" x14ac:dyDescent="0.25">
      <c r="A934" s="1">
        <v>2458685.43157</v>
      </c>
      <c r="B934" s="1" t="s">
        <v>321</v>
      </c>
      <c r="C934" s="1">
        <v>12.763999999999999</v>
      </c>
      <c r="D934" s="1" t="s">
        <v>292</v>
      </c>
      <c r="E934" t="s">
        <v>101</v>
      </c>
      <c r="F934">
        <f t="shared" si="101"/>
        <v>8685.4315700000152</v>
      </c>
      <c r="G934">
        <f t="shared" si="102"/>
        <v>8685.4</v>
      </c>
      <c r="H934">
        <f t="shared" si="103"/>
        <v>12.763999999999999</v>
      </c>
      <c r="J934">
        <f t="shared" si="106"/>
        <v>8685.4315700000152</v>
      </c>
      <c r="K934">
        <f t="shared" si="104"/>
        <v>8685.25</v>
      </c>
      <c r="L934">
        <f t="shared" si="107"/>
        <v>8685.25</v>
      </c>
      <c r="M934">
        <f t="shared" si="105"/>
        <v>12.763999999999999</v>
      </c>
    </row>
    <row r="935" spans="1:13" x14ac:dyDescent="0.25">
      <c r="A935" s="1">
        <v>2458685.7128499998</v>
      </c>
      <c r="B935" s="1" t="s">
        <v>322</v>
      </c>
      <c r="C935" s="1">
        <v>12.811999999999999</v>
      </c>
      <c r="D935" s="1" t="s">
        <v>292</v>
      </c>
      <c r="E935" t="s">
        <v>131</v>
      </c>
      <c r="F935">
        <f t="shared" si="101"/>
        <v>8685.712849999778</v>
      </c>
      <c r="G935">
        <f t="shared" si="102"/>
        <v>8685.7000000000007</v>
      </c>
      <c r="H935">
        <f t="shared" si="103"/>
        <v>12.811999999999999</v>
      </c>
      <c r="J935">
        <f t="shared" si="106"/>
        <v>8685.712849999778</v>
      </c>
      <c r="K935">
        <f t="shared" si="104"/>
        <v>8685.5</v>
      </c>
      <c r="L935">
        <f t="shared" si="107"/>
        <v>8685.5</v>
      </c>
      <c r="M935">
        <f t="shared" si="105"/>
        <v>12.811999999999999</v>
      </c>
    </row>
    <row r="936" spans="1:13" x14ac:dyDescent="0.25">
      <c r="A936" s="1">
        <v>2458687.3997999998</v>
      </c>
      <c r="B936" s="1" t="s">
        <v>323</v>
      </c>
      <c r="C936" s="1">
        <v>12.742000000000001</v>
      </c>
      <c r="D936" s="1" t="s">
        <v>292</v>
      </c>
      <c r="E936" t="s">
        <v>101</v>
      </c>
      <c r="F936">
        <f t="shared" si="101"/>
        <v>8687.399799999781</v>
      </c>
      <c r="G936">
        <f t="shared" si="102"/>
        <v>8687.4</v>
      </c>
      <c r="H936">
        <f t="shared" si="103"/>
        <v>12.742000000000001</v>
      </c>
      <c r="J936">
        <f t="shared" si="106"/>
        <v>8687.399799999781</v>
      </c>
      <c r="K936">
        <f t="shared" si="104"/>
        <v>8687.25</v>
      </c>
      <c r="L936">
        <f t="shared" si="107"/>
        <v>8687.25</v>
      </c>
      <c r="M936">
        <f t="shared" si="105"/>
        <v>12.742000000000001</v>
      </c>
    </row>
    <row r="937" spans="1:13" x14ac:dyDescent="0.25">
      <c r="A937" s="1">
        <v>2458687.4001199999</v>
      </c>
      <c r="B937" s="1" t="s">
        <v>323</v>
      </c>
      <c r="C937" s="1">
        <v>12.763</v>
      </c>
      <c r="D937" s="1" t="s">
        <v>292</v>
      </c>
      <c r="E937" t="s">
        <v>101</v>
      </c>
      <c r="F937">
        <f t="shared" si="101"/>
        <v>8687.4001199998893</v>
      </c>
      <c r="G937">
        <f t="shared" si="102"/>
        <v>8687.4</v>
      </c>
      <c r="H937">
        <f t="shared" si="103"/>
        <v>12.763</v>
      </c>
      <c r="J937">
        <f t="shared" si="106"/>
        <v>8687.4001199998893</v>
      </c>
      <c r="K937">
        <f t="shared" si="104"/>
        <v>8687.25</v>
      </c>
      <c r="L937">
        <f t="shared" si="107"/>
        <v>8687.25</v>
      </c>
      <c r="M937">
        <f t="shared" si="105"/>
        <v>12.763</v>
      </c>
    </row>
    <row r="938" spans="1:13" x14ac:dyDescent="0.25">
      <c r="A938" s="1">
        <v>2458688.3939999999</v>
      </c>
      <c r="B938" s="1" t="s">
        <v>324</v>
      </c>
      <c r="C938" s="1">
        <v>12.768000000000001</v>
      </c>
      <c r="D938" s="1" t="s">
        <v>292</v>
      </c>
      <c r="E938" t="s">
        <v>101</v>
      </c>
      <c r="F938">
        <f t="shared" si="101"/>
        <v>8688.3939999998547</v>
      </c>
      <c r="G938">
        <f t="shared" si="102"/>
        <v>8688.4</v>
      </c>
      <c r="H938">
        <f t="shared" si="103"/>
        <v>12.768000000000001</v>
      </c>
      <c r="J938">
        <f t="shared" si="106"/>
        <v>8688.3939999998547</v>
      </c>
      <c r="K938">
        <f t="shared" si="104"/>
        <v>8688.25</v>
      </c>
      <c r="L938">
        <f t="shared" si="107"/>
        <v>8688.25</v>
      </c>
      <c r="M938">
        <f t="shared" si="105"/>
        <v>12.768000000000001</v>
      </c>
    </row>
    <row r="939" spans="1:13" x14ac:dyDescent="0.25">
      <c r="A939" s="1">
        <v>2458688.39433</v>
      </c>
      <c r="B939" s="1" t="s">
        <v>324</v>
      </c>
      <c r="C939" s="1">
        <v>12.747</v>
      </c>
      <c r="D939" s="1" t="s">
        <v>292</v>
      </c>
      <c r="E939" t="s">
        <v>101</v>
      </c>
      <c r="F939">
        <f t="shared" si="101"/>
        <v>8688.3943300000392</v>
      </c>
      <c r="G939">
        <f t="shared" si="102"/>
        <v>8688.4</v>
      </c>
      <c r="H939">
        <f t="shared" si="103"/>
        <v>12.747</v>
      </c>
      <c r="J939">
        <f t="shared" si="106"/>
        <v>8688.3943300000392</v>
      </c>
      <c r="K939">
        <f t="shared" si="104"/>
        <v>8688.25</v>
      </c>
      <c r="L939">
        <f t="shared" si="107"/>
        <v>8688.25</v>
      </c>
      <c r="M939">
        <f t="shared" si="105"/>
        <v>12.747</v>
      </c>
    </row>
    <row r="940" spans="1:13" x14ac:dyDescent="0.25">
      <c r="A940" s="1">
        <v>2458690.5090299998</v>
      </c>
      <c r="B940" s="1" t="s">
        <v>325</v>
      </c>
      <c r="C940" s="1">
        <v>12.7</v>
      </c>
      <c r="D940" s="1" t="s">
        <v>292</v>
      </c>
      <c r="E940" t="s">
        <v>5</v>
      </c>
      <c r="F940">
        <f t="shared" si="101"/>
        <v>8690.509029999841</v>
      </c>
      <c r="G940">
        <f t="shared" si="102"/>
        <v>8690.5</v>
      </c>
      <c r="H940">
        <f t="shared" si="103"/>
        <v>12.7</v>
      </c>
      <c r="J940">
        <f t="shared" si="106"/>
        <v>8690.509029999841</v>
      </c>
      <c r="K940">
        <f t="shared" si="104"/>
        <v>8690.5</v>
      </c>
      <c r="L940">
        <f t="shared" si="107"/>
        <v>8690.5</v>
      </c>
      <c r="M940">
        <f t="shared" si="105"/>
        <v>12.7</v>
      </c>
    </row>
    <row r="941" spans="1:13" x14ac:dyDescent="0.25">
      <c r="A941" s="1">
        <v>2458693.39353</v>
      </c>
      <c r="B941" s="1" t="s">
        <v>326</v>
      </c>
      <c r="C941" s="1">
        <v>12.715999999999999</v>
      </c>
      <c r="D941" s="1" t="s">
        <v>292</v>
      </c>
      <c r="E941" t="s">
        <v>101</v>
      </c>
      <c r="F941">
        <f t="shared" si="101"/>
        <v>8693.3935300000012</v>
      </c>
      <c r="G941">
        <f t="shared" si="102"/>
        <v>8693.4</v>
      </c>
      <c r="H941">
        <f t="shared" si="103"/>
        <v>12.715999999999999</v>
      </c>
      <c r="J941">
        <f t="shared" si="106"/>
        <v>8693.3935300000012</v>
      </c>
      <c r="K941">
        <f t="shared" si="104"/>
        <v>8693.25</v>
      </c>
      <c r="L941">
        <f t="shared" si="107"/>
        <v>8693.25</v>
      </c>
      <c r="M941">
        <f t="shared" si="105"/>
        <v>12.715999999999999</v>
      </c>
    </row>
    <row r="942" spans="1:13" x14ac:dyDescent="0.25">
      <c r="A942" s="1">
        <v>2458693.39384</v>
      </c>
      <c r="B942" s="1" t="s">
        <v>326</v>
      </c>
      <c r="C942" s="1">
        <v>12.686</v>
      </c>
      <c r="D942" s="1" t="s">
        <v>292</v>
      </c>
      <c r="E942" t="s">
        <v>101</v>
      </c>
      <c r="F942">
        <f t="shared" si="101"/>
        <v>8693.3938400000334</v>
      </c>
      <c r="G942">
        <f t="shared" si="102"/>
        <v>8693.4</v>
      </c>
      <c r="H942">
        <f t="shared" si="103"/>
        <v>12.686</v>
      </c>
      <c r="J942">
        <f t="shared" si="106"/>
        <v>8693.3938400000334</v>
      </c>
      <c r="K942">
        <f t="shared" si="104"/>
        <v>8693.25</v>
      </c>
      <c r="L942">
        <f t="shared" si="107"/>
        <v>8693.25</v>
      </c>
      <c r="M942">
        <f t="shared" si="105"/>
        <v>12.686</v>
      </c>
    </row>
    <row r="943" spans="1:13" x14ac:dyDescent="0.25">
      <c r="A943" s="1">
        <v>2458694.3860399998</v>
      </c>
      <c r="B943" s="1" t="s">
        <v>327</v>
      </c>
      <c r="C943" s="1">
        <v>12.695</v>
      </c>
      <c r="D943" s="1" t="s">
        <v>292</v>
      </c>
      <c r="E943" t="s">
        <v>101</v>
      </c>
      <c r="F943">
        <f t="shared" si="101"/>
        <v>8694.3860399997793</v>
      </c>
      <c r="G943">
        <f t="shared" si="102"/>
        <v>8694.4</v>
      </c>
      <c r="H943">
        <f t="shared" si="103"/>
        <v>12.695</v>
      </c>
      <c r="J943">
        <f t="shared" si="106"/>
        <v>8694.3860399997793</v>
      </c>
      <c r="K943">
        <f t="shared" si="104"/>
        <v>8694.25</v>
      </c>
      <c r="L943">
        <f t="shared" si="107"/>
        <v>8694.25</v>
      </c>
      <c r="M943">
        <f t="shared" si="105"/>
        <v>12.695</v>
      </c>
    </row>
    <row r="944" spans="1:13" x14ac:dyDescent="0.25">
      <c r="A944" s="1">
        <v>2458694.3863499998</v>
      </c>
      <c r="B944" s="1" t="s">
        <v>327</v>
      </c>
      <c r="C944" s="1">
        <v>12.714</v>
      </c>
      <c r="D944" s="1" t="s">
        <v>292</v>
      </c>
      <c r="E944" t="s">
        <v>101</v>
      </c>
      <c r="F944">
        <f t="shared" si="101"/>
        <v>8694.3863499998115</v>
      </c>
      <c r="G944">
        <f t="shared" si="102"/>
        <v>8694.4</v>
      </c>
      <c r="H944">
        <f t="shared" si="103"/>
        <v>12.714</v>
      </c>
      <c r="J944">
        <f t="shared" si="106"/>
        <v>8694.3863499998115</v>
      </c>
      <c r="K944">
        <f t="shared" si="104"/>
        <v>8694.25</v>
      </c>
      <c r="L944">
        <f t="shared" si="107"/>
        <v>8694.25</v>
      </c>
      <c r="M944">
        <f t="shared" si="105"/>
        <v>12.714</v>
      </c>
    </row>
    <row r="945" spans="1:13" x14ac:dyDescent="0.25">
      <c r="A945" s="1">
        <v>2458697.3930000002</v>
      </c>
      <c r="B945" s="1" t="s">
        <v>328</v>
      </c>
      <c r="C945" s="1">
        <v>12.685</v>
      </c>
      <c r="D945" s="1" t="s">
        <v>292</v>
      </c>
      <c r="E945" t="s">
        <v>101</v>
      </c>
      <c r="F945">
        <f t="shared" si="101"/>
        <v>8697.3930000001565</v>
      </c>
      <c r="G945">
        <f t="shared" si="102"/>
        <v>8697.4</v>
      </c>
      <c r="H945">
        <f t="shared" si="103"/>
        <v>12.685</v>
      </c>
      <c r="J945">
        <f t="shared" si="106"/>
        <v>8697.3930000001565</v>
      </c>
      <c r="K945">
        <f t="shared" si="104"/>
        <v>8697.25</v>
      </c>
      <c r="L945">
        <f t="shared" si="107"/>
        <v>8697.25</v>
      </c>
      <c r="M945">
        <f t="shared" si="105"/>
        <v>12.685</v>
      </c>
    </row>
    <row r="946" spans="1:13" x14ac:dyDescent="0.25">
      <c r="A946" s="1">
        <v>2458697.3933199998</v>
      </c>
      <c r="B946" s="1" t="s">
        <v>328</v>
      </c>
      <c r="C946" s="1">
        <v>12.702999999999999</v>
      </c>
      <c r="D946" s="1" t="s">
        <v>292</v>
      </c>
      <c r="E946" t="s">
        <v>101</v>
      </c>
      <c r="F946">
        <f t="shared" si="101"/>
        <v>8697.3933199997991</v>
      </c>
      <c r="G946">
        <f t="shared" si="102"/>
        <v>8697.4</v>
      </c>
      <c r="H946">
        <f t="shared" si="103"/>
        <v>12.702999999999999</v>
      </c>
      <c r="J946">
        <f t="shared" si="106"/>
        <v>8697.3933199997991</v>
      </c>
      <c r="K946">
        <f t="shared" si="104"/>
        <v>8697.25</v>
      </c>
      <c r="L946">
        <f t="shared" si="107"/>
        <v>8697.25</v>
      </c>
      <c r="M946">
        <f t="shared" si="105"/>
        <v>12.702999999999999</v>
      </c>
    </row>
    <row r="947" spans="1:13" x14ac:dyDescent="0.25">
      <c r="A947" s="1">
        <v>2458698.3816999998</v>
      </c>
      <c r="B947" s="1" t="s">
        <v>329</v>
      </c>
      <c r="C947" s="1">
        <v>12.657</v>
      </c>
      <c r="D947" s="1" t="s">
        <v>292</v>
      </c>
      <c r="E947" t="s">
        <v>101</v>
      </c>
      <c r="F947">
        <f t="shared" si="101"/>
        <v>8698.3816999997944</v>
      </c>
      <c r="G947">
        <f t="shared" si="102"/>
        <v>8698.4</v>
      </c>
      <c r="H947">
        <f t="shared" si="103"/>
        <v>12.657</v>
      </c>
      <c r="J947">
        <f t="shared" si="106"/>
        <v>8698.3816999997944</v>
      </c>
      <c r="K947">
        <f t="shared" si="104"/>
        <v>8698.25</v>
      </c>
      <c r="L947">
        <f t="shared" si="107"/>
        <v>8698.25</v>
      </c>
      <c r="M947">
        <f t="shared" si="105"/>
        <v>12.657</v>
      </c>
    </row>
    <row r="948" spans="1:13" x14ac:dyDescent="0.25">
      <c r="A948" s="1">
        <v>2458698.3820099998</v>
      </c>
      <c r="B948" s="1" t="s">
        <v>329</v>
      </c>
      <c r="C948" s="1">
        <v>12.673999999999999</v>
      </c>
      <c r="D948" s="1" t="s">
        <v>292</v>
      </c>
      <c r="E948" t="s">
        <v>101</v>
      </c>
      <c r="F948">
        <f t="shared" si="101"/>
        <v>8698.3820099998266</v>
      </c>
      <c r="G948">
        <f t="shared" si="102"/>
        <v>8698.4</v>
      </c>
      <c r="H948">
        <f t="shared" si="103"/>
        <v>12.673999999999999</v>
      </c>
      <c r="J948">
        <f t="shared" si="106"/>
        <v>8698.3820099998266</v>
      </c>
      <c r="K948">
        <f t="shared" si="104"/>
        <v>8698.25</v>
      </c>
      <c r="L948">
        <f t="shared" si="107"/>
        <v>8698.25</v>
      </c>
      <c r="M948">
        <f t="shared" si="105"/>
        <v>12.673999999999999</v>
      </c>
    </row>
    <row r="949" spans="1:13" x14ac:dyDescent="0.25">
      <c r="A949" s="1">
        <v>2458699.3993500001</v>
      </c>
      <c r="B949" s="1" t="s">
        <v>330</v>
      </c>
      <c r="C949" s="1">
        <v>12.644</v>
      </c>
      <c r="D949" s="1" t="s">
        <v>292</v>
      </c>
      <c r="E949" t="s">
        <v>101</v>
      </c>
      <c r="F949">
        <f t="shared" si="101"/>
        <v>8699.3993500000797</v>
      </c>
      <c r="G949">
        <f t="shared" si="102"/>
        <v>8699.4</v>
      </c>
      <c r="H949">
        <f t="shared" si="103"/>
        <v>12.644</v>
      </c>
      <c r="J949">
        <f t="shared" si="106"/>
        <v>8699.3993500000797</v>
      </c>
      <c r="K949">
        <f t="shared" si="104"/>
        <v>8699.25</v>
      </c>
      <c r="L949">
        <f t="shared" si="107"/>
        <v>8699.25</v>
      </c>
      <c r="M949">
        <f t="shared" si="105"/>
        <v>12.644</v>
      </c>
    </row>
    <row r="950" spans="1:13" x14ac:dyDescent="0.25">
      <c r="A950" s="1">
        <v>2458699.3996799998</v>
      </c>
      <c r="B950" s="1" t="s">
        <v>330</v>
      </c>
      <c r="C950" s="1">
        <v>12.654</v>
      </c>
      <c r="D950" s="1" t="s">
        <v>292</v>
      </c>
      <c r="E950" t="s">
        <v>101</v>
      </c>
      <c r="F950">
        <f t="shared" si="101"/>
        <v>8699.3996799997985</v>
      </c>
      <c r="G950">
        <f t="shared" si="102"/>
        <v>8699.4</v>
      </c>
      <c r="H950">
        <f t="shared" si="103"/>
        <v>12.654</v>
      </c>
      <c r="J950">
        <f t="shared" si="106"/>
        <v>8699.3996799997985</v>
      </c>
      <c r="K950">
        <f t="shared" si="104"/>
        <v>8699.25</v>
      </c>
      <c r="L950">
        <f t="shared" si="107"/>
        <v>8699.25</v>
      </c>
      <c r="M950">
        <f t="shared" si="105"/>
        <v>12.654</v>
      </c>
    </row>
    <row r="951" spans="1:13" x14ac:dyDescent="0.25">
      <c r="A951" s="1">
        <v>2458703.37402</v>
      </c>
      <c r="B951" s="1" t="s">
        <v>331</v>
      </c>
      <c r="C951" s="1">
        <v>12.625999999999999</v>
      </c>
      <c r="D951" s="1" t="s">
        <v>292</v>
      </c>
      <c r="E951" t="s">
        <v>101</v>
      </c>
      <c r="F951">
        <f t="shared" si="101"/>
        <v>8703.3740199999884</v>
      </c>
      <c r="G951">
        <f t="shared" si="102"/>
        <v>8703.4</v>
      </c>
      <c r="H951">
        <f t="shared" si="103"/>
        <v>12.625999999999999</v>
      </c>
      <c r="J951">
        <f t="shared" si="106"/>
        <v>8703.3740199999884</v>
      </c>
      <c r="K951">
        <f t="shared" si="104"/>
        <v>8703.25</v>
      </c>
      <c r="L951">
        <f t="shared" si="107"/>
        <v>8703.25</v>
      </c>
      <c r="M951">
        <f t="shared" si="105"/>
        <v>12.625999999999999</v>
      </c>
    </row>
    <row r="952" spans="1:13" x14ac:dyDescent="0.25">
      <c r="A952" s="1">
        <v>2458703.3743400001</v>
      </c>
      <c r="B952" s="1" t="s">
        <v>331</v>
      </c>
      <c r="C952" s="1">
        <v>12.605</v>
      </c>
      <c r="D952" s="1" t="s">
        <v>292</v>
      </c>
      <c r="E952" t="s">
        <v>101</v>
      </c>
      <c r="F952">
        <f t="shared" si="101"/>
        <v>8703.3743400000967</v>
      </c>
      <c r="G952">
        <f t="shared" si="102"/>
        <v>8703.4</v>
      </c>
      <c r="H952">
        <f t="shared" si="103"/>
        <v>12.605</v>
      </c>
      <c r="J952">
        <f t="shared" si="106"/>
        <v>8703.3743400000967</v>
      </c>
      <c r="K952">
        <f t="shared" si="104"/>
        <v>8703.25</v>
      </c>
      <c r="L952">
        <f t="shared" si="107"/>
        <v>8703.25</v>
      </c>
      <c r="M952">
        <f t="shared" si="105"/>
        <v>12.605</v>
      </c>
    </row>
    <row r="953" spans="1:13" x14ac:dyDescent="0.25">
      <c r="A953" s="1">
        <v>2458706.3749299999</v>
      </c>
      <c r="B953" s="1" t="s">
        <v>332</v>
      </c>
      <c r="C953" s="1">
        <v>12.573</v>
      </c>
      <c r="D953" s="1" t="s">
        <v>292</v>
      </c>
      <c r="E953" t="s">
        <v>101</v>
      </c>
      <c r="F953">
        <f t="shared" si="101"/>
        <v>8706.3749299999326</v>
      </c>
      <c r="G953">
        <f t="shared" si="102"/>
        <v>8706.4</v>
      </c>
      <c r="H953">
        <f t="shared" si="103"/>
        <v>12.573</v>
      </c>
      <c r="J953">
        <f t="shared" si="106"/>
        <v>8706.3749299999326</v>
      </c>
      <c r="K953">
        <f t="shared" si="104"/>
        <v>8706.25</v>
      </c>
      <c r="L953">
        <f t="shared" si="107"/>
        <v>8706.25</v>
      </c>
      <c r="M953">
        <f t="shared" si="105"/>
        <v>12.573</v>
      </c>
    </row>
    <row r="954" spans="1:13" x14ac:dyDescent="0.25">
      <c r="A954" s="1">
        <v>2458706.37525</v>
      </c>
      <c r="B954" s="1" t="s">
        <v>332</v>
      </c>
      <c r="C954" s="1">
        <v>12.568</v>
      </c>
      <c r="D954" s="1" t="s">
        <v>292</v>
      </c>
      <c r="E954" t="s">
        <v>101</v>
      </c>
      <c r="F954">
        <f t="shared" si="101"/>
        <v>8706.375250000041</v>
      </c>
      <c r="G954">
        <f t="shared" si="102"/>
        <v>8706.4</v>
      </c>
      <c r="H954">
        <f t="shared" si="103"/>
        <v>12.568</v>
      </c>
      <c r="J954">
        <f t="shared" si="106"/>
        <v>8706.375250000041</v>
      </c>
      <c r="K954">
        <f t="shared" si="104"/>
        <v>8706.25</v>
      </c>
      <c r="L954">
        <f t="shared" si="107"/>
        <v>8706.25</v>
      </c>
      <c r="M954">
        <f t="shared" si="105"/>
        <v>12.568</v>
      </c>
    </row>
    <row r="955" spans="1:13" x14ac:dyDescent="0.25">
      <c r="A955" s="1">
        <v>2458707.6997099998</v>
      </c>
      <c r="B955" s="1" t="s">
        <v>333</v>
      </c>
      <c r="C955" s="1">
        <v>12.625</v>
      </c>
      <c r="D955" s="1" t="s">
        <v>292</v>
      </c>
      <c r="E955" t="s">
        <v>131</v>
      </c>
      <c r="F955">
        <f t="shared" si="101"/>
        <v>8707.6997099998407</v>
      </c>
      <c r="G955">
        <f t="shared" si="102"/>
        <v>8707.7000000000007</v>
      </c>
      <c r="H955">
        <f t="shared" si="103"/>
        <v>12.625</v>
      </c>
      <c r="J955">
        <f t="shared" si="106"/>
        <v>8707.6997099998407</v>
      </c>
      <c r="K955">
        <f t="shared" si="104"/>
        <v>8707.5</v>
      </c>
      <c r="L955">
        <f t="shared" si="107"/>
        <v>8707.5</v>
      </c>
      <c r="M955">
        <f t="shared" si="105"/>
        <v>12.625</v>
      </c>
    </row>
    <row r="956" spans="1:13" x14ac:dyDescent="0.25">
      <c r="A956" s="1">
        <v>2458708.3743099999</v>
      </c>
      <c r="B956" s="1" t="s">
        <v>333</v>
      </c>
      <c r="C956" s="1">
        <v>12.579000000000001</v>
      </c>
      <c r="D956" s="1" t="s">
        <v>292</v>
      </c>
      <c r="E956" t="s">
        <v>101</v>
      </c>
      <c r="F956">
        <f t="shared" si="101"/>
        <v>8708.3743099998683</v>
      </c>
      <c r="G956">
        <f t="shared" si="102"/>
        <v>8708.4</v>
      </c>
      <c r="H956">
        <f t="shared" si="103"/>
        <v>12.579000000000001</v>
      </c>
      <c r="J956">
        <f t="shared" si="106"/>
        <v>8708.3743099998683</v>
      </c>
      <c r="K956">
        <f t="shared" si="104"/>
        <v>8708.25</v>
      </c>
      <c r="L956">
        <f t="shared" si="107"/>
        <v>8708.25</v>
      </c>
      <c r="M956">
        <f t="shared" si="105"/>
        <v>12.579000000000001</v>
      </c>
    </row>
    <row r="957" spans="1:13" x14ac:dyDescent="0.25">
      <c r="A957" s="1">
        <v>2458708.3746500001</v>
      </c>
      <c r="B957" s="1" t="s">
        <v>333</v>
      </c>
      <c r="C957" s="1">
        <v>12.528</v>
      </c>
      <c r="D957" s="1" t="s">
        <v>292</v>
      </c>
      <c r="E957" t="s">
        <v>101</v>
      </c>
      <c r="F957">
        <f t="shared" si="101"/>
        <v>8708.3746500001289</v>
      </c>
      <c r="G957">
        <f t="shared" si="102"/>
        <v>8708.4</v>
      </c>
      <c r="H957">
        <f t="shared" si="103"/>
        <v>12.528</v>
      </c>
      <c r="J957">
        <f t="shared" si="106"/>
        <v>8708.3746500001289</v>
      </c>
      <c r="K957">
        <f t="shared" si="104"/>
        <v>8708.25</v>
      </c>
      <c r="L957">
        <f t="shared" si="107"/>
        <v>8708.25</v>
      </c>
      <c r="M957">
        <f t="shared" si="105"/>
        <v>12.528</v>
      </c>
    </row>
    <row r="958" spans="1:13" x14ac:dyDescent="0.25">
      <c r="A958" s="1">
        <v>2458714.3632499999</v>
      </c>
      <c r="B958" s="1" t="s">
        <v>334</v>
      </c>
      <c r="C958" s="1">
        <v>12.555999999999999</v>
      </c>
      <c r="D958" s="1" t="s">
        <v>292</v>
      </c>
      <c r="E958" t="s">
        <v>101</v>
      </c>
      <c r="F958">
        <f t="shared" si="101"/>
        <v>8714.3632499999367</v>
      </c>
      <c r="G958">
        <f t="shared" si="102"/>
        <v>8714.4</v>
      </c>
      <c r="H958">
        <f t="shared" si="103"/>
        <v>12.555999999999999</v>
      </c>
      <c r="J958">
        <f t="shared" si="106"/>
        <v>8714.3632499999367</v>
      </c>
      <c r="K958">
        <f t="shared" si="104"/>
        <v>8714.25</v>
      </c>
      <c r="L958">
        <f t="shared" si="107"/>
        <v>8714.25</v>
      </c>
      <c r="M958">
        <f t="shared" si="105"/>
        <v>12.555999999999999</v>
      </c>
    </row>
    <row r="959" spans="1:13" x14ac:dyDescent="0.25">
      <c r="A959" s="1">
        <v>2458714.3636099999</v>
      </c>
      <c r="B959" s="1" t="s">
        <v>334</v>
      </c>
      <c r="C959" s="1">
        <v>12.582000000000001</v>
      </c>
      <c r="D959" s="1" t="s">
        <v>292</v>
      </c>
      <c r="E959" t="s">
        <v>101</v>
      </c>
      <c r="F959">
        <f t="shared" si="101"/>
        <v>8714.3636099998839</v>
      </c>
      <c r="G959">
        <f t="shared" si="102"/>
        <v>8714.4</v>
      </c>
      <c r="H959">
        <f t="shared" si="103"/>
        <v>12.582000000000001</v>
      </c>
      <c r="J959">
        <f t="shared" si="106"/>
        <v>8714.3636099998839</v>
      </c>
      <c r="K959">
        <f t="shared" si="104"/>
        <v>8714.25</v>
      </c>
      <c r="L959">
        <f t="shared" si="107"/>
        <v>8714.25</v>
      </c>
      <c r="M959">
        <f t="shared" si="105"/>
        <v>12.582000000000001</v>
      </c>
    </row>
    <row r="960" spans="1:13" x14ac:dyDescent="0.25">
      <c r="A960" s="1">
        <v>2458715.3665900002</v>
      </c>
      <c r="B960" s="1" t="s">
        <v>335</v>
      </c>
      <c r="C960" s="1">
        <v>12.56</v>
      </c>
      <c r="D960" s="1" t="s">
        <v>292</v>
      </c>
      <c r="E960" t="s">
        <v>101</v>
      </c>
      <c r="F960">
        <f t="shared" si="101"/>
        <v>8715.3665900002234</v>
      </c>
      <c r="G960">
        <f t="shared" si="102"/>
        <v>8715.4</v>
      </c>
      <c r="H960">
        <f t="shared" si="103"/>
        <v>12.56</v>
      </c>
      <c r="J960">
        <f t="shared" si="106"/>
        <v>8715.3665900002234</v>
      </c>
      <c r="K960">
        <f t="shared" si="104"/>
        <v>8715.25</v>
      </c>
      <c r="L960">
        <f t="shared" si="107"/>
        <v>8715.25</v>
      </c>
      <c r="M960">
        <f t="shared" si="105"/>
        <v>12.56</v>
      </c>
    </row>
    <row r="961" spans="1:13" x14ac:dyDescent="0.25">
      <c r="A961" s="1">
        <v>2458715.36693</v>
      </c>
      <c r="B961" s="1" t="s">
        <v>335</v>
      </c>
      <c r="C961" s="1">
        <v>12.563000000000001</v>
      </c>
      <c r="D961" s="1" t="s">
        <v>292</v>
      </c>
      <c r="E961" t="s">
        <v>101</v>
      </c>
      <c r="F961">
        <f t="shared" si="101"/>
        <v>8715.3669300000183</v>
      </c>
      <c r="G961">
        <f t="shared" si="102"/>
        <v>8715.4</v>
      </c>
      <c r="H961">
        <f t="shared" si="103"/>
        <v>12.563000000000001</v>
      </c>
      <c r="J961">
        <f t="shared" si="106"/>
        <v>8715.3669300000183</v>
      </c>
      <c r="K961">
        <f t="shared" si="104"/>
        <v>8715.25</v>
      </c>
      <c r="L961">
        <f t="shared" si="107"/>
        <v>8715.25</v>
      </c>
      <c r="M961">
        <f t="shared" si="105"/>
        <v>12.563000000000001</v>
      </c>
    </row>
    <row r="962" spans="1:13" x14ac:dyDescent="0.25">
      <c r="A962" s="1">
        <v>2458716.3479200001</v>
      </c>
      <c r="B962" s="1" t="s">
        <v>336</v>
      </c>
      <c r="C962" s="1">
        <v>12.54</v>
      </c>
      <c r="D962" s="1" t="s">
        <v>292</v>
      </c>
      <c r="E962" t="s">
        <v>5</v>
      </c>
      <c r="F962">
        <f t="shared" si="101"/>
        <v>8716.3479200000875</v>
      </c>
      <c r="G962">
        <f t="shared" si="102"/>
        <v>8716.2999999999993</v>
      </c>
      <c r="H962">
        <f t="shared" si="103"/>
        <v>12.54</v>
      </c>
      <c r="J962">
        <f t="shared" si="106"/>
        <v>8716.3479200000875</v>
      </c>
      <c r="K962">
        <f t="shared" si="104"/>
        <v>8716.25</v>
      </c>
      <c r="L962">
        <f t="shared" si="107"/>
        <v>8716.25</v>
      </c>
      <c r="M962">
        <f t="shared" si="105"/>
        <v>12.54</v>
      </c>
    </row>
    <row r="963" spans="1:13" x14ac:dyDescent="0.25">
      <c r="A963" s="1">
        <v>2458717.3635499999</v>
      </c>
      <c r="B963" s="1" t="s">
        <v>337</v>
      </c>
      <c r="C963" s="1">
        <v>12.564</v>
      </c>
      <c r="D963" s="1" t="s">
        <v>292</v>
      </c>
      <c r="E963" t="s">
        <v>101</v>
      </c>
      <c r="F963">
        <f t="shared" ref="F963:F1000" si="108">+A963-2450000</f>
        <v>8717.3635499998927</v>
      </c>
      <c r="G963">
        <f t="shared" ref="G963:G1000" si="109">+(ROUND(F963,1)*10)/10</f>
        <v>8717.4</v>
      </c>
      <c r="H963">
        <f t="shared" ref="H963:H999" si="110">+C963</f>
        <v>12.564</v>
      </c>
      <c r="J963">
        <f t="shared" si="106"/>
        <v>8717.3635499998927</v>
      </c>
      <c r="K963">
        <f t="shared" ref="K963:K1000" si="111">+INT(J963*4)/4</f>
        <v>8717.25</v>
      </c>
      <c r="L963">
        <f t="shared" si="107"/>
        <v>8717.25</v>
      </c>
      <c r="M963">
        <f t="shared" ref="M963:M1000" si="112">+H963</f>
        <v>12.564</v>
      </c>
    </row>
    <row r="964" spans="1:13" x14ac:dyDescent="0.25">
      <c r="A964" s="1">
        <v>2458717.36387</v>
      </c>
      <c r="B964" s="1" t="s">
        <v>337</v>
      </c>
      <c r="C964" s="1">
        <v>12.561</v>
      </c>
      <c r="D964" s="1" t="s">
        <v>292</v>
      </c>
      <c r="E964" t="s">
        <v>101</v>
      </c>
      <c r="F964">
        <f t="shared" si="108"/>
        <v>8717.363870000001</v>
      </c>
      <c r="G964">
        <f t="shared" si="109"/>
        <v>8717.4</v>
      </c>
      <c r="H964">
        <f t="shared" si="110"/>
        <v>12.561</v>
      </c>
      <c r="J964">
        <f t="shared" si="106"/>
        <v>8717.363870000001</v>
      </c>
      <c r="K964">
        <f t="shared" si="111"/>
        <v>8717.25</v>
      </c>
      <c r="L964">
        <f t="shared" si="107"/>
        <v>8717.25</v>
      </c>
      <c r="M964">
        <f t="shared" si="112"/>
        <v>12.561</v>
      </c>
    </row>
    <row r="965" spans="1:13" x14ac:dyDescent="0.25">
      <c r="A965" s="1">
        <v>2458720.3362500002</v>
      </c>
      <c r="B965" s="1" t="s">
        <v>338</v>
      </c>
      <c r="C965" s="1">
        <v>12.552</v>
      </c>
      <c r="D965" s="1" t="s">
        <v>292</v>
      </c>
      <c r="E965" t="s">
        <v>101</v>
      </c>
      <c r="F965">
        <f t="shared" si="108"/>
        <v>8720.3362500001676</v>
      </c>
      <c r="G965">
        <f t="shared" si="109"/>
        <v>8720.2999999999993</v>
      </c>
      <c r="H965">
        <f t="shared" si="110"/>
        <v>12.552</v>
      </c>
      <c r="J965">
        <f t="shared" si="106"/>
        <v>8720.3362500001676</v>
      </c>
      <c r="K965">
        <f t="shared" si="111"/>
        <v>8720.25</v>
      </c>
      <c r="L965">
        <f t="shared" si="107"/>
        <v>8720.25</v>
      </c>
      <c r="M965">
        <f t="shared" si="112"/>
        <v>12.552</v>
      </c>
    </row>
    <row r="966" spans="1:13" x14ac:dyDescent="0.25">
      <c r="A966" s="1">
        <v>2458720.3365699998</v>
      </c>
      <c r="B966" s="1" t="s">
        <v>338</v>
      </c>
      <c r="C966" s="1">
        <v>12.541</v>
      </c>
      <c r="D966" s="1" t="s">
        <v>292</v>
      </c>
      <c r="E966" t="s">
        <v>101</v>
      </c>
      <c r="F966">
        <f t="shared" si="108"/>
        <v>8720.3365699998103</v>
      </c>
      <c r="G966">
        <f t="shared" si="109"/>
        <v>8720.2999999999993</v>
      </c>
      <c r="H966">
        <f t="shared" si="110"/>
        <v>12.541</v>
      </c>
      <c r="J966">
        <f t="shared" si="106"/>
        <v>8720.3365699998103</v>
      </c>
      <c r="K966">
        <f t="shared" si="111"/>
        <v>8720.25</v>
      </c>
      <c r="L966">
        <f t="shared" si="107"/>
        <v>8720.25</v>
      </c>
      <c r="M966">
        <f t="shared" si="112"/>
        <v>12.541</v>
      </c>
    </row>
    <row r="967" spans="1:13" x14ac:dyDescent="0.25">
      <c r="A967" s="1">
        <v>2458721.6703599999</v>
      </c>
      <c r="B967" s="1" t="s">
        <v>339</v>
      </c>
      <c r="C967" s="1">
        <v>12.622999999999999</v>
      </c>
      <c r="D967" s="1" t="s">
        <v>292</v>
      </c>
      <c r="E967" t="s">
        <v>131</v>
      </c>
      <c r="F967">
        <f t="shared" si="108"/>
        <v>8721.6703599998727</v>
      </c>
      <c r="G967">
        <f t="shared" si="109"/>
        <v>8721.7000000000007</v>
      </c>
      <c r="H967">
        <f t="shared" si="110"/>
        <v>12.622999999999999</v>
      </c>
      <c r="J967">
        <f t="shared" si="106"/>
        <v>8721.6703599998727</v>
      </c>
      <c r="K967">
        <f t="shared" si="111"/>
        <v>8721.5</v>
      </c>
      <c r="L967">
        <f t="shared" si="107"/>
        <v>8721.5</v>
      </c>
      <c r="M967">
        <f t="shared" si="112"/>
        <v>12.622999999999999</v>
      </c>
    </row>
    <row r="968" spans="1:13" x14ac:dyDescent="0.25">
      <c r="A968" s="1">
        <v>2458722.3391900002</v>
      </c>
      <c r="B968" s="1" t="s">
        <v>339</v>
      </c>
      <c r="C968" s="1">
        <v>12.586</v>
      </c>
      <c r="D968" s="1" t="s">
        <v>292</v>
      </c>
      <c r="E968" t="s">
        <v>101</v>
      </c>
      <c r="F968">
        <f t="shared" si="108"/>
        <v>8722.3391900002025</v>
      </c>
      <c r="G968">
        <f t="shared" si="109"/>
        <v>8722.2999999999993</v>
      </c>
      <c r="H968">
        <f t="shared" si="110"/>
        <v>12.586</v>
      </c>
      <c r="J968">
        <f t="shared" si="106"/>
        <v>8722.3391900002025</v>
      </c>
      <c r="K968">
        <f t="shared" si="111"/>
        <v>8722.25</v>
      </c>
      <c r="L968">
        <f t="shared" si="107"/>
        <v>8722.25</v>
      </c>
      <c r="M968">
        <f t="shared" si="112"/>
        <v>12.586</v>
      </c>
    </row>
    <row r="969" spans="1:13" x14ac:dyDescent="0.25">
      <c r="A969" s="1">
        <v>2458722.3394999998</v>
      </c>
      <c r="B969" s="1" t="s">
        <v>339</v>
      </c>
      <c r="C969" s="1">
        <v>12.567</v>
      </c>
      <c r="D969" s="1" t="s">
        <v>292</v>
      </c>
      <c r="E969" t="s">
        <v>101</v>
      </c>
      <c r="F969">
        <f t="shared" si="108"/>
        <v>8722.339499999769</v>
      </c>
      <c r="G969">
        <f t="shared" si="109"/>
        <v>8722.2999999999993</v>
      </c>
      <c r="H969">
        <f t="shared" si="110"/>
        <v>12.567</v>
      </c>
      <c r="J969">
        <f t="shared" si="106"/>
        <v>8722.339499999769</v>
      </c>
      <c r="K969">
        <f t="shared" si="111"/>
        <v>8722.25</v>
      </c>
      <c r="L969">
        <f t="shared" si="107"/>
        <v>8722.25</v>
      </c>
      <c r="M969">
        <f t="shared" si="112"/>
        <v>12.567</v>
      </c>
    </row>
    <row r="970" spans="1:13" x14ac:dyDescent="0.25">
      <c r="A970" s="1">
        <v>2458726.3361200001</v>
      </c>
      <c r="B970" s="1" t="s">
        <v>340</v>
      </c>
      <c r="C970" s="1">
        <v>12.555</v>
      </c>
      <c r="D970" s="1" t="s">
        <v>292</v>
      </c>
      <c r="E970" t="s">
        <v>101</v>
      </c>
      <c r="F970">
        <f t="shared" si="108"/>
        <v>8726.3361200001091</v>
      </c>
      <c r="G970">
        <f t="shared" si="109"/>
        <v>8726.2999999999993</v>
      </c>
      <c r="H970">
        <f t="shared" si="110"/>
        <v>12.555</v>
      </c>
      <c r="J970">
        <f t="shared" si="106"/>
        <v>8726.3361200001091</v>
      </c>
      <c r="K970">
        <f t="shared" si="111"/>
        <v>8726.25</v>
      </c>
      <c r="L970">
        <f t="shared" si="107"/>
        <v>8726.25</v>
      </c>
      <c r="M970">
        <f t="shared" si="112"/>
        <v>12.555</v>
      </c>
    </row>
    <row r="971" spans="1:13" x14ac:dyDescent="0.25">
      <c r="A971" s="1">
        <v>2458726.3364400002</v>
      </c>
      <c r="B971" s="1" t="s">
        <v>340</v>
      </c>
      <c r="C971" s="1">
        <v>12.531000000000001</v>
      </c>
      <c r="D971" s="1" t="s">
        <v>292</v>
      </c>
      <c r="E971" t="s">
        <v>101</v>
      </c>
      <c r="F971">
        <f t="shared" si="108"/>
        <v>8726.3364400002174</v>
      </c>
      <c r="G971">
        <f t="shared" si="109"/>
        <v>8726.2999999999993</v>
      </c>
      <c r="H971">
        <f t="shared" si="110"/>
        <v>12.531000000000001</v>
      </c>
      <c r="J971">
        <f t="shared" si="106"/>
        <v>8726.3364400002174</v>
      </c>
      <c r="K971">
        <f t="shared" si="111"/>
        <v>8726.25</v>
      </c>
      <c r="L971">
        <f t="shared" si="107"/>
        <v>8726.25</v>
      </c>
      <c r="M971">
        <f t="shared" si="112"/>
        <v>12.531000000000001</v>
      </c>
    </row>
    <row r="972" spans="1:13" x14ac:dyDescent="0.25">
      <c r="A972" s="1">
        <v>2458727.7845299998</v>
      </c>
      <c r="B972" s="1" t="s">
        <v>341</v>
      </c>
      <c r="C972" s="1">
        <v>12.584</v>
      </c>
      <c r="D972" s="1" t="s">
        <v>292</v>
      </c>
      <c r="E972" t="s">
        <v>131</v>
      </c>
      <c r="F972">
        <f t="shared" si="108"/>
        <v>8727.7845299998298</v>
      </c>
      <c r="G972">
        <f t="shared" si="109"/>
        <v>8727.7999999999993</v>
      </c>
      <c r="H972">
        <f t="shared" si="110"/>
        <v>12.584</v>
      </c>
      <c r="J972">
        <f t="shared" si="106"/>
        <v>8727.7845299998298</v>
      </c>
      <c r="K972">
        <f t="shared" si="111"/>
        <v>8727.75</v>
      </c>
      <c r="L972">
        <f t="shared" si="107"/>
        <v>8727.75</v>
      </c>
      <c r="M972">
        <f t="shared" si="112"/>
        <v>12.584</v>
      </c>
    </row>
    <row r="973" spans="1:13" x14ac:dyDescent="0.25">
      <c r="A973" s="1">
        <v>2458728.3474499998</v>
      </c>
      <c r="B973" s="1" t="s">
        <v>341</v>
      </c>
      <c r="C973" s="1">
        <v>12.531000000000001</v>
      </c>
      <c r="D973" s="1" t="s">
        <v>292</v>
      </c>
      <c r="E973" t="s">
        <v>101</v>
      </c>
      <c r="F973">
        <f t="shared" si="108"/>
        <v>8728.3474499997683</v>
      </c>
      <c r="G973">
        <f t="shared" si="109"/>
        <v>8728.2999999999993</v>
      </c>
      <c r="H973">
        <f t="shared" si="110"/>
        <v>12.531000000000001</v>
      </c>
      <c r="J973">
        <f t="shared" si="106"/>
        <v>8728.3474499997683</v>
      </c>
      <c r="K973">
        <f t="shared" si="111"/>
        <v>8728.25</v>
      </c>
      <c r="L973">
        <f t="shared" si="107"/>
        <v>8728.25</v>
      </c>
      <c r="M973">
        <f t="shared" si="112"/>
        <v>12.531000000000001</v>
      </c>
    </row>
    <row r="974" spans="1:13" x14ac:dyDescent="0.25">
      <c r="A974" s="1">
        <v>2458728.3478000001</v>
      </c>
      <c r="B974" s="1" t="s">
        <v>341</v>
      </c>
      <c r="C974" s="1">
        <v>12.53</v>
      </c>
      <c r="D974" s="1" t="s">
        <v>292</v>
      </c>
      <c r="E974" t="s">
        <v>101</v>
      </c>
      <c r="F974">
        <f t="shared" si="108"/>
        <v>8728.3478000001051</v>
      </c>
      <c r="G974">
        <f t="shared" si="109"/>
        <v>8728.2999999999993</v>
      </c>
      <c r="H974">
        <f t="shared" si="110"/>
        <v>12.53</v>
      </c>
      <c r="J974">
        <f t="shared" si="106"/>
        <v>8728.3478000001051</v>
      </c>
      <c r="K974">
        <f t="shared" si="111"/>
        <v>8728.25</v>
      </c>
      <c r="L974">
        <f t="shared" si="107"/>
        <v>8728.25</v>
      </c>
      <c r="M974">
        <f t="shared" si="112"/>
        <v>12.53</v>
      </c>
    </row>
    <row r="975" spans="1:13" x14ac:dyDescent="0.25">
      <c r="A975" s="1">
        <v>2458731.3208400002</v>
      </c>
      <c r="B975" s="1" t="s">
        <v>342</v>
      </c>
      <c r="C975" s="1">
        <v>12.507</v>
      </c>
      <c r="D975" s="1" t="s">
        <v>292</v>
      </c>
      <c r="E975" t="s">
        <v>101</v>
      </c>
      <c r="F975">
        <f t="shared" si="108"/>
        <v>8731.3208400001749</v>
      </c>
      <c r="G975">
        <f t="shared" si="109"/>
        <v>8731.2999999999993</v>
      </c>
      <c r="H975">
        <f t="shared" si="110"/>
        <v>12.507</v>
      </c>
      <c r="J975">
        <f t="shared" si="106"/>
        <v>8731.3208400001749</v>
      </c>
      <c r="K975">
        <f t="shared" si="111"/>
        <v>8731.25</v>
      </c>
      <c r="L975">
        <f t="shared" si="107"/>
        <v>8731.25</v>
      </c>
      <c r="M975">
        <f t="shared" si="112"/>
        <v>12.507</v>
      </c>
    </row>
    <row r="976" spans="1:13" x14ac:dyDescent="0.25">
      <c r="A976" s="1">
        <v>2458731.3211699999</v>
      </c>
      <c r="B976" s="1" t="s">
        <v>342</v>
      </c>
      <c r="C976" s="1">
        <v>12.516999999999999</v>
      </c>
      <c r="D976" s="1" t="s">
        <v>292</v>
      </c>
      <c r="E976" t="s">
        <v>101</v>
      </c>
      <c r="F976">
        <f t="shared" si="108"/>
        <v>8731.3211699998938</v>
      </c>
      <c r="G976">
        <f t="shared" si="109"/>
        <v>8731.2999999999993</v>
      </c>
      <c r="H976">
        <f t="shared" si="110"/>
        <v>12.516999999999999</v>
      </c>
      <c r="J976">
        <f t="shared" si="106"/>
        <v>8731.3211699998938</v>
      </c>
      <c r="K976">
        <f t="shared" si="111"/>
        <v>8731.25</v>
      </c>
      <c r="L976">
        <f t="shared" si="107"/>
        <v>8731.25</v>
      </c>
      <c r="M976">
        <f t="shared" si="112"/>
        <v>12.516999999999999</v>
      </c>
    </row>
    <row r="977" spans="1:13" x14ac:dyDescent="0.25">
      <c r="A977" s="1">
        <v>2458739.6613099999</v>
      </c>
      <c r="B977" s="1" t="s">
        <v>343</v>
      </c>
      <c r="C977" s="1">
        <v>12.456</v>
      </c>
      <c r="D977" s="1" t="s">
        <v>292</v>
      </c>
      <c r="E977" t="s">
        <v>344</v>
      </c>
      <c r="F977">
        <f t="shared" si="108"/>
        <v>8739.6613099998794</v>
      </c>
      <c r="G977">
        <f t="shared" si="109"/>
        <v>8739.7000000000007</v>
      </c>
      <c r="H977">
        <f t="shared" si="110"/>
        <v>12.456</v>
      </c>
      <c r="J977">
        <f t="shared" si="106"/>
        <v>8739.6613099998794</v>
      </c>
      <c r="K977">
        <f t="shared" si="111"/>
        <v>8739.5</v>
      </c>
      <c r="L977">
        <f t="shared" si="107"/>
        <v>8739.5</v>
      </c>
      <c r="M977">
        <f t="shared" si="112"/>
        <v>12.456</v>
      </c>
    </row>
    <row r="978" spans="1:13" x14ac:dyDescent="0.25">
      <c r="A978" s="1">
        <v>2458739.7137000002</v>
      </c>
      <c r="B978" s="1" t="s">
        <v>343</v>
      </c>
      <c r="C978" s="1">
        <v>12.456</v>
      </c>
      <c r="D978" s="1" t="s">
        <v>292</v>
      </c>
      <c r="E978" t="s">
        <v>344</v>
      </c>
      <c r="F978">
        <f t="shared" si="108"/>
        <v>8739.7137000001967</v>
      </c>
      <c r="G978">
        <f t="shared" si="109"/>
        <v>8739.7000000000007</v>
      </c>
      <c r="H978">
        <f t="shared" si="110"/>
        <v>12.456</v>
      </c>
      <c r="J978">
        <f t="shared" si="106"/>
        <v>8739.7137000001967</v>
      </c>
      <c r="K978">
        <f t="shared" si="111"/>
        <v>8739.5</v>
      </c>
      <c r="L978">
        <f t="shared" si="107"/>
        <v>8739.5</v>
      </c>
      <c r="M978">
        <f t="shared" si="112"/>
        <v>12.456</v>
      </c>
    </row>
    <row r="979" spans="1:13" x14ac:dyDescent="0.25">
      <c r="A979" s="1">
        <v>2458739.76957</v>
      </c>
      <c r="B979" s="1" t="s">
        <v>343</v>
      </c>
      <c r="C979" s="1">
        <v>12.45</v>
      </c>
      <c r="D979" s="1" t="s">
        <v>292</v>
      </c>
      <c r="E979" t="s">
        <v>344</v>
      </c>
      <c r="F979">
        <f t="shared" si="108"/>
        <v>8739.769570000004</v>
      </c>
      <c r="G979">
        <f t="shared" si="109"/>
        <v>8739.7999999999993</v>
      </c>
      <c r="H979">
        <f t="shared" si="110"/>
        <v>12.45</v>
      </c>
      <c r="J979">
        <f t="shared" si="106"/>
        <v>8739.769570000004</v>
      </c>
      <c r="K979">
        <f t="shared" si="111"/>
        <v>8739.75</v>
      </c>
      <c r="L979">
        <f t="shared" si="107"/>
        <v>8739.75</v>
      </c>
      <c r="M979">
        <f t="shared" si="112"/>
        <v>12.45</v>
      </c>
    </row>
    <row r="980" spans="1:13" x14ac:dyDescent="0.25">
      <c r="A980" s="1">
        <v>2458740.3055599998</v>
      </c>
      <c r="B980" s="1" t="s">
        <v>343</v>
      </c>
      <c r="C980" s="1">
        <v>12.433</v>
      </c>
      <c r="D980" s="1" t="s">
        <v>292</v>
      </c>
      <c r="E980" t="s">
        <v>101</v>
      </c>
      <c r="F980">
        <f t="shared" si="108"/>
        <v>8740.3055599997751</v>
      </c>
      <c r="G980">
        <f t="shared" si="109"/>
        <v>8740.2999999999993</v>
      </c>
      <c r="H980">
        <f t="shared" si="110"/>
        <v>12.433</v>
      </c>
      <c r="J980">
        <f t="shared" si="106"/>
        <v>8740.3055599997751</v>
      </c>
      <c r="K980">
        <f t="shared" si="111"/>
        <v>8740.25</v>
      </c>
      <c r="L980">
        <f t="shared" si="107"/>
        <v>8740.25</v>
      </c>
      <c r="M980">
        <f t="shared" si="112"/>
        <v>12.433</v>
      </c>
    </row>
    <row r="981" spans="1:13" x14ac:dyDescent="0.25">
      <c r="A981" s="1">
        <v>2458740.3058699998</v>
      </c>
      <c r="B981" s="1" t="s">
        <v>343</v>
      </c>
      <c r="C981" s="1">
        <v>12.45</v>
      </c>
      <c r="D981" s="1" t="s">
        <v>292</v>
      </c>
      <c r="E981" t="s">
        <v>101</v>
      </c>
      <c r="F981">
        <f t="shared" si="108"/>
        <v>8740.3058699998073</v>
      </c>
      <c r="G981">
        <f t="shared" si="109"/>
        <v>8740.2999999999993</v>
      </c>
      <c r="H981">
        <f t="shared" si="110"/>
        <v>12.45</v>
      </c>
      <c r="J981">
        <f t="shared" si="106"/>
        <v>8740.3058699998073</v>
      </c>
      <c r="K981">
        <f t="shared" si="111"/>
        <v>8740.25</v>
      </c>
      <c r="L981">
        <f t="shared" si="107"/>
        <v>8740.25</v>
      </c>
      <c r="M981">
        <f t="shared" si="112"/>
        <v>12.45</v>
      </c>
    </row>
    <row r="982" spans="1:13" x14ac:dyDescent="0.25">
      <c r="A982" s="1">
        <v>2458744.3232900002</v>
      </c>
      <c r="B982" s="1" t="s">
        <v>345</v>
      </c>
      <c r="C982" s="1">
        <v>12.423</v>
      </c>
      <c r="D982" s="1" t="s">
        <v>292</v>
      </c>
      <c r="E982" t="s">
        <v>101</v>
      </c>
      <c r="F982">
        <f t="shared" si="108"/>
        <v>8744.323290000204</v>
      </c>
      <c r="G982">
        <f t="shared" si="109"/>
        <v>8744.2999999999993</v>
      </c>
      <c r="H982">
        <f t="shared" si="110"/>
        <v>12.423</v>
      </c>
      <c r="J982">
        <f t="shared" si="106"/>
        <v>8744.323290000204</v>
      </c>
      <c r="K982">
        <f t="shared" si="111"/>
        <v>8744.25</v>
      </c>
      <c r="L982">
        <f t="shared" si="107"/>
        <v>8744.25</v>
      </c>
      <c r="M982">
        <f t="shared" si="112"/>
        <v>12.423</v>
      </c>
    </row>
    <row r="983" spans="1:13" x14ac:dyDescent="0.25">
      <c r="A983" s="1">
        <v>2458744.3235999998</v>
      </c>
      <c r="B983" s="1" t="s">
        <v>345</v>
      </c>
      <c r="C983" s="1">
        <v>12.432</v>
      </c>
      <c r="D983" s="1" t="s">
        <v>292</v>
      </c>
      <c r="E983" t="s">
        <v>101</v>
      </c>
      <c r="F983">
        <f t="shared" si="108"/>
        <v>8744.3235999997705</v>
      </c>
      <c r="G983">
        <f t="shared" si="109"/>
        <v>8744.2999999999993</v>
      </c>
      <c r="H983">
        <f t="shared" si="110"/>
        <v>12.432</v>
      </c>
      <c r="J983">
        <f t="shared" si="106"/>
        <v>8744.3235999997705</v>
      </c>
      <c r="K983">
        <f t="shared" si="111"/>
        <v>8744.25</v>
      </c>
      <c r="L983">
        <f t="shared" si="107"/>
        <v>8744.25</v>
      </c>
      <c r="M983">
        <f t="shared" si="112"/>
        <v>12.432</v>
      </c>
    </row>
    <row r="984" spans="1:13" x14ac:dyDescent="0.25">
      <c r="A984" s="1">
        <v>2458745.3116100002</v>
      </c>
      <c r="B984" s="1" t="s">
        <v>346</v>
      </c>
      <c r="C984" s="1">
        <v>12.428000000000001</v>
      </c>
      <c r="D984" s="1" t="s">
        <v>292</v>
      </c>
      <c r="E984" t="s">
        <v>101</v>
      </c>
      <c r="F984">
        <f t="shared" si="108"/>
        <v>8745.311610000208</v>
      </c>
      <c r="G984">
        <f t="shared" si="109"/>
        <v>8745.2999999999993</v>
      </c>
      <c r="H984">
        <f t="shared" si="110"/>
        <v>12.428000000000001</v>
      </c>
      <c r="J984">
        <f t="shared" si="106"/>
        <v>8745.311610000208</v>
      </c>
      <c r="K984">
        <f t="shared" si="111"/>
        <v>8745.25</v>
      </c>
      <c r="L984">
        <f t="shared" si="107"/>
        <v>8745.25</v>
      </c>
      <c r="M984">
        <f t="shared" si="112"/>
        <v>12.428000000000001</v>
      </c>
    </row>
    <row r="985" spans="1:13" x14ac:dyDescent="0.25">
      <c r="A985" s="1">
        <v>2458745.3119199998</v>
      </c>
      <c r="B985" s="1" t="s">
        <v>346</v>
      </c>
      <c r="C985" s="1">
        <v>12.420999999999999</v>
      </c>
      <c r="D985" s="1" t="s">
        <v>292</v>
      </c>
      <c r="E985" t="s">
        <v>101</v>
      </c>
      <c r="F985">
        <f t="shared" si="108"/>
        <v>8745.3119199997745</v>
      </c>
      <c r="G985">
        <f t="shared" si="109"/>
        <v>8745.2999999999993</v>
      </c>
      <c r="H985">
        <f t="shared" si="110"/>
        <v>12.420999999999999</v>
      </c>
      <c r="J985">
        <f t="shared" ref="J985:J1000" si="113">+F985</f>
        <v>8745.3119199997745</v>
      </c>
      <c r="K985">
        <f t="shared" si="111"/>
        <v>8745.25</v>
      </c>
      <c r="L985">
        <f t="shared" ref="L985:L1000" si="114">+IF(J985-K985&gt;0.25,K985+0.25,K985)</f>
        <v>8745.25</v>
      </c>
      <c r="M985">
        <f t="shared" si="112"/>
        <v>12.420999999999999</v>
      </c>
    </row>
    <row r="986" spans="1:13" x14ac:dyDescent="0.25">
      <c r="A986" s="1">
        <v>2458747.2899000002</v>
      </c>
      <c r="B986" s="1" t="s">
        <v>347</v>
      </c>
      <c r="C986" s="1">
        <v>12.412000000000001</v>
      </c>
      <c r="D986" s="1" t="s">
        <v>292</v>
      </c>
      <c r="E986" t="s">
        <v>101</v>
      </c>
      <c r="F986">
        <f t="shared" si="108"/>
        <v>8747.2899000002071</v>
      </c>
      <c r="G986">
        <f t="shared" si="109"/>
        <v>8747.2999999999993</v>
      </c>
      <c r="H986">
        <f t="shared" si="110"/>
        <v>12.412000000000001</v>
      </c>
      <c r="J986">
        <f t="shared" si="113"/>
        <v>8747.2899000002071</v>
      </c>
      <c r="K986">
        <f t="shared" si="111"/>
        <v>8747.25</v>
      </c>
      <c r="L986">
        <f t="shared" si="114"/>
        <v>8747.25</v>
      </c>
      <c r="M986">
        <f t="shared" si="112"/>
        <v>12.412000000000001</v>
      </c>
    </row>
    <row r="987" spans="1:13" x14ac:dyDescent="0.25">
      <c r="A987" s="1">
        <v>2458747.2902099998</v>
      </c>
      <c r="B987" s="1" t="s">
        <v>347</v>
      </c>
      <c r="C987" s="1">
        <v>12.359</v>
      </c>
      <c r="D987" s="1" t="s">
        <v>292</v>
      </c>
      <c r="E987" t="s">
        <v>101</v>
      </c>
      <c r="F987">
        <f t="shared" si="108"/>
        <v>8747.2902099997737</v>
      </c>
      <c r="G987">
        <f t="shared" si="109"/>
        <v>8747.2999999999993</v>
      </c>
      <c r="H987">
        <f t="shared" si="110"/>
        <v>12.359</v>
      </c>
      <c r="J987">
        <f t="shared" si="113"/>
        <v>8747.2902099997737</v>
      </c>
      <c r="K987">
        <f t="shared" si="111"/>
        <v>8747.25</v>
      </c>
      <c r="L987">
        <f t="shared" si="114"/>
        <v>8747.25</v>
      </c>
      <c r="M987">
        <f t="shared" si="112"/>
        <v>12.359</v>
      </c>
    </row>
    <row r="988" spans="1:13" x14ac:dyDescent="0.25">
      <c r="A988" s="1">
        <v>2458747.7045800001</v>
      </c>
      <c r="B988" s="1" t="s">
        <v>348</v>
      </c>
      <c r="C988" s="1">
        <v>12.409000000000001</v>
      </c>
      <c r="D988" s="1" t="s">
        <v>292</v>
      </c>
      <c r="E988" t="s">
        <v>344</v>
      </c>
      <c r="F988">
        <f t="shared" si="108"/>
        <v>8747.704580000136</v>
      </c>
      <c r="G988">
        <f t="shared" si="109"/>
        <v>8747.7000000000007</v>
      </c>
      <c r="H988">
        <f t="shared" si="110"/>
        <v>12.409000000000001</v>
      </c>
      <c r="J988">
        <f t="shared" si="113"/>
        <v>8747.704580000136</v>
      </c>
      <c r="K988">
        <f t="shared" si="111"/>
        <v>8747.5</v>
      </c>
      <c r="L988">
        <f t="shared" si="114"/>
        <v>8747.5</v>
      </c>
      <c r="M988">
        <f t="shared" si="112"/>
        <v>12.409000000000001</v>
      </c>
    </row>
    <row r="989" spans="1:13" x14ac:dyDescent="0.25">
      <c r="A989" s="1">
        <v>2458748.2513899999</v>
      </c>
      <c r="B989" s="1" t="s">
        <v>348</v>
      </c>
      <c r="C989" s="1">
        <v>12.36</v>
      </c>
      <c r="D989" s="1" t="s">
        <v>292</v>
      </c>
      <c r="E989" t="s">
        <v>5</v>
      </c>
      <c r="F989">
        <f t="shared" si="108"/>
        <v>8748.2513899998739</v>
      </c>
      <c r="G989">
        <f t="shared" si="109"/>
        <v>8748.2999999999993</v>
      </c>
      <c r="H989">
        <f t="shared" si="110"/>
        <v>12.36</v>
      </c>
      <c r="J989">
        <f t="shared" si="113"/>
        <v>8748.2513899998739</v>
      </c>
      <c r="K989">
        <f t="shared" si="111"/>
        <v>8748.25</v>
      </c>
      <c r="L989">
        <f t="shared" si="114"/>
        <v>8748.25</v>
      </c>
      <c r="M989">
        <f t="shared" si="112"/>
        <v>12.36</v>
      </c>
    </row>
    <row r="990" spans="1:13" x14ac:dyDescent="0.25">
      <c r="A990" s="1">
        <v>2458753.63582</v>
      </c>
      <c r="B990" s="1" t="s">
        <v>349</v>
      </c>
      <c r="C990" s="1">
        <v>12.435</v>
      </c>
      <c r="D990" s="1" t="s">
        <v>292</v>
      </c>
      <c r="E990" t="s">
        <v>131</v>
      </c>
      <c r="F990">
        <f t="shared" si="108"/>
        <v>8753.6358199999668</v>
      </c>
      <c r="G990">
        <f t="shared" si="109"/>
        <v>8753.6</v>
      </c>
      <c r="H990">
        <f t="shared" si="110"/>
        <v>12.435</v>
      </c>
      <c r="J990">
        <f t="shared" si="113"/>
        <v>8753.6358199999668</v>
      </c>
      <c r="K990">
        <f t="shared" si="111"/>
        <v>8753.5</v>
      </c>
      <c r="L990">
        <f t="shared" si="114"/>
        <v>8753.5</v>
      </c>
      <c r="M990">
        <f t="shared" si="112"/>
        <v>12.435</v>
      </c>
    </row>
    <row r="991" spans="1:13" x14ac:dyDescent="0.25">
      <c r="A991" s="1">
        <v>2458759.31183</v>
      </c>
      <c r="B991" s="1" t="s">
        <v>351</v>
      </c>
      <c r="C991" s="1">
        <v>12.342000000000001</v>
      </c>
      <c r="D991" s="1" t="s">
        <v>292</v>
      </c>
      <c r="E991" t="s">
        <v>101</v>
      </c>
      <c r="F991">
        <f t="shared" si="108"/>
        <v>8759.3118300000206</v>
      </c>
      <c r="G991">
        <f t="shared" si="109"/>
        <v>8759.2999999999993</v>
      </c>
      <c r="H991">
        <f t="shared" si="110"/>
        <v>12.342000000000001</v>
      </c>
      <c r="J991">
        <f t="shared" si="113"/>
        <v>8759.3118300000206</v>
      </c>
      <c r="K991">
        <f t="shared" si="111"/>
        <v>8759.25</v>
      </c>
      <c r="L991">
        <f t="shared" si="114"/>
        <v>8759.25</v>
      </c>
      <c r="M991">
        <f t="shared" si="112"/>
        <v>12.342000000000001</v>
      </c>
    </row>
    <row r="992" spans="1:13" x14ac:dyDescent="0.25">
      <c r="A992" s="1">
        <v>2458759.3121500001</v>
      </c>
      <c r="B992" s="1" t="s">
        <v>351</v>
      </c>
      <c r="C992" s="1">
        <v>12.356999999999999</v>
      </c>
      <c r="D992" s="1" t="s">
        <v>292</v>
      </c>
      <c r="E992" t="s">
        <v>101</v>
      </c>
      <c r="F992">
        <f t="shared" si="108"/>
        <v>8759.3121500001289</v>
      </c>
      <c r="G992">
        <f t="shared" si="109"/>
        <v>8759.2999999999993</v>
      </c>
      <c r="H992">
        <f t="shared" si="110"/>
        <v>12.356999999999999</v>
      </c>
      <c r="J992">
        <f t="shared" si="113"/>
        <v>8759.3121500001289</v>
      </c>
      <c r="K992">
        <f t="shared" si="111"/>
        <v>8759.25</v>
      </c>
      <c r="L992">
        <f t="shared" si="114"/>
        <v>8759.25</v>
      </c>
      <c r="M992">
        <f t="shared" si="112"/>
        <v>12.356999999999999</v>
      </c>
    </row>
    <row r="993" spans="1:13" x14ac:dyDescent="0.25">
      <c r="A993" s="1">
        <v>2458761.2950599999</v>
      </c>
      <c r="B993" s="1" t="s">
        <v>352</v>
      </c>
      <c r="C993" s="1">
        <v>12.337999999999999</v>
      </c>
      <c r="D993" s="1" t="s">
        <v>292</v>
      </c>
      <c r="E993" t="s">
        <v>101</v>
      </c>
      <c r="F993">
        <f t="shared" si="108"/>
        <v>8761.2950599999167</v>
      </c>
      <c r="G993">
        <f t="shared" si="109"/>
        <v>8761.2999999999993</v>
      </c>
      <c r="H993">
        <f t="shared" si="110"/>
        <v>12.337999999999999</v>
      </c>
      <c r="J993">
        <f t="shared" si="113"/>
        <v>8761.2950599999167</v>
      </c>
      <c r="K993">
        <f t="shared" si="111"/>
        <v>8761.25</v>
      </c>
      <c r="L993">
        <f t="shared" si="114"/>
        <v>8761.25</v>
      </c>
      <c r="M993">
        <f t="shared" si="112"/>
        <v>12.337999999999999</v>
      </c>
    </row>
    <row r="994" spans="1:13" x14ac:dyDescent="0.25">
      <c r="A994" s="1">
        <v>2458761.2953699999</v>
      </c>
      <c r="B994" s="1" t="s">
        <v>352</v>
      </c>
      <c r="C994" s="1">
        <v>12.317</v>
      </c>
      <c r="D994" s="1" t="s">
        <v>292</v>
      </c>
      <c r="E994" t="s">
        <v>101</v>
      </c>
      <c r="F994">
        <f t="shared" si="108"/>
        <v>8761.2953699999489</v>
      </c>
      <c r="G994">
        <f t="shared" si="109"/>
        <v>8761.2999999999993</v>
      </c>
      <c r="H994">
        <f t="shared" si="110"/>
        <v>12.317</v>
      </c>
      <c r="J994">
        <f t="shared" si="113"/>
        <v>8761.2953699999489</v>
      </c>
      <c r="K994">
        <f t="shared" si="111"/>
        <v>8761.25</v>
      </c>
      <c r="L994">
        <f t="shared" si="114"/>
        <v>8761.25</v>
      </c>
      <c r="M994">
        <f t="shared" si="112"/>
        <v>12.317</v>
      </c>
    </row>
    <row r="995" spans="1:13" x14ac:dyDescent="0.25">
      <c r="A995" s="1">
        <v>2458762.64475</v>
      </c>
      <c r="B995" s="1" t="s">
        <v>353</v>
      </c>
      <c r="C995" s="1">
        <v>12.372</v>
      </c>
      <c r="D995" s="1" t="s">
        <v>292</v>
      </c>
      <c r="E995" t="s">
        <v>131</v>
      </c>
      <c r="F995">
        <f t="shared" si="108"/>
        <v>8762.6447499999776</v>
      </c>
      <c r="G995">
        <f t="shared" si="109"/>
        <v>8762.6</v>
      </c>
      <c r="H995">
        <f t="shared" si="110"/>
        <v>12.372</v>
      </c>
      <c r="J995">
        <f t="shared" si="113"/>
        <v>8762.6447499999776</v>
      </c>
      <c r="K995">
        <f t="shared" si="111"/>
        <v>8762.5</v>
      </c>
      <c r="L995">
        <f t="shared" si="114"/>
        <v>8762.5</v>
      </c>
      <c r="M995">
        <f t="shared" si="112"/>
        <v>12.372</v>
      </c>
    </row>
    <row r="996" spans="1:13" x14ac:dyDescent="0.25">
      <c r="A996" s="1">
        <v>2458765.2626999998</v>
      </c>
      <c r="B996" s="1" t="s">
        <v>354</v>
      </c>
      <c r="C996" s="1">
        <v>12.346</v>
      </c>
      <c r="D996" s="1" t="s">
        <v>292</v>
      </c>
      <c r="E996" t="s">
        <v>101</v>
      </c>
      <c r="F996">
        <f t="shared" si="108"/>
        <v>8765.2626999998465</v>
      </c>
      <c r="G996">
        <f t="shared" si="109"/>
        <v>8765.2999999999993</v>
      </c>
      <c r="H996">
        <f t="shared" si="110"/>
        <v>12.346</v>
      </c>
      <c r="J996">
        <f t="shared" si="113"/>
        <v>8765.2626999998465</v>
      </c>
      <c r="K996">
        <f t="shared" si="111"/>
        <v>8765.25</v>
      </c>
      <c r="L996">
        <f t="shared" si="114"/>
        <v>8765.25</v>
      </c>
      <c r="M996">
        <f t="shared" si="112"/>
        <v>12.346</v>
      </c>
    </row>
    <row r="997" spans="1:13" x14ac:dyDescent="0.25">
      <c r="A997" s="1">
        <v>2458765.2630099999</v>
      </c>
      <c r="B997" s="1" t="s">
        <v>354</v>
      </c>
      <c r="C997" s="1">
        <v>12.333</v>
      </c>
      <c r="D997" s="1" t="s">
        <v>292</v>
      </c>
      <c r="E997" t="s">
        <v>101</v>
      </c>
      <c r="F997">
        <f t="shared" si="108"/>
        <v>8765.2630099998787</v>
      </c>
      <c r="G997">
        <f t="shared" si="109"/>
        <v>8765.2999999999993</v>
      </c>
      <c r="H997">
        <f t="shared" si="110"/>
        <v>12.333</v>
      </c>
      <c r="J997">
        <f t="shared" si="113"/>
        <v>8765.2630099998787</v>
      </c>
      <c r="K997">
        <f t="shared" si="111"/>
        <v>8765.25</v>
      </c>
      <c r="L997">
        <f t="shared" si="114"/>
        <v>8765.25</v>
      </c>
      <c r="M997">
        <f t="shared" si="112"/>
        <v>12.333</v>
      </c>
    </row>
    <row r="998" spans="1:13" x14ac:dyDescent="0.25">
      <c r="A998" s="1">
        <v>2458768.69416</v>
      </c>
      <c r="B998" s="1" t="s">
        <v>355</v>
      </c>
      <c r="C998" s="1">
        <v>12.355</v>
      </c>
      <c r="D998" s="1" t="s">
        <v>292</v>
      </c>
      <c r="E998" t="s">
        <v>131</v>
      </c>
      <c r="F998">
        <f t="shared" si="108"/>
        <v>8768.6941599999554</v>
      </c>
      <c r="G998">
        <f t="shared" si="109"/>
        <v>8768.7000000000007</v>
      </c>
      <c r="H998">
        <f t="shared" si="110"/>
        <v>12.355</v>
      </c>
      <c r="J998">
        <f t="shared" si="113"/>
        <v>8768.6941599999554</v>
      </c>
      <c r="K998">
        <f t="shared" si="111"/>
        <v>8768.5</v>
      </c>
      <c r="L998">
        <f t="shared" si="114"/>
        <v>8768.5</v>
      </c>
      <c r="M998">
        <f t="shared" si="112"/>
        <v>12.355</v>
      </c>
    </row>
    <row r="999" spans="1:13" x14ac:dyDescent="0.25">
      <c r="A999" s="1">
        <v>2458773.62249</v>
      </c>
      <c r="B999" s="1" t="s">
        <v>356</v>
      </c>
      <c r="C999" s="1">
        <v>12.318</v>
      </c>
      <c r="D999" s="1" t="s">
        <v>292</v>
      </c>
      <c r="E999" t="s">
        <v>131</v>
      </c>
      <c r="F999">
        <f t="shared" si="108"/>
        <v>8773.6224899999797</v>
      </c>
      <c r="G999">
        <f t="shared" si="109"/>
        <v>8773.6</v>
      </c>
      <c r="H999">
        <f t="shared" si="110"/>
        <v>12.318</v>
      </c>
      <c r="J999">
        <f t="shared" si="113"/>
        <v>8773.6224899999797</v>
      </c>
      <c r="K999">
        <f t="shared" si="111"/>
        <v>8773.5</v>
      </c>
      <c r="L999">
        <f t="shared" si="114"/>
        <v>8773.5</v>
      </c>
      <c r="M999">
        <f t="shared" si="112"/>
        <v>12.318</v>
      </c>
    </row>
    <row r="1000" spans="1:13" x14ac:dyDescent="0.25">
      <c r="A1000" s="1">
        <v>2458780.5840699999</v>
      </c>
      <c r="B1000" s="1" t="s">
        <v>358</v>
      </c>
      <c r="C1000" s="1">
        <v>12.3</v>
      </c>
      <c r="D1000" s="1" t="s">
        <v>292</v>
      </c>
      <c r="E1000" t="s">
        <v>131</v>
      </c>
      <c r="F1000">
        <f t="shared" si="108"/>
        <v>8780.5840699998662</v>
      </c>
      <c r="G1000">
        <f t="shared" si="109"/>
        <v>8780.6</v>
      </c>
      <c r="H1000">
        <f>+C1000</f>
        <v>12.3</v>
      </c>
      <c r="J1000">
        <f t="shared" si="113"/>
        <v>8780.5840699998662</v>
      </c>
      <c r="K1000">
        <f t="shared" si="111"/>
        <v>8780.5</v>
      </c>
      <c r="L1000">
        <f t="shared" si="114"/>
        <v>8780.5</v>
      </c>
      <c r="M1000">
        <f t="shared" si="112"/>
        <v>12.3</v>
      </c>
    </row>
    <row r="1001" spans="1:13" x14ac:dyDescent="0.25">
      <c r="A1001" s="1"/>
      <c r="B1001" s="1"/>
      <c r="C1001" s="1"/>
      <c r="D1001" s="1"/>
    </row>
    <row r="1002" spans="1:13" x14ac:dyDescent="0.25">
      <c r="A1002" s="1"/>
      <c r="B1002" s="1"/>
      <c r="C1002" s="1"/>
      <c r="D1002" s="1"/>
    </row>
    <row r="1003" spans="1:13" x14ac:dyDescent="0.25">
      <c r="A1003" s="1"/>
      <c r="B1003" s="1"/>
      <c r="C1003" s="1"/>
      <c r="D1003" s="1"/>
    </row>
    <row r="1004" spans="1:13" x14ac:dyDescent="0.25">
      <c r="A1004" s="1"/>
      <c r="B1004" s="1"/>
      <c r="C1004" s="1"/>
      <c r="D1004" s="1"/>
    </row>
    <row r="1005" spans="1:13" x14ac:dyDescent="0.25">
      <c r="A1005" s="1"/>
      <c r="B1005" s="1"/>
      <c r="C1005" s="1"/>
      <c r="D1005" s="1"/>
    </row>
    <row r="1006" spans="1:13" x14ac:dyDescent="0.25">
      <c r="A1006" s="1"/>
      <c r="B1006" s="1"/>
      <c r="C1006" s="1"/>
      <c r="D1006" s="1"/>
    </row>
    <row r="1007" spans="1:13" x14ac:dyDescent="0.25">
      <c r="A1007" s="1"/>
      <c r="B1007" s="1"/>
      <c r="C1007" s="1"/>
      <c r="D1007" s="1"/>
    </row>
    <row r="1008" spans="1:13" x14ac:dyDescent="0.25">
      <c r="A1008" s="1"/>
      <c r="B1008" s="1"/>
      <c r="C1008" s="1"/>
      <c r="D1008" s="1"/>
    </row>
    <row r="1009" spans="1:4" x14ac:dyDescent="0.25">
      <c r="A1009" s="1"/>
      <c r="B1009" s="1"/>
      <c r="C1009" s="1"/>
      <c r="D1009" s="1"/>
    </row>
    <row r="1010" spans="1:4" x14ac:dyDescent="0.25">
      <c r="A1010" s="1"/>
      <c r="B1010" s="1"/>
      <c r="C1010" s="1"/>
      <c r="D1010" s="1"/>
    </row>
    <row r="1011" spans="1:4" x14ac:dyDescent="0.25">
      <c r="A1011" s="1"/>
      <c r="B1011" s="1"/>
      <c r="C1011" s="1"/>
      <c r="D1011" s="1"/>
    </row>
    <row r="1012" spans="1:4" x14ac:dyDescent="0.25">
      <c r="A1012" s="1"/>
      <c r="B1012" s="1"/>
      <c r="C1012" s="1"/>
      <c r="D1012" s="1"/>
    </row>
    <row r="1013" spans="1:4" x14ac:dyDescent="0.25">
      <c r="A1013" s="1"/>
      <c r="B1013" s="1"/>
      <c r="C1013" s="1"/>
      <c r="D1013" s="1"/>
    </row>
    <row r="1014" spans="1:4" x14ac:dyDescent="0.25">
      <c r="A1014" s="1"/>
      <c r="B1014" s="1"/>
      <c r="C1014" s="1"/>
      <c r="D1014" s="1"/>
    </row>
    <row r="1015" spans="1:4" x14ac:dyDescent="0.25">
      <c r="A1015" s="1"/>
      <c r="B1015" s="1"/>
      <c r="C1015" s="1"/>
      <c r="D1015" s="1"/>
    </row>
    <row r="1016" spans="1:4" x14ac:dyDescent="0.25">
      <c r="A1016" s="1"/>
      <c r="B1016" s="1"/>
      <c r="C1016" s="1"/>
      <c r="D1016" s="1"/>
    </row>
    <row r="1017" spans="1:4" x14ac:dyDescent="0.25">
      <c r="A1017" s="1"/>
      <c r="B1017" s="1"/>
      <c r="C1017" s="1"/>
      <c r="D1017" s="1"/>
    </row>
    <row r="1018" spans="1:4" x14ac:dyDescent="0.25">
      <c r="A1018" s="1"/>
      <c r="B1018" s="1"/>
      <c r="C1018" s="1"/>
      <c r="D1018" s="1"/>
    </row>
    <row r="1019" spans="1:4" x14ac:dyDescent="0.25">
      <c r="A1019" s="1"/>
      <c r="B1019" s="1"/>
      <c r="C1019" s="1"/>
      <c r="D1019" s="1"/>
    </row>
    <row r="1020" spans="1:4" x14ac:dyDescent="0.25">
      <c r="A1020" s="1"/>
      <c r="B1020" s="1"/>
      <c r="C1020" s="1"/>
      <c r="D1020" s="1"/>
    </row>
    <row r="1021" spans="1:4" x14ac:dyDescent="0.25">
      <c r="A1021" s="1"/>
      <c r="B1021" s="1"/>
      <c r="C1021" s="1"/>
      <c r="D1021" s="1"/>
    </row>
    <row r="1022" spans="1:4" x14ac:dyDescent="0.25">
      <c r="A1022" s="1"/>
      <c r="B1022" s="1"/>
      <c r="C1022" s="1"/>
      <c r="D1022" s="1"/>
    </row>
    <row r="1023" spans="1:4" x14ac:dyDescent="0.25">
      <c r="A1023" s="1"/>
      <c r="B1023" s="1"/>
      <c r="C1023" s="1"/>
      <c r="D1023" s="1"/>
    </row>
    <row r="1024" spans="1:4" x14ac:dyDescent="0.25">
      <c r="A1024" s="1"/>
      <c r="B1024" s="1"/>
      <c r="C1024" s="1"/>
      <c r="D1024" s="1"/>
    </row>
    <row r="1025" spans="1:4" x14ac:dyDescent="0.25">
      <c r="A1025" s="1"/>
      <c r="B1025" s="1"/>
      <c r="C1025" s="1"/>
      <c r="D1025" s="1"/>
    </row>
    <row r="1026" spans="1:4" x14ac:dyDescent="0.25">
      <c r="A1026" s="1"/>
      <c r="B1026" s="1"/>
      <c r="C1026" s="1"/>
      <c r="D1026" s="1"/>
    </row>
    <row r="1027" spans="1:4" x14ac:dyDescent="0.25">
      <c r="A1027" s="1"/>
      <c r="B1027" s="1"/>
      <c r="C1027" s="1"/>
      <c r="D1027" s="1"/>
    </row>
    <row r="1028" spans="1:4" x14ac:dyDescent="0.25">
      <c r="A1028" s="1"/>
      <c r="B1028" s="1"/>
      <c r="C1028" s="1"/>
      <c r="D1028" s="1"/>
    </row>
    <row r="1029" spans="1:4" x14ac:dyDescent="0.25">
      <c r="A1029" s="1"/>
      <c r="B1029" s="1"/>
      <c r="C1029" s="1"/>
      <c r="D1029" s="1"/>
    </row>
    <row r="1030" spans="1:4" x14ac:dyDescent="0.25">
      <c r="A1030" s="1"/>
      <c r="B1030" s="1"/>
      <c r="C1030" s="1"/>
      <c r="D1030" s="1"/>
    </row>
    <row r="1031" spans="1:4" x14ac:dyDescent="0.25">
      <c r="A1031" s="1"/>
      <c r="B1031" s="1"/>
      <c r="C1031" s="1"/>
      <c r="D1031" s="1"/>
    </row>
    <row r="1032" spans="1:4" x14ac:dyDescent="0.25">
      <c r="A1032" s="1"/>
      <c r="B1032" s="1"/>
      <c r="C1032" s="1"/>
      <c r="D1032" s="1"/>
    </row>
    <row r="1033" spans="1:4" x14ac:dyDescent="0.25">
      <c r="A1033" s="1"/>
      <c r="B1033" s="1"/>
      <c r="C1033" s="1"/>
      <c r="D1033" s="1"/>
    </row>
    <row r="1034" spans="1:4" x14ac:dyDescent="0.25">
      <c r="A1034" s="1"/>
      <c r="B1034" s="1"/>
      <c r="C1034" s="1"/>
      <c r="D1034" s="1"/>
    </row>
    <row r="1035" spans="1:4" x14ac:dyDescent="0.25">
      <c r="A1035" s="1"/>
      <c r="B1035" s="1"/>
      <c r="C1035" s="1"/>
      <c r="D1035" s="1"/>
    </row>
    <row r="1036" spans="1:4" x14ac:dyDescent="0.25">
      <c r="A1036" s="1"/>
      <c r="B1036" s="1"/>
      <c r="C1036" s="1"/>
      <c r="D1036" s="1"/>
    </row>
    <row r="1037" spans="1:4" x14ac:dyDescent="0.25">
      <c r="A1037" s="1"/>
      <c r="B1037" s="1"/>
      <c r="C1037" s="1"/>
      <c r="D1037" s="1"/>
    </row>
    <row r="1038" spans="1:4" x14ac:dyDescent="0.25">
      <c r="A1038" s="1"/>
      <c r="B1038" s="1"/>
      <c r="C1038" s="1"/>
      <c r="D1038" s="1"/>
    </row>
    <row r="1039" spans="1:4" x14ac:dyDescent="0.25">
      <c r="A1039" s="1"/>
      <c r="B1039" s="1"/>
      <c r="C1039" s="1"/>
      <c r="D1039" s="1"/>
    </row>
    <row r="1040" spans="1:4" x14ac:dyDescent="0.25">
      <c r="A1040" s="1"/>
      <c r="B1040" s="1"/>
      <c r="C1040" s="1"/>
      <c r="D1040" s="1"/>
    </row>
    <row r="1041" spans="1:4" x14ac:dyDescent="0.25">
      <c r="A1041" s="1"/>
      <c r="B1041" s="1"/>
      <c r="C1041" s="1"/>
      <c r="D1041" s="1"/>
    </row>
    <row r="1042" spans="1:4" x14ac:dyDescent="0.25">
      <c r="A1042" s="1"/>
      <c r="B1042" s="1"/>
      <c r="C1042" s="1"/>
      <c r="D1042" s="1"/>
    </row>
    <row r="1043" spans="1:4" x14ac:dyDescent="0.25">
      <c r="A1043" s="1"/>
      <c r="B1043" s="1"/>
      <c r="C1043" s="1"/>
      <c r="D1043" s="1"/>
    </row>
    <row r="1044" spans="1:4" x14ac:dyDescent="0.25">
      <c r="A1044" s="1"/>
      <c r="B1044" s="1"/>
      <c r="C1044" s="1"/>
      <c r="D1044" s="1"/>
    </row>
    <row r="1045" spans="1:4" x14ac:dyDescent="0.25">
      <c r="A1045" s="1"/>
      <c r="B1045" s="1"/>
      <c r="C1045" s="1"/>
      <c r="D1045" s="1"/>
    </row>
    <row r="1046" spans="1:4" x14ac:dyDescent="0.25">
      <c r="A1046" s="1"/>
      <c r="B1046" s="1"/>
      <c r="C1046" s="1"/>
      <c r="D1046" s="1"/>
    </row>
    <row r="1047" spans="1:4" x14ac:dyDescent="0.25">
      <c r="A1047" s="1"/>
      <c r="B1047" s="1"/>
      <c r="C1047" s="1"/>
      <c r="D1047" s="1"/>
    </row>
    <row r="1048" spans="1:4" x14ac:dyDescent="0.25">
      <c r="A1048" s="1"/>
      <c r="B1048" s="1"/>
      <c r="C1048" s="1"/>
      <c r="D1048" s="1"/>
    </row>
    <row r="1049" spans="1:4" x14ac:dyDescent="0.25">
      <c r="A1049" s="1"/>
      <c r="B1049" s="1"/>
      <c r="C1049" s="1"/>
      <c r="D1049" s="1"/>
    </row>
    <row r="1050" spans="1:4" x14ac:dyDescent="0.25">
      <c r="A1050" s="1"/>
      <c r="B1050" s="1"/>
      <c r="C1050" s="1"/>
      <c r="D1050" s="1"/>
    </row>
    <row r="1051" spans="1:4" x14ac:dyDescent="0.25">
      <c r="A1051" s="1"/>
      <c r="B1051" s="1"/>
      <c r="C1051" s="1"/>
      <c r="D1051" s="1"/>
    </row>
    <row r="1052" spans="1:4" x14ac:dyDescent="0.25">
      <c r="A1052" s="1"/>
      <c r="B1052" s="1"/>
      <c r="C1052" s="1"/>
      <c r="D1052" s="1"/>
    </row>
    <row r="1053" spans="1:4" x14ac:dyDescent="0.25">
      <c r="A1053" s="1"/>
      <c r="B1053" s="1"/>
      <c r="C1053" s="1"/>
      <c r="D1053" s="1"/>
    </row>
    <row r="1054" spans="1:4" x14ac:dyDescent="0.25">
      <c r="A1054" s="1"/>
      <c r="B1054" s="1"/>
      <c r="C1054" s="1"/>
      <c r="D1054" s="1"/>
    </row>
    <row r="1055" spans="1:4" x14ac:dyDescent="0.25">
      <c r="A1055" s="1"/>
      <c r="B1055" s="1"/>
      <c r="C1055" s="1"/>
      <c r="D1055" s="1"/>
    </row>
    <row r="1056" spans="1:4" x14ac:dyDescent="0.25">
      <c r="A1056" s="1"/>
      <c r="B1056" s="1"/>
      <c r="C1056" s="1"/>
      <c r="D1056" s="1"/>
    </row>
    <row r="1057" spans="1:4" x14ac:dyDescent="0.25">
      <c r="A1057" s="1"/>
      <c r="B1057" s="1"/>
      <c r="C1057" s="1"/>
      <c r="D1057" s="1"/>
    </row>
    <row r="1058" spans="1:4" x14ac:dyDescent="0.25">
      <c r="A1058" s="1"/>
      <c r="B1058" s="1"/>
      <c r="C1058" s="1"/>
      <c r="D1058" s="1"/>
    </row>
    <row r="1059" spans="1:4" x14ac:dyDescent="0.25">
      <c r="A1059" s="1"/>
      <c r="B1059" s="1"/>
      <c r="C1059" s="1"/>
      <c r="D1059" s="1"/>
    </row>
    <row r="1060" spans="1:4" x14ac:dyDescent="0.25">
      <c r="A1060" s="1"/>
      <c r="B1060" s="1"/>
      <c r="C1060" s="1"/>
      <c r="D1060" s="1"/>
    </row>
    <row r="1061" spans="1:4" x14ac:dyDescent="0.25">
      <c r="A1061" s="1"/>
      <c r="B1061" s="1"/>
      <c r="C1061" s="1"/>
      <c r="D1061" s="1"/>
    </row>
    <row r="1062" spans="1:4" x14ac:dyDescent="0.25">
      <c r="A1062" s="1"/>
      <c r="B1062" s="1"/>
      <c r="C1062" s="1"/>
      <c r="D1062" s="1"/>
    </row>
    <row r="1063" spans="1:4" x14ac:dyDescent="0.25">
      <c r="A1063" s="1"/>
      <c r="B1063" s="1"/>
      <c r="C1063" s="1"/>
      <c r="D1063" s="1"/>
    </row>
    <row r="1064" spans="1:4" x14ac:dyDescent="0.25">
      <c r="A1064" s="1"/>
      <c r="B1064" s="1"/>
      <c r="C1064" s="1"/>
      <c r="D1064" s="1"/>
    </row>
    <row r="1065" spans="1:4" x14ac:dyDescent="0.25">
      <c r="A1065" s="1"/>
      <c r="B1065" s="1"/>
      <c r="C1065" s="1"/>
      <c r="D1065" s="1"/>
    </row>
    <row r="1066" spans="1:4" x14ac:dyDescent="0.25">
      <c r="A1066" s="1"/>
      <c r="B1066" s="1"/>
      <c r="C1066" s="1"/>
      <c r="D1066" s="1"/>
    </row>
    <row r="1067" spans="1:4" x14ac:dyDescent="0.25">
      <c r="A1067" s="1"/>
      <c r="B1067" s="1"/>
      <c r="C1067" s="1"/>
      <c r="D1067" s="1"/>
    </row>
    <row r="1068" spans="1:4" x14ac:dyDescent="0.25">
      <c r="A1068" s="1"/>
      <c r="B1068" s="1"/>
      <c r="C1068" s="1"/>
      <c r="D1068" s="1"/>
    </row>
    <row r="1069" spans="1:4" x14ac:dyDescent="0.25">
      <c r="A1069" s="1"/>
      <c r="B1069" s="1"/>
      <c r="C1069" s="1"/>
      <c r="D1069" s="1"/>
    </row>
    <row r="1070" spans="1:4" x14ac:dyDescent="0.25">
      <c r="A1070" s="1"/>
      <c r="B1070" s="1"/>
      <c r="C1070" s="1"/>
      <c r="D1070" s="1"/>
    </row>
    <row r="1071" spans="1:4" x14ac:dyDescent="0.25">
      <c r="A1071" s="1"/>
      <c r="B1071" s="1"/>
      <c r="C1071" s="1"/>
      <c r="D1071" s="1"/>
    </row>
    <row r="1072" spans="1:4" x14ac:dyDescent="0.25">
      <c r="A1072" s="1"/>
      <c r="B1072" s="1"/>
      <c r="C1072" s="1"/>
      <c r="D1072" s="1"/>
    </row>
    <row r="1073" spans="1:4" x14ac:dyDescent="0.25">
      <c r="A1073" s="1"/>
      <c r="B1073" s="1"/>
      <c r="C1073" s="1"/>
      <c r="D1073" s="1"/>
    </row>
    <row r="1074" spans="1:4" x14ac:dyDescent="0.25">
      <c r="A1074" s="1"/>
      <c r="B1074" s="1"/>
      <c r="C1074" s="1"/>
      <c r="D1074" s="1"/>
    </row>
    <row r="1075" spans="1:4" x14ac:dyDescent="0.25">
      <c r="A1075" s="1"/>
      <c r="B1075" s="1"/>
      <c r="C1075" s="1"/>
      <c r="D1075" s="1"/>
    </row>
    <row r="1076" spans="1:4" x14ac:dyDescent="0.25">
      <c r="A1076" s="1"/>
      <c r="B1076" s="1"/>
      <c r="C1076" s="1"/>
      <c r="D1076" s="1"/>
    </row>
    <row r="1077" spans="1:4" x14ac:dyDescent="0.25">
      <c r="A1077" s="1"/>
      <c r="B1077" s="1"/>
      <c r="C1077" s="1"/>
      <c r="D1077" s="1"/>
    </row>
    <row r="1078" spans="1:4" x14ac:dyDescent="0.25">
      <c r="A1078" s="1"/>
      <c r="B1078" s="1"/>
      <c r="C1078" s="1"/>
      <c r="D1078" s="1"/>
    </row>
    <row r="1079" spans="1:4" x14ac:dyDescent="0.25">
      <c r="A1079" s="1"/>
      <c r="B1079" s="1"/>
      <c r="C1079" s="1"/>
      <c r="D1079" s="1"/>
    </row>
    <row r="1080" spans="1:4" x14ac:dyDescent="0.25">
      <c r="A1080" s="1"/>
      <c r="B1080" s="1"/>
      <c r="C1080" s="1"/>
      <c r="D1080" s="1"/>
    </row>
    <row r="1081" spans="1:4" x14ac:dyDescent="0.25">
      <c r="A1081" s="1"/>
      <c r="B1081" s="1"/>
      <c r="C1081" s="1"/>
      <c r="D1081" s="1"/>
    </row>
    <row r="1082" spans="1:4" x14ac:dyDescent="0.25">
      <c r="A1082" s="1"/>
      <c r="B1082" s="1"/>
      <c r="C1082" s="1"/>
      <c r="D1082" s="1"/>
    </row>
    <row r="1083" spans="1:4" x14ac:dyDescent="0.25">
      <c r="A1083" s="1"/>
      <c r="B1083" s="1"/>
      <c r="C1083" s="1"/>
      <c r="D1083" s="1"/>
    </row>
    <row r="1084" spans="1:4" x14ac:dyDescent="0.25">
      <c r="A1084" s="1"/>
      <c r="B1084" s="1"/>
      <c r="C1084" s="1"/>
      <c r="D1084" s="1"/>
    </row>
    <row r="1085" spans="1:4" x14ac:dyDescent="0.25">
      <c r="A1085" s="1"/>
      <c r="B1085" s="1"/>
      <c r="C1085" s="1"/>
      <c r="D1085" s="1"/>
    </row>
    <row r="1086" spans="1:4" x14ac:dyDescent="0.25">
      <c r="A1086" s="1"/>
      <c r="B1086" s="1"/>
      <c r="C1086" s="1"/>
      <c r="D1086" s="1"/>
    </row>
    <row r="1087" spans="1:4" x14ac:dyDescent="0.25">
      <c r="A1087" s="1"/>
      <c r="B1087" s="1"/>
      <c r="C1087" s="1"/>
      <c r="D1087" s="1"/>
    </row>
    <row r="1088" spans="1:4" x14ac:dyDescent="0.25">
      <c r="A1088" s="1"/>
      <c r="B1088" s="1"/>
      <c r="C1088" s="1"/>
      <c r="D1088" s="1"/>
    </row>
    <row r="1089" spans="1:4" x14ac:dyDescent="0.25">
      <c r="A1089" s="1"/>
      <c r="B1089" s="1"/>
      <c r="C1089" s="1"/>
      <c r="D1089" s="1"/>
    </row>
    <row r="1090" spans="1:4" x14ac:dyDescent="0.25">
      <c r="A1090" s="1"/>
      <c r="B1090" s="1"/>
      <c r="C1090" s="1"/>
      <c r="D1090" s="1"/>
    </row>
    <row r="1091" spans="1:4" x14ac:dyDescent="0.25">
      <c r="A1091" s="1"/>
      <c r="B1091" s="1"/>
      <c r="C1091" s="1"/>
      <c r="D1091" s="1"/>
    </row>
    <row r="1092" spans="1:4" x14ac:dyDescent="0.25">
      <c r="A1092" s="1"/>
      <c r="B1092" s="1"/>
      <c r="C1092" s="1"/>
      <c r="D1092" s="1"/>
    </row>
    <row r="1093" spans="1:4" x14ac:dyDescent="0.25">
      <c r="A1093" s="1"/>
      <c r="B1093" s="1"/>
      <c r="C1093" s="1"/>
      <c r="D1093" s="1"/>
    </row>
    <row r="1094" spans="1:4" x14ac:dyDescent="0.25">
      <c r="A1094" s="1"/>
      <c r="B1094" s="1"/>
      <c r="C1094" s="1"/>
      <c r="D1094" s="1"/>
    </row>
    <row r="1095" spans="1:4" x14ac:dyDescent="0.25">
      <c r="A1095" s="1"/>
      <c r="B1095" s="1"/>
      <c r="C1095" s="1"/>
      <c r="D1095" s="1"/>
    </row>
    <row r="1096" spans="1:4" x14ac:dyDescent="0.25">
      <c r="A1096" s="1"/>
      <c r="B1096" s="1"/>
      <c r="C1096" s="1"/>
      <c r="D1096" s="1"/>
    </row>
    <row r="1097" spans="1:4" x14ac:dyDescent="0.25">
      <c r="A1097" s="1"/>
      <c r="B1097" s="1"/>
      <c r="C1097" s="1"/>
      <c r="D1097" s="1"/>
    </row>
    <row r="1098" spans="1:4" x14ac:dyDescent="0.25">
      <c r="A1098" s="1"/>
      <c r="B1098" s="1"/>
      <c r="C1098" s="1"/>
      <c r="D1098" s="1"/>
    </row>
    <row r="1099" spans="1:4" x14ac:dyDescent="0.25">
      <c r="A1099" s="1"/>
      <c r="B1099" s="1"/>
      <c r="C1099" s="1"/>
      <c r="D1099" s="1"/>
    </row>
    <row r="1100" spans="1:4" x14ac:dyDescent="0.25">
      <c r="A1100" s="1"/>
      <c r="B1100" s="1"/>
      <c r="C1100" s="1"/>
      <c r="D1100" s="1"/>
    </row>
    <row r="1101" spans="1:4" x14ac:dyDescent="0.25">
      <c r="A1101" s="1"/>
      <c r="B1101" s="1"/>
      <c r="C1101" s="1"/>
      <c r="D1101" s="1"/>
    </row>
    <row r="1102" spans="1:4" x14ac:dyDescent="0.25">
      <c r="A1102" s="1"/>
      <c r="B1102" s="1"/>
      <c r="C1102" s="1"/>
      <c r="D1102" s="1"/>
    </row>
    <row r="1103" spans="1:4" x14ac:dyDescent="0.25">
      <c r="A1103" s="1"/>
      <c r="B1103" s="1"/>
      <c r="C1103" s="1"/>
      <c r="D1103" s="1"/>
    </row>
    <row r="1104" spans="1:4" x14ac:dyDescent="0.25">
      <c r="A1104" s="1"/>
      <c r="B1104" s="1"/>
      <c r="C1104" s="1"/>
      <c r="D1104" s="1"/>
    </row>
    <row r="1105" spans="1:4" x14ac:dyDescent="0.25">
      <c r="A1105" s="1"/>
      <c r="B1105" s="1"/>
      <c r="C1105" s="1"/>
      <c r="D1105" s="1"/>
    </row>
    <row r="1106" spans="1:4" x14ac:dyDescent="0.25">
      <c r="A1106" s="1"/>
      <c r="B1106" s="1"/>
      <c r="C1106" s="1"/>
      <c r="D1106" s="1"/>
    </row>
    <row r="1107" spans="1:4" x14ac:dyDescent="0.25">
      <c r="A1107" s="1"/>
      <c r="B1107" s="1"/>
      <c r="C1107" s="1"/>
      <c r="D1107" s="1"/>
    </row>
    <row r="1108" spans="1:4" x14ac:dyDescent="0.25">
      <c r="A1108" s="1"/>
      <c r="B1108" s="1"/>
      <c r="C1108" s="1"/>
      <c r="D1108" s="1"/>
    </row>
    <row r="1109" spans="1:4" x14ac:dyDescent="0.25">
      <c r="A1109" s="1"/>
      <c r="B1109" s="1"/>
      <c r="C1109" s="1"/>
      <c r="D1109" s="1"/>
    </row>
    <row r="1110" spans="1:4" x14ac:dyDescent="0.25">
      <c r="A1110" s="1"/>
      <c r="B1110" s="1"/>
      <c r="C1110" s="1"/>
      <c r="D1110" s="1"/>
    </row>
    <row r="1111" spans="1:4" x14ac:dyDescent="0.25">
      <c r="A1111" s="1"/>
      <c r="B1111" s="1"/>
      <c r="C1111" s="1"/>
      <c r="D1111" s="1"/>
    </row>
    <row r="1112" spans="1:4" x14ac:dyDescent="0.25">
      <c r="A1112" s="1"/>
      <c r="B1112" s="1"/>
      <c r="C1112" s="1"/>
      <c r="D1112" s="1"/>
    </row>
    <row r="1113" spans="1:4" x14ac:dyDescent="0.25">
      <c r="A1113" s="1"/>
      <c r="B1113" s="1"/>
      <c r="C1113" s="1"/>
      <c r="D1113" s="1"/>
    </row>
    <row r="1114" spans="1:4" x14ac:dyDescent="0.25">
      <c r="A1114" s="1"/>
      <c r="B1114" s="1"/>
      <c r="C1114" s="1"/>
      <c r="D1114" s="1"/>
    </row>
    <row r="1115" spans="1:4" x14ac:dyDescent="0.25">
      <c r="A1115" s="1"/>
      <c r="B1115" s="1"/>
      <c r="C1115" s="1"/>
      <c r="D1115" s="1"/>
    </row>
    <row r="1116" spans="1:4" x14ac:dyDescent="0.25">
      <c r="A1116" s="1"/>
      <c r="B1116" s="1"/>
      <c r="C1116" s="1"/>
      <c r="D1116" s="1"/>
    </row>
    <row r="1117" spans="1:4" x14ac:dyDescent="0.25">
      <c r="A1117" s="1"/>
      <c r="B1117" s="1"/>
      <c r="C1117" s="1"/>
      <c r="D1117" s="1"/>
    </row>
    <row r="1118" spans="1:4" x14ac:dyDescent="0.25">
      <c r="A1118" s="1"/>
      <c r="B1118" s="1"/>
      <c r="C1118" s="1"/>
      <c r="D1118" s="1"/>
    </row>
    <row r="1119" spans="1:4" x14ac:dyDescent="0.25">
      <c r="A1119" s="1"/>
      <c r="B1119" s="1"/>
      <c r="C1119" s="1"/>
      <c r="D1119" s="1"/>
    </row>
    <row r="1120" spans="1:4" x14ac:dyDescent="0.25">
      <c r="A1120" s="1"/>
      <c r="B1120" s="1"/>
      <c r="C1120" s="1"/>
      <c r="D1120" s="1"/>
    </row>
    <row r="1121" spans="1:4" x14ac:dyDescent="0.25">
      <c r="A1121" s="1"/>
      <c r="B1121" s="1"/>
      <c r="C1121" s="1"/>
      <c r="D1121" s="1"/>
    </row>
    <row r="1122" spans="1:4" x14ac:dyDescent="0.25">
      <c r="A1122" s="1"/>
      <c r="B1122" s="1"/>
      <c r="C1122" s="1"/>
      <c r="D1122" s="1"/>
    </row>
    <row r="1123" spans="1:4" x14ac:dyDescent="0.25">
      <c r="A1123" s="1"/>
      <c r="B1123" s="1"/>
      <c r="C1123" s="1"/>
      <c r="D1123" s="1"/>
    </row>
    <row r="1124" spans="1:4" x14ac:dyDescent="0.25">
      <c r="A1124" s="1"/>
      <c r="B1124" s="1"/>
      <c r="C1124" s="1"/>
      <c r="D1124" s="1"/>
    </row>
    <row r="1125" spans="1:4" x14ac:dyDescent="0.25">
      <c r="A1125" s="1"/>
      <c r="B1125" s="1"/>
      <c r="C1125" s="1"/>
      <c r="D1125" s="1"/>
    </row>
    <row r="1126" spans="1:4" x14ac:dyDescent="0.25">
      <c r="A1126" s="1"/>
      <c r="B1126" s="1"/>
      <c r="C1126" s="1"/>
      <c r="D1126" s="1"/>
    </row>
    <row r="1127" spans="1:4" x14ac:dyDescent="0.25">
      <c r="A1127" s="1"/>
      <c r="B1127" s="1"/>
      <c r="C1127" s="1"/>
      <c r="D1127" s="1"/>
    </row>
    <row r="1128" spans="1:4" x14ac:dyDescent="0.25">
      <c r="A1128" s="1"/>
      <c r="B1128" s="1"/>
      <c r="C1128" s="1"/>
      <c r="D1128" s="1"/>
    </row>
    <row r="1129" spans="1:4" x14ac:dyDescent="0.25">
      <c r="A1129" s="1"/>
      <c r="B1129" s="1"/>
      <c r="C1129" s="1"/>
      <c r="D1129" s="1"/>
    </row>
    <row r="1130" spans="1:4" x14ac:dyDescent="0.25">
      <c r="A1130" s="1"/>
      <c r="B1130" s="1"/>
      <c r="C1130" s="1"/>
      <c r="D1130" s="1"/>
    </row>
    <row r="1131" spans="1:4" x14ac:dyDescent="0.25">
      <c r="A1131" s="1"/>
      <c r="B1131" s="1"/>
      <c r="C1131" s="1"/>
      <c r="D1131" s="1"/>
    </row>
    <row r="1132" spans="1:4" x14ac:dyDescent="0.25">
      <c r="A1132" s="1"/>
      <c r="B1132" s="1"/>
      <c r="C1132" s="1"/>
      <c r="D1132" s="1"/>
    </row>
    <row r="1133" spans="1:4" x14ac:dyDescent="0.25">
      <c r="A1133" s="1"/>
      <c r="B1133" s="1"/>
      <c r="C1133" s="1"/>
      <c r="D1133" s="1"/>
    </row>
    <row r="1134" spans="1:4" x14ac:dyDescent="0.25">
      <c r="A1134" s="1"/>
      <c r="B1134" s="1"/>
      <c r="C1134" s="1"/>
      <c r="D1134" s="1"/>
    </row>
    <row r="1135" spans="1:4" x14ac:dyDescent="0.25">
      <c r="A1135" s="1"/>
      <c r="B1135" s="1"/>
      <c r="C1135" s="1"/>
      <c r="D1135" s="1"/>
    </row>
    <row r="1136" spans="1:4" x14ac:dyDescent="0.25">
      <c r="A1136" s="1"/>
      <c r="B1136" s="1"/>
      <c r="C1136" s="1"/>
      <c r="D1136" s="1"/>
    </row>
    <row r="1137" spans="1:4" x14ac:dyDescent="0.25">
      <c r="A1137" s="1"/>
      <c r="B1137" s="1"/>
      <c r="C1137" s="1"/>
      <c r="D1137" s="1"/>
    </row>
    <row r="1138" spans="1:4" x14ac:dyDescent="0.25">
      <c r="A1138" s="1"/>
      <c r="B1138" s="1"/>
      <c r="C1138" s="1"/>
      <c r="D1138" s="1"/>
    </row>
    <row r="1139" spans="1:4" x14ac:dyDescent="0.25">
      <c r="A1139" s="1"/>
      <c r="B1139" s="1"/>
      <c r="C1139" s="1"/>
      <c r="D1139" s="1"/>
    </row>
    <row r="1140" spans="1:4" x14ac:dyDescent="0.25">
      <c r="A1140" s="1"/>
      <c r="B1140" s="1"/>
      <c r="C1140" s="1"/>
      <c r="D1140" s="1"/>
    </row>
    <row r="1141" spans="1:4" x14ac:dyDescent="0.25">
      <c r="A1141" s="1"/>
      <c r="B1141" s="1"/>
      <c r="C1141" s="1"/>
      <c r="D1141" s="1"/>
    </row>
    <row r="1142" spans="1:4" x14ac:dyDescent="0.25">
      <c r="A1142" s="1"/>
      <c r="B1142" s="1"/>
      <c r="C1142" s="1"/>
      <c r="D1142" s="1"/>
    </row>
    <row r="1143" spans="1:4" x14ac:dyDescent="0.25">
      <c r="A1143" s="1"/>
      <c r="B1143" s="1"/>
      <c r="C1143" s="1"/>
      <c r="D1143" s="1"/>
    </row>
    <row r="1144" spans="1:4" x14ac:dyDescent="0.25">
      <c r="A1144" s="1"/>
      <c r="B1144" s="1"/>
      <c r="C1144" s="1"/>
      <c r="D1144" s="1"/>
    </row>
    <row r="1145" spans="1:4" x14ac:dyDescent="0.25">
      <c r="A1145" s="1"/>
      <c r="B1145" s="1"/>
      <c r="C1145" s="1"/>
      <c r="D1145" s="1"/>
    </row>
    <row r="1146" spans="1:4" x14ac:dyDescent="0.25">
      <c r="A1146" s="1"/>
      <c r="B1146" s="1"/>
      <c r="C1146" s="1"/>
      <c r="D1146" s="1"/>
    </row>
    <row r="1147" spans="1:4" x14ac:dyDescent="0.25">
      <c r="A1147" s="1"/>
      <c r="B1147" s="1"/>
      <c r="C1147" s="1"/>
      <c r="D1147" s="1"/>
    </row>
    <row r="1148" spans="1:4" x14ac:dyDescent="0.25">
      <c r="A1148" s="1"/>
      <c r="B1148" s="1"/>
      <c r="C1148" s="1"/>
      <c r="D1148" s="1"/>
    </row>
    <row r="1149" spans="1:4" x14ac:dyDescent="0.25">
      <c r="A1149" s="1"/>
      <c r="B1149" s="1"/>
      <c r="C1149" s="1"/>
      <c r="D1149" s="1"/>
    </row>
    <row r="1150" spans="1:4" x14ac:dyDescent="0.25">
      <c r="A1150" s="1"/>
      <c r="B1150" s="1"/>
      <c r="C1150" s="1"/>
      <c r="D1150" s="1"/>
    </row>
    <row r="1151" spans="1:4" x14ac:dyDescent="0.25">
      <c r="A1151" s="1"/>
      <c r="B1151" s="1"/>
      <c r="C1151" s="1"/>
      <c r="D1151" s="1"/>
    </row>
    <row r="1152" spans="1:4" x14ac:dyDescent="0.25">
      <c r="A1152" s="1"/>
      <c r="B1152" s="1"/>
      <c r="C1152" s="1"/>
      <c r="D1152" s="1"/>
    </row>
    <row r="1153" spans="1:4" x14ac:dyDescent="0.25">
      <c r="A1153" s="1"/>
      <c r="B1153" s="1"/>
      <c r="C1153" s="1"/>
      <c r="D1153" s="1"/>
    </row>
    <row r="1154" spans="1:4" x14ac:dyDescent="0.25">
      <c r="A1154" s="1"/>
      <c r="B1154" s="1"/>
      <c r="C1154" s="1"/>
      <c r="D1154" s="1"/>
    </row>
    <row r="1155" spans="1:4" x14ac:dyDescent="0.25">
      <c r="A1155" s="1"/>
      <c r="B1155" s="1"/>
      <c r="C1155" s="1"/>
      <c r="D1155" s="1"/>
    </row>
    <row r="1156" spans="1:4" x14ac:dyDescent="0.25">
      <c r="A1156" s="1"/>
      <c r="B1156" s="1"/>
      <c r="C1156" s="1"/>
      <c r="D1156" s="1"/>
    </row>
    <row r="1157" spans="1:4" x14ac:dyDescent="0.25">
      <c r="A1157" s="1"/>
      <c r="B1157" s="1"/>
      <c r="C1157" s="1"/>
      <c r="D1157" s="1"/>
    </row>
    <row r="1158" spans="1:4" x14ac:dyDescent="0.25">
      <c r="A1158" s="1"/>
      <c r="B1158" s="1"/>
      <c r="C1158" s="1"/>
      <c r="D1158" s="1"/>
    </row>
    <row r="1159" spans="1:4" x14ac:dyDescent="0.25">
      <c r="A1159" s="1"/>
      <c r="B1159" s="1"/>
      <c r="C1159" s="1"/>
      <c r="D1159" s="1"/>
    </row>
    <row r="1160" spans="1:4" x14ac:dyDescent="0.25">
      <c r="A1160" s="1"/>
      <c r="B1160" s="1"/>
      <c r="C1160" s="1"/>
      <c r="D1160" s="1"/>
    </row>
    <row r="1161" spans="1:4" x14ac:dyDescent="0.25">
      <c r="A1161" s="1"/>
      <c r="B1161" s="1"/>
      <c r="C1161" s="1"/>
      <c r="D1161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1"/>
  <dimension ref="A1:R380"/>
  <sheetViews>
    <sheetView workbookViewId="0">
      <selection activeCell="C10" sqref="C10"/>
    </sheetView>
  </sheetViews>
  <sheetFormatPr baseColWidth="10" defaultRowHeight="15" x14ac:dyDescent="0.25"/>
  <cols>
    <col min="1" max="2" width="23.140625" style="61" customWidth="1"/>
    <col min="3" max="3" width="23.140625" customWidth="1"/>
  </cols>
  <sheetData>
    <row r="1" spans="1:18" x14ac:dyDescent="0.25">
      <c r="A1" s="65">
        <v>8341</v>
      </c>
      <c r="B1" s="65">
        <v>0.58000000000000007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25">
      <c r="A2" s="65">
        <v>8343.5</v>
      </c>
      <c r="B2" s="65">
        <v>0.50845531914893627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25">
      <c r="A3" s="65">
        <v>8344.5</v>
      </c>
      <c r="B3" s="65">
        <v>0.62400000000000055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25">
      <c r="A4" s="65">
        <v>8345.25</v>
      </c>
      <c r="B4" s="65">
        <v>0.6419222633527184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25">
      <c r="A5" s="65">
        <v>8345.5</v>
      </c>
      <c r="B5" s="65">
        <v>0.61966783216783305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25">
      <c r="A6" s="65">
        <v>8345.75</v>
      </c>
      <c r="B6" s="65">
        <v>0.64521794871794924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25">
      <c r="A7" s="65">
        <v>8346.5</v>
      </c>
      <c r="B7" s="65">
        <v>0.62782352941176356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5">
      <c r="A8" s="65">
        <v>8346.75</v>
      </c>
      <c r="B8" s="65">
        <v>0.64740036231883913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25">
      <c r="A9" s="65">
        <v>8347.25</v>
      </c>
      <c r="B9" s="65">
        <v>0.58399999999999963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25">
      <c r="A10" s="65">
        <v>8353.25</v>
      </c>
      <c r="B10" s="65">
        <v>0.64900000000000091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5">
      <c r="A11" s="65">
        <v>8355.75</v>
      </c>
      <c r="B11" s="65">
        <v>0.67500000000000071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5">
      <c r="A12" s="65">
        <v>8359.25</v>
      </c>
      <c r="B12" s="65">
        <v>0.67599999999999838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5">
      <c r="A13" s="65">
        <v>8362.25</v>
      </c>
      <c r="B13" s="65">
        <v>0.68833333333333435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25">
      <c r="A14" s="65">
        <v>8364.25</v>
      </c>
      <c r="B14" s="65">
        <v>0.68475099601593215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25">
      <c r="A15" s="65">
        <v>8367.5</v>
      </c>
      <c r="B15" s="65">
        <v>0.7043076923076903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25">
      <c r="A16" s="65">
        <v>8368.5</v>
      </c>
      <c r="B16" s="65">
        <v>0.71700000000000053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25">
      <c r="A17" s="65">
        <v>8369.25</v>
      </c>
      <c r="B17" s="65">
        <v>0.68874999999999886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x14ac:dyDescent="0.25">
      <c r="A18" s="65">
        <v>8370.25</v>
      </c>
      <c r="B18" s="65">
        <v>0.67999999999999972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x14ac:dyDescent="0.25">
      <c r="A19" s="65">
        <v>8375.25</v>
      </c>
      <c r="B19" s="65">
        <v>0.70350000000000179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x14ac:dyDescent="0.25">
      <c r="A20" s="65">
        <v>8376.25</v>
      </c>
      <c r="B20" s="65">
        <v>0.72449999999999903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x14ac:dyDescent="0.25">
      <c r="A21" s="65">
        <v>8378.25</v>
      </c>
      <c r="B21" s="65">
        <v>0.71950000000000003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x14ac:dyDescent="0.25">
      <c r="A22" s="65">
        <v>8383.25</v>
      </c>
      <c r="B22" s="65">
        <v>0.70800000000000018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x14ac:dyDescent="0.25">
      <c r="A23" s="65">
        <v>8386.25</v>
      </c>
      <c r="B23" s="65">
        <v>0.72550000000000026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x14ac:dyDescent="0.25">
      <c r="A24" s="65">
        <v>8388.25</v>
      </c>
      <c r="B24" s="65">
        <v>0.74733333333333185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x14ac:dyDescent="0.25">
      <c r="A25" s="65">
        <v>8389.25</v>
      </c>
      <c r="B25" s="65">
        <v>0.7333333333333325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 x14ac:dyDescent="0.25">
      <c r="A26" s="65">
        <v>8389.5</v>
      </c>
      <c r="B26" s="65">
        <v>0.61666666666666714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1:18" x14ac:dyDescent="0.25">
      <c r="A27" s="65">
        <v>8390.25</v>
      </c>
      <c r="B27" s="65">
        <v>0.75300000000000011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18" x14ac:dyDescent="0.25">
      <c r="A28" s="65">
        <v>8395.5</v>
      </c>
      <c r="B28" s="65">
        <v>0.65100000000000158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18" x14ac:dyDescent="0.25">
      <c r="A29" s="65">
        <v>8401.25</v>
      </c>
      <c r="B29" s="65">
        <v>0.74800000000000111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25">
      <c r="A30" s="65">
        <v>8402.25</v>
      </c>
      <c r="B30" s="65">
        <v>0.75850000000000151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25">
      <c r="A31" s="65">
        <v>8404.25</v>
      </c>
      <c r="B31" s="65">
        <v>0.76449999999999996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25">
      <c r="A32" s="65">
        <v>8406.25</v>
      </c>
      <c r="B32" s="65">
        <v>0.75549999999999962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25">
      <c r="A33" s="65">
        <v>8407.25</v>
      </c>
      <c r="B33" s="65">
        <v>0.77999999999999936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25">
      <c r="A34" s="65">
        <v>8409.25</v>
      </c>
      <c r="B34" s="65">
        <v>0.72450000000000081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25">
      <c r="A35" s="65">
        <v>8411.25</v>
      </c>
      <c r="B35" s="65">
        <v>0.77250000000000085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 x14ac:dyDescent="0.25">
      <c r="A36" s="65">
        <v>8415</v>
      </c>
      <c r="B36" s="65">
        <v>0.78400000000000247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spans="1:18" x14ac:dyDescent="0.25">
      <c r="A37" s="65">
        <v>8420</v>
      </c>
      <c r="B37" s="65">
        <v>0.80049999999999955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spans="1:18" x14ac:dyDescent="0.25">
      <c r="A38" s="65">
        <v>8420.5</v>
      </c>
      <c r="B38" s="65">
        <v>0.6980000000000004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1:18" x14ac:dyDescent="0.25">
      <c r="A39" s="65">
        <v>8423</v>
      </c>
      <c r="B39" s="65">
        <v>0.9399999999999995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1:18" x14ac:dyDescent="0.25">
      <c r="A40" s="65">
        <v>8425.25</v>
      </c>
      <c r="B40" s="65">
        <v>0.8514999999999997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18" x14ac:dyDescent="0.25">
      <c r="A41" s="65">
        <v>8425.5</v>
      </c>
      <c r="B41" s="65">
        <v>0.65633333333333432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x14ac:dyDescent="0.25">
      <c r="A42" s="65">
        <v>8428.25</v>
      </c>
      <c r="B42" s="65">
        <v>0.83100000000000129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x14ac:dyDescent="0.25">
      <c r="A43" s="65">
        <v>8429.5</v>
      </c>
      <c r="B43" s="65">
        <v>0.70433333333333259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x14ac:dyDescent="0.25">
      <c r="A44" s="65">
        <v>8431</v>
      </c>
      <c r="B44" s="65">
        <v>0.85699999999999932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x14ac:dyDescent="0.25">
      <c r="A45" s="65">
        <v>8433</v>
      </c>
      <c r="B45" s="65">
        <v>0.81799999999999962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x14ac:dyDescent="0.25">
      <c r="A46" s="65">
        <v>8436.5</v>
      </c>
      <c r="B46" s="65">
        <v>0.65700000000000003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 x14ac:dyDescent="0.25">
      <c r="A47" s="65">
        <v>8437.25</v>
      </c>
      <c r="B47" s="65">
        <v>0.86149999999999949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 x14ac:dyDescent="0.25">
      <c r="A48" s="65">
        <v>8439</v>
      </c>
      <c r="B48" s="65">
        <v>0.84999999999999964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x14ac:dyDescent="0.25">
      <c r="A49" s="65">
        <v>8440.25</v>
      </c>
      <c r="B49" s="65">
        <v>0.87150000000000105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x14ac:dyDescent="0.25">
      <c r="A50" s="65">
        <v>8442.5</v>
      </c>
      <c r="B50" s="65">
        <v>0.59266666666666623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x14ac:dyDescent="0.25">
      <c r="A51" s="65">
        <v>8453</v>
      </c>
      <c r="B51" s="65">
        <v>0.86800000000000033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x14ac:dyDescent="0.25">
      <c r="A52" s="65">
        <v>8462</v>
      </c>
      <c r="B52" s="65">
        <v>0.90850000000000009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x14ac:dyDescent="0.25">
      <c r="A53" s="65">
        <v>8464.25</v>
      </c>
      <c r="B53" s="65">
        <v>0.90700000000000003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x14ac:dyDescent="0.25">
      <c r="A54" s="65">
        <v>8478.25</v>
      </c>
      <c r="B54" s="65">
        <v>1.0329999999999995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x14ac:dyDescent="0.25">
      <c r="A55" s="65">
        <v>8479</v>
      </c>
      <c r="B55" s="65">
        <v>1.0089999999999986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x14ac:dyDescent="0.25">
      <c r="A56" s="65">
        <v>8487</v>
      </c>
      <c r="B56" s="65">
        <v>1.0174999999999983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x14ac:dyDescent="0.25">
      <c r="A57" s="65">
        <v>8577.5</v>
      </c>
      <c r="B57" s="65">
        <v>1.0964999999999989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x14ac:dyDescent="0.25">
      <c r="A58" s="65">
        <v>8597.5</v>
      </c>
      <c r="B58" s="65">
        <v>1.1880000000000006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x14ac:dyDescent="0.25">
      <c r="A59" s="65">
        <v>8643.25</v>
      </c>
      <c r="B59" s="65">
        <v>1.1994999999999987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x14ac:dyDescent="0.25">
      <c r="A60" s="65">
        <v>8649.75</v>
      </c>
      <c r="B60" s="65">
        <v>0.95099999999999874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25">
      <c r="A61" s="65">
        <v>8654.5</v>
      </c>
      <c r="B61" s="65">
        <v>0.92800000000000082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x14ac:dyDescent="0.25">
      <c r="A62" s="65">
        <v>8663.25</v>
      </c>
      <c r="B62" s="65">
        <v>1.0314999999999994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x14ac:dyDescent="0.25">
      <c r="A63" s="65">
        <v>8664.25</v>
      </c>
      <c r="B63" s="65">
        <v>1.08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x14ac:dyDescent="0.25">
      <c r="A64" s="65">
        <v>8665.75</v>
      </c>
      <c r="B64" s="65">
        <v>0.95500000000000007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 x14ac:dyDescent="0.25">
      <c r="A65" s="65">
        <v>8672.25</v>
      </c>
      <c r="B65" s="65">
        <v>1.109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 x14ac:dyDescent="0.25">
      <c r="A66" s="65">
        <v>8677.5</v>
      </c>
      <c r="B66" s="65">
        <v>0.98899999999999899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1:18" x14ac:dyDescent="0.25">
      <c r="A67" s="65">
        <v>8681.25</v>
      </c>
      <c r="B67" s="65">
        <v>1.099499999999999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1:18" x14ac:dyDescent="0.25">
      <c r="A68" s="65">
        <v>8685.25</v>
      </c>
      <c r="B68" s="65">
        <v>1.0845000000000002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1:18" x14ac:dyDescent="0.25">
      <c r="A69" s="65">
        <v>8685.5</v>
      </c>
      <c r="B69" s="65">
        <v>0.95500000000000007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1:18" x14ac:dyDescent="0.25">
      <c r="A70" s="65">
        <v>8687.25</v>
      </c>
      <c r="B70" s="65">
        <v>1.0344999999999978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1:18" x14ac:dyDescent="0.25">
      <c r="A71" s="65">
        <v>8688.25</v>
      </c>
      <c r="B71" s="65">
        <v>1.0910000000000011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1:18" x14ac:dyDescent="0.25">
      <c r="A72" s="65">
        <v>8690.5</v>
      </c>
      <c r="B72" s="65">
        <v>1.1000000000000014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1:18" x14ac:dyDescent="0.25">
      <c r="A73" s="65">
        <v>8693.25</v>
      </c>
      <c r="B73" s="65">
        <v>1.0599999999999987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1:18" x14ac:dyDescent="0.25">
      <c r="A74" s="65">
        <v>8694.25</v>
      </c>
      <c r="B74" s="65">
        <v>1.0405000000000015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x14ac:dyDescent="0.25">
      <c r="A75" s="65">
        <v>8697.25</v>
      </c>
      <c r="B75" s="65">
        <v>1.0335000000000001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x14ac:dyDescent="0.25">
      <c r="A76" s="65">
        <v>8698.25</v>
      </c>
      <c r="B76" s="65">
        <v>1.1145000000000014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x14ac:dyDescent="0.25">
      <c r="A77" s="65">
        <v>8699.25</v>
      </c>
      <c r="B77" s="65">
        <v>1.1385000000000005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x14ac:dyDescent="0.25">
      <c r="A78" s="65">
        <v>8703.25</v>
      </c>
      <c r="B78" s="65">
        <v>1.0990000000000002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1:18" x14ac:dyDescent="0.25">
      <c r="A79" s="65">
        <v>8706.25</v>
      </c>
      <c r="B79" s="65">
        <v>1.1305000000000014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x14ac:dyDescent="0.25">
      <c r="A80" s="65">
        <v>8707.5</v>
      </c>
      <c r="B80" s="65">
        <v>0.97600000000000087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x14ac:dyDescent="0.25">
      <c r="A81" s="65">
        <v>8708.25</v>
      </c>
      <c r="B81" s="65">
        <v>1.1195000000000004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x14ac:dyDescent="0.25">
      <c r="A82" s="65">
        <v>8714.25</v>
      </c>
      <c r="B82" s="65">
        <v>1.1070000000000011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x14ac:dyDescent="0.25">
      <c r="A83" s="65">
        <v>8715.25</v>
      </c>
      <c r="B83" s="65">
        <v>1.1169999999999991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x14ac:dyDescent="0.25">
      <c r="A84" s="65">
        <v>8716.25</v>
      </c>
      <c r="B84" s="65">
        <v>1.120000000000001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x14ac:dyDescent="0.25">
      <c r="A85" s="65">
        <v>8717.25</v>
      </c>
      <c r="B85" s="65">
        <v>1.0884999999999998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x14ac:dyDescent="0.25">
      <c r="A86" s="65">
        <v>8720.25</v>
      </c>
      <c r="B86" s="65">
        <v>1.1259999999999994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x14ac:dyDescent="0.25">
      <c r="A87" s="65">
        <v>8721.5</v>
      </c>
      <c r="B87" s="65">
        <v>0.98099999999999987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x14ac:dyDescent="0.25">
      <c r="A88" s="65">
        <v>8722.25</v>
      </c>
      <c r="B88" s="65">
        <v>1.0635000000000012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x14ac:dyDescent="0.25">
      <c r="A89" s="65">
        <v>8726.25</v>
      </c>
      <c r="B89" s="65">
        <v>1.0700000000000003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x14ac:dyDescent="0.25">
      <c r="A90" s="65">
        <v>8727.75</v>
      </c>
      <c r="B90" s="65">
        <v>1.0190000000000001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x14ac:dyDescent="0.25">
      <c r="A91" s="65">
        <v>8728.25</v>
      </c>
      <c r="B91" s="65">
        <v>1.1550000000000011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x14ac:dyDescent="0.25">
      <c r="A92" s="65">
        <v>8731.25</v>
      </c>
      <c r="B92" s="65">
        <v>1.067499999999999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x14ac:dyDescent="0.25">
      <c r="A93" s="65">
        <v>8739.5</v>
      </c>
      <c r="B93" s="65">
        <v>1.1550000000000011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x14ac:dyDescent="0.25">
      <c r="A94" s="65">
        <v>8739.75</v>
      </c>
      <c r="B94" s="65">
        <v>1.1650000000000009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x14ac:dyDescent="0.25">
      <c r="A95" s="65">
        <v>8740.25</v>
      </c>
      <c r="B95" s="65">
        <v>1.0604999999999993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x14ac:dyDescent="0.25">
      <c r="A96" s="65">
        <v>8744.25</v>
      </c>
      <c r="B96" s="65">
        <v>1.1219999999999999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1:18" x14ac:dyDescent="0.25">
      <c r="A97" s="65">
        <v>8745.25</v>
      </c>
      <c r="B97" s="65">
        <v>1.0849999999999991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1:18" x14ac:dyDescent="0.25">
      <c r="A98" s="65">
        <v>8747.25</v>
      </c>
      <c r="B98" s="65">
        <v>1.1334999999999997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1:18" x14ac:dyDescent="0.25">
      <c r="A99" s="65">
        <v>8747.5</v>
      </c>
      <c r="B99" s="65">
        <v>1.1809999999999992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1:18" x14ac:dyDescent="0.25">
      <c r="A100" s="65">
        <v>8748.25</v>
      </c>
      <c r="B100" s="65">
        <v>1.17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  <row r="101" spans="1:18" x14ac:dyDescent="0.25">
      <c r="A101" s="65">
        <v>8759.25</v>
      </c>
      <c r="B101" s="65">
        <v>1.1000000000000014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</row>
    <row r="102" spans="1:18" x14ac:dyDescent="0.25">
      <c r="A102" s="65">
        <v>8761.25</v>
      </c>
      <c r="B102" s="65">
        <v>1.1209999999999987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</row>
    <row r="103" spans="1:18" x14ac:dyDescent="0.25">
      <c r="A103" s="65">
        <v>8762.5</v>
      </c>
      <c r="B103" s="65">
        <v>1.0009999999999994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</row>
    <row r="104" spans="1:18" x14ac:dyDescent="0.25">
      <c r="A104" s="65">
        <v>8765.25</v>
      </c>
      <c r="B104" s="65">
        <v>1.0659999999999989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</row>
    <row r="105" spans="1:18" x14ac:dyDescent="0.25">
      <c r="A105" s="65">
        <v>8768.5</v>
      </c>
      <c r="B105" s="65">
        <v>0.94899999999999984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</row>
    <row r="106" spans="1:18" x14ac:dyDescent="0.25">
      <c r="A106" s="65">
        <v>8773.5</v>
      </c>
      <c r="B106" s="65">
        <v>0.94100000000000072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</row>
    <row r="107" spans="1:18" x14ac:dyDescent="0.25">
      <c r="A107" s="65">
        <v>8780.5</v>
      </c>
      <c r="B107" s="65">
        <v>0.94599999999999973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</row>
    <row r="108" spans="1:18" x14ac:dyDescent="0.25">
      <c r="A108" s="65"/>
      <c r="B108" s="65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</row>
    <row r="109" spans="1:18" x14ac:dyDescent="0.25">
      <c r="A109" s="65"/>
      <c r="B109" s="65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</row>
    <row r="110" spans="1:18" x14ac:dyDescent="0.25">
      <c r="A110" s="65"/>
      <c r="B110" s="65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</row>
    <row r="111" spans="1:18" x14ac:dyDescent="0.25">
      <c r="A111" s="65"/>
      <c r="B111" s="65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</row>
    <row r="112" spans="1:18" x14ac:dyDescent="0.25">
      <c r="A112" s="65"/>
      <c r="B112" s="65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</row>
    <row r="113" spans="1:18" x14ac:dyDescent="0.25">
      <c r="A113" s="65"/>
      <c r="B113" s="65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</row>
    <row r="114" spans="1:18" x14ac:dyDescent="0.25">
      <c r="A114" s="65"/>
      <c r="B114" s="65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</row>
    <row r="115" spans="1:18" x14ac:dyDescent="0.25">
      <c r="A115" s="65"/>
      <c r="B115" s="65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</row>
    <row r="116" spans="1:18" x14ac:dyDescent="0.25">
      <c r="A116" s="65"/>
      <c r="B116" s="65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</row>
    <row r="117" spans="1:18" x14ac:dyDescent="0.25">
      <c r="A117" s="65"/>
      <c r="B117" s="65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x14ac:dyDescent="0.25">
      <c r="A118" s="65"/>
      <c r="B118" s="65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x14ac:dyDescent="0.25">
      <c r="A119" s="65"/>
      <c r="B119" s="65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</row>
    <row r="120" spans="1:18" x14ac:dyDescent="0.25">
      <c r="A120" s="65"/>
      <c r="B120" s="65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x14ac:dyDescent="0.25">
      <c r="A121" s="65"/>
      <c r="B121" s="65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x14ac:dyDescent="0.25">
      <c r="A122" s="65"/>
      <c r="B122" s="65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x14ac:dyDescent="0.25">
      <c r="A123" s="65"/>
      <c r="B123" s="65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x14ac:dyDescent="0.25">
      <c r="A124" s="65"/>
      <c r="B124" s="65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x14ac:dyDescent="0.25">
      <c r="A125" s="65"/>
      <c r="B125" s="65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x14ac:dyDescent="0.25">
      <c r="A126" s="65"/>
      <c r="B126" s="65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x14ac:dyDescent="0.25">
      <c r="A127" s="65"/>
      <c r="B127" s="65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x14ac:dyDescent="0.25">
      <c r="A128" s="65"/>
      <c r="B128" s="65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x14ac:dyDescent="0.25">
      <c r="A129" s="65"/>
      <c r="B129" s="65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x14ac:dyDescent="0.25">
      <c r="A130" s="65"/>
      <c r="B130" s="65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x14ac:dyDescent="0.25">
      <c r="A131" s="65"/>
      <c r="B131" s="65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x14ac:dyDescent="0.25">
      <c r="A132" s="65"/>
      <c r="B132" s="65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x14ac:dyDescent="0.25">
      <c r="A133" s="65"/>
      <c r="B133" s="65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x14ac:dyDescent="0.25">
      <c r="A134" s="65"/>
      <c r="B134" s="65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x14ac:dyDescent="0.25">
      <c r="A135" s="65"/>
      <c r="B135" s="65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x14ac:dyDescent="0.25">
      <c r="A136" s="65"/>
      <c r="B136" s="65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x14ac:dyDescent="0.25">
      <c r="A137" s="65"/>
      <c r="B137" s="65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x14ac:dyDescent="0.25">
      <c r="A138" s="65"/>
      <c r="B138" s="65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x14ac:dyDescent="0.25">
      <c r="A139" s="65"/>
      <c r="B139" s="65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x14ac:dyDescent="0.25">
      <c r="A140" s="65"/>
      <c r="B140" s="65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x14ac:dyDescent="0.25">
      <c r="A141" s="65"/>
      <c r="B141" s="65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x14ac:dyDescent="0.25">
      <c r="A142" s="65"/>
      <c r="B142" s="65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x14ac:dyDescent="0.25">
      <c r="A143" s="65"/>
      <c r="B143" s="65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</row>
    <row r="144" spans="1:18" x14ac:dyDescent="0.25">
      <c r="A144" s="65"/>
      <c r="B144" s="65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</row>
    <row r="145" spans="1:18" x14ac:dyDescent="0.25">
      <c r="A145" s="65"/>
      <c r="B145" s="65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</row>
    <row r="146" spans="1:18" x14ac:dyDescent="0.25">
      <c r="A146" s="65"/>
      <c r="B146" s="65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</row>
    <row r="147" spans="1:18" x14ac:dyDescent="0.25">
      <c r="A147" s="65"/>
      <c r="B147" s="65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</row>
    <row r="148" spans="1:18" x14ac:dyDescent="0.25">
      <c r="A148" s="65"/>
      <c r="B148" s="65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</row>
    <row r="149" spans="1:18" x14ac:dyDescent="0.25">
      <c r="A149" s="65"/>
      <c r="B149" s="65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</row>
    <row r="150" spans="1:18" x14ac:dyDescent="0.25">
      <c r="A150" s="65"/>
      <c r="B150" s="65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</row>
    <row r="151" spans="1:18" x14ac:dyDescent="0.25">
      <c r="A151" s="65"/>
      <c r="B151" s="65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</row>
    <row r="152" spans="1:18" x14ac:dyDescent="0.25">
      <c r="A152" s="65"/>
      <c r="B152" s="65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1:18" x14ac:dyDescent="0.25">
      <c r="A153" s="65"/>
      <c r="B153" s="65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1:18" x14ac:dyDescent="0.25">
      <c r="A154" s="65"/>
      <c r="B154" s="65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1:18" x14ac:dyDescent="0.25">
      <c r="A155" s="65"/>
      <c r="B155" s="65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1:18" x14ac:dyDescent="0.25">
      <c r="A156" s="65"/>
      <c r="B156" s="65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1:18" x14ac:dyDescent="0.25">
      <c r="A157" s="65"/>
      <c r="B157" s="65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1:18" x14ac:dyDescent="0.25">
      <c r="A158" s="65"/>
      <c r="B158" s="65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1:18" x14ac:dyDescent="0.25">
      <c r="A159" s="65"/>
      <c r="B159" s="65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1:18" x14ac:dyDescent="0.25">
      <c r="A160" s="65"/>
      <c r="B160" s="65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1:18" x14ac:dyDescent="0.25">
      <c r="A161" s="65"/>
      <c r="B161" s="65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1:18" x14ac:dyDescent="0.25">
      <c r="A162" s="65"/>
      <c r="B162" s="65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1:18" x14ac:dyDescent="0.25">
      <c r="A163" s="65"/>
      <c r="B163" s="65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1:18" x14ac:dyDescent="0.25">
      <c r="A164" s="65"/>
      <c r="B164" s="65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1:18" x14ac:dyDescent="0.25">
      <c r="A165" s="65"/>
      <c r="B165" s="65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1:18" x14ac:dyDescent="0.25">
      <c r="A166" s="65"/>
      <c r="B166" s="65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1:18" x14ac:dyDescent="0.25">
      <c r="A167" s="65"/>
      <c r="B167" s="65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1:18" x14ac:dyDescent="0.25">
      <c r="A168" s="65"/>
      <c r="B168" s="65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</row>
    <row r="169" spans="1:18" x14ac:dyDescent="0.25">
      <c r="A169" s="65"/>
      <c r="B169" s="65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</row>
    <row r="170" spans="1:18" x14ac:dyDescent="0.25">
      <c r="A170" s="65"/>
      <c r="B170" s="65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</row>
    <row r="171" spans="1:18" x14ac:dyDescent="0.25">
      <c r="A171" s="65"/>
      <c r="B171" s="65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1:18" x14ac:dyDescent="0.25">
      <c r="A172" s="65"/>
      <c r="B172" s="65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1:18" x14ac:dyDescent="0.25">
      <c r="A173" s="65"/>
      <c r="B173" s="65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1:18" x14ac:dyDescent="0.25">
      <c r="A174" s="65"/>
      <c r="B174" s="65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1:18" x14ac:dyDescent="0.25">
      <c r="A175" s="65"/>
      <c r="B175" s="65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1:18" x14ac:dyDescent="0.25">
      <c r="A176" s="65"/>
      <c r="B176" s="65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1:18" x14ac:dyDescent="0.25">
      <c r="A177" s="65"/>
      <c r="B177" s="65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</row>
    <row r="178" spans="1:18" x14ac:dyDescent="0.25">
      <c r="A178" s="65"/>
      <c r="B178" s="65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</row>
    <row r="179" spans="1:18" x14ac:dyDescent="0.25">
      <c r="A179" s="65"/>
      <c r="B179" s="65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</row>
    <row r="180" spans="1:18" x14ac:dyDescent="0.25">
      <c r="A180" s="65"/>
      <c r="B180" s="65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</row>
    <row r="181" spans="1:18" x14ac:dyDescent="0.25">
      <c r="A181" s="65"/>
      <c r="B181" s="65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1:18" x14ac:dyDescent="0.25">
      <c r="A182" s="65"/>
      <c r="B182" s="65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1:18" x14ac:dyDescent="0.25">
      <c r="A183" s="65"/>
      <c r="B183" s="65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1:18" x14ac:dyDescent="0.25">
      <c r="A184" s="65"/>
      <c r="B184" s="65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1:18" x14ac:dyDescent="0.25">
      <c r="A185" s="65"/>
      <c r="B185" s="65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1:18" x14ac:dyDescent="0.25">
      <c r="A186" s="65"/>
      <c r="B186" s="65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1:18" x14ac:dyDescent="0.25">
      <c r="A187" s="65"/>
      <c r="B187" s="65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1:18" x14ac:dyDescent="0.25">
      <c r="A188" s="65"/>
      <c r="B188" s="65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</row>
    <row r="189" spans="1:18" x14ac:dyDescent="0.25">
      <c r="A189" s="65"/>
      <c r="B189" s="65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1:18" x14ac:dyDescent="0.25">
      <c r="A190" s="65"/>
      <c r="B190" s="65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1:18" x14ac:dyDescent="0.25">
      <c r="A191" s="65"/>
      <c r="B191" s="65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1:18" x14ac:dyDescent="0.25">
      <c r="A192" s="65"/>
      <c r="B192" s="65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1:18" x14ac:dyDescent="0.25">
      <c r="A193" s="65"/>
      <c r="B193" s="65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1:18" x14ac:dyDescent="0.25">
      <c r="A194" s="65"/>
      <c r="B194" s="65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1:18" x14ac:dyDescent="0.25">
      <c r="A195" s="65"/>
      <c r="B195" s="65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1:18" x14ac:dyDescent="0.25">
      <c r="A196" s="65"/>
      <c r="B196" s="65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1:18" x14ac:dyDescent="0.25">
      <c r="A197" s="65"/>
      <c r="B197" s="65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1:18" x14ac:dyDescent="0.25">
      <c r="A198" s="65"/>
      <c r="B198" s="65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1:18" x14ac:dyDescent="0.25">
      <c r="A199" s="65"/>
      <c r="B199" s="65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</row>
    <row r="200" spans="1:18" x14ac:dyDescent="0.25">
      <c r="A200" s="65"/>
      <c r="B200" s="65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</row>
    <row r="201" spans="1:18" x14ac:dyDescent="0.25">
      <c r="A201" s="65"/>
      <c r="B201" s="65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</row>
    <row r="202" spans="1:18" x14ac:dyDescent="0.25">
      <c r="A202" s="65"/>
      <c r="B202" s="65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</row>
    <row r="203" spans="1:18" x14ac:dyDescent="0.25">
      <c r="A203" s="65"/>
      <c r="B203" s="65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</row>
    <row r="204" spans="1:18" x14ac:dyDescent="0.25">
      <c r="A204" s="65"/>
      <c r="B204" s="65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</row>
    <row r="205" spans="1:18" x14ac:dyDescent="0.25">
      <c r="A205" s="65"/>
      <c r="B205" s="65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</row>
    <row r="206" spans="1:18" x14ac:dyDescent="0.25">
      <c r="A206" s="65"/>
      <c r="B206" s="65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</row>
    <row r="207" spans="1:18" x14ac:dyDescent="0.25">
      <c r="A207" s="65"/>
      <c r="B207" s="65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</row>
    <row r="208" spans="1:18" x14ac:dyDescent="0.25">
      <c r="A208" s="65"/>
      <c r="B208" s="65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</row>
    <row r="209" spans="1:18" x14ac:dyDescent="0.25">
      <c r="A209" s="65"/>
      <c r="B209" s="65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</row>
    <row r="210" spans="1:18" x14ac:dyDescent="0.25">
      <c r="A210" s="65"/>
      <c r="B210" s="65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</row>
    <row r="211" spans="1:18" x14ac:dyDescent="0.25">
      <c r="A211" s="65"/>
      <c r="B211" s="65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</row>
    <row r="212" spans="1:18" x14ac:dyDescent="0.25">
      <c r="A212" s="65"/>
      <c r="B212" s="65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</row>
    <row r="213" spans="1:18" x14ac:dyDescent="0.25">
      <c r="A213" s="65"/>
      <c r="B213" s="65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</row>
    <row r="214" spans="1:18" x14ac:dyDescent="0.25">
      <c r="A214" s="65"/>
      <c r="B214" s="65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</row>
    <row r="215" spans="1:18" x14ac:dyDescent="0.25">
      <c r="A215" s="65"/>
      <c r="B215" s="65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</row>
    <row r="216" spans="1:18" x14ac:dyDescent="0.25">
      <c r="A216" s="65"/>
      <c r="B216" s="65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</row>
    <row r="217" spans="1:18" x14ac:dyDescent="0.25">
      <c r="A217" s="65"/>
      <c r="B217" s="65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</row>
    <row r="218" spans="1:18" x14ac:dyDescent="0.25">
      <c r="A218" s="65"/>
      <c r="B218" s="65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</row>
    <row r="219" spans="1:18" x14ac:dyDescent="0.25">
      <c r="A219" s="65"/>
      <c r="B219" s="65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</row>
    <row r="220" spans="1:18" x14ac:dyDescent="0.25">
      <c r="A220" s="65"/>
      <c r="B220" s="65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</row>
    <row r="221" spans="1:18" x14ac:dyDescent="0.25">
      <c r="A221" s="65"/>
      <c r="B221" s="65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</row>
    <row r="222" spans="1:18" x14ac:dyDescent="0.25">
      <c r="A222" s="65"/>
      <c r="B222" s="65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</row>
    <row r="223" spans="1:18" x14ac:dyDescent="0.25">
      <c r="A223" s="65"/>
      <c r="B223" s="65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</row>
    <row r="224" spans="1:18" x14ac:dyDescent="0.25">
      <c r="A224" s="65"/>
      <c r="B224" s="65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</row>
    <row r="225" spans="1:18" x14ac:dyDescent="0.25">
      <c r="A225" s="65"/>
      <c r="B225" s="65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</row>
    <row r="226" spans="1:18" x14ac:dyDescent="0.25">
      <c r="A226" s="65"/>
      <c r="B226" s="65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</row>
    <row r="227" spans="1:18" x14ac:dyDescent="0.25">
      <c r="A227" s="65"/>
      <c r="B227" s="65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</row>
    <row r="228" spans="1:18" x14ac:dyDescent="0.25">
      <c r="A228" s="65"/>
      <c r="B228" s="65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</row>
    <row r="229" spans="1:18" x14ac:dyDescent="0.25">
      <c r="A229" s="65"/>
      <c r="B229" s="65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</row>
    <row r="230" spans="1:18" x14ac:dyDescent="0.25">
      <c r="A230" s="65"/>
      <c r="B230" s="65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</row>
    <row r="231" spans="1:18" x14ac:dyDescent="0.25">
      <c r="A231" s="65"/>
      <c r="B231" s="65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</row>
    <row r="232" spans="1:18" x14ac:dyDescent="0.25">
      <c r="A232" s="65"/>
      <c r="B232" s="65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</row>
    <row r="233" spans="1:18" x14ac:dyDescent="0.25">
      <c r="A233" s="65"/>
      <c r="B233" s="65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</row>
    <row r="234" spans="1:18" x14ac:dyDescent="0.25">
      <c r="A234" s="65"/>
      <c r="B234" s="65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</row>
    <row r="235" spans="1:18" x14ac:dyDescent="0.25">
      <c r="A235" s="65"/>
      <c r="B235" s="65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</row>
    <row r="236" spans="1:18" x14ac:dyDescent="0.25">
      <c r="A236" s="65"/>
      <c r="B236" s="65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</row>
    <row r="237" spans="1:18" x14ac:dyDescent="0.25">
      <c r="A237" s="65"/>
      <c r="B237" s="65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</row>
    <row r="238" spans="1:18" x14ac:dyDescent="0.25">
      <c r="A238" s="65"/>
      <c r="B238" s="65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</row>
    <row r="239" spans="1:18" x14ac:dyDescent="0.25">
      <c r="A239" s="65"/>
      <c r="B239" s="65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</row>
    <row r="240" spans="1:18" x14ac:dyDescent="0.25">
      <c r="A240" s="65"/>
      <c r="B240" s="65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</row>
    <row r="241" spans="1:18" x14ac:dyDescent="0.25">
      <c r="A241" s="65"/>
      <c r="B241" s="65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</row>
    <row r="242" spans="1:18" x14ac:dyDescent="0.25">
      <c r="A242" s="65"/>
      <c r="B242" s="65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</row>
    <row r="243" spans="1:18" x14ac:dyDescent="0.25">
      <c r="A243" s="65"/>
      <c r="B243" s="65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</row>
    <row r="244" spans="1:18" x14ac:dyDescent="0.25">
      <c r="A244" s="65"/>
      <c r="B244" s="65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</row>
    <row r="245" spans="1:18" x14ac:dyDescent="0.25">
      <c r="A245" s="65"/>
      <c r="B245" s="65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</row>
    <row r="246" spans="1:18" x14ac:dyDescent="0.25">
      <c r="A246" s="65"/>
      <c r="B246" s="65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</row>
    <row r="247" spans="1:18" x14ac:dyDescent="0.25">
      <c r="A247" s="65"/>
      <c r="B247" s="65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</row>
    <row r="248" spans="1:18" x14ac:dyDescent="0.25">
      <c r="A248" s="65"/>
      <c r="B248" s="65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</row>
    <row r="249" spans="1:18" x14ac:dyDescent="0.25">
      <c r="A249" s="65"/>
      <c r="B249" s="65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</row>
    <row r="250" spans="1:18" x14ac:dyDescent="0.25">
      <c r="A250" s="65"/>
      <c r="B250" s="65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</row>
    <row r="251" spans="1:18" x14ac:dyDescent="0.25">
      <c r="A251" s="65"/>
      <c r="B251" s="65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</row>
    <row r="252" spans="1:18" x14ac:dyDescent="0.25">
      <c r="A252" s="65"/>
      <c r="B252" s="6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</row>
    <row r="253" spans="1:18" x14ac:dyDescent="0.25">
      <c r="A253" s="65"/>
      <c r="B253" s="6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</row>
    <row r="254" spans="1:18" x14ac:dyDescent="0.25">
      <c r="A254" s="65"/>
      <c r="B254" s="6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</row>
    <row r="255" spans="1:18" x14ac:dyDescent="0.25">
      <c r="A255" s="65"/>
      <c r="B255" s="6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</row>
    <row r="256" spans="1:18" x14ac:dyDescent="0.25">
      <c r="A256" s="65"/>
      <c r="B256" s="6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</row>
    <row r="257" spans="1:18" x14ac:dyDescent="0.25">
      <c r="A257" s="65"/>
      <c r="B257" s="65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</row>
    <row r="258" spans="1:18" x14ac:dyDescent="0.25">
      <c r="A258" s="65"/>
      <c r="B258" s="65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</row>
    <row r="259" spans="1:18" x14ac:dyDescent="0.25">
      <c r="A259" s="65"/>
      <c r="B259" s="65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</row>
    <row r="260" spans="1:18" x14ac:dyDescent="0.25">
      <c r="A260" s="65"/>
      <c r="B260" s="65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</row>
    <row r="261" spans="1:18" x14ac:dyDescent="0.25">
      <c r="A261" s="65"/>
      <c r="B261" s="65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</row>
    <row r="262" spans="1:18" x14ac:dyDescent="0.25">
      <c r="A262" s="65"/>
      <c r="B262" s="65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</row>
    <row r="263" spans="1:18" x14ac:dyDescent="0.25">
      <c r="A263" s="65"/>
      <c r="B263" s="65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</row>
    <row r="264" spans="1:18" x14ac:dyDescent="0.25">
      <c r="A264" s="65"/>
      <c r="B264" s="65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</row>
    <row r="265" spans="1:18" x14ac:dyDescent="0.25">
      <c r="A265" s="65"/>
      <c r="B265" s="65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</row>
    <row r="266" spans="1:18" x14ac:dyDescent="0.25">
      <c r="A266" s="65"/>
      <c r="B266" s="65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</row>
    <row r="267" spans="1:18" x14ac:dyDescent="0.25">
      <c r="A267" s="65"/>
      <c r="B267" s="65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</row>
    <row r="268" spans="1:18" x14ac:dyDescent="0.25">
      <c r="A268" s="65"/>
      <c r="B268" s="65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</row>
    <row r="269" spans="1:18" x14ac:dyDescent="0.25">
      <c r="A269" s="65"/>
      <c r="B269" s="65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</row>
    <row r="270" spans="1:18" x14ac:dyDescent="0.25">
      <c r="A270" s="65"/>
      <c r="B270" s="65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</row>
    <row r="271" spans="1:18" x14ac:dyDescent="0.25">
      <c r="A271" s="65"/>
      <c r="B271" s="65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</row>
    <row r="272" spans="1:18" x14ac:dyDescent="0.25">
      <c r="A272" s="65"/>
      <c r="B272" s="65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</row>
    <row r="273" spans="1:18" x14ac:dyDescent="0.25">
      <c r="A273" s="65"/>
      <c r="B273" s="65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</row>
    <row r="274" spans="1:18" x14ac:dyDescent="0.25">
      <c r="A274" s="65"/>
      <c r="B274" s="65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</row>
    <row r="275" spans="1:18" x14ac:dyDescent="0.25">
      <c r="A275" s="65"/>
      <c r="B275" s="65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</row>
    <row r="276" spans="1:18" x14ac:dyDescent="0.25">
      <c r="A276" s="65"/>
      <c r="B276" s="65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</row>
    <row r="277" spans="1:18" x14ac:dyDescent="0.25">
      <c r="A277" s="65"/>
      <c r="B277" s="65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</row>
    <row r="278" spans="1:18" x14ac:dyDescent="0.25">
      <c r="A278" s="65"/>
      <c r="B278" s="65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</row>
    <row r="279" spans="1:18" x14ac:dyDescent="0.25">
      <c r="A279" s="65"/>
      <c r="B279" s="65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</row>
    <row r="280" spans="1:18" x14ac:dyDescent="0.25">
      <c r="A280" s="65"/>
      <c r="B280" s="65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</row>
    <row r="281" spans="1:18" x14ac:dyDescent="0.25">
      <c r="A281" s="65"/>
      <c r="B281" s="65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</row>
    <row r="282" spans="1:18" x14ac:dyDescent="0.25">
      <c r="A282" s="65"/>
      <c r="B282" s="65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</row>
    <row r="283" spans="1:18" x14ac:dyDescent="0.25">
      <c r="A283" s="65"/>
      <c r="B283" s="65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</row>
    <row r="284" spans="1:18" x14ac:dyDescent="0.25">
      <c r="A284" s="65"/>
      <c r="B284" s="65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</row>
    <row r="285" spans="1:18" x14ac:dyDescent="0.25">
      <c r="A285" s="65"/>
      <c r="B285" s="65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</row>
    <row r="286" spans="1:18" x14ac:dyDescent="0.25">
      <c r="A286" s="65"/>
      <c r="B286" s="65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</row>
    <row r="287" spans="1:18" x14ac:dyDescent="0.25">
      <c r="A287" s="65"/>
      <c r="B287" s="65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</row>
    <row r="288" spans="1:18" x14ac:dyDescent="0.25">
      <c r="A288" s="65"/>
      <c r="B288" s="65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</row>
    <row r="289" spans="1:18" x14ac:dyDescent="0.25">
      <c r="A289" s="65"/>
      <c r="B289" s="65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</row>
    <row r="290" spans="1:18" x14ac:dyDescent="0.25">
      <c r="A290" s="65"/>
      <c r="B290" s="65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</row>
    <row r="291" spans="1:18" x14ac:dyDescent="0.25">
      <c r="A291" s="65"/>
      <c r="B291" s="65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</row>
    <row r="292" spans="1:18" x14ac:dyDescent="0.25">
      <c r="A292" s="65"/>
      <c r="B292" s="65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</row>
    <row r="293" spans="1:18" x14ac:dyDescent="0.25">
      <c r="A293" s="65"/>
      <c r="B293" s="65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</row>
    <row r="294" spans="1:18" x14ac:dyDescent="0.25">
      <c r="A294" s="65"/>
      <c r="B294" s="65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</row>
    <row r="295" spans="1:18" x14ac:dyDescent="0.25">
      <c r="A295" s="65"/>
      <c r="B295" s="65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</row>
    <row r="296" spans="1:18" x14ac:dyDescent="0.25">
      <c r="A296" s="65"/>
      <c r="B296" s="65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</row>
    <row r="297" spans="1:18" x14ac:dyDescent="0.25">
      <c r="A297" s="65"/>
      <c r="B297" s="65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</row>
    <row r="298" spans="1:18" x14ac:dyDescent="0.25">
      <c r="A298" s="65"/>
      <c r="B298" s="65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</row>
    <row r="299" spans="1:18" x14ac:dyDescent="0.25">
      <c r="A299" s="65"/>
      <c r="B299" s="65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</row>
    <row r="300" spans="1:18" x14ac:dyDescent="0.25">
      <c r="A300" s="65"/>
      <c r="B300" s="65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</row>
    <row r="301" spans="1:18" x14ac:dyDescent="0.25">
      <c r="A301" s="65"/>
      <c r="B301" s="65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</row>
    <row r="302" spans="1:18" x14ac:dyDescent="0.25">
      <c r="A302" s="65"/>
      <c r="B302" s="65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</row>
    <row r="303" spans="1:18" x14ac:dyDescent="0.25">
      <c r="A303" s="65"/>
      <c r="B303" s="65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</row>
    <row r="304" spans="1:18" x14ac:dyDescent="0.25">
      <c r="A304" s="65"/>
      <c r="B304" s="65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</row>
    <row r="305" spans="1:18" x14ac:dyDescent="0.25">
      <c r="A305" s="65"/>
      <c r="B305" s="65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</row>
    <row r="306" spans="1:18" x14ac:dyDescent="0.25">
      <c r="A306" s="65"/>
      <c r="B306" s="65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</row>
    <row r="307" spans="1:18" x14ac:dyDescent="0.25">
      <c r="A307" s="65"/>
      <c r="B307" s="65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</row>
    <row r="308" spans="1:18" x14ac:dyDescent="0.25">
      <c r="A308" s="65"/>
      <c r="B308" s="65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</row>
    <row r="309" spans="1:18" x14ac:dyDescent="0.25">
      <c r="A309" s="65"/>
      <c r="B309" s="65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</row>
    <row r="310" spans="1:18" x14ac:dyDescent="0.25">
      <c r="A310" s="65"/>
      <c r="B310" s="65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</row>
    <row r="311" spans="1:18" x14ac:dyDescent="0.25">
      <c r="A311" s="65"/>
      <c r="B311" s="65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</row>
    <row r="312" spans="1:18" x14ac:dyDescent="0.25">
      <c r="A312" s="65"/>
      <c r="B312" s="65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</row>
    <row r="313" spans="1:18" x14ac:dyDescent="0.25">
      <c r="A313" s="65"/>
      <c r="B313" s="65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</row>
    <row r="314" spans="1:18" x14ac:dyDescent="0.25">
      <c r="A314" s="65"/>
      <c r="B314" s="65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</row>
    <row r="315" spans="1:18" x14ac:dyDescent="0.25">
      <c r="A315" s="65"/>
      <c r="B315" s="65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</row>
    <row r="316" spans="1:18" x14ac:dyDescent="0.25">
      <c r="A316" s="65"/>
      <c r="B316" s="65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</row>
    <row r="317" spans="1:18" x14ac:dyDescent="0.25">
      <c r="A317" s="65"/>
      <c r="B317" s="65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</row>
    <row r="318" spans="1:18" x14ac:dyDescent="0.25">
      <c r="A318" s="65"/>
      <c r="B318" s="65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</row>
    <row r="319" spans="1:18" x14ac:dyDescent="0.25">
      <c r="A319" s="65"/>
      <c r="B319" s="65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</row>
    <row r="320" spans="1:18" x14ac:dyDescent="0.25">
      <c r="A320" s="65"/>
      <c r="B320" s="65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</row>
    <row r="321" spans="1:18" x14ac:dyDescent="0.25">
      <c r="A321" s="65"/>
      <c r="B321" s="65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</row>
    <row r="322" spans="1:18" x14ac:dyDescent="0.25">
      <c r="A322" s="65"/>
      <c r="B322" s="65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</row>
    <row r="323" spans="1:18" x14ac:dyDescent="0.25">
      <c r="A323" s="65"/>
      <c r="B323" s="65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</row>
    <row r="324" spans="1:18" x14ac:dyDescent="0.25">
      <c r="A324" s="65"/>
      <c r="B324" s="65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</row>
    <row r="325" spans="1:18" x14ac:dyDescent="0.25">
      <c r="A325" s="65"/>
      <c r="B325" s="65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</row>
    <row r="326" spans="1:18" x14ac:dyDescent="0.25">
      <c r="A326" s="65"/>
      <c r="B326" s="65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</row>
    <row r="327" spans="1:18" x14ac:dyDescent="0.25">
      <c r="A327" s="65"/>
      <c r="B327" s="65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</row>
    <row r="328" spans="1:18" x14ac:dyDescent="0.25">
      <c r="A328" s="65"/>
      <c r="B328" s="65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</row>
    <row r="329" spans="1:18" x14ac:dyDescent="0.25">
      <c r="A329" s="65"/>
      <c r="B329" s="65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</row>
    <row r="330" spans="1:18" x14ac:dyDescent="0.25">
      <c r="A330" s="65"/>
      <c r="B330" s="65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</row>
    <row r="331" spans="1:18" x14ac:dyDescent="0.25">
      <c r="A331" s="65"/>
      <c r="B331" s="65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</row>
    <row r="332" spans="1:18" x14ac:dyDescent="0.25">
      <c r="A332" s="65"/>
      <c r="B332" s="65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</row>
    <row r="333" spans="1:18" x14ac:dyDescent="0.25">
      <c r="A333" s="65"/>
      <c r="B333" s="65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</row>
    <row r="334" spans="1:18" x14ac:dyDescent="0.25">
      <c r="A334" s="65"/>
      <c r="B334" s="65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</row>
    <row r="335" spans="1:18" x14ac:dyDescent="0.25">
      <c r="A335" s="65"/>
      <c r="B335" s="65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</row>
    <row r="336" spans="1:18" x14ac:dyDescent="0.25">
      <c r="A336" s="65"/>
      <c r="B336" s="65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</row>
    <row r="337" spans="1:18" x14ac:dyDescent="0.25">
      <c r="A337" s="65"/>
      <c r="B337" s="65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</row>
    <row r="338" spans="1:18" x14ac:dyDescent="0.25">
      <c r="A338" s="65"/>
      <c r="B338" s="65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</row>
    <row r="339" spans="1:18" x14ac:dyDescent="0.25">
      <c r="A339" s="65"/>
      <c r="B339" s="65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</row>
    <row r="340" spans="1:18" x14ac:dyDescent="0.25">
      <c r="A340" s="65"/>
      <c r="B340" s="65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</row>
    <row r="341" spans="1:18" x14ac:dyDescent="0.25">
      <c r="A341" s="65"/>
      <c r="B341" s="65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</row>
    <row r="342" spans="1:18" x14ac:dyDescent="0.25">
      <c r="A342" s="65"/>
      <c r="B342" s="65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</row>
    <row r="343" spans="1:18" x14ac:dyDescent="0.25">
      <c r="A343" s="65"/>
      <c r="B343" s="65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</row>
    <row r="344" spans="1:18" x14ac:dyDescent="0.25">
      <c r="A344" s="65"/>
      <c r="B344" s="65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</row>
    <row r="345" spans="1:18" x14ac:dyDescent="0.25">
      <c r="A345" s="65"/>
      <c r="B345" s="65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</row>
    <row r="346" spans="1:18" x14ac:dyDescent="0.25">
      <c r="A346" s="65"/>
      <c r="B346" s="65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</row>
    <row r="347" spans="1:18" x14ac:dyDescent="0.25">
      <c r="A347" s="65"/>
      <c r="B347" s="65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</row>
    <row r="348" spans="1:18" x14ac:dyDescent="0.25">
      <c r="A348" s="65"/>
      <c r="B348" s="65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</row>
    <row r="349" spans="1:18" x14ac:dyDescent="0.25">
      <c r="A349" s="65"/>
      <c r="B349" s="65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</row>
    <row r="350" spans="1:18" x14ac:dyDescent="0.25">
      <c r="A350" s="65"/>
      <c r="B350" s="65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</row>
    <row r="351" spans="1:18" x14ac:dyDescent="0.25">
      <c r="A351" s="65"/>
      <c r="B351" s="65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</row>
    <row r="352" spans="1:18" x14ac:dyDescent="0.25">
      <c r="A352" s="65"/>
      <c r="B352" s="65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</row>
    <row r="353" spans="1:18" x14ac:dyDescent="0.25">
      <c r="A353" s="65"/>
      <c r="B353" s="65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</row>
    <row r="354" spans="1:18" x14ac:dyDescent="0.25">
      <c r="A354" s="65"/>
      <c r="B354" s="65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</row>
    <row r="355" spans="1:18" x14ac:dyDescent="0.25">
      <c r="A355" s="65"/>
      <c r="B355" s="65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</row>
    <row r="356" spans="1:18" x14ac:dyDescent="0.25">
      <c r="A356" s="65"/>
      <c r="B356" s="65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</row>
    <row r="357" spans="1:18" x14ac:dyDescent="0.25">
      <c r="A357" s="65"/>
      <c r="B357" s="65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</row>
    <row r="358" spans="1:18" x14ac:dyDescent="0.25">
      <c r="A358" s="65"/>
      <c r="B358" s="65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</row>
    <row r="359" spans="1:18" x14ac:dyDescent="0.25">
      <c r="A359" s="65"/>
      <c r="B359" s="65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</row>
    <row r="360" spans="1:18" x14ac:dyDescent="0.25">
      <c r="A360" s="65"/>
      <c r="B360" s="65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</row>
    <row r="361" spans="1:18" x14ac:dyDescent="0.25">
      <c r="A361" s="65"/>
      <c r="B361" s="65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</row>
    <row r="362" spans="1:18" x14ac:dyDescent="0.25">
      <c r="A362" s="65"/>
      <c r="B362" s="65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</row>
    <row r="363" spans="1:18" x14ac:dyDescent="0.25">
      <c r="A363" s="65"/>
      <c r="B363" s="65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</row>
    <row r="364" spans="1:18" x14ac:dyDescent="0.25">
      <c r="A364" s="65"/>
      <c r="B364" s="65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</row>
    <row r="365" spans="1:18" x14ac:dyDescent="0.25">
      <c r="A365" s="65"/>
      <c r="B365" s="65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</row>
    <row r="366" spans="1:18" x14ac:dyDescent="0.25">
      <c r="A366" s="65"/>
      <c r="B366" s="65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</row>
    <row r="367" spans="1:18" x14ac:dyDescent="0.25">
      <c r="A367" s="65"/>
      <c r="B367" s="65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</row>
    <row r="368" spans="1:18" x14ac:dyDescent="0.25">
      <c r="A368" s="65"/>
      <c r="B368" s="65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</row>
    <row r="369" spans="1:18" x14ac:dyDescent="0.25">
      <c r="A369" s="65"/>
      <c r="B369" s="65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</row>
    <row r="370" spans="1:18" x14ac:dyDescent="0.25">
      <c r="A370" s="65"/>
      <c r="B370" s="65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</row>
    <row r="371" spans="1:18" x14ac:dyDescent="0.25">
      <c r="A371" s="65"/>
      <c r="B371" s="65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</row>
    <row r="372" spans="1:18" x14ac:dyDescent="0.25">
      <c r="A372" s="65"/>
      <c r="B372" s="65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</row>
    <row r="373" spans="1:18" x14ac:dyDescent="0.25">
      <c r="A373" s="65"/>
      <c r="B373" s="65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</row>
    <row r="374" spans="1:18" x14ac:dyDescent="0.25">
      <c r="A374" s="65"/>
      <c r="B374" s="65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</row>
    <row r="375" spans="1:18" x14ac:dyDescent="0.25">
      <c r="A375" s="65"/>
      <c r="B375" s="65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</row>
    <row r="376" spans="1:18" x14ac:dyDescent="0.25">
      <c r="A376" s="65"/>
      <c r="B376" s="65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</row>
    <row r="377" spans="1:18" x14ac:dyDescent="0.25">
      <c r="A377" s="65"/>
      <c r="B377" s="65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</row>
    <row r="378" spans="1:18" x14ac:dyDescent="0.25">
      <c r="A378" s="65"/>
      <c r="B378" s="65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</row>
    <row r="379" spans="1:18" x14ac:dyDescent="0.25">
      <c r="A379" s="65"/>
      <c r="B379" s="65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</row>
    <row r="380" spans="1:18" x14ac:dyDescent="0.25">
      <c r="A380" s="65"/>
      <c r="B380" s="65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 filterMode="1"/>
  <dimension ref="A1:AA726"/>
  <sheetViews>
    <sheetView topLeftCell="A715" workbookViewId="0">
      <selection activeCell="H745" sqref="H745"/>
    </sheetView>
  </sheetViews>
  <sheetFormatPr baseColWidth="10" defaultRowHeight="15" x14ac:dyDescent="0.25"/>
  <sheetData>
    <row r="1" spans="1:27" x14ac:dyDescent="0.25">
      <c r="G1" t="s">
        <v>360</v>
      </c>
      <c r="H1" t="s">
        <v>301</v>
      </c>
      <c r="I1" t="s">
        <v>372</v>
      </c>
    </row>
    <row r="2" spans="1:27" ht="30" x14ac:dyDescent="0.25">
      <c r="A2" s="1">
        <v>2458341.1019000001</v>
      </c>
      <c r="B2" s="1" t="s">
        <v>76</v>
      </c>
      <c r="C2" s="1">
        <v>11.45</v>
      </c>
      <c r="D2" s="1">
        <v>0.06</v>
      </c>
      <c r="E2" s="1" t="s">
        <v>1</v>
      </c>
      <c r="F2" s="1" t="s">
        <v>4</v>
      </c>
      <c r="G2" s="1">
        <f>+A2-2450000</f>
        <v>8341.1019000001252</v>
      </c>
      <c r="H2" s="1">
        <f>+C2</f>
        <v>11.45</v>
      </c>
      <c r="I2" s="1" t="str">
        <f>+F2</f>
        <v>OCN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30" hidden="1" x14ac:dyDescent="0.25">
      <c r="A3" s="1">
        <v>2458342.3944399999</v>
      </c>
      <c r="B3" s="1" t="s">
        <v>293</v>
      </c>
      <c r="C3" s="1">
        <v>11.382999999999999</v>
      </c>
      <c r="D3" s="1">
        <v>1.2E-2</v>
      </c>
      <c r="E3" s="1" t="s">
        <v>1</v>
      </c>
      <c r="F3" s="1" t="s">
        <v>285</v>
      </c>
      <c r="G3" s="1">
        <f t="shared" ref="G3:G66" si="0">+A3-2450000</f>
        <v>8342.3944399999455</v>
      </c>
      <c r="H3" s="1">
        <f t="shared" ref="H3:H66" si="1">+C3</f>
        <v>11.382999999999999</v>
      </c>
      <c r="I3" s="1" t="str">
        <f t="shared" ref="I3:I66" si="2">+F3</f>
        <v>VMT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30" hidden="1" x14ac:dyDescent="0.25">
      <c r="A4" s="1">
        <v>2458342.3952600001</v>
      </c>
      <c r="B4" s="1" t="s">
        <v>293</v>
      </c>
      <c r="C4" s="1">
        <v>11.356</v>
      </c>
      <c r="D4" s="1">
        <v>1.2E-2</v>
      </c>
      <c r="E4" s="1" t="s">
        <v>1</v>
      </c>
      <c r="F4" s="1" t="s">
        <v>285</v>
      </c>
      <c r="G4" s="1">
        <f t="shared" si="0"/>
        <v>8342.3952600001357</v>
      </c>
      <c r="H4" s="1">
        <f t="shared" si="1"/>
        <v>11.356</v>
      </c>
      <c r="I4" s="1" t="str">
        <f t="shared" si="2"/>
        <v>VMT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30" hidden="1" x14ac:dyDescent="0.25">
      <c r="A5" s="1">
        <v>2458343.5090200002</v>
      </c>
      <c r="B5" s="1" t="s">
        <v>77</v>
      </c>
      <c r="C5" s="1">
        <v>11.481999999999999</v>
      </c>
      <c r="D5" s="1">
        <v>8.9999999999999993E-3</v>
      </c>
      <c r="E5" s="1" t="s">
        <v>1</v>
      </c>
      <c r="F5" s="1" t="s">
        <v>94</v>
      </c>
      <c r="G5" s="1">
        <f t="shared" si="0"/>
        <v>8343.5090200002305</v>
      </c>
      <c r="H5" s="1">
        <f t="shared" si="1"/>
        <v>11.481999999999999</v>
      </c>
      <c r="I5" s="1" t="str">
        <f t="shared" si="2"/>
        <v>HMB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30" hidden="1" x14ac:dyDescent="0.25">
      <c r="A6" s="1">
        <v>2458343.5094099999</v>
      </c>
      <c r="B6" s="1" t="s">
        <v>77</v>
      </c>
      <c r="C6" s="1">
        <v>11.468</v>
      </c>
      <c r="D6" s="1">
        <v>8.9999999999999993E-3</v>
      </c>
      <c r="E6" s="1" t="s">
        <v>1</v>
      </c>
      <c r="F6" s="1" t="s">
        <v>94</v>
      </c>
      <c r="G6" s="1">
        <f t="shared" si="0"/>
        <v>8343.5094099999405</v>
      </c>
      <c r="H6" s="1">
        <f t="shared" si="1"/>
        <v>11.468</v>
      </c>
      <c r="I6" s="1" t="str">
        <f t="shared" si="2"/>
        <v>HMB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30" hidden="1" x14ac:dyDescent="0.25">
      <c r="A7" s="1">
        <v>2458343.5318999998</v>
      </c>
      <c r="B7" s="1" t="s">
        <v>77</v>
      </c>
      <c r="C7" s="1">
        <v>11.48</v>
      </c>
      <c r="D7" s="1">
        <v>0.01</v>
      </c>
      <c r="E7" s="1" t="s">
        <v>1</v>
      </c>
      <c r="F7" s="1" t="s">
        <v>285</v>
      </c>
      <c r="G7" s="1">
        <f t="shared" si="0"/>
        <v>8343.5318999998271</v>
      </c>
      <c r="H7" s="1">
        <f t="shared" si="1"/>
        <v>11.48</v>
      </c>
      <c r="I7" s="1" t="str">
        <f t="shared" si="2"/>
        <v>VMT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30" hidden="1" x14ac:dyDescent="0.25">
      <c r="A8" s="1">
        <v>2458343.5326999999</v>
      </c>
      <c r="B8" s="1" t="s">
        <v>77</v>
      </c>
      <c r="C8" s="1">
        <v>11.464</v>
      </c>
      <c r="D8" s="1">
        <v>0.01</v>
      </c>
      <c r="E8" s="1" t="s">
        <v>1</v>
      </c>
      <c r="F8" s="1" t="s">
        <v>285</v>
      </c>
      <c r="G8" s="1">
        <f t="shared" si="0"/>
        <v>8343.5326999998651</v>
      </c>
      <c r="H8" s="1">
        <f t="shared" si="1"/>
        <v>11.464</v>
      </c>
      <c r="I8" s="1" t="str">
        <f t="shared" si="2"/>
        <v>VMT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30" x14ac:dyDescent="0.25">
      <c r="A9" s="1">
        <v>2458343.6637599999</v>
      </c>
      <c r="B9" s="1" t="s">
        <v>77</v>
      </c>
      <c r="C9" s="1">
        <v>11.544</v>
      </c>
      <c r="D9" s="1">
        <v>4.0000000000000001E-3</v>
      </c>
      <c r="E9" s="1" t="s">
        <v>1</v>
      </c>
      <c r="F9" s="1" t="s">
        <v>295</v>
      </c>
      <c r="G9" s="1">
        <f t="shared" si="0"/>
        <v>8343.6637599999085</v>
      </c>
      <c r="H9" s="1">
        <f t="shared" si="1"/>
        <v>11.544</v>
      </c>
      <c r="I9" s="1" t="str">
        <f t="shared" si="2"/>
        <v>HJW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30" x14ac:dyDescent="0.25">
      <c r="A10" s="1">
        <v>2458343.6678499999</v>
      </c>
      <c r="B10" s="1" t="s">
        <v>77</v>
      </c>
      <c r="C10" s="1">
        <v>11.537000000000001</v>
      </c>
      <c r="D10" s="1">
        <v>5.0000000000000001E-3</v>
      </c>
      <c r="E10" s="1" t="s">
        <v>1</v>
      </c>
      <c r="F10" s="1" t="s">
        <v>295</v>
      </c>
      <c r="G10" s="1">
        <f t="shared" si="0"/>
        <v>8343.6678499998525</v>
      </c>
      <c r="H10" s="1">
        <f t="shared" si="1"/>
        <v>11.537000000000001</v>
      </c>
      <c r="I10" s="1" t="str">
        <f t="shared" si="2"/>
        <v>HJW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30" x14ac:dyDescent="0.25">
      <c r="A11" s="1">
        <v>2458343.6719499999</v>
      </c>
      <c r="B11" s="1" t="s">
        <v>77</v>
      </c>
      <c r="C11" s="1">
        <v>11.542999999999999</v>
      </c>
      <c r="D11" s="1">
        <v>5.0000000000000001E-3</v>
      </c>
      <c r="E11" s="1" t="s">
        <v>1</v>
      </c>
      <c r="F11" s="1" t="s">
        <v>295</v>
      </c>
      <c r="G11" s="1">
        <f t="shared" si="0"/>
        <v>8343.6719499998726</v>
      </c>
      <c r="H11" s="1">
        <f t="shared" si="1"/>
        <v>11.542999999999999</v>
      </c>
      <c r="I11" s="1" t="str">
        <f t="shared" si="2"/>
        <v>HJW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30" x14ac:dyDescent="0.25">
      <c r="A12" s="1">
        <v>2458343.6760499999</v>
      </c>
      <c r="B12" s="1" t="s">
        <v>77</v>
      </c>
      <c r="C12" s="1">
        <v>11.542</v>
      </c>
      <c r="D12" s="1">
        <v>5.0000000000000001E-3</v>
      </c>
      <c r="E12" s="1" t="s">
        <v>1</v>
      </c>
      <c r="F12" s="1" t="s">
        <v>295</v>
      </c>
      <c r="G12" s="1">
        <f t="shared" si="0"/>
        <v>8343.6760499998927</v>
      </c>
      <c r="H12" s="1">
        <f t="shared" si="1"/>
        <v>11.542</v>
      </c>
      <c r="I12" s="1" t="str">
        <f t="shared" si="2"/>
        <v>HJW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30" x14ac:dyDescent="0.25">
      <c r="A13" s="1">
        <v>2458343.6801499999</v>
      </c>
      <c r="B13" s="1" t="s">
        <v>77</v>
      </c>
      <c r="C13" s="1">
        <v>11.544</v>
      </c>
      <c r="D13" s="1">
        <v>6.0000000000000001E-3</v>
      </c>
      <c r="E13" s="1" t="s">
        <v>1</v>
      </c>
      <c r="F13" s="1" t="s">
        <v>295</v>
      </c>
      <c r="G13" s="1">
        <f t="shared" si="0"/>
        <v>8343.6801499999128</v>
      </c>
      <c r="H13" s="1">
        <f t="shared" si="1"/>
        <v>11.544</v>
      </c>
      <c r="I13" s="1" t="str">
        <f t="shared" si="2"/>
        <v>HJW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30" x14ac:dyDescent="0.25">
      <c r="A14" s="1">
        <v>2458343.6842399999</v>
      </c>
      <c r="B14" s="1" t="s">
        <v>77</v>
      </c>
      <c r="C14" s="1">
        <v>11.542</v>
      </c>
      <c r="D14" s="1">
        <v>1.7000000000000001E-2</v>
      </c>
      <c r="E14" s="1" t="s">
        <v>1</v>
      </c>
      <c r="F14" s="1" t="s">
        <v>295</v>
      </c>
      <c r="G14" s="1">
        <f t="shared" si="0"/>
        <v>8343.6842399998568</v>
      </c>
      <c r="H14" s="1">
        <f t="shared" si="1"/>
        <v>11.542</v>
      </c>
      <c r="I14" s="1" t="str">
        <f t="shared" si="2"/>
        <v>HJW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30" x14ac:dyDescent="0.25">
      <c r="A15" s="1">
        <v>2458343.6883399999</v>
      </c>
      <c r="B15" s="1" t="s">
        <v>77</v>
      </c>
      <c r="C15" s="1">
        <v>11.54</v>
      </c>
      <c r="D15" s="1">
        <v>5.0000000000000001E-3</v>
      </c>
      <c r="E15" s="1" t="s">
        <v>1</v>
      </c>
      <c r="F15" s="1" t="s">
        <v>295</v>
      </c>
      <c r="G15" s="1">
        <f t="shared" si="0"/>
        <v>8343.6883399998769</v>
      </c>
      <c r="H15" s="1">
        <f t="shared" si="1"/>
        <v>11.54</v>
      </c>
      <c r="I15" s="1" t="str">
        <f t="shared" si="2"/>
        <v>HJW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30" x14ac:dyDescent="0.25">
      <c r="A16" s="1">
        <v>2458343.6924299998</v>
      </c>
      <c r="B16" s="1" t="s">
        <v>77</v>
      </c>
      <c r="C16" s="1">
        <v>11.539</v>
      </c>
      <c r="D16" s="1">
        <v>4.0000000000000001E-3</v>
      </c>
      <c r="E16" s="1" t="s">
        <v>1</v>
      </c>
      <c r="F16" s="1" t="s">
        <v>295</v>
      </c>
      <c r="G16" s="1">
        <f t="shared" si="0"/>
        <v>8343.6924299998209</v>
      </c>
      <c r="H16" s="1">
        <f t="shared" si="1"/>
        <v>11.539</v>
      </c>
      <c r="I16" s="1" t="str">
        <f t="shared" si="2"/>
        <v>HJW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30" x14ac:dyDescent="0.25">
      <c r="A17" s="1">
        <v>2458343.6965299998</v>
      </c>
      <c r="B17" s="1" t="s">
        <v>77</v>
      </c>
      <c r="C17" s="1">
        <v>11.545</v>
      </c>
      <c r="D17" s="1">
        <v>5.0000000000000001E-3</v>
      </c>
      <c r="E17" s="1" t="s">
        <v>1</v>
      </c>
      <c r="F17" s="1" t="s">
        <v>295</v>
      </c>
      <c r="G17" s="1">
        <f t="shared" si="0"/>
        <v>8343.696529999841</v>
      </c>
      <c r="H17" s="1">
        <f t="shared" si="1"/>
        <v>11.545</v>
      </c>
      <c r="I17" s="1" t="str">
        <f t="shared" si="2"/>
        <v>HJW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30" x14ac:dyDescent="0.25">
      <c r="A18" s="1">
        <v>2458343.7006199998</v>
      </c>
      <c r="B18" s="1" t="s">
        <v>77</v>
      </c>
      <c r="C18" s="1">
        <v>11.544</v>
      </c>
      <c r="D18" s="1">
        <v>5.0000000000000001E-3</v>
      </c>
      <c r="E18" s="1" t="s">
        <v>1</v>
      </c>
      <c r="F18" s="1" t="s">
        <v>295</v>
      </c>
      <c r="G18" s="1">
        <f t="shared" si="0"/>
        <v>8343.700619999785</v>
      </c>
      <c r="H18" s="1">
        <f t="shared" si="1"/>
        <v>11.544</v>
      </c>
      <c r="I18" s="1" t="str">
        <f t="shared" si="2"/>
        <v>HJW</v>
      </c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30" x14ac:dyDescent="0.25">
      <c r="A19" s="1">
        <v>2458343.7047199998</v>
      </c>
      <c r="B19" s="1" t="s">
        <v>77</v>
      </c>
      <c r="C19" s="1">
        <v>11.534000000000001</v>
      </c>
      <c r="D19" s="1">
        <v>5.0000000000000001E-3</v>
      </c>
      <c r="E19" s="1" t="s">
        <v>1</v>
      </c>
      <c r="F19" s="1" t="s">
        <v>295</v>
      </c>
      <c r="G19" s="1">
        <f t="shared" si="0"/>
        <v>8343.7047199998051</v>
      </c>
      <c r="H19" s="1">
        <f t="shared" si="1"/>
        <v>11.534000000000001</v>
      </c>
      <c r="I19" s="1" t="str">
        <f t="shared" si="2"/>
        <v>HJW</v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30" x14ac:dyDescent="0.25">
      <c r="A20" s="1">
        <v>2458343.7088199998</v>
      </c>
      <c r="B20" s="1" t="s">
        <v>77</v>
      </c>
      <c r="C20" s="1">
        <v>11.54</v>
      </c>
      <c r="D20" s="1">
        <v>5.0000000000000001E-3</v>
      </c>
      <c r="E20" s="1" t="s">
        <v>1</v>
      </c>
      <c r="F20" s="1" t="s">
        <v>295</v>
      </c>
      <c r="G20" s="1">
        <f t="shared" si="0"/>
        <v>8343.7088199998252</v>
      </c>
      <c r="H20" s="1">
        <f t="shared" si="1"/>
        <v>11.54</v>
      </c>
      <c r="I20" s="1" t="str">
        <f t="shared" si="2"/>
        <v>HJW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30" x14ac:dyDescent="0.25">
      <c r="A21" s="1">
        <v>2458343.7129199998</v>
      </c>
      <c r="B21" s="1" t="s">
        <v>77</v>
      </c>
      <c r="C21" s="1">
        <v>11.541</v>
      </c>
      <c r="D21" s="1">
        <v>5.0000000000000001E-3</v>
      </c>
      <c r="E21" s="1" t="s">
        <v>1</v>
      </c>
      <c r="F21" s="1" t="s">
        <v>295</v>
      </c>
      <c r="G21" s="1">
        <f t="shared" si="0"/>
        <v>8343.7129199998453</v>
      </c>
      <c r="H21" s="1">
        <f t="shared" si="1"/>
        <v>11.541</v>
      </c>
      <c r="I21" s="1" t="str">
        <f t="shared" si="2"/>
        <v>HJW</v>
      </c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30" x14ac:dyDescent="0.25">
      <c r="A22" s="1">
        <v>2458343.7170099998</v>
      </c>
      <c r="B22" s="1" t="s">
        <v>77</v>
      </c>
      <c r="C22" s="1">
        <v>11.541</v>
      </c>
      <c r="D22" s="1">
        <v>5.0000000000000001E-3</v>
      </c>
      <c r="E22" s="1" t="s">
        <v>1</v>
      </c>
      <c r="F22" s="1" t="s">
        <v>295</v>
      </c>
      <c r="G22" s="1">
        <f t="shared" si="0"/>
        <v>8343.7170099997893</v>
      </c>
      <c r="H22" s="1">
        <f t="shared" si="1"/>
        <v>11.541</v>
      </c>
      <c r="I22" s="1" t="str">
        <f t="shared" si="2"/>
        <v>HJW</v>
      </c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30" x14ac:dyDescent="0.25">
      <c r="A23" s="1">
        <v>2458343.7211099998</v>
      </c>
      <c r="B23" s="1" t="s">
        <v>77</v>
      </c>
      <c r="C23" s="1">
        <v>11.542</v>
      </c>
      <c r="D23" s="1">
        <v>6.0000000000000001E-3</v>
      </c>
      <c r="E23" s="1" t="s">
        <v>1</v>
      </c>
      <c r="F23" s="1" t="s">
        <v>295</v>
      </c>
      <c r="G23" s="1">
        <f t="shared" si="0"/>
        <v>8343.7211099998094</v>
      </c>
      <c r="H23" s="1">
        <f t="shared" si="1"/>
        <v>11.542</v>
      </c>
      <c r="I23" s="1" t="str">
        <f t="shared" si="2"/>
        <v>HJW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30" hidden="1" x14ac:dyDescent="0.25">
      <c r="A24" s="1">
        <v>2458344.53205</v>
      </c>
      <c r="B24" s="1" t="s">
        <v>96</v>
      </c>
      <c r="C24" s="1">
        <v>11.468</v>
      </c>
      <c r="D24" s="1">
        <v>1.9E-2</v>
      </c>
      <c r="E24" s="1" t="s">
        <v>1</v>
      </c>
      <c r="F24" s="1" t="s">
        <v>285</v>
      </c>
      <c r="G24" s="1">
        <f t="shared" si="0"/>
        <v>8344.532050000038</v>
      </c>
      <c r="H24" s="1">
        <f t="shared" si="1"/>
        <v>11.468</v>
      </c>
      <c r="I24" s="1" t="str">
        <f t="shared" si="2"/>
        <v>VMT</v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30" hidden="1" x14ac:dyDescent="0.25">
      <c r="A25" s="1">
        <v>2458344.5328799998</v>
      </c>
      <c r="B25" s="1" t="s">
        <v>96</v>
      </c>
      <c r="C25" s="1">
        <v>11.488</v>
      </c>
      <c r="D25" s="1">
        <v>1.7000000000000001E-2</v>
      </c>
      <c r="E25" s="1" t="s">
        <v>1</v>
      </c>
      <c r="F25" s="1" t="s">
        <v>285</v>
      </c>
      <c r="G25" s="1">
        <f t="shared" si="0"/>
        <v>8344.5328799998388</v>
      </c>
      <c r="H25" s="1">
        <f t="shared" si="1"/>
        <v>11.488</v>
      </c>
      <c r="I25" s="1" t="str">
        <f t="shared" si="2"/>
        <v>VMT</v>
      </c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30" x14ac:dyDescent="0.25">
      <c r="A26" s="1">
        <v>2458344.6083200001</v>
      </c>
      <c r="B26" s="1" t="s">
        <v>96</v>
      </c>
      <c r="C26" s="1">
        <v>11.542</v>
      </c>
      <c r="D26" s="1">
        <v>3.3000000000000002E-2</v>
      </c>
      <c r="E26" s="1" t="s">
        <v>1</v>
      </c>
      <c r="F26" s="1" t="s">
        <v>97</v>
      </c>
      <c r="G26" s="1">
        <f t="shared" si="0"/>
        <v>8344.6083200001158</v>
      </c>
      <c r="H26" s="1">
        <f t="shared" si="1"/>
        <v>11.542</v>
      </c>
      <c r="I26" s="1" t="str">
        <f t="shared" si="2"/>
        <v>SDM</v>
      </c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30" x14ac:dyDescent="0.25">
      <c r="A27" s="1">
        <v>2458345.4008300002</v>
      </c>
      <c r="B27" s="1" t="s">
        <v>96</v>
      </c>
      <c r="C27" s="1">
        <v>11.382</v>
      </c>
      <c r="D27" s="1">
        <v>7.0000000000000001E-3</v>
      </c>
      <c r="E27" s="1" t="s">
        <v>1</v>
      </c>
      <c r="F27" s="1" t="s">
        <v>98</v>
      </c>
      <c r="G27" s="1">
        <f t="shared" si="0"/>
        <v>8345.4008300001733</v>
      </c>
      <c r="H27" s="1">
        <f t="shared" si="1"/>
        <v>11.382</v>
      </c>
      <c r="I27" s="1" t="str">
        <f t="shared" si="2"/>
        <v>DFS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30" x14ac:dyDescent="0.25">
      <c r="A28" s="1">
        <v>2458345.4024299998</v>
      </c>
      <c r="B28" s="1" t="s">
        <v>96</v>
      </c>
      <c r="C28" s="1">
        <v>11.394</v>
      </c>
      <c r="D28" s="1">
        <v>7.0000000000000001E-3</v>
      </c>
      <c r="E28" s="1" t="s">
        <v>1</v>
      </c>
      <c r="F28" s="1" t="s">
        <v>98</v>
      </c>
      <c r="G28" s="1">
        <f t="shared" si="0"/>
        <v>8345.4024299997836</v>
      </c>
      <c r="H28" s="1">
        <f t="shared" si="1"/>
        <v>11.394</v>
      </c>
      <c r="I28" s="1" t="str">
        <f t="shared" si="2"/>
        <v>DFS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30" x14ac:dyDescent="0.25">
      <c r="A29" s="1">
        <v>2458345.4040399999</v>
      </c>
      <c r="B29" s="1" t="s">
        <v>96</v>
      </c>
      <c r="C29" s="1">
        <v>11.411</v>
      </c>
      <c r="D29" s="1">
        <v>7.0000000000000001E-3</v>
      </c>
      <c r="E29" s="1" t="s">
        <v>1</v>
      </c>
      <c r="F29" s="1" t="s">
        <v>98</v>
      </c>
      <c r="G29" s="1">
        <f t="shared" si="0"/>
        <v>8345.4040399999358</v>
      </c>
      <c r="H29" s="1">
        <f t="shared" si="1"/>
        <v>11.411</v>
      </c>
      <c r="I29" s="1" t="str">
        <f t="shared" si="2"/>
        <v>DFS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30" x14ac:dyDescent="0.25">
      <c r="A30" s="1">
        <v>2458345.40564</v>
      </c>
      <c r="B30" s="1" t="s">
        <v>96</v>
      </c>
      <c r="C30" s="1">
        <v>11.436999999999999</v>
      </c>
      <c r="D30" s="1">
        <v>6.0000000000000001E-3</v>
      </c>
      <c r="E30" s="1" t="s">
        <v>1</v>
      </c>
      <c r="F30" s="1" t="s">
        <v>98</v>
      </c>
      <c r="G30" s="1">
        <f t="shared" si="0"/>
        <v>8345.4056400000118</v>
      </c>
      <c r="H30" s="1">
        <f t="shared" si="1"/>
        <v>11.436999999999999</v>
      </c>
      <c r="I30" s="1" t="str">
        <f t="shared" si="2"/>
        <v>DFS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30" x14ac:dyDescent="0.25">
      <c r="A31" s="1">
        <v>2458345.4072500002</v>
      </c>
      <c r="B31" s="1" t="s">
        <v>96</v>
      </c>
      <c r="C31" s="1">
        <v>11.445</v>
      </c>
      <c r="D31" s="1">
        <v>6.0000000000000001E-3</v>
      </c>
      <c r="E31" s="1" t="s">
        <v>1</v>
      </c>
      <c r="F31" s="1" t="s">
        <v>98</v>
      </c>
      <c r="G31" s="1">
        <f t="shared" si="0"/>
        <v>8345.4072500001639</v>
      </c>
      <c r="H31" s="1">
        <f t="shared" si="1"/>
        <v>11.445</v>
      </c>
      <c r="I31" s="1" t="str">
        <f t="shared" si="2"/>
        <v>DFS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30" x14ac:dyDescent="0.25">
      <c r="A32" s="1">
        <v>2458345.4088300001</v>
      </c>
      <c r="B32" s="1" t="s">
        <v>96</v>
      </c>
      <c r="C32" s="1">
        <v>11.445</v>
      </c>
      <c r="D32" s="1">
        <v>6.0000000000000001E-3</v>
      </c>
      <c r="E32" s="1" t="s">
        <v>1</v>
      </c>
      <c r="F32" s="1" t="s">
        <v>98</v>
      </c>
      <c r="G32" s="1">
        <f t="shared" si="0"/>
        <v>8345.4088300000876</v>
      </c>
      <c r="H32" s="1">
        <f t="shared" si="1"/>
        <v>11.445</v>
      </c>
      <c r="I32" s="1" t="str">
        <f t="shared" si="2"/>
        <v>DFS</v>
      </c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30" x14ac:dyDescent="0.25">
      <c r="A33" s="1">
        <v>2458345.4104200001</v>
      </c>
      <c r="B33" s="1" t="s">
        <v>96</v>
      </c>
      <c r="C33" s="1">
        <v>11.411</v>
      </c>
      <c r="D33" s="1">
        <v>6.0000000000000001E-3</v>
      </c>
      <c r="E33" s="1" t="s">
        <v>1</v>
      </c>
      <c r="F33" s="1" t="s">
        <v>98</v>
      </c>
      <c r="G33" s="1">
        <f t="shared" si="0"/>
        <v>8345.4104200000875</v>
      </c>
      <c r="H33" s="1">
        <f t="shared" si="1"/>
        <v>11.411</v>
      </c>
      <c r="I33" s="1" t="str">
        <f t="shared" si="2"/>
        <v>DFS</v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30" x14ac:dyDescent="0.25">
      <c r="A34" s="1">
        <v>2458345.412</v>
      </c>
      <c r="B34" s="1" t="s">
        <v>96</v>
      </c>
      <c r="C34" s="1">
        <v>11.406000000000001</v>
      </c>
      <c r="D34" s="1">
        <v>7.0000000000000001E-3</v>
      </c>
      <c r="E34" s="1" t="s">
        <v>1</v>
      </c>
      <c r="F34" s="1" t="s">
        <v>98</v>
      </c>
      <c r="G34" s="1">
        <f t="shared" si="0"/>
        <v>8345.4120000000112</v>
      </c>
      <c r="H34" s="1">
        <f t="shared" si="1"/>
        <v>11.406000000000001</v>
      </c>
      <c r="I34" s="1" t="str">
        <f t="shared" si="2"/>
        <v>DFS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30" x14ac:dyDescent="0.25">
      <c r="A35" s="1">
        <v>2458345.41359</v>
      </c>
      <c r="B35" s="1" t="s">
        <v>96</v>
      </c>
      <c r="C35" s="1">
        <v>11.391</v>
      </c>
      <c r="D35" s="1">
        <v>6.0000000000000001E-3</v>
      </c>
      <c r="E35" s="1" t="s">
        <v>1</v>
      </c>
      <c r="F35" s="1" t="s">
        <v>98</v>
      </c>
      <c r="G35" s="1">
        <f t="shared" si="0"/>
        <v>8345.413590000011</v>
      </c>
      <c r="H35" s="1">
        <f t="shared" si="1"/>
        <v>11.391</v>
      </c>
      <c r="I35" s="1" t="str">
        <f t="shared" si="2"/>
        <v>DFS</v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30" x14ac:dyDescent="0.25">
      <c r="A36" s="1">
        <v>2458345.4151699999</v>
      </c>
      <c r="B36" s="1" t="s">
        <v>96</v>
      </c>
      <c r="C36" s="1">
        <v>11.372</v>
      </c>
      <c r="D36" s="1">
        <v>6.0000000000000001E-3</v>
      </c>
      <c r="E36" s="1" t="s">
        <v>1</v>
      </c>
      <c r="F36" s="1" t="s">
        <v>98</v>
      </c>
      <c r="G36" s="1">
        <f t="shared" si="0"/>
        <v>8345.4151699999347</v>
      </c>
      <c r="H36" s="1">
        <f t="shared" si="1"/>
        <v>11.372</v>
      </c>
      <c r="I36" s="1" t="str">
        <f t="shared" si="2"/>
        <v>DFS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30" x14ac:dyDescent="0.25">
      <c r="A37" s="1">
        <v>2458345.4167599999</v>
      </c>
      <c r="B37" s="1" t="s">
        <v>96</v>
      </c>
      <c r="C37" s="1">
        <v>11.38</v>
      </c>
      <c r="D37" s="1">
        <v>6.0000000000000001E-3</v>
      </c>
      <c r="E37" s="1" t="s">
        <v>1</v>
      </c>
      <c r="F37" s="1" t="s">
        <v>98</v>
      </c>
      <c r="G37" s="1">
        <f t="shared" si="0"/>
        <v>8345.4167599999346</v>
      </c>
      <c r="H37" s="1">
        <f t="shared" si="1"/>
        <v>11.38</v>
      </c>
      <c r="I37" s="1" t="str">
        <f t="shared" si="2"/>
        <v>DFS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30" x14ac:dyDescent="0.25">
      <c r="A38" s="1">
        <v>2458345.4183499999</v>
      </c>
      <c r="B38" s="1" t="s">
        <v>96</v>
      </c>
      <c r="C38" s="1">
        <v>11.417</v>
      </c>
      <c r="D38" s="1">
        <v>6.0000000000000001E-3</v>
      </c>
      <c r="E38" s="1" t="s">
        <v>1</v>
      </c>
      <c r="F38" s="1" t="s">
        <v>98</v>
      </c>
      <c r="G38" s="1">
        <f t="shared" si="0"/>
        <v>8345.4183499999344</v>
      </c>
      <c r="H38" s="1">
        <f t="shared" si="1"/>
        <v>11.417</v>
      </c>
      <c r="I38" s="1" t="str">
        <f t="shared" si="2"/>
        <v>DFS</v>
      </c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30" x14ac:dyDescent="0.25">
      <c r="A39" s="1">
        <v>2458345.4199299999</v>
      </c>
      <c r="B39" s="1" t="s">
        <v>96</v>
      </c>
      <c r="C39" s="1">
        <v>11.435</v>
      </c>
      <c r="D39" s="1">
        <v>6.0000000000000001E-3</v>
      </c>
      <c r="E39" s="1" t="s">
        <v>1</v>
      </c>
      <c r="F39" s="1" t="s">
        <v>98</v>
      </c>
      <c r="G39" s="1">
        <f t="shared" si="0"/>
        <v>8345.4199299998581</v>
      </c>
      <c r="H39" s="1">
        <f t="shared" si="1"/>
        <v>11.435</v>
      </c>
      <c r="I39" s="1" t="str">
        <f t="shared" si="2"/>
        <v>DFS</v>
      </c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30" x14ac:dyDescent="0.25">
      <c r="A40" s="1">
        <v>2458345.4215299999</v>
      </c>
      <c r="B40" s="1" t="s">
        <v>96</v>
      </c>
      <c r="C40" s="1">
        <v>11.448</v>
      </c>
      <c r="D40" s="1">
        <v>6.0000000000000001E-3</v>
      </c>
      <c r="E40" s="1" t="s">
        <v>1</v>
      </c>
      <c r="F40" s="1" t="s">
        <v>98</v>
      </c>
      <c r="G40" s="1">
        <f t="shared" si="0"/>
        <v>8345.4215299999341</v>
      </c>
      <c r="H40" s="1">
        <f t="shared" si="1"/>
        <v>11.448</v>
      </c>
      <c r="I40" s="1" t="str">
        <f t="shared" si="2"/>
        <v>DFS</v>
      </c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30" x14ac:dyDescent="0.25">
      <c r="A41" s="1">
        <v>2458345.4231099999</v>
      </c>
      <c r="B41" s="1" t="s">
        <v>96</v>
      </c>
      <c r="C41" s="1">
        <v>11.44</v>
      </c>
      <c r="D41" s="1">
        <v>6.0000000000000001E-3</v>
      </c>
      <c r="E41" s="1" t="s">
        <v>1</v>
      </c>
      <c r="F41" s="1" t="s">
        <v>98</v>
      </c>
      <c r="G41" s="1">
        <f t="shared" si="0"/>
        <v>8345.4231099998578</v>
      </c>
      <c r="H41" s="1">
        <f t="shared" si="1"/>
        <v>11.44</v>
      </c>
      <c r="I41" s="1" t="str">
        <f t="shared" si="2"/>
        <v>DFS</v>
      </c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30" x14ac:dyDescent="0.25">
      <c r="A42" s="1">
        <v>2458345.4246999999</v>
      </c>
      <c r="B42" s="1" t="s">
        <v>96</v>
      </c>
      <c r="C42" s="1">
        <v>11.432</v>
      </c>
      <c r="D42" s="1">
        <v>6.0000000000000001E-3</v>
      </c>
      <c r="E42" s="1" t="s">
        <v>1</v>
      </c>
      <c r="F42" s="1" t="s">
        <v>98</v>
      </c>
      <c r="G42" s="1">
        <f t="shared" si="0"/>
        <v>8345.4246999998577</v>
      </c>
      <c r="H42" s="1">
        <f t="shared" si="1"/>
        <v>11.432</v>
      </c>
      <c r="I42" s="1" t="str">
        <f t="shared" si="2"/>
        <v>DFS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30" x14ac:dyDescent="0.25">
      <c r="A43" s="1">
        <v>2458345.4262799998</v>
      </c>
      <c r="B43" s="1" t="s">
        <v>96</v>
      </c>
      <c r="C43" s="1">
        <v>11.439</v>
      </c>
      <c r="D43" s="1">
        <v>6.0000000000000001E-3</v>
      </c>
      <c r="E43" s="1" t="s">
        <v>1</v>
      </c>
      <c r="F43" s="1" t="s">
        <v>98</v>
      </c>
      <c r="G43" s="1">
        <f t="shared" si="0"/>
        <v>8345.4262799997814</v>
      </c>
      <c r="H43" s="1">
        <f t="shared" si="1"/>
        <v>11.439</v>
      </c>
      <c r="I43" s="1" t="str">
        <f t="shared" si="2"/>
        <v>DFS</v>
      </c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30" x14ac:dyDescent="0.25">
      <c r="A44" s="1">
        <v>2458345.4278699998</v>
      </c>
      <c r="B44" s="1" t="s">
        <v>96</v>
      </c>
      <c r="C44" s="1">
        <v>11.438000000000001</v>
      </c>
      <c r="D44" s="1">
        <v>6.0000000000000001E-3</v>
      </c>
      <c r="E44" s="1" t="s">
        <v>1</v>
      </c>
      <c r="F44" s="1" t="s">
        <v>98</v>
      </c>
      <c r="G44" s="1">
        <f t="shared" si="0"/>
        <v>8345.4278699997813</v>
      </c>
      <c r="H44" s="1">
        <f t="shared" si="1"/>
        <v>11.438000000000001</v>
      </c>
      <c r="I44" s="1" t="str">
        <f t="shared" si="2"/>
        <v>DFS</v>
      </c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30" x14ac:dyDescent="0.25">
      <c r="A45" s="1">
        <v>2458345.4294500002</v>
      </c>
      <c r="B45" s="1" t="s">
        <v>96</v>
      </c>
      <c r="C45" s="1">
        <v>11.441000000000001</v>
      </c>
      <c r="D45" s="1">
        <v>6.0000000000000001E-3</v>
      </c>
      <c r="E45" s="1" t="s">
        <v>1</v>
      </c>
      <c r="F45" s="1" t="s">
        <v>98</v>
      </c>
      <c r="G45" s="1">
        <f t="shared" si="0"/>
        <v>8345.4294500001706</v>
      </c>
      <c r="H45" s="1">
        <f t="shared" si="1"/>
        <v>11.441000000000001</v>
      </c>
      <c r="I45" s="1" t="str">
        <f t="shared" si="2"/>
        <v>DFS</v>
      </c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30" x14ac:dyDescent="0.25">
      <c r="A46" s="1">
        <v>2458345.4310400002</v>
      </c>
      <c r="B46" s="1" t="s">
        <v>96</v>
      </c>
      <c r="C46" s="1">
        <v>11.446</v>
      </c>
      <c r="D46" s="1">
        <v>6.0000000000000001E-3</v>
      </c>
      <c r="E46" s="1" t="s">
        <v>1</v>
      </c>
      <c r="F46" s="1" t="s">
        <v>98</v>
      </c>
      <c r="G46" s="1">
        <f t="shared" si="0"/>
        <v>8345.4310400001705</v>
      </c>
      <c r="H46" s="1">
        <f t="shared" si="1"/>
        <v>11.446</v>
      </c>
      <c r="I46" s="1" t="str">
        <f t="shared" si="2"/>
        <v>DFS</v>
      </c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30" x14ac:dyDescent="0.25">
      <c r="A47" s="1">
        <v>2458345.4326300002</v>
      </c>
      <c r="B47" s="1" t="s">
        <v>96</v>
      </c>
      <c r="C47" s="1">
        <v>11.426</v>
      </c>
      <c r="D47" s="1">
        <v>6.0000000000000001E-3</v>
      </c>
      <c r="E47" s="1" t="s">
        <v>1</v>
      </c>
      <c r="F47" s="1" t="s">
        <v>98</v>
      </c>
      <c r="G47" s="1">
        <f t="shared" si="0"/>
        <v>8345.4326300001703</v>
      </c>
      <c r="H47" s="1">
        <f t="shared" si="1"/>
        <v>11.426</v>
      </c>
      <c r="I47" s="1" t="str">
        <f t="shared" si="2"/>
        <v>DFS</v>
      </c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30" x14ac:dyDescent="0.25">
      <c r="A48" s="1">
        <v>2458345.4342100001</v>
      </c>
      <c r="B48" s="1" t="s">
        <v>96</v>
      </c>
      <c r="C48" s="1">
        <v>11.433</v>
      </c>
      <c r="D48" s="1">
        <v>6.0000000000000001E-3</v>
      </c>
      <c r="E48" s="1" t="s">
        <v>1</v>
      </c>
      <c r="F48" s="1" t="s">
        <v>98</v>
      </c>
      <c r="G48" s="1">
        <f t="shared" si="0"/>
        <v>8345.434210000094</v>
      </c>
      <c r="H48" s="1">
        <f t="shared" si="1"/>
        <v>11.433</v>
      </c>
      <c r="I48" s="1" t="str">
        <f t="shared" si="2"/>
        <v>DFS</v>
      </c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30" x14ac:dyDescent="0.25">
      <c r="A49" s="1">
        <v>2458345.4358000001</v>
      </c>
      <c r="B49" s="1" t="s">
        <v>96</v>
      </c>
      <c r="C49" s="1">
        <v>11.425000000000001</v>
      </c>
      <c r="D49" s="1">
        <v>6.0000000000000001E-3</v>
      </c>
      <c r="E49" s="1" t="s">
        <v>1</v>
      </c>
      <c r="F49" s="1" t="s">
        <v>98</v>
      </c>
      <c r="G49" s="1">
        <f t="shared" si="0"/>
        <v>8345.4358000000939</v>
      </c>
      <c r="H49" s="1">
        <f t="shared" si="1"/>
        <v>11.425000000000001</v>
      </c>
      <c r="I49" s="1" t="str">
        <f t="shared" si="2"/>
        <v>DFS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30" x14ac:dyDescent="0.25">
      <c r="A50" s="1">
        <v>2458345.43738</v>
      </c>
      <c r="B50" s="1" t="s">
        <v>96</v>
      </c>
      <c r="C50" s="1">
        <v>11.426</v>
      </c>
      <c r="D50" s="1">
        <v>6.0000000000000001E-3</v>
      </c>
      <c r="E50" s="1" t="s">
        <v>1</v>
      </c>
      <c r="F50" s="1" t="s">
        <v>98</v>
      </c>
      <c r="G50" s="1">
        <f t="shared" si="0"/>
        <v>8345.4373800000176</v>
      </c>
      <c r="H50" s="1">
        <f t="shared" si="1"/>
        <v>11.426</v>
      </c>
      <c r="I50" s="1" t="str">
        <f t="shared" si="2"/>
        <v>DFS</v>
      </c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30" x14ac:dyDescent="0.25">
      <c r="A51" s="1">
        <v>2458345.43897</v>
      </c>
      <c r="B51" s="1" t="s">
        <v>96</v>
      </c>
      <c r="C51" s="1">
        <v>11.433</v>
      </c>
      <c r="D51" s="1">
        <v>6.0000000000000001E-3</v>
      </c>
      <c r="E51" s="1" t="s">
        <v>1</v>
      </c>
      <c r="F51" s="1" t="s">
        <v>98</v>
      </c>
      <c r="G51" s="1">
        <f t="shared" si="0"/>
        <v>8345.4389700000174</v>
      </c>
      <c r="H51" s="1">
        <f t="shared" si="1"/>
        <v>11.433</v>
      </c>
      <c r="I51" s="1" t="str">
        <f t="shared" si="2"/>
        <v>DFS</v>
      </c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30" x14ac:dyDescent="0.25">
      <c r="A52" s="1">
        <v>2458345.4405499999</v>
      </c>
      <c r="B52" s="1" t="s">
        <v>96</v>
      </c>
      <c r="C52" s="1">
        <v>11.423</v>
      </c>
      <c r="D52" s="1">
        <v>6.0000000000000001E-3</v>
      </c>
      <c r="E52" s="1" t="s">
        <v>1</v>
      </c>
      <c r="F52" s="1" t="s">
        <v>98</v>
      </c>
      <c r="G52" s="1">
        <f t="shared" si="0"/>
        <v>8345.4405499999411</v>
      </c>
      <c r="H52" s="1">
        <f t="shared" si="1"/>
        <v>11.423</v>
      </c>
      <c r="I52" s="1" t="str">
        <f t="shared" si="2"/>
        <v>DFS</v>
      </c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30" x14ac:dyDescent="0.25">
      <c r="A53" s="1">
        <v>2458345.4421399999</v>
      </c>
      <c r="B53" s="1" t="s">
        <v>96</v>
      </c>
      <c r="C53" s="1">
        <v>11.419</v>
      </c>
      <c r="D53" s="1">
        <v>6.0000000000000001E-3</v>
      </c>
      <c r="E53" s="1" t="s">
        <v>1</v>
      </c>
      <c r="F53" s="1" t="s">
        <v>98</v>
      </c>
      <c r="G53" s="1">
        <f t="shared" si="0"/>
        <v>8345.442139999941</v>
      </c>
      <c r="H53" s="1">
        <f t="shared" si="1"/>
        <v>11.419</v>
      </c>
      <c r="I53" s="1" t="str">
        <f t="shared" si="2"/>
        <v>DFS</v>
      </c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30" x14ac:dyDescent="0.25">
      <c r="A54" s="1">
        <v>2458345.4437299999</v>
      </c>
      <c r="B54" s="1" t="s">
        <v>96</v>
      </c>
      <c r="C54" s="1">
        <v>11.417</v>
      </c>
      <c r="D54" s="1">
        <v>6.0000000000000001E-3</v>
      </c>
      <c r="E54" s="1" t="s">
        <v>1</v>
      </c>
      <c r="F54" s="1" t="s">
        <v>98</v>
      </c>
      <c r="G54" s="1">
        <f t="shared" si="0"/>
        <v>8345.4437299999408</v>
      </c>
      <c r="H54" s="1">
        <f t="shared" si="1"/>
        <v>11.417</v>
      </c>
      <c r="I54" s="1" t="str">
        <f t="shared" si="2"/>
        <v>DFS</v>
      </c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30" x14ac:dyDescent="0.25">
      <c r="A55" s="1">
        <v>2458345.4453199999</v>
      </c>
      <c r="B55" s="1" t="s">
        <v>96</v>
      </c>
      <c r="C55" s="1">
        <v>11.412000000000001</v>
      </c>
      <c r="D55" s="1">
        <v>6.0000000000000001E-3</v>
      </c>
      <c r="E55" s="1" t="s">
        <v>1</v>
      </c>
      <c r="F55" s="1" t="s">
        <v>98</v>
      </c>
      <c r="G55" s="1">
        <f t="shared" si="0"/>
        <v>8345.4453199999407</v>
      </c>
      <c r="H55" s="1">
        <f t="shared" si="1"/>
        <v>11.412000000000001</v>
      </c>
      <c r="I55" s="1" t="str">
        <f t="shared" si="2"/>
        <v>DFS</v>
      </c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30" x14ac:dyDescent="0.25">
      <c r="A56" s="1">
        <v>2458345.4469099999</v>
      </c>
      <c r="B56" s="1" t="s">
        <v>96</v>
      </c>
      <c r="C56" s="1">
        <v>11.420999999999999</v>
      </c>
      <c r="D56" s="1">
        <v>6.0000000000000001E-3</v>
      </c>
      <c r="E56" s="1" t="s">
        <v>1</v>
      </c>
      <c r="F56" s="1" t="s">
        <v>98</v>
      </c>
      <c r="G56" s="1">
        <f t="shared" si="0"/>
        <v>8345.4469099999405</v>
      </c>
      <c r="H56" s="1">
        <f t="shared" si="1"/>
        <v>11.420999999999999</v>
      </c>
      <c r="I56" s="1" t="str">
        <f t="shared" si="2"/>
        <v>DFS</v>
      </c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30" x14ac:dyDescent="0.25">
      <c r="A57" s="1">
        <v>2458345.4484899999</v>
      </c>
      <c r="B57" s="1" t="s">
        <v>96</v>
      </c>
      <c r="C57" s="1">
        <v>11.42</v>
      </c>
      <c r="D57" s="1">
        <v>6.0000000000000001E-3</v>
      </c>
      <c r="E57" s="1" t="s">
        <v>1</v>
      </c>
      <c r="F57" s="1" t="s">
        <v>98</v>
      </c>
      <c r="G57" s="1">
        <f t="shared" si="0"/>
        <v>8345.4484899998643</v>
      </c>
      <c r="H57" s="1">
        <f t="shared" si="1"/>
        <v>11.42</v>
      </c>
      <c r="I57" s="1" t="str">
        <f t="shared" si="2"/>
        <v>DFS</v>
      </c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30" x14ac:dyDescent="0.25">
      <c r="A58" s="1">
        <v>2458345.4500799999</v>
      </c>
      <c r="B58" s="1" t="s">
        <v>96</v>
      </c>
      <c r="C58" s="1">
        <v>11.428000000000001</v>
      </c>
      <c r="D58" s="1">
        <v>6.0000000000000001E-3</v>
      </c>
      <c r="E58" s="1" t="s">
        <v>1</v>
      </c>
      <c r="F58" s="1" t="s">
        <v>98</v>
      </c>
      <c r="G58" s="1">
        <f t="shared" si="0"/>
        <v>8345.4500799998641</v>
      </c>
      <c r="H58" s="1">
        <f t="shared" si="1"/>
        <v>11.428000000000001</v>
      </c>
      <c r="I58" s="1" t="str">
        <f t="shared" si="2"/>
        <v>DFS</v>
      </c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30" x14ac:dyDescent="0.25">
      <c r="A59" s="1">
        <v>2458345.4516599998</v>
      </c>
      <c r="B59" s="1" t="s">
        <v>96</v>
      </c>
      <c r="C59" s="1">
        <v>11.43</v>
      </c>
      <c r="D59" s="1">
        <v>6.0000000000000001E-3</v>
      </c>
      <c r="E59" s="1" t="s">
        <v>1</v>
      </c>
      <c r="F59" s="1" t="s">
        <v>98</v>
      </c>
      <c r="G59" s="1">
        <f t="shared" si="0"/>
        <v>8345.4516599997878</v>
      </c>
      <c r="H59" s="1">
        <f t="shared" si="1"/>
        <v>11.43</v>
      </c>
      <c r="I59" s="1" t="str">
        <f t="shared" si="2"/>
        <v>DFS</v>
      </c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30" x14ac:dyDescent="0.25">
      <c r="A60" s="1">
        <v>2458345.4532499998</v>
      </c>
      <c r="B60" s="1" t="s">
        <v>96</v>
      </c>
      <c r="C60" s="1">
        <v>11.43</v>
      </c>
      <c r="D60" s="1">
        <v>6.0000000000000001E-3</v>
      </c>
      <c r="E60" s="1" t="s">
        <v>1</v>
      </c>
      <c r="F60" s="1" t="s">
        <v>98</v>
      </c>
      <c r="G60" s="1">
        <f t="shared" si="0"/>
        <v>8345.4532499997877</v>
      </c>
      <c r="H60" s="1">
        <f t="shared" si="1"/>
        <v>11.43</v>
      </c>
      <c r="I60" s="1" t="str">
        <f t="shared" si="2"/>
        <v>DFS</v>
      </c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30" x14ac:dyDescent="0.25">
      <c r="A61" s="1">
        <v>2458345.4548399998</v>
      </c>
      <c r="B61" s="1" t="s">
        <v>96</v>
      </c>
      <c r="C61" s="1">
        <v>11.433999999999999</v>
      </c>
      <c r="D61" s="1">
        <v>6.0000000000000001E-3</v>
      </c>
      <c r="E61" s="1" t="s">
        <v>1</v>
      </c>
      <c r="F61" s="1" t="s">
        <v>98</v>
      </c>
      <c r="G61" s="1">
        <f t="shared" si="0"/>
        <v>8345.4548399997875</v>
      </c>
      <c r="H61" s="1">
        <f t="shared" si="1"/>
        <v>11.433999999999999</v>
      </c>
      <c r="I61" s="1" t="str">
        <f t="shared" si="2"/>
        <v>DFS</v>
      </c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30" x14ac:dyDescent="0.25">
      <c r="A62" s="1">
        <v>2458345.4564200002</v>
      </c>
      <c r="B62" s="1" t="s">
        <v>96</v>
      </c>
      <c r="C62" s="1">
        <v>11.416</v>
      </c>
      <c r="D62" s="1">
        <v>1.0999999999999999E-2</v>
      </c>
      <c r="E62" s="1" t="s">
        <v>1</v>
      </c>
      <c r="F62" s="1" t="s">
        <v>98</v>
      </c>
      <c r="G62" s="1">
        <f t="shared" si="0"/>
        <v>8345.4564200001769</v>
      </c>
      <c r="H62" s="1">
        <f t="shared" si="1"/>
        <v>11.416</v>
      </c>
      <c r="I62" s="1" t="str">
        <f t="shared" si="2"/>
        <v>DFS</v>
      </c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30" x14ac:dyDescent="0.25">
      <c r="A63" s="1">
        <v>2458345.4580100002</v>
      </c>
      <c r="B63" s="1" t="s">
        <v>96</v>
      </c>
      <c r="C63" s="1">
        <v>11.414999999999999</v>
      </c>
      <c r="D63" s="1">
        <v>6.0000000000000001E-3</v>
      </c>
      <c r="E63" s="1" t="s">
        <v>1</v>
      </c>
      <c r="F63" s="1" t="s">
        <v>98</v>
      </c>
      <c r="G63" s="1">
        <f t="shared" si="0"/>
        <v>8345.4580100001767</v>
      </c>
      <c r="H63" s="1">
        <f t="shared" si="1"/>
        <v>11.414999999999999</v>
      </c>
      <c r="I63" s="1" t="str">
        <f t="shared" si="2"/>
        <v>DFS</v>
      </c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30" x14ac:dyDescent="0.25">
      <c r="A64" s="1">
        <v>2458345.4595900001</v>
      </c>
      <c r="B64" s="1" t="s">
        <v>96</v>
      </c>
      <c r="C64" s="1">
        <v>11.423</v>
      </c>
      <c r="D64" s="1">
        <v>6.0000000000000001E-3</v>
      </c>
      <c r="E64" s="1" t="s">
        <v>1</v>
      </c>
      <c r="F64" s="1" t="s">
        <v>98</v>
      </c>
      <c r="G64" s="1">
        <f t="shared" si="0"/>
        <v>8345.4595900001004</v>
      </c>
      <c r="H64" s="1">
        <f t="shared" si="1"/>
        <v>11.423</v>
      </c>
      <c r="I64" s="1" t="str">
        <f t="shared" si="2"/>
        <v>DFS</v>
      </c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30" x14ac:dyDescent="0.25">
      <c r="A65" s="1">
        <v>2458345.4611800001</v>
      </c>
      <c r="B65" s="1" t="s">
        <v>96</v>
      </c>
      <c r="C65" s="1">
        <v>11.411</v>
      </c>
      <c r="D65" s="1">
        <v>6.0000000000000001E-3</v>
      </c>
      <c r="E65" s="1" t="s">
        <v>1</v>
      </c>
      <c r="F65" s="1" t="s">
        <v>98</v>
      </c>
      <c r="G65" s="1">
        <f t="shared" si="0"/>
        <v>8345.4611800001003</v>
      </c>
      <c r="H65" s="1">
        <f t="shared" si="1"/>
        <v>11.411</v>
      </c>
      <c r="I65" s="1" t="str">
        <f t="shared" si="2"/>
        <v>DFS</v>
      </c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30" x14ac:dyDescent="0.25">
      <c r="A66" s="1">
        <v>2458345.46276</v>
      </c>
      <c r="B66" s="1" t="s">
        <v>96</v>
      </c>
      <c r="C66" s="1">
        <v>11.409000000000001</v>
      </c>
      <c r="D66" s="1">
        <v>6.0000000000000001E-3</v>
      </c>
      <c r="E66" s="1" t="s">
        <v>1</v>
      </c>
      <c r="F66" s="1" t="s">
        <v>98</v>
      </c>
      <c r="G66" s="1">
        <f t="shared" si="0"/>
        <v>8345.462760000024</v>
      </c>
      <c r="H66" s="1">
        <f t="shared" si="1"/>
        <v>11.409000000000001</v>
      </c>
      <c r="I66" s="1" t="str">
        <f t="shared" si="2"/>
        <v>DFS</v>
      </c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30" x14ac:dyDescent="0.25">
      <c r="A67" s="1">
        <v>2458345.46435</v>
      </c>
      <c r="B67" s="1" t="s">
        <v>96</v>
      </c>
      <c r="C67" s="1">
        <v>11.41</v>
      </c>
      <c r="D67" s="1">
        <v>6.0000000000000001E-3</v>
      </c>
      <c r="E67" s="1" t="s">
        <v>1</v>
      </c>
      <c r="F67" s="1" t="s">
        <v>98</v>
      </c>
      <c r="G67" s="1">
        <f t="shared" ref="G67:G130" si="3">+A67-2450000</f>
        <v>8345.4643500000238</v>
      </c>
      <c r="H67" s="1">
        <f t="shared" ref="H67:H130" si="4">+C67</f>
        <v>11.41</v>
      </c>
      <c r="I67" s="1" t="str">
        <f t="shared" ref="I67:I130" si="5">+F67</f>
        <v>DFS</v>
      </c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30" x14ac:dyDescent="0.25">
      <c r="A68" s="1">
        <v>2458345.4659500001</v>
      </c>
      <c r="B68" s="1" t="s">
        <v>96</v>
      </c>
      <c r="C68" s="1">
        <v>11.409000000000001</v>
      </c>
      <c r="D68" s="1">
        <v>6.0000000000000001E-3</v>
      </c>
      <c r="E68" s="1" t="s">
        <v>1</v>
      </c>
      <c r="F68" s="1" t="s">
        <v>98</v>
      </c>
      <c r="G68" s="1">
        <f t="shared" si="3"/>
        <v>8345.4659500000998</v>
      </c>
      <c r="H68" s="1">
        <f t="shared" si="4"/>
        <v>11.409000000000001</v>
      </c>
      <c r="I68" s="1" t="str">
        <f t="shared" si="5"/>
        <v>DFS</v>
      </c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30" x14ac:dyDescent="0.25">
      <c r="A69" s="1">
        <v>2458345.46753</v>
      </c>
      <c r="B69" s="1" t="s">
        <v>96</v>
      </c>
      <c r="C69" s="1">
        <v>11.403</v>
      </c>
      <c r="D69" s="1">
        <v>6.0000000000000001E-3</v>
      </c>
      <c r="E69" s="1" t="s">
        <v>1</v>
      </c>
      <c r="F69" s="1" t="s">
        <v>98</v>
      </c>
      <c r="G69" s="1">
        <f t="shared" si="3"/>
        <v>8345.4675300000235</v>
      </c>
      <c r="H69" s="1">
        <f t="shared" si="4"/>
        <v>11.403</v>
      </c>
      <c r="I69" s="1" t="str">
        <f t="shared" si="5"/>
        <v>DFS</v>
      </c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30" x14ac:dyDescent="0.25">
      <c r="A70" s="1">
        <v>2458345.46912</v>
      </c>
      <c r="B70" s="1" t="s">
        <v>96</v>
      </c>
      <c r="C70" s="1">
        <v>11.4</v>
      </c>
      <c r="D70" s="1">
        <v>6.0000000000000001E-3</v>
      </c>
      <c r="E70" s="1" t="s">
        <v>1</v>
      </c>
      <c r="F70" s="1" t="s">
        <v>98</v>
      </c>
      <c r="G70" s="1">
        <f t="shared" si="3"/>
        <v>8345.4691200000234</v>
      </c>
      <c r="H70" s="1">
        <f t="shared" si="4"/>
        <v>11.4</v>
      </c>
      <c r="I70" s="1" t="str">
        <f t="shared" si="5"/>
        <v>DFS</v>
      </c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30" x14ac:dyDescent="0.25">
      <c r="A71" s="1">
        <v>2458345.4706999999</v>
      </c>
      <c r="B71" s="1" t="s">
        <v>96</v>
      </c>
      <c r="C71" s="1">
        <v>11.377000000000001</v>
      </c>
      <c r="D71" s="1">
        <v>8.0000000000000002E-3</v>
      </c>
      <c r="E71" s="1" t="s">
        <v>1</v>
      </c>
      <c r="F71" s="1" t="s">
        <v>98</v>
      </c>
      <c r="G71" s="1">
        <f t="shared" si="3"/>
        <v>8345.4706999999471</v>
      </c>
      <c r="H71" s="1">
        <f t="shared" si="4"/>
        <v>11.377000000000001</v>
      </c>
      <c r="I71" s="1" t="str">
        <f t="shared" si="5"/>
        <v>DFS</v>
      </c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30" x14ac:dyDescent="0.25">
      <c r="A72" s="1">
        <v>2458345.4735599998</v>
      </c>
      <c r="B72" s="1" t="s">
        <v>96</v>
      </c>
      <c r="C72" s="1">
        <v>11.451000000000001</v>
      </c>
      <c r="D72" s="1">
        <v>7.0000000000000001E-3</v>
      </c>
      <c r="E72" s="1" t="s">
        <v>1</v>
      </c>
      <c r="F72" s="1" t="s">
        <v>98</v>
      </c>
      <c r="G72" s="1">
        <f t="shared" si="3"/>
        <v>8345.4735599998385</v>
      </c>
      <c r="H72" s="1">
        <f t="shared" si="4"/>
        <v>11.451000000000001</v>
      </c>
      <c r="I72" s="1" t="str">
        <f t="shared" si="5"/>
        <v>DFS</v>
      </c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30" x14ac:dyDescent="0.25">
      <c r="A73" s="1">
        <v>2458345.4751499998</v>
      </c>
      <c r="B73" s="1" t="s">
        <v>96</v>
      </c>
      <c r="C73" s="1">
        <v>11.467000000000001</v>
      </c>
      <c r="D73" s="1">
        <v>6.0000000000000001E-3</v>
      </c>
      <c r="E73" s="1" t="s">
        <v>1</v>
      </c>
      <c r="F73" s="1" t="s">
        <v>98</v>
      </c>
      <c r="G73" s="1">
        <f t="shared" si="3"/>
        <v>8345.4751499998383</v>
      </c>
      <c r="H73" s="1">
        <f t="shared" si="4"/>
        <v>11.467000000000001</v>
      </c>
      <c r="I73" s="1" t="str">
        <f t="shared" si="5"/>
        <v>DFS</v>
      </c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30" x14ac:dyDescent="0.25">
      <c r="A74" s="1">
        <v>2458345.4767300002</v>
      </c>
      <c r="B74" s="1" t="s">
        <v>96</v>
      </c>
      <c r="C74" s="1">
        <v>11.462</v>
      </c>
      <c r="D74" s="1">
        <v>6.0000000000000001E-3</v>
      </c>
      <c r="E74" s="1" t="s">
        <v>1</v>
      </c>
      <c r="F74" s="1" t="s">
        <v>98</v>
      </c>
      <c r="G74" s="1">
        <f t="shared" si="3"/>
        <v>8345.4767300002277</v>
      </c>
      <c r="H74" s="1">
        <f t="shared" si="4"/>
        <v>11.462</v>
      </c>
      <c r="I74" s="1" t="str">
        <f t="shared" si="5"/>
        <v>DFS</v>
      </c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30" x14ac:dyDescent="0.25">
      <c r="A75" s="1">
        <v>2458345.4783200002</v>
      </c>
      <c r="B75" s="1" t="s">
        <v>96</v>
      </c>
      <c r="C75" s="1">
        <v>11.47</v>
      </c>
      <c r="D75" s="1">
        <v>6.0000000000000001E-3</v>
      </c>
      <c r="E75" s="1" t="s">
        <v>1</v>
      </c>
      <c r="F75" s="1" t="s">
        <v>98</v>
      </c>
      <c r="G75" s="1">
        <f t="shared" si="3"/>
        <v>8345.4783200002275</v>
      </c>
      <c r="H75" s="1">
        <f t="shared" si="4"/>
        <v>11.47</v>
      </c>
      <c r="I75" s="1" t="str">
        <f t="shared" si="5"/>
        <v>DFS</v>
      </c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30" x14ac:dyDescent="0.25">
      <c r="A76" s="1">
        <v>2458345.4799000002</v>
      </c>
      <c r="B76" s="1" t="s">
        <v>96</v>
      </c>
      <c r="C76" s="1">
        <v>11.458</v>
      </c>
      <c r="D76" s="1">
        <v>6.0000000000000001E-3</v>
      </c>
      <c r="E76" s="1" t="s">
        <v>1</v>
      </c>
      <c r="F76" s="1" t="s">
        <v>98</v>
      </c>
      <c r="G76" s="1">
        <f t="shared" si="3"/>
        <v>8345.4799000001512</v>
      </c>
      <c r="H76" s="1">
        <f t="shared" si="4"/>
        <v>11.458</v>
      </c>
      <c r="I76" s="1" t="str">
        <f t="shared" si="5"/>
        <v>DFS</v>
      </c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30" x14ac:dyDescent="0.25">
      <c r="A77" s="1">
        <v>2458345.4814900002</v>
      </c>
      <c r="B77" s="1" t="s">
        <v>96</v>
      </c>
      <c r="C77" s="1">
        <v>11.448</v>
      </c>
      <c r="D77" s="1">
        <v>6.0000000000000001E-3</v>
      </c>
      <c r="E77" s="1" t="s">
        <v>1</v>
      </c>
      <c r="F77" s="1" t="s">
        <v>98</v>
      </c>
      <c r="G77" s="1">
        <f t="shared" si="3"/>
        <v>8345.4814900001511</v>
      </c>
      <c r="H77" s="1">
        <f t="shared" si="4"/>
        <v>11.448</v>
      </c>
      <c r="I77" s="1" t="str">
        <f t="shared" si="5"/>
        <v>DFS</v>
      </c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30" x14ac:dyDescent="0.25">
      <c r="A78" s="1">
        <v>2458345.4830800002</v>
      </c>
      <c r="B78" s="1" t="s">
        <v>96</v>
      </c>
      <c r="C78" s="1">
        <v>11.442</v>
      </c>
      <c r="D78" s="1">
        <v>6.0000000000000001E-3</v>
      </c>
      <c r="E78" s="1" t="s">
        <v>1</v>
      </c>
      <c r="F78" s="1" t="s">
        <v>98</v>
      </c>
      <c r="G78" s="1">
        <f t="shared" si="3"/>
        <v>8345.4830800001509</v>
      </c>
      <c r="H78" s="1">
        <f t="shared" si="4"/>
        <v>11.442</v>
      </c>
      <c r="I78" s="1" t="str">
        <f t="shared" si="5"/>
        <v>DFS</v>
      </c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30" x14ac:dyDescent="0.25">
      <c r="A79" s="1">
        <v>2458345.4846600001</v>
      </c>
      <c r="B79" s="1" t="s">
        <v>96</v>
      </c>
      <c r="C79" s="1">
        <v>11.461</v>
      </c>
      <c r="D79" s="1">
        <v>6.0000000000000001E-3</v>
      </c>
      <c r="E79" s="1" t="s">
        <v>1</v>
      </c>
      <c r="F79" s="1" t="s">
        <v>98</v>
      </c>
      <c r="G79" s="1">
        <f t="shared" si="3"/>
        <v>8345.4846600000747</v>
      </c>
      <c r="H79" s="1">
        <f t="shared" si="4"/>
        <v>11.461</v>
      </c>
      <c r="I79" s="1" t="str">
        <f t="shared" si="5"/>
        <v>DFS</v>
      </c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30" x14ac:dyDescent="0.25">
      <c r="A80" s="1">
        <v>2458345.4862500001</v>
      </c>
      <c r="B80" s="1" t="s">
        <v>96</v>
      </c>
      <c r="C80" s="1">
        <v>11.45</v>
      </c>
      <c r="D80" s="1">
        <v>6.0000000000000001E-3</v>
      </c>
      <c r="E80" s="1" t="s">
        <v>1</v>
      </c>
      <c r="F80" s="1" t="s">
        <v>98</v>
      </c>
      <c r="G80" s="1">
        <f t="shared" si="3"/>
        <v>8345.4862500000745</v>
      </c>
      <c r="H80" s="1">
        <f t="shared" si="4"/>
        <v>11.45</v>
      </c>
      <c r="I80" s="1" t="str">
        <f t="shared" si="5"/>
        <v>DFS</v>
      </c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30" x14ac:dyDescent="0.25">
      <c r="A81" s="1">
        <v>2458345.48783</v>
      </c>
      <c r="B81" s="1" t="s">
        <v>96</v>
      </c>
      <c r="C81" s="1">
        <v>11.461</v>
      </c>
      <c r="D81" s="1">
        <v>6.0000000000000001E-3</v>
      </c>
      <c r="E81" s="1" t="s">
        <v>1</v>
      </c>
      <c r="F81" s="1" t="s">
        <v>98</v>
      </c>
      <c r="G81" s="1">
        <f t="shared" si="3"/>
        <v>8345.4878299999982</v>
      </c>
      <c r="H81" s="1">
        <f t="shared" si="4"/>
        <v>11.461</v>
      </c>
      <c r="I81" s="1" t="str">
        <f t="shared" si="5"/>
        <v>DFS</v>
      </c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30" x14ac:dyDescent="0.25">
      <c r="A82" s="1">
        <v>2458345.48942</v>
      </c>
      <c r="B82" s="1" t="s">
        <v>96</v>
      </c>
      <c r="C82" s="1">
        <v>11.465</v>
      </c>
      <c r="D82" s="1">
        <v>6.0000000000000001E-3</v>
      </c>
      <c r="E82" s="1" t="s">
        <v>1</v>
      </c>
      <c r="F82" s="1" t="s">
        <v>98</v>
      </c>
      <c r="G82" s="1">
        <f t="shared" si="3"/>
        <v>8345.4894199999981</v>
      </c>
      <c r="H82" s="1">
        <f t="shared" si="4"/>
        <v>11.465</v>
      </c>
      <c r="I82" s="1" t="str">
        <f t="shared" si="5"/>
        <v>DFS</v>
      </c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30" x14ac:dyDescent="0.25">
      <c r="A83" s="1">
        <v>2458345.4910200001</v>
      </c>
      <c r="B83" s="1" t="s">
        <v>96</v>
      </c>
      <c r="C83" s="1">
        <v>11.457000000000001</v>
      </c>
      <c r="D83" s="1">
        <v>6.0000000000000001E-3</v>
      </c>
      <c r="E83" s="1" t="s">
        <v>1</v>
      </c>
      <c r="F83" s="1" t="s">
        <v>98</v>
      </c>
      <c r="G83" s="1">
        <f t="shared" si="3"/>
        <v>8345.4910200000741</v>
      </c>
      <c r="H83" s="1">
        <f t="shared" si="4"/>
        <v>11.457000000000001</v>
      </c>
      <c r="I83" s="1" t="str">
        <f t="shared" si="5"/>
        <v>DFS</v>
      </c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30" x14ac:dyDescent="0.25">
      <c r="A84" s="1">
        <v>2458345.4926</v>
      </c>
      <c r="B84" s="1" t="s">
        <v>96</v>
      </c>
      <c r="C84" s="1">
        <v>11.444000000000001</v>
      </c>
      <c r="D84" s="1">
        <v>6.0000000000000001E-3</v>
      </c>
      <c r="E84" s="1" t="s">
        <v>1</v>
      </c>
      <c r="F84" s="1" t="s">
        <v>98</v>
      </c>
      <c r="G84" s="1">
        <f t="shared" si="3"/>
        <v>8345.4925999999978</v>
      </c>
      <c r="H84" s="1">
        <f t="shared" si="4"/>
        <v>11.444000000000001</v>
      </c>
      <c r="I84" s="1" t="str">
        <f t="shared" si="5"/>
        <v>DFS</v>
      </c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30" x14ac:dyDescent="0.25">
      <c r="A85" s="1">
        <v>2458345.49419</v>
      </c>
      <c r="B85" s="1" t="s">
        <v>96</v>
      </c>
      <c r="C85" s="1">
        <v>11.462999999999999</v>
      </c>
      <c r="D85" s="1">
        <v>6.0000000000000001E-3</v>
      </c>
      <c r="E85" s="1" t="s">
        <v>1</v>
      </c>
      <c r="F85" s="1" t="s">
        <v>98</v>
      </c>
      <c r="G85" s="1">
        <f t="shared" si="3"/>
        <v>8345.4941899999976</v>
      </c>
      <c r="H85" s="1">
        <f t="shared" si="4"/>
        <v>11.462999999999999</v>
      </c>
      <c r="I85" s="1" t="str">
        <f t="shared" si="5"/>
        <v>DFS</v>
      </c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30" x14ac:dyDescent="0.25">
      <c r="A86" s="1">
        <v>2458345.4957699999</v>
      </c>
      <c r="B86" s="1" t="s">
        <v>96</v>
      </c>
      <c r="C86" s="1">
        <v>11.462</v>
      </c>
      <c r="D86" s="1">
        <v>6.0000000000000001E-3</v>
      </c>
      <c r="E86" s="1" t="s">
        <v>1</v>
      </c>
      <c r="F86" s="1" t="s">
        <v>98</v>
      </c>
      <c r="G86" s="1">
        <f t="shared" si="3"/>
        <v>8345.4957699999213</v>
      </c>
      <c r="H86" s="1">
        <f t="shared" si="4"/>
        <v>11.462</v>
      </c>
      <c r="I86" s="1" t="str">
        <f t="shared" si="5"/>
        <v>DFS</v>
      </c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30" x14ac:dyDescent="0.25">
      <c r="A87" s="1">
        <v>2458345.4973599999</v>
      </c>
      <c r="B87" s="1" t="s">
        <v>96</v>
      </c>
      <c r="C87" s="1">
        <v>11.462999999999999</v>
      </c>
      <c r="D87" s="1">
        <v>6.0000000000000001E-3</v>
      </c>
      <c r="E87" s="1" t="s">
        <v>1</v>
      </c>
      <c r="F87" s="1" t="s">
        <v>98</v>
      </c>
      <c r="G87" s="1">
        <f t="shared" si="3"/>
        <v>8345.4973599999212</v>
      </c>
      <c r="H87" s="1">
        <f t="shared" si="4"/>
        <v>11.462999999999999</v>
      </c>
      <c r="I87" s="1" t="str">
        <f t="shared" si="5"/>
        <v>DFS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30" x14ac:dyDescent="0.25">
      <c r="A88" s="1">
        <v>2458345.4989399998</v>
      </c>
      <c r="B88" s="1" t="s">
        <v>96</v>
      </c>
      <c r="C88" s="1">
        <v>11.46</v>
      </c>
      <c r="D88" s="1">
        <v>6.0000000000000001E-3</v>
      </c>
      <c r="E88" s="1" t="s">
        <v>1</v>
      </c>
      <c r="F88" s="1" t="s">
        <v>98</v>
      </c>
      <c r="G88" s="1">
        <f t="shared" si="3"/>
        <v>8345.4989399998449</v>
      </c>
      <c r="H88" s="1">
        <f t="shared" si="4"/>
        <v>11.46</v>
      </c>
      <c r="I88" s="1" t="str">
        <f t="shared" si="5"/>
        <v>DFS</v>
      </c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ht="30" x14ac:dyDescent="0.25">
      <c r="A89" s="1">
        <v>2458345.5005299998</v>
      </c>
      <c r="B89" s="1" t="s">
        <v>78</v>
      </c>
      <c r="C89" s="1">
        <v>11.454000000000001</v>
      </c>
      <c r="D89" s="1">
        <v>6.0000000000000001E-3</v>
      </c>
      <c r="E89" s="1" t="s">
        <v>1</v>
      </c>
      <c r="F89" s="1" t="s">
        <v>98</v>
      </c>
      <c r="G89" s="1">
        <f t="shared" si="3"/>
        <v>8345.5005299998447</v>
      </c>
      <c r="H89" s="1">
        <f t="shared" si="4"/>
        <v>11.454000000000001</v>
      </c>
      <c r="I89" s="1" t="str">
        <f t="shared" si="5"/>
        <v>DFS</v>
      </c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ht="30" x14ac:dyDescent="0.25">
      <c r="A90" s="1">
        <v>2458345.5021199998</v>
      </c>
      <c r="B90" s="1" t="s">
        <v>78</v>
      </c>
      <c r="C90" s="1">
        <v>11.449</v>
      </c>
      <c r="D90" s="1">
        <v>6.0000000000000001E-3</v>
      </c>
      <c r="E90" s="1" t="s">
        <v>1</v>
      </c>
      <c r="F90" s="1" t="s">
        <v>98</v>
      </c>
      <c r="G90" s="1">
        <f t="shared" si="3"/>
        <v>8345.5021199998446</v>
      </c>
      <c r="H90" s="1">
        <f t="shared" si="4"/>
        <v>11.449</v>
      </c>
      <c r="I90" s="1" t="str">
        <f t="shared" si="5"/>
        <v>DFS</v>
      </c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30" x14ac:dyDescent="0.25">
      <c r="A91" s="1">
        <v>2458345.5036999998</v>
      </c>
      <c r="B91" s="1" t="s">
        <v>78</v>
      </c>
      <c r="C91" s="1">
        <v>11.462</v>
      </c>
      <c r="D91" s="1">
        <v>6.0000000000000001E-3</v>
      </c>
      <c r="E91" s="1" t="s">
        <v>1</v>
      </c>
      <c r="F91" s="1" t="s">
        <v>98</v>
      </c>
      <c r="G91" s="1">
        <f t="shared" si="3"/>
        <v>8345.5036999997683</v>
      </c>
      <c r="H91" s="1">
        <f t="shared" si="4"/>
        <v>11.462</v>
      </c>
      <c r="I91" s="1" t="str">
        <f t="shared" si="5"/>
        <v>DFS</v>
      </c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30" x14ac:dyDescent="0.25">
      <c r="A92" s="1">
        <v>2458345.5052899998</v>
      </c>
      <c r="B92" s="1" t="s">
        <v>78</v>
      </c>
      <c r="C92" s="1">
        <v>11.465</v>
      </c>
      <c r="D92" s="1">
        <v>6.0000000000000001E-3</v>
      </c>
      <c r="E92" s="1" t="s">
        <v>1</v>
      </c>
      <c r="F92" s="1" t="s">
        <v>98</v>
      </c>
      <c r="G92" s="1">
        <f t="shared" si="3"/>
        <v>8345.5052899997681</v>
      </c>
      <c r="H92" s="1">
        <f t="shared" si="4"/>
        <v>11.465</v>
      </c>
      <c r="I92" s="1" t="str">
        <f t="shared" si="5"/>
        <v>DFS</v>
      </c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30" x14ac:dyDescent="0.25">
      <c r="A93" s="1">
        <v>2458345.5068799998</v>
      </c>
      <c r="B93" s="1" t="s">
        <v>78</v>
      </c>
      <c r="C93" s="1">
        <v>11.46</v>
      </c>
      <c r="D93" s="1">
        <v>6.0000000000000001E-3</v>
      </c>
      <c r="E93" s="1" t="s">
        <v>1</v>
      </c>
      <c r="F93" s="1" t="s">
        <v>98</v>
      </c>
      <c r="G93" s="1">
        <f t="shared" si="3"/>
        <v>8345.506879999768</v>
      </c>
      <c r="H93" s="1">
        <f t="shared" si="4"/>
        <v>11.46</v>
      </c>
      <c r="I93" s="1" t="str">
        <f t="shared" si="5"/>
        <v>DFS</v>
      </c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30" x14ac:dyDescent="0.25">
      <c r="A94" s="1">
        <v>2458345.5084699998</v>
      </c>
      <c r="B94" s="1" t="s">
        <v>78</v>
      </c>
      <c r="C94" s="1">
        <v>11.452</v>
      </c>
      <c r="D94" s="1">
        <v>6.0000000000000001E-3</v>
      </c>
      <c r="E94" s="1" t="s">
        <v>1</v>
      </c>
      <c r="F94" s="1" t="s">
        <v>98</v>
      </c>
      <c r="G94" s="1">
        <f t="shared" si="3"/>
        <v>8345.5084699997678</v>
      </c>
      <c r="H94" s="1">
        <f t="shared" si="4"/>
        <v>11.452</v>
      </c>
      <c r="I94" s="1" t="str">
        <f t="shared" si="5"/>
        <v>DFS</v>
      </c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30" x14ac:dyDescent="0.25">
      <c r="A95" s="1">
        <v>2458345.5100500002</v>
      </c>
      <c r="B95" s="1" t="s">
        <v>78</v>
      </c>
      <c r="C95" s="1">
        <v>11.459</v>
      </c>
      <c r="D95" s="1">
        <v>6.0000000000000001E-3</v>
      </c>
      <c r="E95" s="1" t="s">
        <v>1</v>
      </c>
      <c r="F95" s="1" t="s">
        <v>98</v>
      </c>
      <c r="G95" s="1">
        <f t="shared" si="3"/>
        <v>8345.5100500001572</v>
      </c>
      <c r="H95" s="1">
        <f t="shared" si="4"/>
        <v>11.459</v>
      </c>
      <c r="I95" s="1" t="str">
        <f t="shared" si="5"/>
        <v>DFS</v>
      </c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30" x14ac:dyDescent="0.25">
      <c r="A96" s="1">
        <v>2458345.5116400002</v>
      </c>
      <c r="B96" s="1" t="s">
        <v>78</v>
      </c>
      <c r="C96" s="1">
        <v>11.449</v>
      </c>
      <c r="D96" s="1">
        <v>6.0000000000000001E-3</v>
      </c>
      <c r="E96" s="1" t="s">
        <v>1</v>
      </c>
      <c r="F96" s="1" t="s">
        <v>98</v>
      </c>
      <c r="G96" s="1">
        <f t="shared" si="3"/>
        <v>8345.5116400001571</v>
      </c>
      <c r="H96" s="1">
        <f t="shared" si="4"/>
        <v>11.449</v>
      </c>
      <c r="I96" s="1" t="str">
        <f t="shared" si="5"/>
        <v>DFS</v>
      </c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30" x14ac:dyDescent="0.25">
      <c r="A97" s="1">
        <v>2458345.5132300002</v>
      </c>
      <c r="B97" s="1" t="s">
        <v>78</v>
      </c>
      <c r="C97" s="1">
        <v>11.465</v>
      </c>
      <c r="D97" s="1">
        <v>6.0000000000000001E-3</v>
      </c>
      <c r="E97" s="1" t="s">
        <v>1</v>
      </c>
      <c r="F97" s="1" t="s">
        <v>98</v>
      </c>
      <c r="G97" s="1">
        <f t="shared" si="3"/>
        <v>8345.5132300001569</v>
      </c>
      <c r="H97" s="1">
        <f t="shared" si="4"/>
        <v>11.465</v>
      </c>
      <c r="I97" s="1" t="str">
        <f t="shared" si="5"/>
        <v>DFS</v>
      </c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30" x14ac:dyDescent="0.25">
      <c r="A98" s="1">
        <v>2458345.5148100001</v>
      </c>
      <c r="B98" s="1" t="s">
        <v>78</v>
      </c>
      <c r="C98" s="1">
        <v>11.462</v>
      </c>
      <c r="D98" s="1">
        <v>6.0000000000000001E-3</v>
      </c>
      <c r="E98" s="1" t="s">
        <v>1</v>
      </c>
      <c r="F98" s="1" t="s">
        <v>98</v>
      </c>
      <c r="G98" s="1">
        <f t="shared" si="3"/>
        <v>8345.5148100000806</v>
      </c>
      <c r="H98" s="1">
        <f t="shared" si="4"/>
        <v>11.462</v>
      </c>
      <c r="I98" s="1" t="str">
        <f t="shared" si="5"/>
        <v>DFS</v>
      </c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30" x14ac:dyDescent="0.25">
      <c r="A99" s="1">
        <v>2458345.5164000001</v>
      </c>
      <c r="B99" s="1" t="s">
        <v>78</v>
      </c>
      <c r="C99" s="1">
        <v>11.451000000000001</v>
      </c>
      <c r="D99" s="1">
        <v>6.0000000000000001E-3</v>
      </c>
      <c r="E99" s="1" t="s">
        <v>1</v>
      </c>
      <c r="F99" s="1" t="s">
        <v>98</v>
      </c>
      <c r="G99" s="1">
        <f t="shared" si="3"/>
        <v>8345.5164000000805</v>
      </c>
      <c r="H99" s="1">
        <f t="shared" si="4"/>
        <v>11.451000000000001</v>
      </c>
      <c r="I99" s="1" t="str">
        <f t="shared" si="5"/>
        <v>DFS</v>
      </c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30" x14ac:dyDescent="0.25">
      <c r="A100" s="1">
        <v>2458345.5179900001</v>
      </c>
      <c r="B100" s="1" t="s">
        <v>78</v>
      </c>
      <c r="C100" s="1">
        <v>11.457000000000001</v>
      </c>
      <c r="D100" s="1">
        <v>6.0000000000000001E-3</v>
      </c>
      <c r="E100" s="1" t="s">
        <v>1</v>
      </c>
      <c r="F100" s="1" t="s">
        <v>98</v>
      </c>
      <c r="G100" s="1">
        <f t="shared" si="3"/>
        <v>8345.5179900000803</v>
      </c>
      <c r="H100" s="1">
        <f t="shared" si="4"/>
        <v>11.457000000000001</v>
      </c>
      <c r="I100" s="1" t="str">
        <f t="shared" si="5"/>
        <v>DFS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30" x14ac:dyDescent="0.25">
      <c r="A101" s="1">
        <v>2458345.5195800001</v>
      </c>
      <c r="B101" s="1" t="s">
        <v>78</v>
      </c>
      <c r="C101" s="1">
        <v>11.444000000000001</v>
      </c>
      <c r="D101" s="1">
        <v>6.0000000000000001E-3</v>
      </c>
      <c r="E101" s="1" t="s">
        <v>1</v>
      </c>
      <c r="F101" s="1" t="s">
        <v>98</v>
      </c>
      <c r="G101" s="1">
        <f t="shared" si="3"/>
        <v>8345.5195800000802</v>
      </c>
      <c r="H101" s="1">
        <f t="shared" si="4"/>
        <v>11.444000000000001</v>
      </c>
      <c r="I101" s="1" t="str">
        <f t="shared" si="5"/>
        <v>DFS</v>
      </c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30" hidden="1" x14ac:dyDescent="0.25">
      <c r="A102" s="1">
        <v>2458345.5219800002</v>
      </c>
      <c r="B102" s="1" t="s">
        <v>78</v>
      </c>
      <c r="C102" s="1">
        <v>11.433</v>
      </c>
      <c r="D102" s="1">
        <v>0.01</v>
      </c>
      <c r="E102" s="1" t="s">
        <v>1</v>
      </c>
      <c r="F102" s="1" t="s">
        <v>285</v>
      </c>
      <c r="G102" s="1">
        <f t="shared" si="3"/>
        <v>8345.5219800001942</v>
      </c>
      <c r="H102" s="1">
        <f t="shared" si="4"/>
        <v>11.433</v>
      </c>
      <c r="I102" s="1" t="str">
        <f t="shared" si="5"/>
        <v>VMT</v>
      </c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30" hidden="1" x14ac:dyDescent="0.25">
      <c r="A103" s="1">
        <v>2458345.52275</v>
      </c>
      <c r="B103" s="1" t="s">
        <v>78</v>
      </c>
      <c r="C103" s="1">
        <v>11.448</v>
      </c>
      <c r="D103" s="1">
        <v>0.01</v>
      </c>
      <c r="E103" s="1" t="s">
        <v>1</v>
      </c>
      <c r="F103" s="1" t="s">
        <v>285</v>
      </c>
      <c r="G103" s="1">
        <f t="shared" si="3"/>
        <v>8345.5227500000037</v>
      </c>
      <c r="H103" s="1">
        <f t="shared" si="4"/>
        <v>11.448</v>
      </c>
      <c r="I103" s="1" t="str">
        <f t="shared" si="5"/>
        <v>VMT</v>
      </c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30" x14ac:dyDescent="0.25">
      <c r="A104" s="1">
        <v>2458345.75661</v>
      </c>
      <c r="B104" s="1" t="s">
        <v>78</v>
      </c>
      <c r="C104" s="1">
        <v>11.477</v>
      </c>
      <c r="D104" s="1">
        <v>5.0000000000000001E-3</v>
      </c>
      <c r="E104" s="1" t="s">
        <v>1</v>
      </c>
      <c r="F104" s="1" t="s">
        <v>99</v>
      </c>
      <c r="G104" s="1">
        <f t="shared" si="3"/>
        <v>8345.7566100000404</v>
      </c>
      <c r="H104" s="1">
        <f t="shared" si="4"/>
        <v>11.477</v>
      </c>
      <c r="I104" s="1" t="str">
        <f t="shared" si="5"/>
        <v>LPAC</v>
      </c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30" x14ac:dyDescent="0.25">
      <c r="A105" s="1">
        <v>2458345.7570000002</v>
      </c>
      <c r="B105" s="1" t="s">
        <v>78</v>
      </c>
      <c r="C105" s="1">
        <v>11.554</v>
      </c>
      <c r="D105" s="1">
        <v>5.0000000000000001E-3</v>
      </c>
      <c r="E105" s="1" t="s">
        <v>1</v>
      </c>
      <c r="F105" s="1" t="s">
        <v>99</v>
      </c>
      <c r="G105" s="1">
        <f t="shared" si="3"/>
        <v>8345.7570000002161</v>
      </c>
      <c r="H105" s="1">
        <f t="shared" si="4"/>
        <v>11.554</v>
      </c>
      <c r="I105" s="1" t="str">
        <f t="shared" si="5"/>
        <v>LPAC</v>
      </c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30" x14ac:dyDescent="0.25">
      <c r="A106" s="1">
        <v>2458345.7574100001</v>
      </c>
      <c r="B106" s="1" t="s">
        <v>78</v>
      </c>
      <c r="C106" s="1">
        <v>11.513999999999999</v>
      </c>
      <c r="D106" s="1">
        <v>5.0000000000000001E-3</v>
      </c>
      <c r="E106" s="1" t="s">
        <v>1</v>
      </c>
      <c r="F106" s="1" t="s">
        <v>99</v>
      </c>
      <c r="G106" s="1">
        <f t="shared" si="3"/>
        <v>8345.7574100000784</v>
      </c>
      <c r="H106" s="1">
        <f t="shared" si="4"/>
        <v>11.513999999999999</v>
      </c>
      <c r="I106" s="1" t="str">
        <f t="shared" si="5"/>
        <v>LPAC</v>
      </c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30" x14ac:dyDescent="0.25">
      <c r="A107" s="1">
        <v>2458345.7578099999</v>
      </c>
      <c r="B107" s="1" t="s">
        <v>78</v>
      </c>
      <c r="C107" s="1">
        <v>11.536</v>
      </c>
      <c r="D107" s="1">
        <v>5.0000000000000001E-3</v>
      </c>
      <c r="E107" s="1" t="s">
        <v>1</v>
      </c>
      <c r="F107" s="1" t="s">
        <v>99</v>
      </c>
      <c r="G107" s="1">
        <f t="shared" si="3"/>
        <v>8345.7578099998645</v>
      </c>
      <c r="H107" s="1">
        <f t="shared" si="4"/>
        <v>11.536</v>
      </c>
      <c r="I107" s="1" t="str">
        <f t="shared" si="5"/>
        <v>LPAC</v>
      </c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30" x14ac:dyDescent="0.25">
      <c r="A108" s="1">
        <v>2458345.7582200002</v>
      </c>
      <c r="B108" s="1" t="s">
        <v>78</v>
      </c>
      <c r="C108" s="1">
        <v>11.528</v>
      </c>
      <c r="D108" s="1">
        <v>5.0000000000000001E-3</v>
      </c>
      <c r="E108" s="1" t="s">
        <v>1</v>
      </c>
      <c r="F108" s="1" t="s">
        <v>99</v>
      </c>
      <c r="G108" s="1">
        <f t="shared" si="3"/>
        <v>8345.7582200001925</v>
      </c>
      <c r="H108" s="1">
        <f t="shared" si="4"/>
        <v>11.528</v>
      </c>
      <c r="I108" s="1" t="str">
        <f t="shared" si="5"/>
        <v>LPAC</v>
      </c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30" x14ac:dyDescent="0.25">
      <c r="A109" s="1">
        <v>2458345.75862</v>
      </c>
      <c r="B109" s="1" t="s">
        <v>78</v>
      </c>
      <c r="C109" s="1">
        <v>11.484</v>
      </c>
      <c r="D109" s="1">
        <v>5.0000000000000001E-3</v>
      </c>
      <c r="E109" s="1" t="s">
        <v>1</v>
      </c>
      <c r="F109" s="1" t="s">
        <v>99</v>
      </c>
      <c r="G109" s="1">
        <f t="shared" si="3"/>
        <v>8345.7586199999787</v>
      </c>
      <c r="H109" s="1">
        <f t="shared" si="4"/>
        <v>11.484</v>
      </c>
      <c r="I109" s="1" t="str">
        <f t="shared" si="5"/>
        <v>LPAC</v>
      </c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30" x14ac:dyDescent="0.25">
      <c r="A110" s="1">
        <v>2458345.7590200002</v>
      </c>
      <c r="B110" s="1" t="s">
        <v>78</v>
      </c>
      <c r="C110" s="1">
        <v>11.462</v>
      </c>
      <c r="D110" s="1">
        <v>5.0000000000000001E-3</v>
      </c>
      <c r="E110" s="1" t="s">
        <v>1</v>
      </c>
      <c r="F110" s="1" t="s">
        <v>99</v>
      </c>
      <c r="G110" s="1">
        <f t="shared" si="3"/>
        <v>8345.7590200002305</v>
      </c>
      <c r="H110" s="1">
        <f t="shared" si="4"/>
        <v>11.462</v>
      </c>
      <c r="I110" s="1" t="str">
        <f t="shared" si="5"/>
        <v>LPAC</v>
      </c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30" x14ac:dyDescent="0.25">
      <c r="A111" s="1">
        <v>2458345.7594300001</v>
      </c>
      <c r="B111" s="1" t="s">
        <v>78</v>
      </c>
      <c r="C111" s="1">
        <v>11.464</v>
      </c>
      <c r="D111" s="1">
        <v>5.0000000000000001E-3</v>
      </c>
      <c r="E111" s="1" t="s">
        <v>1</v>
      </c>
      <c r="F111" s="1" t="s">
        <v>99</v>
      </c>
      <c r="G111" s="1">
        <f t="shared" si="3"/>
        <v>8345.7594300000928</v>
      </c>
      <c r="H111" s="1">
        <f t="shared" si="4"/>
        <v>11.464</v>
      </c>
      <c r="I111" s="1" t="str">
        <f t="shared" si="5"/>
        <v>LPAC</v>
      </c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30" x14ac:dyDescent="0.25">
      <c r="A112" s="1">
        <v>2458345.7598299999</v>
      </c>
      <c r="B112" s="1" t="s">
        <v>78</v>
      </c>
      <c r="C112" s="1">
        <v>11.48</v>
      </c>
      <c r="D112" s="1">
        <v>5.0000000000000001E-3</v>
      </c>
      <c r="E112" s="1" t="s">
        <v>1</v>
      </c>
      <c r="F112" s="1" t="s">
        <v>99</v>
      </c>
      <c r="G112" s="1">
        <f t="shared" si="3"/>
        <v>8345.759829999879</v>
      </c>
      <c r="H112" s="1">
        <f t="shared" si="4"/>
        <v>11.48</v>
      </c>
      <c r="I112" s="1" t="str">
        <f t="shared" si="5"/>
        <v>LPAC</v>
      </c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30" x14ac:dyDescent="0.25">
      <c r="A113" s="1">
        <v>2458345.76064</v>
      </c>
      <c r="B113" s="1" t="s">
        <v>78</v>
      </c>
      <c r="C113" s="1">
        <v>11.513999999999999</v>
      </c>
      <c r="D113" s="1">
        <v>5.0000000000000001E-3</v>
      </c>
      <c r="E113" s="1" t="s">
        <v>1</v>
      </c>
      <c r="F113" s="1" t="s">
        <v>99</v>
      </c>
      <c r="G113" s="1">
        <f t="shared" si="3"/>
        <v>8345.7606399999931</v>
      </c>
      <c r="H113" s="1">
        <f t="shared" si="4"/>
        <v>11.513999999999999</v>
      </c>
      <c r="I113" s="1" t="str">
        <f t="shared" si="5"/>
        <v>LPAC</v>
      </c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30" x14ac:dyDescent="0.25">
      <c r="A114" s="1">
        <v>2458345.7610300002</v>
      </c>
      <c r="B114" s="1" t="s">
        <v>78</v>
      </c>
      <c r="C114" s="1">
        <v>11.472</v>
      </c>
      <c r="D114" s="1">
        <v>5.0000000000000001E-3</v>
      </c>
      <c r="E114" s="1" t="s">
        <v>1</v>
      </c>
      <c r="F114" s="1" t="s">
        <v>99</v>
      </c>
      <c r="G114" s="1">
        <f t="shared" si="3"/>
        <v>8345.7610300001688</v>
      </c>
      <c r="H114" s="1">
        <f t="shared" si="4"/>
        <v>11.472</v>
      </c>
      <c r="I114" s="1" t="str">
        <f t="shared" si="5"/>
        <v>LPAC</v>
      </c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30" x14ac:dyDescent="0.25">
      <c r="A115" s="1">
        <v>2458345.76144</v>
      </c>
      <c r="B115" s="1" t="s">
        <v>78</v>
      </c>
      <c r="C115" s="1">
        <v>11.49</v>
      </c>
      <c r="D115" s="1">
        <v>5.0000000000000001E-3</v>
      </c>
      <c r="E115" s="1" t="s">
        <v>1</v>
      </c>
      <c r="F115" s="1" t="s">
        <v>99</v>
      </c>
      <c r="G115" s="1">
        <f t="shared" si="3"/>
        <v>8345.7614400000311</v>
      </c>
      <c r="H115" s="1">
        <f t="shared" si="4"/>
        <v>11.49</v>
      </c>
      <c r="I115" s="1" t="str">
        <f t="shared" si="5"/>
        <v>LPAC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30" x14ac:dyDescent="0.25">
      <c r="A116" s="1">
        <v>2458345.7618399998</v>
      </c>
      <c r="B116" s="1" t="s">
        <v>78</v>
      </c>
      <c r="C116" s="1">
        <v>11.510999999999999</v>
      </c>
      <c r="D116" s="1">
        <v>5.0000000000000001E-3</v>
      </c>
      <c r="E116" s="1" t="s">
        <v>1</v>
      </c>
      <c r="F116" s="1" t="s">
        <v>99</v>
      </c>
      <c r="G116" s="1">
        <f t="shared" si="3"/>
        <v>8345.7618399998173</v>
      </c>
      <c r="H116" s="1">
        <f t="shared" si="4"/>
        <v>11.510999999999999</v>
      </c>
      <c r="I116" s="1" t="str">
        <f t="shared" si="5"/>
        <v>LPAC</v>
      </c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30" x14ac:dyDescent="0.25">
      <c r="A117" s="1">
        <v>2458345.7622500001</v>
      </c>
      <c r="B117" s="1" t="s">
        <v>78</v>
      </c>
      <c r="C117" s="1">
        <v>11.535</v>
      </c>
      <c r="D117" s="1">
        <v>5.0000000000000001E-3</v>
      </c>
      <c r="E117" s="1" t="s">
        <v>1</v>
      </c>
      <c r="F117" s="1" t="s">
        <v>99</v>
      </c>
      <c r="G117" s="1">
        <f t="shared" si="3"/>
        <v>8345.7622500001453</v>
      </c>
      <c r="H117" s="1">
        <f t="shared" si="4"/>
        <v>11.535</v>
      </c>
      <c r="I117" s="1" t="str">
        <f t="shared" si="5"/>
        <v>LPAC</v>
      </c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30" x14ac:dyDescent="0.25">
      <c r="A118" s="1">
        <v>2458345.7626399999</v>
      </c>
      <c r="B118" s="1" t="s">
        <v>78</v>
      </c>
      <c r="C118" s="1">
        <v>11.491</v>
      </c>
      <c r="D118" s="1">
        <v>5.0000000000000001E-3</v>
      </c>
      <c r="E118" s="1" t="s">
        <v>1</v>
      </c>
      <c r="F118" s="1" t="s">
        <v>99</v>
      </c>
      <c r="G118" s="1">
        <f t="shared" si="3"/>
        <v>8345.7626399998553</v>
      </c>
      <c r="H118" s="1">
        <f t="shared" si="4"/>
        <v>11.491</v>
      </c>
      <c r="I118" s="1" t="str">
        <f t="shared" si="5"/>
        <v>LPAC</v>
      </c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30" x14ac:dyDescent="0.25">
      <c r="A119" s="1">
        <v>2458345.7630400001</v>
      </c>
      <c r="B119" s="1" t="s">
        <v>78</v>
      </c>
      <c r="C119" s="1">
        <v>11.489000000000001</v>
      </c>
      <c r="D119" s="1">
        <v>5.0000000000000001E-3</v>
      </c>
      <c r="E119" s="1" t="s">
        <v>1</v>
      </c>
      <c r="F119" s="1" t="s">
        <v>99</v>
      </c>
      <c r="G119" s="1">
        <f t="shared" si="3"/>
        <v>8345.7630400001071</v>
      </c>
      <c r="H119" s="1">
        <f t="shared" si="4"/>
        <v>11.489000000000001</v>
      </c>
      <c r="I119" s="1" t="str">
        <f t="shared" si="5"/>
        <v>LPAC</v>
      </c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30" x14ac:dyDescent="0.25">
      <c r="A120" s="1">
        <v>2458345.76345</v>
      </c>
      <c r="B120" s="1" t="s">
        <v>78</v>
      </c>
      <c r="C120" s="1">
        <v>11.494999999999999</v>
      </c>
      <c r="D120" s="1">
        <v>5.0000000000000001E-3</v>
      </c>
      <c r="E120" s="1" t="s">
        <v>1</v>
      </c>
      <c r="F120" s="1" t="s">
        <v>99</v>
      </c>
      <c r="G120" s="1">
        <f t="shared" si="3"/>
        <v>8345.7634499999695</v>
      </c>
      <c r="H120" s="1">
        <f t="shared" si="4"/>
        <v>11.494999999999999</v>
      </c>
      <c r="I120" s="1" t="str">
        <f t="shared" si="5"/>
        <v>LPAC</v>
      </c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30" x14ac:dyDescent="0.25">
      <c r="A121" s="1">
        <v>2458345.7638500002</v>
      </c>
      <c r="B121" s="1" t="s">
        <v>78</v>
      </c>
      <c r="C121" s="1">
        <v>11.536</v>
      </c>
      <c r="D121" s="1">
        <v>5.0000000000000001E-3</v>
      </c>
      <c r="E121" s="1" t="s">
        <v>1</v>
      </c>
      <c r="F121" s="1" t="s">
        <v>99</v>
      </c>
      <c r="G121" s="1">
        <f t="shared" si="3"/>
        <v>8345.7638500002213</v>
      </c>
      <c r="H121" s="1">
        <f t="shared" si="4"/>
        <v>11.536</v>
      </c>
      <c r="I121" s="1" t="str">
        <f t="shared" si="5"/>
        <v>LPAC</v>
      </c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30" x14ac:dyDescent="0.25">
      <c r="A122" s="1">
        <v>2458345.76425</v>
      </c>
      <c r="B122" s="1" t="s">
        <v>78</v>
      </c>
      <c r="C122" s="1">
        <v>11.615</v>
      </c>
      <c r="D122" s="1">
        <v>5.0000000000000001E-3</v>
      </c>
      <c r="E122" s="1" t="s">
        <v>1</v>
      </c>
      <c r="F122" s="1" t="s">
        <v>99</v>
      </c>
      <c r="G122" s="1">
        <f t="shared" si="3"/>
        <v>8345.7642500000075</v>
      </c>
      <c r="H122" s="1">
        <f t="shared" si="4"/>
        <v>11.615</v>
      </c>
      <c r="I122" s="1" t="str">
        <f t="shared" si="5"/>
        <v>LPAC</v>
      </c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30" x14ac:dyDescent="0.25">
      <c r="A123" s="1">
        <v>2458345.7646499998</v>
      </c>
      <c r="B123" s="1" t="s">
        <v>78</v>
      </c>
      <c r="C123" s="1">
        <v>11.478</v>
      </c>
      <c r="D123" s="1">
        <v>5.0000000000000001E-3</v>
      </c>
      <c r="E123" s="1" t="s">
        <v>1</v>
      </c>
      <c r="F123" s="1" t="s">
        <v>99</v>
      </c>
      <c r="G123" s="1">
        <f t="shared" si="3"/>
        <v>8345.7646499997936</v>
      </c>
      <c r="H123" s="1">
        <f t="shared" si="4"/>
        <v>11.478</v>
      </c>
      <c r="I123" s="1" t="str">
        <f t="shared" si="5"/>
        <v>LPAC</v>
      </c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ht="30" x14ac:dyDescent="0.25">
      <c r="A124" s="1">
        <v>2458345.76505</v>
      </c>
      <c r="B124" s="1" t="s">
        <v>78</v>
      </c>
      <c r="C124" s="1">
        <v>11.504</v>
      </c>
      <c r="D124" s="1">
        <v>5.0000000000000001E-3</v>
      </c>
      <c r="E124" s="1" t="s">
        <v>1</v>
      </c>
      <c r="F124" s="1" t="s">
        <v>99</v>
      </c>
      <c r="G124" s="1">
        <f t="shared" si="3"/>
        <v>8345.7650500000454</v>
      </c>
      <c r="H124" s="1">
        <f t="shared" si="4"/>
        <v>11.504</v>
      </c>
      <c r="I124" s="1" t="str">
        <f t="shared" si="5"/>
        <v>LPAC</v>
      </c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ht="30" x14ac:dyDescent="0.25">
      <c r="A125" s="1">
        <v>2458345.7654499998</v>
      </c>
      <c r="B125" s="1" t="s">
        <v>78</v>
      </c>
      <c r="C125" s="1">
        <v>11.478999999999999</v>
      </c>
      <c r="D125" s="1">
        <v>5.0000000000000001E-3</v>
      </c>
      <c r="E125" s="1" t="s">
        <v>1</v>
      </c>
      <c r="F125" s="1" t="s">
        <v>99</v>
      </c>
      <c r="G125" s="1">
        <f t="shared" si="3"/>
        <v>8345.7654499998316</v>
      </c>
      <c r="H125" s="1">
        <f t="shared" si="4"/>
        <v>11.478999999999999</v>
      </c>
      <c r="I125" s="1" t="str">
        <f t="shared" si="5"/>
        <v>LPAC</v>
      </c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ht="30" x14ac:dyDescent="0.25">
      <c r="A126" s="1">
        <v>2458345.7658600002</v>
      </c>
      <c r="B126" s="1" t="s">
        <v>78</v>
      </c>
      <c r="C126" s="1">
        <v>11.476000000000001</v>
      </c>
      <c r="D126" s="1">
        <v>5.0000000000000001E-3</v>
      </c>
      <c r="E126" s="1" t="s">
        <v>1</v>
      </c>
      <c r="F126" s="1" t="s">
        <v>99</v>
      </c>
      <c r="G126" s="1">
        <f t="shared" si="3"/>
        <v>8345.7658600001596</v>
      </c>
      <c r="H126" s="1">
        <f t="shared" si="4"/>
        <v>11.476000000000001</v>
      </c>
      <c r="I126" s="1" t="str">
        <f t="shared" si="5"/>
        <v>LPAC</v>
      </c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ht="30" x14ac:dyDescent="0.25">
      <c r="A127" s="1">
        <v>2458345.7662499999</v>
      </c>
      <c r="B127" s="1" t="s">
        <v>78</v>
      </c>
      <c r="C127" s="1">
        <v>11.507999999999999</v>
      </c>
      <c r="D127" s="1">
        <v>5.0000000000000001E-3</v>
      </c>
      <c r="E127" s="1" t="s">
        <v>1</v>
      </c>
      <c r="F127" s="1" t="s">
        <v>99</v>
      </c>
      <c r="G127" s="1">
        <f t="shared" si="3"/>
        <v>8345.7662499998696</v>
      </c>
      <c r="H127" s="1">
        <f t="shared" si="4"/>
        <v>11.507999999999999</v>
      </c>
      <c r="I127" s="1" t="str">
        <f t="shared" si="5"/>
        <v>LPAC</v>
      </c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ht="30" x14ac:dyDescent="0.25">
      <c r="A128" s="1">
        <v>2458345.7666600002</v>
      </c>
      <c r="B128" s="1" t="s">
        <v>78</v>
      </c>
      <c r="C128" s="1">
        <v>11.497</v>
      </c>
      <c r="D128" s="1">
        <v>5.0000000000000001E-3</v>
      </c>
      <c r="E128" s="1" t="s">
        <v>1</v>
      </c>
      <c r="F128" s="1" t="s">
        <v>99</v>
      </c>
      <c r="G128" s="1">
        <f t="shared" si="3"/>
        <v>8345.7666600001976</v>
      </c>
      <c r="H128" s="1">
        <f t="shared" si="4"/>
        <v>11.497</v>
      </c>
      <c r="I128" s="1" t="str">
        <f t="shared" si="5"/>
        <v>LPAC</v>
      </c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ht="30" x14ac:dyDescent="0.25">
      <c r="A129" s="1">
        <v>2458345.7670499999</v>
      </c>
      <c r="B129" s="1" t="s">
        <v>78</v>
      </c>
      <c r="C129" s="1">
        <v>11.525</v>
      </c>
      <c r="D129" s="1">
        <v>5.0000000000000001E-3</v>
      </c>
      <c r="E129" s="1" t="s">
        <v>1</v>
      </c>
      <c r="F129" s="1" t="s">
        <v>99</v>
      </c>
      <c r="G129" s="1">
        <f t="shared" si="3"/>
        <v>8345.7670499999076</v>
      </c>
      <c r="H129" s="1">
        <f t="shared" si="4"/>
        <v>11.525</v>
      </c>
      <c r="I129" s="1" t="str">
        <f t="shared" si="5"/>
        <v>LPAC</v>
      </c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ht="30" x14ac:dyDescent="0.25">
      <c r="A130" s="1">
        <v>2458345.7674500002</v>
      </c>
      <c r="B130" s="1" t="s">
        <v>78</v>
      </c>
      <c r="C130" s="1">
        <v>11.489000000000001</v>
      </c>
      <c r="D130" s="1">
        <v>5.0000000000000001E-3</v>
      </c>
      <c r="E130" s="1" t="s">
        <v>1</v>
      </c>
      <c r="F130" s="1" t="s">
        <v>99</v>
      </c>
      <c r="G130" s="1">
        <f t="shared" si="3"/>
        <v>8345.7674500001594</v>
      </c>
      <c r="H130" s="1">
        <f t="shared" si="4"/>
        <v>11.489000000000001</v>
      </c>
      <c r="I130" s="1" t="str">
        <f t="shared" si="5"/>
        <v>LPAC</v>
      </c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ht="30" x14ac:dyDescent="0.25">
      <c r="A131" s="1">
        <v>2458345.76786</v>
      </c>
      <c r="B131" s="1" t="s">
        <v>78</v>
      </c>
      <c r="C131" s="1">
        <v>11.553000000000001</v>
      </c>
      <c r="D131" s="1">
        <v>5.0000000000000001E-3</v>
      </c>
      <c r="E131" s="1" t="s">
        <v>1</v>
      </c>
      <c r="F131" s="1" t="s">
        <v>99</v>
      </c>
      <c r="G131" s="1">
        <f t="shared" ref="G131:G194" si="6">+A131-2450000</f>
        <v>8345.7678600000218</v>
      </c>
      <c r="H131" s="1">
        <f t="shared" ref="H131:H194" si="7">+C131</f>
        <v>11.553000000000001</v>
      </c>
      <c r="I131" s="1" t="str">
        <f t="shared" ref="I131:I194" si="8">+F131</f>
        <v>LPAC</v>
      </c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ht="30" x14ac:dyDescent="0.25">
      <c r="A132" s="1">
        <v>2458345.7682599998</v>
      </c>
      <c r="B132" s="1" t="s">
        <v>78</v>
      </c>
      <c r="C132" s="1">
        <v>11.515000000000001</v>
      </c>
      <c r="D132" s="1">
        <v>5.0000000000000001E-3</v>
      </c>
      <c r="E132" s="1" t="s">
        <v>1</v>
      </c>
      <c r="F132" s="1" t="s">
        <v>99</v>
      </c>
      <c r="G132" s="1">
        <f t="shared" si="6"/>
        <v>8345.7682599998079</v>
      </c>
      <c r="H132" s="1">
        <f t="shared" si="7"/>
        <v>11.515000000000001</v>
      </c>
      <c r="I132" s="1" t="str">
        <f t="shared" si="8"/>
        <v>LPAC</v>
      </c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ht="30" x14ac:dyDescent="0.25">
      <c r="A133" s="1">
        <v>2458345.7686600001</v>
      </c>
      <c r="B133" s="1" t="s">
        <v>78</v>
      </c>
      <c r="C133" s="1">
        <v>11.497</v>
      </c>
      <c r="D133" s="1">
        <v>5.0000000000000001E-3</v>
      </c>
      <c r="E133" s="1" t="s">
        <v>1</v>
      </c>
      <c r="F133" s="1" t="s">
        <v>99</v>
      </c>
      <c r="G133" s="1">
        <f t="shared" si="6"/>
        <v>8345.7686600000598</v>
      </c>
      <c r="H133" s="1">
        <f t="shared" si="7"/>
        <v>11.497</v>
      </c>
      <c r="I133" s="1" t="str">
        <f t="shared" si="8"/>
        <v>LPAC</v>
      </c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ht="30" x14ac:dyDescent="0.25">
      <c r="A134" s="1">
        <v>2458345.7690499998</v>
      </c>
      <c r="B134" s="1" t="s">
        <v>78</v>
      </c>
      <c r="C134" s="1">
        <v>11.523</v>
      </c>
      <c r="D134" s="1">
        <v>5.0000000000000001E-3</v>
      </c>
      <c r="E134" s="1" t="s">
        <v>1</v>
      </c>
      <c r="F134" s="1" t="s">
        <v>99</v>
      </c>
      <c r="G134" s="1">
        <f t="shared" si="6"/>
        <v>8345.7690499997698</v>
      </c>
      <c r="H134" s="1">
        <f t="shared" si="7"/>
        <v>11.523</v>
      </c>
      <c r="I134" s="1" t="str">
        <f t="shared" si="8"/>
        <v>LPAC</v>
      </c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ht="30" x14ac:dyDescent="0.25">
      <c r="A135" s="1">
        <v>2458345.7694700002</v>
      </c>
      <c r="B135" s="1" t="s">
        <v>78</v>
      </c>
      <c r="C135" s="1">
        <v>11.512</v>
      </c>
      <c r="D135" s="1">
        <v>5.0000000000000001E-3</v>
      </c>
      <c r="E135" s="1" t="s">
        <v>1</v>
      </c>
      <c r="F135" s="1" t="s">
        <v>99</v>
      </c>
      <c r="G135" s="1">
        <f t="shared" si="6"/>
        <v>8345.7694700001739</v>
      </c>
      <c r="H135" s="1">
        <f t="shared" si="7"/>
        <v>11.512</v>
      </c>
      <c r="I135" s="1" t="str">
        <f t="shared" si="8"/>
        <v>LPAC</v>
      </c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ht="30" x14ac:dyDescent="0.25">
      <c r="A136" s="1">
        <v>2458345.7698599999</v>
      </c>
      <c r="B136" s="1" t="s">
        <v>78</v>
      </c>
      <c r="C136" s="1">
        <v>11.513</v>
      </c>
      <c r="D136" s="1">
        <v>5.0000000000000001E-3</v>
      </c>
      <c r="E136" s="1" t="s">
        <v>1</v>
      </c>
      <c r="F136" s="1" t="s">
        <v>99</v>
      </c>
      <c r="G136" s="1">
        <f t="shared" si="6"/>
        <v>8345.7698599998839</v>
      </c>
      <c r="H136" s="1">
        <f t="shared" si="7"/>
        <v>11.513</v>
      </c>
      <c r="I136" s="1" t="str">
        <f t="shared" si="8"/>
        <v>LPAC</v>
      </c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ht="30" x14ac:dyDescent="0.25">
      <c r="A137" s="1">
        <v>2458345.7702700002</v>
      </c>
      <c r="B137" s="1" t="s">
        <v>78</v>
      </c>
      <c r="C137" s="1">
        <v>11.449</v>
      </c>
      <c r="D137" s="1">
        <v>5.0000000000000001E-3</v>
      </c>
      <c r="E137" s="1" t="s">
        <v>1</v>
      </c>
      <c r="F137" s="1" t="s">
        <v>99</v>
      </c>
      <c r="G137" s="1">
        <f t="shared" si="6"/>
        <v>8345.7702700002119</v>
      </c>
      <c r="H137" s="1">
        <f t="shared" si="7"/>
        <v>11.449</v>
      </c>
      <c r="I137" s="1" t="str">
        <f t="shared" si="8"/>
        <v>LPAC</v>
      </c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ht="30" x14ac:dyDescent="0.25">
      <c r="A138" s="1">
        <v>2458345.7706599999</v>
      </c>
      <c r="B138" s="1" t="s">
        <v>78</v>
      </c>
      <c r="C138" s="1">
        <v>11.468</v>
      </c>
      <c r="D138" s="1">
        <v>5.0000000000000001E-3</v>
      </c>
      <c r="E138" s="1" t="s">
        <v>1</v>
      </c>
      <c r="F138" s="1" t="s">
        <v>99</v>
      </c>
      <c r="G138" s="1">
        <f t="shared" si="6"/>
        <v>8345.7706599999219</v>
      </c>
      <c r="H138" s="1">
        <f t="shared" si="7"/>
        <v>11.468</v>
      </c>
      <c r="I138" s="1" t="str">
        <f t="shared" si="8"/>
        <v>LPAC</v>
      </c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ht="30" x14ac:dyDescent="0.25">
      <c r="A139" s="1">
        <v>2458345.7710600002</v>
      </c>
      <c r="B139" s="1" t="s">
        <v>78</v>
      </c>
      <c r="C139" s="1">
        <v>11.483000000000001</v>
      </c>
      <c r="D139" s="1">
        <v>5.0000000000000001E-3</v>
      </c>
      <c r="E139" s="1" t="s">
        <v>1</v>
      </c>
      <c r="F139" s="1" t="s">
        <v>99</v>
      </c>
      <c r="G139" s="1">
        <f t="shared" si="6"/>
        <v>8345.7710600001737</v>
      </c>
      <c r="H139" s="1">
        <f t="shared" si="7"/>
        <v>11.483000000000001</v>
      </c>
      <c r="I139" s="1" t="str">
        <f t="shared" si="8"/>
        <v>LPAC</v>
      </c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ht="30" x14ac:dyDescent="0.25">
      <c r="A140" s="1">
        <v>2458345.77147</v>
      </c>
      <c r="B140" s="1" t="s">
        <v>78</v>
      </c>
      <c r="C140" s="1">
        <v>11.502000000000001</v>
      </c>
      <c r="D140" s="1">
        <v>5.0000000000000001E-3</v>
      </c>
      <c r="E140" s="1" t="s">
        <v>1</v>
      </c>
      <c r="F140" s="1" t="s">
        <v>99</v>
      </c>
      <c r="G140" s="1">
        <f t="shared" si="6"/>
        <v>8345.7714700000361</v>
      </c>
      <c r="H140" s="1">
        <f t="shared" si="7"/>
        <v>11.502000000000001</v>
      </c>
      <c r="I140" s="1" t="str">
        <f t="shared" si="8"/>
        <v>LPAC</v>
      </c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ht="30" x14ac:dyDescent="0.25">
      <c r="A141" s="1">
        <v>2458345.7718600002</v>
      </c>
      <c r="B141" s="1" t="s">
        <v>78</v>
      </c>
      <c r="C141" s="1">
        <v>11.539</v>
      </c>
      <c r="D141" s="1">
        <v>5.0000000000000001E-3</v>
      </c>
      <c r="E141" s="1" t="s">
        <v>1</v>
      </c>
      <c r="F141" s="1" t="s">
        <v>99</v>
      </c>
      <c r="G141" s="1">
        <f t="shared" si="6"/>
        <v>8345.7718600002117</v>
      </c>
      <c r="H141" s="1">
        <f t="shared" si="7"/>
        <v>11.539</v>
      </c>
      <c r="I141" s="1" t="str">
        <f t="shared" si="8"/>
        <v>LPAC</v>
      </c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ht="30" x14ac:dyDescent="0.25">
      <c r="A142" s="1">
        <v>2458345.7722700001</v>
      </c>
      <c r="B142" s="1" t="s">
        <v>78</v>
      </c>
      <c r="C142" s="1">
        <v>11.526999999999999</v>
      </c>
      <c r="D142" s="1">
        <v>5.0000000000000001E-3</v>
      </c>
      <c r="E142" s="1" t="s">
        <v>1</v>
      </c>
      <c r="F142" s="1" t="s">
        <v>99</v>
      </c>
      <c r="G142" s="1">
        <f t="shared" si="6"/>
        <v>8345.7722700000741</v>
      </c>
      <c r="H142" s="1">
        <f t="shared" si="7"/>
        <v>11.526999999999999</v>
      </c>
      <c r="I142" s="1" t="str">
        <f t="shared" si="8"/>
        <v>LPAC</v>
      </c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ht="30" hidden="1" x14ac:dyDescent="0.25">
      <c r="A143" s="1">
        <v>2458346.52147</v>
      </c>
      <c r="B143" s="1" t="s">
        <v>79</v>
      </c>
      <c r="C143" s="1">
        <v>11.509</v>
      </c>
      <c r="D143" s="1">
        <v>1.2E-2</v>
      </c>
      <c r="E143" s="1" t="s">
        <v>1</v>
      </c>
      <c r="F143" s="1" t="s">
        <v>285</v>
      </c>
      <c r="G143" s="1">
        <f t="shared" si="6"/>
        <v>8346.5214700000361</v>
      </c>
      <c r="H143" s="1">
        <f t="shared" si="7"/>
        <v>11.509</v>
      </c>
      <c r="I143" s="1" t="str">
        <f t="shared" si="8"/>
        <v>VMT</v>
      </c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ht="30" hidden="1" x14ac:dyDescent="0.25">
      <c r="A144" s="1">
        <v>2458346.5222299998</v>
      </c>
      <c r="B144" s="1" t="s">
        <v>79</v>
      </c>
      <c r="C144" s="1">
        <v>11.542999999999999</v>
      </c>
      <c r="D144" s="1">
        <v>1.2E-2</v>
      </c>
      <c r="E144" s="1" t="s">
        <v>1</v>
      </c>
      <c r="F144" s="1" t="s">
        <v>285</v>
      </c>
      <c r="G144" s="1">
        <f t="shared" si="6"/>
        <v>8346.5222299997695</v>
      </c>
      <c r="H144" s="1">
        <f t="shared" si="7"/>
        <v>11.542999999999999</v>
      </c>
      <c r="I144" s="1" t="str">
        <f t="shared" si="8"/>
        <v>VMT</v>
      </c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ht="30" x14ac:dyDescent="0.25">
      <c r="A145" s="1">
        <v>2458346.6552400002</v>
      </c>
      <c r="B145" s="1" t="s">
        <v>79</v>
      </c>
      <c r="C145" s="1">
        <v>11.538</v>
      </c>
      <c r="D145" s="1">
        <v>6.0000000000000001E-3</v>
      </c>
      <c r="E145" s="1" t="s">
        <v>1</v>
      </c>
      <c r="F145" s="1" t="s">
        <v>100</v>
      </c>
      <c r="G145" s="1">
        <f t="shared" si="6"/>
        <v>8346.6552400002256</v>
      </c>
      <c r="H145" s="1">
        <f t="shared" si="7"/>
        <v>11.538</v>
      </c>
      <c r="I145" s="1" t="str">
        <f t="shared" si="8"/>
        <v>SRIC</v>
      </c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ht="30" x14ac:dyDescent="0.25">
      <c r="A146" s="1">
        <v>2458346.6606700001</v>
      </c>
      <c r="B146" s="1" t="s">
        <v>79</v>
      </c>
      <c r="C146" s="1">
        <v>11.545999999999999</v>
      </c>
      <c r="D146" s="1">
        <v>5.0000000000000001E-3</v>
      </c>
      <c r="E146" s="1" t="s">
        <v>1</v>
      </c>
      <c r="F146" s="1" t="s">
        <v>100</v>
      </c>
      <c r="G146" s="1">
        <f t="shared" si="6"/>
        <v>8346.6606700001284</v>
      </c>
      <c r="H146" s="1">
        <f t="shared" si="7"/>
        <v>11.545999999999999</v>
      </c>
      <c r="I146" s="1" t="str">
        <f t="shared" si="8"/>
        <v>SRIC</v>
      </c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ht="30" x14ac:dyDescent="0.25">
      <c r="A147" s="1">
        <v>2458346.6661</v>
      </c>
      <c r="B147" s="1" t="s">
        <v>79</v>
      </c>
      <c r="C147" s="1">
        <v>11.551</v>
      </c>
      <c r="D147" s="1">
        <v>5.0000000000000001E-3</v>
      </c>
      <c r="E147" s="1" t="s">
        <v>1</v>
      </c>
      <c r="F147" s="1" t="s">
        <v>100</v>
      </c>
      <c r="G147" s="1">
        <f t="shared" si="6"/>
        <v>8346.6661000000313</v>
      </c>
      <c r="H147" s="1">
        <f t="shared" si="7"/>
        <v>11.551</v>
      </c>
      <c r="I147" s="1" t="str">
        <f t="shared" si="8"/>
        <v>SRIC</v>
      </c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ht="30" x14ac:dyDescent="0.25">
      <c r="A148" s="1">
        <v>2458346.6715299999</v>
      </c>
      <c r="B148" s="1" t="s">
        <v>79</v>
      </c>
      <c r="C148" s="1">
        <v>11.538</v>
      </c>
      <c r="D148" s="1">
        <v>5.0000000000000001E-3</v>
      </c>
      <c r="E148" s="1" t="s">
        <v>1</v>
      </c>
      <c r="F148" s="1" t="s">
        <v>100</v>
      </c>
      <c r="G148" s="1">
        <f t="shared" si="6"/>
        <v>8346.6715299999341</v>
      </c>
      <c r="H148" s="1">
        <f t="shared" si="7"/>
        <v>11.538</v>
      </c>
      <c r="I148" s="1" t="str">
        <f t="shared" si="8"/>
        <v>SRIC</v>
      </c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ht="30" x14ac:dyDescent="0.25">
      <c r="A149" s="1">
        <v>2458346.6769300001</v>
      </c>
      <c r="B149" s="1" t="s">
        <v>79</v>
      </c>
      <c r="C149" s="1">
        <v>11.541</v>
      </c>
      <c r="D149" s="1">
        <v>5.0000000000000001E-3</v>
      </c>
      <c r="E149" s="1" t="s">
        <v>1</v>
      </c>
      <c r="F149" s="1" t="s">
        <v>100</v>
      </c>
      <c r="G149" s="1">
        <f t="shared" si="6"/>
        <v>8346.6769300000742</v>
      </c>
      <c r="H149" s="1">
        <f t="shared" si="7"/>
        <v>11.541</v>
      </c>
      <c r="I149" s="1" t="str">
        <f t="shared" si="8"/>
        <v>SRIC</v>
      </c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ht="30" x14ac:dyDescent="0.25">
      <c r="A150" s="1">
        <v>2458346.68236</v>
      </c>
      <c r="B150" s="1" t="s">
        <v>79</v>
      </c>
      <c r="C150" s="1">
        <v>11.548999999999999</v>
      </c>
      <c r="D150" s="1">
        <v>5.0000000000000001E-3</v>
      </c>
      <c r="E150" s="1" t="s">
        <v>1</v>
      </c>
      <c r="F150" s="1" t="s">
        <v>100</v>
      </c>
      <c r="G150" s="1">
        <f t="shared" si="6"/>
        <v>8346.6823599999771</v>
      </c>
      <c r="H150" s="1">
        <f t="shared" si="7"/>
        <v>11.548999999999999</v>
      </c>
      <c r="I150" s="1" t="str">
        <f t="shared" si="8"/>
        <v>SRIC</v>
      </c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ht="30" x14ac:dyDescent="0.25">
      <c r="A151" s="1">
        <v>2458346.6877799998</v>
      </c>
      <c r="B151" s="1" t="s">
        <v>79</v>
      </c>
      <c r="C151" s="1">
        <v>11.541</v>
      </c>
      <c r="D151" s="1">
        <v>5.0000000000000001E-3</v>
      </c>
      <c r="E151" s="1" t="s">
        <v>1</v>
      </c>
      <c r="F151" s="1" t="s">
        <v>100</v>
      </c>
      <c r="G151" s="1">
        <f t="shared" si="6"/>
        <v>8346.6877799998038</v>
      </c>
      <c r="H151" s="1">
        <f t="shared" si="7"/>
        <v>11.541</v>
      </c>
      <c r="I151" s="1" t="str">
        <f t="shared" si="8"/>
        <v>SRIC</v>
      </c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ht="30" x14ac:dyDescent="0.25">
      <c r="A152" s="1">
        <v>2458346.69319</v>
      </c>
      <c r="B152" s="1" t="s">
        <v>79</v>
      </c>
      <c r="C152" s="1">
        <v>11.535</v>
      </c>
      <c r="D152" s="1">
        <v>5.0000000000000001E-3</v>
      </c>
      <c r="E152" s="1" t="s">
        <v>1</v>
      </c>
      <c r="F152" s="1" t="s">
        <v>100</v>
      </c>
      <c r="G152" s="1">
        <f t="shared" si="6"/>
        <v>8346.69319000002</v>
      </c>
      <c r="H152" s="1">
        <f t="shared" si="7"/>
        <v>11.535</v>
      </c>
      <c r="I152" s="1" t="str">
        <f t="shared" si="8"/>
        <v>SRIC</v>
      </c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ht="30" x14ac:dyDescent="0.25">
      <c r="A153" s="1">
        <v>2458346.69863</v>
      </c>
      <c r="B153" s="1" t="s">
        <v>79</v>
      </c>
      <c r="C153" s="1">
        <v>11.542</v>
      </c>
      <c r="D153" s="1">
        <v>4.0000000000000001E-3</v>
      </c>
      <c r="E153" s="1" t="s">
        <v>1</v>
      </c>
      <c r="F153" s="1" t="s">
        <v>100</v>
      </c>
      <c r="G153" s="1">
        <f t="shared" si="6"/>
        <v>8346.698629999999</v>
      </c>
      <c r="H153" s="1">
        <f t="shared" si="7"/>
        <v>11.542</v>
      </c>
      <c r="I153" s="1" t="str">
        <f t="shared" si="8"/>
        <v>SRIC</v>
      </c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ht="30" x14ac:dyDescent="0.25">
      <c r="A154" s="1">
        <v>2458346.7040599999</v>
      </c>
      <c r="B154" s="1" t="s">
        <v>79</v>
      </c>
      <c r="C154" s="1">
        <v>11.541</v>
      </c>
      <c r="D154" s="1">
        <v>5.0000000000000001E-3</v>
      </c>
      <c r="E154" s="1" t="s">
        <v>1</v>
      </c>
      <c r="F154" s="1" t="s">
        <v>100</v>
      </c>
      <c r="G154" s="1">
        <f t="shared" si="6"/>
        <v>8346.7040599999018</v>
      </c>
      <c r="H154" s="1">
        <f t="shared" si="7"/>
        <v>11.541</v>
      </c>
      <c r="I154" s="1" t="str">
        <f t="shared" si="8"/>
        <v>SRIC</v>
      </c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ht="30" hidden="1" x14ac:dyDescent="0.25">
      <c r="A155" s="1">
        <v>2458346.7082600002</v>
      </c>
      <c r="B155" s="1" t="s">
        <v>79</v>
      </c>
      <c r="C155" s="1">
        <v>11.597</v>
      </c>
      <c r="D155" s="1">
        <v>1.2999999999999999E-2</v>
      </c>
      <c r="E155" s="1" t="s">
        <v>1</v>
      </c>
      <c r="F155" s="1" t="s">
        <v>273</v>
      </c>
      <c r="G155" s="1">
        <f t="shared" si="6"/>
        <v>8346.7082600002177</v>
      </c>
      <c r="H155" s="1">
        <f t="shared" si="7"/>
        <v>11.597</v>
      </c>
      <c r="I155" s="1" t="str">
        <f t="shared" si="8"/>
        <v>BJFB</v>
      </c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ht="30" hidden="1" x14ac:dyDescent="0.25">
      <c r="A156" s="1">
        <v>2458346.70903</v>
      </c>
      <c r="B156" s="1" t="s">
        <v>79</v>
      </c>
      <c r="C156" s="1">
        <v>11.612</v>
      </c>
      <c r="D156" s="1">
        <v>1.4E-2</v>
      </c>
      <c r="E156" s="1" t="s">
        <v>1</v>
      </c>
      <c r="F156" s="1" t="s">
        <v>273</v>
      </c>
      <c r="G156" s="1">
        <f t="shared" si="6"/>
        <v>8346.7090300000273</v>
      </c>
      <c r="H156" s="1">
        <f t="shared" si="7"/>
        <v>11.612</v>
      </c>
      <c r="I156" s="1" t="str">
        <f t="shared" si="8"/>
        <v>BJFB</v>
      </c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ht="30" x14ac:dyDescent="0.25">
      <c r="A157" s="1">
        <v>2458346.7094999999</v>
      </c>
      <c r="B157" s="1" t="s">
        <v>79</v>
      </c>
      <c r="C157" s="1">
        <v>11.529</v>
      </c>
      <c r="D157" s="1">
        <v>5.0000000000000001E-3</v>
      </c>
      <c r="E157" s="1" t="s">
        <v>1</v>
      </c>
      <c r="F157" s="1" t="s">
        <v>100</v>
      </c>
      <c r="G157" s="1">
        <f t="shared" si="6"/>
        <v>8346.7094999998808</v>
      </c>
      <c r="H157" s="1">
        <f t="shared" si="7"/>
        <v>11.529</v>
      </c>
      <c r="I157" s="1" t="str">
        <f t="shared" si="8"/>
        <v>SRIC</v>
      </c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ht="30" hidden="1" x14ac:dyDescent="0.25">
      <c r="A158" s="1">
        <v>2458346.7098099999</v>
      </c>
      <c r="B158" s="1" t="s">
        <v>79</v>
      </c>
      <c r="C158" s="1">
        <v>11.637</v>
      </c>
      <c r="D158" s="1">
        <v>1.2999999999999999E-2</v>
      </c>
      <c r="E158" s="1" t="s">
        <v>1</v>
      </c>
      <c r="F158" s="1" t="s">
        <v>273</v>
      </c>
      <c r="G158" s="1">
        <f t="shared" si="6"/>
        <v>8346.709809999913</v>
      </c>
      <c r="H158" s="1">
        <f t="shared" si="7"/>
        <v>11.637</v>
      </c>
      <c r="I158" s="1" t="str">
        <f t="shared" si="8"/>
        <v>BJFB</v>
      </c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ht="30" hidden="1" x14ac:dyDescent="0.25">
      <c r="A159" s="1">
        <v>2458346.7105800002</v>
      </c>
      <c r="B159" s="1" t="s">
        <v>79</v>
      </c>
      <c r="C159" s="1">
        <v>11.590999999999999</v>
      </c>
      <c r="D159" s="1">
        <v>1.2999999999999999E-2</v>
      </c>
      <c r="E159" s="1" t="s">
        <v>1</v>
      </c>
      <c r="F159" s="1" t="s">
        <v>273</v>
      </c>
      <c r="G159" s="1">
        <f t="shared" si="6"/>
        <v>8346.7105800001882</v>
      </c>
      <c r="H159" s="1">
        <f t="shared" si="7"/>
        <v>11.590999999999999</v>
      </c>
      <c r="I159" s="1" t="str">
        <f t="shared" si="8"/>
        <v>BJFB</v>
      </c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ht="30" hidden="1" x14ac:dyDescent="0.25">
      <c r="A160" s="1">
        <v>2458346.7113600001</v>
      </c>
      <c r="B160" s="1" t="s">
        <v>79</v>
      </c>
      <c r="C160" s="1">
        <v>11.625999999999999</v>
      </c>
      <c r="D160" s="1">
        <v>1.2999999999999999E-2</v>
      </c>
      <c r="E160" s="1" t="s">
        <v>1</v>
      </c>
      <c r="F160" s="1" t="s">
        <v>273</v>
      </c>
      <c r="G160" s="1">
        <f t="shared" si="6"/>
        <v>8346.7113600000739</v>
      </c>
      <c r="H160" s="1">
        <f t="shared" si="7"/>
        <v>11.625999999999999</v>
      </c>
      <c r="I160" s="1" t="str">
        <f t="shared" si="8"/>
        <v>BJFB</v>
      </c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ht="30" x14ac:dyDescent="0.25">
      <c r="A161" s="1">
        <v>2458346.7149299998</v>
      </c>
      <c r="B161" s="1" t="s">
        <v>79</v>
      </c>
      <c r="C161" s="1">
        <v>11.532</v>
      </c>
      <c r="D161" s="1">
        <v>5.0000000000000001E-3</v>
      </c>
      <c r="E161" s="1" t="s">
        <v>1</v>
      </c>
      <c r="F161" s="1" t="s">
        <v>100</v>
      </c>
      <c r="G161" s="1">
        <f t="shared" si="6"/>
        <v>8346.7149299997836</v>
      </c>
      <c r="H161" s="1">
        <f t="shared" si="7"/>
        <v>11.532</v>
      </c>
      <c r="I161" s="1" t="str">
        <f t="shared" si="8"/>
        <v>SRIC</v>
      </c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ht="30" x14ac:dyDescent="0.25">
      <c r="A162" s="1">
        <v>2458346.7203700002</v>
      </c>
      <c r="B162" s="1" t="s">
        <v>79</v>
      </c>
      <c r="C162" s="1">
        <v>11.532999999999999</v>
      </c>
      <c r="D162" s="1">
        <v>5.0000000000000001E-3</v>
      </c>
      <c r="E162" s="1" t="s">
        <v>1</v>
      </c>
      <c r="F162" s="1" t="s">
        <v>100</v>
      </c>
      <c r="G162" s="1">
        <f t="shared" si="6"/>
        <v>8346.7203700002283</v>
      </c>
      <c r="H162" s="1">
        <f t="shared" si="7"/>
        <v>11.532999999999999</v>
      </c>
      <c r="I162" s="1" t="str">
        <f t="shared" si="8"/>
        <v>SRIC</v>
      </c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t="30" x14ac:dyDescent="0.25">
      <c r="A163" s="1">
        <v>2458346.7258100002</v>
      </c>
      <c r="B163" s="1" t="s">
        <v>79</v>
      </c>
      <c r="C163" s="1">
        <v>11.526</v>
      </c>
      <c r="D163" s="1">
        <v>5.0000000000000001E-3</v>
      </c>
      <c r="E163" s="1" t="s">
        <v>1</v>
      </c>
      <c r="F163" s="1" t="s">
        <v>100</v>
      </c>
      <c r="G163" s="1">
        <f t="shared" si="6"/>
        <v>8346.7258100002073</v>
      </c>
      <c r="H163" s="1">
        <f t="shared" si="7"/>
        <v>11.526</v>
      </c>
      <c r="I163" s="1" t="str">
        <f t="shared" si="8"/>
        <v>SRIC</v>
      </c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t="30" x14ac:dyDescent="0.25">
      <c r="A164" s="1">
        <v>2458346.7312400001</v>
      </c>
      <c r="B164" s="1" t="s">
        <v>79</v>
      </c>
      <c r="C164" s="1">
        <v>11.531000000000001</v>
      </c>
      <c r="D164" s="1">
        <v>5.0000000000000001E-3</v>
      </c>
      <c r="E164" s="1" t="s">
        <v>1</v>
      </c>
      <c r="F164" s="1" t="s">
        <v>100</v>
      </c>
      <c r="G164" s="1">
        <f t="shared" si="6"/>
        <v>8346.7312400001101</v>
      </c>
      <c r="H164" s="1">
        <f t="shared" si="7"/>
        <v>11.531000000000001</v>
      </c>
      <c r="I164" s="1" t="str">
        <f t="shared" si="8"/>
        <v>SRIC</v>
      </c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t="30" x14ac:dyDescent="0.25">
      <c r="A165" s="1">
        <v>2458346.73667</v>
      </c>
      <c r="B165" s="1" t="s">
        <v>79</v>
      </c>
      <c r="C165" s="1">
        <v>11.534000000000001</v>
      </c>
      <c r="D165" s="1">
        <v>5.0000000000000001E-3</v>
      </c>
      <c r="E165" s="1" t="s">
        <v>1</v>
      </c>
      <c r="F165" s="1" t="s">
        <v>100</v>
      </c>
      <c r="G165" s="1">
        <f t="shared" si="6"/>
        <v>8346.736670000013</v>
      </c>
      <c r="H165" s="1">
        <f t="shared" si="7"/>
        <v>11.534000000000001</v>
      </c>
      <c r="I165" s="1" t="str">
        <f t="shared" si="8"/>
        <v>SRIC</v>
      </c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t="30" x14ac:dyDescent="0.25">
      <c r="A166" s="1">
        <v>2458346.7469600001</v>
      </c>
      <c r="B166" s="1" t="s">
        <v>79</v>
      </c>
      <c r="C166" s="1">
        <v>11.53</v>
      </c>
      <c r="D166" s="1">
        <v>5.0000000000000001E-3</v>
      </c>
      <c r="E166" s="1" t="s">
        <v>1</v>
      </c>
      <c r="F166" s="1" t="s">
        <v>100</v>
      </c>
      <c r="G166" s="1">
        <f t="shared" si="6"/>
        <v>8346.746960000135</v>
      </c>
      <c r="H166" s="1">
        <f t="shared" si="7"/>
        <v>11.53</v>
      </c>
      <c r="I166" s="1" t="str">
        <f t="shared" si="8"/>
        <v>SRIC</v>
      </c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t="30" x14ac:dyDescent="0.25">
      <c r="A167" s="1">
        <v>2458346.75238</v>
      </c>
      <c r="B167" s="1" t="s">
        <v>79</v>
      </c>
      <c r="C167" s="1">
        <v>11.537000000000001</v>
      </c>
      <c r="D167" s="1">
        <v>5.0000000000000001E-3</v>
      </c>
      <c r="E167" s="1" t="s">
        <v>1</v>
      </c>
      <c r="F167" s="1" t="s">
        <v>100</v>
      </c>
      <c r="G167" s="1">
        <f t="shared" si="6"/>
        <v>8346.7523799999617</v>
      </c>
      <c r="H167" s="1">
        <f t="shared" si="7"/>
        <v>11.537000000000001</v>
      </c>
      <c r="I167" s="1" t="str">
        <f t="shared" si="8"/>
        <v>SRIC</v>
      </c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t="30" x14ac:dyDescent="0.25">
      <c r="A168" s="1">
        <v>2458346.7578199999</v>
      </c>
      <c r="B168" s="1" t="s">
        <v>79</v>
      </c>
      <c r="C168" s="1">
        <v>11.545</v>
      </c>
      <c r="D168" s="1">
        <v>5.0000000000000001E-3</v>
      </c>
      <c r="E168" s="1" t="s">
        <v>1</v>
      </c>
      <c r="F168" s="1" t="s">
        <v>100</v>
      </c>
      <c r="G168" s="1">
        <f t="shared" si="6"/>
        <v>8346.7578199999407</v>
      </c>
      <c r="H168" s="1">
        <f t="shared" si="7"/>
        <v>11.545</v>
      </c>
      <c r="I168" s="1" t="str">
        <f t="shared" si="8"/>
        <v>SRIC</v>
      </c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t="30" x14ac:dyDescent="0.25">
      <c r="A169" s="1">
        <v>2458346.7632399998</v>
      </c>
      <c r="B169" s="1" t="s">
        <v>79</v>
      </c>
      <c r="C169" s="1">
        <v>11.544</v>
      </c>
      <c r="D169" s="1">
        <v>5.0000000000000001E-3</v>
      </c>
      <c r="E169" s="1" t="s">
        <v>1</v>
      </c>
      <c r="F169" s="1" t="s">
        <v>100</v>
      </c>
      <c r="G169" s="1">
        <f t="shared" si="6"/>
        <v>8346.7632399997674</v>
      </c>
      <c r="H169" s="1">
        <f t="shared" si="7"/>
        <v>11.544</v>
      </c>
      <c r="I169" s="1" t="str">
        <f t="shared" si="8"/>
        <v>SRIC</v>
      </c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t="30" x14ac:dyDescent="0.25">
      <c r="A170" s="1">
        <v>2458346.7686999999</v>
      </c>
      <c r="B170" s="1" t="s">
        <v>79</v>
      </c>
      <c r="C170" s="1">
        <v>11.544</v>
      </c>
      <c r="D170" s="1">
        <v>5.0000000000000001E-3</v>
      </c>
      <c r="E170" s="1" t="s">
        <v>1</v>
      </c>
      <c r="F170" s="1" t="s">
        <v>100</v>
      </c>
      <c r="G170" s="1">
        <f t="shared" si="6"/>
        <v>8346.7686999998987</v>
      </c>
      <c r="H170" s="1">
        <f t="shared" si="7"/>
        <v>11.544</v>
      </c>
      <c r="I170" s="1" t="str">
        <f t="shared" si="8"/>
        <v>SRIC</v>
      </c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ht="30" x14ac:dyDescent="0.25">
      <c r="A171" s="1">
        <v>2458346.7741399999</v>
      </c>
      <c r="B171" s="1" t="s">
        <v>79</v>
      </c>
      <c r="C171" s="1">
        <v>11.541</v>
      </c>
      <c r="D171" s="1">
        <v>6.0000000000000001E-3</v>
      </c>
      <c r="E171" s="1" t="s">
        <v>1</v>
      </c>
      <c r="F171" s="1" t="s">
        <v>100</v>
      </c>
      <c r="G171" s="1">
        <f t="shared" si="6"/>
        <v>8346.7741399998777</v>
      </c>
      <c r="H171" s="1">
        <f t="shared" si="7"/>
        <v>11.541</v>
      </c>
      <c r="I171" s="1" t="str">
        <f t="shared" si="8"/>
        <v>SRIC</v>
      </c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ht="30" x14ac:dyDescent="0.25">
      <c r="A172" s="1">
        <v>2458346.7795699998</v>
      </c>
      <c r="B172" s="1" t="s">
        <v>79</v>
      </c>
      <c r="C172" s="1">
        <v>11.55</v>
      </c>
      <c r="D172" s="1">
        <v>8.9999999999999993E-3</v>
      </c>
      <c r="E172" s="1" t="s">
        <v>1</v>
      </c>
      <c r="F172" s="1" t="s">
        <v>100</v>
      </c>
      <c r="G172" s="1">
        <f t="shared" si="6"/>
        <v>8346.7795699997805</v>
      </c>
      <c r="H172" s="1">
        <f t="shared" si="7"/>
        <v>11.55</v>
      </c>
      <c r="I172" s="1" t="str">
        <f t="shared" si="8"/>
        <v>SRIC</v>
      </c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t="30" x14ac:dyDescent="0.25">
      <c r="A173" s="1">
        <v>2458346.7850100002</v>
      </c>
      <c r="B173" s="1" t="s">
        <v>79</v>
      </c>
      <c r="C173" s="1">
        <v>11.555999999999999</v>
      </c>
      <c r="D173" s="1">
        <v>8.0000000000000002E-3</v>
      </c>
      <c r="E173" s="1" t="s">
        <v>1</v>
      </c>
      <c r="F173" s="1" t="s">
        <v>100</v>
      </c>
      <c r="G173" s="1">
        <f t="shared" si="6"/>
        <v>8346.7850100002252</v>
      </c>
      <c r="H173" s="1">
        <f t="shared" si="7"/>
        <v>11.555999999999999</v>
      </c>
      <c r="I173" s="1" t="str">
        <f t="shared" si="8"/>
        <v>SRIC</v>
      </c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t="30" x14ac:dyDescent="0.25">
      <c r="A174" s="1">
        <v>2458346.7904500002</v>
      </c>
      <c r="B174" s="1" t="s">
        <v>79</v>
      </c>
      <c r="C174" s="1">
        <v>11.548</v>
      </c>
      <c r="D174" s="1">
        <v>7.0000000000000001E-3</v>
      </c>
      <c r="E174" s="1" t="s">
        <v>1</v>
      </c>
      <c r="F174" s="1" t="s">
        <v>100</v>
      </c>
      <c r="G174" s="1">
        <f t="shared" si="6"/>
        <v>8346.7904500002041</v>
      </c>
      <c r="H174" s="1">
        <f t="shared" si="7"/>
        <v>11.548</v>
      </c>
      <c r="I174" s="1" t="str">
        <f t="shared" si="8"/>
        <v>SRIC</v>
      </c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t="30" x14ac:dyDescent="0.25">
      <c r="A175" s="1">
        <v>2458346.7958900002</v>
      </c>
      <c r="B175" s="1" t="s">
        <v>79</v>
      </c>
      <c r="C175" s="1">
        <v>11.548</v>
      </c>
      <c r="D175" s="1">
        <v>7.0000000000000001E-3</v>
      </c>
      <c r="E175" s="1" t="s">
        <v>1</v>
      </c>
      <c r="F175" s="1" t="s">
        <v>100</v>
      </c>
      <c r="G175" s="1">
        <f t="shared" si="6"/>
        <v>8346.7958900001831</v>
      </c>
      <c r="H175" s="1">
        <f t="shared" si="7"/>
        <v>11.548</v>
      </c>
      <c r="I175" s="1" t="str">
        <f t="shared" si="8"/>
        <v>SRIC</v>
      </c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t="30" x14ac:dyDescent="0.25">
      <c r="A176" s="1">
        <v>2458346.80131</v>
      </c>
      <c r="B176" s="1" t="s">
        <v>79</v>
      </c>
      <c r="C176" s="1">
        <v>11.54</v>
      </c>
      <c r="D176" s="1">
        <v>6.0000000000000001E-3</v>
      </c>
      <c r="E176" s="1" t="s">
        <v>1</v>
      </c>
      <c r="F176" s="1" t="s">
        <v>100</v>
      </c>
      <c r="G176" s="1">
        <f t="shared" si="6"/>
        <v>8346.8013100000098</v>
      </c>
      <c r="H176" s="1">
        <f t="shared" si="7"/>
        <v>11.54</v>
      </c>
      <c r="I176" s="1" t="str">
        <f t="shared" si="8"/>
        <v>SRIC</v>
      </c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t="30" x14ac:dyDescent="0.25">
      <c r="A177" s="1">
        <v>2458346.8067200002</v>
      </c>
      <c r="B177" s="1" t="s">
        <v>79</v>
      </c>
      <c r="C177" s="1">
        <v>11.56</v>
      </c>
      <c r="D177" s="1">
        <v>6.0000000000000001E-3</v>
      </c>
      <c r="E177" s="1" t="s">
        <v>1</v>
      </c>
      <c r="F177" s="1" t="s">
        <v>100</v>
      </c>
      <c r="G177" s="1">
        <f t="shared" si="6"/>
        <v>8346.8067200002261</v>
      </c>
      <c r="H177" s="1">
        <f t="shared" si="7"/>
        <v>11.56</v>
      </c>
      <c r="I177" s="1" t="str">
        <f t="shared" si="8"/>
        <v>SRIC</v>
      </c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t="30" x14ac:dyDescent="0.25">
      <c r="A178" s="1">
        <v>2458346.8121500001</v>
      </c>
      <c r="B178" s="1" t="s">
        <v>79</v>
      </c>
      <c r="C178" s="1">
        <v>11.558</v>
      </c>
      <c r="D178" s="1">
        <v>7.0000000000000001E-3</v>
      </c>
      <c r="E178" s="1" t="s">
        <v>1</v>
      </c>
      <c r="F178" s="1" t="s">
        <v>100</v>
      </c>
      <c r="G178" s="1">
        <f t="shared" si="6"/>
        <v>8346.8121500001289</v>
      </c>
      <c r="H178" s="1">
        <f t="shared" si="7"/>
        <v>11.558</v>
      </c>
      <c r="I178" s="1" t="str">
        <f t="shared" si="8"/>
        <v>SRIC</v>
      </c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t="30" x14ac:dyDescent="0.25">
      <c r="A179" s="1">
        <v>2458346.81758</v>
      </c>
      <c r="B179" s="1" t="s">
        <v>79</v>
      </c>
      <c r="C179" s="1">
        <v>11.539</v>
      </c>
      <c r="D179" s="1">
        <v>6.0000000000000001E-3</v>
      </c>
      <c r="E179" s="1" t="s">
        <v>1</v>
      </c>
      <c r="F179" s="1" t="s">
        <v>100</v>
      </c>
      <c r="G179" s="1">
        <f t="shared" si="6"/>
        <v>8346.8175800000317</v>
      </c>
      <c r="H179" s="1">
        <f t="shared" si="7"/>
        <v>11.539</v>
      </c>
      <c r="I179" s="1" t="str">
        <f t="shared" si="8"/>
        <v>SRIC</v>
      </c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t="30" x14ac:dyDescent="0.25">
      <c r="A180" s="1">
        <v>2458346.8264700002</v>
      </c>
      <c r="B180" s="1" t="s">
        <v>79</v>
      </c>
      <c r="C180" s="1">
        <v>11.542</v>
      </c>
      <c r="D180" s="1">
        <v>6.0000000000000001E-3</v>
      </c>
      <c r="E180" s="1" t="s">
        <v>1</v>
      </c>
      <c r="F180" s="1" t="s">
        <v>100</v>
      </c>
      <c r="G180" s="1">
        <f t="shared" si="6"/>
        <v>8346.8264700002037</v>
      </c>
      <c r="H180" s="1">
        <f t="shared" si="7"/>
        <v>11.542</v>
      </c>
      <c r="I180" s="1" t="str">
        <f t="shared" si="8"/>
        <v>SRIC</v>
      </c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t="30" x14ac:dyDescent="0.25">
      <c r="A181" s="1">
        <v>2458346.8319100002</v>
      </c>
      <c r="B181" s="1" t="s">
        <v>79</v>
      </c>
      <c r="C181" s="1">
        <v>11.55</v>
      </c>
      <c r="D181" s="1">
        <v>6.0000000000000001E-3</v>
      </c>
      <c r="E181" s="1" t="s">
        <v>1</v>
      </c>
      <c r="F181" s="1" t="s">
        <v>100</v>
      </c>
      <c r="G181" s="1">
        <f t="shared" si="6"/>
        <v>8346.8319100001827</v>
      </c>
      <c r="H181" s="1">
        <f t="shared" si="7"/>
        <v>11.55</v>
      </c>
      <c r="I181" s="1" t="str">
        <f t="shared" si="8"/>
        <v>SRIC</v>
      </c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t="30" x14ac:dyDescent="0.25">
      <c r="A182" s="1">
        <v>2458346.8373500002</v>
      </c>
      <c r="B182" s="1" t="s">
        <v>79</v>
      </c>
      <c r="C182" s="1">
        <v>11.564</v>
      </c>
      <c r="D182" s="1">
        <v>6.0000000000000001E-3</v>
      </c>
      <c r="E182" s="1" t="s">
        <v>1</v>
      </c>
      <c r="F182" s="1" t="s">
        <v>100</v>
      </c>
      <c r="G182" s="1">
        <f t="shared" si="6"/>
        <v>8346.8373500001617</v>
      </c>
      <c r="H182" s="1">
        <f t="shared" si="7"/>
        <v>11.564</v>
      </c>
      <c r="I182" s="1" t="str">
        <f t="shared" si="8"/>
        <v>SRIC</v>
      </c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t="30" x14ac:dyDescent="0.25">
      <c r="A183" s="1">
        <v>2458346.8427900001</v>
      </c>
      <c r="B183" s="1" t="s">
        <v>79</v>
      </c>
      <c r="C183" s="1">
        <v>11.558</v>
      </c>
      <c r="D183" s="1">
        <v>6.0000000000000001E-3</v>
      </c>
      <c r="E183" s="1" t="s">
        <v>1</v>
      </c>
      <c r="F183" s="1" t="s">
        <v>100</v>
      </c>
      <c r="G183" s="1">
        <f t="shared" si="6"/>
        <v>8346.8427900001407</v>
      </c>
      <c r="H183" s="1">
        <f t="shared" si="7"/>
        <v>11.558</v>
      </c>
      <c r="I183" s="1" t="str">
        <f t="shared" si="8"/>
        <v>SRIC</v>
      </c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t="30" x14ac:dyDescent="0.25">
      <c r="A184" s="1">
        <v>2458346.84822</v>
      </c>
      <c r="B184" s="1" t="s">
        <v>79</v>
      </c>
      <c r="C184" s="1">
        <v>11.567</v>
      </c>
      <c r="D184" s="1">
        <v>5.0000000000000001E-3</v>
      </c>
      <c r="E184" s="1" t="s">
        <v>1</v>
      </c>
      <c r="F184" s="1" t="s">
        <v>100</v>
      </c>
      <c r="G184" s="1">
        <f t="shared" si="6"/>
        <v>8346.8482200000435</v>
      </c>
      <c r="H184" s="1">
        <f t="shared" si="7"/>
        <v>11.567</v>
      </c>
      <c r="I184" s="1" t="str">
        <f t="shared" si="8"/>
        <v>SRIC</v>
      </c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t="30" x14ac:dyDescent="0.25">
      <c r="A185" s="1">
        <v>2458346.85366</v>
      </c>
      <c r="B185" s="1" t="s">
        <v>79</v>
      </c>
      <c r="C185" s="1">
        <v>11.554</v>
      </c>
      <c r="D185" s="1">
        <v>6.0000000000000001E-3</v>
      </c>
      <c r="E185" s="1" t="s">
        <v>1</v>
      </c>
      <c r="F185" s="1" t="s">
        <v>100</v>
      </c>
      <c r="G185" s="1">
        <f t="shared" si="6"/>
        <v>8346.8536600000225</v>
      </c>
      <c r="H185" s="1">
        <f t="shared" si="7"/>
        <v>11.554</v>
      </c>
      <c r="I185" s="1" t="str">
        <f t="shared" si="8"/>
        <v>SRIC</v>
      </c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t="30" x14ac:dyDescent="0.25">
      <c r="A186" s="1">
        <v>2458346.8591</v>
      </c>
      <c r="B186" s="1" t="s">
        <v>79</v>
      </c>
      <c r="C186" s="1">
        <v>11.554</v>
      </c>
      <c r="D186" s="1">
        <v>6.0000000000000001E-3</v>
      </c>
      <c r="E186" s="1" t="s">
        <v>1</v>
      </c>
      <c r="F186" s="1" t="s">
        <v>100</v>
      </c>
      <c r="G186" s="1">
        <f t="shared" si="6"/>
        <v>8346.8591000000015</v>
      </c>
      <c r="H186" s="1">
        <f t="shared" si="7"/>
        <v>11.554</v>
      </c>
      <c r="I186" s="1" t="str">
        <f t="shared" si="8"/>
        <v>SRIC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30" x14ac:dyDescent="0.25">
      <c r="A187" s="1">
        <v>2458346.8645000001</v>
      </c>
      <c r="B187" s="1" t="s">
        <v>79</v>
      </c>
      <c r="C187" s="1">
        <v>11.553000000000001</v>
      </c>
      <c r="D187" s="1">
        <v>6.0000000000000001E-3</v>
      </c>
      <c r="E187" s="1" t="s">
        <v>1</v>
      </c>
      <c r="F187" s="1" t="s">
        <v>100</v>
      </c>
      <c r="G187" s="1">
        <f t="shared" si="6"/>
        <v>8346.8645000001416</v>
      </c>
      <c r="H187" s="1">
        <f t="shared" si="7"/>
        <v>11.553000000000001</v>
      </c>
      <c r="I187" s="1" t="str">
        <f t="shared" si="8"/>
        <v>SRIC</v>
      </c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30" x14ac:dyDescent="0.25">
      <c r="A188" s="1">
        <v>2458346.8699400001</v>
      </c>
      <c r="B188" s="1" t="s">
        <v>79</v>
      </c>
      <c r="C188" s="1">
        <v>11.558</v>
      </c>
      <c r="D188" s="1">
        <v>6.0000000000000001E-3</v>
      </c>
      <c r="E188" s="1" t="s">
        <v>1</v>
      </c>
      <c r="F188" s="1" t="s">
        <v>100</v>
      </c>
      <c r="G188" s="1">
        <f t="shared" si="6"/>
        <v>8346.8699400001206</v>
      </c>
      <c r="H188" s="1">
        <f t="shared" si="7"/>
        <v>11.558</v>
      </c>
      <c r="I188" s="1" t="str">
        <f t="shared" si="8"/>
        <v>SRIC</v>
      </c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30" x14ac:dyDescent="0.25">
      <c r="A189" s="1">
        <v>2458346.8753800001</v>
      </c>
      <c r="B189" s="1" t="s">
        <v>79</v>
      </c>
      <c r="C189" s="1">
        <v>11.6</v>
      </c>
      <c r="D189" s="1">
        <v>8.0000000000000002E-3</v>
      </c>
      <c r="E189" s="1" t="s">
        <v>1</v>
      </c>
      <c r="F189" s="1" t="s">
        <v>100</v>
      </c>
      <c r="G189" s="1">
        <f t="shared" si="6"/>
        <v>8346.8753800000995</v>
      </c>
      <c r="H189" s="1">
        <f t="shared" si="7"/>
        <v>11.6</v>
      </c>
      <c r="I189" s="1" t="str">
        <f t="shared" si="8"/>
        <v>SRIC</v>
      </c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ht="30" x14ac:dyDescent="0.25">
      <c r="A190" s="1">
        <v>2458347.3733999999</v>
      </c>
      <c r="B190" s="1" t="s">
        <v>79</v>
      </c>
      <c r="C190" s="1">
        <v>11.503</v>
      </c>
      <c r="D190" s="1">
        <v>8.9999999999999993E-3</v>
      </c>
      <c r="E190" s="1" t="s">
        <v>1</v>
      </c>
      <c r="F190" s="1" t="s">
        <v>2</v>
      </c>
      <c r="G190" s="1">
        <f t="shared" si="6"/>
        <v>8347.373399999924</v>
      </c>
      <c r="H190" s="1">
        <f t="shared" si="7"/>
        <v>11.503</v>
      </c>
      <c r="I190" s="1" t="str">
        <f t="shared" si="8"/>
        <v>BDG</v>
      </c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ht="30" hidden="1" x14ac:dyDescent="0.25">
      <c r="A191" s="1">
        <v>2458347.6227799999</v>
      </c>
      <c r="B191" s="1" t="s">
        <v>298</v>
      </c>
      <c r="C191" s="1">
        <v>11.368</v>
      </c>
      <c r="D191" s="1">
        <v>4.1000000000000002E-2</v>
      </c>
      <c r="E191" s="1" t="s">
        <v>1</v>
      </c>
      <c r="F191" s="1" t="s">
        <v>285</v>
      </c>
      <c r="G191" s="1">
        <f t="shared" si="6"/>
        <v>8347.6227799998596</v>
      </c>
      <c r="H191" s="1">
        <f t="shared" si="7"/>
        <v>11.368</v>
      </c>
      <c r="I191" s="1" t="str">
        <f t="shared" si="8"/>
        <v>VMT</v>
      </c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t="30" hidden="1" x14ac:dyDescent="0.25">
      <c r="A192" s="1">
        <v>2458347.6233399999</v>
      </c>
      <c r="B192" s="1" t="s">
        <v>298</v>
      </c>
      <c r="C192" s="1">
        <v>11.473000000000001</v>
      </c>
      <c r="D192" s="1">
        <v>3.7999999999999999E-2</v>
      </c>
      <c r="E192" s="1" t="s">
        <v>1</v>
      </c>
      <c r="F192" s="1" t="s">
        <v>285</v>
      </c>
      <c r="G192" s="1">
        <f t="shared" si="6"/>
        <v>8347.6233399999328</v>
      </c>
      <c r="H192" s="1">
        <f t="shared" si="7"/>
        <v>11.473000000000001</v>
      </c>
      <c r="I192" s="1" t="str">
        <f t="shared" si="8"/>
        <v>VMT</v>
      </c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t="30" hidden="1" x14ac:dyDescent="0.25">
      <c r="A193" s="1">
        <v>2458347.7077700002</v>
      </c>
      <c r="B193" s="1" t="s">
        <v>298</v>
      </c>
      <c r="C193" s="1">
        <v>11.512</v>
      </c>
      <c r="D193" s="1">
        <v>1.2E-2</v>
      </c>
      <c r="E193" s="1" t="s">
        <v>1</v>
      </c>
      <c r="F193" s="1" t="s">
        <v>273</v>
      </c>
      <c r="G193" s="1">
        <f t="shared" si="6"/>
        <v>8347.7077700002119</v>
      </c>
      <c r="H193" s="1">
        <f t="shared" si="7"/>
        <v>11.512</v>
      </c>
      <c r="I193" s="1" t="str">
        <f t="shared" si="8"/>
        <v>BJFB</v>
      </c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t="30" hidden="1" x14ac:dyDescent="0.25">
      <c r="A194" s="1">
        <v>2458347.7085500001</v>
      </c>
      <c r="B194" s="1" t="s">
        <v>298</v>
      </c>
      <c r="C194" s="1">
        <v>11.544</v>
      </c>
      <c r="D194" s="1">
        <v>1.2E-2</v>
      </c>
      <c r="E194" s="1" t="s">
        <v>1</v>
      </c>
      <c r="F194" s="1" t="s">
        <v>273</v>
      </c>
      <c r="G194" s="1">
        <f t="shared" si="6"/>
        <v>8347.7085500000976</v>
      </c>
      <c r="H194" s="1">
        <f t="shared" si="7"/>
        <v>11.544</v>
      </c>
      <c r="I194" s="1" t="str">
        <f t="shared" si="8"/>
        <v>BJFB</v>
      </c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t="30" hidden="1" x14ac:dyDescent="0.25">
      <c r="A195" s="1">
        <v>2458347.7093199999</v>
      </c>
      <c r="B195" s="1" t="s">
        <v>298</v>
      </c>
      <c r="C195" s="1">
        <v>11.51</v>
      </c>
      <c r="D195" s="1">
        <v>1.2E-2</v>
      </c>
      <c r="E195" s="1" t="s">
        <v>1</v>
      </c>
      <c r="F195" s="1" t="s">
        <v>273</v>
      </c>
      <c r="G195" s="1">
        <f t="shared" ref="G195:G258" si="9">+A195-2450000</f>
        <v>8347.7093199999072</v>
      </c>
      <c r="H195" s="1">
        <f t="shared" ref="H195:H258" si="10">+C195</f>
        <v>11.51</v>
      </c>
      <c r="I195" s="1" t="str">
        <f t="shared" ref="I195:I258" si="11">+F195</f>
        <v>BJFB</v>
      </c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t="30" hidden="1" x14ac:dyDescent="0.25">
      <c r="A196" s="1">
        <v>2458347.7100999998</v>
      </c>
      <c r="B196" s="1" t="s">
        <v>298</v>
      </c>
      <c r="C196" s="1">
        <v>11.548</v>
      </c>
      <c r="D196" s="1">
        <v>1.2E-2</v>
      </c>
      <c r="E196" s="1" t="s">
        <v>1</v>
      </c>
      <c r="F196" s="1" t="s">
        <v>273</v>
      </c>
      <c r="G196" s="1">
        <f t="shared" si="9"/>
        <v>8347.7100999997929</v>
      </c>
      <c r="H196" s="1">
        <f t="shared" si="10"/>
        <v>11.548</v>
      </c>
      <c r="I196" s="1" t="str">
        <f t="shared" si="11"/>
        <v>BJFB</v>
      </c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t="30" hidden="1" x14ac:dyDescent="0.25">
      <c r="A197" s="1">
        <v>2458347.7108700001</v>
      </c>
      <c r="B197" s="1" t="s">
        <v>298</v>
      </c>
      <c r="C197" s="1">
        <v>11.510999999999999</v>
      </c>
      <c r="D197" s="1">
        <v>1.2E-2</v>
      </c>
      <c r="E197" s="1" t="s">
        <v>1</v>
      </c>
      <c r="F197" s="1" t="s">
        <v>273</v>
      </c>
      <c r="G197" s="1">
        <f t="shared" si="9"/>
        <v>8347.7108700000681</v>
      </c>
      <c r="H197" s="1">
        <f t="shared" si="10"/>
        <v>11.510999999999999</v>
      </c>
      <c r="I197" s="1" t="str">
        <f t="shared" si="11"/>
        <v>BJFB</v>
      </c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ht="30" hidden="1" x14ac:dyDescent="0.25">
      <c r="A198" s="1">
        <v>2458349.5216399999</v>
      </c>
      <c r="B198" s="1" t="s">
        <v>80</v>
      </c>
      <c r="C198" s="1">
        <v>11.51</v>
      </c>
      <c r="D198" s="1">
        <v>8.9999999999999993E-3</v>
      </c>
      <c r="E198" s="1" t="s">
        <v>1</v>
      </c>
      <c r="F198" s="1" t="s">
        <v>94</v>
      </c>
      <c r="G198" s="1">
        <f t="shared" si="9"/>
        <v>8349.5216399999335</v>
      </c>
      <c r="H198" s="1">
        <f t="shared" si="10"/>
        <v>11.51</v>
      </c>
      <c r="I198" s="1" t="str">
        <f t="shared" si="11"/>
        <v>HMB</v>
      </c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t="30" hidden="1" x14ac:dyDescent="0.25">
      <c r="A199" s="1">
        <v>2458349.5220400002</v>
      </c>
      <c r="B199" s="1" t="s">
        <v>80</v>
      </c>
      <c r="C199" s="1">
        <v>11.494</v>
      </c>
      <c r="D199" s="1">
        <v>8.9999999999999993E-3</v>
      </c>
      <c r="E199" s="1" t="s">
        <v>1</v>
      </c>
      <c r="F199" s="1" t="s">
        <v>94</v>
      </c>
      <c r="G199" s="1">
        <f t="shared" si="9"/>
        <v>8349.5220400001854</v>
      </c>
      <c r="H199" s="1">
        <f t="shared" si="10"/>
        <v>11.494</v>
      </c>
      <c r="I199" s="1" t="str">
        <f t="shared" si="11"/>
        <v>HMB</v>
      </c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t="30" hidden="1" x14ac:dyDescent="0.25">
      <c r="A200" s="1">
        <v>2458349.58402</v>
      </c>
      <c r="B200" s="1" t="s">
        <v>80</v>
      </c>
      <c r="C200" s="1">
        <v>11.513999999999999</v>
      </c>
      <c r="D200" s="1">
        <v>0.04</v>
      </c>
      <c r="E200" s="1" t="s">
        <v>1</v>
      </c>
      <c r="F200" s="1" t="s">
        <v>285</v>
      </c>
      <c r="G200" s="1">
        <f t="shared" si="9"/>
        <v>8349.5840199999511</v>
      </c>
      <c r="H200" s="1">
        <f t="shared" si="10"/>
        <v>11.513999999999999</v>
      </c>
      <c r="I200" s="1" t="str">
        <f t="shared" si="11"/>
        <v>VMT</v>
      </c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t="30" hidden="1" x14ac:dyDescent="0.25">
      <c r="A201" s="1">
        <v>2458349.5845499998</v>
      </c>
      <c r="B201" s="1" t="s">
        <v>80</v>
      </c>
      <c r="C201" s="1">
        <v>11.438000000000001</v>
      </c>
      <c r="D201" s="1">
        <v>3.9E-2</v>
      </c>
      <c r="E201" s="1" t="s">
        <v>1</v>
      </c>
      <c r="F201" s="1" t="s">
        <v>285</v>
      </c>
      <c r="G201" s="1">
        <f t="shared" si="9"/>
        <v>8349.5845499997959</v>
      </c>
      <c r="H201" s="1">
        <f t="shared" si="10"/>
        <v>11.438000000000001</v>
      </c>
      <c r="I201" s="1" t="str">
        <f t="shared" si="11"/>
        <v>VMT</v>
      </c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t="30" hidden="1" x14ac:dyDescent="0.25">
      <c r="A202" s="1">
        <v>2458350.5188199999</v>
      </c>
      <c r="B202" s="1" t="s">
        <v>81</v>
      </c>
      <c r="C202" s="1">
        <v>11.513</v>
      </c>
      <c r="D202" s="1">
        <v>8.9999999999999993E-3</v>
      </c>
      <c r="E202" s="1" t="s">
        <v>1</v>
      </c>
      <c r="F202" s="1" t="s">
        <v>94</v>
      </c>
      <c r="G202" s="1">
        <f t="shared" si="9"/>
        <v>8350.5188199998811</v>
      </c>
      <c r="H202" s="1">
        <f t="shared" si="10"/>
        <v>11.513</v>
      </c>
      <c r="I202" s="1" t="str">
        <f t="shared" si="11"/>
        <v>HMB</v>
      </c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t="30" hidden="1" x14ac:dyDescent="0.25">
      <c r="A203" s="1">
        <v>2458350.5192100001</v>
      </c>
      <c r="B203" s="1" t="s">
        <v>81</v>
      </c>
      <c r="C203" s="1">
        <v>11.538</v>
      </c>
      <c r="D203" s="1">
        <v>8.9999999999999993E-3</v>
      </c>
      <c r="E203" s="1" t="s">
        <v>1</v>
      </c>
      <c r="F203" s="1" t="s">
        <v>94</v>
      </c>
      <c r="G203" s="1">
        <f t="shared" si="9"/>
        <v>8350.5192100000568</v>
      </c>
      <c r="H203" s="1">
        <f t="shared" si="10"/>
        <v>11.538</v>
      </c>
      <c r="I203" s="1" t="str">
        <f t="shared" si="11"/>
        <v>HMB</v>
      </c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ht="30" hidden="1" x14ac:dyDescent="0.25">
      <c r="A204" s="1">
        <v>2458350.5841700002</v>
      </c>
      <c r="B204" s="1" t="s">
        <v>81</v>
      </c>
      <c r="C204" s="1">
        <v>11.45</v>
      </c>
      <c r="D204" s="1">
        <v>3.7999999999999999E-2</v>
      </c>
      <c r="E204" s="1" t="s">
        <v>1</v>
      </c>
      <c r="F204" s="1" t="s">
        <v>285</v>
      </c>
      <c r="G204" s="1">
        <f t="shared" si="9"/>
        <v>8350.584170000162</v>
      </c>
      <c r="H204" s="1">
        <f t="shared" si="10"/>
        <v>11.45</v>
      </c>
      <c r="I204" s="1" t="str">
        <f t="shared" si="11"/>
        <v>VMT</v>
      </c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t="30" hidden="1" x14ac:dyDescent="0.25">
      <c r="A205" s="1">
        <v>2458350.5847399998</v>
      </c>
      <c r="B205" s="1" t="s">
        <v>81</v>
      </c>
      <c r="C205" s="1">
        <v>11.461</v>
      </c>
      <c r="D205" s="1">
        <v>3.4000000000000002E-2</v>
      </c>
      <c r="E205" s="1" t="s">
        <v>1</v>
      </c>
      <c r="F205" s="1" t="s">
        <v>285</v>
      </c>
      <c r="G205" s="1">
        <f t="shared" si="9"/>
        <v>8350.5847399998456</v>
      </c>
      <c r="H205" s="1">
        <f t="shared" si="10"/>
        <v>11.461</v>
      </c>
      <c r="I205" s="1" t="str">
        <f t="shared" si="11"/>
        <v>VMT</v>
      </c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ht="30" hidden="1" x14ac:dyDescent="0.25">
      <c r="A206" s="1">
        <v>2458351.51602</v>
      </c>
      <c r="B206" s="1" t="s">
        <v>82</v>
      </c>
      <c r="C206" s="1">
        <v>11.585000000000001</v>
      </c>
      <c r="D206" s="1">
        <v>0.01</v>
      </c>
      <c r="E206" s="1" t="s">
        <v>1</v>
      </c>
      <c r="F206" s="1" t="s">
        <v>94</v>
      </c>
      <c r="G206" s="1">
        <f t="shared" si="9"/>
        <v>8351.5160199999809</v>
      </c>
      <c r="H206" s="1">
        <f t="shared" si="10"/>
        <v>11.585000000000001</v>
      </c>
      <c r="I206" s="1" t="str">
        <f t="shared" si="11"/>
        <v>HMB</v>
      </c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t="30" hidden="1" x14ac:dyDescent="0.25">
      <c r="A207" s="1">
        <v>2458351.5164100002</v>
      </c>
      <c r="B207" s="1" t="s">
        <v>82</v>
      </c>
      <c r="C207" s="1">
        <v>11.563000000000001</v>
      </c>
      <c r="D207" s="1">
        <v>8.9999999999999993E-3</v>
      </c>
      <c r="E207" s="1" t="s">
        <v>1</v>
      </c>
      <c r="F207" s="1" t="s">
        <v>94</v>
      </c>
      <c r="G207" s="1">
        <f t="shared" si="9"/>
        <v>8351.5164100001566</v>
      </c>
      <c r="H207" s="1">
        <f t="shared" si="10"/>
        <v>11.563000000000001</v>
      </c>
      <c r="I207" s="1" t="str">
        <f t="shared" si="11"/>
        <v>HMB</v>
      </c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t="30" hidden="1" x14ac:dyDescent="0.25">
      <c r="A208" s="1">
        <v>2458351.7015</v>
      </c>
      <c r="B208" s="1" t="s">
        <v>82</v>
      </c>
      <c r="C208" s="1">
        <v>11.632999999999999</v>
      </c>
      <c r="D208" s="1">
        <v>2.4E-2</v>
      </c>
      <c r="E208" s="1" t="s">
        <v>1</v>
      </c>
      <c r="F208" s="1" t="s">
        <v>273</v>
      </c>
      <c r="G208" s="1">
        <f t="shared" si="9"/>
        <v>8351.7014999999665</v>
      </c>
      <c r="H208" s="1">
        <f t="shared" si="10"/>
        <v>11.632999999999999</v>
      </c>
      <c r="I208" s="1" t="str">
        <f t="shared" si="11"/>
        <v>BJFB</v>
      </c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t="30" hidden="1" x14ac:dyDescent="0.25">
      <c r="A209" s="1">
        <v>2458351.7023900002</v>
      </c>
      <c r="B209" s="1" t="s">
        <v>82</v>
      </c>
      <c r="C209" s="1">
        <v>11.587999999999999</v>
      </c>
      <c r="D209" s="1">
        <v>2.3E-2</v>
      </c>
      <c r="E209" s="1" t="s">
        <v>1</v>
      </c>
      <c r="F209" s="1" t="s">
        <v>273</v>
      </c>
      <c r="G209" s="1">
        <f t="shared" si="9"/>
        <v>8351.7023900002241</v>
      </c>
      <c r="H209" s="1">
        <f t="shared" si="10"/>
        <v>11.587999999999999</v>
      </c>
      <c r="I209" s="1" t="str">
        <f t="shared" si="11"/>
        <v>BJFB</v>
      </c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t="30" hidden="1" x14ac:dyDescent="0.25">
      <c r="A210" s="1">
        <v>2458351.70328</v>
      </c>
      <c r="B210" s="1" t="s">
        <v>82</v>
      </c>
      <c r="C210" s="1">
        <v>11.590999999999999</v>
      </c>
      <c r="D210" s="1">
        <v>2.5000000000000001E-2</v>
      </c>
      <c r="E210" s="1" t="s">
        <v>1</v>
      </c>
      <c r="F210" s="1" t="s">
        <v>273</v>
      </c>
      <c r="G210" s="1">
        <f t="shared" si="9"/>
        <v>8351.7032800000161</v>
      </c>
      <c r="H210" s="1">
        <f t="shared" si="10"/>
        <v>11.590999999999999</v>
      </c>
      <c r="I210" s="1" t="str">
        <f t="shared" si="11"/>
        <v>BJFB</v>
      </c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t="30" hidden="1" x14ac:dyDescent="0.25">
      <c r="A211" s="1">
        <v>2458351.7041699998</v>
      </c>
      <c r="B211" s="1" t="s">
        <v>82</v>
      </c>
      <c r="C211" s="1">
        <v>11.61</v>
      </c>
      <c r="D211" s="1">
        <v>2.5999999999999999E-2</v>
      </c>
      <c r="E211" s="1" t="s">
        <v>1</v>
      </c>
      <c r="F211" s="1" t="s">
        <v>273</v>
      </c>
      <c r="G211" s="1">
        <f t="shared" si="9"/>
        <v>8351.7041699998081</v>
      </c>
      <c r="H211" s="1">
        <f t="shared" si="10"/>
        <v>11.61</v>
      </c>
      <c r="I211" s="1" t="str">
        <f t="shared" si="11"/>
        <v>BJFB</v>
      </c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t="30" hidden="1" x14ac:dyDescent="0.25">
      <c r="A212" s="1">
        <v>2458351.7050600001</v>
      </c>
      <c r="B212" s="1" t="s">
        <v>82</v>
      </c>
      <c r="C212" s="1">
        <v>11.619</v>
      </c>
      <c r="D212" s="1">
        <v>2.5999999999999999E-2</v>
      </c>
      <c r="E212" s="1" t="s">
        <v>1</v>
      </c>
      <c r="F212" s="1" t="s">
        <v>273</v>
      </c>
      <c r="G212" s="1">
        <f t="shared" si="9"/>
        <v>8351.7050600000657</v>
      </c>
      <c r="H212" s="1">
        <f t="shared" si="10"/>
        <v>11.619</v>
      </c>
      <c r="I212" s="1" t="str">
        <f t="shared" si="11"/>
        <v>BJFB</v>
      </c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t="30" hidden="1" x14ac:dyDescent="0.25">
      <c r="A213" s="1">
        <v>2458352.4983999999</v>
      </c>
      <c r="B213" s="1" t="s">
        <v>82</v>
      </c>
      <c r="C213" s="1">
        <v>11.6</v>
      </c>
      <c r="D213" s="1">
        <v>0.01</v>
      </c>
      <c r="E213" s="1" t="s">
        <v>1</v>
      </c>
      <c r="F213" s="1" t="s">
        <v>94</v>
      </c>
      <c r="G213" s="1">
        <f t="shared" si="9"/>
        <v>8352.498399999924</v>
      </c>
      <c r="H213" s="1">
        <f t="shared" si="10"/>
        <v>11.6</v>
      </c>
      <c r="I213" s="1" t="str">
        <f t="shared" si="11"/>
        <v>HMB</v>
      </c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t="30" hidden="1" x14ac:dyDescent="0.25">
      <c r="A214" s="1">
        <v>2458352.49878</v>
      </c>
      <c r="B214" s="1" t="s">
        <v>82</v>
      </c>
      <c r="C214" s="1">
        <v>11.624000000000001</v>
      </c>
      <c r="D214" s="1">
        <v>0.01</v>
      </c>
      <c r="E214" s="1" t="s">
        <v>1</v>
      </c>
      <c r="F214" s="1" t="s">
        <v>94</v>
      </c>
      <c r="G214" s="1">
        <f t="shared" si="9"/>
        <v>8352.4987800000235</v>
      </c>
      <c r="H214" s="1">
        <f t="shared" si="10"/>
        <v>11.624000000000001</v>
      </c>
      <c r="I214" s="1" t="str">
        <f t="shared" si="11"/>
        <v>HMB</v>
      </c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t="30" hidden="1" x14ac:dyDescent="0.25">
      <c r="A215" s="1">
        <v>2458352.6927499999</v>
      </c>
      <c r="B215" s="1" t="s">
        <v>83</v>
      </c>
      <c r="C215" s="1">
        <v>11.663</v>
      </c>
      <c r="D215" s="1">
        <v>1.2999999999999999E-2</v>
      </c>
      <c r="E215" s="1" t="s">
        <v>1</v>
      </c>
      <c r="F215" s="1" t="s">
        <v>273</v>
      </c>
      <c r="G215" s="1">
        <f t="shared" si="9"/>
        <v>8352.6927499999292</v>
      </c>
      <c r="H215" s="1">
        <f t="shared" si="10"/>
        <v>11.663</v>
      </c>
      <c r="I215" s="1" t="str">
        <f t="shared" si="11"/>
        <v>BJFB</v>
      </c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t="30" hidden="1" x14ac:dyDescent="0.25">
      <c r="A216" s="1">
        <v>2458352.6935200002</v>
      </c>
      <c r="B216" s="1" t="s">
        <v>83</v>
      </c>
      <c r="C216" s="1">
        <v>11.654</v>
      </c>
      <c r="D216" s="1">
        <v>1.2999999999999999E-2</v>
      </c>
      <c r="E216" s="1" t="s">
        <v>1</v>
      </c>
      <c r="F216" s="1" t="s">
        <v>273</v>
      </c>
      <c r="G216" s="1">
        <f t="shared" si="9"/>
        <v>8352.6935200002044</v>
      </c>
      <c r="H216" s="1">
        <f t="shared" si="10"/>
        <v>11.654</v>
      </c>
      <c r="I216" s="1" t="str">
        <f t="shared" si="11"/>
        <v>BJFB</v>
      </c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t="30" hidden="1" x14ac:dyDescent="0.25">
      <c r="A217" s="1">
        <v>2458352.69429</v>
      </c>
      <c r="B217" s="1" t="s">
        <v>83</v>
      </c>
      <c r="C217" s="1">
        <v>11.647</v>
      </c>
      <c r="D217" s="1">
        <v>1.2999999999999999E-2</v>
      </c>
      <c r="E217" s="1" t="s">
        <v>1</v>
      </c>
      <c r="F217" s="1" t="s">
        <v>273</v>
      </c>
      <c r="G217" s="1">
        <f t="shared" si="9"/>
        <v>8352.694290000014</v>
      </c>
      <c r="H217" s="1">
        <f t="shared" si="10"/>
        <v>11.647</v>
      </c>
      <c r="I217" s="1" t="str">
        <f t="shared" si="11"/>
        <v>BJFB</v>
      </c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ht="30" hidden="1" x14ac:dyDescent="0.25">
      <c r="A218" s="1">
        <v>2458352.6950699999</v>
      </c>
      <c r="B218" s="1" t="s">
        <v>83</v>
      </c>
      <c r="C218" s="1">
        <v>11.657</v>
      </c>
      <c r="D218" s="1">
        <v>1.2999999999999999E-2</v>
      </c>
      <c r="E218" s="1" t="s">
        <v>1</v>
      </c>
      <c r="F218" s="1" t="s">
        <v>273</v>
      </c>
      <c r="G218" s="1">
        <f t="shared" si="9"/>
        <v>8352.6950699998997</v>
      </c>
      <c r="H218" s="1">
        <f t="shared" si="10"/>
        <v>11.657</v>
      </c>
      <c r="I218" s="1" t="str">
        <f t="shared" si="11"/>
        <v>BJFB</v>
      </c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t="30" hidden="1" x14ac:dyDescent="0.25">
      <c r="A219" s="1">
        <v>2458352.6958400002</v>
      </c>
      <c r="B219" s="1" t="s">
        <v>83</v>
      </c>
      <c r="C219" s="1">
        <v>11.68</v>
      </c>
      <c r="D219" s="1">
        <v>1.2999999999999999E-2</v>
      </c>
      <c r="E219" s="1" t="s">
        <v>1</v>
      </c>
      <c r="F219" s="1" t="s">
        <v>273</v>
      </c>
      <c r="G219" s="1">
        <f t="shared" si="9"/>
        <v>8352.6958400001749</v>
      </c>
      <c r="H219" s="1">
        <f t="shared" si="10"/>
        <v>11.68</v>
      </c>
      <c r="I219" s="1" t="str">
        <f t="shared" si="11"/>
        <v>BJFB</v>
      </c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t="30" x14ac:dyDescent="0.25">
      <c r="A220" s="1">
        <v>2458353.3609799999</v>
      </c>
      <c r="B220" s="1" t="s">
        <v>83</v>
      </c>
      <c r="C220" s="1">
        <v>11.564</v>
      </c>
      <c r="D220" s="1">
        <v>1.2E-2</v>
      </c>
      <c r="E220" s="1" t="s">
        <v>1</v>
      </c>
      <c r="F220" s="1" t="s">
        <v>101</v>
      </c>
      <c r="G220" s="1">
        <f t="shared" si="9"/>
        <v>8353.3609799998812</v>
      </c>
      <c r="H220" s="1">
        <f t="shared" si="10"/>
        <v>11.564</v>
      </c>
      <c r="I220" s="1" t="str">
        <f t="shared" si="11"/>
        <v>DUBF</v>
      </c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t="30" hidden="1" x14ac:dyDescent="0.25">
      <c r="A221" s="1">
        <v>2458353.64133</v>
      </c>
      <c r="B221" s="1" t="s">
        <v>299</v>
      </c>
      <c r="C221" s="1">
        <v>11.618</v>
      </c>
      <c r="D221" s="1">
        <v>1.4E-2</v>
      </c>
      <c r="E221" s="1" t="s">
        <v>1</v>
      </c>
      <c r="F221" s="1" t="s">
        <v>273</v>
      </c>
      <c r="G221" s="1">
        <f t="shared" si="9"/>
        <v>8353.6413300000131</v>
      </c>
      <c r="H221" s="1">
        <f t="shared" si="10"/>
        <v>11.618</v>
      </c>
      <c r="I221" s="1" t="str">
        <f t="shared" si="11"/>
        <v>BJFB</v>
      </c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t="30" hidden="1" x14ac:dyDescent="0.25">
      <c r="A222" s="1">
        <v>2458353.6421099999</v>
      </c>
      <c r="B222" s="1" t="s">
        <v>299</v>
      </c>
      <c r="C222" s="1">
        <v>11.622999999999999</v>
      </c>
      <c r="D222" s="1">
        <v>1.4E-2</v>
      </c>
      <c r="E222" s="1" t="s">
        <v>1</v>
      </c>
      <c r="F222" s="1" t="s">
        <v>273</v>
      </c>
      <c r="G222" s="1">
        <f t="shared" si="9"/>
        <v>8353.6421099998988</v>
      </c>
      <c r="H222" s="1">
        <f t="shared" si="10"/>
        <v>11.622999999999999</v>
      </c>
      <c r="I222" s="1" t="str">
        <f t="shared" si="11"/>
        <v>BJFB</v>
      </c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ht="30" hidden="1" x14ac:dyDescent="0.25">
      <c r="A223" s="1">
        <v>2458353.6428800002</v>
      </c>
      <c r="B223" s="1" t="s">
        <v>299</v>
      </c>
      <c r="C223" s="1">
        <v>11.637</v>
      </c>
      <c r="D223" s="1">
        <v>1.4E-2</v>
      </c>
      <c r="E223" s="1" t="s">
        <v>1</v>
      </c>
      <c r="F223" s="1" t="s">
        <v>273</v>
      </c>
      <c r="G223" s="1">
        <f t="shared" si="9"/>
        <v>8353.642880000174</v>
      </c>
      <c r="H223" s="1">
        <f t="shared" si="10"/>
        <v>11.637</v>
      </c>
      <c r="I223" s="1" t="str">
        <f t="shared" si="11"/>
        <v>BJFB</v>
      </c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ht="30" hidden="1" x14ac:dyDescent="0.25">
      <c r="A224" s="1">
        <v>2458353.64365</v>
      </c>
      <c r="B224" s="1" t="s">
        <v>299</v>
      </c>
      <c r="C224" s="1">
        <v>11.653</v>
      </c>
      <c r="D224" s="1">
        <v>1.4E-2</v>
      </c>
      <c r="E224" s="1" t="s">
        <v>1</v>
      </c>
      <c r="F224" s="1" t="s">
        <v>273</v>
      </c>
      <c r="G224" s="1">
        <f t="shared" si="9"/>
        <v>8353.6436499999836</v>
      </c>
      <c r="H224" s="1">
        <f t="shared" si="10"/>
        <v>11.653</v>
      </c>
      <c r="I224" s="1" t="str">
        <f t="shared" si="11"/>
        <v>BJFB</v>
      </c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30" hidden="1" x14ac:dyDescent="0.25">
      <c r="A225" s="1">
        <v>2458353.6444299999</v>
      </c>
      <c r="B225" s="1" t="s">
        <v>299</v>
      </c>
      <c r="C225" s="1">
        <v>11.641999999999999</v>
      </c>
      <c r="D225" s="1">
        <v>1.4E-2</v>
      </c>
      <c r="E225" s="1" t="s">
        <v>1</v>
      </c>
      <c r="F225" s="1" t="s">
        <v>273</v>
      </c>
      <c r="G225" s="1">
        <f t="shared" si="9"/>
        <v>8353.6444299998693</v>
      </c>
      <c r="H225" s="1">
        <f t="shared" si="10"/>
        <v>11.641999999999999</v>
      </c>
      <c r="I225" s="1" t="str">
        <f t="shared" si="11"/>
        <v>BJFB</v>
      </c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30" hidden="1" x14ac:dyDescent="0.25">
      <c r="A226" s="1">
        <v>2458353.6452000001</v>
      </c>
      <c r="B226" s="1" t="s">
        <v>299</v>
      </c>
      <c r="C226" s="1">
        <v>11.641</v>
      </c>
      <c r="D226" s="1">
        <v>1.4E-2</v>
      </c>
      <c r="E226" s="1" t="s">
        <v>1</v>
      </c>
      <c r="F226" s="1" t="s">
        <v>273</v>
      </c>
      <c r="G226" s="1">
        <f t="shared" si="9"/>
        <v>8353.6452000001445</v>
      </c>
      <c r="H226" s="1">
        <f t="shared" si="10"/>
        <v>11.641</v>
      </c>
      <c r="I226" s="1" t="str">
        <f t="shared" si="11"/>
        <v>BJFB</v>
      </c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30" hidden="1" x14ac:dyDescent="0.25">
      <c r="A227" s="1">
        <v>2458353.64598</v>
      </c>
      <c r="B227" s="1" t="s">
        <v>299</v>
      </c>
      <c r="C227" s="1">
        <v>11.619</v>
      </c>
      <c r="D227" s="1">
        <v>1.4E-2</v>
      </c>
      <c r="E227" s="1" t="s">
        <v>1</v>
      </c>
      <c r="F227" s="1" t="s">
        <v>273</v>
      </c>
      <c r="G227" s="1">
        <f t="shared" si="9"/>
        <v>8353.6459800000302</v>
      </c>
      <c r="H227" s="1">
        <f t="shared" si="10"/>
        <v>11.619</v>
      </c>
      <c r="I227" s="1" t="str">
        <f t="shared" si="11"/>
        <v>BJFB</v>
      </c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30" hidden="1" x14ac:dyDescent="0.25">
      <c r="A228" s="1">
        <v>2458353.6467499998</v>
      </c>
      <c r="B228" s="1" t="s">
        <v>299</v>
      </c>
      <c r="C228" s="1">
        <v>11.675000000000001</v>
      </c>
      <c r="D228" s="1">
        <v>1.4E-2</v>
      </c>
      <c r="E228" s="1" t="s">
        <v>1</v>
      </c>
      <c r="F228" s="1" t="s">
        <v>273</v>
      </c>
      <c r="G228" s="1">
        <f t="shared" si="9"/>
        <v>8353.6467499998398</v>
      </c>
      <c r="H228" s="1">
        <f t="shared" si="10"/>
        <v>11.675000000000001</v>
      </c>
      <c r="I228" s="1" t="str">
        <f t="shared" si="11"/>
        <v>BJFB</v>
      </c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30" hidden="1" x14ac:dyDescent="0.25">
      <c r="A229" s="1">
        <v>2458353.6475300002</v>
      </c>
      <c r="B229" s="1" t="s">
        <v>299</v>
      </c>
      <c r="C229" s="1">
        <v>11.644</v>
      </c>
      <c r="D229" s="1">
        <v>1.4E-2</v>
      </c>
      <c r="E229" s="1" t="s">
        <v>1</v>
      </c>
      <c r="F229" s="1" t="s">
        <v>273</v>
      </c>
      <c r="G229" s="1">
        <f t="shared" si="9"/>
        <v>8353.6475300001912</v>
      </c>
      <c r="H229" s="1">
        <f t="shared" si="10"/>
        <v>11.644</v>
      </c>
      <c r="I229" s="1" t="str">
        <f t="shared" si="11"/>
        <v>BJFB</v>
      </c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30" hidden="1" x14ac:dyDescent="0.25">
      <c r="A230" s="1">
        <v>2458353.6483</v>
      </c>
      <c r="B230" s="1" t="s">
        <v>299</v>
      </c>
      <c r="C230" s="1">
        <v>11.632</v>
      </c>
      <c r="D230" s="1">
        <v>1.4E-2</v>
      </c>
      <c r="E230" s="1" t="s">
        <v>1</v>
      </c>
      <c r="F230" s="1" t="s">
        <v>273</v>
      </c>
      <c r="G230" s="1">
        <f t="shared" si="9"/>
        <v>8353.6483000000007</v>
      </c>
      <c r="H230" s="1">
        <f t="shared" si="10"/>
        <v>11.632</v>
      </c>
      <c r="I230" s="1" t="str">
        <f t="shared" si="11"/>
        <v>BJFB</v>
      </c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30" hidden="1" x14ac:dyDescent="0.25">
      <c r="A231" s="1">
        <v>2458354.50771</v>
      </c>
      <c r="B231" s="1" t="s">
        <v>84</v>
      </c>
      <c r="C231" s="1">
        <v>11.553000000000001</v>
      </c>
      <c r="D231" s="1">
        <v>1.4999999999999999E-2</v>
      </c>
      <c r="E231" s="1" t="s">
        <v>1</v>
      </c>
      <c r="F231" s="1" t="s">
        <v>94</v>
      </c>
      <c r="G231" s="1">
        <f t="shared" si="9"/>
        <v>8354.5077100000344</v>
      </c>
      <c r="H231" s="1">
        <f t="shared" si="10"/>
        <v>11.553000000000001</v>
      </c>
      <c r="I231" s="1" t="str">
        <f t="shared" si="11"/>
        <v>HMB</v>
      </c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30" hidden="1" x14ac:dyDescent="0.25">
      <c r="A232" s="1">
        <v>2458354.5080900001</v>
      </c>
      <c r="B232" s="1" t="s">
        <v>84</v>
      </c>
      <c r="C232" s="1">
        <v>11.635</v>
      </c>
      <c r="D232" s="1">
        <v>1.7999999999999999E-2</v>
      </c>
      <c r="E232" s="1" t="s">
        <v>1</v>
      </c>
      <c r="F232" s="1" t="s">
        <v>94</v>
      </c>
      <c r="G232" s="1">
        <f t="shared" si="9"/>
        <v>8354.508090000134</v>
      </c>
      <c r="H232" s="1">
        <f t="shared" si="10"/>
        <v>11.635</v>
      </c>
      <c r="I232" s="1" t="str">
        <f t="shared" si="11"/>
        <v>HMB</v>
      </c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30" hidden="1" x14ac:dyDescent="0.25">
      <c r="A233" s="1">
        <v>2458355.4796799999</v>
      </c>
      <c r="B233" s="1" t="s">
        <v>84</v>
      </c>
      <c r="C233" s="1">
        <v>11.539</v>
      </c>
      <c r="D233" s="1">
        <v>2.5999999999999999E-2</v>
      </c>
      <c r="E233" s="1" t="s">
        <v>1</v>
      </c>
      <c r="F233" s="1" t="s">
        <v>285</v>
      </c>
      <c r="G233" s="1">
        <f t="shared" si="9"/>
        <v>8355.479679999873</v>
      </c>
      <c r="H233" s="1">
        <f t="shared" si="10"/>
        <v>11.539</v>
      </c>
      <c r="I233" s="1" t="str">
        <f t="shared" si="11"/>
        <v>VMT</v>
      </c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30" hidden="1" x14ac:dyDescent="0.25">
      <c r="A234" s="1">
        <v>2458355.4802600001</v>
      </c>
      <c r="B234" s="1" t="s">
        <v>84</v>
      </c>
      <c r="C234" s="1">
        <v>11.579000000000001</v>
      </c>
      <c r="D234" s="1">
        <v>2.7E-2</v>
      </c>
      <c r="E234" s="1" t="s">
        <v>1</v>
      </c>
      <c r="F234" s="1" t="s">
        <v>285</v>
      </c>
      <c r="G234" s="1">
        <f t="shared" si="9"/>
        <v>8355.4802600000985</v>
      </c>
      <c r="H234" s="1">
        <f t="shared" si="10"/>
        <v>11.579000000000001</v>
      </c>
      <c r="I234" s="1" t="str">
        <f t="shared" si="11"/>
        <v>VMT</v>
      </c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30" hidden="1" x14ac:dyDescent="0.25">
      <c r="A235" s="1">
        <v>2458355.5047900002</v>
      </c>
      <c r="B235" s="1" t="s">
        <v>85</v>
      </c>
      <c r="C235" s="1">
        <v>11.586</v>
      </c>
      <c r="D235" s="1">
        <v>1.0999999999999999E-2</v>
      </c>
      <c r="E235" s="1" t="s">
        <v>1</v>
      </c>
      <c r="F235" s="1" t="s">
        <v>94</v>
      </c>
      <c r="G235" s="1">
        <f t="shared" si="9"/>
        <v>8355.5047900001518</v>
      </c>
      <c r="H235" s="1">
        <f t="shared" si="10"/>
        <v>11.586</v>
      </c>
      <c r="I235" s="1" t="str">
        <f t="shared" si="11"/>
        <v>HMB</v>
      </c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30" hidden="1" x14ac:dyDescent="0.25">
      <c r="A236" s="1">
        <v>2458355.5051699998</v>
      </c>
      <c r="B236" s="1" t="s">
        <v>85</v>
      </c>
      <c r="C236" s="1">
        <v>11.59</v>
      </c>
      <c r="D236" s="1">
        <v>1.0999999999999999E-2</v>
      </c>
      <c r="E236" s="1" t="s">
        <v>1</v>
      </c>
      <c r="F236" s="1" t="s">
        <v>94</v>
      </c>
      <c r="G236" s="1">
        <f t="shared" si="9"/>
        <v>8355.5051699997857</v>
      </c>
      <c r="H236" s="1">
        <f t="shared" si="10"/>
        <v>11.59</v>
      </c>
      <c r="I236" s="1" t="str">
        <f t="shared" si="11"/>
        <v>HMB</v>
      </c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30" x14ac:dyDescent="0.25">
      <c r="A237" s="1">
        <v>2458355.7527000001</v>
      </c>
      <c r="B237" s="1" t="s">
        <v>85</v>
      </c>
      <c r="C237" s="1">
        <v>11.609</v>
      </c>
      <c r="D237" s="1">
        <v>8.0000000000000002E-3</v>
      </c>
      <c r="E237" s="1" t="s">
        <v>1</v>
      </c>
      <c r="F237" s="1" t="s">
        <v>102</v>
      </c>
      <c r="G237" s="1">
        <f t="shared" si="9"/>
        <v>8355.75270000007</v>
      </c>
      <c r="H237" s="1">
        <f t="shared" si="10"/>
        <v>11.609</v>
      </c>
      <c r="I237" s="1" t="str">
        <f t="shared" si="11"/>
        <v>VBPA</v>
      </c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30" hidden="1" x14ac:dyDescent="0.25">
      <c r="A238" s="1">
        <v>2458356.3451299998</v>
      </c>
      <c r="B238" s="1" t="s">
        <v>85</v>
      </c>
      <c r="C238" s="1">
        <v>11.619</v>
      </c>
      <c r="D238" s="1">
        <v>2.4E-2</v>
      </c>
      <c r="E238" s="1" t="s">
        <v>1</v>
      </c>
      <c r="F238" s="1" t="s">
        <v>285</v>
      </c>
      <c r="G238" s="1">
        <f t="shared" si="9"/>
        <v>8356.3451299997978</v>
      </c>
      <c r="H238" s="1">
        <f t="shared" si="10"/>
        <v>11.619</v>
      </c>
      <c r="I238" s="1" t="str">
        <f t="shared" si="11"/>
        <v>VMT</v>
      </c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30" hidden="1" x14ac:dyDescent="0.25">
      <c r="A239" s="1">
        <v>2458356.3458400001</v>
      </c>
      <c r="B239" s="1" t="s">
        <v>85</v>
      </c>
      <c r="C239" s="1">
        <v>11.634</v>
      </c>
      <c r="D239" s="1">
        <v>2.3E-2</v>
      </c>
      <c r="E239" s="1" t="s">
        <v>1</v>
      </c>
      <c r="F239" s="1" t="s">
        <v>285</v>
      </c>
      <c r="G239" s="1">
        <f t="shared" si="9"/>
        <v>8356.3458400000818</v>
      </c>
      <c r="H239" s="1">
        <f t="shared" si="10"/>
        <v>11.634</v>
      </c>
      <c r="I239" s="1" t="str">
        <f t="shared" si="11"/>
        <v>VMT</v>
      </c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30" hidden="1" x14ac:dyDescent="0.25">
      <c r="A240" s="1">
        <v>2458356.5022100001</v>
      </c>
      <c r="B240" s="1" t="s">
        <v>103</v>
      </c>
      <c r="C240" s="1">
        <v>11.632999999999999</v>
      </c>
      <c r="D240" s="1">
        <v>1.0999999999999999E-2</v>
      </c>
      <c r="E240" s="1" t="s">
        <v>1</v>
      </c>
      <c r="F240" s="1" t="s">
        <v>94</v>
      </c>
      <c r="G240" s="1">
        <f t="shared" si="9"/>
        <v>8356.5022100000642</v>
      </c>
      <c r="H240" s="1">
        <f t="shared" si="10"/>
        <v>11.632999999999999</v>
      </c>
      <c r="I240" s="1" t="str">
        <f t="shared" si="11"/>
        <v>HMB</v>
      </c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30" hidden="1" x14ac:dyDescent="0.25">
      <c r="A241" s="1">
        <v>2458356.5025999998</v>
      </c>
      <c r="B241" s="1" t="s">
        <v>103</v>
      </c>
      <c r="C241" s="1">
        <v>11.625999999999999</v>
      </c>
      <c r="D241" s="1">
        <v>1.0999999999999999E-2</v>
      </c>
      <c r="E241" s="1" t="s">
        <v>1</v>
      </c>
      <c r="F241" s="1" t="s">
        <v>94</v>
      </c>
      <c r="G241" s="1">
        <f t="shared" si="9"/>
        <v>8356.5025999997742</v>
      </c>
      <c r="H241" s="1">
        <f t="shared" si="10"/>
        <v>11.625999999999999</v>
      </c>
      <c r="I241" s="1" t="str">
        <f t="shared" si="11"/>
        <v>HMB</v>
      </c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30" hidden="1" x14ac:dyDescent="0.25">
      <c r="A242" s="1">
        <v>2458356.6162</v>
      </c>
      <c r="B242" s="1" t="s">
        <v>103</v>
      </c>
      <c r="C242" s="1">
        <v>11.414</v>
      </c>
      <c r="D242" s="1">
        <v>6.4000000000000001E-2</v>
      </c>
      <c r="E242" s="1" t="s">
        <v>1</v>
      </c>
      <c r="F242" s="1" t="s">
        <v>273</v>
      </c>
      <c r="G242" s="1">
        <f t="shared" si="9"/>
        <v>8356.6162000000477</v>
      </c>
      <c r="H242" s="1">
        <f t="shared" si="10"/>
        <v>11.414</v>
      </c>
      <c r="I242" s="1" t="str">
        <f t="shared" si="11"/>
        <v>BJFB</v>
      </c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30" hidden="1" x14ac:dyDescent="0.25">
      <c r="A243" s="1">
        <v>2458357.4992399998</v>
      </c>
      <c r="B243" s="1" t="s">
        <v>103</v>
      </c>
      <c r="C243" s="1">
        <v>11.638</v>
      </c>
      <c r="D243" s="1">
        <v>1.0999999999999999E-2</v>
      </c>
      <c r="E243" s="1" t="s">
        <v>1</v>
      </c>
      <c r="F243" s="1" t="s">
        <v>94</v>
      </c>
      <c r="G243" s="1">
        <f t="shared" si="9"/>
        <v>8357.4992399998009</v>
      </c>
      <c r="H243" s="1">
        <f t="shared" si="10"/>
        <v>11.638</v>
      </c>
      <c r="I243" s="1" t="str">
        <f t="shared" si="11"/>
        <v>HMB</v>
      </c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ht="30" hidden="1" x14ac:dyDescent="0.25">
      <c r="A244" s="1">
        <v>2458357.49963</v>
      </c>
      <c r="B244" s="1" t="s">
        <v>103</v>
      </c>
      <c r="C244" s="1">
        <v>11.638999999999999</v>
      </c>
      <c r="D244" s="1">
        <v>0.01</v>
      </c>
      <c r="E244" s="1" t="s">
        <v>1</v>
      </c>
      <c r="F244" s="1" t="s">
        <v>94</v>
      </c>
      <c r="G244" s="1">
        <f t="shared" si="9"/>
        <v>8357.4996299999766</v>
      </c>
      <c r="H244" s="1">
        <f t="shared" si="10"/>
        <v>11.638999999999999</v>
      </c>
      <c r="I244" s="1" t="str">
        <f t="shared" si="11"/>
        <v>HMB</v>
      </c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ht="30" hidden="1" x14ac:dyDescent="0.25">
      <c r="A245" s="1">
        <v>2458357.6146</v>
      </c>
      <c r="B245" s="1" t="s">
        <v>86</v>
      </c>
      <c r="C245" s="1">
        <v>11.707000000000001</v>
      </c>
      <c r="D245" s="1">
        <v>1.4999999999999999E-2</v>
      </c>
      <c r="E245" s="1" t="s">
        <v>1</v>
      </c>
      <c r="F245" s="1" t="s">
        <v>273</v>
      </c>
      <c r="G245" s="1">
        <f t="shared" si="9"/>
        <v>8357.6145999999717</v>
      </c>
      <c r="H245" s="1">
        <f t="shared" si="10"/>
        <v>11.707000000000001</v>
      </c>
      <c r="I245" s="1" t="str">
        <f t="shared" si="11"/>
        <v>BJFB</v>
      </c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30" hidden="1" x14ac:dyDescent="0.25">
      <c r="A246" s="1">
        <v>2458357.6150799999</v>
      </c>
      <c r="B246" s="1" t="s">
        <v>86</v>
      </c>
      <c r="C246" s="1">
        <v>11.698</v>
      </c>
      <c r="D246" s="1">
        <v>1.6E-2</v>
      </c>
      <c r="E246" s="1" t="s">
        <v>1</v>
      </c>
      <c r="F246" s="1" t="s">
        <v>273</v>
      </c>
      <c r="G246" s="1">
        <f t="shared" si="9"/>
        <v>8357.6150799999014</v>
      </c>
      <c r="H246" s="1">
        <f t="shared" si="10"/>
        <v>11.698</v>
      </c>
      <c r="I246" s="1" t="str">
        <f t="shared" si="11"/>
        <v>BJFB</v>
      </c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30" hidden="1" x14ac:dyDescent="0.25">
      <c r="A247" s="1">
        <v>2458357.6155500002</v>
      </c>
      <c r="B247" s="1" t="s">
        <v>86</v>
      </c>
      <c r="C247" s="1">
        <v>11.744</v>
      </c>
      <c r="D247" s="1">
        <v>1.6E-2</v>
      </c>
      <c r="E247" s="1" t="s">
        <v>1</v>
      </c>
      <c r="F247" s="1" t="s">
        <v>273</v>
      </c>
      <c r="G247" s="1">
        <f t="shared" si="9"/>
        <v>8357.6155500002205</v>
      </c>
      <c r="H247" s="1">
        <f t="shared" si="10"/>
        <v>11.744</v>
      </c>
      <c r="I247" s="1" t="str">
        <f t="shared" si="11"/>
        <v>BJFB</v>
      </c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30" hidden="1" x14ac:dyDescent="0.25">
      <c r="A248" s="1">
        <v>2458357.6160200001</v>
      </c>
      <c r="B248" s="1" t="s">
        <v>86</v>
      </c>
      <c r="C248" s="1">
        <v>11.69</v>
      </c>
      <c r="D248" s="1">
        <v>1.4999999999999999E-2</v>
      </c>
      <c r="E248" s="1" t="s">
        <v>1</v>
      </c>
      <c r="F248" s="1" t="s">
        <v>273</v>
      </c>
      <c r="G248" s="1">
        <f t="shared" si="9"/>
        <v>8357.6160200000741</v>
      </c>
      <c r="H248" s="1">
        <f t="shared" si="10"/>
        <v>11.69</v>
      </c>
      <c r="I248" s="1" t="str">
        <f t="shared" si="11"/>
        <v>BJFB</v>
      </c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30" hidden="1" x14ac:dyDescent="0.25">
      <c r="A249" s="1">
        <v>2458357.6165</v>
      </c>
      <c r="B249" s="1" t="s">
        <v>86</v>
      </c>
      <c r="C249" s="1">
        <v>11.705</v>
      </c>
      <c r="D249" s="1">
        <v>1.6E-2</v>
      </c>
      <c r="E249" s="1" t="s">
        <v>1</v>
      </c>
      <c r="F249" s="1" t="s">
        <v>273</v>
      </c>
      <c r="G249" s="1">
        <f t="shared" si="9"/>
        <v>8357.6165000000037</v>
      </c>
      <c r="H249" s="1">
        <f t="shared" si="10"/>
        <v>11.705</v>
      </c>
      <c r="I249" s="1" t="str">
        <f t="shared" si="11"/>
        <v>BJFB</v>
      </c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30" hidden="1" x14ac:dyDescent="0.25">
      <c r="A250" s="1">
        <v>2458358.3451399999</v>
      </c>
      <c r="B250" s="1" t="s">
        <v>86</v>
      </c>
      <c r="C250" s="1">
        <v>11.568</v>
      </c>
      <c r="D250" s="1">
        <v>1.7999999999999999E-2</v>
      </c>
      <c r="E250" s="1" t="s">
        <v>1</v>
      </c>
      <c r="F250" s="1" t="s">
        <v>285</v>
      </c>
      <c r="G250" s="1">
        <f t="shared" si="9"/>
        <v>8358.3451399998739</v>
      </c>
      <c r="H250" s="1">
        <f t="shared" si="10"/>
        <v>11.568</v>
      </c>
      <c r="I250" s="1" t="str">
        <f t="shared" si="11"/>
        <v>VMT</v>
      </c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30" hidden="1" x14ac:dyDescent="0.25">
      <c r="A251" s="1">
        <v>2458358.3458199999</v>
      </c>
      <c r="B251" s="1" t="s">
        <v>86</v>
      </c>
      <c r="C251" s="1">
        <v>11.619</v>
      </c>
      <c r="D251" s="1">
        <v>1.7000000000000001E-2</v>
      </c>
      <c r="E251" s="1" t="s">
        <v>1</v>
      </c>
      <c r="F251" s="1" t="s">
        <v>285</v>
      </c>
      <c r="G251" s="1">
        <f t="shared" si="9"/>
        <v>8358.3458199999295</v>
      </c>
      <c r="H251" s="1">
        <f t="shared" si="10"/>
        <v>11.619</v>
      </c>
      <c r="I251" s="1" t="str">
        <f t="shared" si="11"/>
        <v>VMT</v>
      </c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30" hidden="1" x14ac:dyDescent="0.25">
      <c r="A252" s="1">
        <v>2458358.4878199999</v>
      </c>
      <c r="B252" s="1" t="s">
        <v>86</v>
      </c>
      <c r="C252" s="1">
        <v>11.68</v>
      </c>
      <c r="D252" s="1">
        <v>8.9999999999999993E-3</v>
      </c>
      <c r="E252" s="1" t="s">
        <v>1</v>
      </c>
      <c r="F252" s="1" t="s">
        <v>94</v>
      </c>
      <c r="G252" s="1">
        <f t="shared" si="9"/>
        <v>8358.4878199999221</v>
      </c>
      <c r="H252" s="1">
        <f t="shared" si="10"/>
        <v>11.68</v>
      </c>
      <c r="I252" s="1" t="str">
        <f t="shared" si="11"/>
        <v>HMB</v>
      </c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30" hidden="1" x14ac:dyDescent="0.25">
      <c r="A253" s="1">
        <v>2458358.4882200002</v>
      </c>
      <c r="B253" s="1" t="s">
        <v>86</v>
      </c>
      <c r="C253" s="1">
        <v>11.683999999999999</v>
      </c>
      <c r="D253" s="1">
        <v>8.9999999999999993E-3</v>
      </c>
      <c r="E253" s="1" t="s">
        <v>1</v>
      </c>
      <c r="F253" s="1" t="s">
        <v>94</v>
      </c>
      <c r="G253" s="1">
        <f t="shared" si="9"/>
        <v>8358.4882200001739</v>
      </c>
      <c r="H253" s="1">
        <f t="shared" si="10"/>
        <v>11.683999999999999</v>
      </c>
      <c r="I253" s="1" t="str">
        <f t="shared" si="11"/>
        <v>HMB</v>
      </c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30" hidden="1" x14ac:dyDescent="0.25">
      <c r="A254" s="1">
        <v>2458359.3416400002</v>
      </c>
      <c r="B254" s="1" t="s">
        <v>87</v>
      </c>
      <c r="C254" s="1">
        <v>11.657</v>
      </c>
      <c r="D254" s="1">
        <v>1.7000000000000001E-2</v>
      </c>
      <c r="E254" s="1" t="s">
        <v>1</v>
      </c>
      <c r="F254" s="1" t="s">
        <v>285</v>
      </c>
      <c r="G254" s="1">
        <f t="shared" si="9"/>
        <v>8359.3416400002316</v>
      </c>
      <c r="H254" s="1">
        <f t="shared" si="10"/>
        <v>11.657</v>
      </c>
      <c r="I254" s="1" t="str">
        <f t="shared" si="11"/>
        <v>VMT</v>
      </c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ht="30" hidden="1" x14ac:dyDescent="0.25">
      <c r="A255" s="1">
        <v>2458359.3423100002</v>
      </c>
      <c r="B255" s="1" t="s">
        <v>87</v>
      </c>
      <c r="C255" s="1">
        <v>11.62</v>
      </c>
      <c r="D255" s="1">
        <v>1.6E-2</v>
      </c>
      <c r="E255" s="1" t="s">
        <v>1</v>
      </c>
      <c r="F255" s="1" t="s">
        <v>285</v>
      </c>
      <c r="G255" s="1">
        <f t="shared" si="9"/>
        <v>8359.342310000211</v>
      </c>
      <c r="H255" s="1">
        <f t="shared" si="10"/>
        <v>11.62</v>
      </c>
      <c r="I255" s="1" t="str">
        <f t="shared" si="11"/>
        <v>VMT</v>
      </c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ht="30" x14ac:dyDescent="0.25">
      <c r="A256" s="1">
        <v>2458359.3710500002</v>
      </c>
      <c r="B256" s="1" t="s">
        <v>87</v>
      </c>
      <c r="C256" s="1">
        <v>11.683999999999999</v>
      </c>
      <c r="D256" s="1">
        <v>7.0000000000000001E-3</v>
      </c>
      <c r="E256" s="1" t="s">
        <v>1</v>
      </c>
      <c r="F256" s="1" t="s">
        <v>101</v>
      </c>
      <c r="G256" s="1">
        <f t="shared" si="9"/>
        <v>8359.3710500001907</v>
      </c>
      <c r="H256" s="1">
        <f t="shared" si="10"/>
        <v>11.683999999999999</v>
      </c>
      <c r="I256" s="1" t="str">
        <f t="shared" si="11"/>
        <v>DUBF</v>
      </c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ht="30" x14ac:dyDescent="0.25">
      <c r="A257" s="1">
        <v>2458359.3717800002</v>
      </c>
      <c r="B257" s="1" t="s">
        <v>87</v>
      </c>
      <c r="C257" s="1">
        <v>11.7</v>
      </c>
      <c r="D257" s="1">
        <v>7.0000000000000001E-3</v>
      </c>
      <c r="E257" s="1" t="s">
        <v>1</v>
      </c>
      <c r="F257" s="1" t="s">
        <v>101</v>
      </c>
      <c r="G257" s="1">
        <f t="shared" si="9"/>
        <v>8359.3717800001614</v>
      </c>
      <c r="H257" s="1">
        <f t="shared" si="10"/>
        <v>11.7</v>
      </c>
      <c r="I257" s="1" t="str">
        <f t="shared" si="11"/>
        <v>DUBF</v>
      </c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ht="30" hidden="1" x14ac:dyDescent="0.25">
      <c r="A258" s="1">
        <v>2458359.48826</v>
      </c>
      <c r="B258" s="1" t="s">
        <v>87</v>
      </c>
      <c r="C258" s="1">
        <v>11.734</v>
      </c>
      <c r="D258" s="1">
        <v>8.9999999999999993E-3</v>
      </c>
      <c r="E258" s="1" t="s">
        <v>1</v>
      </c>
      <c r="F258" s="1" t="s">
        <v>94</v>
      </c>
      <c r="G258" s="1">
        <f t="shared" si="9"/>
        <v>8359.4882600000128</v>
      </c>
      <c r="H258" s="1">
        <f t="shared" si="10"/>
        <v>11.734</v>
      </c>
      <c r="I258" s="1" t="str">
        <f t="shared" si="11"/>
        <v>HMB</v>
      </c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ht="30" hidden="1" x14ac:dyDescent="0.25">
      <c r="A259" s="1">
        <v>2458359.4886500002</v>
      </c>
      <c r="B259" s="1" t="s">
        <v>87</v>
      </c>
      <c r="C259" s="1">
        <v>11.727</v>
      </c>
      <c r="D259" s="1">
        <v>8.9999999999999993E-3</v>
      </c>
      <c r="E259" s="1" t="s">
        <v>1</v>
      </c>
      <c r="F259" s="1" t="s">
        <v>94</v>
      </c>
      <c r="G259" s="1">
        <f t="shared" ref="G259:G322" si="12">+A259-2450000</f>
        <v>8359.4886500001885</v>
      </c>
      <c r="H259" s="1">
        <f t="shared" ref="H259:H322" si="13">+C259</f>
        <v>11.727</v>
      </c>
      <c r="I259" s="1" t="str">
        <f t="shared" ref="I259:I322" si="14">+F259</f>
        <v>HMB</v>
      </c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ht="30" hidden="1" x14ac:dyDescent="0.25">
      <c r="A260" s="1">
        <v>2458359.7067999998</v>
      </c>
      <c r="B260" s="1" t="s">
        <v>88</v>
      </c>
      <c r="C260" s="1">
        <v>11.491</v>
      </c>
      <c r="D260" s="1">
        <v>1.7999999999999999E-2</v>
      </c>
      <c r="E260" s="1" t="s">
        <v>1</v>
      </c>
      <c r="F260" s="1" t="s">
        <v>273</v>
      </c>
      <c r="G260" s="1">
        <f t="shared" si="12"/>
        <v>8359.7067999998108</v>
      </c>
      <c r="H260" s="1">
        <f t="shared" si="13"/>
        <v>11.491</v>
      </c>
      <c r="I260" s="1" t="str">
        <f t="shared" si="14"/>
        <v>BJFB</v>
      </c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ht="30" hidden="1" x14ac:dyDescent="0.25">
      <c r="A261" s="1">
        <v>2458360.3423100002</v>
      </c>
      <c r="B261" s="1" t="s">
        <v>88</v>
      </c>
      <c r="C261" s="1">
        <v>11.667</v>
      </c>
      <c r="D261" s="1">
        <v>1.6E-2</v>
      </c>
      <c r="E261" s="1" t="s">
        <v>1</v>
      </c>
      <c r="F261" s="1" t="s">
        <v>285</v>
      </c>
      <c r="G261" s="1">
        <f t="shared" si="12"/>
        <v>8360.342310000211</v>
      </c>
      <c r="H261" s="1">
        <f t="shared" si="13"/>
        <v>11.667</v>
      </c>
      <c r="I261" s="1" t="str">
        <f t="shared" si="14"/>
        <v>VMT</v>
      </c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ht="30" hidden="1" x14ac:dyDescent="0.25">
      <c r="A262" s="1">
        <v>2458360.34302</v>
      </c>
      <c r="B262" s="1" t="s">
        <v>88</v>
      </c>
      <c r="C262" s="1">
        <v>11.679</v>
      </c>
      <c r="D262" s="1">
        <v>1.6E-2</v>
      </c>
      <c r="E262" s="1" t="s">
        <v>1</v>
      </c>
      <c r="F262" s="1" t="s">
        <v>285</v>
      </c>
      <c r="G262" s="1">
        <f t="shared" si="12"/>
        <v>8360.3430200000294</v>
      </c>
      <c r="H262" s="1">
        <f t="shared" si="13"/>
        <v>11.679</v>
      </c>
      <c r="I262" s="1" t="str">
        <f t="shared" si="14"/>
        <v>VMT</v>
      </c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ht="30" hidden="1" x14ac:dyDescent="0.25">
      <c r="A263" s="1">
        <v>2458360.4889400001</v>
      </c>
      <c r="B263" s="1" t="s">
        <v>88</v>
      </c>
      <c r="C263" s="1">
        <v>11.747</v>
      </c>
      <c r="D263" s="1">
        <v>8.9999999999999993E-3</v>
      </c>
      <c r="E263" s="1" t="s">
        <v>1</v>
      </c>
      <c r="F263" s="1" t="s">
        <v>94</v>
      </c>
      <c r="G263" s="1">
        <f t="shared" si="12"/>
        <v>8360.4889400000684</v>
      </c>
      <c r="H263" s="1">
        <f t="shared" si="13"/>
        <v>11.747</v>
      </c>
      <c r="I263" s="1" t="str">
        <f t="shared" si="14"/>
        <v>HMB</v>
      </c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ht="30" hidden="1" x14ac:dyDescent="0.25">
      <c r="A264" s="1">
        <v>2458360.4893200002</v>
      </c>
      <c r="B264" s="1" t="s">
        <v>88</v>
      </c>
      <c r="C264" s="1">
        <v>11.75</v>
      </c>
      <c r="D264" s="1">
        <v>8.9999999999999993E-3</v>
      </c>
      <c r="E264" s="1" t="s">
        <v>1</v>
      </c>
      <c r="F264" s="1" t="s">
        <v>94</v>
      </c>
      <c r="G264" s="1">
        <f t="shared" si="12"/>
        <v>8360.4893200001679</v>
      </c>
      <c r="H264" s="1">
        <f t="shared" si="13"/>
        <v>11.75</v>
      </c>
      <c r="I264" s="1" t="str">
        <f t="shared" si="14"/>
        <v>HMB</v>
      </c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ht="30" hidden="1" x14ac:dyDescent="0.25">
      <c r="A265" s="1">
        <v>2458360.6524299998</v>
      </c>
      <c r="B265" s="1" t="s">
        <v>89</v>
      </c>
      <c r="C265" s="1">
        <v>11.818</v>
      </c>
      <c r="D265" s="1">
        <v>1.2E-2</v>
      </c>
      <c r="E265" s="1" t="s">
        <v>1</v>
      </c>
      <c r="F265" s="1" t="s">
        <v>273</v>
      </c>
      <c r="G265" s="1">
        <f t="shared" si="12"/>
        <v>8360.6524299997836</v>
      </c>
      <c r="H265" s="1">
        <f t="shared" si="13"/>
        <v>11.818</v>
      </c>
      <c r="I265" s="1" t="str">
        <f t="shared" si="14"/>
        <v>BJFB</v>
      </c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ht="30" hidden="1" x14ac:dyDescent="0.25">
      <c r="A266" s="1">
        <v>2458360.65289</v>
      </c>
      <c r="B266" s="1" t="s">
        <v>89</v>
      </c>
      <c r="C266" s="1">
        <v>11.81</v>
      </c>
      <c r="D266" s="1">
        <v>1.2E-2</v>
      </c>
      <c r="E266" s="1" t="s">
        <v>1</v>
      </c>
      <c r="F266" s="1" t="s">
        <v>273</v>
      </c>
      <c r="G266" s="1">
        <f t="shared" si="12"/>
        <v>8360.6528900000267</v>
      </c>
      <c r="H266" s="1">
        <f t="shared" si="13"/>
        <v>11.81</v>
      </c>
      <c r="I266" s="1" t="str">
        <f t="shared" si="14"/>
        <v>BJFB</v>
      </c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ht="30" hidden="1" x14ac:dyDescent="0.25">
      <c r="A267" s="1">
        <v>2458360.6533499998</v>
      </c>
      <c r="B267" s="1" t="s">
        <v>89</v>
      </c>
      <c r="C267" s="1">
        <v>11.837999999999999</v>
      </c>
      <c r="D267" s="1">
        <v>1.2E-2</v>
      </c>
      <c r="E267" s="1" t="s">
        <v>1</v>
      </c>
      <c r="F267" s="1" t="s">
        <v>273</v>
      </c>
      <c r="G267" s="1">
        <f t="shared" si="12"/>
        <v>8360.653349999804</v>
      </c>
      <c r="H267" s="1">
        <f t="shared" si="13"/>
        <v>11.837999999999999</v>
      </c>
      <c r="I267" s="1" t="str">
        <f t="shared" si="14"/>
        <v>BJFB</v>
      </c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7" ht="30" hidden="1" x14ac:dyDescent="0.25">
      <c r="A268" s="1">
        <v>2458360.65381</v>
      </c>
      <c r="B268" s="1" t="s">
        <v>89</v>
      </c>
      <c r="C268" s="1">
        <v>11.836</v>
      </c>
      <c r="D268" s="1">
        <v>1.2E-2</v>
      </c>
      <c r="E268" s="1" t="s">
        <v>1</v>
      </c>
      <c r="F268" s="1" t="s">
        <v>273</v>
      </c>
      <c r="G268" s="1">
        <f t="shared" si="12"/>
        <v>8360.6538100000471</v>
      </c>
      <c r="H268" s="1">
        <f t="shared" si="13"/>
        <v>11.836</v>
      </c>
      <c r="I268" s="1" t="str">
        <f t="shared" si="14"/>
        <v>BJFB</v>
      </c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7" ht="30" hidden="1" x14ac:dyDescent="0.25">
      <c r="A269" s="1">
        <v>2458361.3413900002</v>
      </c>
      <c r="B269" s="1" t="s">
        <v>89</v>
      </c>
      <c r="C269" s="1">
        <v>11.695</v>
      </c>
      <c r="D269" s="1">
        <v>1.7999999999999999E-2</v>
      </c>
      <c r="E269" s="1" t="s">
        <v>1</v>
      </c>
      <c r="F269" s="1" t="s">
        <v>285</v>
      </c>
      <c r="G269" s="1">
        <f t="shared" si="12"/>
        <v>8361.3413900001906</v>
      </c>
      <c r="H269" s="1">
        <f t="shared" si="13"/>
        <v>11.695</v>
      </c>
      <c r="I269" s="1" t="str">
        <f t="shared" si="14"/>
        <v>VMT</v>
      </c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7" ht="30" hidden="1" x14ac:dyDescent="0.25">
      <c r="A270" s="1">
        <v>2458361.3421</v>
      </c>
      <c r="B270" s="1" t="s">
        <v>89</v>
      </c>
      <c r="C270" s="1">
        <v>11.721</v>
      </c>
      <c r="D270" s="1">
        <v>1.9E-2</v>
      </c>
      <c r="E270" s="1" t="s">
        <v>1</v>
      </c>
      <c r="F270" s="1" t="s">
        <v>285</v>
      </c>
      <c r="G270" s="1">
        <f t="shared" si="12"/>
        <v>8361.3421000000089</v>
      </c>
      <c r="H270" s="1">
        <f t="shared" si="13"/>
        <v>11.721</v>
      </c>
      <c r="I270" s="1" t="str">
        <f t="shared" si="14"/>
        <v>VMT</v>
      </c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7" ht="30" hidden="1" x14ac:dyDescent="0.25">
      <c r="A271" s="1">
        <v>2458361.4891900001</v>
      </c>
      <c r="B271" s="1" t="s">
        <v>89</v>
      </c>
      <c r="C271" s="1">
        <v>11.782</v>
      </c>
      <c r="D271" s="1">
        <v>8.9999999999999993E-3</v>
      </c>
      <c r="E271" s="1" t="s">
        <v>1</v>
      </c>
      <c r="F271" s="1" t="s">
        <v>94</v>
      </c>
      <c r="G271" s="1">
        <f t="shared" si="12"/>
        <v>8361.4891900001094</v>
      </c>
      <c r="H271" s="1">
        <f t="shared" si="13"/>
        <v>11.782</v>
      </c>
      <c r="I271" s="1" t="str">
        <f t="shared" si="14"/>
        <v>HMB</v>
      </c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7" ht="30" hidden="1" x14ac:dyDescent="0.25">
      <c r="A272" s="1">
        <v>2458361.4895700002</v>
      </c>
      <c r="B272" s="1" t="s">
        <v>89</v>
      </c>
      <c r="C272" s="1">
        <v>11.784000000000001</v>
      </c>
      <c r="D272" s="1">
        <v>8.9999999999999993E-3</v>
      </c>
      <c r="E272" s="1" t="s">
        <v>1</v>
      </c>
      <c r="F272" s="1" t="s">
        <v>94</v>
      </c>
      <c r="G272" s="1">
        <f t="shared" si="12"/>
        <v>8361.4895700002089</v>
      </c>
      <c r="H272" s="1">
        <f t="shared" si="13"/>
        <v>11.784000000000001</v>
      </c>
      <c r="I272" s="1" t="str">
        <f t="shared" si="14"/>
        <v>HMB</v>
      </c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30" hidden="1" x14ac:dyDescent="0.25">
      <c r="A273" s="1">
        <v>2458362.3405200001</v>
      </c>
      <c r="B273" s="1" t="s">
        <v>104</v>
      </c>
      <c r="C273" s="1">
        <v>11.763</v>
      </c>
      <c r="D273" s="1">
        <v>0.02</v>
      </c>
      <c r="E273" s="1" t="s">
        <v>1</v>
      </c>
      <c r="F273" s="1" t="s">
        <v>285</v>
      </c>
      <c r="G273" s="1">
        <f t="shared" si="12"/>
        <v>8362.3405200000852</v>
      </c>
      <c r="H273" s="1">
        <f t="shared" si="13"/>
        <v>11.763</v>
      </c>
      <c r="I273" s="1" t="str">
        <f t="shared" si="14"/>
        <v>VMT</v>
      </c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30" hidden="1" x14ac:dyDescent="0.25">
      <c r="A274" s="1">
        <v>2458362.3411900001</v>
      </c>
      <c r="B274" s="1" t="s">
        <v>104</v>
      </c>
      <c r="C274" s="1">
        <v>11.755000000000001</v>
      </c>
      <c r="D274" s="1">
        <v>0.02</v>
      </c>
      <c r="E274" s="1" t="s">
        <v>1</v>
      </c>
      <c r="F274" s="1" t="s">
        <v>285</v>
      </c>
      <c r="G274" s="1">
        <f t="shared" si="12"/>
        <v>8362.3411900000647</v>
      </c>
      <c r="H274" s="1">
        <f t="shared" si="13"/>
        <v>11.755000000000001</v>
      </c>
      <c r="I274" s="1" t="str">
        <f t="shared" si="14"/>
        <v>VMT</v>
      </c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30" x14ac:dyDescent="0.25">
      <c r="A275" s="1">
        <v>2458362.36002</v>
      </c>
      <c r="B275" s="1" t="s">
        <v>104</v>
      </c>
      <c r="C275" s="1">
        <v>11.797000000000001</v>
      </c>
      <c r="D275" s="1">
        <v>7.0000000000000001E-3</v>
      </c>
      <c r="E275" s="1" t="s">
        <v>1</v>
      </c>
      <c r="F275" s="1" t="s">
        <v>101</v>
      </c>
      <c r="G275" s="1">
        <f t="shared" si="12"/>
        <v>8362.3600200000219</v>
      </c>
      <c r="H275" s="1">
        <f t="shared" si="13"/>
        <v>11.797000000000001</v>
      </c>
      <c r="I275" s="1" t="str">
        <f t="shared" si="14"/>
        <v>DUBF</v>
      </c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30" hidden="1" x14ac:dyDescent="0.25">
      <c r="A276" s="1">
        <v>2458362.4890600001</v>
      </c>
      <c r="B276" s="1" t="s">
        <v>104</v>
      </c>
      <c r="C276" s="1">
        <v>11.833</v>
      </c>
      <c r="D276" s="1">
        <v>8.9999999999999993E-3</v>
      </c>
      <c r="E276" s="1" t="s">
        <v>1</v>
      </c>
      <c r="F276" s="1" t="s">
        <v>94</v>
      </c>
      <c r="G276" s="1">
        <f t="shared" si="12"/>
        <v>8362.4890600000508</v>
      </c>
      <c r="H276" s="1">
        <f t="shared" si="13"/>
        <v>11.833</v>
      </c>
      <c r="I276" s="1" t="str">
        <f t="shared" si="14"/>
        <v>HMB</v>
      </c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30" hidden="1" x14ac:dyDescent="0.25">
      <c r="A277" s="1">
        <v>2458362.4894599998</v>
      </c>
      <c r="B277" s="1" t="s">
        <v>104</v>
      </c>
      <c r="C277" s="1">
        <v>11.827999999999999</v>
      </c>
      <c r="D277" s="1">
        <v>8.9999999999999993E-3</v>
      </c>
      <c r="E277" s="1" t="s">
        <v>1</v>
      </c>
      <c r="F277" s="1" t="s">
        <v>94</v>
      </c>
      <c r="G277" s="1">
        <f t="shared" si="12"/>
        <v>8362.489459999837</v>
      </c>
      <c r="H277" s="1">
        <f t="shared" si="13"/>
        <v>11.827999999999999</v>
      </c>
      <c r="I277" s="1" t="str">
        <f t="shared" si="14"/>
        <v>HMB</v>
      </c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idden="1" x14ac:dyDescent="0.25">
      <c r="A278" s="1">
        <v>2458362.6269299998</v>
      </c>
      <c r="B278" s="1" t="s">
        <v>303</v>
      </c>
      <c r="C278" s="1">
        <v>11.904999999999999</v>
      </c>
      <c r="D278" s="1">
        <v>2.1000000000000001E-2</v>
      </c>
      <c r="E278" s="1" t="s">
        <v>1</v>
      </c>
      <c r="F278" s="1" t="s">
        <v>273</v>
      </c>
      <c r="G278" s="1">
        <f t="shared" si="12"/>
        <v>8362.6269299997948</v>
      </c>
      <c r="H278" s="1">
        <f t="shared" si="13"/>
        <v>11.904999999999999</v>
      </c>
      <c r="I278" s="1" t="str">
        <f t="shared" si="14"/>
        <v>BJFB</v>
      </c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idden="1" x14ac:dyDescent="0.25">
      <c r="A279" s="1">
        <v>2458362.6288700001</v>
      </c>
      <c r="B279" s="1" t="s">
        <v>303</v>
      </c>
      <c r="C279" s="1">
        <v>11.869</v>
      </c>
      <c r="D279" s="1">
        <v>2.1000000000000001E-2</v>
      </c>
      <c r="E279" s="1" t="s">
        <v>1</v>
      </c>
      <c r="F279" s="1" t="s">
        <v>273</v>
      </c>
      <c r="G279" s="1">
        <f t="shared" si="12"/>
        <v>8362.6288700001314</v>
      </c>
      <c r="H279" s="1">
        <f t="shared" si="13"/>
        <v>11.869</v>
      </c>
      <c r="I279" s="1" t="str">
        <f t="shared" si="14"/>
        <v>BJFB</v>
      </c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idden="1" x14ac:dyDescent="0.25">
      <c r="A280" s="1">
        <v>2458362.6315000001</v>
      </c>
      <c r="B280" s="1" t="s">
        <v>303</v>
      </c>
      <c r="C280" s="1">
        <v>11.839</v>
      </c>
      <c r="D280" s="1">
        <v>1.9E-2</v>
      </c>
      <c r="E280" s="1" t="s">
        <v>1</v>
      </c>
      <c r="F280" s="1" t="s">
        <v>273</v>
      </c>
      <c r="G280" s="1">
        <f t="shared" si="12"/>
        <v>8362.6315000001341</v>
      </c>
      <c r="H280" s="1">
        <f t="shared" si="13"/>
        <v>11.839</v>
      </c>
      <c r="I280" s="1" t="str">
        <f t="shared" si="14"/>
        <v>BJFB</v>
      </c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idden="1" x14ac:dyDescent="0.25">
      <c r="A281" s="1">
        <v>2458362.6339199999</v>
      </c>
      <c r="B281" s="1" t="s">
        <v>303</v>
      </c>
      <c r="C281" s="1">
        <v>11.885</v>
      </c>
      <c r="D281" s="1">
        <v>0.02</v>
      </c>
      <c r="E281" s="1" t="s">
        <v>1</v>
      </c>
      <c r="F281" s="1" t="s">
        <v>273</v>
      </c>
      <c r="G281" s="1">
        <f t="shared" si="12"/>
        <v>8362.6339199999347</v>
      </c>
      <c r="H281" s="1">
        <f t="shared" si="13"/>
        <v>11.885</v>
      </c>
      <c r="I281" s="1" t="str">
        <f t="shared" si="14"/>
        <v>BJFB</v>
      </c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idden="1" x14ac:dyDescent="0.25">
      <c r="A282" s="1">
        <v>2458363.3628099998</v>
      </c>
      <c r="B282" s="1" t="s">
        <v>303</v>
      </c>
      <c r="C282" s="1">
        <v>11.746</v>
      </c>
      <c r="D282" s="1">
        <v>1.9E-2</v>
      </c>
      <c r="E282" s="1" t="s">
        <v>1</v>
      </c>
      <c r="F282" s="1" t="s">
        <v>285</v>
      </c>
      <c r="G282" s="1">
        <f t="shared" si="12"/>
        <v>8363.3628099998459</v>
      </c>
      <c r="H282" s="1">
        <f t="shared" si="13"/>
        <v>11.746</v>
      </c>
      <c r="I282" s="1" t="str">
        <f t="shared" si="14"/>
        <v>VMT</v>
      </c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idden="1" x14ac:dyDescent="0.25">
      <c r="A283" s="1">
        <v>2458363.3634000001</v>
      </c>
      <c r="B283" s="1" t="s">
        <v>303</v>
      </c>
      <c r="C283" s="1">
        <v>11.739000000000001</v>
      </c>
      <c r="D283" s="1">
        <v>1.0999999999999999E-2</v>
      </c>
      <c r="E283" s="1" t="s">
        <v>1</v>
      </c>
      <c r="F283" s="1" t="s">
        <v>285</v>
      </c>
      <c r="G283" s="1">
        <f t="shared" si="12"/>
        <v>8363.3634000001475</v>
      </c>
      <c r="H283" s="1">
        <f t="shared" si="13"/>
        <v>11.739000000000001</v>
      </c>
      <c r="I283" s="1" t="str">
        <f t="shared" si="14"/>
        <v>VMT</v>
      </c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idden="1" x14ac:dyDescent="0.25">
      <c r="A284" s="1">
        <v>2458363.5053099999</v>
      </c>
      <c r="B284" s="1" t="s">
        <v>90</v>
      </c>
      <c r="C284" s="1">
        <v>11.843999999999999</v>
      </c>
      <c r="D284" s="1">
        <v>8.9999999999999993E-3</v>
      </c>
      <c r="E284" s="1" t="s">
        <v>1</v>
      </c>
      <c r="F284" s="1" t="s">
        <v>94</v>
      </c>
      <c r="G284" s="1">
        <f t="shared" si="12"/>
        <v>8363.5053099999204</v>
      </c>
      <c r="H284" s="1">
        <f t="shared" si="13"/>
        <v>11.843999999999999</v>
      </c>
      <c r="I284" s="1" t="str">
        <f t="shared" si="14"/>
        <v>HMB</v>
      </c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idden="1" x14ac:dyDescent="0.25">
      <c r="A285" s="1">
        <v>2458363.5057100002</v>
      </c>
      <c r="B285" s="1" t="s">
        <v>90</v>
      </c>
      <c r="C285" s="1">
        <v>11.853999999999999</v>
      </c>
      <c r="D285" s="1">
        <v>8.9999999999999993E-3</v>
      </c>
      <c r="E285" s="1" t="s">
        <v>1</v>
      </c>
      <c r="F285" s="1" t="s">
        <v>94</v>
      </c>
      <c r="G285" s="1">
        <f t="shared" si="12"/>
        <v>8363.5057100001723</v>
      </c>
      <c r="H285" s="1">
        <f t="shared" si="13"/>
        <v>11.853999999999999</v>
      </c>
      <c r="I285" s="1" t="str">
        <f t="shared" si="14"/>
        <v>HMB</v>
      </c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idden="1" x14ac:dyDescent="0.25">
      <c r="A286" s="1">
        <v>2458364.3465200001</v>
      </c>
      <c r="B286" s="1" t="s">
        <v>90</v>
      </c>
      <c r="C286" s="1">
        <v>11.715999999999999</v>
      </c>
      <c r="D286" s="1">
        <v>1.9E-2</v>
      </c>
      <c r="E286" s="1" t="s">
        <v>1</v>
      </c>
      <c r="F286" s="1" t="s">
        <v>285</v>
      </c>
      <c r="G286" s="1">
        <f t="shared" si="12"/>
        <v>8364.3465200001374</v>
      </c>
      <c r="H286" s="1">
        <f t="shared" si="13"/>
        <v>11.715999999999999</v>
      </c>
      <c r="I286" s="1" t="str">
        <f t="shared" si="14"/>
        <v>VMT</v>
      </c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idden="1" x14ac:dyDescent="0.25">
      <c r="A287" s="1">
        <v>2458364.34718</v>
      </c>
      <c r="B287" s="1" t="s">
        <v>90</v>
      </c>
      <c r="C287" s="1">
        <v>11.741</v>
      </c>
      <c r="D287" s="1">
        <v>1.7999999999999999E-2</v>
      </c>
      <c r="E287" s="1" t="s">
        <v>1</v>
      </c>
      <c r="F287" s="1" t="s">
        <v>285</v>
      </c>
      <c r="G287" s="1">
        <f t="shared" si="12"/>
        <v>8364.3471800000407</v>
      </c>
      <c r="H287" s="1">
        <f t="shared" si="13"/>
        <v>11.741</v>
      </c>
      <c r="I287" s="1" t="str">
        <f t="shared" si="14"/>
        <v>VMT</v>
      </c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>
        <v>2458364.3527899999</v>
      </c>
      <c r="B288" s="1" t="s">
        <v>90</v>
      </c>
      <c r="C288" s="1">
        <v>11.808999999999999</v>
      </c>
      <c r="D288" s="1">
        <v>7.0000000000000001E-3</v>
      </c>
      <c r="E288" s="1" t="s">
        <v>1</v>
      </c>
      <c r="F288" s="1" t="s">
        <v>101</v>
      </c>
      <c r="G288" s="1">
        <f t="shared" si="12"/>
        <v>8364.3527899999171</v>
      </c>
      <c r="H288" s="1">
        <f t="shared" si="13"/>
        <v>11.808999999999999</v>
      </c>
      <c r="I288" s="1" t="str">
        <f t="shared" si="14"/>
        <v>DUBF</v>
      </c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>
        <v>2458364.3535199999</v>
      </c>
      <c r="B289" s="1" t="s">
        <v>90</v>
      </c>
      <c r="C289" s="1">
        <v>11.832000000000001</v>
      </c>
      <c r="D289" s="1">
        <v>7.0000000000000001E-3</v>
      </c>
      <c r="E289" s="1" t="s">
        <v>1</v>
      </c>
      <c r="F289" s="1" t="s">
        <v>101</v>
      </c>
      <c r="G289" s="1">
        <f t="shared" si="12"/>
        <v>8364.3535199998878</v>
      </c>
      <c r="H289" s="1">
        <f t="shared" si="13"/>
        <v>11.832000000000001</v>
      </c>
      <c r="I289" s="1" t="str">
        <f t="shared" si="14"/>
        <v>DUBF</v>
      </c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idden="1" x14ac:dyDescent="0.25">
      <c r="A290" s="1">
        <v>2458364.4894699999</v>
      </c>
      <c r="B290" s="1" t="s">
        <v>90</v>
      </c>
      <c r="C290" s="1">
        <v>11.833</v>
      </c>
      <c r="D290" s="1">
        <v>8.9999999999999993E-3</v>
      </c>
      <c r="E290" s="1" t="s">
        <v>1</v>
      </c>
      <c r="F290" s="1" t="s">
        <v>94</v>
      </c>
      <c r="G290" s="1">
        <f t="shared" si="12"/>
        <v>8364.4894699999131</v>
      </c>
      <c r="H290" s="1">
        <f t="shared" si="13"/>
        <v>11.833</v>
      </c>
      <c r="I290" s="1" t="str">
        <f t="shared" si="14"/>
        <v>HMB</v>
      </c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idden="1" x14ac:dyDescent="0.25">
      <c r="A291" s="1">
        <v>2458364.4898600001</v>
      </c>
      <c r="B291" s="1" t="s">
        <v>90</v>
      </c>
      <c r="C291" s="1">
        <v>11.831</v>
      </c>
      <c r="D291" s="1">
        <v>8.9999999999999993E-3</v>
      </c>
      <c r="E291" s="1" t="s">
        <v>1</v>
      </c>
      <c r="F291" s="1" t="s">
        <v>94</v>
      </c>
      <c r="G291" s="1">
        <f t="shared" si="12"/>
        <v>8364.4898600000888</v>
      </c>
      <c r="H291" s="1">
        <f t="shared" si="13"/>
        <v>11.831</v>
      </c>
      <c r="I291" s="1" t="str">
        <f t="shared" si="14"/>
        <v>HMB</v>
      </c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idden="1" x14ac:dyDescent="0.25">
      <c r="A292" s="1">
        <v>2458365.3518300001</v>
      </c>
      <c r="B292" s="1" t="s">
        <v>91</v>
      </c>
      <c r="C292" s="1">
        <v>11.771000000000001</v>
      </c>
      <c r="D292" s="1">
        <v>1.7000000000000001E-2</v>
      </c>
      <c r="E292" s="1" t="s">
        <v>1</v>
      </c>
      <c r="F292" s="1" t="s">
        <v>285</v>
      </c>
      <c r="G292" s="1">
        <f t="shared" si="12"/>
        <v>8365.3518300000578</v>
      </c>
      <c r="H292" s="1">
        <f t="shared" si="13"/>
        <v>11.771000000000001</v>
      </c>
      <c r="I292" s="1" t="str">
        <f t="shared" si="14"/>
        <v>VMT</v>
      </c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idden="1" x14ac:dyDescent="0.25">
      <c r="A293" s="1">
        <v>2458365.3524600002</v>
      </c>
      <c r="B293" s="1" t="s">
        <v>91</v>
      </c>
      <c r="C293" s="1">
        <v>11.786</v>
      </c>
      <c r="D293" s="1">
        <v>1.7999999999999999E-2</v>
      </c>
      <c r="E293" s="1" t="s">
        <v>1</v>
      </c>
      <c r="F293" s="1" t="s">
        <v>285</v>
      </c>
      <c r="G293" s="1">
        <f t="shared" si="12"/>
        <v>8365.3524600001983</v>
      </c>
      <c r="H293" s="1">
        <f t="shared" si="13"/>
        <v>11.786</v>
      </c>
      <c r="I293" s="1" t="str">
        <f t="shared" si="14"/>
        <v>VMT</v>
      </c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idden="1" x14ac:dyDescent="0.25">
      <c r="A294" s="1">
        <v>2458365.4900099998</v>
      </c>
      <c r="B294" s="1" t="s">
        <v>91</v>
      </c>
      <c r="C294" s="1">
        <v>11.851000000000001</v>
      </c>
      <c r="D294" s="1">
        <v>8.9999999999999993E-3</v>
      </c>
      <c r="E294" s="1" t="s">
        <v>1</v>
      </c>
      <c r="F294" s="1" t="s">
        <v>94</v>
      </c>
      <c r="G294" s="1">
        <f t="shared" si="12"/>
        <v>8365.490009999834</v>
      </c>
      <c r="H294" s="1">
        <f t="shared" si="13"/>
        <v>11.851000000000001</v>
      </c>
      <c r="I294" s="1" t="str">
        <f t="shared" si="14"/>
        <v>HMB</v>
      </c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idden="1" x14ac:dyDescent="0.25">
      <c r="A295" s="1">
        <v>2458365.4904100001</v>
      </c>
      <c r="B295" s="1" t="s">
        <v>91</v>
      </c>
      <c r="C295" s="1">
        <v>11.872</v>
      </c>
      <c r="D295" s="1">
        <v>8.9999999999999993E-3</v>
      </c>
      <c r="E295" s="1" t="s">
        <v>1</v>
      </c>
      <c r="F295" s="1" t="s">
        <v>94</v>
      </c>
      <c r="G295" s="1">
        <f t="shared" si="12"/>
        <v>8365.4904100000858</v>
      </c>
      <c r="H295" s="1">
        <f t="shared" si="13"/>
        <v>11.872</v>
      </c>
      <c r="I295" s="1" t="str">
        <f t="shared" si="14"/>
        <v>HMB</v>
      </c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idden="1" x14ac:dyDescent="0.25">
      <c r="A296" s="1">
        <v>2458366.3414599998</v>
      </c>
      <c r="B296" s="1" t="s">
        <v>106</v>
      </c>
      <c r="C296" s="1">
        <v>11.795</v>
      </c>
      <c r="D296" s="1">
        <v>1.9E-2</v>
      </c>
      <c r="E296" s="1" t="s">
        <v>1</v>
      </c>
      <c r="F296" s="1" t="s">
        <v>285</v>
      </c>
      <c r="G296" s="1">
        <f t="shared" si="12"/>
        <v>8366.3414599997923</v>
      </c>
      <c r="H296" s="1">
        <f t="shared" si="13"/>
        <v>11.795</v>
      </c>
      <c r="I296" s="1" t="str">
        <f t="shared" si="14"/>
        <v>VMT</v>
      </c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idden="1" x14ac:dyDescent="0.25">
      <c r="A297" s="1">
        <v>2458366.3420699998</v>
      </c>
      <c r="B297" s="1" t="s">
        <v>106</v>
      </c>
      <c r="C297" s="1">
        <v>11.795</v>
      </c>
      <c r="D297" s="1">
        <v>1.9E-2</v>
      </c>
      <c r="E297" s="1" t="s">
        <v>1</v>
      </c>
      <c r="F297" s="1" t="s">
        <v>285</v>
      </c>
      <c r="G297" s="1">
        <f t="shared" si="12"/>
        <v>8366.3420699997805</v>
      </c>
      <c r="H297" s="1">
        <f t="shared" si="13"/>
        <v>11.795</v>
      </c>
      <c r="I297" s="1" t="str">
        <f t="shared" si="14"/>
        <v>VMT</v>
      </c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idden="1" x14ac:dyDescent="0.25">
      <c r="A298" s="1">
        <v>2458366.4931100002</v>
      </c>
      <c r="B298" s="1" t="s">
        <v>106</v>
      </c>
      <c r="C298" s="1">
        <v>11.891999999999999</v>
      </c>
      <c r="D298" s="1">
        <v>8.9999999999999993E-3</v>
      </c>
      <c r="E298" s="1" t="s">
        <v>1</v>
      </c>
      <c r="F298" s="1" t="s">
        <v>94</v>
      </c>
      <c r="G298" s="1">
        <f t="shared" si="12"/>
        <v>8366.4931100001559</v>
      </c>
      <c r="H298" s="1">
        <f t="shared" si="13"/>
        <v>11.891999999999999</v>
      </c>
      <c r="I298" s="1" t="str">
        <f t="shared" si="14"/>
        <v>HMB</v>
      </c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idden="1" x14ac:dyDescent="0.25">
      <c r="A299" s="1">
        <v>2458366.4935099999</v>
      </c>
      <c r="B299" s="1" t="s">
        <v>106</v>
      </c>
      <c r="C299" s="1">
        <v>11.887</v>
      </c>
      <c r="D299" s="1">
        <v>8.9999999999999993E-3</v>
      </c>
      <c r="E299" s="1" t="s">
        <v>1</v>
      </c>
      <c r="F299" s="1" t="s">
        <v>94</v>
      </c>
      <c r="G299" s="1">
        <f t="shared" si="12"/>
        <v>8366.493509999942</v>
      </c>
      <c r="H299" s="1">
        <f t="shared" si="13"/>
        <v>11.887</v>
      </c>
      <c r="I299" s="1" t="str">
        <f t="shared" si="14"/>
        <v>HMB</v>
      </c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idden="1" x14ac:dyDescent="0.25">
      <c r="A300" s="1">
        <v>2458367.4909700002</v>
      </c>
      <c r="B300" s="1" t="s">
        <v>108</v>
      </c>
      <c r="C300" s="1">
        <v>11.917999999999999</v>
      </c>
      <c r="D300" s="1">
        <v>8.9999999999999993E-3</v>
      </c>
      <c r="E300" s="1" t="s">
        <v>1</v>
      </c>
      <c r="F300" s="1" t="s">
        <v>94</v>
      </c>
      <c r="G300" s="1">
        <f t="shared" si="12"/>
        <v>8367.490970000159</v>
      </c>
      <c r="H300" s="1">
        <f t="shared" si="13"/>
        <v>11.917999999999999</v>
      </c>
      <c r="I300" s="1" t="str">
        <f t="shared" si="14"/>
        <v>HMB</v>
      </c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idden="1" x14ac:dyDescent="0.25">
      <c r="A301" s="1">
        <v>2458367.4913699999</v>
      </c>
      <c r="B301" s="1" t="s">
        <v>108</v>
      </c>
      <c r="C301" s="1">
        <v>11.904999999999999</v>
      </c>
      <c r="D301" s="1">
        <v>8.9999999999999993E-3</v>
      </c>
      <c r="E301" s="1" t="s">
        <v>1</v>
      </c>
      <c r="F301" s="1" t="s">
        <v>94</v>
      </c>
      <c r="G301" s="1">
        <f t="shared" si="12"/>
        <v>8367.4913699999452</v>
      </c>
      <c r="H301" s="1">
        <f t="shared" si="13"/>
        <v>11.904999999999999</v>
      </c>
      <c r="I301" s="1" t="str">
        <f t="shared" si="14"/>
        <v>HMB</v>
      </c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5">
      <c r="A302" s="1">
        <v>2458367.5920699998</v>
      </c>
      <c r="B302" s="1" t="s">
        <v>109</v>
      </c>
      <c r="C302" s="1">
        <v>11.827</v>
      </c>
      <c r="D302" s="1">
        <v>2E-3</v>
      </c>
      <c r="E302" s="1" t="s">
        <v>1</v>
      </c>
      <c r="F302" s="1" t="s">
        <v>102</v>
      </c>
      <c r="G302" s="1">
        <f t="shared" si="12"/>
        <v>8367.5920699997805</v>
      </c>
      <c r="H302" s="1">
        <f t="shared" si="13"/>
        <v>11.827</v>
      </c>
      <c r="I302" s="1" t="str">
        <f t="shared" si="14"/>
        <v>VBPA</v>
      </c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5">
      <c r="A303" s="1">
        <v>2458367.5943800001</v>
      </c>
      <c r="B303" s="1" t="s">
        <v>109</v>
      </c>
      <c r="C303" s="1">
        <v>11.821</v>
      </c>
      <c r="D303" s="1">
        <v>2E-3</v>
      </c>
      <c r="E303" s="1" t="s">
        <v>1</v>
      </c>
      <c r="F303" s="1" t="s">
        <v>102</v>
      </c>
      <c r="G303" s="1">
        <f t="shared" si="12"/>
        <v>8367.5943800001405</v>
      </c>
      <c r="H303" s="1">
        <f t="shared" si="13"/>
        <v>11.821</v>
      </c>
      <c r="I303" s="1" t="str">
        <f t="shared" si="14"/>
        <v>VBPA</v>
      </c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5">
      <c r="A304" s="1">
        <v>2458367.5966699999</v>
      </c>
      <c r="B304" s="1" t="s">
        <v>109</v>
      </c>
      <c r="C304" s="1">
        <v>11.821999999999999</v>
      </c>
      <c r="D304" s="1">
        <v>2E-3</v>
      </c>
      <c r="E304" s="1" t="s">
        <v>1</v>
      </c>
      <c r="F304" s="1" t="s">
        <v>102</v>
      </c>
      <c r="G304" s="1">
        <f t="shared" si="12"/>
        <v>8367.5966699998826</v>
      </c>
      <c r="H304" s="1">
        <f t="shared" si="13"/>
        <v>11.821999999999999</v>
      </c>
      <c r="I304" s="1" t="str">
        <f t="shared" si="14"/>
        <v>VBPA</v>
      </c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5">
      <c r="A305" s="1">
        <v>2458367.5989700002</v>
      </c>
      <c r="B305" s="1" t="s">
        <v>109</v>
      </c>
      <c r="C305" s="1">
        <v>11.821</v>
      </c>
      <c r="D305" s="1">
        <v>2E-3</v>
      </c>
      <c r="E305" s="1" t="s">
        <v>1</v>
      </c>
      <c r="F305" s="1" t="s">
        <v>102</v>
      </c>
      <c r="G305" s="1">
        <f t="shared" si="12"/>
        <v>8367.5989700001664</v>
      </c>
      <c r="H305" s="1">
        <f t="shared" si="13"/>
        <v>11.821</v>
      </c>
      <c r="I305" s="1" t="str">
        <f t="shared" si="14"/>
        <v>VBPA</v>
      </c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5">
      <c r="A306" s="1">
        <v>2458367.6012599999</v>
      </c>
      <c r="B306" s="1" t="s">
        <v>109</v>
      </c>
      <c r="C306" s="1">
        <v>11.813000000000001</v>
      </c>
      <c r="D306" s="1">
        <v>3.0000000000000001E-3</v>
      </c>
      <c r="E306" s="1" t="s">
        <v>1</v>
      </c>
      <c r="F306" s="1" t="s">
        <v>102</v>
      </c>
      <c r="G306" s="1">
        <f t="shared" si="12"/>
        <v>8367.6012599999085</v>
      </c>
      <c r="H306" s="1">
        <f t="shared" si="13"/>
        <v>11.813000000000001</v>
      </c>
      <c r="I306" s="1" t="str">
        <f t="shared" si="14"/>
        <v>VBPA</v>
      </c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5">
      <c r="A307" s="1">
        <v>2458367.6035500001</v>
      </c>
      <c r="B307" s="1" t="s">
        <v>109</v>
      </c>
      <c r="C307" s="1">
        <v>11.836</v>
      </c>
      <c r="D307" s="1">
        <v>3.0000000000000001E-3</v>
      </c>
      <c r="E307" s="1" t="s">
        <v>1</v>
      </c>
      <c r="F307" s="1" t="s">
        <v>102</v>
      </c>
      <c r="G307" s="1">
        <f t="shared" si="12"/>
        <v>8367.6035500001162</v>
      </c>
      <c r="H307" s="1">
        <f t="shared" si="13"/>
        <v>11.836</v>
      </c>
      <c r="I307" s="1" t="str">
        <f t="shared" si="14"/>
        <v>VBPA</v>
      </c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5">
      <c r="A308" s="1">
        <v>2458367.6058399999</v>
      </c>
      <c r="B308" s="1" t="s">
        <v>109</v>
      </c>
      <c r="C308" s="1">
        <v>11.827</v>
      </c>
      <c r="D308" s="1">
        <v>3.0000000000000001E-3</v>
      </c>
      <c r="E308" s="1" t="s">
        <v>1</v>
      </c>
      <c r="F308" s="1" t="s">
        <v>102</v>
      </c>
      <c r="G308" s="1">
        <f t="shared" si="12"/>
        <v>8367.6058399998583</v>
      </c>
      <c r="H308" s="1">
        <f t="shared" si="13"/>
        <v>11.827</v>
      </c>
      <c r="I308" s="1" t="str">
        <f t="shared" si="14"/>
        <v>VBPA</v>
      </c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5">
      <c r="A309" s="1">
        <v>2458367.6081500002</v>
      </c>
      <c r="B309" s="1" t="s">
        <v>109</v>
      </c>
      <c r="C309" s="1">
        <v>11.824</v>
      </c>
      <c r="D309" s="1">
        <v>3.0000000000000001E-3</v>
      </c>
      <c r="E309" s="1" t="s">
        <v>1</v>
      </c>
      <c r="F309" s="1" t="s">
        <v>102</v>
      </c>
      <c r="G309" s="1">
        <f t="shared" si="12"/>
        <v>8367.6081500002183</v>
      </c>
      <c r="H309" s="1">
        <f t="shared" si="13"/>
        <v>11.824</v>
      </c>
      <c r="I309" s="1" t="str">
        <f t="shared" si="14"/>
        <v>VBPA</v>
      </c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5">
      <c r="A310" s="1">
        <v>2458367.61044</v>
      </c>
      <c r="B310" s="1" t="s">
        <v>109</v>
      </c>
      <c r="C310" s="1">
        <v>11.833</v>
      </c>
      <c r="D310" s="1">
        <v>2E-3</v>
      </c>
      <c r="E310" s="1" t="s">
        <v>1</v>
      </c>
      <c r="F310" s="1" t="s">
        <v>102</v>
      </c>
      <c r="G310" s="1">
        <f t="shared" si="12"/>
        <v>8367.6104399999604</v>
      </c>
      <c r="H310" s="1">
        <f t="shared" si="13"/>
        <v>11.833</v>
      </c>
      <c r="I310" s="1" t="str">
        <f t="shared" si="14"/>
        <v>VBPA</v>
      </c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5">
      <c r="A311" s="1">
        <v>2458367.6127399998</v>
      </c>
      <c r="B311" s="1" t="s">
        <v>109</v>
      </c>
      <c r="C311" s="1">
        <v>11.83</v>
      </c>
      <c r="D311" s="1">
        <v>2E-3</v>
      </c>
      <c r="E311" s="1" t="s">
        <v>1</v>
      </c>
      <c r="F311" s="1" t="s">
        <v>102</v>
      </c>
      <c r="G311" s="1">
        <f t="shared" si="12"/>
        <v>8367.6127399997786</v>
      </c>
      <c r="H311" s="1">
        <f t="shared" si="13"/>
        <v>11.83</v>
      </c>
      <c r="I311" s="1" t="str">
        <f t="shared" si="14"/>
        <v>VBPA</v>
      </c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5">
      <c r="A312" s="1">
        <v>2458367.61503</v>
      </c>
      <c r="B312" s="1" t="s">
        <v>109</v>
      </c>
      <c r="C312" s="1">
        <v>11.824999999999999</v>
      </c>
      <c r="D312" s="1">
        <v>2E-3</v>
      </c>
      <c r="E312" s="1" t="s">
        <v>1</v>
      </c>
      <c r="F312" s="1" t="s">
        <v>102</v>
      </c>
      <c r="G312" s="1">
        <f t="shared" si="12"/>
        <v>8367.6150299999863</v>
      </c>
      <c r="H312" s="1">
        <f t="shared" si="13"/>
        <v>11.824999999999999</v>
      </c>
      <c r="I312" s="1" t="str">
        <f t="shared" si="14"/>
        <v>VBPA</v>
      </c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5">
      <c r="A313" s="1">
        <v>2458367.6173299998</v>
      </c>
      <c r="B313" s="1" t="s">
        <v>109</v>
      </c>
      <c r="C313" s="1">
        <v>11.826000000000001</v>
      </c>
      <c r="D313" s="1">
        <v>2E-3</v>
      </c>
      <c r="E313" s="1" t="s">
        <v>1</v>
      </c>
      <c r="F313" s="1" t="s">
        <v>102</v>
      </c>
      <c r="G313" s="1">
        <f t="shared" si="12"/>
        <v>8367.6173299998045</v>
      </c>
      <c r="H313" s="1">
        <f t="shared" si="13"/>
        <v>11.826000000000001</v>
      </c>
      <c r="I313" s="1" t="str">
        <f t="shared" si="14"/>
        <v>VBPA</v>
      </c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5">
      <c r="A314" s="1">
        <v>2458367.6196300001</v>
      </c>
      <c r="B314" s="1" t="s">
        <v>109</v>
      </c>
      <c r="C314" s="1">
        <v>11.83</v>
      </c>
      <c r="D314" s="1">
        <v>2E-3</v>
      </c>
      <c r="E314" s="1" t="s">
        <v>1</v>
      </c>
      <c r="F314" s="1" t="s">
        <v>102</v>
      </c>
      <c r="G314" s="1">
        <f t="shared" si="12"/>
        <v>8367.6196300000884</v>
      </c>
      <c r="H314" s="1">
        <f t="shared" si="13"/>
        <v>11.83</v>
      </c>
      <c r="I314" s="1" t="str">
        <f t="shared" si="14"/>
        <v>VBPA</v>
      </c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5">
      <c r="A315" s="1">
        <v>2458367.6220499999</v>
      </c>
      <c r="B315" s="1" t="s">
        <v>109</v>
      </c>
      <c r="C315" s="1">
        <v>11.826000000000001</v>
      </c>
      <c r="D315" s="1">
        <v>2E-3</v>
      </c>
      <c r="E315" s="1" t="s">
        <v>1</v>
      </c>
      <c r="F315" s="1" t="s">
        <v>102</v>
      </c>
      <c r="G315" s="1">
        <f t="shared" si="12"/>
        <v>8367.622049999889</v>
      </c>
      <c r="H315" s="1">
        <f t="shared" si="13"/>
        <v>11.826000000000001</v>
      </c>
      <c r="I315" s="1" t="str">
        <f t="shared" si="14"/>
        <v>VBPA</v>
      </c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5">
      <c r="A316" s="1">
        <v>2458367.6243500002</v>
      </c>
      <c r="B316" s="1" t="s">
        <v>109</v>
      </c>
      <c r="C316" s="1">
        <v>11.831</v>
      </c>
      <c r="D316" s="1">
        <v>2E-3</v>
      </c>
      <c r="E316" s="1" t="s">
        <v>1</v>
      </c>
      <c r="F316" s="1" t="s">
        <v>102</v>
      </c>
      <c r="G316" s="1">
        <f t="shared" si="12"/>
        <v>8367.6243500001729</v>
      </c>
      <c r="H316" s="1">
        <f t="shared" si="13"/>
        <v>11.831</v>
      </c>
      <c r="I316" s="1" t="str">
        <f t="shared" si="14"/>
        <v>VBPA</v>
      </c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5">
      <c r="A317" s="1">
        <v>2458367.6266399999</v>
      </c>
      <c r="B317" s="1" t="s">
        <v>109</v>
      </c>
      <c r="C317" s="1">
        <v>11.834</v>
      </c>
      <c r="D317" s="1">
        <v>2E-3</v>
      </c>
      <c r="E317" s="1" t="s">
        <v>1</v>
      </c>
      <c r="F317" s="1" t="s">
        <v>102</v>
      </c>
      <c r="G317" s="1">
        <f t="shared" si="12"/>
        <v>8367.6266399999149</v>
      </c>
      <c r="H317" s="1">
        <f t="shared" si="13"/>
        <v>11.834</v>
      </c>
      <c r="I317" s="1" t="str">
        <f t="shared" si="14"/>
        <v>VBPA</v>
      </c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5">
      <c r="A318" s="1">
        <v>2458367.6289400002</v>
      </c>
      <c r="B318" s="1" t="s">
        <v>109</v>
      </c>
      <c r="C318" s="1">
        <v>11.834</v>
      </c>
      <c r="D318" s="1">
        <v>2E-3</v>
      </c>
      <c r="E318" s="1" t="s">
        <v>1</v>
      </c>
      <c r="F318" s="1" t="s">
        <v>102</v>
      </c>
      <c r="G318" s="1">
        <f t="shared" si="12"/>
        <v>8367.6289400001988</v>
      </c>
      <c r="H318" s="1">
        <f t="shared" si="13"/>
        <v>11.834</v>
      </c>
      <c r="I318" s="1" t="str">
        <f t="shared" si="14"/>
        <v>VBPA</v>
      </c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5">
      <c r="A319" s="1">
        <v>2458367.63124</v>
      </c>
      <c r="B319" s="1" t="s">
        <v>109</v>
      </c>
      <c r="C319" s="1">
        <v>11.831</v>
      </c>
      <c r="D319" s="1">
        <v>2E-3</v>
      </c>
      <c r="E319" s="1" t="s">
        <v>1</v>
      </c>
      <c r="F319" s="1" t="s">
        <v>102</v>
      </c>
      <c r="G319" s="1">
        <f t="shared" si="12"/>
        <v>8367.631240000017</v>
      </c>
      <c r="H319" s="1">
        <f t="shared" si="13"/>
        <v>11.831</v>
      </c>
      <c r="I319" s="1" t="str">
        <f t="shared" si="14"/>
        <v>VBPA</v>
      </c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5">
      <c r="A320" s="1">
        <v>2458367.6335300002</v>
      </c>
      <c r="B320" s="1" t="s">
        <v>109</v>
      </c>
      <c r="C320" s="1">
        <v>11.834</v>
      </c>
      <c r="D320" s="1">
        <v>2E-3</v>
      </c>
      <c r="E320" s="1" t="s">
        <v>1</v>
      </c>
      <c r="F320" s="1" t="s">
        <v>102</v>
      </c>
      <c r="G320" s="1">
        <f t="shared" si="12"/>
        <v>8367.6335300002247</v>
      </c>
      <c r="H320" s="1">
        <f t="shared" si="13"/>
        <v>11.834</v>
      </c>
      <c r="I320" s="1" t="str">
        <f t="shared" si="14"/>
        <v>VBPA</v>
      </c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5">
      <c r="A321" s="1">
        <v>2458367.63582</v>
      </c>
      <c r="B321" s="1" t="s">
        <v>109</v>
      </c>
      <c r="C321" s="1">
        <v>11.829000000000001</v>
      </c>
      <c r="D321" s="1">
        <v>2E-3</v>
      </c>
      <c r="E321" s="1" t="s">
        <v>1</v>
      </c>
      <c r="F321" s="1" t="s">
        <v>102</v>
      </c>
      <c r="G321" s="1">
        <f t="shared" si="12"/>
        <v>8367.6358199999668</v>
      </c>
      <c r="H321" s="1">
        <f t="shared" si="13"/>
        <v>11.829000000000001</v>
      </c>
      <c r="I321" s="1" t="str">
        <f t="shared" si="14"/>
        <v>VBPA</v>
      </c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5">
      <c r="A322" s="1">
        <v>2458367.6381299999</v>
      </c>
      <c r="B322" s="1" t="s">
        <v>109</v>
      </c>
      <c r="C322" s="1">
        <v>11.832000000000001</v>
      </c>
      <c r="D322" s="1">
        <v>2E-3</v>
      </c>
      <c r="E322" s="1" t="s">
        <v>1</v>
      </c>
      <c r="F322" s="1" t="s">
        <v>102</v>
      </c>
      <c r="G322" s="1">
        <f t="shared" si="12"/>
        <v>8367.6381299998611</v>
      </c>
      <c r="H322" s="1">
        <f t="shared" si="13"/>
        <v>11.832000000000001</v>
      </c>
      <c r="I322" s="1" t="str">
        <f t="shared" si="14"/>
        <v>VBPA</v>
      </c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5">
      <c r="A323" s="1">
        <v>2458367.6404200001</v>
      </c>
      <c r="B323" s="1" t="s">
        <v>109</v>
      </c>
      <c r="C323" s="1">
        <v>11.834</v>
      </c>
      <c r="D323" s="1">
        <v>2E-3</v>
      </c>
      <c r="E323" s="1" t="s">
        <v>1</v>
      </c>
      <c r="F323" s="1" t="s">
        <v>102</v>
      </c>
      <c r="G323" s="1">
        <f t="shared" ref="G323:G386" si="15">+A323-2450000</f>
        <v>8367.6404200000688</v>
      </c>
      <c r="H323" s="1">
        <f t="shared" ref="H323:H386" si="16">+C323</f>
        <v>11.834</v>
      </c>
      <c r="I323" s="1" t="str">
        <f t="shared" ref="I323:I386" si="17">+F323</f>
        <v>VBPA</v>
      </c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5">
      <c r="A324" s="1">
        <v>2458367.6427099998</v>
      </c>
      <c r="B324" s="1" t="s">
        <v>109</v>
      </c>
      <c r="C324" s="1">
        <v>11.832000000000001</v>
      </c>
      <c r="D324" s="1">
        <v>2E-3</v>
      </c>
      <c r="E324" s="1" t="s">
        <v>1</v>
      </c>
      <c r="F324" s="1" t="s">
        <v>102</v>
      </c>
      <c r="G324" s="1">
        <f t="shared" si="15"/>
        <v>8367.6427099998109</v>
      </c>
      <c r="H324" s="1">
        <f t="shared" si="16"/>
        <v>11.832000000000001</v>
      </c>
      <c r="I324" s="1" t="str">
        <f t="shared" si="17"/>
        <v>VBPA</v>
      </c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5">
      <c r="A325" s="1">
        <v>2458367.6450100001</v>
      </c>
      <c r="B325" s="1" t="s">
        <v>109</v>
      </c>
      <c r="C325" s="1">
        <v>11.835000000000001</v>
      </c>
      <c r="D325" s="1">
        <v>2E-3</v>
      </c>
      <c r="E325" s="1" t="s">
        <v>1</v>
      </c>
      <c r="F325" s="1" t="s">
        <v>102</v>
      </c>
      <c r="G325" s="1">
        <f t="shared" si="15"/>
        <v>8367.6450100000948</v>
      </c>
      <c r="H325" s="1">
        <f t="shared" si="16"/>
        <v>11.835000000000001</v>
      </c>
      <c r="I325" s="1" t="str">
        <f t="shared" si="17"/>
        <v>VBPA</v>
      </c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5">
      <c r="A326" s="1">
        <v>2458367.6472999998</v>
      </c>
      <c r="B326" s="1" t="s">
        <v>109</v>
      </c>
      <c r="C326" s="1">
        <v>11.833</v>
      </c>
      <c r="D326" s="1">
        <v>2E-3</v>
      </c>
      <c r="E326" s="1" t="s">
        <v>1</v>
      </c>
      <c r="F326" s="1" t="s">
        <v>102</v>
      </c>
      <c r="G326" s="1">
        <f t="shared" si="15"/>
        <v>8367.6472999998368</v>
      </c>
      <c r="H326" s="1">
        <f t="shared" si="16"/>
        <v>11.833</v>
      </c>
      <c r="I326" s="1" t="str">
        <f t="shared" si="17"/>
        <v>VBPA</v>
      </c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5">
      <c r="A327" s="1">
        <v>2458367.6496100002</v>
      </c>
      <c r="B327" s="1" t="s">
        <v>109</v>
      </c>
      <c r="C327" s="1">
        <v>11.827999999999999</v>
      </c>
      <c r="D327" s="1">
        <v>2E-3</v>
      </c>
      <c r="E327" s="1" t="s">
        <v>1</v>
      </c>
      <c r="F327" s="1" t="s">
        <v>102</v>
      </c>
      <c r="G327" s="1">
        <f t="shared" si="15"/>
        <v>8367.6496100001968</v>
      </c>
      <c r="H327" s="1">
        <f t="shared" si="16"/>
        <v>11.827999999999999</v>
      </c>
      <c r="I327" s="1" t="str">
        <f t="shared" si="17"/>
        <v>VBPA</v>
      </c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idden="1" x14ac:dyDescent="0.25">
      <c r="A328" s="1">
        <v>2458368.49272</v>
      </c>
      <c r="B328" s="1" t="s">
        <v>109</v>
      </c>
      <c r="C328" s="1">
        <v>11.943</v>
      </c>
      <c r="D328" s="1">
        <v>0.01</v>
      </c>
      <c r="E328" s="1" t="s">
        <v>1</v>
      </c>
      <c r="F328" s="1" t="s">
        <v>94</v>
      </c>
      <c r="G328" s="1">
        <f t="shared" si="15"/>
        <v>8368.4927199999802</v>
      </c>
      <c r="H328" s="1">
        <f t="shared" si="16"/>
        <v>11.943</v>
      </c>
      <c r="I328" s="1" t="str">
        <f t="shared" si="17"/>
        <v>HMB</v>
      </c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idden="1" x14ac:dyDescent="0.25">
      <c r="A329" s="1">
        <v>2458368.4931000001</v>
      </c>
      <c r="B329" s="1" t="s">
        <v>109</v>
      </c>
      <c r="C329" s="1">
        <v>11.933999999999999</v>
      </c>
      <c r="D329" s="1">
        <v>0.01</v>
      </c>
      <c r="E329" s="1" t="s">
        <v>1</v>
      </c>
      <c r="F329" s="1" t="s">
        <v>94</v>
      </c>
      <c r="G329" s="1">
        <f t="shared" si="15"/>
        <v>8368.4931000000797</v>
      </c>
      <c r="H329" s="1">
        <f t="shared" si="16"/>
        <v>11.933999999999999</v>
      </c>
      <c r="I329" s="1" t="str">
        <f t="shared" si="17"/>
        <v>HMB</v>
      </c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5">
      <c r="A330" s="1">
        <v>2458368.56537</v>
      </c>
      <c r="B330" s="1" t="s">
        <v>110</v>
      </c>
      <c r="C330" s="1">
        <v>11.973000000000001</v>
      </c>
      <c r="D330" s="1">
        <v>2.1999999999999999E-2</v>
      </c>
      <c r="E330" s="1" t="s">
        <v>1</v>
      </c>
      <c r="F330" s="1" t="s">
        <v>97</v>
      </c>
      <c r="G330" s="1">
        <f t="shared" si="15"/>
        <v>8368.5653699999675</v>
      </c>
      <c r="H330" s="1">
        <f t="shared" si="16"/>
        <v>11.973000000000001</v>
      </c>
      <c r="I330" s="1" t="str">
        <f t="shared" si="17"/>
        <v>SDM</v>
      </c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5">
      <c r="A331" s="1">
        <v>2458369.3165899999</v>
      </c>
      <c r="B331" s="1" t="s">
        <v>110</v>
      </c>
      <c r="C331" s="1">
        <v>11.946</v>
      </c>
      <c r="D331" s="1">
        <v>0.01</v>
      </c>
      <c r="E331" s="1" t="s">
        <v>1</v>
      </c>
      <c r="F331" s="1" t="s">
        <v>101</v>
      </c>
      <c r="G331" s="1">
        <f t="shared" si="15"/>
        <v>8369.316589999944</v>
      </c>
      <c r="H331" s="1">
        <f t="shared" si="16"/>
        <v>11.946</v>
      </c>
      <c r="I331" s="1" t="str">
        <f t="shared" si="17"/>
        <v>DUBF</v>
      </c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5">
      <c r="A332" s="1">
        <v>2458369.3169</v>
      </c>
      <c r="B332" s="1" t="s">
        <v>110</v>
      </c>
      <c r="C332" s="1">
        <v>11.917</v>
      </c>
      <c r="D332" s="1">
        <v>0.01</v>
      </c>
      <c r="E332" s="1" t="s">
        <v>1</v>
      </c>
      <c r="F332" s="1" t="s">
        <v>101</v>
      </c>
      <c r="G332" s="1">
        <f t="shared" si="15"/>
        <v>8369.3168999999762</v>
      </c>
      <c r="H332" s="1">
        <f t="shared" si="16"/>
        <v>11.917</v>
      </c>
      <c r="I332" s="1" t="str">
        <f t="shared" si="17"/>
        <v>DUBF</v>
      </c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idden="1" x14ac:dyDescent="0.25">
      <c r="A333" s="1">
        <v>2458369.49419</v>
      </c>
      <c r="B333" s="1" t="s">
        <v>110</v>
      </c>
      <c r="C333" s="1">
        <v>11.987</v>
      </c>
      <c r="D333" s="1">
        <v>0.01</v>
      </c>
      <c r="E333" s="1" t="s">
        <v>1</v>
      </c>
      <c r="F333" s="1" t="s">
        <v>94</v>
      </c>
      <c r="G333" s="1">
        <f t="shared" si="15"/>
        <v>8369.4941899999976</v>
      </c>
      <c r="H333" s="1">
        <f t="shared" si="16"/>
        <v>11.987</v>
      </c>
      <c r="I333" s="1" t="str">
        <f t="shared" si="17"/>
        <v>HMB</v>
      </c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idden="1" x14ac:dyDescent="0.25">
      <c r="A334" s="1">
        <v>2458369.4945700001</v>
      </c>
      <c r="B334" s="1" t="s">
        <v>110</v>
      </c>
      <c r="C334" s="1">
        <v>11.964</v>
      </c>
      <c r="D334" s="1">
        <v>0.01</v>
      </c>
      <c r="E334" s="1" t="s">
        <v>1</v>
      </c>
      <c r="F334" s="1" t="s">
        <v>94</v>
      </c>
      <c r="G334" s="1">
        <f t="shared" si="15"/>
        <v>8369.4945700000972</v>
      </c>
      <c r="H334" s="1">
        <f t="shared" si="16"/>
        <v>11.964</v>
      </c>
      <c r="I334" s="1" t="str">
        <f t="shared" si="17"/>
        <v>HMB</v>
      </c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5">
      <c r="A335" s="1">
        <v>2458370.3423600001</v>
      </c>
      <c r="B335" s="1" t="s">
        <v>111</v>
      </c>
      <c r="C335" s="1">
        <v>11.98</v>
      </c>
      <c r="D335" s="1">
        <v>0.03</v>
      </c>
      <c r="E335" s="1" t="s">
        <v>1</v>
      </c>
      <c r="F335" s="1" t="s">
        <v>5</v>
      </c>
      <c r="G335" s="1">
        <f t="shared" si="15"/>
        <v>8370.3423600001261</v>
      </c>
      <c r="H335" s="1">
        <f t="shared" si="16"/>
        <v>11.98</v>
      </c>
      <c r="I335" s="1" t="str">
        <f t="shared" si="17"/>
        <v>TIA</v>
      </c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idden="1" x14ac:dyDescent="0.25">
      <c r="A336" s="1">
        <v>2458370.4241800001</v>
      </c>
      <c r="B336" s="1" t="s">
        <v>111</v>
      </c>
      <c r="C336" s="1">
        <v>11.955</v>
      </c>
      <c r="D336" s="1">
        <v>1.7000000000000001E-2</v>
      </c>
      <c r="E336" s="1" t="s">
        <v>1</v>
      </c>
      <c r="F336" s="1" t="s">
        <v>285</v>
      </c>
      <c r="G336" s="1">
        <f t="shared" si="15"/>
        <v>8370.4241800000891</v>
      </c>
      <c r="H336" s="1">
        <f t="shared" si="16"/>
        <v>11.955</v>
      </c>
      <c r="I336" s="1" t="str">
        <f t="shared" si="17"/>
        <v>VMT</v>
      </c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idden="1" x14ac:dyDescent="0.25">
      <c r="A337" s="1">
        <v>2458370.4247400002</v>
      </c>
      <c r="B337" s="1" t="s">
        <v>111</v>
      </c>
      <c r="C337" s="1">
        <v>11.945</v>
      </c>
      <c r="D337" s="1">
        <v>1.7000000000000001E-2</v>
      </c>
      <c r="E337" s="1" t="s">
        <v>1</v>
      </c>
      <c r="F337" s="1" t="s">
        <v>285</v>
      </c>
      <c r="G337" s="1">
        <f t="shared" si="15"/>
        <v>8370.4247400001623</v>
      </c>
      <c r="H337" s="1">
        <f t="shared" si="16"/>
        <v>11.945</v>
      </c>
      <c r="I337" s="1" t="str">
        <f t="shared" si="17"/>
        <v>VMT</v>
      </c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idden="1" x14ac:dyDescent="0.25">
      <c r="A338" s="1">
        <v>2458370.5049899998</v>
      </c>
      <c r="B338" s="1" t="s">
        <v>112</v>
      </c>
      <c r="C338" s="1">
        <v>12.023</v>
      </c>
      <c r="D338" s="1">
        <v>0.01</v>
      </c>
      <c r="E338" s="1" t="s">
        <v>1</v>
      </c>
      <c r="F338" s="1" t="s">
        <v>94</v>
      </c>
      <c r="G338" s="1">
        <f t="shared" si="15"/>
        <v>8370.5049899998121</v>
      </c>
      <c r="H338" s="1">
        <f t="shared" si="16"/>
        <v>12.023</v>
      </c>
      <c r="I338" s="1" t="str">
        <f t="shared" si="17"/>
        <v>HMB</v>
      </c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idden="1" x14ac:dyDescent="0.25">
      <c r="A339" s="1">
        <v>2458370.5053699999</v>
      </c>
      <c r="B339" s="1" t="s">
        <v>112</v>
      </c>
      <c r="C339" s="1">
        <v>12.044</v>
      </c>
      <c r="D339" s="1">
        <v>0.01</v>
      </c>
      <c r="E339" s="1" t="s">
        <v>1</v>
      </c>
      <c r="F339" s="1" t="s">
        <v>94</v>
      </c>
      <c r="G339" s="1">
        <f t="shared" si="15"/>
        <v>8370.5053699999116</v>
      </c>
      <c r="H339" s="1">
        <f t="shared" si="16"/>
        <v>12.044</v>
      </c>
      <c r="I339" s="1" t="str">
        <f t="shared" si="17"/>
        <v>HMB</v>
      </c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idden="1" x14ac:dyDescent="0.25">
      <c r="A340" s="1">
        <v>2458371.4938699999</v>
      </c>
      <c r="B340" s="1" t="s">
        <v>112</v>
      </c>
      <c r="C340" s="1">
        <v>12.039</v>
      </c>
      <c r="D340" s="1">
        <v>0.01</v>
      </c>
      <c r="E340" s="1" t="s">
        <v>1</v>
      </c>
      <c r="F340" s="1" t="s">
        <v>94</v>
      </c>
      <c r="G340" s="1">
        <f t="shared" si="15"/>
        <v>8371.4938699998893</v>
      </c>
      <c r="H340" s="1">
        <f t="shared" si="16"/>
        <v>12.039</v>
      </c>
      <c r="I340" s="1" t="str">
        <f t="shared" si="17"/>
        <v>HMB</v>
      </c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idden="1" x14ac:dyDescent="0.25">
      <c r="A341" s="1">
        <v>2458371.49425</v>
      </c>
      <c r="B341" s="1" t="s">
        <v>112</v>
      </c>
      <c r="C341" s="1">
        <v>12.034000000000001</v>
      </c>
      <c r="D341" s="1">
        <v>0.01</v>
      </c>
      <c r="E341" s="1" t="s">
        <v>1</v>
      </c>
      <c r="F341" s="1" t="s">
        <v>94</v>
      </c>
      <c r="G341" s="1">
        <f t="shared" si="15"/>
        <v>8371.4942499999888</v>
      </c>
      <c r="H341" s="1">
        <f t="shared" si="16"/>
        <v>12.034000000000001</v>
      </c>
      <c r="I341" s="1" t="str">
        <f t="shared" si="17"/>
        <v>HMB</v>
      </c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idden="1" x14ac:dyDescent="0.25">
      <c r="A342" s="1">
        <v>2458372.4936899999</v>
      </c>
      <c r="B342" s="1" t="s">
        <v>113</v>
      </c>
      <c r="C342" s="1">
        <v>12.058999999999999</v>
      </c>
      <c r="D342" s="1">
        <v>0.01</v>
      </c>
      <c r="E342" s="1" t="s">
        <v>1</v>
      </c>
      <c r="F342" s="1" t="s">
        <v>94</v>
      </c>
      <c r="G342" s="1">
        <f t="shared" si="15"/>
        <v>8372.4936899999157</v>
      </c>
      <c r="H342" s="1">
        <f t="shared" si="16"/>
        <v>12.058999999999999</v>
      </c>
      <c r="I342" s="1" t="str">
        <f t="shared" si="17"/>
        <v>HMB</v>
      </c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idden="1" x14ac:dyDescent="0.25">
      <c r="A343" s="1">
        <v>2458372.49407</v>
      </c>
      <c r="B343" s="1" t="s">
        <v>113</v>
      </c>
      <c r="C343" s="1">
        <v>12.079000000000001</v>
      </c>
      <c r="D343" s="1">
        <v>0.01</v>
      </c>
      <c r="E343" s="1" t="s">
        <v>1</v>
      </c>
      <c r="F343" s="1" t="s">
        <v>94</v>
      </c>
      <c r="G343" s="1">
        <f t="shared" si="15"/>
        <v>8372.4940700000152</v>
      </c>
      <c r="H343" s="1">
        <f t="shared" si="16"/>
        <v>12.079000000000001</v>
      </c>
      <c r="I343" s="1" t="str">
        <f t="shared" si="17"/>
        <v>HMB</v>
      </c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idden="1" x14ac:dyDescent="0.25">
      <c r="A344" s="1">
        <v>2458373.33769</v>
      </c>
      <c r="B344" s="1" t="s">
        <v>114</v>
      </c>
      <c r="C344" s="1">
        <v>11.955</v>
      </c>
      <c r="D344" s="1">
        <v>0.02</v>
      </c>
      <c r="E344" s="1" t="s">
        <v>1</v>
      </c>
      <c r="F344" s="1" t="s">
        <v>285</v>
      </c>
      <c r="G344" s="1">
        <f t="shared" si="15"/>
        <v>8373.3376899999566</v>
      </c>
      <c r="H344" s="1">
        <f t="shared" si="16"/>
        <v>11.955</v>
      </c>
      <c r="I344" s="1" t="str">
        <f t="shared" si="17"/>
        <v>VMT</v>
      </c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idden="1" x14ac:dyDescent="0.25">
      <c r="A345" s="1">
        <v>2458373.3382899999</v>
      </c>
      <c r="B345" s="1" t="s">
        <v>114</v>
      </c>
      <c r="C345" s="1">
        <v>12.047000000000001</v>
      </c>
      <c r="D345" s="1">
        <v>2.4E-2</v>
      </c>
      <c r="E345" s="1" t="s">
        <v>1</v>
      </c>
      <c r="F345" s="1" t="s">
        <v>285</v>
      </c>
      <c r="G345" s="1">
        <f t="shared" si="15"/>
        <v>8373.3382899998687</v>
      </c>
      <c r="H345" s="1">
        <f t="shared" si="16"/>
        <v>12.047000000000001</v>
      </c>
      <c r="I345" s="1" t="str">
        <f t="shared" si="17"/>
        <v>VMT</v>
      </c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idden="1" x14ac:dyDescent="0.25">
      <c r="A346" s="1">
        <v>2458373.4955099998</v>
      </c>
      <c r="B346" s="1" t="s">
        <v>114</v>
      </c>
      <c r="C346" s="1">
        <v>12.090999999999999</v>
      </c>
      <c r="D346" s="1">
        <v>0.01</v>
      </c>
      <c r="E346" s="1" t="s">
        <v>1</v>
      </c>
      <c r="F346" s="1" t="s">
        <v>94</v>
      </c>
      <c r="G346" s="1">
        <f t="shared" si="15"/>
        <v>8373.4955099998042</v>
      </c>
      <c r="H346" s="1">
        <f t="shared" si="16"/>
        <v>12.090999999999999</v>
      </c>
      <c r="I346" s="1" t="str">
        <f t="shared" si="17"/>
        <v>HMB</v>
      </c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idden="1" x14ac:dyDescent="0.25">
      <c r="A347" s="1">
        <v>2458373.4959</v>
      </c>
      <c r="B347" s="1" t="s">
        <v>114</v>
      </c>
      <c r="C347" s="1">
        <v>12.105</v>
      </c>
      <c r="D347" s="1">
        <v>0.01</v>
      </c>
      <c r="E347" s="1" t="s">
        <v>1</v>
      </c>
      <c r="F347" s="1" t="s">
        <v>94</v>
      </c>
      <c r="G347" s="1">
        <f t="shared" si="15"/>
        <v>8373.4958999999799</v>
      </c>
      <c r="H347" s="1">
        <f t="shared" si="16"/>
        <v>12.105</v>
      </c>
      <c r="I347" s="1" t="str">
        <f t="shared" si="17"/>
        <v>HMB</v>
      </c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idden="1" x14ac:dyDescent="0.25">
      <c r="A348" s="1">
        <v>2458373.5932</v>
      </c>
      <c r="B348" s="1" t="s">
        <v>115</v>
      </c>
      <c r="C348" s="1">
        <v>12.117000000000001</v>
      </c>
      <c r="D348" s="1">
        <v>1.2999999999999999E-2</v>
      </c>
      <c r="E348" s="1" t="s">
        <v>1</v>
      </c>
      <c r="F348" s="1" t="s">
        <v>273</v>
      </c>
      <c r="G348" s="1">
        <f t="shared" si="15"/>
        <v>8373.593200000003</v>
      </c>
      <c r="H348" s="1">
        <f t="shared" si="16"/>
        <v>12.117000000000001</v>
      </c>
      <c r="I348" s="1" t="str">
        <f t="shared" si="17"/>
        <v>BJFB</v>
      </c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idden="1" x14ac:dyDescent="0.25">
      <c r="A349" s="1">
        <v>2458373.5936500002</v>
      </c>
      <c r="B349" s="1" t="s">
        <v>115</v>
      </c>
      <c r="C349" s="1">
        <v>12.135999999999999</v>
      </c>
      <c r="D349" s="1">
        <v>1.2999999999999999E-2</v>
      </c>
      <c r="E349" s="1" t="s">
        <v>1</v>
      </c>
      <c r="F349" s="1" t="s">
        <v>273</v>
      </c>
      <c r="G349" s="1">
        <f t="shared" si="15"/>
        <v>8373.5936500001699</v>
      </c>
      <c r="H349" s="1">
        <f t="shared" si="16"/>
        <v>12.135999999999999</v>
      </c>
      <c r="I349" s="1" t="str">
        <f t="shared" si="17"/>
        <v>BJFB</v>
      </c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idden="1" x14ac:dyDescent="0.25">
      <c r="A350" s="1">
        <v>2458373.59412</v>
      </c>
      <c r="B350" s="1" t="s">
        <v>115</v>
      </c>
      <c r="C350" s="1">
        <v>12.138999999999999</v>
      </c>
      <c r="D350" s="1">
        <v>1.2999999999999999E-2</v>
      </c>
      <c r="E350" s="1" t="s">
        <v>1</v>
      </c>
      <c r="F350" s="1" t="s">
        <v>273</v>
      </c>
      <c r="G350" s="1">
        <f t="shared" si="15"/>
        <v>8373.5941200000234</v>
      </c>
      <c r="H350" s="1">
        <f t="shared" si="16"/>
        <v>12.138999999999999</v>
      </c>
      <c r="I350" s="1" t="str">
        <f t="shared" si="17"/>
        <v>BJFB</v>
      </c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idden="1" x14ac:dyDescent="0.25">
      <c r="A351" s="1">
        <v>2458373.5945799998</v>
      </c>
      <c r="B351" s="1" t="s">
        <v>115</v>
      </c>
      <c r="C351" s="1">
        <v>12.129</v>
      </c>
      <c r="D351" s="1">
        <v>1.2999999999999999E-2</v>
      </c>
      <c r="E351" s="1" t="s">
        <v>1</v>
      </c>
      <c r="F351" s="1" t="s">
        <v>273</v>
      </c>
      <c r="G351" s="1">
        <f t="shared" si="15"/>
        <v>8373.5945799998008</v>
      </c>
      <c r="H351" s="1">
        <f t="shared" si="16"/>
        <v>12.129</v>
      </c>
      <c r="I351" s="1" t="str">
        <f t="shared" si="17"/>
        <v>BJFB</v>
      </c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idden="1" x14ac:dyDescent="0.25">
      <c r="A352" s="1">
        <v>2458373.59504</v>
      </c>
      <c r="B352" s="1" t="s">
        <v>115</v>
      </c>
      <c r="C352" s="1">
        <v>12.105</v>
      </c>
      <c r="D352" s="1">
        <v>1.2999999999999999E-2</v>
      </c>
      <c r="E352" s="1" t="s">
        <v>1</v>
      </c>
      <c r="F352" s="1" t="s">
        <v>273</v>
      </c>
      <c r="G352" s="1">
        <f t="shared" si="15"/>
        <v>8373.5950400000438</v>
      </c>
      <c r="H352" s="1">
        <f t="shared" si="16"/>
        <v>12.105</v>
      </c>
      <c r="I352" s="1" t="str">
        <f t="shared" si="17"/>
        <v>BJFB</v>
      </c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idden="1" x14ac:dyDescent="0.25">
      <c r="A353" s="1">
        <v>2458374.3286600001</v>
      </c>
      <c r="B353" s="1" t="s">
        <v>115</v>
      </c>
      <c r="C353" s="1">
        <v>11.99</v>
      </c>
      <c r="D353" s="1">
        <v>1.9E-2</v>
      </c>
      <c r="E353" s="1" t="s">
        <v>1</v>
      </c>
      <c r="F353" s="1" t="s">
        <v>285</v>
      </c>
      <c r="G353" s="1">
        <f t="shared" si="15"/>
        <v>8374.3286600001156</v>
      </c>
      <c r="H353" s="1">
        <f t="shared" si="16"/>
        <v>11.99</v>
      </c>
      <c r="I353" s="1" t="str">
        <f t="shared" si="17"/>
        <v>VMT</v>
      </c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idden="1" x14ac:dyDescent="0.25">
      <c r="A354" s="1">
        <v>2458374.32925</v>
      </c>
      <c r="B354" s="1" t="s">
        <v>115</v>
      </c>
      <c r="C354" s="1">
        <v>11.984999999999999</v>
      </c>
      <c r="D354" s="1">
        <v>1.9E-2</v>
      </c>
      <c r="E354" s="1" t="s">
        <v>1</v>
      </c>
      <c r="F354" s="1" t="s">
        <v>285</v>
      </c>
      <c r="G354" s="1">
        <f t="shared" si="15"/>
        <v>8374.3292499999516</v>
      </c>
      <c r="H354" s="1">
        <f t="shared" si="16"/>
        <v>11.984999999999999</v>
      </c>
      <c r="I354" s="1" t="str">
        <f t="shared" si="17"/>
        <v>VMT</v>
      </c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idden="1" x14ac:dyDescent="0.25">
      <c r="A355" s="1">
        <v>2458374.4956499999</v>
      </c>
      <c r="B355" s="1" t="s">
        <v>115</v>
      </c>
      <c r="C355" s="1">
        <v>12.115</v>
      </c>
      <c r="D355" s="1">
        <v>1.0999999999999999E-2</v>
      </c>
      <c r="E355" s="1" t="s">
        <v>1</v>
      </c>
      <c r="F355" s="1" t="s">
        <v>94</v>
      </c>
      <c r="G355" s="1">
        <f t="shared" si="15"/>
        <v>8374.4956499999389</v>
      </c>
      <c r="H355" s="1">
        <f t="shared" si="16"/>
        <v>12.115</v>
      </c>
      <c r="I355" s="1" t="str">
        <f t="shared" si="17"/>
        <v>HMB</v>
      </c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idden="1" x14ac:dyDescent="0.25">
      <c r="A356" s="1">
        <v>2458374.4960400001</v>
      </c>
      <c r="B356" s="1" t="s">
        <v>115</v>
      </c>
      <c r="C356" s="1">
        <v>12.117000000000001</v>
      </c>
      <c r="D356" s="1">
        <v>0.01</v>
      </c>
      <c r="E356" s="1" t="s">
        <v>1</v>
      </c>
      <c r="F356" s="1" t="s">
        <v>94</v>
      </c>
      <c r="G356" s="1">
        <f t="shared" si="15"/>
        <v>8374.4960400001146</v>
      </c>
      <c r="H356" s="1">
        <f t="shared" si="16"/>
        <v>12.117000000000001</v>
      </c>
      <c r="I356" s="1" t="str">
        <f t="shared" si="17"/>
        <v>HMB</v>
      </c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5">
      <c r="A357" s="1">
        <v>2458375.3082900001</v>
      </c>
      <c r="B357" s="1" t="s">
        <v>116</v>
      </c>
      <c r="C357" s="1">
        <v>12.068</v>
      </c>
      <c r="D357" s="1">
        <v>8.9999999999999993E-3</v>
      </c>
      <c r="E357" s="1" t="s">
        <v>1</v>
      </c>
      <c r="F357" s="1" t="s">
        <v>101</v>
      </c>
      <c r="G357" s="1">
        <f t="shared" si="15"/>
        <v>8375.3082900000736</v>
      </c>
      <c r="H357" s="1">
        <f t="shared" si="16"/>
        <v>12.068</v>
      </c>
      <c r="I357" s="1" t="str">
        <f t="shared" si="17"/>
        <v>DUBF</v>
      </c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5">
      <c r="A358" s="1">
        <v>2458375.3082900001</v>
      </c>
      <c r="B358" s="1" t="s">
        <v>116</v>
      </c>
      <c r="C358" s="1">
        <v>12.071</v>
      </c>
      <c r="D358" s="1">
        <v>8.9999999999999993E-3</v>
      </c>
      <c r="E358" s="1" t="s">
        <v>1</v>
      </c>
      <c r="F358" s="1" t="s">
        <v>101</v>
      </c>
      <c r="G358" s="1">
        <f t="shared" si="15"/>
        <v>8375.3082900000736</v>
      </c>
      <c r="H358" s="1">
        <f t="shared" si="16"/>
        <v>12.071</v>
      </c>
      <c r="I358" s="1" t="str">
        <f t="shared" si="17"/>
        <v>DUBF</v>
      </c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5">
      <c r="A359" s="1">
        <v>2458375.30859</v>
      </c>
      <c r="B359" s="1" t="s">
        <v>116</v>
      </c>
      <c r="C359" s="1">
        <v>12.07</v>
      </c>
      <c r="D359" s="1">
        <v>8.0000000000000002E-3</v>
      </c>
      <c r="E359" s="1" t="s">
        <v>1</v>
      </c>
      <c r="F359" s="1" t="s">
        <v>101</v>
      </c>
      <c r="G359" s="1">
        <f t="shared" si="15"/>
        <v>8375.3085900000297</v>
      </c>
      <c r="H359" s="1">
        <f t="shared" si="16"/>
        <v>12.07</v>
      </c>
      <c r="I359" s="1" t="str">
        <f t="shared" si="17"/>
        <v>DUBF</v>
      </c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idden="1" x14ac:dyDescent="0.25">
      <c r="A360" s="1">
        <v>2458375.3830200001</v>
      </c>
      <c r="B360" s="1" t="s">
        <v>116</v>
      </c>
      <c r="C360" s="1">
        <v>12.048999999999999</v>
      </c>
      <c r="D360" s="1">
        <v>0.02</v>
      </c>
      <c r="E360" s="1" t="s">
        <v>1</v>
      </c>
      <c r="F360" s="1" t="s">
        <v>285</v>
      </c>
      <c r="G360" s="1">
        <f t="shared" si="15"/>
        <v>8375.3830200000666</v>
      </c>
      <c r="H360" s="1">
        <f t="shared" si="16"/>
        <v>12.048999999999999</v>
      </c>
      <c r="I360" s="1" t="str">
        <f t="shared" si="17"/>
        <v>VMT</v>
      </c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idden="1" x14ac:dyDescent="0.25">
      <c r="A361" s="1">
        <v>2458375.38362</v>
      </c>
      <c r="B361" s="1" t="s">
        <v>116</v>
      </c>
      <c r="C361" s="1">
        <v>12.077999999999999</v>
      </c>
      <c r="D361" s="1">
        <v>2.1000000000000001E-2</v>
      </c>
      <c r="E361" s="1" t="s">
        <v>1</v>
      </c>
      <c r="F361" s="1" t="s">
        <v>285</v>
      </c>
      <c r="G361" s="1">
        <f t="shared" si="15"/>
        <v>8375.3836199999787</v>
      </c>
      <c r="H361" s="1">
        <f t="shared" si="16"/>
        <v>12.077999999999999</v>
      </c>
      <c r="I361" s="1" t="str">
        <f t="shared" si="17"/>
        <v>VMT</v>
      </c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idden="1" x14ac:dyDescent="0.25">
      <c r="A362" s="1">
        <v>2458375.4976400002</v>
      </c>
      <c r="B362" s="1" t="s">
        <v>116</v>
      </c>
      <c r="C362" s="1">
        <v>12.137</v>
      </c>
      <c r="D362" s="1">
        <v>0.01</v>
      </c>
      <c r="E362" s="1" t="s">
        <v>1</v>
      </c>
      <c r="F362" s="1" t="s">
        <v>94</v>
      </c>
      <c r="G362" s="1">
        <f t="shared" si="15"/>
        <v>8375.4976400001906</v>
      </c>
      <c r="H362" s="1">
        <f t="shared" si="16"/>
        <v>12.137</v>
      </c>
      <c r="I362" s="1" t="str">
        <f t="shared" si="17"/>
        <v>HMB</v>
      </c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idden="1" x14ac:dyDescent="0.25">
      <c r="A363" s="1">
        <v>2458375.4980299999</v>
      </c>
      <c r="B363" s="1" t="s">
        <v>116</v>
      </c>
      <c r="C363" s="1">
        <v>12.134</v>
      </c>
      <c r="D363" s="1">
        <v>0.01</v>
      </c>
      <c r="E363" s="1" t="s">
        <v>1</v>
      </c>
      <c r="F363" s="1" t="s">
        <v>94</v>
      </c>
      <c r="G363" s="1">
        <f t="shared" si="15"/>
        <v>8375.4980299999006</v>
      </c>
      <c r="H363" s="1">
        <f t="shared" si="16"/>
        <v>12.134</v>
      </c>
      <c r="I363" s="1" t="str">
        <f t="shared" si="17"/>
        <v>HMB</v>
      </c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5">
      <c r="A364" s="1">
        <v>2458376.3053700002</v>
      </c>
      <c r="B364" s="1" t="s">
        <v>117</v>
      </c>
      <c r="C364" s="1">
        <v>12.097</v>
      </c>
      <c r="D364" s="1">
        <v>1.2E-2</v>
      </c>
      <c r="E364" s="1" t="s">
        <v>1</v>
      </c>
      <c r="F364" s="1" t="s">
        <v>101</v>
      </c>
      <c r="G364" s="1">
        <f t="shared" si="15"/>
        <v>8376.305370000191</v>
      </c>
      <c r="H364" s="1">
        <f t="shared" si="16"/>
        <v>12.097</v>
      </c>
      <c r="I364" s="1" t="str">
        <f t="shared" si="17"/>
        <v>DUBF</v>
      </c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5">
      <c r="A365" s="1">
        <v>2458376.3056700001</v>
      </c>
      <c r="B365" s="1" t="s">
        <v>117</v>
      </c>
      <c r="C365" s="1">
        <v>12.092000000000001</v>
      </c>
      <c r="D365" s="1">
        <v>1.2E-2</v>
      </c>
      <c r="E365" s="1" t="s">
        <v>1</v>
      </c>
      <c r="F365" s="1" t="s">
        <v>101</v>
      </c>
      <c r="G365" s="1">
        <f t="shared" si="15"/>
        <v>8376.3056700001471</v>
      </c>
      <c r="H365" s="1">
        <f t="shared" si="16"/>
        <v>12.092000000000001</v>
      </c>
      <c r="I365" s="1" t="str">
        <f t="shared" si="17"/>
        <v>DUBF</v>
      </c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5">
      <c r="A366" s="1">
        <v>2458378.3017500001</v>
      </c>
      <c r="B366" s="1" t="s">
        <v>118</v>
      </c>
      <c r="C366" s="1">
        <v>12.083</v>
      </c>
      <c r="D366" s="1">
        <v>8.9999999999999993E-3</v>
      </c>
      <c r="E366" s="1" t="s">
        <v>1</v>
      </c>
      <c r="F366" s="1" t="s">
        <v>101</v>
      </c>
      <c r="G366" s="1">
        <f t="shared" si="15"/>
        <v>8378.3017500001006</v>
      </c>
      <c r="H366" s="1">
        <f t="shared" si="16"/>
        <v>12.083</v>
      </c>
      <c r="I366" s="1" t="str">
        <f t="shared" si="17"/>
        <v>DUBF</v>
      </c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5">
      <c r="A367" s="1">
        <v>2458378.3020600001</v>
      </c>
      <c r="B367" s="1" t="s">
        <v>118</v>
      </c>
      <c r="C367" s="1">
        <v>12.093</v>
      </c>
      <c r="D367" s="1">
        <v>8.9999999999999993E-3</v>
      </c>
      <c r="E367" s="1" t="s">
        <v>1</v>
      </c>
      <c r="F367" s="1" t="s">
        <v>101</v>
      </c>
      <c r="G367" s="1">
        <f t="shared" si="15"/>
        <v>8378.3020600001328</v>
      </c>
      <c r="H367" s="1">
        <f t="shared" si="16"/>
        <v>12.093</v>
      </c>
      <c r="I367" s="1" t="str">
        <f t="shared" si="17"/>
        <v>DUBF</v>
      </c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idden="1" x14ac:dyDescent="0.25">
      <c r="A368" s="1">
        <v>2458378.3333899998</v>
      </c>
      <c r="B368" s="1" t="s">
        <v>118</v>
      </c>
      <c r="C368" s="1">
        <v>12.051</v>
      </c>
      <c r="D368" s="1">
        <v>1.7999999999999999E-2</v>
      </c>
      <c r="E368" s="1" t="s">
        <v>1</v>
      </c>
      <c r="F368" s="1" t="s">
        <v>285</v>
      </c>
      <c r="G368" s="1">
        <f t="shared" si="15"/>
        <v>8378.3333899998106</v>
      </c>
      <c r="H368" s="1">
        <f t="shared" si="16"/>
        <v>12.051</v>
      </c>
      <c r="I368" s="1" t="str">
        <f t="shared" si="17"/>
        <v>VMT</v>
      </c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idden="1" x14ac:dyDescent="0.25">
      <c r="A369" s="1">
        <v>2458378.3339999998</v>
      </c>
      <c r="B369" s="1" t="s">
        <v>118</v>
      </c>
      <c r="C369" s="1">
        <v>12.045</v>
      </c>
      <c r="D369" s="1">
        <v>1.7999999999999999E-2</v>
      </c>
      <c r="E369" s="1" t="s">
        <v>1</v>
      </c>
      <c r="F369" s="1" t="s">
        <v>285</v>
      </c>
      <c r="G369" s="1">
        <f t="shared" si="15"/>
        <v>8378.3339999997988</v>
      </c>
      <c r="H369" s="1">
        <f t="shared" si="16"/>
        <v>12.045</v>
      </c>
      <c r="I369" s="1" t="str">
        <f t="shared" si="17"/>
        <v>VMT</v>
      </c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idden="1" x14ac:dyDescent="0.25">
      <c r="A370" s="1">
        <v>2458378.5894599999</v>
      </c>
      <c r="B370" s="1" t="s">
        <v>119</v>
      </c>
      <c r="C370" s="1">
        <v>12.17</v>
      </c>
      <c r="D370" s="1">
        <v>1.4E-2</v>
      </c>
      <c r="E370" s="1" t="s">
        <v>1</v>
      </c>
      <c r="F370" s="1" t="s">
        <v>273</v>
      </c>
      <c r="G370" s="1">
        <f t="shared" si="15"/>
        <v>8378.5894599999301</v>
      </c>
      <c r="H370" s="1">
        <f t="shared" si="16"/>
        <v>12.17</v>
      </c>
      <c r="I370" s="1" t="str">
        <f t="shared" si="17"/>
        <v>BJFB</v>
      </c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idden="1" x14ac:dyDescent="0.25">
      <c r="A371" s="1">
        <v>2458378.5899200002</v>
      </c>
      <c r="B371" s="1" t="s">
        <v>119</v>
      </c>
      <c r="C371" s="1">
        <v>12.170999999999999</v>
      </c>
      <c r="D371" s="1">
        <v>1.4E-2</v>
      </c>
      <c r="E371" s="1" t="s">
        <v>1</v>
      </c>
      <c r="F371" s="1" t="s">
        <v>273</v>
      </c>
      <c r="G371" s="1">
        <f t="shared" si="15"/>
        <v>8378.5899200001732</v>
      </c>
      <c r="H371" s="1">
        <f t="shared" si="16"/>
        <v>12.170999999999999</v>
      </c>
      <c r="I371" s="1" t="str">
        <f t="shared" si="17"/>
        <v>BJFB</v>
      </c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idden="1" x14ac:dyDescent="0.25">
      <c r="A372" s="1">
        <v>2458378.59039</v>
      </c>
      <c r="B372" s="1" t="s">
        <v>119</v>
      </c>
      <c r="C372" s="1">
        <v>12.17</v>
      </c>
      <c r="D372" s="1">
        <v>1.4E-2</v>
      </c>
      <c r="E372" s="1" t="s">
        <v>1</v>
      </c>
      <c r="F372" s="1" t="s">
        <v>273</v>
      </c>
      <c r="G372" s="1">
        <f t="shared" si="15"/>
        <v>8378.5903900000267</v>
      </c>
      <c r="H372" s="1">
        <f t="shared" si="16"/>
        <v>12.17</v>
      </c>
      <c r="I372" s="1" t="str">
        <f t="shared" si="17"/>
        <v>BJFB</v>
      </c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idden="1" x14ac:dyDescent="0.25">
      <c r="A373" s="1">
        <v>2458378.5908499998</v>
      </c>
      <c r="B373" s="1" t="s">
        <v>119</v>
      </c>
      <c r="C373" s="1">
        <v>12.167999999999999</v>
      </c>
      <c r="D373" s="1">
        <v>1.4E-2</v>
      </c>
      <c r="E373" s="1" t="s">
        <v>1</v>
      </c>
      <c r="F373" s="1" t="s">
        <v>273</v>
      </c>
      <c r="G373" s="1">
        <f t="shared" si="15"/>
        <v>8378.590849999804</v>
      </c>
      <c r="H373" s="1">
        <f t="shared" si="16"/>
        <v>12.167999999999999</v>
      </c>
      <c r="I373" s="1" t="str">
        <f t="shared" si="17"/>
        <v>BJFB</v>
      </c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idden="1" x14ac:dyDescent="0.25">
      <c r="A374" s="1">
        <v>2458378.59131</v>
      </c>
      <c r="B374" s="1" t="s">
        <v>119</v>
      </c>
      <c r="C374" s="1">
        <v>12.175000000000001</v>
      </c>
      <c r="D374" s="1">
        <v>1.4E-2</v>
      </c>
      <c r="E374" s="1" t="s">
        <v>1</v>
      </c>
      <c r="F374" s="1" t="s">
        <v>273</v>
      </c>
      <c r="G374" s="1">
        <f t="shared" si="15"/>
        <v>8378.5913100000471</v>
      </c>
      <c r="H374" s="1">
        <f t="shared" si="16"/>
        <v>12.175000000000001</v>
      </c>
      <c r="I374" s="1" t="str">
        <f t="shared" si="17"/>
        <v>BJFB</v>
      </c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idden="1" x14ac:dyDescent="0.25">
      <c r="A375" s="1">
        <v>2458379.5808799998</v>
      </c>
      <c r="B375" s="1" t="s">
        <v>304</v>
      </c>
      <c r="C375" s="1">
        <v>12.204000000000001</v>
      </c>
      <c r="D375" s="1">
        <v>1.6E-2</v>
      </c>
      <c r="E375" s="1" t="s">
        <v>1</v>
      </c>
      <c r="F375" s="1" t="s">
        <v>273</v>
      </c>
      <c r="G375" s="1">
        <f t="shared" si="15"/>
        <v>8379.5808799997903</v>
      </c>
      <c r="H375" s="1">
        <f t="shared" si="16"/>
        <v>12.204000000000001</v>
      </c>
      <c r="I375" s="1" t="str">
        <f t="shared" si="17"/>
        <v>BJFB</v>
      </c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idden="1" x14ac:dyDescent="0.25">
      <c r="A376" s="1">
        <v>2458379.58134</v>
      </c>
      <c r="B376" s="1" t="s">
        <v>304</v>
      </c>
      <c r="C376" s="1">
        <v>12.207000000000001</v>
      </c>
      <c r="D376" s="1">
        <v>1.4999999999999999E-2</v>
      </c>
      <c r="E376" s="1" t="s">
        <v>1</v>
      </c>
      <c r="F376" s="1" t="s">
        <v>273</v>
      </c>
      <c r="G376" s="1">
        <f t="shared" si="15"/>
        <v>8379.5813400000334</v>
      </c>
      <c r="H376" s="1">
        <f t="shared" si="16"/>
        <v>12.207000000000001</v>
      </c>
      <c r="I376" s="1" t="str">
        <f t="shared" si="17"/>
        <v>BJFB</v>
      </c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idden="1" x14ac:dyDescent="0.25">
      <c r="A377" s="1">
        <v>2458379.5817999998</v>
      </c>
      <c r="B377" s="1" t="s">
        <v>304</v>
      </c>
      <c r="C377" s="1">
        <v>12.179</v>
      </c>
      <c r="D377" s="1">
        <v>1.4999999999999999E-2</v>
      </c>
      <c r="E377" s="1" t="s">
        <v>1</v>
      </c>
      <c r="F377" s="1" t="s">
        <v>273</v>
      </c>
      <c r="G377" s="1">
        <f t="shared" si="15"/>
        <v>8379.5817999998108</v>
      </c>
      <c r="H377" s="1">
        <f t="shared" si="16"/>
        <v>12.179</v>
      </c>
      <c r="I377" s="1" t="str">
        <f t="shared" si="17"/>
        <v>BJFB</v>
      </c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idden="1" x14ac:dyDescent="0.25">
      <c r="A378" s="1">
        <v>2458379.5822700001</v>
      </c>
      <c r="B378" s="1" t="s">
        <v>304</v>
      </c>
      <c r="C378" s="1">
        <v>12.212</v>
      </c>
      <c r="D378" s="1">
        <v>1.4999999999999999E-2</v>
      </c>
      <c r="E378" s="1" t="s">
        <v>1</v>
      </c>
      <c r="F378" s="1" t="s">
        <v>273</v>
      </c>
      <c r="G378" s="1">
        <f t="shared" si="15"/>
        <v>8379.5822700001299</v>
      </c>
      <c r="H378" s="1">
        <f t="shared" si="16"/>
        <v>12.212</v>
      </c>
      <c r="I378" s="1" t="str">
        <f t="shared" si="17"/>
        <v>BJFB</v>
      </c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idden="1" x14ac:dyDescent="0.25">
      <c r="A379" s="1">
        <v>2458379.5827299999</v>
      </c>
      <c r="B379" s="1" t="s">
        <v>304</v>
      </c>
      <c r="C379" s="1">
        <v>12.189</v>
      </c>
      <c r="D379" s="1">
        <v>1.4999999999999999E-2</v>
      </c>
      <c r="E379" s="1" t="s">
        <v>1</v>
      </c>
      <c r="F379" s="1" t="s">
        <v>273</v>
      </c>
      <c r="G379" s="1">
        <f t="shared" si="15"/>
        <v>8379.5827299999073</v>
      </c>
      <c r="H379" s="1">
        <f t="shared" si="16"/>
        <v>12.189</v>
      </c>
      <c r="I379" s="1" t="str">
        <f t="shared" si="17"/>
        <v>BJFB</v>
      </c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idden="1" x14ac:dyDescent="0.25">
      <c r="A380" s="1">
        <v>2458380.5125500001</v>
      </c>
      <c r="B380" s="1" t="s">
        <v>121</v>
      </c>
      <c r="C380" s="1">
        <v>12.167999999999999</v>
      </c>
      <c r="D380" s="1">
        <v>0.01</v>
      </c>
      <c r="E380" s="1" t="s">
        <v>1</v>
      </c>
      <c r="F380" s="1" t="s">
        <v>94</v>
      </c>
      <c r="G380" s="1">
        <f t="shared" si="15"/>
        <v>8380.5125500001013</v>
      </c>
      <c r="H380" s="1">
        <f t="shared" si="16"/>
        <v>12.167999999999999</v>
      </c>
      <c r="I380" s="1" t="str">
        <f t="shared" si="17"/>
        <v>HMB</v>
      </c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idden="1" x14ac:dyDescent="0.25">
      <c r="A381" s="1">
        <v>2458380.5129300002</v>
      </c>
      <c r="B381" s="1" t="s">
        <v>121</v>
      </c>
      <c r="C381" s="1">
        <v>12.156000000000001</v>
      </c>
      <c r="D381" s="1">
        <v>0.01</v>
      </c>
      <c r="E381" s="1" t="s">
        <v>1</v>
      </c>
      <c r="F381" s="1" t="s">
        <v>94</v>
      </c>
      <c r="G381" s="1">
        <f t="shared" si="15"/>
        <v>8380.5129300002009</v>
      </c>
      <c r="H381" s="1">
        <f t="shared" si="16"/>
        <v>12.156000000000001</v>
      </c>
      <c r="I381" s="1" t="str">
        <f t="shared" si="17"/>
        <v>HMB</v>
      </c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idden="1" x14ac:dyDescent="0.25">
      <c r="A382" s="1">
        <v>2458381.4958899999</v>
      </c>
      <c r="B382" s="1" t="s">
        <v>121</v>
      </c>
      <c r="C382" s="1">
        <v>12.172000000000001</v>
      </c>
      <c r="D382" s="1">
        <v>1.4E-2</v>
      </c>
      <c r="E382" s="1" t="s">
        <v>1</v>
      </c>
      <c r="F382" s="1" t="s">
        <v>94</v>
      </c>
      <c r="G382" s="1">
        <f t="shared" si="15"/>
        <v>8381.4958899999037</v>
      </c>
      <c r="H382" s="1">
        <f t="shared" si="16"/>
        <v>12.172000000000001</v>
      </c>
      <c r="I382" s="1" t="str">
        <f t="shared" si="17"/>
        <v>HMB</v>
      </c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idden="1" x14ac:dyDescent="0.25">
      <c r="A383" s="1">
        <v>2458381.4962800001</v>
      </c>
      <c r="B383" s="1" t="s">
        <v>121</v>
      </c>
      <c r="C383" s="1">
        <v>12.164999999999999</v>
      </c>
      <c r="D383" s="1">
        <v>1.2999999999999999E-2</v>
      </c>
      <c r="E383" s="1" t="s">
        <v>1</v>
      </c>
      <c r="F383" s="1" t="s">
        <v>94</v>
      </c>
      <c r="G383" s="1">
        <f t="shared" si="15"/>
        <v>8381.4962800000794</v>
      </c>
      <c r="H383" s="1">
        <f t="shared" si="16"/>
        <v>12.164999999999999</v>
      </c>
      <c r="I383" s="1" t="str">
        <f t="shared" si="17"/>
        <v>HMB</v>
      </c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idden="1" x14ac:dyDescent="0.25">
      <c r="A384" s="1">
        <v>2458382.4098</v>
      </c>
      <c r="B384" s="1" t="s">
        <v>122</v>
      </c>
      <c r="C384" s="1">
        <v>12.106</v>
      </c>
      <c r="D384" s="1">
        <v>0.115</v>
      </c>
      <c r="E384" s="1" t="s">
        <v>1</v>
      </c>
      <c r="F384" s="1" t="s">
        <v>285</v>
      </c>
      <c r="G384" s="1">
        <f t="shared" si="15"/>
        <v>8382.4098000000231</v>
      </c>
      <c r="H384" s="1">
        <f t="shared" si="16"/>
        <v>12.106</v>
      </c>
      <c r="I384" s="1" t="str">
        <f t="shared" si="17"/>
        <v>VMT</v>
      </c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idden="1" x14ac:dyDescent="0.25">
      <c r="A385" s="1">
        <v>2458382.4104499999</v>
      </c>
      <c r="B385" s="1" t="s">
        <v>122</v>
      </c>
      <c r="C385" s="1">
        <v>12.099</v>
      </c>
      <c r="D385" s="1">
        <v>0.106</v>
      </c>
      <c r="E385" s="1" t="s">
        <v>1</v>
      </c>
      <c r="F385" s="1" t="s">
        <v>285</v>
      </c>
      <c r="G385" s="1">
        <f t="shared" si="15"/>
        <v>8382.4104499998502</v>
      </c>
      <c r="H385" s="1">
        <f t="shared" si="16"/>
        <v>12.099</v>
      </c>
      <c r="I385" s="1" t="str">
        <f t="shared" si="17"/>
        <v>VMT</v>
      </c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idden="1" x14ac:dyDescent="0.25">
      <c r="A386" s="1">
        <v>2458382.4906600001</v>
      </c>
      <c r="B386" s="1" t="s">
        <v>122</v>
      </c>
      <c r="C386" s="1">
        <v>12.182</v>
      </c>
      <c r="D386" s="1">
        <v>1.0999999999999999E-2</v>
      </c>
      <c r="E386" s="1" t="s">
        <v>1</v>
      </c>
      <c r="F386" s="1" t="s">
        <v>94</v>
      </c>
      <c r="G386" s="1">
        <f t="shared" si="15"/>
        <v>8382.4906600001268</v>
      </c>
      <c r="H386" s="1">
        <f t="shared" si="16"/>
        <v>12.182</v>
      </c>
      <c r="I386" s="1" t="str">
        <f t="shared" si="17"/>
        <v>HMB</v>
      </c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idden="1" x14ac:dyDescent="0.25">
      <c r="A387" s="1">
        <v>2458382.4910400002</v>
      </c>
      <c r="B387" s="1" t="s">
        <v>122</v>
      </c>
      <c r="C387" s="1">
        <v>12.179</v>
      </c>
      <c r="D387" s="1">
        <v>1.0999999999999999E-2</v>
      </c>
      <c r="E387" s="1" t="s">
        <v>1</v>
      </c>
      <c r="F387" s="1" t="s">
        <v>94</v>
      </c>
      <c r="G387" s="1">
        <f t="shared" ref="G387:G450" si="18">+A387-2450000</f>
        <v>8382.4910400002263</v>
      </c>
      <c r="H387" s="1">
        <f t="shared" ref="H387:H450" si="19">+C387</f>
        <v>12.179</v>
      </c>
      <c r="I387" s="1" t="str">
        <f t="shared" ref="I387:I450" si="20">+F387</f>
        <v>HMB</v>
      </c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5">
      <c r="A388" s="1">
        <v>2458383.3731399998</v>
      </c>
      <c r="B388" s="1" t="s">
        <v>123</v>
      </c>
      <c r="C388" s="1">
        <v>12.147</v>
      </c>
      <c r="D388" s="1">
        <v>1.0999999999999999E-2</v>
      </c>
      <c r="E388" s="1" t="s">
        <v>1</v>
      </c>
      <c r="F388" s="1" t="s">
        <v>101</v>
      </c>
      <c r="G388" s="1">
        <f t="shared" si="18"/>
        <v>8383.3731399998069</v>
      </c>
      <c r="H388" s="1">
        <f t="shared" si="19"/>
        <v>12.147</v>
      </c>
      <c r="I388" s="1" t="str">
        <f t="shared" si="20"/>
        <v>DUBF</v>
      </c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5">
      <c r="A389" s="1">
        <v>2458383.3734499998</v>
      </c>
      <c r="B389" s="1" t="s">
        <v>123</v>
      </c>
      <c r="C389" s="1">
        <v>12.128</v>
      </c>
      <c r="D389" s="1">
        <v>0.01</v>
      </c>
      <c r="E389" s="1" t="s">
        <v>1</v>
      </c>
      <c r="F389" s="1" t="s">
        <v>101</v>
      </c>
      <c r="G389" s="1">
        <f t="shared" si="18"/>
        <v>8383.3734499998391</v>
      </c>
      <c r="H389" s="1">
        <f t="shared" si="19"/>
        <v>12.128</v>
      </c>
      <c r="I389" s="1" t="str">
        <f t="shared" si="20"/>
        <v>DUBF</v>
      </c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idden="1" x14ac:dyDescent="0.25">
      <c r="A390" s="1">
        <v>2458383.4341600002</v>
      </c>
      <c r="B390" s="1" t="s">
        <v>123</v>
      </c>
      <c r="C390" s="1">
        <v>12.132</v>
      </c>
      <c r="D390" s="1">
        <v>6.4000000000000001E-2</v>
      </c>
      <c r="E390" s="1" t="s">
        <v>1</v>
      </c>
      <c r="F390" s="1" t="s">
        <v>285</v>
      </c>
      <c r="G390" s="1">
        <f t="shared" si="18"/>
        <v>8383.434160000179</v>
      </c>
      <c r="H390" s="1">
        <f t="shared" si="19"/>
        <v>12.132</v>
      </c>
      <c r="I390" s="1" t="str">
        <f t="shared" si="20"/>
        <v>VMT</v>
      </c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idden="1" x14ac:dyDescent="0.25">
      <c r="A391" s="1">
        <v>2458383.4348399998</v>
      </c>
      <c r="B391" s="1" t="s">
        <v>123</v>
      </c>
      <c r="C391" s="1">
        <v>12.138</v>
      </c>
      <c r="D391" s="1">
        <v>6.5000000000000002E-2</v>
      </c>
      <c r="E391" s="1" t="s">
        <v>1</v>
      </c>
      <c r="F391" s="1" t="s">
        <v>285</v>
      </c>
      <c r="G391" s="1">
        <f t="shared" si="18"/>
        <v>8383.4348399997689</v>
      </c>
      <c r="H391" s="1">
        <f t="shared" si="19"/>
        <v>12.138</v>
      </c>
      <c r="I391" s="1" t="str">
        <f t="shared" si="20"/>
        <v>VMT</v>
      </c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idden="1" x14ac:dyDescent="0.25">
      <c r="A392" s="1">
        <v>2458383.49449</v>
      </c>
      <c r="B392" s="1" t="s">
        <v>123</v>
      </c>
      <c r="C392" s="1">
        <v>12.186999999999999</v>
      </c>
      <c r="D392" s="1">
        <v>1.0999999999999999E-2</v>
      </c>
      <c r="E392" s="1" t="s">
        <v>1</v>
      </c>
      <c r="F392" s="1" t="s">
        <v>94</v>
      </c>
      <c r="G392" s="1">
        <f t="shared" si="18"/>
        <v>8383.4944899999537</v>
      </c>
      <c r="H392" s="1">
        <f t="shared" si="19"/>
        <v>12.186999999999999</v>
      </c>
      <c r="I392" s="1" t="str">
        <f t="shared" si="20"/>
        <v>HMB</v>
      </c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idden="1" x14ac:dyDescent="0.25">
      <c r="A393" s="1">
        <v>2458383.4948800001</v>
      </c>
      <c r="B393" s="1" t="s">
        <v>123</v>
      </c>
      <c r="C393" s="1">
        <v>12.173</v>
      </c>
      <c r="D393" s="1">
        <v>1.0999999999999999E-2</v>
      </c>
      <c r="E393" s="1" t="s">
        <v>1</v>
      </c>
      <c r="F393" s="1" t="s">
        <v>94</v>
      </c>
      <c r="G393" s="1">
        <f t="shared" si="18"/>
        <v>8383.4948800001293</v>
      </c>
      <c r="H393" s="1">
        <f t="shared" si="19"/>
        <v>12.173</v>
      </c>
      <c r="I393" s="1" t="str">
        <f t="shared" si="20"/>
        <v>HMB</v>
      </c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idden="1" x14ac:dyDescent="0.25">
      <c r="A394" s="1">
        <v>2458384.4625599999</v>
      </c>
      <c r="B394" s="1" t="s">
        <v>124</v>
      </c>
      <c r="C394" s="1">
        <v>12.138999999999999</v>
      </c>
      <c r="D394" s="1">
        <v>5.0999999999999997E-2</v>
      </c>
      <c r="E394" s="1" t="s">
        <v>1</v>
      </c>
      <c r="F394" s="1" t="s">
        <v>285</v>
      </c>
      <c r="G394" s="1">
        <f t="shared" si="18"/>
        <v>8384.4625599998981</v>
      </c>
      <c r="H394" s="1">
        <f t="shared" si="19"/>
        <v>12.138999999999999</v>
      </c>
      <c r="I394" s="1" t="str">
        <f t="shared" si="20"/>
        <v>VMT</v>
      </c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idden="1" x14ac:dyDescent="0.25">
      <c r="A395" s="1">
        <v>2458384.46312</v>
      </c>
      <c r="B395" s="1" t="s">
        <v>124</v>
      </c>
      <c r="C395" s="1">
        <v>12.167999999999999</v>
      </c>
      <c r="D395" s="1">
        <v>5.8000000000000003E-2</v>
      </c>
      <c r="E395" s="1" t="s">
        <v>1</v>
      </c>
      <c r="F395" s="1" t="s">
        <v>285</v>
      </c>
      <c r="G395" s="1">
        <f t="shared" si="18"/>
        <v>8384.4631199999712</v>
      </c>
      <c r="H395" s="1">
        <f t="shared" si="19"/>
        <v>12.167999999999999</v>
      </c>
      <c r="I395" s="1" t="str">
        <f t="shared" si="20"/>
        <v>VMT</v>
      </c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idden="1" x14ac:dyDescent="0.25">
      <c r="A396" s="1">
        <v>2458384.4948700001</v>
      </c>
      <c r="B396" s="1" t="s">
        <v>124</v>
      </c>
      <c r="C396" s="1">
        <v>12.21</v>
      </c>
      <c r="D396" s="1">
        <v>1.0999999999999999E-2</v>
      </c>
      <c r="E396" s="1" t="s">
        <v>1</v>
      </c>
      <c r="F396" s="1" t="s">
        <v>94</v>
      </c>
      <c r="G396" s="1">
        <f t="shared" si="18"/>
        <v>8384.4948700000532</v>
      </c>
      <c r="H396" s="1">
        <f t="shared" si="19"/>
        <v>12.21</v>
      </c>
      <c r="I396" s="1" t="str">
        <f t="shared" si="20"/>
        <v>HMB</v>
      </c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idden="1" x14ac:dyDescent="0.25">
      <c r="A397" s="1">
        <v>2458384.4952500002</v>
      </c>
      <c r="B397" s="1" t="s">
        <v>124</v>
      </c>
      <c r="C397" s="1">
        <v>12.205</v>
      </c>
      <c r="D397" s="1">
        <v>1.2E-2</v>
      </c>
      <c r="E397" s="1" t="s">
        <v>1</v>
      </c>
      <c r="F397" s="1" t="s">
        <v>94</v>
      </c>
      <c r="G397" s="1">
        <f t="shared" si="18"/>
        <v>8384.4952500001527</v>
      </c>
      <c r="H397" s="1">
        <f t="shared" si="19"/>
        <v>12.205</v>
      </c>
      <c r="I397" s="1" t="str">
        <f t="shared" si="20"/>
        <v>HMB</v>
      </c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idden="1" x14ac:dyDescent="0.25">
      <c r="A398" s="1">
        <v>2458384.6153600002</v>
      </c>
      <c r="B398" s="1" t="s">
        <v>125</v>
      </c>
      <c r="C398" s="1">
        <v>12.244</v>
      </c>
      <c r="D398" s="1">
        <v>1.7000000000000001E-2</v>
      </c>
      <c r="E398" s="1" t="s">
        <v>1</v>
      </c>
      <c r="F398" s="1" t="s">
        <v>273</v>
      </c>
      <c r="G398" s="1">
        <f t="shared" si="18"/>
        <v>8384.6153600001708</v>
      </c>
      <c r="H398" s="1">
        <f t="shared" si="19"/>
        <v>12.244</v>
      </c>
      <c r="I398" s="1" t="str">
        <f t="shared" si="20"/>
        <v>BJFB</v>
      </c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idden="1" x14ac:dyDescent="0.25">
      <c r="A399" s="1">
        <v>2458384.61583</v>
      </c>
      <c r="B399" s="1" t="s">
        <v>125</v>
      </c>
      <c r="C399" s="1">
        <v>12.273999999999999</v>
      </c>
      <c r="D399" s="1">
        <v>1.9E-2</v>
      </c>
      <c r="E399" s="1" t="s">
        <v>1</v>
      </c>
      <c r="F399" s="1" t="s">
        <v>273</v>
      </c>
      <c r="G399" s="1">
        <f t="shared" si="18"/>
        <v>8384.6158300000243</v>
      </c>
      <c r="H399" s="1">
        <f t="shared" si="19"/>
        <v>12.273999999999999</v>
      </c>
      <c r="I399" s="1" t="str">
        <f t="shared" si="20"/>
        <v>BJFB</v>
      </c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idden="1" x14ac:dyDescent="0.25">
      <c r="A400" s="1">
        <v>2458384.6162999999</v>
      </c>
      <c r="B400" s="1" t="s">
        <v>125</v>
      </c>
      <c r="C400" s="1">
        <v>12.284000000000001</v>
      </c>
      <c r="D400" s="1">
        <v>1.9E-2</v>
      </c>
      <c r="E400" s="1" t="s">
        <v>1</v>
      </c>
      <c r="F400" s="1" t="s">
        <v>273</v>
      </c>
      <c r="G400" s="1">
        <f t="shared" si="18"/>
        <v>8384.6162999998778</v>
      </c>
      <c r="H400" s="1">
        <f t="shared" si="19"/>
        <v>12.284000000000001</v>
      </c>
      <c r="I400" s="1" t="str">
        <f t="shared" si="20"/>
        <v>BJFB</v>
      </c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idden="1" x14ac:dyDescent="0.25">
      <c r="A401" s="1">
        <v>2458384.6167799998</v>
      </c>
      <c r="B401" s="1" t="s">
        <v>125</v>
      </c>
      <c r="C401" s="1">
        <v>12.215</v>
      </c>
      <c r="D401" s="1">
        <v>1.9E-2</v>
      </c>
      <c r="E401" s="1" t="s">
        <v>1</v>
      </c>
      <c r="F401" s="1" t="s">
        <v>273</v>
      </c>
      <c r="G401" s="1">
        <f t="shared" si="18"/>
        <v>8384.6167799998075</v>
      </c>
      <c r="H401" s="1">
        <f t="shared" si="19"/>
        <v>12.215</v>
      </c>
      <c r="I401" s="1" t="str">
        <f t="shared" si="20"/>
        <v>BJFB</v>
      </c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idden="1" x14ac:dyDescent="0.25">
      <c r="A402" s="1">
        <v>2458384.61772</v>
      </c>
      <c r="B402" s="1" t="s">
        <v>125</v>
      </c>
      <c r="C402" s="1">
        <v>12.276999999999999</v>
      </c>
      <c r="D402" s="1">
        <v>1.7999999999999999E-2</v>
      </c>
      <c r="E402" s="1" t="s">
        <v>1</v>
      </c>
      <c r="F402" s="1" t="s">
        <v>273</v>
      </c>
      <c r="G402" s="1">
        <f t="shared" si="18"/>
        <v>8384.6177199999802</v>
      </c>
      <c r="H402" s="1">
        <f t="shared" si="19"/>
        <v>12.276999999999999</v>
      </c>
      <c r="I402" s="1" t="str">
        <f t="shared" si="20"/>
        <v>BJFB</v>
      </c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idden="1" x14ac:dyDescent="0.25">
      <c r="A403" s="1">
        <v>2458385.4646600001</v>
      </c>
      <c r="B403" s="1" t="s">
        <v>125</v>
      </c>
      <c r="C403" s="1">
        <v>12.161</v>
      </c>
      <c r="D403" s="1">
        <v>3.2000000000000001E-2</v>
      </c>
      <c r="E403" s="1" t="s">
        <v>1</v>
      </c>
      <c r="F403" s="1" t="s">
        <v>285</v>
      </c>
      <c r="G403" s="1">
        <f t="shared" si="18"/>
        <v>8385.464660000056</v>
      </c>
      <c r="H403" s="1">
        <f t="shared" si="19"/>
        <v>12.161</v>
      </c>
      <c r="I403" s="1" t="str">
        <f t="shared" si="20"/>
        <v>VMT</v>
      </c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idden="1" x14ac:dyDescent="0.25">
      <c r="A404" s="1">
        <v>2458385.4652800001</v>
      </c>
      <c r="B404" s="1" t="s">
        <v>125</v>
      </c>
      <c r="C404" s="1">
        <v>12.129</v>
      </c>
      <c r="D404" s="1">
        <v>6.7000000000000004E-2</v>
      </c>
      <c r="E404" s="1" t="s">
        <v>1</v>
      </c>
      <c r="F404" s="1" t="s">
        <v>285</v>
      </c>
      <c r="G404" s="1">
        <f t="shared" si="18"/>
        <v>8385.4652800001204</v>
      </c>
      <c r="H404" s="1">
        <f t="shared" si="19"/>
        <v>12.129</v>
      </c>
      <c r="I404" s="1" t="str">
        <f t="shared" si="20"/>
        <v>VMT</v>
      </c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idden="1" x14ac:dyDescent="0.25">
      <c r="A405" s="1">
        <v>2458385.4947500001</v>
      </c>
      <c r="B405" s="1" t="s">
        <v>125</v>
      </c>
      <c r="C405" s="1">
        <v>12.211</v>
      </c>
      <c r="D405" s="1">
        <v>1.2E-2</v>
      </c>
      <c r="E405" s="1" t="s">
        <v>1</v>
      </c>
      <c r="F405" s="1" t="s">
        <v>94</v>
      </c>
      <c r="G405" s="1">
        <f t="shared" si="18"/>
        <v>8385.4947500000708</v>
      </c>
      <c r="H405" s="1">
        <f t="shared" si="19"/>
        <v>12.211</v>
      </c>
      <c r="I405" s="1" t="str">
        <f t="shared" si="20"/>
        <v>HMB</v>
      </c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idden="1" x14ac:dyDescent="0.25">
      <c r="A406" s="1">
        <v>2458385.4951399998</v>
      </c>
      <c r="B406" s="1" t="s">
        <v>125</v>
      </c>
      <c r="C406" s="1">
        <v>12.209</v>
      </c>
      <c r="D406" s="1">
        <v>1.2E-2</v>
      </c>
      <c r="E406" s="1" t="s">
        <v>1</v>
      </c>
      <c r="F406" s="1" t="s">
        <v>94</v>
      </c>
      <c r="G406" s="1">
        <f t="shared" si="18"/>
        <v>8385.4951399997808</v>
      </c>
      <c r="H406" s="1">
        <f t="shared" si="19"/>
        <v>12.209</v>
      </c>
      <c r="I406" s="1" t="str">
        <f t="shared" si="20"/>
        <v>HMB</v>
      </c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5">
      <c r="A407" s="1">
        <v>2458386.2867800002</v>
      </c>
      <c r="B407" s="1" t="s">
        <v>126</v>
      </c>
      <c r="C407" s="1">
        <v>12.173</v>
      </c>
      <c r="D407" s="1">
        <v>1.0999999999999999E-2</v>
      </c>
      <c r="E407" s="1" t="s">
        <v>1</v>
      </c>
      <c r="F407" s="1" t="s">
        <v>101</v>
      </c>
      <c r="G407" s="1">
        <f t="shared" si="18"/>
        <v>8386.2867800001986</v>
      </c>
      <c r="H407" s="1">
        <f t="shared" si="19"/>
        <v>12.173</v>
      </c>
      <c r="I407" s="1" t="str">
        <f t="shared" si="20"/>
        <v>DUBF</v>
      </c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5">
      <c r="A408" s="1">
        <v>2458386.2870900002</v>
      </c>
      <c r="B408" s="1" t="s">
        <v>126</v>
      </c>
      <c r="C408" s="1">
        <v>12.178000000000001</v>
      </c>
      <c r="D408" s="1">
        <v>1.2E-2</v>
      </c>
      <c r="E408" s="1" t="s">
        <v>1</v>
      </c>
      <c r="F408" s="1" t="s">
        <v>101</v>
      </c>
      <c r="G408" s="1">
        <f t="shared" si="18"/>
        <v>8386.2870900002308</v>
      </c>
      <c r="H408" s="1">
        <f t="shared" si="19"/>
        <v>12.178000000000001</v>
      </c>
      <c r="I408" s="1" t="str">
        <f t="shared" si="20"/>
        <v>DUBF</v>
      </c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idden="1" x14ac:dyDescent="0.25">
      <c r="A409" s="1">
        <v>2458386.4543900001</v>
      </c>
      <c r="B409" s="1" t="s">
        <v>126</v>
      </c>
      <c r="C409" s="1">
        <v>12.239000000000001</v>
      </c>
      <c r="D409" s="1">
        <v>6.6000000000000003E-2</v>
      </c>
      <c r="E409" s="1" t="s">
        <v>1</v>
      </c>
      <c r="F409" s="1" t="s">
        <v>285</v>
      </c>
      <c r="G409" s="1">
        <f t="shared" si="18"/>
        <v>8386.4543900000863</v>
      </c>
      <c r="H409" s="1">
        <f t="shared" si="19"/>
        <v>12.239000000000001</v>
      </c>
      <c r="I409" s="1" t="str">
        <f t="shared" si="20"/>
        <v>VMT</v>
      </c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idden="1" x14ac:dyDescent="0.25">
      <c r="A410" s="1">
        <v>2458386.4550800002</v>
      </c>
      <c r="B410" s="1" t="s">
        <v>126</v>
      </c>
      <c r="C410" s="1">
        <v>12.103999999999999</v>
      </c>
      <c r="D410" s="1">
        <v>6.4000000000000001E-2</v>
      </c>
      <c r="E410" s="1" t="s">
        <v>1</v>
      </c>
      <c r="F410" s="1" t="s">
        <v>285</v>
      </c>
      <c r="G410" s="1">
        <f t="shared" si="18"/>
        <v>8386.455080000218</v>
      </c>
      <c r="H410" s="1">
        <f t="shared" si="19"/>
        <v>12.103999999999999</v>
      </c>
      <c r="I410" s="1" t="str">
        <f t="shared" si="20"/>
        <v>VMT</v>
      </c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idden="1" x14ac:dyDescent="0.25">
      <c r="A411" s="1">
        <v>2458386.5136099998</v>
      </c>
      <c r="B411" s="1" t="s">
        <v>127</v>
      </c>
      <c r="C411" s="1">
        <v>12.259</v>
      </c>
      <c r="D411" s="1">
        <v>1.2E-2</v>
      </c>
      <c r="E411" s="1" t="s">
        <v>1</v>
      </c>
      <c r="F411" s="1" t="s">
        <v>94</v>
      </c>
      <c r="G411" s="1">
        <f t="shared" si="18"/>
        <v>8386.5136099997908</v>
      </c>
      <c r="H411" s="1">
        <f t="shared" si="19"/>
        <v>12.259</v>
      </c>
      <c r="I411" s="1" t="str">
        <f t="shared" si="20"/>
        <v>HMB</v>
      </c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idden="1" x14ac:dyDescent="0.25">
      <c r="A412" s="1">
        <v>2458386.514</v>
      </c>
      <c r="B412" s="1" t="s">
        <v>127</v>
      </c>
      <c r="C412" s="1">
        <v>12.228</v>
      </c>
      <c r="D412" s="1">
        <v>1.2999999999999999E-2</v>
      </c>
      <c r="E412" s="1" t="s">
        <v>1</v>
      </c>
      <c r="F412" s="1" t="s">
        <v>94</v>
      </c>
      <c r="G412" s="1">
        <f t="shared" si="18"/>
        <v>8386.5139999999665</v>
      </c>
      <c r="H412" s="1">
        <f t="shared" si="19"/>
        <v>12.228</v>
      </c>
      <c r="I412" s="1" t="str">
        <f t="shared" si="20"/>
        <v>HMB</v>
      </c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idden="1" x14ac:dyDescent="0.25">
      <c r="A413" s="1">
        <v>2458387.4545900002</v>
      </c>
      <c r="B413" s="1" t="s">
        <v>127</v>
      </c>
      <c r="C413" s="1">
        <v>12.113</v>
      </c>
      <c r="D413" s="1">
        <v>6.9000000000000006E-2</v>
      </c>
      <c r="E413" s="1" t="s">
        <v>1</v>
      </c>
      <c r="F413" s="1" t="s">
        <v>285</v>
      </c>
      <c r="G413" s="1">
        <f t="shared" si="18"/>
        <v>8387.4545900002122</v>
      </c>
      <c r="H413" s="1">
        <f t="shared" si="19"/>
        <v>12.113</v>
      </c>
      <c r="I413" s="1" t="str">
        <f t="shared" si="20"/>
        <v>VMT</v>
      </c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idden="1" x14ac:dyDescent="0.25">
      <c r="A414" s="1">
        <v>2458387.4552699998</v>
      </c>
      <c r="B414" s="1" t="s">
        <v>127</v>
      </c>
      <c r="C414" s="1">
        <v>12.381</v>
      </c>
      <c r="D414" s="1">
        <v>0.183</v>
      </c>
      <c r="E414" s="1" t="s">
        <v>1</v>
      </c>
      <c r="F414" s="1" t="s">
        <v>285</v>
      </c>
      <c r="G414" s="1">
        <f t="shared" si="18"/>
        <v>8387.4552699998021</v>
      </c>
      <c r="H414" s="1">
        <f t="shared" si="19"/>
        <v>12.381</v>
      </c>
      <c r="I414" s="1" t="str">
        <f t="shared" si="20"/>
        <v>VMT</v>
      </c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idden="1" x14ac:dyDescent="0.25">
      <c r="A415" s="1">
        <v>2458387.5050300001</v>
      </c>
      <c r="B415" s="1" t="s">
        <v>128</v>
      </c>
      <c r="C415" s="1">
        <v>12.271000000000001</v>
      </c>
      <c r="D415" s="1">
        <v>1.0999999999999999E-2</v>
      </c>
      <c r="E415" s="1" t="s">
        <v>1</v>
      </c>
      <c r="F415" s="1" t="s">
        <v>94</v>
      </c>
      <c r="G415" s="1">
        <f t="shared" si="18"/>
        <v>8387.5050300001167</v>
      </c>
      <c r="H415" s="1">
        <f t="shared" si="19"/>
        <v>12.271000000000001</v>
      </c>
      <c r="I415" s="1" t="str">
        <f t="shared" si="20"/>
        <v>HMB</v>
      </c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idden="1" x14ac:dyDescent="0.25">
      <c r="A416" s="1">
        <v>2458387.5054299999</v>
      </c>
      <c r="B416" s="1" t="s">
        <v>128</v>
      </c>
      <c r="C416" s="1">
        <v>12.28</v>
      </c>
      <c r="D416" s="1">
        <v>1.0999999999999999E-2</v>
      </c>
      <c r="E416" s="1" t="s">
        <v>1</v>
      </c>
      <c r="F416" s="1" t="s">
        <v>94</v>
      </c>
      <c r="G416" s="1">
        <f t="shared" si="18"/>
        <v>8387.5054299999028</v>
      </c>
      <c r="H416" s="1">
        <f t="shared" si="19"/>
        <v>12.28</v>
      </c>
      <c r="I416" s="1" t="str">
        <f t="shared" si="20"/>
        <v>HMB</v>
      </c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5">
      <c r="A417" s="1">
        <v>2458388.2860500002</v>
      </c>
      <c r="B417" s="1" t="s">
        <v>128</v>
      </c>
      <c r="C417" s="1">
        <v>12.198</v>
      </c>
      <c r="D417" s="1">
        <v>0.01</v>
      </c>
      <c r="E417" s="1" t="s">
        <v>1</v>
      </c>
      <c r="F417" s="1" t="s">
        <v>101</v>
      </c>
      <c r="G417" s="1">
        <f t="shared" si="18"/>
        <v>8388.286050000228</v>
      </c>
      <c r="H417" s="1">
        <f t="shared" si="19"/>
        <v>12.198</v>
      </c>
      <c r="I417" s="1" t="str">
        <f t="shared" si="20"/>
        <v>DUBF</v>
      </c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5">
      <c r="A418" s="1">
        <v>2458388.2863699999</v>
      </c>
      <c r="B418" s="1" t="s">
        <v>128</v>
      </c>
      <c r="C418" s="1">
        <v>12.214</v>
      </c>
      <c r="D418" s="1">
        <v>8.9999999999999993E-3</v>
      </c>
      <c r="E418" s="1" t="s">
        <v>1</v>
      </c>
      <c r="F418" s="1" t="s">
        <v>101</v>
      </c>
      <c r="G418" s="1">
        <f t="shared" si="18"/>
        <v>8388.2863699998707</v>
      </c>
      <c r="H418" s="1">
        <f t="shared" si="19"/>
        <v>12.214</v>
      </c>
      <c r="I418" s="1" t="str">
        <f t="shared" si="20"/>
        <v>DUBF</v>
      </c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5">
      <c r="A419" s="1">
        <v>2458388.3407399999</v>
      </c>
      <c r="B419" s="1" t="s">
        <v>128</v>
      </c>
      <c r="C419" s="1">
        <v>12.315</v>
      </c>
      <c r="D419" s="1">
        <v>8.9999999999999993E-3</v>
      </c>
      <c r="E419" s="1" t="s">
        <v>1</v>
      </c>
      <c r="F419" s="1" t="s">
        <v>2</v>
      </c>
      <c r="G419" s="1">
        <f t="shared" si="18"/>
        <v>8388.3407399998978</v>
      </c>
      <c r="H419" s="1">
        <f t="shared" si="19"/>
        <v>12.315</v>
      </c>
      <c r="I419" s="1" t="str">
        <f t="shared" si="20"/>
        <v>BDG</v>
      </c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idden="1" x14ac:dyDescent="0.25">
      <c r="A420" s="1">
        <v>2458388.5131600001</v>
      </c>
      <c r="B420" s="1" t="s">
        <v>129</v>
      </c>
      <c r="C420" s="1">
        <v>12.282</v>
      </c>
      <c r="D420" s="1">
        <v>0.01</v>
      </c>
      <c r="E420" s="1" t="s">
        <v>1</v>
      </c>
      <c r="F420" s="1" t="s">
        <v>94</v>
      </c>
      <c r="G420" s="1">
        <f t="shared" si="18"/>
        <v>8388.5131600000896</v>
      </c>
      <c r="H420" s="1">
        <f t="shared" si="19"/>
        <v>12.282</v>
      </c>
      <c r="I420" s="1" t="str">
        <f t="shared" si="20"/>
        <v>HMB</v>
      </c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idden="1" x14ac:dyDescent="0.25">
      <c r="A421" s="1">
        <v>2458388.5135400002</v>
      </c>
      <c r="B421" s="1" t="s">
        <v>129</v>
      </c>
      <c r="C421" s="1">
        <v>12.26</v>
      </c>
      <c r="D421" s="1">
        <v>0.01</v>
      </c>
      <c r="E421" s="1" t="s">
        <v>1</v>
      </c>
      <c r="F421" s="1" t="s">
        <v>94</v>
      </c>
      <c r="G421" s="1">
        <f t="shared" si="18"/>
        <v>8388.5135400001891</v>
      </c>
      <c r="H421" s="1">
        <f t="shared" si="19"/>
        <v>12.26</v>
      </c>
      <c r="I421" s="1" t="str">
        <f t="shared" si="20"/>
        <v>HMB</v>
      </c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5">
      <c r="A422" s="1">
        <v>2458389.28731</v>
      </c>
      <c r="B422" s="1" t="s">
        <v>129</v>
      </c>
      <c r="C422" s="1">
        <v>12.228</v>
      </c>
      <c r="D422" s="1">
        <v>1.0999999999999999E-2</v>
      </c>
      <c r="E422" s="1" t="s">
        <v>1</v>
      </c>
      <c r="F422" s="1" t="s">
        <v>101</v>
      </c>
      <c r="G422" s="1">
        <f t="shared" si="18"/>
        <v>8389.2873100000434</v>
      </c>
      <c r="H422" s="1">
        <f t="shared" si="19"/>
        <v>12.228</v>
      </c>
      <c r="I422" s="1" t="str">
        <f t="shared" si="20"/>
        <v>DUBF</v>
      </c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5">
      <c r="A423" s="1">
        <v>2458389.2876300002</v>
      </c>
      <c r="B423" s="1" t="s">
        <v>129</v>
      </c>
      <c r="C423" s="1">
        <v>12.224</v>
      </c>
      <c r="D423" s="1">
        <v>1.0999999999999999E-2</v>
      </c>
      <c r="E423" s="1" t="s">
        <v>1</v>
      </c>
      <c r="F423" s="1" t="s">
        <v>101</v>
      </c>
      <c r="G423" s="1">
        <f t="shared" si="18"/>
        <v>8389.2876300001517</v>
      </c>
      <c r="H423" s="1">
        <f t="shared" si="19"/>
        <v>12.224</v>
      </c>
      <c r="I423" s="1" t="str">
        <f t="shared" si="20"/>
        <v>DUBF</v>
      </c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idden="1" x14ac:dyDescent="0.25">
      <c r="A424" s="1">
        <v>2458389.4539100002</v>
      </c>
      <c r="B424" s="1" t="s">
        <v>129</v>
      </c>
      <c r="C424" s="1">
        <v>12.208</v>
      </c>
      <c r="D424" s="1">
        <v>5.0999999999999997E-2</v>
      </c>
      <c r="E424" s="1" t="s">
        <v>1</v>
      </c>
      <c r="F424" s="1" t="s">
        <v>285</v>
      </c>
      <c r="G424" s="1">
        <f t="shared" si="18"/>
        <v>8389.4539100001566</v>
      </c>
      <c r="H424" s="1">
        <f t="shared" si="19"/>
        <v>12.208</v>
      </c>
      <c r="I424" s="1" t="str">
        <f t="shared" si="20"/>
        <v>VMT</v>
      </c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idden="1" x14ac:dyDescent="0.25">
      <c r="A425" s="1">
        <v>2458389.4544600002</v>
      </c>
      <c r="B425" s="1" t="s">
        <v>129</v>
      </c>
      <c r="C425" s="1">
        <v>12.162000000000001</v>
      </c>
      <c r="D425" s="1">
        <v>5.0999999999999997E-2</v>
      </c>
      <c r="E425" s="1" t="s">
        <v>1</v>
      </c>
      <c r="F425" s="1" t="s">
        <v>285</v>
      </c>
      <c r="G425" s="1">
        <f t="shared" si="18"/>
        <v>8389.4544600001536</v>
      </c>
      <c r="H425" s="1">
        <f t="shared" si="19"/>
        <v>12.162000000000001</v>
      </c>
      <c r="I425" s="1" t="str">
        <f t="shared" si="20"/>
        <v>VMT</v>
      </c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idden="1" x14ac:dyDescent="0.25">
      <c r="A426" s="1">
        <v>2458389.5137200002</v>
      </c>
      <c r="B426" s="1" t="s">
        <v>130</v>
      </c>
      <c r="C426" s="1">
        <v>12.263999999999999</v>
      </c>
      <c r="D426" s="1">
        <v>0.01</v>
      </c>
      <c r="E426" s="1" t="s">
        <v>1</v>
      </c>
      <c r="F426" s="1" t="s">
        <v>94</v>
      </c>
      <c r="G426" s="1">
        <f t="shared" si="18"/>
        <v>8389.5137200001627</v>
      </c>
      <c r="H426" s="1">
        <f t="shared" si="19"/>
        <v>12.263999999999999</v>
      </c>
      <c r="I426" s="1" t="str">
        <f t="shared" si="20"/>
        <v>HMB</v>
      </c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idden="1" x14ac:dyDescent="0.25">
      <c r="A427" s="1">
        <v>2458389.5140999998</v>
      </c>
      <c r="B427" s="1" t="s">
        <v>130</v>
      </c>
      <c r="C427" s="1">
        <v>12.26</v>
      </c>
      <c r="D427" s="1">
        <v>0.01</v>
      </c>
      <c r="E427" s="1" t="s">
        <v>1</v>
      </c>
      <c r="F427" s="1" t="s">
        <v>94</v>
      </c>
      <c r="G427" s="1">
        <f t="shared" si="18"/>
        <v>8389.5140999997966</v>
      </c>
      <c r="H427" s="1">
        <f t="shared" si="19"/>
        <v>12.26</v>
      </c>
      <c r="I427" s="1" t="str">
        <f t="shared" si="20"/>
        <v>HMB</v>
      </c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5">
      <c r="A428" s="1">
        <v>2458389.6844799998</v>
      </c>
      <c r="B428" s="1" t="s">
        <v>130</v>
      </c>
      <c r="C428" s="1">
        <v>12.162000000000001</v>
      </c>
      <c r="D428" s="1">
        <v>3.7999999999999999E-2</v>
      </c>
      <c r="E428" s="1" t="s">
        <v>1</v>
      </c>
      <c r="F428" s="1" t="s">
        <v>131</v>
      </c>
      <c r="G428" s="1">
        <f t="shared" si="18"/>
        <v>8389.6844799998216</v>
      </c>
      <c r="H428" s="1">
        <f t="shared" si="19"/>
        <v>12.162000000000001</v>
      </c>
      <c r="I428" s="1" t="str">
        <f t="shared" si="20"/>
        <v>HMH</v>
      </c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5">
      <c r="A429" s="1">
        <v>2458390.3028099998</v>
      </c>
      <c r="B429" s="1" t="s">
        <v>130</v>
      </c>
      <c r="C429" s="1">
        <v>12.255000000000001</v>
      </c>
      <c r="D429" s="1">
        <v>8.0000000000000002E-3</v>
      </c>
      <c r="E429" s="1" t="s">
        <v>1</v>
      </c>
      <c r="F429" s="1" t="s">
        <v>101</v>
      </c>
      <c r="G429" s="1">
        <f t="shared" si="18"/>
        <v>8390.30280999979</v>
      </c>
      <c r="H429" s="1">
        <f t="shared" si="19"/>
        <v>12.255000000000001</v>
      </c>
      <c r="I429" s="1" t="str">
        <f t="shared" si="20"/>
        <v>DUBF</v>
      </c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idden="1" x14ac:dyDescent="0.25">
      <c r="A430" s="1">
        <v>2458390.4548599999</v>
      </c>
      <c r="B430" s="1" t="s">
        <v>130</v>
      </c>
      <c r="C430" s="1">
        <v>12.214</v>
      </c>
      <c r="D430" s="1">
        <v>2.3E-2</v>
      </c>
      <c r="E430" s="1" t="s">
        <v>1</v>
      </c>
      <c r="F430" s="1" t="s">
        <v>285</v>
      </c>
      <c r="G430" s="1">
        <f t="shared" si="18"/>
        <v>8390.4548599999398</v>
      </c>
      <c r="H430" s="1">
        <f t="shared" si="19"/>
        <v>12.214</v>
      </c>
      <c r="I430" s="1" t="str">
        <f t="shared" si="20"/>
        <v>VMT</v>
      </c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idden="1" x14ac:dyDescent="0.25">
      <c r="A431" s="1">
        <v>2458390.51822</v>
      </c>
      <c r="B431" s="1" t="s">
        <v>132</v>
      </c>
      <c r="C431" s="1">
        <v>12.279</v>
      </c>
      <c r="D431" s="1">
        <v>0.01</v>
      </c>
      <c r="E431" s="1" t="s">
        <v>1</v>
      </c>
      <c r="F431" s="1" t="s">
        <v>94</v>
      </c>
      <c r="G431" s="1">
        <f t="shared" si="18"/>
        <v>8390.518219999969</v>
      </c>
      <c r="H431" s="1">
        <f t="shared" si="19"/>
        <v>12.279</v>
      </c>
      <c r="I431" s="1" t="str">
        <f t="shared" si="20"/>
        <v>HMB</v>
      </c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idden="1" x14ac:dyDescent="0.25">
      <c r="A432" s="1">
        <v>2458390.5186100001</v>
      </c>
      <c r="B432" s="1" t="s">
        <v>132</v>
      </c>
      <c r="C432" s="1">
        <v>12.29</v>
      </c>
      <c r="D432" s="1">
        <v>0.01</v>
      </c>
      <c r="E432" s="1" t="s">
        <v>1</v>
      </c>
      <c r="F432" s="1" t="s">
        <v>94</v>
      </c>
      <c r="G432" s="1">
        <f t="shared" si="18"/>
        <v>8390.5186100001447</v>
      </c>
      <c r="H432" s="1">
        <f t="shared" si="19"/>
        <v>12.29</v>
      </c>
      <c r="I432" s="1" t="str">
        <f t="shared" si="20"/>
        <v>HMB</v>
      </c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idden="1" x14ac:dyDescent="0.25">
      <c r="A433" s="1">
        <v>2458390.5503799999</v>
      </c>
      <c r="B433" s="1" t="s">
        <v>132</v>
      </c>
      <c r="C433" s="1">
        <v>12.298</v>
      </c>
      <c r="D433" s="1">
        <v>1.4999999999999999E-2</v>
      </c>
      <c r="E433" s="1" t="s">
        <v>1</v>
      </c>
      <c r="F433" s="1" t="s">
        <v>273</v>
      </c>
      <c r="G433" s="1">
        <f t="shared" si="18"/>
        <v>8390.5503799999133</v>
      </c>
      <c r="H433" s="1">
        <f t="shared" si="19"/>
        <v>12.298</v>
      </c>
      <c r="I433" s="1" t="str">
        <f t="shared" si="20"/>
        <v>BJFB</v>
      </c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idden="1" x14ac:dyDescent="0.25">
      <c r="A434" s="1">
        <v>2458390.5511599998</v>
      </c>
      <c r="B434" s="1" t="s">
        <v>132</v>
      </c>
      <c r="C434" s="1">
        <v>12.262</v>
      </c>
      <c r="D434" s="1">
        <v>1.4999999999999999E-2</v>
      </c>
      <c r="E434" s="1" t="s">
        <v>1</v>
      </c>
      <c r="F434" s="1" t="s">
        <v>273</v>
      </c>
      <c r="G434" s="1">
        <f t="shared" si="18"/>
        <v>8390.551159999799</v>
      </c>
      <c r="H434" s="1">
        <f t="shared" si="19"/>
        <v>12.262</v>
      </c>
      <c r="I434" s="1" t="str">
        <f t="shared" si="20"/>
        <v>BJFB</v>
      </c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idden="1" x14ac:dyDescent="0.25">
      <c r="A435" s="1">
        <v>2458390.5519500002</v>
      </c>
      <c r="B435" s="1" t="s">
        <v>132</v>
      </c>
      <c r="C435" s="1">
        <v>12.294</v>
      </c>
      <c r="D435" s="1">
        <v>1.4999999999999999E-2</v>
      </c>
      <c r="E435" s="1" t="s">
        <v>1</v>
      </c>
      <c r="F435" s="1" t="s">
        <v>273</v>
      </c>
      <c r="G435" s="1">
        <f t="shared" si="18"/>
        <v>8390.5519500002265</v>
      </c>
      <c r="H435" s="1">
        <f t="shared" si="19"/>
        <v>12.294</v>
      </c>
      <c r="I435" s="1" t="str">
        <f t="shared" si="20"/>
        <v>BJFB</v>
      </c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idden="1" x14ac:dyDescent="0.25">
      <c r="A436" s="1">
        <v>2458390.5534399999</v>
      </c>
      <c r="B436" s="1" t="s">
        <v>132</v>
      </c>
      <c r="C436" s="1">
        <v>12.343999999999999</v>
      </c>
      <c r="D436" s="1">
        <v>2.1999999999999999E-2</v>
      </c>
      <c r="E436" s="1" t="s">
        <v>1</v>
      </c>
      <c r="F436" s="1" t="s">
        <v>273</v>
      </c>
      <c r="G436" s="1">
        <f t="shared" si="18"/>
        <v>8390.5534399999306</v>
      </c>
      <c r="H436" s="1">
        <f t="shared" si="19"/>
        <v>12.343999999999999</v>
      </c>
      <c r="I436" s="1" t="str">
        <f t="shared" si="20"/>
        <v>BJFB</v>
      </c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idden="1" x14ac:dyDescent="0.25">
      <c r="A437" s="1">
        <v>2458391.46948</v>
      </c>
      <c r="B437" s="1" t="s">
        <v>132</v>
      </c>
      <c r="C437" s="1">
        <v>12.193</v>
      </c>
      <c r="D437" s="1">
        <v>2.5000000000000001E-2</v>
      </c>
      <c r="E437" s="1" t="s">
        <v>1</v>
      </c>
      <c r="F437" s="1" t="s">
        <v>285</v>
      </c>
      <c r="G437" s="1">
        <f t="shared" si="18"/>
        <v>8391.4694799999706</v>
      </c>
      <c r="H437" s="1">
        <f t="shared" si="19"/>
        <v>12.193</v>
      </c>
      <c r="I437" s="1" t="str">
        <f t="shared" si="20"/>
        <v>VMT</v>
      </c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idden="1" x14ac:dyDescent="0.25">
      <c r="A438" s="1">
        <v>2458391.47009</v>
      </c>
      <c r="B438" s="1" t="s">
        <v>132</v>
      </c>
      <c r="C438" s="1">
        <v>12.247</v>
      </c>
      <c r="D438" s="1">
        <v>2.5999999999999999E-2</v>
      </c>
      <c r="E438" s="1" t="s">
        <v>1</v>
      </c>
      <c r="F438" s="1" t="s">
        <v>285</v>
      </c>
      <c r="G438" s="1">
        <f t="shared" si="18"/>
        <v>8391.4700899999589</v>
      </c>
      <c r="H438" s="1">
        <f t="shared" si="19"/>
        <v>12.247</v>
      </c>
      <c r="I438" s="1" t="str">
        <f t="shared" si="20"/>
        <v>VMT</v>
      </c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idden="1" x14ac:dyDescent="0.25">
      <c r="A439" s="1">
        <v>2458392.4326599999</v>
      </c>
      <c r="B439" s="1" t="s">
        <v>305</v>
      </c>
      <c r="C439" s="1">
        <v>12.122999999999999</v>
      </c>
      <c r="D439" s="1">
        <v>5.5E-2</v>
      </c>
      <c r="E439" s="1" t="s">
        <v>1</v>
      </c>
      <c r="F439" s="1" t="s">
        <v>285</v>
      </c>
      <c r="G439" s="1">
        <f t="shared" si="18"/>
        <v>8392.4326599999331</v>
      </c>
      <c r="H439" s="1">
        <f t="shared" si="19"/>
        <v>12.122999999999999</v>
      </c>
      <c r="I439" s="1" t="str">
        <f t="shared" si="20"/>
        <v>VMT</v>
      </c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idden="1" x14ac:dyDescent="0.25">
      <c r="A440" s="1">
        <v>2458392.43322</v>
      </c>
      <c r="B440" s="1" t="s">
        <v>305</v>
      </c>
      <c r="C440" s="1">
        <v>12.202999999999999</v>
      </c>
      <c r="D440" s="1">
        <v>7.0999999999999994E-2</v>
      </c>
      <c r="E440" s="1" t="s">
        <v>1</v>
      </c>
      <c r="F440" s="1" t="s">
        <v>285</v>
      </c>
      <c r="G440" s="1">
        <f t="shared" si="18"/>
        <v>8392.4332200000063</v>
      </c>
      <c r="H440" s="1">
        <f t="shared" si="19"/>
        <v>12.202999999999999</v>
      </c>
      <c r="I440" s="1" t="str">
        <f t="shared" si="20"/>
        <v>VMT</v>
      </c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idden="1" x14ac:dyDescent="0.25">
      <c r="A441" s="1">
        <v>2458392.50789</v>
      </c>
      <c r="B441" s="1" t="s">
        <v>133</v>
      </c>
      <c r="C441" s="1">
        <v>12.3</v>
      </c>
      <c r="D441" s="1">
        <v>0.01</v>
      </c>
      <c r="E441" s="1" t="s">
        <v>1</v>
      </c>
      <c r="F441" s="1" t="s">
        <v>94</v>
      </c>
      <c r="G441" s="1">
        <f t="shared" si="18"/>
        <v>8392.507890000008</v>
      </c>
      <c r="H441" s="1">
        <f t="shared" si="19"/>
        <v>12.3</v>
      </c>
      <c r="I441" s="1" t="str">
        <f t="shared" si="20"/>
        <v>HMB</v>
      </c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idden="1" x14ac:dyDescent="0.25">
      <c r="A442" s="1">
        <v>2458392.5082800002</v>
      </c>
      <c r="B442" s="1" t="s">
        <v>133</v>
      </c>
      <c r="C442" s="1">
        <v>12.327</v>
      </c>
      <c r="D442" s="1">
        <v>0.01</v>
      </c>
      <c r="E442" s="1" t="s">
        <v>1</v>
      </c>
      <c r="F442" s="1" t="s">
        <v>94</v>
      </c>
      <c r="G442" s="1">
        <f t="shared" si="18"/>
        <v>8392.5082800001837</v>
      </c>
      <c r="H442" s="1">
        <f t="shared" si="19"/>
        <v>12.327</v>
      </c>
      <c r="I442" s="1" t="str">
        <f t="shared" si="20"/>
        <v>HMB</v>
      </c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idden="1" x14ac:dyDescent="0.25">
      <c r="A443" s="1">
        <v>2458393.3143500001</v>
      </c>
      <c r="B443" s="1" t="s">
        <v>133</v>
      </c>
      <c r="C443" s="1">
        <v>12.263</v>
      </c>
      <c r="D443" s="1">
        <v>2.1000000000000001E-2</v>
      </c>
      <c r="E443" s="1" t="s">
        <v>1</v>
      </c>
      <c r="F443" s="1" t="s">
        <v>285</v>
      </c>
      <c r="G443" s="1">
        <f t="shared" si="18"/>
        <v>8393.314350000117</v>
      </c>
      <c r="H443" s="1">
        <f t="shared" si="19"/>
        <v>12.263</v>
      </c>
      <c r="I443" s="1" t="str">
        <f t="shared" si="20"/>
        <v>VMT</v>
      </c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idden="1" x14ac:dyDescent="0.25">
      <c r="A444" s="1">
        <v>2458393.3149100002</v>
      </c>
      <c r="B444" s="1" t="s">
        <v>133</v>
      </c>
      <c r="C444" s="1">
        <v>12.231</v>
      </c>
      <c r="D444" s="1">
        <v>2.1000000000000001E-2</v>
      </c>
      <c r="E444" s="1" t="s">
        <v>1</v>
      </c>
      <c r="F444" s="1" t="s">
        <v>285</v>
      </c>
      <c r="G444" s="1">
        <f t="shared" si="18"/>
        <v>8393.3149100001901</v>
      </c>
      <c r="H444" s="1">
        <f t="shared" si="19"/>
        <v>12.231</v>
      </c>
      <c r="I444" s="1" t="str">
        <f t="shared" si="20"/>
        <v>VMT</v>
      </c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idden="1" x14ac:dyDescent="0.25">
      <c r="A445" s="1">
        <v>2458393.5115299998</v>
      </c>
      <c r="B445" s="1" t="s">
        <v>134</v>
      </c>
      <c r="C445" s="1">
        <v>12.33</v>
      </c>
      <c r="D445" s="1">
        <v>0.01</v>
      </c>
      <c r="E445" s="1" t="s">
        <v>1</v>
      </c>
      <c r="F445" s="1" t="s">
        <v>94</v>
      </c>
      <c r="G445" s="1">
        <f t="shared" si="18"/>
        <v>8393.5115299997851</v>
      </c>
      <c r="H445" s="1">
        <f t="shared" si="19"/>
        <v>12.33</v>
      </c>
      <c r="I445" s="1" t="str">
        <f t="shared" si="20"/>
        <v>HMB</v>
      </c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idden="1" x14ac:dyDescent="0.25">
      <c r="A446" s="1">
        <v>2458393.5119099999</v>
      </c>
      <c r="B446" s="1" t="s">
        <v>134</v>
      </c>
      <c r="C446" s="1">
        <v>12.327</v>
      </c>
      <c r="D446" s="1">
        <v>0.01</v>
      </c>
      <c r="E446" s="1" t="s">
        <v>1</v>
      </c>
      <c r="F446" s="1" t="s">
        <v>94</v>
      </c>
      <c r="G446" s="1">
        <f t="shared" si="18"/>
        <v>8393.5119099998847</v>
      </c>
      <c r="H446" s="1">
        <f t="shared" si="19"/>
        <v>12.327</v>
      </c>
      <c r="I446" s="1" t="str">
        <f t="shared" si="20"/>
        <v>HMB</v>
      </c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idden="1" x14ac:dyDescent="0.25">
      <c r="A447" s="1">
        <v>2458394.51609</v>
      </c>
      <c r="B447" s="1" t="s">
        <v>135</v>
      </c>
      <c r="C447" s="1">
        <v>12.321999999999999</v>
      </c>
      <c r="D447" s="1">
        <v>0.01</v>
      </c>
      <c r="E447" s="1" t="s">
        <v>1</v>
      </c>
      <c r="F447" s="1" t="s">
        <v>94</v>
      </c>
      <c r="G447" s="1">
        <f t="shared" si="18"/>
        <v>8394.5160900000483</v>
      </c>
      <c r="H447" s="1">
        <f t="shared" si="19"/>
        <v>12.321999999999999</v>
      </c>
      <c r="I447" s="1" t="str">
        <f t="shared" si="20"/>
        <v>HMB</v>
      </c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idden="1" x14ac:dyDescent="0.25">
      <c r="A448" s="1">
        <v>2458394.5164700001</v>
      </c>
      <c r="B448" s="1" t="s">
        <v>135</v>
      </c>
      <c r="C448" s="1">
        <v>12.356</v>
      </c>
      <c r="D448" s="1">
        <v>0.01</v>
      </c>
      <c r="E448" s="1" t="s">
        <v>1</v>
      </c>
      <c r="F448" s="1" t="s">
        <v>94</v>
      </c>
      <c r="G448" s="1">
        <f t="shared" si="18"/>
        <v>8394.5164700001478</v>
      </c>
      <c r="H448" s="1">
        <f t="shared" si="19"/>
        <v>12.356</v>
      </c>
      <c r="I448" s="1" t="str">
        <f t="shared" si="20"/>
        <v>HMB</v>
      </c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idden="1" x14ac:dyDescent="0.25">
      <c r="A449" s="1">
        <v>2458395.5088200001</v>
      </c>
      <c r="B449" s="1" t="s">
        <v>136</v>
      </c>
      <c r="C449" s="1">
        <v>12.347</v>
      </c>
      <c r="D449" s="1">
        <v>1.0999999999999999E-2</v>
      </c>
      <c r="E449" s="1" t="s">
        <v>1</v>
      </c>
      <c r="F449" s="1" t="s">
        <v>94</v>
      </c>
      <c r="G449" s="1">
        <f t="shared" si="18"/>
        <v>8395.5088200001046</v>
      </c>
      <c r="H449" s="1">
        <f t="shared" si="19"/>
        <v>12.347</v>
      </c>
      <c r="I449" s="1" t="str">
        <f t="shared" si="20"/>
        <v>HMB</v>
      </c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idden="1" x14ac:dyDescent="0.25">
      <c r="A450" s="1">
        <v>2458395.5092000002</v>
      </c>
      <c r="B450" s="1" t="s">
        <v>136</v>
      </c>
      <c r="C450" s="1">
        <v>12.342000000000001</v>
      </c>
      <c r="D450" s="1">
        <v>0.01</v>
      </c>
      <c r="E450" s="1" t="s">
        <v>1</v>
      </c>
      <c r="F450" s="1" t="s">
        <v>94</v>
      </c>
      <c r="G450" s="1">
        <f t="shared" si="18"/>
        <v>8395.5092000002041</v>
      </c>
      <c r="H450" s="1">
        <f t="shared" si="19"/>
        <v>12.342000000000001</v>
      </c>
      <c r="I450" s="1" t="str">
        <f t="shared" si="20"/>
        <v>HMB</v>
      </c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5">
      <c r="A451" s="1">
        <v>2458395.62806</v>
      </c>
      <c r="B451" s="1" t="s">
        <v>136</v>
      </c>
      <c r="C451" s="1">
        <v>12.249000000000001</v>
      </c>
      <c r="D451" s="1">
        <v>1.6E-2</v>
      </c>
      <c r="E451" s="1" t="s">
        <v>1</v>
      </c>
      <c r="F451" s="1" t="s">
        <v>131</v>
      </c>
      <c r="G451" s="1">
        <f t="shared" ref="G451:G514" si="21">+A451-2450000</f>
        <v>8395.6280600000173</v>
      </c>
      <c r="H451" s="1">
        <f t="shared" ref="H451:H514" si="22">+C451</f>
        <v>12.249000000000001</v>
      </c>
      <c r="I451" s="1" t="str">
        <f t="shared" ref="I451:I514" si="23">+F451</f>
        <v>HMH</v>
      </c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idden="1" x14ac:dyDescent="0.25">
      <c r="A452" s="1">
        <v>2458396.5126200002</v>
      </c>
      <c r="B452" s="1" t="s">
        <v>137</v>
      </c>
      <c r="C452" s="1">
        <v>12.355</v>
      </c>
      <c r="D452" s="1">
        <v>1.0999999999999999E-2</v>
      </c>
      <c r="E452" s="1" t="s">
        <v>1</v>
      </c>
      <c r="F452" s="1" t="s">
        <v>94</v>
      </c>
      <c r="G452" s="1">
        <f t="shared" si="21"/>
        <v>8396.5126200001687</v>
      </c>
      <c r="H452" s="1">
        <f t="shared" si="22"/>
        <v>12.355</v>
      </c>
      <c r="I452" s="1" t="str">
        <f t="shared" si="23"/>
        <v>HMB</v>
      </c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idden="1" x14ac:dyDescent="0.25">
      <c r="A453" s="1">
        <v>2458396.5130099999</v>
      </c>
      <c r="B453" s="1" t="s">
        <v>137</v>
      </c>
      <c r="C453" s="1">
        <v>12.374000000000001</v>
      </c>
      <c r="D453" s="1">
        <v>1.0999999999999999E-2</v>
      </c>
      <c r="E453" s="1" t="s">
        <v>1</v>
      </c>
      <c r="F453" s="1" t="s">
        <v>94</v>
      </c>
      <c r="G453" s="1">
        <f t="shared" si="21"/>
        <v>8396.5130099998787</v>
      </c>
      <c r="H453" s="1">
        <f t="shared" si="22"/>
        <v>12.374000000000001</v>
      </c>
      <c r="I453" s="1" t="str">
        <f t="shared" si="23"/>
        <v>HMB</v>
      </c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idden="1" x14ac:dyDescent="0.25">
      <c r="A454" s="1">
        <v>2458397.5126200002</v>
      </c>
      <c r="B454" s="1" t="s">
        <v>138</v>
      </c>
      <c r="C454" s="1">
        <v>12.396000000000001</v>
      </c>
      <c r="D454" s="1">
        <v>1.0999999999999999E-2</v>
      </c>
      <c r="E454" s="1" t="s">
        <v>1</v>
      </c>
      <c r="F454" s="1" t="s">
        <v>94</v>
      </c>
      <c r="G454" s="1">
        <f t="shared" si="21"/>
        <v>8397.5126200001687</v>
      </c>
      <c r="H454" s="1">
        <f t="shared" si="22"/>
        <v>12.396000000000001</v>
      </c>
      <c r="I454" s="1" t="str">
        <f t="shared" si="23"/>
        <v>HMB</v>
      </c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idden="1" x14ac:dyDescent="0.25">
      <c r="A455" s="1">
        <v>2458397.5130099999</v>
      </c>
      <c r="B455" s="1" t="s">
        <v>138</v>
      </c>
      <c r="C455" s="1">
        <v>12.385999999999999</v>
      </c>
      <c r="D455" s="1">
        <v>1.2E-2</v>
      </c>
      <c r="E455" s="1" t="s">
        <v>1</v>
      </c>
      <c r="F455" s="1" t="s">
        <v>94</v>
      </c>
      <c r="G455" s="1">
        <f t="shared" si="21"/>
        <v>8397.5130099998787</v>
      </c>
      <c r="H455" s="1">
        <f t="shared" si="22"/>
        <v>12.385999999999999</v>
      </c>
      <c r="I455" s="1" t="str">
        <f t="shared" si="23"/>
        <v>HMB</v>
      </c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idden="1" x14ac:dyDescent="0.25">
      <c r="A456" s="1">
        <v>2458400.3708600001</v>
      </c>
      <c r="B456" s="1" t="s">
        <v>307</v>
      </c>
      <c r="C456" s="1">
        <v>11.667</v>
      </c>
      <c r="D456" s="1">
        <v>5.0000000000000001E-3</v>
      </c>
      <c r="E456" s="1" t="s">
        <v>1</v>
      </c>
      <c r="F456" s="1" t="s">
        <v>285</v>
      </c>
      <c r="G456" s="1">
        <f t="shared" si="21"/>
        <v>8400.370860000141</v>
      </c>
      <c r="H456" s="1">
        <f t="shared" si="22"/>
        <v>11.667</v>
      </c>
      <c r="I456" s="1" t="str">
        <f t="shared" si="23"/>
        <v>VMT</v>
      </c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idden="1" x14ac:dyDescent="0.25">
      <c r="A457" s="1">
        <v>2458400.3716099998</v>
      </c>
      <c r="B457" s="1" t="s">
        <v>307</v>
      </c>
      <c r="C457" s="1">
        <v>12.326000000000001</v>
      </c>
      <c r="D457" s="1">
        <v>2.4E-2</v>
      </c>
      <c r="E457" s="1" t="s">
        <v>1</v>
      </c>
      <c r="F457" s="1" t="s">
        <v>285</v>
      </c>
      <c r="G457" s="1">
        <f t="shared" si="21"/>
        <v>8400.3716099997982</v>
      </c>
      <c r="H457" s="1">
        <f t="shared" si="22"/>
        <v>12.326000000000001</v>
      </c>
      <c r="I457" s="1" t="str">
        <f t="shared" si="23"/>
        <v>VMT</v>
      </c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idden="1" x14ac:dyDescent="0.25">
      <c r="A458" s="1">
        <v>2458400.57192</v>
      </c>
      <c r="B458" s="1" t="s">
        <v>139</v>
      </c>
      <c r="C458" s="1">
        <v>12.407</v>
      </c>
      <c r="D458" s="1">
        <v>1.0999999999999999E-2</v>
      </c>
      <c r="E458" s="1" t="s">
        <v>1</v>
      </c>
      <c r="F458" s="1" t="s">
        <v>94</v>
      </c>
      <c r="G458" s="1">
        <f t="shared" si="21"/>
        <v>8400.5719200000167</v>
      </c>
      <c r="H458" s="1">
        <f t="shared" si="22"/>
        <v>12.407</v>
      </c>
      <c r="I458" s="1" t="str">
        <f t="shared" si="23"/>
        <v>HMB</v>
      </c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idden="1" x14ac:dyDescent="0.25">
      <c r="A459" s="1">
        <v>2458400.5723000001</v>
      </c>
      <c r="B459" s="1" t="s">
        <v>139</v>
      </c>
      <c r="C459" s="1">
        <v>12.419</v>
      </c>
      <c r="D459" s="1">
        <v>1.0999999999999999E-2</v>
      </c>
      <c r="E459" s="1" t="s">
        <v>1</v>
      </c>
      <c r="F459" s="1" t="s">
        <v>94</v>
      </c>
      <c r="G459" s="1">
        <f t="shared" si="21"/>
        <v>8400.5723000001162</v>
      </c>
      <c r="H459" s="1">
        <f t="shared" si="22"/>
        <v>12.419</v>
      </c>
      <c r="I459" s="1" t="str">
        <f t="shared" si="23"/>
        <v>HMB</v>
      </c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5">
      <c r="A460" s="1">
        <v>2458401.27257</v>
      </c>
      <c r="B460" s="1" t="s">
        <v>139</v>
      </c>
      <c r="C460" s="1">
        <v>12.352</v>
      </c>
      <c r="D460" s="1">
        <v>8.9999999999999993E-3</v>
      </c>
      <c r="E460" s="1" t="s">
        <v>1</v>
      </c>
      <c r="F460" s="1" t="s">
        <v>101</v>
      </c>
      <c r="G460" s="1">
        <f t="shared" si="21"/>
        <v>8401.2725700000301</v>
      </c>
      <c r="H460" s="1">
        <f t="shared" si="22"/>
        <v>12.352</v>
      </c>
      <c r="I460" s="1" t="str">
        <f t="shared" si="23"/>
        <v>DUBF</v>
      </c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5">
      <c r="A461" s="1">
        <v>2458401.2728800001</v>
      </c>
      <c r="B461" s="1" t="s">
        <v>139</v>
      </c>
      <c r="C461" s="1">
        <v>12.355</v>
      </c>
      <c r="D461" s="1">
        <v>8.9999999999999993E-3</v>
      </c>
      <c r="E461" s="1" t="s">
        <v>1</v>
      </c>
      <c r="F461" s="1" t="s">
        <v>101</v>
      </c>
      <c r="G461" s="1">
        <f t="shared" si="21"/>
        <v>8401.2728800000623</v>
      </c>
      <c r="H461" s="1">
        <f t="shared" si="22"/>
        <v>12.355</v>
      </c>
      <c r="I461" s="1" t="str">
        <f t="shared" si="23"/>
        <v>DUBF</v>
      </c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idden="1" x14ac:dyDescent="0.25">
      <c r="A462" s="1">
        <v>2458401.5531500001</v>
      </c>
      <c r="B462" s="1" t="s">
        <v>140</v>
      </c>
      <c r="C462" s="1">
        <v>12.401</v>
      </c>
      <c r="D462" s="1">
        <v>1.0999999999999999E-2</v>
      </c>
      <c r="E462" s="1" t="s">
        <v>1</v>
      </c>
      <c r="F462" s="1" t="s">
        <v>94</v>
      </c>
      <c r="G462" s="1">
        <f t="shared" si="21"/>
        <v>8401.5531500000507</v>
      </c>
      <c r="H462" s="1">
        <f t="shared" si="22"/>
        <v>12.401</v>
      </c>
      <c r="I462" s="1" t="str">
        <f t="shared" si="23"/>
        <v>HMB</v>
      </c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idden="1" x14ac:dyDescent="0.25">
      <c r="A463" s="1">
        <v>2458401.5535300002</v>
      </c>
      <c r="B463" s="1" t="s">
        <v>140</v>
      </c>
      <c r="C463" s="1">
        <v>12.411</v>
      </c>
      <c r="D463" s="1">
        <v>1.0999999999999999E-2</v>
      </c>
      <c r="E463" s="1" t="s">
        <v>1</v>
      </c>
      <c r="F463" s="1" t="s">
        <v>94</v>
      </c>
      <c r="G463" s="1">
        <f t="shared" si="21"/>
        <v>8401.5535300001502</v>
      </c>
      <c r="H463" s="1">
        <f t="shared" si="22"/>
        <v>12.411</v>
      </c>
      <c r="I463" s="1" t="str">
        <f t="shared" si="23"/>
        <v>HMB</v>
      </c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5">
      <c r="A464" s="1">
        <v>2458402.2627900001</v>
      </c>
      <c r="B464" s="1" t="s">
        <v>140</v>
      </c>
      <c r="C464" s="1">
        <v>12.391</v>
      </c>
      <c r="D464" s="1">
        <v>1.0999999999999999E-2</v>
      </c>
      <c r="E464" s="1" t="s">
        <v>1</v>
      </c>
      <c r="F464" s="1" t="s">
        <v>101</v>
      </c>
      <c r="G464" s="1">
        <f t="shared" si="21"/>
        <v>8402.2627900000662</v>
      </c>
      <c r="H464" s="1">
        <f t="shared" si="22"/>
        <v>12.391</v>
      </c>
      <c r="I464" s="1" t="str">
        <f t="shared" si="23"/>
        <v>DUBF</v>
      </c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5">
      <c r="A465" s="1">
        <v>2458402.2631000001</v>
      </c>
      <c r="B465" s="1" t="s">
        <v>140</v>
      </c>
      <c r="C465" s="1">
        <v>12.367000000000001</v>
      </c>
      <c r="D465" s="1">
        <v>1.0999999999999999E-2</v>
      </c>
      <c r="E465" s="1" t="s">
        <v>1</v>
      </c>
      <c r="F465" s="1" t="s">
        <v>101</v>
      </c>
      <c r="G465" s="1">
        <f t="shared" si="21"/>
        <v>8402.2631000000983</v>
      </c>
      <c r="H465" s="1">
        <f t="shared" si="22"/>
        <v>12.367000000000001</v>
      </c>
      <c r="I465" s="1" t="str">
        <f t="shared" si="23"/>
        <v>DUBF</v>
      </c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idden="1" x14ac:dyDescent="0.25">
      <c r="A466" s="1">
        <v>2458402.3086399999</v>
      </c>
      <c r="B466" s="1" t="s">
        <v>140</v>
      </c>
      <c r="C466" s="1">
        <v>12.358000000000001</v>
      </c>
      <c r="D466" s="1">
        <v>0.02</v>
      </c>
      <c r="E466" s="1" t="s">
        <v>1</v>
      </c>
      <c r="F466" s="1" t="s">
        <v>285</v>
      </c>
      <c r="G466" s="1">
        <f t="shared" si="21"/>
        <v>8402.3086399999447</v>
      </c>
      <c r="H466" s="1">
        <f t="shared" si="22"/>
        <v>12.358000000000001</v>
      </c>
      <c r="I466" s="1" t="str">
        <f t="shared" si="23"/>
        <v>VMT</v>
      </c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idden="1" x14ac:dyDescent="0.25">
      <c r="A467" s="1">
        <v>2458402.3092700001</v>
      </c>
      <c r="B467" s="1" t="s">
        <v>140</v>
      </c>
      <c r="C467" s="1">
        <v>12.381</v>
      </c>
      <c r="D467" s="1">
        <v>0.02</v>
      </c>
      <c r="E467" s="1" t="s">
        <v>1</v>
      </c>
      <c r="F467" s="1" t="s">
        <v>285</v>
      </c>
      <c r="G467" s="1">
        <f t="shared" si="21"/>
        <v>8402.3092700000852</v>
      </c>
      <c r="H467" s="1">
        <f t="shared" si="22"/>
        <v>12.381</v>
      </c>
      <c r="I467" s="1" t="str">
        <f t="shared" si="23"/>
        <v>VMT</v>
      </c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idden="1" x14ac:dyDescent="0.25">
      <c r="A468" s="1">
        <v>2458402.5700900001</v>
      </c>
      <c r="B468" s="1" t="s">
        <v>141</v>
      </c>
      <c r="C468" s="1">
        <v>12.426</v>
      </c>
      <c r="D468" s="1">
        <v>1.0999999999999999E-2</v>
      </c>
      <c r="E468" s="1" t="s">
        <v>1</v>
      </c>
      <c r="F468" s="1" t="s">
        <v>94</v>
      </c>
      <c r="G468" s="1">
        <f t="shared" si="21"/>
        <v>8402.570090000052</v>
      </c>
      <c r="H468" s="1">
        <f t="shared" si="22"/>
        <v>12.426</v>
      </c>
      <c r="I468" s="1" t="str">
        <f t="shared" si="23"/>
        <v>HMB</v>
      </c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idden="1" x14ac:dyDescent="0.25">
      <c r="A469" s="1">
        <v>2458402.5704700002</v>
      </c>
      <c r="B469" s="1" t="s">
        <v>141</v>
      </c>
      <c r="C469" s="1">
        <v>12.414999999999999</v>
      </c>
      <c r="D469" s="1">
        <v>1.0999999999999999E-2</v>
      </c>
      <c r="E469" s="1" t="s">
        <v>1</v>
      </c>
      <c r="F469" s="1" t="s">
        <v>94</v>
      </c>
      <c r="G469" s="1">
        <f t="shared" si="21"/>
        <v>8402.5704700001515</v>
      </c>
      <c r="H469" s="1">
        <f t="shared" si="22"/>
        <v>12.414999999999999</v>
      </c>
      <c r="I469" s="1" t="str">
        <f t="shared" si="23"/>
        <v>HMB</v>
      </c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idden="1" x14ac:dyDescent="0.25">
      <c r="A470" s="1">
        <v>2458403.5674800002</v>
      </c>
      <c r="B470" s="1" t="s">
        <v>142</v>
      </c>
      <c r="C470" s="1">
        <v>12.427</v>
      </c>
      <c r="D470" s="1">
        <v>1.2E-2</v>
      </c>
      <c r="E470" s="1" t="s">
        <v>1</v>
      </c>
      <c r="F470" s="1" t="s">
        <v>94</v>
      </c>
      <c r="G470" s="1">
        <f t="shared" si="21"/>
        <v>8403.5674800002016</v>
      </c>
      <c r="H470" s="1">
        <f t="shared" si="22"/>
        <v>12.427</v>
      </c>
      <c r="I470" s="1" t="str">
        <f t="shared" si="23"/>
        <v>HMB</v>
      </c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idden="1" x14ac:dyDescent="0.25">
      <c r="A471" s="1">
        <v>2458403.5678699999</v>
      </c>
      <c r="B471" s="1" t="s">
        <v>142</v>
      </c>
      <c r="C471" s="1">
        <v>12.427</v>
      </c>
      <c r="D471" s="1">
        <v>1.0999999999999999E-2</v>
      </c>
      <c r="E471" s="1" t="s">
        <v>1</v>
      </c>
      <c r="F471" s="1" t="s">
        <v>94</v>
      </c>
      <c r="G471" s="1">
        <f t="shared" si="21"/>
        <v>8403.5678699999116</v>
      </c>
      <c r="H471" s="1">
        <f t="shared" si="22"/>
        <v>12.427</v>
      </c>
      <c r="I471" s="1" t="str">
        <f t="shared" si="23"/>
        <v>HMB</v>
      </c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5">
      <c r="A472" s="1">
        <v>2458404.3459100001</v>
      </c>
      <c r="B472" s="1" t="s">
        <v>142</v>
      </c>
      <c r="C472" s="1">
        <v>12.398999999999999</v>
      </c>
      <c r="D472" s="1">
        <v>1.2E-2</v>
      </c>
      <c r="E472" s="1" t="s">
        <v>1</v>
      </c>
      <c r="F472" s="1" t="s">
        <v>101</v>
      </c>
      <c r="G472" s="1">
        <f t="shared" si="21"/>
        <v>8404.3459100001492</v>
      </c>
      <c r="H472" s="1">
        <f t="shared" si="22"/>
        <v>12.398999999999999</v>
      </c>
      <c r="I472" s="1" t="str">
        <f t="shared" si="23"/>
        <v>DUBF</v>
      </c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5">
      <c r="A473" s="1">
        <v>2458404.3462299998</v>
      </c>
      <c r="B473" s="1" t="s">
        <v>142</v>
      </c>
      <c r="C473" s="1">
        <v>12.369</v>
      </c>
      <c r="D473" s="1">
        <v>1.0999999999999999E-2</v>
      </c>
      <c r="E473" s="1" t="s">
        <v>1</v>
      </c>
      <c r="F473" s="1" t="s">
        <v>101</v>
      </c>
      <c r="G473" s="1">
        <f t="shared" si="21"/>
        <v>8404.3462299997918</v>
      </c>
      <c r="H473" s="1">
        <f t="shared" si="22"/>
        <v>12.369</v>
      </c>
      <c r="I473" s="1" t="str">
        <f t="shared" si="23"/>
        <v>DUBF</v>
      </c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idden="1" x14ac:dyDescent="0.25">
      <c r="A474" s="1">
        <v>2458404.4175300002</v>
      </c>
      <c r="B474" s="1" t="s">
        <v>142</v>
      </c>
      <c r="C474" s="1">
        <v>12.433999999999999</v>
      </c>
      <c r="D474" s="1">
        <v>4.1000000000000002E-2</v>
      </c>
      <c r="E474" s="1" t="s">
        <v>1</v>
      </c>
      <c r="F474" s="1" t="s">
        <v>285</v>
      </c>
      <c r="G474" s="1">
        <f t="shared" si="21"/>
        <v>8404.4175300002098</v>
      </c>
      <c r="H474" s="1">
        <f t="shared" si="22"/>
        <v>12.433999999999999</v>
      </c>
      <c r="I474" s="1" t="str">
        <f t="shared" si="23"/>
        <v>VMT</v>
      </c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idden="1" x14ac:dyDescent="0.25">
      <c r="A475" s="1">
        <v>2458404.4184099999</v>
      </c>
      <c r="B475" s="1" t="s">
        <v>142</v>
      </c>
      <c r="C475" s="1">
        <v>12.347</v>
      </c>
      <c r="D475" s="1">
        <v>3.9E-2</v>
      </c>
      <c r="E475" s="1" t="s">
        <v>1</v>
      </c>
      <c r="F475" s="1" t="s">
        <v>285</v>
      </c>
      <c r="G475" s="1">
        <f t="shared" si="21"/>
        <v>8404.4184099999256</v>
      </c>
      <c r="H475" s="1">
        <f t="shared" si="22"/>
        <v>12.347</v>
      </c>
      <c r="I475" s="1" t="str">
        <f t="shared" si="23"/>
        <v>VMT</v>
      </c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idden="1" x14ac:dyDescent="0.25">
      <c r="A476" s="1">
        <v>2458404.5646099998</v>
      </c>
      <c r="B476" s="1" t="s">
        <v>143</v>
      </c>
      <c r="C476" s="1">
        <v>12.451000000000001</v>
      </c>
      <c r="D476" s="1">
        <v>1.2E-2</v>
      </c>
      <c r="E476" s="1" t="s">
        <v>1</v>
      </c>
      <c r="F476" s="1" t="s">
        <v>94</v>
      </c>
      <c r="G476" s="1">
        <f t="shared" si="21"/>
        <v>8404.5646099997684</v>
      </c>
      <c r="H476" s="1">
        <f t="shared" si="22"/>
        <v>12.451000000000001</v>
      </c>
      <c r="I476" s="1" t="str">
        <f t="shared" si="23"/>
        <v>HMB</v>
      </c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idden="1" x14ac:dyDescent="0.25">
      <c r="A477" s="1">
        <v>2458404.5649999999</v>
      </c>
      <c r="B477" s="1" t="s">
        <v>143</v>
      </c>
      <c r="C477" s="1">
        <v>12.446999999999999</v>
      </c>
      <c r="D477" s="1">
        <v>1.2E-2</v>
      </c>
      <c r="E477" s="1" t="s">
        <v>1</v>
      </c>
      <c r="F477" s="1" t="s">
        <v>94</v>
      </c>
      <c r="G477" s="1">
        <f t="shared" si="21"/>
        <v>8404.5649999999441</v>
      </c>
      <c r="H477" s="1">
        <f t="shared" si="22"/>
        <v>12.446999999999999</v>
      </c>
      <c r="I477" s="1" t="str">
        <f t="shared" si="23"/>
        <v>HMB</v>
      </c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idden="1" x14ac:dyDescent="0.25">
      <c r="A478" s="1">
        <v>2458405.5618199999</v>
      </c>
      <c r="B478" s="1" t="s">
        <v>144</v>
      </c>
      <c r="C478" s="1">
        <v>12.428000000000001</v>
      </c>
      <c r="D478" s="1">
        <v>1.0999999999999999E-2</v>
      </c>
      <c r="E478" s="1" t="s">
        <v>1</v>
      </c>
      <c r="F478" s="1" t="s">
        <v>94</v>
      </c>
      <c r="G478" s="1">
        <f t="shared" si="21"/>
        <v>8405.5618199999444</v>
      </c>
      <c r="H478" s="1">
        <f t="shared" si="22"/>
        <v>12.428000000000001</v>
      </c>
      <c r="I478" s="1" t="str">
        <f t="shared" si="23"/>
        <v>HMB</v>
      </c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idden="1" x14ac:dyDescent="0.25">
      <c r="A479" s="1">
        <v>2458405.5622100001</v>
      </c>
      <c r="B479" s="1" t="s">
        <v>144</v>
      </c>
      <c r="C479" s="1">
        <v>12.436</v>
      </c>
      <c r="D479" s="1">
        <v>1.2E-2</v>
      </c>
      <c r="E479" s="1" t="s">
        <v>1</v>
      </c>
      <c r="F479" s="1" t="s">
        <v>94</v>
      </c>
      <c r="G479" s="1">
        <f t="shared" si="21"/>
        <v>8405.5622100001201</v>
      </c>
      <c r="H479" s="1">
        <f t="shared" si="22"/>
        <v>12.436</v>
      </c>
      <c r="I479" s="1" t="str">
        <f t="shared" si="23"/>
        <v>HMB</v>
      </c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5">
      <c r="A480" s="1">
        <v>2458406.2608599998</v>
      </c>
      <c r="B480" s="1" t="s">
        <v>144</v>
      </c>
      <c r="C480" s="1">
        <v>12.382</v>
      </c>
      <c r="D480" s="1">
        <v>1.0999999999999999E-2</v>
      </c>
      <c r="E480" s="1" t="s">
        <v>1</v>
      </c>
      <c r="F480" s="1" t="s">
        <v>101</v>
      </c>
      <c r="G480" s="1">
        <f t="shared" si="21"/>
        <v>8406.2608599998057</v>
      </c>
      <c r="H480" s="1">
        <f t="shared" si="22"/>
        <v>12.382</v>
      </c>
      <c r="I480" s="1" t="str">
        <f t="shared" si="23"/>
        <v>DUBF</v>
      </c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5">
      <c r="A481" s="1">
        <v>2458406.2611699998</v>
      </c>
      <c r="B481" s="1" t="s">
        <v>144</v>
      </c>
      <c r="C481" s="1">
        <v>12.406000000000001</v>
      </c>
      <c r="D481" s="1">
        <v>1.0999999999999999E-2</v>
      </c>
      <c r="E481" s="1" t="s">
        <v>1</v>
      </c>
      <c r="F481" s="1" t="s">
        <v>101</v>
      </c>
      <c r="G481" s="1">
        <f t="shared" si="21"/>
        <v>8406.2611699998379</v>
      </c>
      <c r="H481" s="1">
        <f t="shared" si="22"/>
        <v>12.406000000000001</v>
      </c>
      <c r="I481" s="1" t="str">
        <f t="shared" si="23"/>
        <v>DUBF</v>
      </c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idden="1" x14ac:dyDescent="0.25">
      <c r="A482" s="1">
        <v>2458406.3389499998</v>
      </c>
      <c r="B482" s="1" t="s">
        <v>144</v>
      </c>
      <c r="C482" s="1">
        <v>12.374000000000001</v>
      </c>
      <c r="D482" s="1">
        <v>2.1000000000000001E-2</v>
      </c>
      <c r="E482" s="1" t="s">
        <v>1</v>
      </c>
      <c r="F482" s="1" t="s">
        <v>285</v>
      </c>
      <c r="G482" s="1">
        <f t="shared" si="21"/>
        <v>8406.338949999772</v>
      </c>
      <c r="H482" s="1">
        <f t="shared" si="22"/>
        <v>12.374000000000001</v>
      </c>
      <c r="I482" s="1" t="str">
        <f t="shared" si="23"/>
        <v>VMT</v>
      </c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idden="1" x14ac:dyDescent="0.25">
      <c r="A483" s="1">
        <v>2458406.3395500001</v>
      </c>
      <c r="B483" s="1" t="s">
        <v>144</v>
      </c>
      <c r="C483" s="1">
        <v>12.375</v>
      </c>
      <c r="D483" s="1">
        <v>0.02</v>
      </c>
      <c r="E483" s="1" t="s">
        <v>1</v>
      </c>
      <c r="F483" s="1" t="s">
        <v>285</v>
      </c>
      <c r="G483" s="1">
        <f t="shared" si="21"/>
        <v>8406.3395500001498</v>
      </c>
      <c r="H483" s="1">
        <f t="shared" si="22"/>
        <v>12.375</v>
      </c>
      <c r="I483" s="1" t="str">
        <f t="shared" si="23"/>
        <v>VMT</v>
      </c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idden="1" x14ac:dyDescent="0.25">
      <c r="A484" s="1">
        <v>2458406.5590900001</v>
      </c>
      <c r="B484" s="1" t="s">
        <v>145</v>
      </c>
      <c r="C484" s="1">
        <v>12.459</v>
      </c>
      <c r="D484" s="1">
        <v>1.2E-2</v>
      </c>
      <c r="E484" s="1" t="s">
        <v>1</v>
      </c>
      <c r="F484" s="1" t="s">
        <v>94</v>
      </c>
      <c r="G484" s="1">
        <f t="shared" si="21"/>
        <v>8406.5590900001116</v>
      </c>
      <c r="H484" s="1">
        <f t="shared" si="22"/>
        <v>12.459</v>
      </c>
      <c r="I484" s="1" t="str">
        <f t="shared" si="23"/>
        <v>HMB</v>
      </c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idden="1" x14ac:dyDescent="0.25">
      <c r="A485" s="1">
        <v>2458406.5594700002</v>
      </c>
      <c r="B485" s="1" t="s">
        <v>145</v>
      </c>
      <c r="C485" s="1">
        <v>12.44</v>
      </c>
      <c r="D485" s="1">
        <v>1.2E-2</v>
      </c>
      <c r="E485" s="1" t="s">
        <v>1</v>
      </c>
      <c r="F485" s="1" t="s">
        <v>94</v>
      </c>
      <c r="G485" s="1">
        <f t="shared" si="21"/>
        <v>8406.5594700002111</v>
      </c>
      <c r="H485" s="1">
        <f t="shared" si="22"/>
        <v>12.44</v>
      </c>
      <c r="I485" s="1" t="str">
        <f t="shared" si="23"/>
        <v>HMB</v>
      </c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5">
      <c r="A486" s="1">
        <v>2458407.29648</v>
      </c>
      <c r="B486" s="1" t="s">
        <v>145</v>
      </c>
      <c r="C486" s="1">
        <v>12.414</v>
      </c>
      <c r="D486" s="1">
        <v>0.01</v>
      </c>
      <c r="E486" s="1" t="s">
        <v>1</v>
      </c>
      <c r="F486" s="1" t="s">
        <v>101</v>
      </c>
      <c r="G486" s="1">
        <f t="shared" si="21"/>
        <v>8407.2964800000191</v>
      </c>
      <c r="H486" s="1">
        <f t="shared" si="22"/>
        <v>12.414</v>
      </c>
      <c r="I486" s="1" t="str">
        <f t="shared" si="23"/>
        <v>DUBF</v>
      </c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5">
      <c r="A487" s="1">
        <v>2458407.2967900001</v>
      </c>
      <c r="B487" s="1" t="s">
        <v>145</v>
      </c>
      <c r="C487" s="1">
        <v>12.404</v>
      </c>
      <c r="D487" s="1">
        <v>0.01</v>
      </c>
      <c r="E487" s="1" t="s">
        <v>1</v>
      </c>
      <c r="F487" s="1" t="s">
        <v>101</v>
      </c>
      <c r="G487" s="1">
        <f t="shared" si="21"/>
        <v>8407.2967900000513</v>
      </c>
      <c r="H487" s="1">
        <f t="shared" si="22"/>
        <v>12.404</v>
      </c>
      <c r="I487" s="1" t="str">
        <f t="shared" si="23"/>
        <v>DUBF</v>
      </c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idden="1" x14ac:dyDescent="0.25">
      <c r="A488" s="1">
        <v>2458407.5562999998</v>
      </c>
      <c r="B488" s="1" t="s">
        <v>146</v>
      </c>
      <c r="C488" s="1">
        <v>12.467000000000001</v>
      </c>
      <c r="D488" s="1">
        <v>1.2E-2</v>
      </c>
      <c r="E488" s="1" t="s">
        <v>1</v>
      </c>
      <c r="F488" s="1" t="s">
        <v>94</v>
      </c>
      <c r="G488" s="1">
        <f t="shared" si="21"/>
        <v>8407.5562999998219</v>
      </c>
      <c r="H488" s="1">
        <f t="shared" si="22"/>
        <v>12.467000000000001</v>
      </c>
      <c r="I488" s="1" t="str">
        <f t="shared" si="23"/>
        <v>HMB</v>
      </c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idden="1" x14ac:dyDescent="0.25">
      <c r="A489" s="1">
        <v>2458407.55669</v>
      </c>
      <c r="B489" s="1" t="s">
        <v>146</v>
      </c>
      <c r="C489" s="1">
        <v>12.452</v>
      </c>
      <c r="D489" s="1">
        <v>1.2E-2</v>
      </c>
      <c r="E489" s="1" t="s">
        <v>1</v>
      </c>
      <c r="F489" s="1" t="s">
        <v>94</v>
      </c>
      <c r="G489" s="1">
        <f t="shared" si="21"/>
        <v>8407.5566899999976</v>
      </c>
      <c r="H489" s="1">
        <f t="shared" si="22"/>
        <v>12.452</v>
      </c>
      <c r="I489" s="1" t="str">
        <f t="shared" si="23"/>
        <v>HMB</v>
      </c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idden="1" x14ac:dyDescent="0.25">
      <c r="A490" s="1">
        <v>2458408.3896400002</v>
      </c>
      <c r="B490" s="1" t="s">
        <v>146</v>
      </c>
      <c r="C490" s="1">
        <v>12.364000000000001</v>
      </c>
      <c r="D490" s="1">
        <v>3.9E-2</v>
      </c>
      <c r="E490" s="1" t="s">
        <v>1</v>
      </c>
      <c r="F490" s="1" t="s">
        <v>285</v>
      </c>
      <c r="G490" s="1">
        <f t="shared" si="21"/>
        <v>8408.3896400001831</v>
      </c>
      <c r="H490" s="1">
        <f t="shared" si="22"/>
        <v>12.364000000000001</v>
      </c>
      <c r="I490" s="1" t="str">
        <f t="shared" si="23"/>
        <v>VMT</v>
      </c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idden="1" x14ac:dyDescent="0.25">
      <c r="A491">
        <v>2458408.3903600001</v>
      </c>
      <c r="B491" t="s">
        <v>146</v>
      </c>
      <c r="C491">
        <v>12.374000000000001</v>
      </c>
      <c r="D491">
        <v>2.5999999999999999E-2</v>
      </c>
      <c r="E491" t="s">
        <v>1</v>
      </c>
      <c r="F491" t="s">
        <v>285</v>
      </c>
      <c r="G491" s="1">
        <f t="shared" si="21"/>
        <v>8408.3903600000776</v>
      </c>
      <c r="H491" s="1">
        <f t="shared" si="22"/>
        <v>12.374000000000001</v>
      </c>
      <c r="I491" s="1" t="str">
        <f t="shared" si="23"/>
        <v>VMT</v>
      </c>
    </row>
    <row r="492" spans="1:26" hidden="1" x14ac:dyDescent="0.25">
      <c r="A492">
        <v>2458408.5534399999</v>
      </c>
      <c r="B492" t="s">
        <v>147</v>
      </c>
      <c r="C492">
        <v>12.475</v>
      </c>
      <c r="D492">
        <v>1.2E-2</v>
      </c>
      <c r="E492" t="s">
        <v>1</v>
      </c>
      <c r="F492" t="s">
        <v>94</v>
      </c>
      <c r="G492" s="1">
        <f t="shared" si="21"/>
        <v>8408.5534399999306</v>
      </c>
      <c r="H492" s="1">
        <f t="shared" si="22"/>
        <v>12.475</v>
      </c>
      <c r="I492" s="1" t="str">
        <f t="shared" si="23"/>
        <v>HMB</v>
      </c>
    </row>
    <row r="493" spans="1:26" hidden="1" x14ac:dyDescent="0.25">
      <c r="A493">
        <v>2458408.55382</v>
      </c>
      <c r="B493" t="s">
        <v>147</v>
      </c>
      <c r="C493">
        <v>12.489000000000001</v>
      </c>
      <c r="D493">
        <v>1.2E-2</v>
      </c>
      <c r="E493" t="s">
        <v>1</v>
      </c>
      <c r="F493" t="s">
        <v>94</v>
      </c>
      <c r="G493" s="1">
        <f t="shared" si="21"/>
        <v>8408.5538200000301</v>
      </c>
      <c r="H493" s="1">
        <f t="shared" si="22"/>
        <v>12.489000000000001</v>
      </c>
      <c r="I493" s="1" t="str">
        <f t="shared" si="23"/>
        <v>HMB</v>
      </c>
    </row>
    <row r="494" spans="1:26" x14ac:dyDescent="0.25">
      <c r="A494">
        <v>2458409.2549700001</v>
      </c>
      <c r="B494" t="s">
        <v>147</v>
      </c>
      <c r="C494">
        <v>12.333</v>
      </c>
      <c r="D494">
        <v>1.2999999999999999E-2</v>
      </c>
      <c r="E494" t="s">
        <v>1</v>
      </c>
      <c r="F494" t="s">
        <v>101</v>
      </c>
      <c r="G494" s="1">
        <f t="shared" si="21"/>
        <v>8409.2549700001255</v>
      </c>
      <c r="H494" s="1">
        <f t="shared" si="22"/>
        <v>12.333</v>
      </c>
      <c r="I494" s="1" t="str">
        <f t="shared" si="23"/>
        <v>DUBF</v>
      </c>
    </row>
    <row r="495" spans="1:26" x14ac:dyDescent="0.25">
      <c r="A495">
        <v>2458409.2552800002</v>
      </c>
      <c r="B495" t="s">
        <v>147</v>
      </c>
      <c r="C495">
        <v>12.33</v>
      </c>
      <c r="D495">
        <v>1.4E-2</v>
      </c>
      <c r="E495" t="s">
        <v>1</v>
      </c>
      <c r="F495" t="s">
        <v>101</v>
      </c>
      <c r="G495" s="1">
        <f t="shared" si="21"/>
        <v>8409.2552800001577</v>
      </c>
      <c r="H495" s="1">
        <f t="shared" si="22"/>
        <v>12.33</v>
      </c>
      <c r="I495" s="1" t="str">
        <f t="shared" si="23"/>
        <v>DUBF</v>
      </c>
    </row>
    <row r="496" spans="1:26" hidden="1" x14ac:dyDescent="0.25">
      <c r="A496">
        <v>2458409.5506699998</v>
      </c>
      <c r="B496" t="s">
        <v>148</v>
      </c>
      <c r="C496">
        <v>12.465</v>
      </c>
      <c r="D496">
        <v>1.2E-2</v>
      </c>
      <c r="E496" t="s">
        <v>1</v>
      </c>
      <c r="F496" t="s">
        <v>94</v>
      </c>
      <c r="G496" s="1">
        <f t="shared" si="21"/>
        <v>8409.5506699997932</v>
      </c>
      <c r="H496" s="1">
        <f t="shared" si="22"/>
        <v>12.465</v>
      </c>
      <c r="I496" s="1" t="str">
        <f t="shared" si="23"/>
        <v>HMB</v>
      </c>
    </row>
    <row r="497" spans="1:9" hidden="1" x14ac:dyDescent="0.25">
      <c r="A497">
        <v>2458409.5510499999</v>
      </c>
      <c r="B497" t="s">
        <v>148</v>
      </c>
      <c r="C497">
        <v>12.467000000000001</v>
      </c>
      <c r="D497">
        <v>1.2E-2</v>
      </c>
      <c r="E497" t="s">
        <v>1</v>
      </c>
      <c r="F497" t="s">
        <v>94</v>
      </c>
      <c r="G497" s="1">
        <f t="shared" si="21"/>
        <v>8409.5510499998927</v>
      </c>
      <c r="H497" s="1">
        <f t="shared" si="22"/>
        <v>12.467000000000001</v>
      </c>
      <c r="I497" s="1" t="str">
        <f t="shared" si="23"/>
        <v>HMB</v>
      </c>
    </row>
    <row r="498" spans="1:9" hidden="1" x14ac:dyDescent="0.25">
      <c r="A498">
        <v>2458410.5479299999</v>
      </c>
      <c r="B498" t="s">
        <v>149</v>
      </c>
      <c r="C498">
        <v>12.488</v>
      </c>
      <c r="D498">
        <v>1.2E-2</v>
      </c>
      <c r="E498" t="s">
        <v>1</v>
      </c>
      <c r="F498" t="s">
        <v>94</v>
      </c>
      <c r="G498" s="1">
        <f t="shared" si="21"/>
        <v>8410.5479299998842</v>
      </c>
      <c r="H498" s="1">
        <f t="shared" si="22"/>
        <v>12.488</v>
      </c>
      <c r="I498" s="1" t="str">
        <f t="shared" si="23"/>
        <v>HMB</v>
      </c>
    </row>
    <row r="499" spans="1:9" hidden="1" x14ac:dyDescent="0.25">
      <c r="A499">
        <v>2458410.5483200001</v>
      </c>
      <c r="B499" t="s">
        <v>149</v>
      </c>
      <c r="C499">
        <v>12.465999999999999</v>
      </c>
      <c r="D499">
        <v>1.2999999999999999E-2</v>
      </c>
      <c r="E499" t="s">
        <v>1</v>
      </c>
      <c r="F499" t="s">
        <v>94</v>
      </c>
      <c r="G499" s="1">
        <f t="shared" si="21"/>
        <v>8410.5483200000599</v>
      </c>
      <c r="H499" s="1">
        <f t="shared" si="22"/>
        <v>12.465999999999999</v>
      </c>
      <c r="I499" s="1" t="str">
        <f t="shared" si="23"/>
        <v>HMB</v>
      </c>
    </row>
    <row r="500" spans="1:9" x14ac:dyDescent="0.25">
      <c r="A500">
        <v>2458411.32125</v>
      </c>
      <c r="B500" t="s">
        <v>149</v>
      </c>
      <c r="C500">
        <v>12.41</v>
      </c>
      <c r="D500">
        <v>1.0999999999999999E-2</v>
      </c>
      <c r="E500" t="s">
        <v>1</v>
      </c>
      <c r="F500" t="s">
        <v>101</v>
      </c>
      <c r="G500" s="1">
        <f t="shared" si="21"/>
        <v>8411.3212500000373</v>
      </c>
      <c r="H500" s="1">
        <f t="shared" si="22"/>
        <v>12.41</v>
      </c>
      <c r="I500" s="1" t="str">
        <f t="shared" si="23"/>
        <v>DUBF</v>
      </c>
    </row>
    <row r="501" spans="1:9" x14ac:dyDescent="0.25">
      <c r="A501">
        <v>2458411.3215600001</v>
      </c>
      <c r="B501" t="s">
        <v>149</v>
      </c>
      <c r="C501">
        <v>12.416</v>
      </c>
      <c r="D501">
        <v>1.0999999999999999E-2</v>
      </c>
      <c r="E501" t="s">
        <v>1</v>
      </c>
      <c r="F501" t="s">
        <v>101</v>
      </c>
      <c r="G501" s="1">
        <f t="shared" si="21"/>
        <v>8411.3215600000694</v>
      </c>
      <c r="H501" s="1">
        <f t="shared" si="22"/>
        <v>12.416</v>
      </c>
      <c r="I501" s="1" t="str">
        <f t="shared" si="23"/>
        <v>DUBF</v>
      </c>
    </row>
    <row r="502" spans="1:9" hidden="1" x14ac:dyDescent="0.25">
      <c r="A502">
        <v>2458411.3835100001</v>
      </c>
      <c r="B502" t="s">
        <v>149</v>
      </c>
      <c r="C502">
        <v>12.407999999999999</v>
      </c>
      <c r="D502">
        <v>4.2000000000000003E-2</v>
      </c>
      <c r="E502" t="s">
        <v>1</v>
      </c>
      <c r="F502" t="s">
        <v>285</v>
      </c>
      <c r="G502" s="1">
        <f t="shared" si="21"/>
        <v>8411.3835100000724</v>
      </c>
      <c r="H502" s="1">
        <f t="shared" si="22"/>
        <v>12.407999999999999</v>
      </c>
      <c r="I502" s="1" t="str">
        <f t="shared" si="23"/>
        <v>VMT</v>
      </c>
    </row>
    <row r="503" spans="1:9" hidden="1" x14ac:dyDescent="0.25">
      <c r="A503">
        <v>2458411.3842099998</v>
      </c>
      <c r="B503" t="s">
        <v>149</v>
      </c>
      <c r="C503">
        <v>12.452</v>
      </c>
      <c r="D503">
        <v>4.8000000000000001E-2</v>
      </c>
      <c r="E503" t="s">
        <v>1</v>
      </c>
      <c r="F503" t="s">
        <v>285</v>
      </c>
      <c r="G503" s="1">
        <f t="shared" si="21"/>
        <v>8411.3842099998146</v>
      </c>
      <c r="H503" s="1">
        <f t="shared" si="22"/>
        <v>12.452</v>
      </c>
      <c r="I503" s="1" t="str">
        <f t="shared" si="23"/>
        <v>VMT</v>
      </c>
    </row>
    <row r="504" spans="1:9" hidden="1" x14ac:dyDescent="0.25">
      <c r="A504">
        <v>2458411.5450900001</v>
      </c>
      <c r="B504" t="s">
        <v>150</v>
      </c>
      <c r="C504">
        <v>12.483000000000001</v>
      </c>
      <c r="D504">
        <v>1.4E-2</v>
      </c>
      <c r="E504" t="s">
        <v>1</v>
      </c>
      <c r="F504" t="s">
        <v>94</v>
      </c>
      <c r="G504" s="1">
        <f t="shared" si="21"/>
        <v>8411.5450900001451</v>
      </c>
      <c r="H504" s="1">
        <f t="shared" si="22"/>
        <v>12.483000000000001</v>
      </c>
      <c r="I504" s="1" t="str">
        <f t="shared" si="23"/>
        <v>HMB</v>
      </c>
    </row>
    <row r="505" spans="1:9" hidden="1" x14ac:dyDescent="0.25">
      <c r="A505">
        <v>2458411.5454899999</v>
      </c>
      <c r="B505" t="s">
        <v>150</v>
      </c>
      <c r="C505">
        <v>12.484</v>
      </c>
      <c r="D505">
        <v>1.4E-2</v>
      </c>
      <c r="E505" t="s">
        <v>1</v>
      </c>
      <c r="F505" t="s">
        <v>94</v>
      </c>
      <c r="G505" s="1">
        <f t="shared" si="21"/>
        <v>8411.5454899999313</v>
      </c>
      <c r="H505" s="1">
        <f t="shared" si="22"/>
        <v>12.484</v>
      </c>
      <c r="I505" s="1" t="str">
        <f t="shared" si="23"/>
        <v>HMB</v>
      </c>
    </row>
    <row r="506" spans="1:9" hidden="1" x14ac:dyDescent="0.25">
      <c r="A506">
        <v>2458413.5402099998</v>
      </c>
      <c r="B506" t="s">
        <v>151</v>
      </c>
      <c r="C506">
        <v>12.465</v>
      </c>
      <c r="D506">
        <v>1.4999999999999999E-2</v>
      </c>
      <c r="E506" t="s">
        <v>1</v>
      </c>
      <c r="F506" t="s">
        <v>94</v>
      </c>
      <c r="G506" s="1">
        <f t="shared" si="21"/>
        <v>8413.5402099997737</v>
      </c>
      <c r="H506" s="1">
        <f t="shared" si="22"/>
        <v>12.465</v>
      </c>
      <c r="I506" s="1" t="str">
        <f t="shared" si="23"/>
        <v>HMB</v>
      </c>
    </row>
    <row r="507" spans="1:9" hidden="1" x14ac:dyDescent="0.25">
      <c r="A507">
        <v>2458413.5405999999</v>
      </c>
      <c r="B507" t="s">
        <v>151</v>
      </c>
      <c r="C507">
        <v>12.509</v>
      </c>
      <c r="D507">
        <v>1.7000000000000001E-2</v>
      </c>
      <c r="E507" t="s">
        <v>1</v>
      </c>
      <c r="F507" t="s">
        <v>94</v>
      </c>
      <c r="G507" s="1">
        <f t="shared" si="21"/>
        <v>8413.5405999999493</v>
      </c>
      <c r="H507" s="1">
        <f t="shared" si="22"/>
        <v>12.509</v>
      </c>
      <c r="I507" s="1" t="str">
        <f t="shared" si="23"/>
        <v>HMB</v>
      </c>
    </row>
    <row r="508" spans="1:9" hidden="1" x14ac:dyDescent="0.25">
      <c r="A508">
        <v>2458414.5374400001</v>
      </c>
      <c r="B508" t="s">
        <v>152</v>
      </c>
      <c r="C508">
        <v>12.522</v>
      </c>
      <c r="D508">
        <v>1.4999999999999999E-2</v>
      </c>
      <c r="E508" t="s">
        <v>1</v>
      </c>
      <c r="F508" t="s">
        <v>94</v>
      </c>
      <c r="G508" s="1">
        <f t="shared" si="21"/>
        <v>8414.5374400001019</v>
      </c>
      <c r="H508" s="1">
        <f t="shared" si="22"/>
        <v>12.522</v>
      </c>
      <c r="I508" s="1" t="str">
        <f t="shared" si="23"/>
        <v>HMB</v>
      </c>
    </row>
    <row r="509" spans="1:9" hidden="1" x14ac:dyDescent="0.25">
      <c r="A509">
        <v>2458414.5378399999</v>
      </c>
      <c r="B509" t="s">
        <v>152</v>
      </c>
      <c r="C509">
        <v>12.521000000000001</v>
      </c>
      <c r="D509">
        <v>1.4999999999999999E-2</v>
      </c>
      <c r="E509" t="s">
        <v>1</v>
      </c>
      <c r="F509" t="s">
        <v>94</v>
      </c>
      <c r="G509" s="1">
        <f t="shared" si="21"/>
        <v>8414.5378399998881</v>
      </c>
      <c r="H509" s="1">
        <f t="shared" si="22"/>
        <v>12.521000000000001</v>
      </c>
      <c r="I509" s="1" t="str">
        <f t="shared" si="23"/>
        <v>HMB</v>
      </c>
    </row>
    <row r="510" spans="1:9" x14ac:dyDescent="0.25">
      <c r="A510">
        <v>2458415.2427500002</v>
      </c>
      <c r="B510" t="s">
        <v>152</v>
      </c>
      <c r="C510">
        <v>12.451000000000001</v>
      </c>
      <c r="D510">
        <v>1.4E-2</v>
      </c>
      <c r="E510" t="s">
        <v>1</v>
      </c>
      <c r="F510" t="s">
        <v>101</v>
      </c>
      <c r="G510" s="1">
        <f t="shared" si="21"/>
        <v>8415.2427500002086</v>
      </c>
      <c r="H510" s="1">
        <f t="shared" si="22"/>
        <v>12.451000000000001</v>
      </c>
      <c r="I510" s="1" t="str">
        <f t="shared" si="23"/>
        <v>DUBF</v>
      </c>
    </row>
    <row r="511" spans="1:9" x14ac:dyDescent="0.25">
      <c r="A511">
        <v>2458415.2430699999</v>
      </c>
      <c r="B511" t="s">
        <v>152</v>
      </c>
      <c r="C511">
        <v>12.438000000000001</v>
      </c>
      <c r="D511">
        <v>1.4E-2</v>
      </c>
      <c r="E511" t="s">
        <v>1</v>
      </c>
      <c r="F511" t="s">
        <v>101</v>
      </c>
      <c r="G511" s="1">
        <f t="shared" si="21"/>
        <v>8415.2430699998513</v>
      </c>
      <c r="H511" s="1">
        <f t="shared" si="22"/>
        <v>12.438000000000001</v>
      </c>
      <c r="I511" s="1" t="str">
        <f t="shared" si="23"/>
        <v>DUBF</v>
      </c>
    </row>
    <row r="512" spans="1:9" hidden="1" x14ac:dyDescent="0.25">
      <c r="A512">
        <v>2458415.4175499999</v>
      </c>
      <c r="B512" t="s">
        <v>152</v>
      </c>
      <c r="C512">
        <v>12.432</v>
      </c>
      <c r="D512">
        <v>0.06</v>
      </c>
      <c r="E512" t="s">
        <v>1</v>
      </c>
      <c r="F512" t="s">
        <v>285</v>
      </c>
      <c r="G512" s="1">
        <f t="shared" si="21"/>
        <v>8415.4175499998964</v>
      </c>
      <c r="H512" s="1">
        <f t="shared" si="22"/>
        <v>12.432</v>
      </c>
      <c r="I512" s="1" t="str">
        <f t="shared" si="23"/>
        <v>VMT</v>
      </c>
    </row>
    <row r="513" spans="1:9" hidden="1" x14ac:dyDescent="0.25">
      <c r="A513">
        <v>2458415.4182899999</v>
      </c>
      <c r="B513" t="s">
        <v>152</v>
      </c>
      <c r="C513">
        <v>12.518000000000001</v>
      </c>
      <c r="D513">
        <v>3.7999999999999999E-2</v>
      </c>
      <c r="E513" t="s">
        <v>1</v>
      </c>
      <c r="F513" t="s">
        <v>285</v>
      </c>
      <c r="G513" s="1">
        <f t="shared" si="21"/>
        <v>8415.4182899999432</v>
      </c>
      <c r="H513" s="1">
        <f t="shared" si="22"/>
        <v>12.518000000000001</v>
      </c>
      <c r="I513" s="1" t="str">
        <f t="shared" si="23"/>
        <v>VMT</v>
      </c>
    </row>
    <row r="514" spans="1:9" hidden="1" x14ac:dyDescent="0.25">
      <c r="A514">
        <v>2458415.5347000002</v>
      </c>
      <c r="B514" t="s">
        <v>153</v>
      </c>
      <c r="C514">
        <v>12.484999999999999</v>
      </c>
      <c r="D514">
        <v>2.1999999999999999E-2</v>
      </c>
      <c r="E514" t="s">
        <v>1</v>
      </c>
      <c r="F514" t="s">
        <v>94</v>
      </c>
      <c r="G514" s="1">
        <f t="shared" si="21"/>
        <v>8415.534700000193</v>
      </c>
      <c r="H514" s="1">
        <f t="shared" si="22"/>
        <v>12.484999999999999</v>
      </c>
      <c r="I514" s="1" t="str">
        <f t="shared" si="23"/>
        <v>HMB</v>
      </c>
    </row>
    <row r="515" spans="1:9" hidden="1" x14ac:dyDescent="0.25">
      <c r="A515">
        <v>2458415.5350899999</v>
      </c>
      <c r="B515" t="s">
        <v>153</v>
      </c>
      <c r="C515">
        <v>12.539</v>
      </c>
      <c r="D515">
        <v>2.1000000000000001E-2</v>
      </c>
      <c r="E515" t="s">
        <v>1</v>
      </c>
      <c r="F515" t="s">
        <v>94</v>
      </c>
      <c r="G515" s="1">
        <f t="shared" ref="G515:G578" si="24">+A515-2450000</f>
        <v>8415.535089999903</v>
      </c>
      <c r="H515" s="1">
        <f t="shared" ref="H515:H578" si="25">+C515</f>
        <v>12.539</v>
      </c>
      <c r="I515" s="1" t="str">
        <f t="shared" ref="I515:I578" si="26">+F515</f>
        <v>HMB</v>
      </c>
    </row>
    <row r="516" spans="1:9" hidden="1" x14ac:dyDescent="0.25">
      <c r="A516">
        <v>2458416.5318900002</v>
      </c>
      <c r="B516" t="s">
        <v>154</v>
      </c>
      <c r="C516">
        <v>12.541</v>
      </c>
      <c r="D516">
        <v>1.4E-2</v>
      </c>
      <c r="E516" t="s">
        <v>1</v>
      </c>
      <c r="F516" t="s">
        <v>94</v>
      </c>
      <c r="G516" s="1">
        <f t="shared" si="24"/>
        <v>8416.5318900002167</v>
      </c>
      <c r="H516" s="1">
        <f t="shared" si="25"/>
        <v>12.541</v>
      </c>
      <c r="I516" s="1" t="str">
        <f t="shared" si="26"/>
        <v>HMB</v>
      </c>
    </row>
    <row r="517" spans="1:9" hidden="1" x14ac:dyDescent="0.25">
      <c r="A517">
        <v>2458416.5322699999</v>
      </c>
      <c r="B517" t="s">
        <v>154</v>
      </c>
      <c r="C517">
        <v>12.502000000000001</v>
      </c>
      <c r="D517">
        <v>1.4E-2</v>
      </c>
      <c r="E517" t="s">
        <v>1</v>
      </c>
      <c r="F517" t="s">
        <v>94</v>
      </c>
      <c r="G517" s="1">
        <f t="shared" si="24"/>
        <v>8416.5322699998505</v>
      </c>
      <c r="H517" s="1">
        <f t="shared" si="25"/>
        <v>12.502000000000001</v>
      </c>
      <c r="I517" s="1" t="str">
        <f t="shared" si="26"/>
        <v>HMB</v>
      </c>
    </row>
    <row r="518" spans="1:9" hidden="1" x14ac:dyDescent="0.25">
      <c r="A518">
        <v>2458417.5326999999</v>
      </c>
      <c r="B518" t="s">
        <v>155</v>
      </c>
      <c r="C518">
        <v>12.483000000000001</v>
      </c>
      <c r="D518">
        <v>1.4999999999999999E-2</v>
      </c>
      <c r="E518" t="s">
        <v>1</v>
      </c>
      <c r="F518" t="s">
        <v>94</v>
      </c>
      <c r="G518" s="1">
        <f t="shared" si="24"/>
        <v>8417.5326999998651</v>
      </c>
      <c r="H518" s="1">
        <f t="shared" si="25"/>
        <v>12.483000000000001</v>
      </c>
      <c r="I518" s="1" t="str">
        <f t="shared" si="26"/>
        <v>HMB</v>
      </c>
    </row>
    <row r="519" spans="1:9" hidden="1" x14ac:dyDescent="0.25">
      <c r="A519">
        <v>2458417.53308</v>
      </c>
      <c r="B519" t="s">
        <v>155</v>
      </c>
      <c r="C519">
        <v>12.488</v>
      </c>
      <c r="D519">
        <v>1.4999999999999999E-2</v>
      </c>
      <c r="E519" t="s">
        <v>1</v>
      </c>
      <c r="F519" t="s">
        <v>94</v>
      </c>
      <c r="G519" s="1">
        <f t="shared" si="24"/>
        <v>8417.5330799999647</v>
      </c>
      <c r="H519" s="1">
        <f t="shared" si="25"/>
        <v>12.488</v>
      </c>
      <c r="I519" s="1" t="str">
        <f t="shared" si="26"/>
        <v>HMB</v>
      </c>
    </row>
    <row r="520" spans="1:9" hidden="1" x14ac:dyDescent="0.25">
      <c r="A520">
        <v>2458418.5272300001</v>
      </c>
      <c r="B520" t="s">
        <v>156</v>
      </c>
      <c r="C520">
        <v>12.553000000000001</v>
      </c>
      <c r="D520">
        <v>1.2E-2</v>
      </c>
      <c r="E520" t="s">
        <v>1</v>
      </c>
      <c r="F520" t="s">
        <v>94</v>
      </c>
      <c r="G520" s="1">
        <f t="shared" si="24"/>
        <v>8418.5272300001234</v>
      </c>
      <c r="H520" s="1">
        <f t="shared" si="25"/>
        <v>12.553000000000001</v>
      </c>
      <c r="I520" s="1" t="str">
        <f t="shared" si="26"/>
        <v>HMB</v>
      </c>
    </row>
    <row r="521" spans="1:9" hidden="1" x14ac:dyDescent="0.25">
      <c r="A521">
        <v>2458418.5276199998</v>
      </c>
      <c r="B521" t="s">
        <v>156</v>
      </c>
      <c r="C521">
        <v>12.53</v>
      </c>
      <c r="D521">
        <v>1.2E-2</v>
      </c>
      <c r="E521" t="s">
        <v>1</v>
      </c>
      <c r="F521" t="s">
        <v>94</v>
      </c>
      <c r="G521" s="1">
        <f t="shared" si="24"/>
        <v>8418.5276199998334</v>
      </c>
      <c r="H521" s="1">
        <f t="shared" si="25"/>
        <v>12.53</v>
      </c>
      <c r="I521" s="1" t="str">
        <f t="shared" si="26"/>
        <v>HMB</v>
      </c>
    </row>
    <row r="522" spans="1:9" hidden="1" x14ac:dyDescent="0.25">
      <c r="A522">
        <v>2458419.3721599998</v>
      </c>
      <c r="B522" t="s">
        <v>156</v>
      </c>
      <c r="C522">
        <v>12.481999999999999</v>
      </c>
      <c r="D522">
        <v>2.7E-2</v>
      </c>
      <c r="E522" t="s">
        <v>1</v>
      </c>
      <c r="F522" t="s">
        <v>285</v>
      </c>
      <c r="G522" s="1">
        <f t="shared" si="24"/>
        <v>8419.3721599997953</v>
      </c>
      <c r="H522" s="1">
        <f t="shared" si="25"/>
        <v>12.481999999999999</v>
      </c>
      <c r="I522" s="1" t="str">
        <f t="shared" si="26"/>
        <v>VMT</v>
      </c>
    </row>
    <row r="523" spans="1:9" hidden="1" x14ac:dyDescent="0.25">
      <c r="A523">
        <v>2458419.3728999998</v>
      </c>
      <c r="B523" t="s">
        <v>156</v>
      </c>
      <c r="C523">
        <v>12.452</v>
      </c>
      <c r="D523">
        <v>3.5999999999999997E-2</v>
      </c>
      <c r="E523" t="s">
        <v>1</v>
      </c>
      <c r="F523" t="s">
        <v>285</v>
      </c>
      <c r="G523" s="1">
        <f t="shared" si="24"/>
        <v>8419.372899999842</v>
      </c>
      <c r="H523" s="1">
        <f t="shared" si="25"/>
        <v>12.452</v>
      </c>
      <c r="I523" s="1" t="str">
        <f t="shared" si="26"/>
        <v>VMT</v>
      </c>
    </row>
    <row r="524" spans="1:9" hidden="1" x14ac:dyDescent="0.25">
      <c r="A524">
        <v>2458419.52715</v>
      </c>
      <c r="B524" t="s">
        <v>157</v>
      </c>
      <c r="C524">
        <v>12.548999999999999</v>
      </c>
      <c r="D524">
        <v>1.2E-2</v>
      </c>
      <c r="E524" t="s">
        <v>1</v>
      </c>
      <c r="F524" t="s">
        <v>94</v>
      </c>
      <c r="G524" s="1">
        <f t="shared" si="24"/>
        <v>8419.5271499999799</v>
      </c>
      <c r="H524" s="1">
        <f t="shared" si="25"/>
        <v>12.548999999999999</v>
      </c>
      <c r="I524" s="1" t="str">
        <f t="shared" si="26"/>
        <v>HMB</v>
      </c>
    </row>
    <row r="525" spans="1:9" hidden="1" x14ac:dyDescent="0.25">
      <c r="A525">
        <v>2458419.5275500002</v>
      </c>
      <c r="B525" t="s">
        <v>157</v>
      </c>
      <c r="C525">
        <v>12.537000000000001</v>
      </c>
      <c r="D525">
        <v>1.2E-2</v>
      </c>
      <c r="E525" t="s">
        <v>1</v>
      </c>
      <c r="F525" t="s">
        <v>94</v>
      </c>
      <c r="G525" s="1">
        <f t="shared" si="24"/>
        <v>8419.5275500002317</v>
      </c>
      <c r="H525" s="1">
        <f t="shared" si="25"/>
        <v>12.537000000000001</v>
      </c>
      <c r="I525" s="1" t="str">
        <f t="shared" si="26"/>
        <v>HMB</v>
      </c>
    </row>
    <row r="526" spans="1:9" x14ac:dyDescent="0.25">
      <c r="A526">
        <v>2458420.2458299999</v>
      </c>
      <c r="B526" t="s">
        <v>157</v>
      </c>
      <c r="C526">
        <v>12.500999999999999</v>
      </c>
      <c r="D526">
        <v>8.9999999999999993E-3</v>
      </c>
      <c r="E526" t="s">
        <v>1</v>
      </c>
      <c r="F526" t="s">
        <v>101</v>
      </c>
      <c r="G526" s="1">
        <f t="shared" si="24"/>
        <v>8420.2458299999125</v>
      </c>
      <c r="H526" s="1">
        <f t="shared" si="25"/>
        <v>12.500999999999999</v>
      </c>
      <c r="I526" s="1" t="str">
        <f t="shared" si="26"/>
        <v>DUBF</v>
      </c>
    </row>
    <row r="527" spans="1:9" x14ac:dyDescent="0.25">
      <c r="A527">
        <v>2458420.2461299999</v>
      </c>
      <c r="B527" t="s">
        <v>157</v>
      </c>
      <c r="C527">
        <v>12.5</v>
      </c>
      <c r="D527">
        <v>8.9999999999999993E-3</v>
      </c>
      <c r="E527" t="s">
        <v>1</v>
      </c>
      <c r="F527" t="s">
        <v>101</v>
      </c>
      <c r="G527" s="1">
        <f t="shared" si="24"/>
        <v>8420.2461299998686</v>
      </c>
      <c r="H527" s="1">
        <f t="shared" si="25"/>
        <v>12.5</v>
      </c>
      <c r="I527" s="1" t="str">
        <f t="shared" si="26"/>
        <v>DUBF</v>
      </c>
    </row>
    <row r="528" spans="1:9" hidden="1" x14ac:dyDescent="0.25">
      <c r="A528">
        <v>2458420.3584199999</v>
      </c>
      <c r="B528" t="s">
        <v>157</v>
      </c>
      <c r="C528">
        <v>12.465999999999999</v>
      </c>
      <c r="D528">
        <v>2.7E-2</v>
      </c>
      <c r="E528" t="s">
        <v>1</v>
      </c>
      <c r="F528" t="s">
        <v>285</v>
      </c>
      <c r="G528" s="1">
        <f t="shared" si="24"/>
        <v>8420.3584199999459</v>
      </c>
      <c r="H528" s="1">
        <f t="shared" si="25"/>
        <v>12.465999999999999</v>
      </c>
      <c r="I528" s="1" t="str">
        <f t="shared" si="26"/>
        <v>VMT</v>
      </c>
    </row>
    <row r="529" spans="1:9" hidden="1" x14ac:dyDescent="0.25">
      <c r="A529">
        <v>2458420.3591499999</v>
      </c>
      <c r="B529" t="s">
        <v>157</v>
      </c>
      <c r="C529">
        <v>12.47</v>
      </c>
      <c r="D529">
        <v>2.3E-2</v>
      </c>
      <c r="E529" t="s">
        <v>1</v>
      </c>
      <c r="F529" t="s">
        <v>285</v>
      </c>
      <c r="G529" s="1">
        <f t="shared" si="24"/>
        <v>8420.3591499999166</v>
      </c>
      <c r="H529" s="1">
        <f t="shared" si="25"/>
        <v>12.47</v>
      </c>
      <c r="I529" s="1" t="str">
        <f t="shared" si="26"/>
        <v>VMT</v>
      </c>
    </row>
    <row r="530" spans="1:9" hidden="1" x14ac:dyDescent="0.25">
      <c r="A530">
        <v>2458420.5244700001</v>
      </c>
      <c r="B530" t="s">
        <v>158</v>
      </c>
      <c r="C530">
        <v>12.552</v>
      </c>
      <c r="D530">
        <v>1.2999999999999999E-2</v>
      </c>
      <c r="E530" t="s">
        <v>1</v>
      </c>
      <c r="F530" t="s">
        <v>94</v>
      </c>
      <c r="G530" s="1">
        <f t="shared" si="24"/>
        <v>8420.5244700000621</v>
      </c>
      <c r="H530" s="1">
        <f t="shared" si="25"/>
        <v>12.552</v>
      </c>
      <c r="I530" s="1" t="str">
        <f t="shared" si="26"/>
        <v>HMB</v>
      </c>
    </row>
    <row r="531" spans="1:9" hidden="1" x14ac:dyDescent="0.25">
      <c r="A531">
        <v>2458420.5248500002</v>
      </c>
      <c r="B531" t="s">
        <v>158</v>
      </c>
      <c r="C531">
        <v>12.529</v>
      </c>
      <c r="D531">
        <v>1.2E-2</v>
      </c>
      <c r="E531" t="s">
        <v>1</v>
      </c>
      <c r="F531" t="s">
        <v>94</v>
      </c>
      <c r="G531" s="1">
        <f t="shared" si="24"/>
        <v>8420.5248500001617</v>
      </c>
      <c r="H531" s="1">
        <f t="shared" si="25"/>
        <v>12.529</v>
      </c>
      <c r="I531" s="1" t="str">
        <f t="shared" si="26"/>
        <v>HMB</v>
      </c>
    </row>
    <row r="532" spans="1:9" x14ac:dyDescent="0.25">
      <c r="A532">
        <v>2458420.6217</v>
      </c>
      <c r="B532" t="s">
        <v>158</v>
      </c>
      <c r="C532">
        <v>12.43</v>
      </c>
      <c r="D532">
        <v>6.4000000000000001E-2</v>
      </c>
      <c r="E532" t="s">
        <v>1</v>
      </c>
      <c r="F532" t="s">
        <v>131</v>
      </c>
      <c r="G532" s="1">
        <f t="shared" si="24"/>
        <v>8420.6217000000179</v>
      </c>
      <c r="H532" s="1">
        <f t="shared" si="25"/>
        <v>12.43</v>
      </c>
      <c r="I532" s="1" t="str">
        <f t="shared" si="26"/>
        <v>HMH</v>
      </c>
    </row>
    <row r="533" spans="1:9" hidden="1" x14ac:dyDescent="0.25">
      <c r="A533">
        <v>2458421.5215599998</v>
      </c>
      <c r="B533" t="s">
        <v>159</v>
      </c>
      <c r="C533">
        <v>12.573</v>
      </c>
      <c r="D533">
        <v>1.2E-2</v>
      </c>
      <c r="E533" t="s">
        <v>1</v>
      </c>
      <c r="F533" t="s">
        <v>94</v>
      </c>
      <c r="G533" s="1">
        <f t="shared" si="24"/>
        <v>8421.52155999979</v>
      </c>
      <c r="H533" s="1">
        <f t="shared" si="25"/>
        <v>12.573</v>
      </c>
      <c r="I533" s="1" t="str">
        <f t="shared" si="26"/>
        <v>HMB</v>
      </c>
    </row>
    <row r="534" spans="1:9" hidden="1" x14ac:dyDescent="0.25">
      <c r="A534">
        <v>2458421.52196</v>
      </c>
      <c r="B534" t="s">
        <v>159</v>
      </c>
      <c r="C534">
        <v>12.542</v>
      </c>
      <c r="D534">
        <v>1.2E-2</v>
      </c>
      <c r="E534" t="s">
        <v>1</v>
      </c>
      <c r="F534" t="s">
        <v>94</v>
      </c>
      <c r="G534" s="1">
        <f t="shared" si="24"/>
        <v>8421.5219600000419</v>
      </c>
      <c r="H534" s="1">
        <f t="shared" si="25"/>
        <v>12.542</v>
      </c>
      <c r="I534" s="1" t="str">
        <f t="shared" si="26"/>
        <v>HMB</v>
      </c>
    </row>
    <row r="535" spans="1:9" hidden="1" x14ac:dyDescent="0.25">
      <c r="A535">
        <v>2458422.35837</v>
      </c>
      <c r="B535" t="s">
        <v>159</v>
      </c>
      <c r="C535">
        <v>12.547000000000001</v>
      </c>
      <c r="D535">
        <v>2.1999999999999999E-2</v>
      </c>
      <c r="E535" t="s">
        <v>1</v>
      </c>
      <c r="F535" t="s">
        <v>285</v>
      </c>
      <c r="G535" s="1">
        <f t="shared" si="24"/>
        <v>8422.3583700000308</v>
      </c>
      <c r="H535" s="1">
        <f t="shared" si="25"/>
        <v>12.547000000000001</v>
      </c>
      <c r="I535" s="1" t="str">
        <f t="shared" si="26"/>
        <v>VMT</v>
      </c>
    </row>
    <row r="536" spans="1:9" hidden="1" x14ac:dyDescent="0.25">
      <c r="A536">
        <v>2458422.3590600002</v>
      </c>
      <c r="B536" t="s">
        <v>159</v>
      </c>
      <c r="C536">
        <v>12.476000000000001</v>
      </c>
      <c r="D536">
        <v>2.1000000000000001E-2</v>
      </c>
      <c r="E536" t="s">
        <v>1</v>
      </c>
      <c r="F536" t="s">
        <v>285</v>
      </c>
      <c r="G536" s="1">
        <f t="shared" si="24"/>
        <v>8422.3590600001626</v>
      </c>
      <c r="H536" s="1">
        <f t="shared" si="25"/>
        <v>12.476000000000001</v>
      </c>
      <c r="I536" s="1" t="str">
        <f t="shared" si="26"/>
        <v>VMT</v>
      </c>
    </row>
    <row r="537" spans="1:9" hidden="1" x14ac:dyDescent="0.25">
      <c r="A537">
        <v>2458422.5189</v>
      </c>
      <c r="B537" t="s">
        <v>160</v>
      </c>
      <c r="C537">
        <v>12.576000000000001</v>
      </c>
      <c r="D537">
        <v>1.2E-2</v>
      </c>
      <c r="E537" t="s">
        <v>1</v>
      </c>
      <c r="F537" t="s">
        <v>94</v>
      </c>
      <c r="G537" s="1">
        <f t="shared" si="24"/>
        <v>8422.5189000000246</v>
      </c>
      <c r="H537" s="1">
        <f t="shared" si="25"/>
        <v>12.576000000000001</v>
      </c>
      <c r="I537" s="1" t="str">
        <f t="shared" si="26"/>
        <v>HMB</v>
      </c>
    </row>
    <row r="538" spans="1:9" hidden="1" x14ac:dyDescent="0.25">
      <c r="A538">
        <v>2458422.5192800001</v>
      </c>
      <c r="B538" t="s">
        <v>160</v>
      </c>
      <c r="C538">
        <v>12.547000000000001</v>
      </c>
      <c r="D538">
        <v>1.2E-2</v>
      </c>
      <c r="E538" t="s">
        <v>1</v>
      </c>
      <c r="F538" t="s">
        <v>94</v>
      </c>
      <c r="G538" s="1">
        <f t="shared" si="24"/>
        <v>8422.5192800001241</v>
      </c>
      <c r="H538" s="1">
        <f t="shared" si="25"/>
        <v>12.547000000000001</v>
      </c>
      <c r="I538" s="1" t="str">
        <f t="shared" si="26"/>
        <v>HMB</v>
      </c>
    </row>
    <row r="539" spans="1:9" x14ac:dyDescent="0.25">
      <c r="A539">
        <v>2458423.21667</v>
      </c>
      <c r="B539" t="s">
        <v>160</v>
      </c>
      <c r="C539">
        <v>12.6</v>
      </c>
      <c r="D539">
        <v>0.05</v>
      </c>
      <c r="E539" t="s">
        <v>1</v>
      </c>
      <c r="F539" t="s">
        <v>5</v>
      </c>
      <c r="G539" s="1">
        <f t="shared" si="24"/>
        <v>8423.2166699999943</v>
      </c>
      <c r="H539" s="1">
        <f t="shared" si="25"/>
        <v>12.6</v>
      </c>
      <c r="I539" s="1" t="str">
        <f t="shared" si="26"/>
        <v>TIA</v>
      </c>
    </row>
    <row r="540" spans="1:9" hidden="1" x14ac:dyDescent="0.25">
      <c r="A540">
        <v>2458423.4013399999</v>
      </c>
      <c r="B540" t="s">
        <v>160</v>
      </c>
      <c r="C540">
        <v>12.563000000000001</v>
      </c>
      <c r="D540">
        <v>2.3E-2</v>
      </c>
      <c r="E540" t="s">
        <v>1</v>
      </c>
      <c r="F540" t="s">
        <v>285</v>
      </c>
      <c r="G540" s="1">
        <f t="shared" si="24"/>
        <v>8423.4013399998657</v>
      </c>
      <c r="H540" s="1">
        <f t="shared" si="25"/>
        <v>12.563000000000001</v>
      </c>
      <c r="I540" s="1" t="str">
        <f t="shared" si="26"/>
        <v>VMT</v>
      </c>
    </row>
    <row r="541" spans="1:9" hidden="1" x14ac:dyDescent="0.25">
      <c r="A541">
        <v>2458423.5193400001</v>
      </c>
      <c r="B541" t="s">
        <v>161</v>
      </c>
      <c r="C541">
        <v>12.555999999999999</v>
      </c>
      <c r="D541">
        <v>1.2E-2</v>
      </c>
      <c r="E541" t="s">
        <v>1</v>
      </c>
      <c r="F541" t="s">
        <v>94</v>
      </c>
      <c r="G541" s="1">
        <f t="shared" si="24"/>
        <v>8423.5193400001153</v>
      </c>
      <c r="H541" s="1">
        <f t="shared" si="25"/>
        <v>12.555999999999999</v>
      </c>
      <c r="I541" s="1" t="str">
        <f t="shared" si="26"/>
        <v>HMB</v>
      </c>
    </row>
    <row r="542" spans="1:9" hidden="1" x14ac:dyDescent="0.25">
      <c r="A542">
        <v>2458423.5197299998</v>
      </c>
      <c r="B542" t="s">
        <v>161</v>
      </c>
      <c r="C542">
        <v>12.569000000000001</v>
      </c>
      <c r="D542">
        <v>1.2E-2</v>
      </c>
      <c r="E542" t="s">
        <v>1</v>
      </c>
      <c r="F542" t="s">
        <v>94</v>
      </c>
      <c r="G542" s="1">
        <f t="shared" si="24"/>
        <v>8423.5197299998254</v>
      </c>
      <c r="H542" s="1">
        <f t="shared" si="25"/>
        <v>12.569000000000001</v>
      </c>
      <c r="I542" s="1" t="str">
        <f t="shared" si="26"/>
        <v>HMB</v>
      </c>
    </row>
    <row r="543" spans="1:9" hidden="1" x14ac:dyDescent="0.25">
      <c r="A543">
        <v>2458424.34986</v>
      </c>
      <c r="B543" t="s">
        <v>161</v>
      </c>
      <c r="C543">
        <v>12.541</v>
      </c>
      <c r="D543">
        <v>3.2000000000000001E-2</v>
      </c>
      <c r="E543" t="s">
        <v>1</v>
      </c>
      <c r="F543" t="s">
        <v>285</v>
      </c>
      <c r="G543" s="1">
        <f t="shared" si="24"/>
        <v>8424.3498599999584</v>
      </c>
      <c r="H543" s="1">
        <f t="shared" si="25"/>
        <v>12.541</v>
      </c>
      <c r="I543" s="1" t="str">
        <f t="shared" si="26"/>
        <v>VMT</v>
      </c>
    </row>
    <row r="544" spans="1:9" hidden="1" x14ac:dyDescent="0.25">
      <c r="A544">
        <v>2458424.3511600001</v>
      </c>
      <c r="B544" t="s">
        <v>161</v>
      </c>
      <c r="C544">
        <v>12.504</v>
      </c>
      <c r="D544">
        <v>4.7E-2</v>
      </c>
      <c r="E544" t="s">
        <v>1</v>
      </c>
      <c r="F544" t="s">
        <v>285</v>
      </c>
      <c r="G544" s="1">
        <f t="shared" si="24"/>
        <v>8424.3511600000784</v>
      </c>
      <c r="H544" s="1">
        <f t="shared" si="25"/>
        <v>12.504</v>
      </c>
      <c r="I544" s="1" t="str">
        <f t="shared" si="26"/>
        <v>VMT</v>
      </c>
    </row>
    <row r="545" spans="1:9" hidden="1" x14ac:dyDescent="0.25">
      <c r="A545">
        <v>2458424.5132599999</v>
      </c>
      <c r="B545" t="s">
        <v>162</v>
      </c>
      <c r="C545">
        <v>12.561</v>
      </c>
      <c r="D545">
        <v>1.2E-2</v>
      </c>
      <c r="E545" t="s">
        <v>1</v>
      </c>
      <c r="F545" t="s">
        <v>94</v>
      </c>
      <c r="G545" s="1">
        <f t="shared" si="24"/>
        <v>8424.5132599999197</v>
      </c>
      <c r="H545" s="1">
        <f t="shared" si="25"/>
        <v>12.561</v>
      </c>
      <c r="I545" s="1" t="str">
        <f t="shared" si="26"/>
        <v>HMB</v>
      </c>
    </row>
    <row r="546" spans="1:9" hidden="1" x14ac:dyDescent="0.25">
      <c r="A546">
        <v>2458424.5136600002</v>
      </c>
      <c r="B546" t="s">
        <v>162</v>
      </c>
      <c r="C546">
        <v>12.595000000000001</v>
      </c>
      <c r="D546">
        <v>1.2E-2</v>
      </c>
      <c r="E546" t="s">
        <v>1</v>
      </c>
      <c r="F546" t="s">
        <v>94</v>
      </c>
      <c r="G546" s="1">
        <f t="shared" si="24"/>
        <v>8424.5136600001715</v>
      </c>
      <c r="H546" s="1">
        <f t="shared" si="25"/>
        <v>12.595000000000001</v>
      </c>
      <c r="I546" s="1" t="str">
        <f t="shared" si="26"/>
        <v>HMB</v>
      </c>
    </row>
    <row r="547" spans="1:9" hidden="1" x14ac:dyDescent="0.25">
      <c r="A547">
        <v>2458425.3478100002</v>
      </c>
      <c r="B547" t="s">
        <v>162</v>
      </c>
      <c r="C547">
        <v>12.532</v>
      </c>
      <c r="D547">
        <v>4.9000000000000002E-2</v>
      </c>
      <c r="E547" t="s">
        <v>1</v>
      </c>
      <c r="F547" t="s">
        <v>285</v>
      </c>
      <c r="G547" s="1">
        <f t="shared" si="24"/>
        <v>8425.3478100001812</v>
      </c>
      <c r="H547" s="1">
        <f t="shared" si="25"/>
        <v>12.532</v>
      </c>
      <c r="I547" s="1" t="str">
        <f t="shared" si="26"/>
        <v>VMT</v>
      </c>
    </row>
    <row r="548" spans="1:9" hidden="1" x14ac:dyDescent="0.25">
      <c r="A548">
        <v>2458425.3485599998</v>
      </c>
      <c r="B548" t="s">
        <v>162</v>
      </c>
      <c r="C548">
        <v>12.446999999999999</v>
      </c>
      <c r="D548">
        <v>4.3999999999999997E-2</v>
      </c>
      <c r="E548" t="s">
        <v>1</v>
      </c>
      <c r="F548" t="s">
        <v>285</v>
      </c>
      <c r="G548" s="1">
        <f t="shared" si="24"/>
        <v>8425.3485599998385</v>
      </c>
      <c r="H548" s="1">
        <f t="shared" si="25"/>
        <v>12.446999999999999</v>
      </c>
      <c r="I548" s="1" t="str">
        <f t="shared" si="26"/>
        <v>VMT</v>
      </c>
    </row>
    <row r="549" spans="1:9" x14ac:dyDescent="0.25">
      <c r="A549">
        <v>2458425.4294199999</v>
      </c>
      <c r="B549" t="s">
        <v>162</v>
      </c>
      <c r="C549">
        <v>12.593</v>
      </c>
      <c r="D549">
        <v>1.9E-2</v>
      </c>
      <c r="E549" t="s">
        <v>1</v>
      </c>
      <c r="F549" t="s">
        <v>101</v>
      </c>
      <c r="G549" s="1">
        <f t="shared" si="24"/>
        <v>8425.4294199999422</v>
      </c>
      <c r="H549" s="1">
        <f t="shared" si="25"/>
        <v>12.593</v>
      </c>
      <c r="I549" s="1" t="str">
        <f t="shared" si="26"/>
        <v>DUBF</v>
      </c>
    </row>
    <row r="550" spans="1:9" x14ac:dyDescent="0.25">
      <c r="A550">
        <v>2458425.42973</v>
      </c>
      <c r="B550" t="s">
        <v>162</v>
      </c>
      <c r="C550">
        <v>12.54</v>
      </c>
      <c r="D550">
        <v>1.9E-2</v>
      </c>
      <c r="E550" t="s">
        <v>1</v>
      </c>
      <c r="F550" t="s">
        <v>101</v>
      </c>
      <c r="G550" s="1">
        <f t="shared" si="24"/>
        <v>8425.4297299999744</v>
      </c>
      <c r="H550" s="1">
        <f t="shared" si="25"/>
        <v>12.54</v>
      </c>
      <c r="I550" s="1" t="str">
        <f t="shared" si="26"/>
        <v>DUBF</v>
      </c>
    </row>
    <row r="551" spans="1:9" hidden="1" x14ac:dyDescent="0.25">
      <c r="A551">
        <v>2458425.5107200001</v>
      </c>
      <c r="B551" t="s">
        <v>163</v>
      </c>
      <c r="C551">
        <v>12.589</v>
      </c>
      <c r="D551">
        <v>1.2E-2</v>
      </c>
      <c r="E551" t="s">
        <v>1</v>
      </c>
      <c r="F551" t="s">
        <v>94</v>
      </c>
      <c r="G551" s="1">
        <f t="shared" si="24"/>
        <v>8425.5107200001366</v>
      </c>
      <c r="H551" s="1">
        <f t="shared" si="25"/>
        <v>12.589</v>
      </c>
      <c r="I551" s="1" t="str">
        <f t="shared" si="26"/>
        <v>HMB</v>
      </c>
    </row>
    <row r="552" spans="1:9" hidden="1" x14ac:dyDescent="0.25">
      <c r="A552">
        <v>2458425.5111099998</v>
      </c>
      <c r="B552" t="s">
        <v>163</v>
      </c>
      <c r="C552">
        <v>12.597</v>
      </c>
      <c r="D552">
        <v>1.2999999999999999E-2</v>
      </c>
      <c r="E552" t="s">
        <v>1</v>
      </c>
      <c r="F552" t="s">
        <v>94</v>
      </c>
      <c r="G552" s="1">
        <f t="shared" si="24"/>
        <v>8425.5111099998467</v>
      </c>
      <c r="H552" s="1">
        <f t="shared" si="25"/>
        <v>12.597</v>
      </c>
      <c r="I552" s="1" t="str">
        <f t="shared" si="26"/>
        <v>HMB</v>
      </c>
    </row>
    <row r="553" spans="1:9" x14ac:dyDescent="0.25">
      <c r="A553">
        <v>2458425.62023</v>
      </c>
      <c r="B553" t="s">
        <v>163</v>
      </c>
      <c r="C553">
        <v>12.435</v>
      </c>
      <c r="D553">
        <v>4.2999999999999997E-2</v>
      </c>
      <c r="E553" t="s">
        <v>1</v>
      </c>
      <c r="F553" t="s">
        <v>131</v>
      </c>
      <c r="G553" s="1">
        <f t="shared" si="24"/>
        <v>8425.6202300000004</v>
      </c>
      <c r="H553" s="1">
        <f t="shared" si="25"/>
        <v>12.435</v>
      </c>
      <c r="I553" s="1" t="str">
        <f t="shared" si="26"/>
        <v>HMH</v>
      </c>
    </row>
    <row r="554" spans="1:9" hidden="1" x14ac:dyDescent="0.25">
      <c r="A554">
        <v>2458426.3478600001</v>
      </c>
      <c r="B554" t="s">
        <v>163</v>
      </c>
      <c r="C554">
        <v>12.456</v>
      </c>
      <c r="D554">
        <v>3.4000000000000002E-2</v>
      </c>
      <c r="E554" t="s">
        <v>1</v>
      </c>
      <c r="F554" t="s">
        <v>285</v>
      </c>
      <c r="G554" s="1">
        <f t="shared" si="24"/>
        <v>8426.3478600000963</v>
      </c>
      <c r="H554" s="1">
        <f t="shared" si="25"/>
        <v>12.456</v>
      </c>
      <c r="I554" s="1" t="str">
        <f t="shared" si="26"/>
        <v>VMT</v>
      </c>
    </row>
    <row r="555" spans="1:9" hidden="1" x14ac:dyDescent="0.25">
      <c r="A555">
        <v>2458426.3484700001</v>
      </c>
      <c r="B555" t="s">
        <v>163</v>
      </c>
      <c r="C555">
        <v>12.515000000000001</v>
      </c>
      <c r="D555">
        <v>3.5999999999999997E-2</v>
      </c>
      <c r="E555" t="s">
        <v>1</v>
      </c>
      <c r="F555" t="s">
        <v>285</v>
      </c>
      <c r="G555" s="1">
        <f t="shared" si="24"/>
        <v>8426.3484700000845</v>
      </c>
      <c r="H555" s="1">
        <f t="shared" si="25"/>
        <v>12.515000000000001</v>
      </c>
      <c r="I555" s="1" t="str">
        <f t="shared" si="26"/>
        <v>VMT</v>
      </c>
    </row>
    <row r="556" spans="1:9" hidden="1" x14ac:dyDescent="0.25">
      <c r="A556">
        <v>2458427.5120000001</v>
      </c>
      <c r="B556" t="s">
        <v>164</v>
      </c>
      <c r="C556">
        <v>12.629</v>
      </c>
      <c r="D556">
        <v>1.2999999999999999E-2</v>
      </c>
      <c r="E556" t="s">
        <v>1</v>
      </c>
      <c r="F556" t="s">
        <v>94</v>
      </c>
      <c r="G556" s="1">
        <f t="shared" si="24"/>
        <v>8427.5120000001043</v>
      </c>
      <c r="H556" s="1">
        <f t="shared" si="25"/>
        <v>12.629</v>
      </c>
      <c r="I556" s="1" t="str">
        <f t="shared" si="26"/>
        <v>HMB</v>
      </c>
    </row>
    <row r="557" spans="1:9" hidden="1" x14ac:dyDescent="0.25">
      <c r="A557">
        <v>2458427.5123800002</v>
      </c>
      <c r="B557" t="s">
        <v>164</v>
      </c>
      <c r="C557">
        <v>12.614000000000001</v>
      </c>
      <c r="D557">
        <v>1.2999999999999999E-2</v>
      </c>
      <c r="E557" t="s">
        <v>1</v>
      </c>
      <c r="F557" t="s">
        <v>94</v>
      </c>
      <c r="G557" s="1">
        <f t="shared" si="24"/>
        <v>8427.5123800002038</v>
      </c>
      <c r="H557" s="1">
        <f t="shared" si="25"/>
        <v>12.614000000000001</v>
      </c>
      <c r="I557" s="1" t="str">
        <f t="shared" si="26"/>
        <v>HMB</v>
      </c>
    </row>
    <row r="558" spans="1:9" x14ac:dyDescent="0.25">
      <c r="A558">
        <v>2458428.2596200001</v>
      </c>
      <c r="B558" t="s">
        <v>164</v>
      </c>
      <c r="C558">
        <v>12.593</v>
      </c>
      <c r="D558">
        <v>1.2E-2</v>
      </c>
      <c r="E558" t="s">
        <v>1</v>
      </c>
      <c r="F558" t="s">
        <v>101</v>
      </c>
      <c r="G558" s="1">
        <f t="shared" si="24"/>
        <v>8428.2596200001426</v>
      </c>
      <c r="H558" s="1">
        <f t="shared" si="25"/>
        <v>12.593</v>
      </c>
      <c r="I558" s="1" t="str">
        <f t="shared" si="26"/>
        <v>DUBF</v>
      </c>
    </row>
    <row r="559" spans="1:9" x14ac:dyDescent="0.25">
      <c r="A559">
        <v>2458428.2599300002</v>
      </c>
      <c r="B559" t="s">
        <v>164</v>
      </c>
      <c r="C559">
        <v>12.555</v>
      </c>
      <c r="D559">
        <v>1.2E-2</v>
      </c>
      <c r="E559" t="s">
        <v>1</v>
      </c>
      <c r="F559" t="s">
        <v>101</v>
      </c>
      <c r="G559" s="1">
        <f t="shared" si="24"/>
        <v>8428.2599300001748</v>
      </c>
      <c r="H559" s="1">
        <f t="shared" si="25"/>
        <v>12.555</v>
      </c>
      <c r="I559" s="1" t="str">
        <f t="shared" si="26"/>
        <v>DUBF</v>
      </c>
    </row>
    <row r="560" spans="1:9" hidden="1" x14ac:dyDescent="0.25">
      <c r="A560">
        <v>2458428.5124300001</v>
      </c>
      <c r="B560" t="s">
        <v>165</v>
      </c>
      <c r="C560">
        <v>12.625999999999999</v>
      </c>
      <c r="D560">
        <v>1.4E-2</v>
      </c>
      <c r="E560" t="s">
        <v>1</v>
      </c>
      <c r="F560" t="s">
        <v>94</v>
      </c>
      <c r="G560" s="1">
        <f t="shared" si="24"/>
        <v>8428.5124300001189</v>
      </c>
      <c r="H560" s="1">
        <f t="shared" si="25"/>
        <v>12.625999999999999</v>
      </c>
      <c r="I560" s="1" t="str">
        <f t="shared" si="26"/>
        <v>HMB</v>
      </c>
    </row>
    <row r="561" spans="1:9" hidden="1" x14ac:dyDescent="0.25">
      <c r="A561">
        <v>2458428.5128100002</v>
      </c>
      <c r="B561" t="s">
        <v>165</v>
      </c>
      <c r="C561">
        <v>12.631</v>
      </c>
      <c r="D561">
        <v>1.4E-2</v>
      </c>
      <c r="E561" t="s">
        <v>1</v>
      </c>
      <c r="F561" t="s">
        <v>94</v>
      </c>
      <c r="G561" s="1">
        <f t="shared" si="24"/>
        <v>8428.5128100002185</v>
      </c>
      <c r="H561" s="1">
        <f t="shared" si="25"/>
        <v>12.631</v>
      </c>
      <c r="I561" s="1" t="str">
        <f t="shared" si="26"/>
        <v>HMB</v>
      </c>
    </row>
    <row r="562" spans="1:9" hidden="1" x14ac:dyDescent="0.25">
      <c r="A562">
        <v>2458429.5128899999</v>
      </c>
      <c r="B562" t="s">
        <v>166</v>
      </c>
      <c r="C562">
        <v>12.641</v>
      </c>
      <c r="D562">
        <v>1.2999999999999999E-2</v>
      </c>
      <c r="E562" t="s">
        <v>1</v>
      </c>
      <c r="F562" t="s">
        <v>94</v>
      </c>
      <c r="G562" s="1">
        <f t="shared" si="24"/>
        <v>8429.5128899998963</v>
      </c>
      <c r="H562" s="1">
        <f t="shared" si="25"/>
        <v>12.641</v>
      </c>
      <c r="I562" s="1" t="str">
        <f t="shared" si="26"/>
        <v>HMB</v>
      </c>
    </row>
    <row r="563" spans="1:9" hidden="1" x14ac:dyDescent="0.25">
      <c r="A563">
        <v>2458429.5132800001</v>
      </c>
      <c r="B563" t="s">
        <v>166</v>
      </c>
      <c r="C563">
        <v>12.628</v>
      </c>
      <c r="D563">
        <v>1.4E-2</v>
      </c>
      <c r="E563" t="s">
        <v>1</v>
      </c>
      <c r="F563" t="s">
        <v>94</v>
      </c>
      <c r="G563" s="1">
        <f t="shared" si="24"/>
        <v>8429.513280000072</v>
      </c>
      <c r="H563" s="1">
        <f t="shared" si="25"/>
        <v>12.628</v>
      </c>
      <c r="I563" s="1" t="str">
        <f t="shared" si="26"/>
        <v>HMB</v>
      </c>
    </row>
    <row r="564" spans="1:9" x14ac:dyDescent="0.25">
      <c r="A564">
        <v>2458429.5956600001</v>
      </c>
      <c r="B564" t="s">
        <v>166</v>
      </c>
      <c r="C564">
        <v>12.515000000000001</v>
      </c>
      <c r="D564">
        <v>7.0000000000000001E-3</v>
      </c>
      <c r="E564" t="s">
        <v>1</v>
      </c>
      <c r="F564" t="s">
        <v>131</v>
      </c>
      <c r="G564" s="1">
        <f t="shared" si="24"/>
        <v>8429.5956600001082</v>
      </c>
      <c r="H564" s="1">
        <f t="shared" si="25"/>
        <v>12.515000000000001</v>
      </c>
      <c r="I564" s="1" t="str">
        <f t="shared" si="26"/>
        <v>HMH</v>
      </c>
    </row>
    <row r="565" spans="1:9" hidden="1" x14ac:dyDescent="0.25">
      <c r="A565">
        <v>2458430.3755800002</v>
      </c>
      <c r="B565" t="s">
        <v>166</v>
      </c>
      <c r="C565">
        <v>12.567</v>
      </c>
      <c r="D565">
        <v>3.5000000000000003E-2</v>
      </c>
      <c r="E565" t="s">
        <v>1</v>
      </c>
      <c r="F565" t="s">
        <v>285</v>
      </c>
      <c r="G565" s="1">
        <f t="shared" si="24"/>
        <v>8430.3755800002255</v>
      </c>
      <c r="H565" s="1">
        <f t="shared" si="25"/>
        <v>12.567</v>
      </c>
      <c r="I565" s="1" t="str">
        <f t="shared" si="26"/>
        <v>VMT</v>
      </c>
    </row>
    <row r="566" spans="1:9" hidden="1" x14ac:dyDescent="0.25">
      <c r="A566">
        <v>2458430.37622</v>
      </c>
      <c r="B566" t="s">
        <v>166</v>
      </c>
      <c r="C566">
        <v>12.494</v>
      </c>
      <c r="D566">
        <v>3.5000000000000003E-2</v>
      </c>
      <c r="E566" t="s">
        <v>1</v>
      </c>
      <c r="F566" t="s">
        <v>285</v>
      </c>
      <c r="G566" s="1">
        <f t="shared" si="24"/>
        <v>8430.3762199999765</v>
      </c>
      <c r="H566" s="1">
        <f t="shared" si="25"/>
        <v>12.494</v>
      </c>
      <c r="I566" s="1" t="str">
        <f t="shared" si="26"/>
        <v>VMT</v>
      </c>
    </row>
    <row r="567" spans="1:9" hidden="1" x14ac:dyDescent="0.25">
      <c r="A567">
        <v>2458430.5131899999</v>
      </c>
      <c r="B567" t="s">
        <v>167</v>
      </c>
      <c r="C567">
        <v>12.631</v>
      </c>
      <c r="D567">
        <v>1.4E-2</v>
      </c>
      <c r="E567" t="s">
        <v>1</v>
      </c>
      <c r="F567" t="s">
        <v>94</v>
      </c>
      <c r="G567" s="1">
        <f t="shared" si="24"/>
        <v>8430.5131899998523</v>
      </c>
      <c r="H567" s="1">
        <f t="shared" si="25"/>
        <v>12.631</v>
      </c>
      <c r="I567" s="1" t="str">
        <f t="shared" si="26"/>
        <v>HMB</v>
      </c>
    </row>
    <row r="568" spans="1:9" hidden="1" x14ac:dyDescent="0.25">
      <c r="A568">
        <v>2458430.51358</v>
      </c>
      <c r="B568" t="s">
        <v>167</v>
      </c>
      <c r="C568">
        <v>12.647</v>
      </c>
      <c r="D568">
        <v>1.4E-2</v>
      </c>
      <c r="E568" t="s">
        <v>1</v>
      </c>
      <c r="F568" t="s">
        <v>94</v>
      </c>
      <c r="G568" s="1">
        <f t="shared" si="24"/>
        <v>8430.513580000028</v>
      </c>
      <c r="H568" s="1">
        <f t="shared" si="25"/>
        <v>12.647</v>
      </c>
      <c r="I568" s="1" t="str">
        <f t="shared" si="26"/>
        <v>HMB</v>
      </c>
    </row>
    <row r="569" spans="1:9" x14ac:dyDescent="0.25">
      <c r="A569">
        <v>2458431.2256499999</v>
      </c>
      <c r="B569" t="s">
        <v>167</v>
      </c>
      <c r="C569">
        <v>12.622</v>
      </c>
      <c r="D569">
        <v>1.4E-2</v>
      </c>
      <c r="E569" t="s">
        <v>1</v>
      </c>
      <c r="F569" t="s">
        <v>101</v>
      </c>
      <c r="G569" s="1">
        <f t="shared" si="24"/>
        <v>8431.2256499999203</v>
      </c>
      <c r="H569" s="1">
        <f t="shared" si="25"/>
        <v>12.622</v>
      </c>
      <c r="I569" s="1" t="str">
        <f t="shared" si="26"/>
        <v>DUBF</v>
      </c>
    </row>
    <row r="570" spans="1:9" hidden="1" x14ac:dyDescent="0.25">
      <c r="A570">
        <v>2458431.5037699998</v>
      </c>
      <c r="B570" t="s">
        <v>168</v>
      </c>
      <c r="C570">
        <v>12.653</v>
      </c>
      <c r="D570">
        <v>1.4E-2</v>
      </c>
      <c r="E570" t="s">
        <v>1</v>
      </c>
      <c r="F570" t="s">
        <v>94</v>
      </c>
      <c r="G570" s="1">
        <f t="shared" si="24"/>
        <v>8431.5037699998356</v>
      </c>
      <c r="H570" s="1">
        <f t="shared" si="25"/>
        <v>12.653</v>
      </c>
      <c r="I570" s="1" t="str">
        <f t="shared" si="26"/>
        <v>HMB</v>
      </c>
    </row>
    <row r="571" spans="1:9" hidden="1" x14ac:dyDescent="0.25">
      <c r="A571">
        <v>2458431.50416</v>
      </c>
      <c r="B571" t="s">
        <v>168</v>
      </c>
      <c r="C571">
        <v>12.675000000000001</v>
      </c>
      <c r="D571">
        <v>1.4E-2</v>
      </c>
      <c r="E571" t="s">
        <v>1</v>
      </c>
      <c r="F571" t="s">
        <v>94</v>
      </c>
      <c r="G571" s="1">
        <f t="shared" si="24"/>
        <v>8431.5041600000113</v>
      </c>
      <c r="H571" s="1">
        <f t="shared" si="25"/>
        <v>12.675000000000001</v>
      </c>
      <c r="I571" s="1" t="str">
        <f t="shared" si="26"/>
        <v>HMB</v>
      </c>
    </row>
    <row r="572" spans="1:9" hidden="1" x14ac:dyDescent="0.25">
      <c r="A572">
        <v>2458432.5032100002</v>
      </c>
      <c r="B572" t="s">
        <v>169</v>
      </c>
      <c r="C572">
        <v>12.691000000000001</v>
      </c>
      <c r="D572">
        <v>1.4E-2</v>
      </c>
      <c r="E572" t="s">
        <v>1</v>
      </c>
      <c r="F572" t="s">
        <v>94</v>
      </c>
      <c r="G572" s="1">
        <f t="shared" si="24"/>
        <v>8432.5032100002281</v>
      </c>
      <c r="H572" s="1">
        <f t="shared" si="25"/>
        <v>12.691000000000001</v>
      </c>
      <c r="I572" s="1" t="str">
        <f t="shared" si="26"/>
        <v>HMB</v>
      </c>
    </row>
    <row r="573" spans="1:9" hidden="1" x14ac:dyDescent="0.25">
      <c r="A573">
        <v>2458432.5035999999</v>
      </c>
      <c r="B573" t="s">
        <v>169</v>
      </c>
      <c r="C573">
        <v>12.68</v>
      </c>
      <c r="D573">
        <v>1.4E-2</v>
      </c>
      <c r="E573" t="s">
        <v>1</v>
      </c>
      <c r="F573" t="s">
        <v>94</v>
      </c>
      <c r="G573" s="1">
        <f t="shared" si="24"/>
        <v>8432.5035999999382</v>
      </c>
      <c r="H573" s="1">
        <f t="shared" si="25"/>
        <v>12.68</v>
      </c>
      <c r="I573" s="1" t="str">
        <f t="shared" si="26"/>
        <v>HMB</v>
      </c>
    </row>
    <row r="574" spans="1:9" x14ac:dyDescent="0.25">
      <c r="A574">
        <v>2458433.2368399999</v>
      </c>
      <c r="B574" t="s">
        <v>169</v>
      </c>
      <c r="C574">
        <v>12.617000000000001</v>
      </c>
      <c r="D574">
        <v>1.0999999999999999E-2</v>
      </c>
      <c r="E574" t="s">
        <v>1</v>
      </c>
      <c r="F574" t="s">
        <v>101</v>
      </c>
      <c r="G574" s="1">
        <f t="shared" si="24"/>
        <v>8433.2368399999104</v>
      </c>
      <c r="H574" s="1">
        <f t="shared" si="25"/>
        <v>12.617000000000001</v>
      </c>
      <c r="I574" s="1" t="str">
        <f t="shared" si="26"/>
        <v>DUBF</v>
      </c>
    </row>
    <row r="575" spans="1:9" x14ac:dyDescent="0.25">
      <c r="A575">
        <v>2458433.2371499999</v>
      </c>
      <c r="B575" t="s">
        <v>169</v>
      </c>
      <c r="C575">
        <v>12.609</v>
      </c>
      <c r="D575">
        <v>1.2E-2</v>
      </c>
      <c r="E575" t="s">
        <v>1</v>
      </c>
      <c r="F575" t="s">
        <v>101</v>
      </c>
      <c r="G575" s="1">
        <f t="shared" si="24"/>
        <v>8433.2371499999426</v>
      </c>
      <c r="H575" s="1">
        <f t="shared" si="25"/>
        <v>12.609</v>
      </c>
      <c r="I575" s="1" t="str">
        <f t="shared" si="26"/>
        <v>DUBF</v>
      </c>
    </row>
    <row r="576" spans="1:9" hidden="1" x14ac:dyDescent="0.25">
      <c r="A576">
        <v>2458433.5035999999</v>
      </c>
      <c r="B576" t="s">
        <v>170</v>
      </c>
      <c r="C576">
        <v>12.708</v>
      </c>
      <c r="D576">
        <v>1.4E-2</v>
      </c>
      <c r="E576" t="s">
        <v>1</v>
      </c>
      <c r="F576" t="s">
        <v>94</v>
      </c>
      <c r="G576" s="1">
        <f t="shared" si="24"/>
        <v>8433.5035999999382</v>
      </c>
      <c r="H576" s="1">
        <f t="shared" si="25"/>
        <v>12.708</v>
      </c>
      <c r="I576" s="1" t="str">
        <f t="shared" si="26"/>
        <v>HMB</v>
      </c>
    </row>
    <row r="577" spans="1:9" hidden="1" x14ac:dyDescent="0.25">
      <c r="A577">
        <v>2458433.50398</v>
      </c>
      <c r="B577" t="s">
        <v>170</v>
      </c>
      <c r="C577">
        <v>12.723000000000001</v>
      </c>
      <c r="D577">
        <v>1.4E-2</v>
      </c>
      <c r="E577" t="s">
        <v>1</v>
      </c>
      <c r="F577" t="s">
        <v>94</v>
      </c>
      <c r="G577" s="1">
        <f t="shared" si="24"/>
        <v>8433.5039800000377</v>
      </c>
      <c r="H577" s="1">
        <f t="shared" si="25"/>
        <v>12.723000000000001</v>
      </c>
      <c r="I577" s="1" t="str">
        <f t="shared" si="26"/>
        <v>HMB</v>
      </c>
    </row>
    <row r="578" spans="1:9" hidden="1" x14ac:dyDescent="0.25">
      <c r="A578">
        <v>2458434.5039499998</v>
      </c>
      <c r="B578" t="s">
        <v>171</v>
      </c>
      <c r="C578">
        <v>12.707000000000001</v>
      </c>
      <c r="D578">
        <v>1.4999999999999999E-2</v>
      </c>
      <c r="E578" t="s">
        <v>1</v>
      </c>
      <c r="F578" t="s">
        <v>94</v>
      </c>
      <c r="G578" s="1">
        <f t="shared" si="24"/>
        <v>8434.5039499998093</v>
      </c>
      <c r="H578" s="1">
        <f t="shared" si="25"/>
        <v>12.707000000000001</v>
      </c>
      <c r="I578" s="1" t="str">
        <f t="shared" si="26"/>
        <v>HMB</v>
      </c>
    </row>
    <row r="579" spans="1:9" hidden="1" x14ac:dyDescent="0.25">
      <c r="A579">
        <v>2458434.5043299999</v>
      </c>
      <c r="B579" t="s">
        <v>171</v>
      </c>
      <c r="C579">
        <v>12.706</v>
      </c>
      <c r="D579">
        <v>1.4999999999999999E-2</v>
      </c>
      <c r="E579" t="s">
        <v>1</v>
      </c>
      <c r="F579" t="s">
        <v>94</v>
      </c>
      <c r="G579" s="1">
        <f t="shared" ref="G579:G642" si="27">+A579-2450000</f>
        <v>8434.5043299999088</v>
      </c>
      <c r="H579" s="1">
        <f t="shared" ref="H579:H642" si="28">+C579</f>
        <v>12.706</v>
      </c>
      <c r="I579" s="1" t="str">
        <f t="shared" ref="I579:I642" si="29">+F579</f>
        <v>HMB</v>
      </c>
    </row>
    <row r="580" spans="1:9" hidden="1" x14ac:dyDescent="0.25">
      <c r="A580">
        <v>2458435.5048000002</v>
      </c>
      <c r="B580" t="s">
        <v>172</v>
      </c>
      <c r="C580">
        <v>12.75</v>
      </c>
      <c r="D580">
        <v>1.4E-2</v>
      </c>
      <c r="E580" t="s">
        <v>1</v>
      </c>
      <c r="F580" t="s">
        <v>94</v>
      </c>
      <c r="G580" s="1">
        <f t="shared" si="27"/>
        <v>8435.504800000228</v>
      </c>
      <c r="H580" s="1">
        <f t="shared" si="28"/>
        <v>12.75</v>
      </c>
      <c r="I580" s="1" t="str">
        <f t="shared" si="29"/>
        <v>HMB</v>
      </c>
    </row>
    <row r="581" spans="1:9" hidden="1" x14ac:dyDescent="0.25">
      <c r="A581">
        <v>2458435.5051899999</v>
      </c>
      <c r="B581" t="s">
        <v>172</v>
      </c>
      <c r="C581">
        <v>12.757</v>
      </c>
      <c r="D581">
        <v>1.4999999999999999E-2</v>
      </c>
      <c r="E581" t="s">
        <v>1</v>
      </c>
      <c r="F581" t="s">
        <v>94</v>
      </c>
      <c r="G581" s="1">
        <f t="shared" si="27"/>
        <v>8435.505189999938</v>
      </c>
      <c r="H581" s="1">
        <f t="shared" si="28"/>
        <v>12.757</v>
      </c>
      <c r="I581" s="1" t="str">
        <f t="shared" si="29"/>
        <v>HMB</v>
      </c>
    </row>
    <row r="582" spans="1:9" hidden="1" x14ac:dyDescent="0.25">
      <c r="A582">
        <v>2458436.5051600002</v>
      </c>
      <c r="B582" t="s">
        <v>173</v>
      </c>
      <c r="C582">
        <v>12.747</v>
      </c>
      <c r="D582">
        <v>1.4999999999999999E-2</v>
      </c>
      <c r="E582" t="s">
        <v>1</v>
      </c>
      <c r="F582" t="s">
        <v>94</v>
      </c>
      <c r="G582" s="1">
        <f t="shared" si="27"/>
        <v>8436.5051600001752</v>
      </c>
      <c r="H582" s="1">
        <f t="shared" si="28"/>
        <v>12.747</v>
      </c>
      <c r="I582" s="1" t="str">
        <f t="shared" si="29"/>
        <v>HMB</v>
      </c>
    </row>
    <row r="583" spans="1:9" hidden="1" x14ac:dyDescent="0.25">
      <c r="A583">
        <v>2458436.50556</v>
      </c>
      <c r="B583" t="s">
        <v>173</v>
      </c>
      <c r="C583">
        <v>12.760999999999999</v>
      </c>
      <c r="D583">
        <v>1.4999999999999999E-2</v>
      </c>
      <c r="E583" t="s">
        <v>1</v>
      </c>
      <c r="F583" t="s">
        <v>94</v>
      </c>
      <c r="G583" s="1">
        <f t="shared" si="27"/>
        <v>8436.5055599999614</v>
      </c>
      <c r="H583" s="1">
        <f t="shared" si="28"/>
        <v>12.760999999999999</v>
      </c>
      <c r="I583" s="1" t="str">
        <f t="shared" si="29"/>
        <v>HMB</v>
      </c>
    </row>
    <row r="584" spans="1:9" x14ac:dyDescent="0.25">
      <c r="A584">
        <v>2458436.61301</v>
      </c>
      <c r="B584" t="s">
        <v>173</v>
      </c>
      <c r="C584">
        <v>12.577</v>
      </c>
      <c r="D584">
        <v>0.09</v>
      </c>
      <c r="E584" t="s">
        <v>1</v>
      </c>
      <c r="F584" t="s">
        <v>131</v>
      </c>
      <c r="G584" s="1">
        <f t="shared" si="27"/>
        <v>8436.6130099999718</v>
      </c>
      <c r="H584" s="1">
        <f t="shared" si="28"/>
        <v>12.577</v>
      </c>
      <c r="I584" s="1" t="str">
        <f t="shared" si="29"/>
        <v>HMH</v>
      </c>
    </row>
    <row r="585" spans="1:9" x14ac:dyDescent="0.25">
      <c r="A585">
        <v>2458437.27373</v>
      </c>
      <c r="B585" t="s">
        <v>173</v>
      </c>
      <c r="C585">
        <v>12.724</v>
      </c>
      <c r="D585">
        <v>1.9E-2</v>
      </c>
      <c r="E585" t="s">
        <v>1</v>
      </c>
      <c r="F585" t="s">
        <v>101</v>
      </c>
      <c r="G585" s="1">
        <f t="shared" si="27"/>
        <v>8437.2737300000153</v>
      </c>
      <c r="H585" s="1">
        <f t="shared" si="28"/>
        <v>12.724</v>
      </c>
      <c r="I585" s="1" t="str">
        <f t="shared" si="29"/>
        <v>DUBF</v>
      </c>
    </row>
    <row r="586" spans="1:9" x14ac:dyDescent="0.25">
      <c r="A586">
        <v>2458437.27403</v>
      </c>
      <c r="B586" t="s">
        <v>173</v>
      </c>
      <c r="C586">
        <v>12.74</v>
      </c>
      <c r="D586">
        <v>1.7999999999999999E-2</v>
      </c>
      <c r="E586" t="s">
        <v>1</v>
      </c>
      <c r="F586" t="s">
        <v>101</v>
      </c>
      <c r="G586" s="1">
        <f t="shared" si="27"/>
        <v>8437.2740299999714</v>
      </c>
      <c r="H586" s="1">
        <f t="shared" si="28"/>
        <v>12.74</v>
      </c>
      <c r="I586" s="1" t="str">
        <f t="shared" si="29"/>
        <v>DUBF</v>
      </c>
    </row>
    <row r="587" spans="1:9" hidden="1" x14ac:dyDescent="0.25">
      <c r="A587">
        <v>2458438.5057999999</v>
      </c>
      <c r="B587" t="s">
        <v>266</v>
      </c>
      <c r="C587">
        <v>12.782999999999999</v>
      </c>
      <c r="D587">
        <v>1.7000000000000001E-2</v>
      </c>
      <c r="E587" t="s">
        <v>1</v>
      </c>
      <c r="F587" t="s">
        <v>94</v>
      </c>
      <c r="G587" s="1">
        <f t="shared" si="27"/>
        <v>8438.5057999999262</v>
      </c>
      <c r="H587" s="1">
        <f t="shared" si="28"/>
        <v>12.782999999999999</v>
      </c>
      <c r="I587" s="1" t="str">
        <f t="shared" si="29"/>
        <v>HMB</v>
      </c>
    </row>
    <row r="588" spans="1:9" hidden="1" x14ac:dyDescent="0.25">
      <c r="A588">
        <v>2458438.5061900001</v>
      </c>
      <c r="B588" t="s">
        <v>266</v>
      </c>
      <c r="C588">
        <v>12.794</v>
      </c>
      <c r="D588">
        <v>1.7000000000000001E-2</v>
      </c>
      <c r="E588" t="s">
        <v>1</v>
      </c>
      <c r="F588" t="s">
        <v>94</v>
      </c>
      <c r="G588" s="1">
        <f t="shared" si="27"/>
        <v>8438.5061900001019</v>
      </c>
      <c r="H588" s="1">
        <f t="shared" si="28"/>
        <v>12.794</v>
      </c>
      <c r="I588" s="1" t="str">
        <f t="shared" si="29"/>
        <v>HMB</v>
      </c>
    </row>
    <row r="589" spans="1:9" x14ac:dyDescent="0.25">
      <c r="A589">
        <v>2458439.1979200002</v>
      </c>
      <c r="B589" t="s">
        <v>266</v>
      </c>
      <c r="C589">
        <v>12.75</v>
      </c>
      <c r="D589">
        <v>0.02</v>
      </c>
      <c r="E589" t="s">
        <v>1</v>
      </c>
      <c r="F589" t="s">
        <v>5</v>
      </c>
      <c r="G589" s="1">
        <f t="shared" si="27"/>
        <v>8439.1979200001806</v>
      </c>
      <c r="H589" s="1">
        <f t="shared" si="28"/>
        <v>12.75</v>
      </c>
      <c r="I589" s="1" t="str">
        <f t="shared" si="29"/>
        <v>TIA</v>
      </c>
    </row>
    <row r="590" spans="1:9" hidden="1" x14ac:dyDescent="0.25">
      <c r="A590">
        <v>2458439.5065199998</v>
      </c>
      <c r="B590" t="s">
        <v>267</v>
      </c>
      <c r="C590">
        <v>12.819000000000001</v>
      </c>
      <c r="D590">
        <v>1.9E-2</v>
      </c>
      <c r="E590" t="s">
        <v>1</v>
      </c>
      <c r="F590" t="s">
        <v>94</v>
      </c>
      <c r="G590" s="1">
        <f t="shared" si="27"/>
        <v>8439.5065199998207</v>
      </c>
      <c r="H590" s="1">
        <f t="shared" si="28"/>
        <v>12.819000000000001</v>
      </c>
      <c r="I590" s="1" t="str">
        <f t="shared" si="29"/>
        <v>HMB</v>
      </c>
    </row>
    <row r="591" spans="1:9" hidden="1" x14ac:dyDescent="0.25">
      <c r="A591">
        <v>2458439.5068999999</v>
      </c>
      <c r="B591" t="s">
        <v>267</v>
      </c>
      <c r="C591">
        <v>12.855</v>
      </c>
      <c r="D591">
        <v>1.9E-2</v>
      </c>
      <c r="E591" t="s">
        <v>1</v>
      </c>
      <c r="F591" t="s">
        <v>94</v>
      </c>
      <c r="G591" s="1">
        <f t="shared" si="27"/>
        <v>8439.5068999999203</v>
      </c>
      <c r="H591" s="1">
        <f t="shared" si="28"/>
        <v>12.855</v>
      </c>
      <c r="I591" s="1" t="str">
        <f t="shared" si="29"/>
        <v>HMB</v>
      </c>
    </row>
    <row r="592" spans="1:9" x14ac:dyDescent="0.25">
      <c r="A592">
        <v>2458440.35091</v>
      </c>
      <c r="B592" t="s">
        <v>267</v>
      </c>
      <c r="C592">
        <v>12.826000000000001</v>
      </c>
      <c r="D592">
        <v>2.4E-2</v>
      </c>
      <c r="E592" t="s">
        <v>1</v>
      </c>
      <c r="F592" t="s">
        <v>101</v>
      </c>
      <c r="G592" s="1">
        <f t="shared" si="27"/>
        <v>8440.3509100000374</v>
      </c>
      <c r="H592" s="1">
        <f t="shared" si="28"/>
        <v>12.826000000000001</v>
      </c>
      <c r="I592" s="1" t="str">
        <f t="shared" si="29"/>
        <v>DUBF</v>
      </c>
    </row>
    <row r="593" spans="1:9" x14ac:dyDescent="0.25">
      <c r="A593">
        <v>2458440.3512300001</v>
      </c>
      <c r="B593" t="s">
        <v>267</v>
      </c>
      <c r="C593">
        <v>12.816000000000001</v>
      </c>
      <c r="D593">
        <v>2.4E-2</v>
      </c>
      <c r="E593" t="s">
        <v>1</v>
      </c>
      <c r="F593" t="s">
        <v>101</v>
      </c>
      <c r="G593" s="1">
        <f t="shared" si="27"/>
        <v>8440.3512300001457</v>
      </c>
      <c r="H593" s="1">
        <f t="shared" si="28"/>
        <v>12.816000000000001</v>
      </c>
      <c r="I593" s="1" t="str">
        <f t="shared" si="29"/>
        <v>DUBF</v>
      </c>
    </row>
    <row r="594" spans="1:9" hidden="1" x14ac:dyDescent="0.25">
      <c r="A594">
        <v>2458440.50728</v>
      </c>
      <c r="B594" t="s">
        <v>268</v>
      </c>
      <c r="C594">
        <v>12.834</v>
      </c>
      <c r="D594">
        <v>2.1000000000000001E-2</v>
      </c>
      <c r="E594" t="s">
        <v>1</v>
      </c>
      <c r="F594" t="s">
        <v>94</v>
      </c>
      <c r="G594" s="1">
        <f t="shared" si="27"/>
        <v>8440.5072800000198</v>
      </c>
      <c r="H594" s="1">
        <f t="shared" si="28"/>
        <v>12.834</v>
      </c>
      <c r="I594" s="1" t="str">
        <f t="shared" si="29"/>
        <v>HMB</v>
      </c>
    </row>
    <row r="595" spans="1:9" hidden="1" x14ac:dyDescent="0.25">
      <c r="A595">
        <v>2458440.5076600001</v>
      </c>
      <c r="B595" t="s">
        <v>268</v>
      </c>
      <c r="C595">
        <v>12.801</v>
      </c>
      <c r="D595">
        <v>0.02</v>
      </c>
      <c r="E595" t="s">
        <v>1</v>
      </c>
      <c r="F595" t="s">
        <v>94</v>
      </c>
      <c r="G595" s="1">
        <f t="shared" si="27"/>
        <v>8440.5076600001194</v>
      </c>
      <c r="H595" s="1">
        <f t="shared" si="28"/>
        <v>12.801</v>
      </c>
      <c r="I595" s="1" t="str">
        <f t="shared" si="29"/>
        <v>HMB</v>
      </c>
    </row>
    <row r="596" spans="1:9" hidden="1" x14ac:dyDescent="0.25">
      <c r="A596">
        <v>2458441.5106500001</v>
      </c>
      <c r="B596" t="s">
        <v>269</v>
      </c>
      <c r="C596">
        <v>12.86</v>
      </c>
      <c r="D596">
        <v>0.02</v>
      </c>
      <c r="E596" t="s">
        <v>1</v>
      </c>
      <c r="F596" t="s">
        <v>94</v>
      </c>
      <c r="G596" s="1">
        <f t="shared" si="27"/>
        <v>8441.5106500000693</v>
      </c>
      <c r="H596" s="1">
        <f t="shared" si="28"/>
        <v>12.86</v>
      </c>
      <c r="I596" s="1" t="str">
        <f t="shared" si="29"/>
        <v>HMB</v>
      </c>
    </row>
    <row r="597" spans="1:9" hidden="1" x14ac:dyDescent="0.25">
      <c r="A597">
        <v>2458441.5110399998</v>
      </c>
      <c r="B597" t="s">
        <v>269</v>
      </c>
      <c r="C597">
        <v>12.855</v>
      </c>
      <c r="D597">
        <v>2.1000000000000001E-2</v>
      </c>
      <c r="E597" t="s">
        <v>1</v>
      </c>
      <c r="F597" t="s">
        <v>94</v>
      </c>
      <c r="G597" s="1">
        <f t="shared" si="27"/>
        <v>8441.5110399997793</v>
      </c>
      <c r="H597" s="1">
        <f t="shared" si="28"/>
        <v>12.855</v>
      </c>
      <c r="I597" s="1" t="str">
        <f t="shared" si="29"/>
        <v>HMB</v>
      </c>
    </row>
    <row r="598" spans="1:9" hidden="1" x14ac:dyDescent="0.25">
      <c r="A598">
        <v>2458442.5107399998</v>
      </c>
      <c r="B598" t="s">
        <v>270</v>
      </c>
      <c r="C598">
        <v>12.86</v>
      </c>
      <c r="D598">
        <v>2.1999999999999999E-2</v>
      </c>
      <c r="E598" t="s">
        <v>1</v>
      </c>
      <c r="F598" t="s">
        <v>94</v>
      </c>
      <c r="G598" s="1">
        <f t="shared" si="27"/>
        <v>8442.5107399998233</v>
      </c>
      <c r="H598" s="1">
        <f t="shared" si="28"/>
        <v>12.86</v>
      </c>
      <c r="I598" s="1" t="str">
        <f t="shared" si="29"/>
        <v>HMB</v>
      </c>
    </row>
    <row r="599" spans="1:9" hidden="1" x14ac:dyDescent="0.25">
      <c r="A599">
        <v>2458442.51113</v>
      </c>
      <c r="B599" t="s">
        <v>270</v>
      </c>
      <c r="C599">
        <v>12.898999999999999</v>
      </c>
      <c r="D599">
        <v>2.1999999999999999E-2</v>
      </c>
      <c r="E599" t="s">
        <v>1</v>
      </c>
      <c r="F599" t="s">
        <v>94</v>
      </c>
      <c r="G599" s="1">
        <f t="shared" si="27"/>
        <v>8442.511129999999</v>
      </c>
      <c r="H599" s="1">
        <f t="shared" si="28"/>
        <v>12.898999999999999</v>
      </c>
      <c r="I599" s="1" t="str">
        <f t="shared" si="29"/>
        <v>HMB</v>
      </c>
    </row>
    <row r="600" spans="1:9" x14ac:dyDescent="0.25">
      <c r="A600">
        <v>2458442.6449000002</v>
      </c>
      <c r="B600" t="s">
        <v>270</v>
      </c>
      <c r="C600">
        <v>12.583</v>
      </c>
      <c r="D600">
        <v>0.13300000000000001</v>
      </c>
      <c r="E600" t="s">
        <v>1</v>
      </c>
      <c r="F600" t="s">
        <v>131</v>
      </c>
      <c r="G600" s="1">
        <f t="shared" si="27"/>
        <v>8442.6449000001885</v>
      </c>
      <c r="H600" s="1">
        <f t="shared" si="28"/>
        <v>12.583</v>
      </c>
      <c r="I600" s="1" t="str">
        <f t="shared" si="29"/>
        <v>HMH</v>
      </c>
    </row>
    <row r="601" spans="1:9" hidden="1" x14ac:dyDescent="0.25">
      <c r="A601">
        <v>2458443.5111699998</v>
      </c>
      <c r="B601" t="s">
        <v>271</v>
      </c>
      <c r="C601">
        <v>12.868</v>
      </c>
      <c r="D601">
        <v>2.8000000000000001E-2</v>
      </c>
      <c r="E601" t="s">
        <v>1</v>
      </c>
      <c r="F601" t="s">
        <v>94</v>
      </c>
      <c r="G601" s="1">
        <f t="shared" si="27"/>
        <v>8443.5111699998379</v>
      </c>
      <c r="H601" s="1">
        <f t="shared" si="28"/>
        <v>12.868</v>
      </c>
      <c r="I601" s="1" t="str">
        <f t="shared" si="29"/>
        <v>HMB</v>
      </c>
    </row>
    <row r="602" spans="1:9" hidden="1" x14ac:dyDescent="0.25">
      <c r="A602">
        <v>2458443.51156</v>
      </c>
      <c r="B602" t="s">
        <v>271</v>
      </c>
      <c r="C602">
        <v>12.898</v>
      </c>
      <c r="D602">
        <v>2.9000000000000001E-2</v>
      </c>
      <c r="E602" t="s">
        <v>1</v>
      </c>
      <c r="F602" t="s">
        <v>94</v>
      </c>
      <c r="G602" s="1">
        <f t="shared" si="27"/>
        <v>8443.5115600000136</v>
      </c>
      <c r="H602" s="1">
        <f t="shared" si="28"/>
        <v>12.898</v>
      </c>
      <c r="I602" s="1" t="str">
        <f t="shared" si="29"/>
        <v>HMB</v>
      </c>
    </row>
    <row r="603" spans="1:9" hidden="1" x14ac:dyDescent="0.25">
      <c r="A603">
        <v>2458444.5121200001</v>
      </c>
      <c r="B603" t="s">
        <v>272</v>
      </c>
      <c r="C603">
        <v>12.961</v>
      </c>
      <c r="D603">
        <v>3.4000000000000002E-2</v>
      </c>
      <c r="E603" t="s">
        <v>1</v>
      </c>
      <c r="F603" t="s">
        <v>94</v>
      </c>
      <c r="G603" s="1">
        <f t="shared" si="27"/>
        <v>8444.5121200000867</v>
      </c>
      <c r="H603" s="1">
        <f t="shared" si="28"/>
        <v>12.961</v>
      </c>
      <c r="I603" s="1" t="str">
        <f t="shared" si="29"/>
        <v>HMB</v>
      </c>
    </row>
    <row r="604" spans="1:9" hidden="1" x14ac:dyDescent="0.25">
      <c r="A604">
        <v>2458444.5125099998</v>
      </c>
      <c r="B604" t="s">
        <v>272</v>
      </c>
      <c r="C604">
        <v>12.894</v>
      </c>
      <c r="D604">
        <v>3.3000000000000002E-2</v>
      </c>
      <c r="E604" t="s">
        <v>1</v>
      </c>
      <c r="F604" t="s">
        <v>94</v>
      </c>
      <c r="G604" s="1">
        <f t="shared" si="27"/>
        <v>8444.5125099997967</v>
      </c>
      <c r="H604" s="1">
        <f t="shared" si="28"/>
        <v>12.894</v>
      </c>
      <c r="I604" s="1" t="str">
        <f t="shared" si="29"/>
        <v>HMB</v>
      </c>
    </row>
    <row r="605" spans="1:9" hidden="1" x14ac:dyDescent="0.25">
      <c r="A605">
        <v>2458445.5038000001</v>
      </c>
      <c r="B605" t="s">
        <v>274</v>
      </c>
      <c r="C605">
        <v>12.898999999999999</v>
      </c>
      <c r="D605">
        <v>3.3000000000000002E-2</v>
      </c>
      <c r="E605" t="s">
        <v>1</v>
      </c>
      <c r="F605" t="s">
        <v>94</v>
      </c>
      <c r="G605" s="1">
        <f t="shared" si="27"/>
        <v>8445.5038000000641</v>
      </c>
      <c r="H605" s="1">
        <f t="shared" si="28"/>
        <v>12.898999999999999</v>
      </c>
      <c r="I605" s="1" t="str">
        <f t="shared" si="29"/>
        <v>HMB</v>
      </c>
    </row>
    <row r="606" spans="1:9" hidden="1" x14ac:dyDescent="0.25">
      <c r="A606">
        <v>2458445.5041800002</v>
      </c>
      <c r="B606" t="s">
        <v>274</v>
      </c>
      <c r="C606">
        <v>12.83</v>
      </c>
      <c r="D606">
        <v>3.1E-2</v>
      </c>
      <c r="E606" t="s">
        <v>1</v>
      </c>
      <c r="F606" t="s">
        <v>94</v>
      </c>
      <c r="G606" s="1">
        <f t="shared" si="27"/>
        <v>8445.5041800001636</v>
      </c>
      <c r="H606" s="1">
        <f t="shared" si="28"/>
        <v>12.83</v>
      </c>
      <c r="I606" s="1" t="str">
        <f t="shared" si="29"/>
        <v>HMB</v>
      </c>
    </row>
    <row r="607" spans="1:9" hidden="1" x14ac:dyDescent="0.25">
      <c r="A607">
        <v>2458446.5043500001</v>
      </c>
      <c r="B607" t="s">
        <v>275</v>
      </c>
      <c r="C607">
        <v>12.914</v>
      </c>
      <c r="D607">
        <v>2.5999999999999999E-2</v>
      </c>
      <c r="E607" t="s">
        <v>1</v>
      </c>
      <c r="F607" t="s">
        <v>94</v>
      </c>
      <c r="G607" s="1">
        <f t="shared" si="27"/>
        <v>8446.5043500000611</v>
      </c>
      <c r="H607" s="1">
        <f t="shared" si="28"/>
        <v>12.914</v>
      </c>
      <c r="I607" s="1" t="str">
        <f t="shared" si="29"/>
        <v>HMB</v>
      </c>
    </row>
    <row r="608" spans="1:9" hidden="1" x14ac:dyDescent="0.25">
      <c r="A608">
        <v>2458446.5047300002</v>
      </c>
      <c r="B608" t="s">
        <v>275</v>
      </c>
      <c r="C608">
        <v>13.005000000000001</v>
      </c>
      <c r="D608">
        <v>2.5999999999999999E-2</v>
      </c>
      <c r="E608" t="s">
        <v>1</v>
      </c>
      <c r="F608" t="s">
        <v>94</v>
      </c>
      <c r="G608" s="1">
        <f t="shared" si="27"/>
        <v>8446.5047300001606</v>
      </c>
      <c r="H608" s="1">
        <f t="shared" si="28"/>
        <v>13.005000000000001</v>
      </c>
      <c r="I608" s="1" t="str">
        <f t="shared" si="29"/>
        <v>HMB</v>
      </c>
    </row>
    <row r="609" spans="1:9" hidden="1" x14ac:dyDescent="0.25">
      <c r="A609">
        <v>2458447.5047499998</v>
      </c>
      <c r="B609" t="s">
        <v>276</v>
      </c>
      <c r="C609">
        <v>12.925000000000001</v>
      </c>
      <c r="D609">
        <v>2.3E-2</v>
      </c>
      <c r="E609" t="s">
        <v>1</v>
      </c>
      <c r="F609" t="s">
        <v>94</v>
      </c>
      <c r="G609" s="1">
        <f t="shared" si="27"/>
        <v>8447.5047499998473</v>
      </c>
      <c r="H609" s="1">
        <f t="shared" si="28"/>
        <v>12.925000000000001</v>
      </c>
      <c r="I609" s="1" t="str">
        <f t="shared" si="29"/>
        <v>HMB</v>
      </c>
    </row>
    <row r="610" spans="1:9" hidden="1" x14ac:dyDescent="0.25">
      <c r="A610">
        <v>2458447.50514</v>
      </c>
      <c r="B610" t="s">
        <v>276</v>
      </c>
      <c r="C610">
        <v>13.004</v>
      </c>
      <c r="D610">
        <v>2.3E-2</v>
      </c>
      <c r="E610" t="s">
        <v>1</v>
      </c>
      <c r="F610" t="s">
        <v>94</v>
      </c>
      <c r="G610" s="1">
        <f t="shared" si="27"/>
        <v>8447.5051400000229</v>
      </c>
      <c r="H610" s="1">
        <f t="shared" si="28"/>
        <v>13.004</v>
      </c>
      <c r="I610" s="1" t="str">
        <f t="shared" si="29"/>
        <v>HMB</v>
      </c>
    </row>
    <row r="611" spans="1:9" hidden="1" x14ac:dyDescent="0.25">
      <c r="A611">
        <v>2458448.5054899999</v>
      </c>
      <c r="B611" t="s">
        <v>277</v>
      </c>
      <c r="C611">
        <v>12.957000000000001</v>
      </c>
      <c r="D611">
        <v>2.4E-2</v>
      </c>
      <c r="E611" t="s">
        <v>1</v>
      </c>
      <c r="F611" t="s">
        <v>94</v>
      </c>
      <c r="G611" s="1">
        <f t="shared" si="27"/>
        <v>8448.5054899998941</v>
      </c>
      <c r="H611" s="1">
        <f t="shared" si="28"/>
        <v>12.957000000000001</v>
      </c>
      <c r="I611" s="1" t="str">
        <f t="shared" si="29"/>
        <v>HMB</v>
      </c>
    </row>
    <row r="612" spans="1:9" hidden="1" x14ac:dyDescent="0.25">
      <c r="A612">
        <v>2458448.5058800001</v>
      </c>
      <c r="B612" t="s">
        <v>277</v>
      </c>
      <c r="C612">
        <v>12.954000000000001</v>
      </c>
      <c r="D612">
        <v>2.1999999999999999E-2</v>
      </c>
      <c r="E612" t="s">
        <v>1</v>
      </c>
      <c r="F612" t="s">
        <v>94</v>
      </c>
      <c r="G612" s="1">
        <f t="shared" si="27"/>
        <v>8448.5058800000697</v>
      </c>
      <c r="H612" s="1">
        <f t="shared" si="28"/>
        <v>12.954000000000001</v>
      </c>
      <c r="I612" s="1" t="str">
        <f t="shared" si="29"/>
        <v>HMB</v>
      </c>
    </row>
    <row r="613" spans="1:9" hidden="1" x14ac:dyDescent="0.25">
      <c r="A613">
        <v>2458449.5056400001</v>
      </c>
      <c r="B613" t="s">
        <v>278</v>
      </c>
      <c r="C613">
        <v>12.962999999999999</v>
      </c>
      <c r="D613">
        <v>2.3E-2</v>
      </c>
      <c r="E613" t="s">
        <v>1</v>
      </c>
      <c r="F613" t="s">
        <v>94</v>
      </c>
      <c r="G613" s="1">
        <f t="shared" si="27"/>
        <v>8449.5056400001049</v>
      </c>
      <c r="H613" s="1">
        <f t="shared" si="28"/>
        <v>12.962999999999999</v>
      </c>
      <c r="I613" s="1" t="str">
        <f t="shared" si="29"/>
        <v>HMB</v>
      </c>
    </row>
    <row r="614" spans="1:9" hidden="1" x14ac:dyDescent="0.25">
      <c r="A614">
        <v>2458449.5060299998</v>
      </c>
      <c r="B614" t="s">
        <v>278</v>
      </c>
      <c r="C614">
        <v>12.968</v>
      </c>
      <c r="D614">
        <v>2.7E-2</v>
      </c>
      <c r="E614" t="s">
        <v>1</v>
      </c>
      <c r="F614" t="s">
        <v>94</v>
      </c>
      <c r="G614" s="1">
        <f t="shared" si="27"/>
        <v>8449.5060299998149</v>
      </c>
      <c r="H614" s="1">
        <f t="shared" si="28"/>
        <v>12.968</v>
      </c>
      <c r="I614" s="1" t="str">
        <f t="shared" si="29"/>
        <v>HMB</v>
      </c>
    </row>
    <row r="615" spans="1:9" hidden="1" x14ac:dyDescent="0.25">
      <c r="A615">
        <v>2458450.5034500002</v>
      </c>
      <c r="B615" t="s">
        <v>279</v>
      </c>
      <c r="C615">
        <v>13.006</v>
      </c>
      <c r="D615">
        <v>2.7E-2</v>
      </c>
      <c r="E615" t="s">
        <v>1</v>
      </c>
      <c r="F615" t="s">
        <v>94</v>
      </c>
      <c r="G615" s="1">
        <f t="shared" si="27"/>
        <v>8450.503450000193</v>
      </c>
      <c r="H615" s="1">
        <f t="shared" si="28"/>
        <v>13.006</v>
      </c>
      <c r="I615" s="1" t="str">
        <f t="shared" si="29"/>
        <v>HMB</v>
      </c>
    </row>
    <row r="616" spans="1:9" hidden="1" x14ac:dyDescent="0.25">
      <c r="A616">
        <v>2458450.5038299998</v>
      </c>
      <c r="B616" t="s">
        <v>279</v>
      </c>
      <c r="C616">
        <v>12.997999999999999</v>
      </c>
      <c r="D616">
        <v>2.7E-2</v>
      </c>
      <c r="E616" t="s">
        <v>1</v>
      </c>
      <c r="F616" t="s">
        <v>94</v>
      </c>
      <c r="G616" s="1">
        <f t="shared" si="27"/>
        <v>8450.5038299998268</v>
      </c>
      <c r="H616" s="1">
        <f t="shared" si="28"/>
        <v>12.997999999999999</v>
      </c>
      <c r="I616" s="1" t="str">
        <f t="shared" si="29"/>
        <v>HMB</v>
      </c>
    </row>
    <row r="617" spans="1:9" hidden="1" x14ac:dyDescent="0.25">
      <c r="A617">
        <v>2458451.5039900001</v>
      </c>
      <c r="B617" t="s">
        <v>280</v>
      </c>
      <c r="C617">
        <v>12.967000000000001</v>
      </c>
      <c r="D617">
        <v>2.9000000000000001E-2</v>
      </c>
      <c r="E617" t="s">
        <v>1</v>
      </c>
      <c r="F617" t="s">
        <v>94</v>
      </c>
      <c r="G617" s="1">
        <f t="shared" si="27"/>
        <v>8451.5039900001138</v>
      </c>
      <c r="H617" s="1">
        <f t="shared" si="28"/>
        <v>12.967000000000001</v>
      </c>
      <c r="I617" s="1" t="str">
        <f t="shared" si="29"/>
        <v>HMB</v>
      </c>
    </row>
    <row r="618" spans="1:9" hidden="1" x14ac:dyDescent="0.25">
      <c r="A618">
        <v>2458451.5043799998</v>
      </c>
      <c r="B618" t="s">
        <v>280</v>
      </c>
      <c r="C618">
        <v>12.904</v>
      </c>
      <c r="D618">
        <v>2.8000000000000001E-2</v>
      </c>
      <c r="E618" t="s">
        <v>1</v>
      </c>
      <c r="F618" t="s">
        <v>94</v>
      </c>
      <c r="G618" s="1">
        <f t="shared" si="27"/>
        <v>8451.5043799998239</v>
      </c>
      <c r="H618" s="1">
        <f t="shared" si="28"/>
        <v>12.904</v>
      </c>
      <c r="I618" s="1" t="str">
        <f t="shared" si="29"/>
        <v>HMB</v>
      </c>
    </row>
    <row r="619" spans="1:9" x14ac:dyDescent="0.25">
      <c r="A619">
        <v>2458453.2187199998</v>
      </c>
      <c r="B619" t="s">
        <v>281</v>
      </c>
      <c r="C619">
        <v>12.951000000000001</v>
      </c>
      <c r="D619">
        <v>1.4999999999999999E-2</v>
      </c>
      <c r="E619" t="s">
        <v>1</v>
      </c>
      <c r="F619" t="s">
        <v>101</v>
      </c>
      <c r="G619" s="1">
        <f t="shared" si="27"/>
        <v>8453.2187199997716</v>
      </c>
      <c r="H619" s="1">
        <f t="shared" si="28"/>
        <v>12.951000000000001</v>
      </c>
      <c r="I619" s="1" t="str">
        <f t="shared" si="29"/>
        <v>DUBF</v>
      </c>
    </row>
    <row r="620" spans="1:9" x14ac:dyDescent="0.25">
      <c r="A620">
        <v>2458453.2190299998</v>
      </c>
      <c r="B620" t="s">
        <v>281</v>
      </c>
      <c r="C620">
        <v>12.936</v>
      </c>
      <c r="D620">
        <v>1.4999999999999999E-2</v>
      </c>
      <c r="E620" t="s">
        <v>1</v>
      </c>
      <c r="F620" t="s">
        <v>101</v>
      </c>
      <c r="G620" s="1">
        <f t="shared" si="27"/>
        <v>8453.2190299998038</v>
      </c>
      <c r="H620" s="1">
        <f t="shared" si="28"/>
        <v>12.936</v>
      </c>
      <c r="I620" s="1" t="str">
        <f t="shared" si="29"/>
        <v>DUBF</v>
      </c>
    </row>
    <row r="621" spans="1:9" x14ac:dyDescent="0.25">
      <c r="A621">
        <v>2458462.2132999999</v>
      </c>
      <c r="B621" t="s">
        <v>282</v>
      </c>
      <c r="C621">
        <v>13.007</v>
      </c>
      <c r="D621">
        <v>1.7000000000000001E-2</v>
      </c>
      <c r="E621" t="s">
        <v>1</v>
      </c>
      <c r="F621" t="s">
        <v>101</v>
      </c>
      <c r="G621" s="1">
        <f t="shared" si="27"/>
        <v>8462.2132999999449</v>
      </c>
      <c r="H621" s="1">
        <f t="shared" si="28"/>
        <v>13.007</v>
      </c>
      <c r="I621" s="1" t="str">
        <f t="shared" si="29"/>
        <v>DUBF</v>
      </c>
    </row>
    <row r="622" spans="1:9" x14ac:dyDescent="0.25">
      <c r="A622">
        <v>2458462.21361</v>
      </c>
      <c r="B622" t="s">
        <v>282</v>
      </c>
      <c r="C622">
        <v>12.978</v>
      </c>
      <c r="D622">
        <v>1.7000000000000001E-2</v>
      </c>
      <c r="E622" t="s">
        <v>1</v>
      </c>
      <c r="F622" t="s">
        <v>101</v>
      </c>
      <c r="G622" s="1">
        <f t="shared" si="27"/>
        <v>8462.2136099999771</v>
      </c>
      <c r="H622" s="1">
        <f t="shared" si="28"/>
        <v>12.978</v>
      </c>
      <c r="I622" s="1" t="str">
        <f t="shared" si="29"/>
        <v>DUBF</v>
      </c>
    </row>
    <row r="623" spans="1:9" x14ac:dyDescent="0.25">
      <c r="A623">
        <v>2458464.25875</v>
      </c>
      <c r="B623" t="s">
        <v>283</v>
      </c>
      <c r="C623">
        <v>12.964</v>
      </c>
      <c r="D623">
        <v>1.4999999999999999E-2</v>
      </c>
      <c r="E623" t="s">
        <v>1</v>
      </c>
      <c r="F623" t="s">
        <v>101</v>
      </c>
      <c r="G623" s="1">
        <f t="shared" si="27"/>
        <v>8464.2587500000373</v>
      </c>
      <c r="H623" s="1">
        <f t="shared" si="28"/>
        <v>12.964</v>
      </c>
      <c r="I623" s="1" t="str">
        <f t="shared" si="29"/>
        <v>DUBF</v>
      </c>
    </row>
    <row r="624" spans="1:9" x14ac:dyDescent="0.25">
      <c r="A624">
        <v>2458464.2590600001</v>
      </c>
      <c r="B624" t="s">
        <v>283</v>
      </c>
      <c r="C624">
        <v>13.013</v>
      </c>
      <c r="D624">
        <v>1.6E-2</v>
      </c>
      <c r="E624" t="s">
        <v>1</v>
      </c>
      <c r="F624" t="s">
        <v>101</v>
      </c>
      <c r="G624" s="1">
        <f t="shared" si="27"/>
        <v>8464.2590600000694</v>
      </c>
      <c r="H624" s="1">
        <f t="shared" si="28"/>
        <v>13.013</v>
      </c>
      <c r="I624" s="1" t="str">
        <f t="shared" si="29"/>
        <v>DUBF</v>
      </c>
    </row>
    <row r="625" spans="1:9" hidden="1" x14ac:dyDescent="0.25">
      <c r="A625">
        <v>2458467.2542699999</v>
      </c>
      <c r="B625" t="s">
        <v>284</v>
      </c>
      <c r="C625">
        <v>13.015000000000001</v>
      </c>
      <c r="D625">
        <v>4.7E-2</v>
      </c>
      <c r="E625" t="s">
        <v>1</v>
      </c>
      <c r="F625" t="s">
        <v>285</v>
      </c>
      <c r="G625" s="1">
        <f t="shared" si="27"/>
        <v>8467.2542699999176</v>
      </c>
      <c r="H625" s="1">
        <f t="shared" si="28"/>
        <v>13.015000000000001</v>
      </c>
      <c r="I625" s="1" t="str">
        <f t="shared" si="29"/>
        <v>VMT</v>
      </c>
    </row>
    <row r="626" spans="1:9" hidden="1" x14ac:dyDescent="0.25">
      <c r="A626">
        <v>2458467.2550599999</v>
      </c>
      <c r="B626" t="s">
        <v>284</v>
      </c>
      <c r="C626">
        <v>12.99</v>
      </c>
      <c r="D626">
        <v>4.8000000000000001E-2</v>
      </c>
      <c r="E626" t="s">
        <v>1</v>
      </c>
      <c r="F626" t="s">
        <v>285</v>
      </c>
      <c r="G626" s="1">
        <f t="shared" si="27"/>
        <v>8467.2550599998794</v>
      </c>
      <c r="H626" s="1">
        <f t="shared" si="28"/>
        <v>12.99</v>
      </c>
      <c r="I626" s="1" t="str">
        <f t="shared" si="29"/>
        <v>VMT</v>
      </c>
    </row>
    <row r="627" spans="1:9" hidden="1" x14ac:dyDescent="0.25">
      <c r="A627">
        <v>2458470.2539599999</v>
      </c>
      <c r="B627" t="s">
        <v>286</v>
      </c>
      <c r="C627">
        <v>13.061</v>
      </c>
      <c r="D627">
        <v>5.5E-2</v>
      </c>
      <c r="E627" t="s">
        <v>1</v>
      </c>
      <c r="F627" t="s">
        <v>285</v>
      </c>
      <c r="G627" s="1">
        <f t="shared" si="27"/>
        <v>8470.2539599998854</v>
      </c>
      <c r="H627" s="1">
        <f t="shared" si="28"/>
        <v>13.061</v>
      </c>
      <c r="I627" s="1" t="str">
        <f t="shared" si="29"/>
        <v>VMT</v>
      </c>
    </row>
    <row r="628" spans="1:9" hidden="1" x14ac:dyDescent="0.25">
      <c r="A628">
        <v>2458470.2546399999</v>
      </c>
      <c r="B628" t="s">
        <v>286</v>
      </c>
      <c r="C628">
        <v>12.981999999999999</v>
      </c>
      <c r="D628">
        <v>5.0999999999999997E-2</v>
      </c>
      <c r="E628" t="s">
        <v>1</v>
      </c>
      <c r="F628" t="s">
        <v>285</v>
      </c>
      <c r="G628" s="1">
        <f t="shared" si="27"/>
        <v>8470.254639999941</v>
      </c>
      <c r="H628" s="1">
        <f t="shared" si="28"/>
        <v>12.981999999999999</v>
      </c>
      <c r="I628" s="1" t="str">
        <f t="shared" si="29"/>
        <v>VMT</v>
      </c>
    </row>
    <row r="629" spans="1:9" hidden="1" x14ac:dyDescent="0.25">
      <c r="A629">
        <v>2458470.2554700002</v>
      </c>
      <c r="B629" t="s">
        <v>286</v>
      </c>
      <c r="C629">
        <v>13.044</v>
      </c>
      <c r="D629">
        <v>5.2999999999999999E-2</v>
      </c>
      <c r="E629" t="s">
        <v>1</v>
      </c>
      <c r="F629" t="s">
        <v>285</v>
      </c>
      <c r="G629" s="1">
        <f t="shared" si="27"/>
        <v>8470.2554700002074</v>
      </c>
      <c r="H629" s="1">
        <f t="shared" si="28"/>
        <v>13.044</v>
      </c>
      <c r="I629" s="1" t="str">
        <f t="shared" si="29"/>
        <v>VMT</v>
      </c>
    </row>
    <row r="630" spans="1:9" hidden="1" x14ac:dyDescent="0.25">
      <c r="A630">
        <v>2458470.2561599999</v>
      </c>
      <c r="B630" t="s">
        <v>286</v>
      </c>
      <c r="C630">
        <v>13.019</v>
      </c>
      <c r="D630">
        <v>5.0999999999999997E-2</v>
      </c>
      <c r="E630" t="s">
        <v>1</v>
      </c>
      <c r="F630" t="s">
        <v>285</v>
      </c>
      <c r="G630" s="1">
        <f t="shared" si="27"/>
        <v>8470.2561599998735</v>
      </c>
      <c r="H630" s="1">
        <f t="shared" si="28"/>
        <v>13.019</v>
      </c>
      <c r="I630" s="1" t="str">
        <f t="shared" si="29"/>
        <v>VMT</v>
      </c>
    </row>
    <row r="631" spans="1:9" hidden="1" x14ac:dyDescent="0.25">
      <c r="A631">
        <v>2458472.2867200002</v>
      </c>
      <c r="B631" t="s">
        <v>287</v>
      </c>
      <c r="C631">
        <v>13.005000000000001</v>
      </c>
      <c r="D631">
        <v>5.6000000000000001E-2</v>
      </c>
      <c r="E631" t="s">
        <v>1</v>
      </c>
      <c r="F631" t="s">
        <v>285</v>
      </c>
      <c r="G631" s="1">
        <f t="shared" si="27"/>
        <v>8472.2867200002074</v>
      </c>
      <c r="H631" s="1">
        <f t="shared" si="28"/>
        <v>13.005000000000001</v>
      </c>
      <c r="I631" s="1" t="str">
        <f t="shared" si="29"/>
        <v>VMT</v>
      </c>
    </row>
    <row r="632" spans="1:9" hidden="1" x14ac:dyDescent="0.25">
      <c r="A632">
        <v>2458472.2873800001</v>
      </c>
      <c r="B632" t="s">
        <v>287</v>
      </c>
      <c r="C632">
        <v>13.276</v>
      </c>
      <c r="D632">
        <v>0.121</v>
      </c>
      <c r="E632" t="s">
        <v>1</v>
      </c>
      <c r="F632" t="s">
        <v>285</v>
      </c>
      <c r="G632" s="1">
        <f t="shared" si="27"/>
        <v>8472.2873800001107</v>
      </c>
      <c r="H632" s="1">
        <f t="shared" si="28"/>
        <v>13.276</v>
      </c>
      <c r="I632" s="1" t="str">
        <f t="shared" si="29"/>
        <v>VMT</v>
      </c>
    </row>
    <row r="633" spans="1:9" hidden="1" x14ac:dyDescent="0.25">
      <c r="A633">
        <v>2458472.2880699998</v>
      </c>
      <c r="B633" t="s">
        <v>287</v>
      </c>
      <c r="C633">
        <v>13.117000000000001</v>
      </c>
      <c r="D633">
        <v>8.2000000000000003E-2</v>
      </c>
      <c r="E633" t="s">
        <v>1</v>
      </c>
      <c r="F633" t="s">
        <v>285</v>
      </c>
      <c r="G633" s="1">
        <f t="shared" si="27"/>
        <v>8472.2880699997768</v>
      </c>
      <c r="H633" s="1">
        <f t="shared" si="28"/>
        <v>13.117000000000001</v>
      </c>
      <c r="I633" s="1" t="str">
        <f t="shared" si="29"/>
        <v>VMT</v>
      </c>
    </row>
    <row r="634" spans="1:9" hidden="1" x14ac:dyDescent="0.25">
      <c r="A634">
        <v>2458472.2887400002</v>
      </c>
      <c r="B634" t="s">
        <v>287</v>
      </c>
      <c r="C634">
        <v>12.856</v>
      </c>
      <c r="D634">
        <v>0.09</v>
      </c>
      <c r="E634" t="s">
        <v>1</v>
      </c>
      <c r="F634" t="s">
        <v>285</v>
      </c>
      <c r="G634" s="1">
        <f t="shared" si="27"/>
        <v>8472.2887400002219</v>
      </c>
      <c r="H634" s="1">
        <f t="shared" si="28"/>
        <v>12.856</v>
      </c>
      <c r="I634" s="1" t="str">
        <f t="shared" si="29"/>
        <v>VMT</v>
      </c>
    </row>
    <row r="635" spans="1:9" hidden="1" x14ac:dyDescent="0.25">
      <c r="A635">
        <v>2458475.25991</v>
      </c>
      <c r="B635" t="s">
        <v>288</v>
      </c>
      <c r="C635">
        <v>12.875999999999999</v>
      </c>
      <c r="D635">
        <v>0.123</v>
      </c>
      <c r="E635" t="s">
        <v>1</v>
      </c>
      <c r="F635" t="s">
        <v>285</v>
      </c>
      <c r="G635" s="1">
        <f t="shared" si="27"/>
        <v>8475.2599100000225</v>
      </c>
      <c r="H635" s="1">
        <f t="shared" si="28"/>
        <v>12.875999999999999</v>
      </c>
      <c r="I635" s="1" t="str">
        <f t="shared" si="29"/>
        <v>VMT</v>
      </c>
    </row>
    <row r="636" spans="1:9" x14ac:dyDescent="0.25">
      <c r="A636">
        <v>2458478.3030699999</v>
      </c>
      <c r="B636" t="s">
        <v>289</v>
      </c>
      <c r="C636">
        <v>13.141999999999999</v>
      </c>
      <c r="D636">
        <v>9.6000000000000002E-2</v>
      </c>
      <c r="E636" t="s">
        <v>1</v>
      </c>
      <c r="F636" t="s">
        <v>101</v>
      </c>
      <c r="G636" s="1">
        <f t="shared" si="27"/>
        <v>8478.3030699999072</v>
      </c>
      <c r="H636" s="1">
        <f t="shared" si="28"/>
        <v>13.141999999999999</v>
      </c>
      <c r="I636" s="1" t="str">
        <f t="shared" si="29"/>
        <v>DUBF</v>
      </c>
    </row>
    <row r="637" spans="1:9" x14ac:dyDescent="0.25">
      <c r="A637">
        <v>2458478.3033799999</v>
      </c>
      <c r="B637" t="s">
        <v>289</v>
      </c>
      <c r="C637">
        <v>13.265000000000001</v>
      </c>
      <c r="D637">
        <v>0.104</v>
      </c>
      <c r="E637" t="s">
        <v>1</v>
      </c>
      <c r="F637" t="s">
        <v>101</v>
      </c>
      <c r="G637" s="1">
        <f t="shared" si="27"/>
        <v>8478.3033799999394</v>
      </c>
      <c r="H637" s="1">
        <f t="shared" si="28"/>
        <v>13.265000000000001</v>
      </c>
      <c r="I637" s="1" t="str">
        <f t="shared" si="29"/>
        <v>DUBF</v>
      </c>
    </row>
    <row r="638" spans="1:9" x14ac:dyDescent="0.25">
      <c r="A638">
        <v>2458479.21074</v>
      </c>
      <c r="B638" t="s">
        <v>290</v>
      </c>
      <c r="C638">
        <v>13.186999999999999</v>
      </c>
      <c r="D638">
        <v>0.06</v>
      </c>
      <c r="E638" t="s">
        <v>1</v>
      </c>
      <c r="F638" t="s">
        <v>101</v>
      </c>
      <c r="G638" s="1">
        <f t="shared" si="27"/>
        <v>8479.2107400000095</v>
      </c>
      <c r="H638" s="1">
        <f t="shared" si="28"/>
        <v>13.186999999999999</v>
      </c>
      <c r="I638" s="1" t="str">
        <f t="shared" si="29"/>
        <v>DUBF</v>
      </c>
    </row>
    <row r="639" spans="1:9" x14ac:dyDescent="0.25">
      <c r="A639">
        <v>2458479.21105</v>
      </c>
      <c r="B639" t="s">
        <v>290</v>
      </c>
      <c r="C639">
        <v>13.103999999999999</v>
      </c>
      <c r="D639">
        <v>5.6000000000000001E-2</v>
      </c>
      <c r="E639" t="s">
        <v>1</v>
      </c>
      <c r="F639" t="s">
        <v>101</v>
      </c>
      <c r="G639" s="1">
        <f t="shared" si="27"/>
        <v>8479.2110500000417</v>
      </c>
      <c r="H639" s="1">
        <f t="shared" si="28"/>
        <v>13.103999999999999</v>
      </c>
      <c r="I639" s="1" t="str">
        <f t="shared" si="29"/>
        <v>DUBF</v>
      </c>
    </row>
    <row r="640" spans="1:9" x14ac:dyDescent="0.25">
      <c r="A640">
        <v>2458487.2130700001</v>
      </c>
      <c r="B640" t="s">
        <v>291</v>
      </c>
      <c r="C640">
        <v>13.237</v>
      </c>
      <c r="D640">
        <v>5.5E-2</v>
      </c>
      <c r="E640" t="s">
        <v>1</v>
      </c>
      <c r="F640" t="s">
        <v>101</v>
      </c>
      <c r="G640" s="1">
        <f t="shared" si="27"/>
        <v>8487.2130700000562</v>
      </c>
      <c r="H640" s="1">
        <f t="shared" si="28"/>
        <v>13.237</v>
      </c>
      <c r="I640" s="1" t="str">
        <f t="shared" si="29"/>
        <v>DUBF</v>
      </c>
    </row>
    <row r="641" spans="1:9" x14ac:dyDescent="0.25">
      <c r="A641">
        <v>2458487.2133800001</v>
      </c>
      <c r="B641" t="s">
        <v>291</v>
      </c>
      <c r="C641">
        <v>13.175000000000001</v>
      </c>
      <c r="D641">
        <v>5.0999999999999997E-2</v>
      </c>
      <c r="E641" t="s">
        <v>1</v>
      </c>
      <c r="F641" t="s">
        <v>101</v>
      </c>
      <c r="G641" s="1">
        <f t="shared" si="27"/>
        <v>8487.2133800000884</v>
      </c>
      <c r="H641" s="1">
        <f t="shared" si="28"/>
        <v>13.175000000000001</v>
      </c>
      <c r="I641" s="1" t="str">
        <f t="shared" si="29"/>
        <v>DUBF</v>
      </c>
    </row>
    <row r="642" spans="1:9" x14ac:dyDescent="0.25">
      <c r="A642">
        <v>2458577.62163</v>
      </c>
      <c r="B642" t="s">
        <v>310</v>
      </c>
      <c r="C642">
        <v>13.736000000000001</v>
      </c>
      <c r="D642">
        <v>2.8000000000000001E-2</v>
      </c>
      <c r="E642" t="s">
        <v>1</v>
      </c>
      <c r="F642" t="s">
        <v>101</v>
      </c>
      <c r="G642" s="1">
        <f t="shared" si="27"/>
        <v>8577.6216299999505</v>
      </c>
      <c r="H642" s="1">
        <f t="shared" si="28"/>
        <v>13.736000000000001</v>
      </c>
      <c r="I642" s="1" t="str">
        <f t="shared" si="29"/>
        <v>DUBF</v>
      </c>
    </row>
    <row r="643" spans="1:9" x14ac:dyDescent="0.25">
      <c r="A643">
        <v>2458577.62194</v>
      </c>
      <c r="B643" t="s">
        <v>310</v>
      </c>
      <c r="C643">
        <v>13.691000000000001</v>
      </c>
      <c r="D643">
        <v>2.5999999999999999E-2</v>
      </c>
      <c r="E643" t="s">
        <v>1</v>
      </c>
      <c r="F643" t="s">
        <v>101</v>
      </c>
      <c r="G643" s="1">
        <f t="shared" ref="G643:G706" si="30">+A643-2450000</f>
        <v>8577.6219399999827</v>
      </c>
      <c r="H643" s="1">
        <f t="shared" ref="H643:H706" si="31">+C643</f>
        <v>13.691000000000001</v>
      </c>
      <c r="I643" s="1" t="str">
        <f t="shared" ref="I643:I706" si="32">+F643</f>
        <v>DUBF</v>
      </c>
    </row>
    <row r="644" spans="1:9" x14ac:dyDescent="0.25">
      <c r="A644">
        <v>2458597.6404300001</v>
      </c>
      <c r="B644" t="s">
        <v>311</v>
      </c>
      <c r="C644">
        <v>13.946</v>
      </c>
      <c r="D644">
        <v>6.9000000000000006E-2</v>
      </c>
      <c r="E644" t="s">
        <v>1</v>
      </c>
      <c r="F644" t="s">
        <v>101</v>
      </c>
      <c r="G644" s="1">
        <f t="shared" si="30"/>
        <v>8597.640430000145</v>
      </c>
      <c r="H644" s="1">
        <f t="shared" si="31"/>
        <v>13.946</v>
      </c>
      <c r="I644" s="1" t="str">
        <f t="shared" si="32"/>
        <v>DUBF</v>
      </c>
    </row>
    <row r="645" spans="1:9" x14ac:dyDescent="0.25">
      <c r="A645">
        <v>2458597.6407400002</v>
      </c>
      <c r="B645" t="s">
        <v>311</v>
      </c>
      <c r="C645">
        <v>13.912000000000001</v>
      </c>
      <c r="D645">
        <v>6.6000000000000003E-2</v>
      </c>
      <c r="E645" t="s">
        <v>1</v>
      </c>
      <c r="F645" t="s">
        <v>101</v>
      </c>
      <c r="G645" s="1">
        <f t="shared" si="30"/>
        <v>8597.6407400001772</v>
      </c>
      <c r="H645" s="1">
        <f t="shared" si="31"/>
        <v>13.912000000000001</v>
      </c>
      <c r="I645" s="1" t="str">
        <f t="shared" si="32"/>
        <v>DUBF</v>
      </c>
    </row>
    <row r="646" spans="1:9" x14ac:dyDescent="0.25">
      <c r="A646">
        <v>2458643.44973</v>
      </c>
      <c r="B646" t="s">
        <v>312</v>
      </c>
      <c r="C646">
        <v>14.003</v>
      </c>
      <c r="D646">
        <v>6.6000000000000003E-2</v>
      </c>
      <c r="E646" t="s">
        <v>1</v>
      </c>
      <c r="F646" t="s">
        <v>101</v>
      </c>
      <c r="G646" s="1">
        <f t="shared" si="30"/>
        <v>8643.449729999993</v>
      </c>
      <c r="H646" s="1">
        <f t="shared" si="31"/>
        <v>14.003</v>
      </c>
      <c r="I646" s="1" t="str">
        <f t="shared" si="32"/>
        <v>DUBF</v>
      </c>
    </row>
    <row r="647" spans="1:9" x14ac:dyDescent="0.25">
      <c r="A647">
        <v>2458643.4500500001</v>
      </c>
      <c r="B647" t="s">
        <v>312</v>
      </c>
      <c r="C647">
        <v>14.105</v>
      </c>
      <c r="D647">
        <v>8.3000000000000004E-2</v>
      </c>
      <c r="E647" t="s">
        <v>1</v>
      </c>
      <c r="F647" t="s">
        <v>101</v>
      </c>
      <c r="G647" s="1">
        <f t="shared" si="30"/>
        <v>8643.4500500001013</v>
      </c>
      <c r="H647" s="1">
        <f t="shared" si="31"/>
        <v>14.105</v>
      </c>
      <c r="I647" s="1" t="str">
        <f t="shared" si="32"/>
        <v>DUBF</v>
      </c>
    </row>
    <row r="648" spans="1:9" x14ac:dyDescent="0.25">
      <c r="A648">
        <v>2458649.7823999999</v>
      </c>
      <c r="B648" t="s">
        <v>313</v>
      </c>
      <c r="C648">
        <v>13.914999999999999</v>
      </c>
      <c r="D648">
        <v>1.9E-2</v>
      </c>
      <c r="E648" t="s">
        <v>1</v>
      </c>
      <c r="F648" t="s">
        <v>131</v>
      </c>
      <c r="G648" s="1">
        <f t="shared" si="30"/>
        <v>8649.7823999999091</v>
      </c>
      <c r="H648" s="1">
        <f t="shared" si="31"/>
        <v>13.914999999999999</v>
      </c>
      <c r="I648" s="1" t="str">
        <f t="shared" si="32"/>
        <v>HMH</v>
      </c>
    </row>
    <row r="649" spans="1:9" x14ac:dyDescent="0.25">
      <c r="A649">
        <v>2458654.7356599998</v>
      </c>
      <c r="B649" t="s">
        <v>314</v>
      </c>
      <c r="C649">
        <v>13.852</v>
      </c>
      <c r="D649">
        <v>8.4000000000000005E-2</v>
      </c>
      <c r="E649" t="s">
        <v>1</v>
      </c>
      <c r="F649" t="s">
        <v>131</v>
      </c>
      <c r="G649" s="1">
        <f t="shared" si="30"/>
        <v>8654.7356599997729</v>
      </c>
      <c r="H649" s="1">
        <f t="shared" si="31"/>
        <v>13.852</v>
      </c>
      <c r="I649" s="1" t="str">
        <f t="shared" si="32"/>
        <v>HMH</v>
      </c>
    </row>
    <row r="650" spans="1:9" x14ac:dyDescent="0.25">
      <c r="A650">
        <v>2458663.4421199998</v>
      </c>
      <c r="B650" t="s">
        <v>315</v>
      </c>
      <c r="C650">
        <v>13.877000000000001</v>
      </c>
      <c r="D650">
        <v>0.03</v>
      </c>
      <c r="E650" t="s">
        <v>1</v>
      </c>
      <c r="F650" t="s">
        <v>101</v>
      </c>
      <c r="G650" s="1">
        <f t="shared" si="30"/>
        <v>8663.4421199997887</v>
      </c>
      <c r="H650" s="1">
        <f t="shared" si="31"/>
        <v>13.877000000000001</v>
      </c>
      <c r="I650" s="1" t="str">
        <f t="shared" si="32"/>
        <v>DUBF</v>
      </c>
    </row>
    <row r="651" spans="1:9" x14ac:dyDescent="0.25">
      <c r="A651">
        <v>2458663.4424399999</v>
      </c>
      <c r="B651" t="s">
        <v>315</v>
      </c>
      <c r="C651">
        <v>13.831</v>
      </c>
      <c r="D651">
        <v>0.03</v>
      </c>
      <c r="E651" t="s">
        <v>1</v>
      </c>
      <c r="F651" t="s">
        <v>101</v>
      </c>
      <c r="G651" s="1">
        <f t="shared" si="30"/>
        <v>8663.442439999897</v>
      </c>
      <c r="H651" s="1">
        <f t="shared" si="31"/>
        <v>13.831</v>
      </c>
      <c r="I651" s="1" t="str">
        <f t="shared" si="32"/>
        <v>DUBF</v>
      </c>
    </row>
    <row r="652" spans="1:9" x14ac:dyDescent="0.25">
      <c r="A652">
        <v>2458664.4152799998</v>
      </c>
      <c r="B652" t="s">
        <v>316</v>
      </c>
      <c r="C652">
        <v>13.87</v>
      </c>
      <c r="D652">
        <v>2.5000000000000001E-2</v>
      </c>
      <c r="E652" t="s">
        <v>1</v>
      </c>
      <c r="F652" t="s">
        <v>5</v>
      </c>
      <c r="G652" s="1">
        <f t="shared" si="30"/>
        <v>8664.415279999841</v>
      </c>
      <c r="H652" s="1">
        <f t="shared" si="31"/>
        <v>13.87</v>
      </c>
      <c r="I652" s="1" t="str">
        <f t="shared" si="32"/>
        <v>TIA</v>
      </c>
    </row>
    <row r="653" spans="1:9" x14ac:dyDescent="0.25">
      <c r="A653">
        <v>2458665.7539599999</v>
      </c>
      <c r="B653" t="s">
        <v>317</v>
      </c>
      <c r="C653">
        <v>13.835000000000001</v>
      </c>
      <c r="D653">
        <v>7.8E-2</v>
      </c>
      <c r="E653" t="s">
        <v>1</v>
      </c>
      <c r="F653" t="s">
        <v>131</v>
      </c>
      <c r="G653" s="1">
        <f t="shared" si="30"/>
        <v>8665.7539599998854</v>
      </c>
      <c r="H653" s="1">
        <f t="shared" si="31"/>
        <v>13.835000000000001</v>
      </c>
      <c r="I653" s="1" t="str">
        <f t="shared" si="32"/>
        <v>HMH</v>
      </c>
    </row>
    <row r="654" spans="1:9" x14ac:dyDescent="0.25">
      <c r="A654">
        <v>2458672.4241300002</v>
      </c>
      <c r="B654" t="s">
        <v>318</v>
      </c>
      <c r="C654">
        <v>13.868</v>
      </c>
      <c r="D654">
        <v>3.5000000000000003E-2</v>
      </c>
      <c r="E654" t="s">
        <v>1</v>
      </c>
      <c r="F654" t="s">
        <v>101</v>
      </c>
      <c r="G654" s="1">
        <f t="shared" si="30"/>
        <v>8672.424130000174</v>
      </c>
      <c r="H654" s="1">
        <f t="shared" si="31"/>
        <v>13.868</v>
      </c>
      <c r="I654" s="1" t="str">
        <f t="shared" si="32"/>
        <v>DUBF</v>
      </c>
    </row>
    <row r="655" spans="1:9" x14ac:dyDescent="0.25">
      <c r="A655">
        <v>2458672.4244400002</v>
      </c>
      <c r="B655" t="s">
        <v>318</v>
      </c>
      <c r="C655">
        <v>13.897</v>
      </c>
      <c r="D655">
        <v>3.5000000000000003E-2</v>
      </c>
      <c r="E655" t="s">
        <v>1</v>
      </c>
      <c r="F655" t="s">
        <v>101</v>
      </c>
      <c r="G655" s="1">
        <f t="shared" si="30"/>
        <v>8672.4244400002062</v>
      </c>
      <c r="H655" s="1">
        <f t="shared" si="31"/>
        <v>13.897</v>
      </c>
      <c r="I655" s="1" t="str">
        <f t="shared" si="32"/>
        <v>DUBF</v>
      </c>
    </row>
    <row r="656" spans="1:9" x14ac:dyDescent="0.25">
      <c r="A656">
        <v>2458677.7314800001</v>
      </c>
      <c r="B656" t="s">
        <v>319</v>
      </c>
      <c r="C656">
        <v>13.827999999999999</v>
      </c>
      <c r="D656">
        <v>2.7E-2</v>
      </c>
      <c r="E656" t="s">
        <v>1</v>
      </c>
      <c r="F656" t="s">
        <v>131</v>
      </c>
      <c r="G656" s="1">
        <f t="shared" si="30"/>
        <v>8677.731480000075</v>
      </c>
      <c r="H656" s="1">
        <f t="shared" si="31"/>
        <v>13.827999999999999</v>
      </c>
      <c r="I656" s="1" t="str">
        <f t="shared" si="32"/>
        <v>HMH</v>
      </c>
    </row>
    <row r="657" spans="1:9" x14ac:dyDescent="0.25">
      <c r="A657">
        <v>2458681.3988100002</v>
      </c>
      <c r="B657" t="s">
        <v>320</v>
      </c>
      <c r="C657">
        <v>13.968999999999999</v>
      </c>
      <c r="D657">
        <v>4.4999999999999998E-2</v>
      </c>
      <c r="E657" t="s">
        <v>1</v>
      </c>
      <c r="F657" t="s">
        <v>101</v>
      </c>
      <c r="G657" s="1">
        <f t="shared" si="30"/>
        <v>8681.3988100001588</v>
      </c>
      <c r="H657" s="1">
        <f t="shared" si="31"/>
        <v>13.968999999999999</v>
      </c>
      <c r="I657" s="1" t="str">
        <f t="shared" si="32"/>
        <v>DUBF</v>
      </c>
    </row>
    <row r="658" spans="1:9" x14ac:dyDescent="0.25">
      <c r="A658">
        <v>2458681.3991200002</v>
      </c>
      <c r="B658" t="s">
        <v>320</v>
      </c>
      <c r="C658">
        <v>13.836</v>
      </c>
      <c r="D658">
        <v>4.3999999999999997E-2</v>
      </c>
      <c r="E658" t="s">
        <v>1</v>
      </c>
      <c r="F658" t="s">
        <v>101</v>
      </c>
      <c r="G658" s="1">
        <f t="shared" si="30"/>
        <v>8681.399120000191</v>
      </c>
      <c r="H658" s="1">
        <f t="shared" si="31"/>
        <v>13.836</v>
      </c>
      <c r="I658" s="1" t="str">
        <f t="shared" si="32"/>
        <v>DUBF</v>
      </c>
    </row>
    <row r="659" spans="1:9" x14ac:dyDescent="0.25">
      <c r="A659">
        <v>2458685.43199</v>
      </c>
      <c r="B659" t="s">
        <v>321</v>
      </c>
      <c r="C659">
        <v>13.797000000000001</v>
      </c>
      <c r="D659">
        <v>2.8000000000000001E-2</v>
      </c>
      <c r="E659" t="s">
        <v>1</v>
      </c>
      <c r="F659" t="s">
        <v>101</v>
      </c>
      <c r="G659" s="1">
        <f t="shared" si="30"/>
        <v>8685.4319899999537</v>
      </c>
      <c r="H659" s="1">
        <f t="shared" si="31"/>
        <v>13.797000000000001</v>
      </c>
      <c r="I659" s="1" t="str">
        <f t="shared" si="32"/>
        <v>DUBF</v>
      </c>
    </row>
    <row r="660" spans="1:9" x14ac:dyDescent="0.25">
      <c r="A660">
        <v>2458685.4323</v>
      </c>
      <c r="B660" t="s">
        <v>321</v>
      </c>
      <c r="C660">
        <v>13.891999999999999</v>
      </c>
      <c r="D660">
        <v>3.1E-2</v>
      </c>
      <c r="E660" t="s">
        <v>1</v>
      </c>
      <c r="F660" t="s">
        <v>101</v>
      </c>
      <c r="G660" s="1">
        <f t="shared" si="30"/>
        <v>8685.4322999999858</v>
      </c>
      <c r="H660" s="1">
        <f t="shared" si="31"/>
        <v>13.891999999999999</v>
      </c>
      <c r="I660" s="1" t="str">
        <f t="shared" si="32"/>
        <v>DUBF</v>
      </c>
    </row>
    <row r="661" spans="1:9" x14ac:dyDescent="0.25">
      <c r="A661">
        <v>2458685.71453</v>
      </c>
      <c r="B661" t="s">
        <v>322</v>
      </c>
      <c r="C661">
        <v>13.766999999999999</v>
      </c>
      <c r="D661">
        <v>2.7E-2</v>
      </c>
      <c r="E661" t="s">
        <v>1</v>
      </c>
      <c r="F661" t="s">
        <v>131</v>
      </c>
      <c r="G661" s="1">
        <f t="shared" si="30"/>
        <v>8685.7145299999975</v>
      </c>
      <c r="H661" s="1">
        <f t="shared" si="31"/>
        <v>13.766999999999999</v>
      </c>
      <c r="I661" s="1" t="str">
        <f t="shared" si="32"/>
        <v>HMH</v>
      </c>
    </row>
    <row r="662" spans="1:9" x14ac:dyDescent="0.25">
      <c r="A662">
        <v>2458687.4005300002</v>
      </c>
      <c r="B662" t="s">
        <v>323</v>
      </c>
      <c r="C662">
        <v>13.757999999999999</v>
      </c>
      <c r="D662">
        <v>3.1E-2</v>
      </c>
      <c r="E662" t="s">
        <v>1</v>
      </c>
      <c r="F662" t="s">
        <v>101</v>
      </c>
      <c r="G662" s="1">
        <f t="shared" si="30"/>
        <v>8687.4005300002173</v>
      </c>
      <c r="H662" s="1">
        <f t="shared" si="31"/>
        <v>13.757999999999999</v>
      </c>
      <c r="I662" s="1" t="str">
        <f t="shared" si="32"/>
        <v>DUBF</v>
      </c>
    </row>
    <row r="663" spans="1:9" x14ac:dyDescent="0.25">
      <c r="A663">
        <v>2458687.4008399998</v>
      </c>
      <c r="B663" t="s">
        <v>323</v>
      </c>
      <c r="C663">
        <v>13.816000000000001</v>
      </c>
      <c r="D663">
        <v>3.2000000000000001E-2</v>
      </c>
      <c r="E663" t="s">
        <v>1</v>
      </c>
      <c r="F663" t="s">
        <v>101</v>
      </c>
      <c r="G663" s="1">
        <f t="shared" si="30"/>
        <v>8687.4008399997838</v>
      </c>
      <c r="H663" s="1">
        <f t="shared" si="31"/>
        <v>13.816000000000001</v>
      </c>
      <c r="I663" s="1" t="str">
        <f t="shared" si="32"/>
        <v>DUBF</v>
      </c>
    </row>
    <row r="664" spans="1:9" x14ac:dyDescent="0.25">
      <c r="A664">
        <v>2458688.39475</v>
      </c>
      <c r="B664" t="s">
        <v>324</v>
      </c>
      <c r="C664">
        <v>13.8</v>
      </c>
      <c r="D664">
        <v>4.2000000000000003E-2</v>
      </c>
      <c r="E664" t="s">
        <v>1</v>
      </c>
      <c r="F664" t="s">
        <v>101</v>
      </c>
      <c r="G664" s="1">
        <f t="shared" si="30"/>
        <v>8688.3947499999776</v>
      </c>
      <c r="H664" s="1">
        <f t="shared" si="31"/>
        <v>13.8</v>
      </c>
      <c r="I664" s="1" t="str">
        <f t="shared" si="32"/>
        <v>DUBF</v>
      </c>
    </row>
    <row r="665" spans="1:9" x14ac:dyDescent="0.25">
      <c r="A665">
        <v>2458688.39506</v>
      </c>
      <c r="B665" t="s">
        <v>324</v>
      </c>
      <c r="C665">
        <v>13.897</v>
      </c>
      <c r="D665">
        <v>4.3999999999999997E-2</v>
      </c>
      <c r="E665" t="s">
        <v>1</v>
      </c>
      <c r="F665" t="s">
        <v>101</v>
      </c>
      <c r="G665" s="1">
        <f t="shared" si="30"/>
        <v>8688.3950600000098</v>
      </c>
      <c r="H665" s="1">
        <f t="shared" si="31"/>
        <v>13.897</v>
      </c>
      <c r="I665" s="1" t="str">
        <f t="shared" si="32"/>
        <v>DUBF</v>
      </c>
    </row>
    <row r="666" spans="1:9" x14ac:dyDescent="0.25">
      <c r="A666">
        <v>2458690.5090299998</v>
      </c>
      <c r="B666" t="s">
        <v>325</v>
      </c>
      <c r="C666">
        <v>13.8</v>
      </c>
      <c r="D666">
        <v>2.5000000000000001E-2</v>
      </c>
      <c r="E666" t="s">
        <v>1</v>
      </c>
      <c r="F666" t="s">
        <v>5</v>
      </c>
      <c r="G666" s="1">
        <f t="shared" si="30"/>
        <v>8690.509029999841</v>
      </c>
      <c r="H666" s="1">
        <f t="shared" si="31"/>
        <v>13.8</v>
      </c>
      <c r="I666" s="1" t="str">
        <f t="shared" si="32"/>
        <v>TIA</v>
      </c>
    </row>
    <row r="667" spans="1:9" x14ac:dyDescent="0.25">
      <c r="A667">
        <v>2458693.39426</v>
      </c>
      <c r="B667" t="s">
        <v>326</v>
      </c>
      <c r="C667">
        <v>13.763999999999999</v>
      </c>
      <c r="D667">
        <v>3.1E-2</v>
      </c>
      <c r="E667" t="s">
        <v>1</v>
      </c>
      <c r="F667" t="s">
        <v>101</v>
      </c>
      <c r="G667" s="1">
        <f t="shared" si="30"/>
        <v>8693.3942599999718</v>
      </c>
      <c r="H667" s="1">
        <f t="shared" si="31"/>
        <v>13.763999999999999</v>
      </c>
      <c r="I667" s="1" t="str">
        <f t="shared" si="32"/>
        <v>DUBF</v>
      </c>
    </row>
    <row r="668" spans="1:9" x14ac:dyDescent="0.25">
      <c r="A668">
        <v>2458693.39457</v>
      </c>
      <c r="B668" t="s">
        <v>326</v>
      </c>
      <c r="C668">
        <v>13.757999999999999</v>
      </c>
      <c r="D668">
        <v>0.03</v>
      </c>
      <c r="E668" t="s">
        <v>1</v>
      </c>
      <c r="F668" t="s">
        <v>101</v>
      </c>
      <c r="G668" s="1">
        <f t="shared" si="30"/>
        <v>8693.394570000004</v>
      </c>
      <c r="H668" s="1">
        <f t="shared" si="31"/>
        <v>13.757999999999999</v>
      </c>
      <c r="I668" s="1" t="str">
        <f t="shared" si="32"/>
        <v>DUBF</v>
      </c>
    </row>
    <row r="669" spans="1:9" x14ac:dyDescent="0.25">
      <c r="A669">
        <v>2458694.3867700002</v>
      </c>
      <c r="B669" t="s">
        <v>327</v>
      </c>
      <c r="C669">
        <v>13.707000000000001</v>
      </c>
      <c r="D669">
        <v>3.1E-2</v>
      </c>
      <c r="E669" t="s">
        <v>1</v>
      </c>
      <c r="F669" t="s">
        <v>101</v>
      </c>
      <c r="G669" s="1">
        <f t="shared" si="30"/>
        <v>8694.3867700002156</v>
      </c>
      <c r="H669" s="1">
        <f t="shared" si="31"/>
        <v>13.707000000000001</v>
      </c>
      <c r="I669" s="1" t="str">
        <f t="shared" si="32"/>
        <v>DUBF</v>
      </c>
    </row>
    <row r="670" spans="1:9" x14ac:dyDescent="0.25">
      <c r="A670">
        <v>2458694.3870799998</v>
      </c>
      <c r="B670" t="s">
        <v>327</v>
      </c>
      <c r="C670">
        <v>13.782999999999999</v>
      </c>
      <c r="D670">
        <v>3.3000000000000002E-2</v>
      </c>
      <c r="E670" t="s">
        <v>1</v>
      </c>
      <c r="F670" t="s">
        <v>101</v>
      </c>
      <c r="G670" s="1">
        <f t="shared" si="30"/>
        <v>8694.3870799997821</v>
      </c>
      <c r="H670" s="1">
        <f t="shared" si="31"/>
        <v>13.782999999999999</v>
      </c>
      <c r="I670" s="1" t="str">
        <f t="shared" si="32"/>
        <v>DUBF</v>
      </c>
    </row>
    <row r="671" spans="1:9" x14ac:dyDescent="0.25">
      <c r="A671">
        <v>2458697.3937400002</v>
      </c>
      <c r="B671" t="s">
        <v>328</v>
      </c>
      <c r="C671">
        <v>13.742000000000001</v>
      </c>
      <c r="D671">
        <v>3.6999999999999998E-2</v>
      </c>
      <c r="E671" t="s">
        <v>1</v>
      </c>
      <c r="F671" t="s">
        <v>101</v>
      </c>
      <c r="G671" s="1">
        <f t="shared" si="30"/>
        <v>8697.3937400002033</v>
      </c>
      <c r="H671" s="1">
        <f t="shared" si="31"/>
        <v>13.742000000000001</v>
      </c>
      <c r="I671" s="1" t="str">
        <f t="shared" si="32"/>
        <v>DUBF</v>
      </c>
    </row>
    <row r="672" spans="1:9" x14ac:dyDescent="0.25">
      <c r="A672">
        <v>2458697.3940499998</v>
      </c>
      <c r="B672" t="s">
        <v>328</v>
      </c>
      <c r="C672">
        <v>13.712999999999999</v>
      </c>
      <c r="D672">
        <v>3.5000000000000003E-2</v>
      </c>
      <c r="E672" t="s">
        <v>1</v>
      </c>
      <c r="F672" t="s">
        <v>101</v>
      </c>
      <c r="G672" s="1">
        <f t="shared" si="30"/>
        <v>8697.3940499997698</v>
      </c>
      <c r="H672" s="1">
        <f t="shared" si="31"/>
        <v>13.712999999999999</v>
      </c>
      <c r="I672" s="1" t="str">
        <f t="shared" si="32"/>
        <v>DUBF</v>
      </c>
    </row>
    <row r="673" spans="1:9" x14ac:dyDescent="0.25">
      <c r="A673">
        <v>2458698.3824300002</v>
      </c>
      <c r="B673" t="s">
        <v>329</v>
      </c>
      <c r="C673">
        <v>13.73</v>
      </c>
      <c r="D673">
        <v>3.2000000000000001E-2</v>
      </c>
      <c r="E673" t="s">
        <v>1</v>
      </c>
      <c r="F673" t="s">
        <v>101</v>
      </c>
      <c r="G673" s="1">
        <f t="shared" si="30"/>
        <v>8698.3824300002307</v>
      </c>
      <c r="H673" s="1">
        <f t="shared" si="31"/>
        <v>13.73</v>
      </c>
      <c r="I673" s="1" t="str">
        <f t="shared" si="32"/>
        <v>DUBF</v>
      </c>
    </row>
    <row r="674" spans="1:9" x14ac:dyDescent="0.25">
      <c r="A674">
        <v>2458698.3827399998</v>
      </c>
      <c r="B674" t="s">
        <v>329</v>
      </c>
      <c r="C674">
        <v>13.83</v>
      </c>
      <c r="D674">
        <v>3.3000000000000002E-2</v>
      </c>
      <c r="E674" t="s">
        <v>1</v>
      </c>
      <c r="F674" t="s">
        <v>101</v>
      </c>
      <c r="G674" s="1">
        <f t="shared" si="30"/>
        <v>8698.3827399997972</v>
      </c>
      <c r="H674" s="1">
        <f t="shared" si="31"/>
        <v>13.83</v>
      </c>
      <c r="I674" s="1" t="str">
        <f t="shared" si="32"/>
        <v>DUBF</v>
      </c>
    </row>
    <row r="675" spans="1:9" x14ac:dyDescent="0.25">
      <c r="A675">
        <v>2458699.4000900001</v>
      </c>
      <c r="B675" t="s">
        <v>330</v>
      </c>
      <c r="C675">
        <v>13.762</v>
      </c>
      <c r="D675">
        <v>3.9E-2</v>
      </c>
      <c r="E675" t="s">
        <v>1</v>
      </c>
      <c r="F675" t="s">
        <v>101</v>
      </c>
      <c r="G675" s="1">
        <f t="shared" si="30"/>
        <v>8699.4000900001265</v>
      </c>
      <c r="H675" s="1">
        <f t="shared" si="31"/>
        <v>13.762</v>
      </c>
      <c r="I675" s="1" t="str">
        <f t="shared" si="32"/>
        <v>DUBF</v>
      </c>
    </row>
    <row r="676" spans="1:9" x14ac:dyDescent="0.25">
      <c r="A676">
        <v>2458699.4004099998</v>
      </c>
      <c r="B676" t="s">
        <v>330</v>
      </c>
      <c r="C676">
        <v>13.813000000000001</v>
      </c>
      <c r="D676">
        <v>3.9E-2</v>
      </c>
      <c r="E676" t="s">
        <v>1</v>
      </c>
      <c r="F676" t="s">
        <v>101</v>
      </c>
      <c r="G676" s="1">
        <f t="shared" si="30"/>
        <v>8699.4004099997692</v>
      </c>
      <c r="H676" s="1">
        <f t="shared" si="31"/>
        <v>13.813000000000001</v>
      </c>
      <c r="I676" s="1" t="str">
        <f t="shared" si="32"/>
        <v>DUBF</v>
      </c>
    </row>
    <row r="677" spans="1:9" x14ac:dyDescent="0.25">
      <c r="A677">
        <v>2458703.37476</v>
      </c>
      <c r="B677" t="s">
        <v>331</v>
      </c>
      <c r="C677">
        <v>13.737</v>
      </c>
      <c r="D677">
        <v>3.2000000000000001E-2</v>
      </c>
      <c r="E677" t="s">
        <v>1</v>
      </c>
      <c r="F677" t="s">
        <v>101</v>
      </c>
      <c r="G677" s="1">
        <f t="shared" si="30"/>
        <v>8703.3747600000352</v>
      </c>
      <c r="H677" s="1">
        <f t="shared" si="31"/>
        <v>13.737</v>
      </c>
      <c r="I677" s="1" t="str">
        <f t="shared" si="32"/>
        <v>DUBF</v>
      </c>
    </row>
    <row r="678" spans="1:9" x14ac:dyDescent="0.25">
      <c r="A678">
        <v>2458703.3750700001</v>
      </c>
      <c r="B678" t="s">
        <v>331</v>
      </c>
      <c r="C678">
        <v>13.692</v>
      </c>
      <c r="D678">
        <v>0.03</v>
      </c>
      <c r="E678" t="s">
        <v>1</v>
      </c>
      <c r="F678" t="s">
        <v>101</v>
      </c>
      <c r="G678" s="1">
        <f t="shared" si="30"/>
        <v>8703.3750700000674</v>
      </c>
      <c r="H678" s="1">
        <f t="shared" si="31"/>
        <v>13.692</v>
      </c>
      <c r="I678" s="1" t="str">
        <f t="shared" si="32"/>
        <v>DUBF</v>
      </c>
    </row>
    <row r="679" spans="1:9" x14ac:dyDescent="0.25">
      <c r="A679">
        <v>2458706.37567</v>
      </c>
      <c r="B679" t="s">
        <v>332</v>
      </c>
      <c r="C679">
        <v>13.701000000000001</v>
      </c>
      <c r="D679">
        <v>3.7999999999999999E-2</v>
      </c>
      <c r="E679" t="s">
        <v>1</v>
      </c>
      <c r="F679" t="s">
        <v>101</v>
      </c>
      <c r="G679" s="1">
        <f t="shared" si="30"/>
        <v>8706.3756699999794</v>
      </c>
      <c r="H679" s="1">
        <f t="shared" si="31"/>
        <v>13.701000000000001</v>
      </c>
      <c r="I679" s="1" t="str">
        <f t="shared" si="32"/>
        <v>DUBF</v>
      </c>
    </row>
    <row r="680" spans="1:9" x14ac:dyDescent="0.25">
      <c r="A680">
        <v>2458706.37598</v>
      </c>
      <c r="B680" t="s">
        <v>332</v>
      </c>
      <c r="C680">
        <v>13.701000000000001</v>
      </c>
      <c r="D680">
        <v>3.7999999999999999E-2</v>
      </c>
      <c r="E680" t="s">
        <v>1</v>
      </c>
      <c r="F680" t="s">
        <v>101</v>
      </c>
      <c r="G680" s="1">
        <f t="shared" si="30"/>
        <v>8706.3759800000116</v>
      </c>
      <c r="H680" s="1">
        <f t="shared" si="31"/>
        <v>13.701000000000001</v>
      </c>
      <c r="I680" s="1" t="str">
        <f t="shared" si="32"/>
        <v>DUBF</v>
      </c>
    </row>
    <row r="681" spans="1:9" x14ac:dyDescent="0.25">
      <c r="A681">
        <v>2458707.7013900001</v>
      </c>
      <c r="B681" t="s">
        <v>333</v>
      </c>
      <c r="C681">
        <v>13.601000000000001</v>
      </c>
      <c r="D681">
        <v>1.7000000000000001E-2</v>
      </c>
      <c r="E681" t="s">
        <v>1</v>
      </c>
      <c r="F681" t="s">
        <v>131</v>
      </c>
      <c r="G681" s="1">
        <f t="shared" si="30"/>
        <v>8707.7013900000602</v>
      </c>
      <c r="H681" s="1">
        <f t="shared" si="31"/>
        <v>13.601000000000001</v>
      </c>
      <c r="I681" s="1" t="str">
        <f t="shared" si="32"/>
        <v>HMH</v>
      </c>
    </row>
    <row r="682" spans="1:9" x14ac:dyDescent="0.25">
      <c r="A682">
        <v>2458708.3750700001</v>
      </c>
      <c r="B682" t="s">
        <v>333</v>
      </c>
      <c r="C682">
        <v>13.714</v>
      </c>
      <c r="D682">
        <v>4.2999999999999997E-2</v>
      </c>
      <c r="E682" t="s">
        <v>1</v>
      </c>
      <c r="F682" t="s">
        <v>101</v>
      </c>
      <c r="G682" s="1">
        <f t="shared" si="30"/>
        <v>8708.3750700000674</v>
      </c>
      <c r="H682" s="1">
        <f t="shared" si="31"/>
        <v>13.714</v>
      </c>
      <c r="I682" s="1" t="str">
        <f t="shared" si="32"/>
        <v>DUBF</v>
      </c>
    </row>
    <row r="683" spans="1:9" x14ac:dyDescent="0.25">
      <c r="A683">
        <v>2458708.3753800001</v>
      </c>
      <c r="B683" t="s">
        <v>333</v>
      </c>
      <c r="C683">
        <v>13.632</v>
      </c>
      <c r="D683">
        <v>3.9E-2</v>
      </c>
      <c r="E683" t="s">
        <v>1</v>
      </c>
      <c r="F683" t="s">
        <v>101</v>
      </c>
      <c r="G683" s="1">
        <f t="shared" si="30"/>
        <v>8708.3753800000995</v>
      </c>
      <c r="H683" s="1">
        <f t="shared" si="31"/>
        <v>13.632</v>
      </c>
      <c r="I683" s="1" t="str">
        <f t="shared" si="32"/>
        <v>DUBF</v>
      </c>
    </row>
    <row r="684" spans="1:9" x14ac:dyDescent="0.25">
      <c r="A684">
        <v>2458714.3640299998</v>
      </c>
      <c r="B684" t="s">
        <v>334</v>
      </c>
      <c r="C684">
        <v>13.688000000000001</v>
      </c>
      <c r="D684">
        <v>2.5999999999999999E-2</v>
      </c>
      <c r="E684" t="s">
        <v>1</v>
      </c>
      <c r="F684" t="s">
        <v>101</v>
      </c>
      <c r="G684" s="1">
        <f t="shared" si="30"/>
        <v>8714.3640299998224</v>
      </c>
      <c r="H684" s="1">
        <f t="shared" si="31"/>
        <v>13.688000000000001</v>
      </c>
      <c r="I684" s="1" t="str">
        <f t="shared" si="32"/>
        <v>DUBF</v>
      </c>
    </row>
    <row r="685" spans="1:9" x14ac:dyDescent="0.25">
      <c r="A685">
        <v>2458714.3643399999</v>
      </c>
      <c r="B685" t="s">
        <v>334</v>
      </c>
      <c r="C685">
        <v>13.664</v>
      </c>
      <c r="D685">
        <v>2.5000000000000001E-2</v>
      </c>
      <c r="E685" t="s">
        <v>1</v>
      </c>
      <c r="F685" t="s">
        <v>101</v>
      </c>
      <c r="G685" s="1">
        <f t="shared" si="30"/>
        <v>8714.3643399998546</v>
      </c>
      <c r="H685" s="1">
        <f t="shared" si="31"/>
        <v>13.664</v>
      </c>
      <c r="I685" s="1" t="str">
        <f t="shared" si="32"/>
        <v>DUBF</v>
      </c>
    </row>
    <row r="686" spans="1:9" x14ac:dyDescent="0.25">
      <c r="A686">
        <v>2458715.36735</v>
      </c>
      <c r="B686" t="s">
        <v>335</v>
      </c>
      <c r="C686">
        <v>13.725</v>
      </c>
      <c r="D686">
        <v>2.7E-2</v>
      </c>
      <c r="E686" t="s">
        <v>1</v>
      </c>
      <c r="F686" t="s">
        <v>101</v>
      </c>
      <c r="G686" s="1">
        <f t="shared" si="30"/>
        <v>8715.3673499999568</v>
      </c>
      <c r="H686" s="1">
        <f t="shared" si="31"/>
        <v>13.725</v>
      </c>
      <c r="I686" s="1" t="str">
        <f t="shared" si="32"/>
        <v>DUBF</v>
      </c>
    </row>
    <row r="687" spans="1:9" x14ac:dyDescent="0.25">
      <c r="A687">
        <v>2458715.36766</v>
      </c>
      <c r="B687" t="s">
        <v>335</v>
      </c>
      <c r="C687">
        <v>13.632</v>
      </c>
      <c r="D687">
        <v>2.3E-2</v>
      </c>
      <c r="E687" t="s">
        <v>1</v>
      </c>
      <c r="F687" t="s">
        <v>101</v>
      </c>
      <c r="G687" s="1">
        <f t="shared" si="30"/>
        <v>8715.367659999989</v>
      </c>
      <c r="H687" s="1">
        <f t="shared" si="31"/>
        <v>13.632</v>
      </c>
      <c r="I687" s="1" t="str">
        <f t="shared" si="32"/>
        <v>DUBF</v>
      </c>
    </row>
    <row r="688" spans="1:9" x14ac:dyDescent="0.25">
      <c r="A688">
        <v>2458716.3479200001</v>
      </c>
      <c r="B688" t="s">
        <v>336</v>
      </c>
      <c r="C688">
        <v>13.66</v>
      </c>
      <c r="D688">
        <v>0.02</v>
      </c>
      <c r="E688" t="s">
        <v>1</v>
      </c>
      <c r="F688" t="s">
        <v>5</v>
      </c>
      <c r="G688" s="1">
        <f t="shared" si="30"/>
        <v>8716.3479200000875</v>
      </c>
      <c r="H688" s="1">
        <f t="shared" si="31"/>
        <v>13.66</v>
      </c>
      <c r="I688" s="1" t="str">
        <f t="shared" si="32"/>
        <v>TIA</v>
      </c>
    </row>
    <row r="689" spans="1:9" x14ac:dyDescent="0.25">
      <c r="A689">
        <v>2458717.3642799999</v>
      </c>
      <c r="B689" t="s">
        <v>337</v>
      </c>
      <c r="C689">
        <v>13.62</v>
      </c>
      <c r="D689">
        <v>2.4E-2</v>
      </c>
      <c r="E689" t="s">
        <v>1</v>
      </c>
      <c r="F689" t="s">
        <v>101</v>
      </c>
      <c r="G689" s="1">
        <f t="shared" si="30"/>
        <v>8717.3642799998634</v>
      </c>
      <c r="H689" s="1">
        <f t="shared" si="31"/>
        <v>13.62</v>
      </c>
      <c r="I689" s="1" t="str">
        <f t="shared" si="32"/>
        <v>DUBF</v>
      </c>
    </row>
    <row r="690" spans="1:9" x14ac:dyDescent="0.25">
      <c r="A690">
        <v>2458717.3645899999</v>
      </c>
      <c r="B690" t="s">
        <v>337</v>
      </c>
      <c r="C690">
        <v>13.682</v>
      </c>
      <c r="D690">
        <v>2.5999999999999999E-2</v>
      </c>
      <c r="E690" t="s">
        <v>1</v>
      </c>
      <c r="F690" t="s">
        <v>101</v>
      </c>
      <c r="G690" s="1">
        <f t="shared" si="30"/>
        <v>8717.3645899998955</v>
      </c>
      <c r="H690" s="1">
        <f t="shared" si="31"/>
        <v>13.682</v>
      </c>
      <c r="I690" s="1" t="str">
        <f t="shared" si="32"/>
        <v>DUBF</v>
      </c>
    </row>
    <row r="691" spans="1:9" x14ac:dyDescent="0.25">
      <c r="A691">
        <v>2458720.3369900002</v>
      </c>
      <c r="B691" t="s">
        <v>338</v>
      </c>
      <c r="C691">
        <v>13.676</v>
      </c>
      <c r="D691">
        <v>4.3999999999999997E-2</v>
      </c>
      <c r="E691" t="s">
        <v>1</v>
      </c>
      <c r="F691" t="s">
        <v>101</v>
      </c>
      <c r="G691" s="1">
        <f t="shared" si="30"/>
        <v>8720.3369900002144</v>
      </c>
      <c r="H691" s="1">
        <f t="shared" si="31"/>
        <v>13.676</v>
      </c>
      <c r="I691" s="1" t="str">
        <f t="shared" si="32"/>
        <v>DUBF</v>
      </c>
    </row>
    <row r="692" spans="1:9" x14ac:dyDescent="0.25">
      <c r="A692">
        <v>2458720.3372999998</v>
      </c>
      <c r="B692" t="s">
        <v>338</v>
      </c>
      <c r="C692">
        <v>13.669</v>
      </c>
      <c r="D692">
        <v>4.3999999999999997E-2</v>
      </c>
      <c r="E692" t="s">
        <v>1</v>
      </c>
      <c r="F692" t="s">
        <v>101</v>
      </c>
      <c r="G692" s="1">
        <f t="shared" si="30"/>
        <v>8720.337299999781</v>
      </c>
      <c r="H692" s="1">
        <f t="shared" si="31"/>
        <v>13.669</v>
      </c>
      <c r="I692" s="1" t="str">
        <f t="shared" si="32"/>
        <v>DUBF</v>
      </c>
    </row>
    <row r="693" spans="1:9" x14ac:dyDescent="0.25">
      <c r="A693">
        <v>2458721.6719200001</v>
      </c>
      <c r="B693" t="s">
        <v>339</v>
      </c>
      <c r="C693">
        <v>13.603999999999999</v>
      </c>
      <c r="D693">
        <v>5.5E-2</v>
      </c>
      <c r="E693" t="s">
        <v>1</v>
      </c>
      <c r="F693" t="s">
        <v>131</v>
      </c>
      <c r="G693" s="1">
        <f t="shared" si="30"/>
        <v>8721.6719200001098</v>
      </c>
      <c r="H693" s="1">
        <f t="shared" si="31"/>
        <v>13.603999999999999</v>
      </c>
      <c r="I693" s="1" t="str">
        <f t="shared" si="32"/>
        <v>HMH</v>
      </c>
    </row>
    <row r="694" spans="1:9" x14ac:dyDescent="0.25">
      <c r="A694">
        <v>2458722.3399200002</v>
      </c>
      <c r="B694" t="s">
        <v>339</v>
      </c>
      <c r="C694">
        <v>13.64</v>
      </c>
      <c r="D694">
        <v>4.5999999999999999E-2</v>
      </c>
      <c r="E694" t="s">
        <v>1</v>
      </c>
      <c r="F694" t="s">
        <v>101</v>
      </c>
      <c r="G694" s="1">
        <f t="shared" si="30"/>
        <v>8722.3399200001732</v>
      </c>
      <c r="H694" s="1">
        <f t="shared" si="31"/>
        <v>13.64</v>
      </c>
      <c r="I694" s="1" t="str">
        <f t="shared" si="32"/>
        <v>DUBF</v>
      </c>
    </row>
    <row r="695" spans="1:9" x14ac:dyDescent="0.25">
      <c r="A695">
        <v>2458722.3402300002</v>
      </c>
      <c r="B695" t="s">
        <v>339</v>
      </c>
      <c r="C695">
        <v>13.64</v>
      </c>
      <c r="D695">
        <v>4.4999999999999998E-2</v>
      </c>
      <c r="E695" t="s">
        <v>1</v>
      </c>
      <c r="F695" t="s">
        <v>101</v>
      </c>
      <c r="G695" s="1">
        <f t="shared" si="30"/>
        <v>8722.3402300002053</v>
      </c>
      <c r="H695" s="1">
        <f t="shared" si="31"/>
        <v>13.64</v>
      </c>
      <c r="I695" s="1" t="str">
        <f t="shared" si="32"/>
        <v>DUBF</v>
      </c>
    </row>
    <row r="696" spans="1:9" x14ac:dyDescent="0.25">
      <c r="A696">
        <v>2458726.3368500001</v>
      </c>
      <c r="B696" t="s">
        <v>340</v>
      </c>
      <c r="C696">
        <v>13.6</v>
      </c>
      <c r="D696">
        <v>2.3E-2</v>
      </c>
      <c r="E696" t="s">
        <v>1</v>
      </c>
      <c r="F696" t="s">
        <v>101</v>
      </c>
      <c r="G696" s="1">
        <f t="shared" si="30"/>
        <v>8726.3368500000797</v>
      </c>
      <c r="H696" s="1">
        <f t="shared" si="31"/>
        <v>13.6</v>
      </c>
      <c r="I696" s="1" t="str">
        <f t="shared" si="32"/>
        <v>DUBF</v>
      </c>
    </row>
    <row r="697" spans="1:9" x14ac:dyDescent="0.25">
      <c r="A697">
        <v>2458726.3371600001</v>
      </c>
      <c r="B697" t="s">
        <v>340</v>
      </c>
      <c r="C697">
        <v>13.625999999999999</v>
      </c>
      <c r="D697">
        <v>2.3E-2</v>
      </c>
      <c r="E697" t="s">
        <v>1</v>
      </c>
      <c r="F697" t="s">
        <v>101</v>
      </c>
      <c r="G697" s="1">
        <f t="shared" si="30"/>
        <v>8726.3371600001119</v>
      </c>
      <c r="H697" s="1">
        <f t="shared" si="31"/>
        <v>13.625999999999999</v>
      </c>
      <c r="I697" s="1" t="str">
        <f t="shared" si="32"/>
        <v>DUBF</v>
      </c>
    </row>
    <row r="698" spans="1:9" x14ac:dyDescent="0.25">
      <c r="A698">
        <v>2458727.7861100002</v>
      </c>
      <c r="B698" t="s">
        <v>341</v>
      </c>
      <c r="C698">
        <v>13.603</v>
      </c>
      <c r="D698">
        <v>4.0000000000000001E-3</v>
      </c>
      <c r="E698" t="s">
        <v>1</v>
      </c>
      <c r="F698" t="s">
        <v>131</v>
      </c>
      <c r="G698" s="1">
        <f t="shared" si="30"/>
        <v>8727.7861100002192</v>
      </c>
      <c r="H698" s="1">
        <f t="shared" si="31"/>
        <v>13.603</v>
      </c>
      <c r="I698" s="1" t="str">
        <f t="shared" si="32"/>
        <v>HMH</v>
      </c>
    </row>
    <row r="699" spans="1:9" x14ac:dyDescent="0.25">
      <c r="A699">
        <v>2458728.34822</v>
      </c>
      <c r="B699" t="s">
        <v>341</v>
      </c>
      <c r="C699">
        <v>13.645</v>
      </c>
      <c r="D699">
        <v>2.1999999999999999E-2</v>
      </c>
      <c r="E699" t="s">
        <v>1</v>
      </c>
      <c r="F699" t="s">
        <v>101</v>
      </c>
      <c r="G699" s="1">
        <f t="shared" si="30"/>
        <v>8728.3482200000435</v>
      </c>
      <c r="H699" s="1">
        <f t="shared" si="31"/>
        <v>13.645</v>
      </c>
      <c r="I699" s="1" t="str">
        <f t="shared" si="32"/>
        <v>DUBF</v>
      </c>
    </row>
    <row r="700" spans="1:9" x14ac:dyDescent="0.25">
      <c r="A700">
        <v>2458728.3485300001</v>
      </c>
      <c r="B700" t="s">
        <v>341</v>
      </c>
      <c r="C700">
        <v>13.726000000000001</v>
      </c>
      <c r="D700">
        <v>2.3E-2</v>
      </c>
      <c r="E700" t="s">
        <v>1</v>
      </c>
      <c r="F700" t="s">
        <v>101</v>
      </c>
      <c r="G700" s="1">
        <f t="shared" si="30"/>
        <v>8728.3485300000757</v>
      </c>
      <c r="H700" s="1">
        <f t="shared" si="31"/>
        <v>13.726000000000001</v>
      </c>
      <c r="I700" s="1" t="str">
        <f t="shared" si="32"/>
        <v>DUBF</v>
      </c>
    </row>
    <row r="701" spans="1:9" x14ac:dyDescent="0.25">
      <c r="A701">
        <v>2458731.3215899998</v>
      </c>
      <c r="B701" t="s">
        <v>342</v>
      </c>
      <c r="C701">
        <v>13.584</v>
      </c>
      <c r="D701">
        <v>3.1E-2</v>
      </c>
      <c r="E701" t="s">
        <v>1</v>
      </c>
      <c r="F701" t="s">
        <v>101</v>
      </c>
      <c r="G701" s="1">
        <f t="shared" si="30"/>
        <v>8731.3215899998322</v>
      </c>
      <c r="H701" s="1">
        <f t="shared" si="31"/>
        <v>13.584</v>
      </c>
      <c r="I701" s="1" t="str">
        <f t="shared" si="32"/>
        <v>DUBF</v>
      </c>
    </row>
    <row r="702" spans="1:9" x14ac:dyDescent="0.25">
      <c r="A702">
        <v>2458731.3219099999</v>
      </c>
      <c r="B702" t="s">
        <v>342</v>
      </c>
      <c r="C702">
        <v>13.574999999999999</v>
      </c>
      <c r="D702">
        <v>0.03</v>
      </c>
      <c r="E702" t="s">
        <v>1</v>
      </c>
      <c r="F702" t="s">
        <v>101</v>
      </c>
      <c r="G702" s="1">
        <f t="shared" si="30"/>
        <v>8731.3219099999405</v>
      </c>
      <c r="H702" s="1">
        <f t="shared" si="31"/>
        <v>13.574999999999999</v>
      </c>
      <c r="I702" s="1" t="str">
        <f t="shared" si="32"/>
        <v>DUBF</v>
      </c>
    </row>
    <row r="703" spans="1:9" x14ac:dyDescent="0.25">
      <c r="A703">
        <v>2458739.6523600002</v>
      </c>
      <c r="B703" t="s">
        <v>343</v>
      </c>
      <c r="C703">
        <v>13.615</v>
      </c>
      <c r="D703">
        <v>2.3E-2</v>
      </c>
      <c r="E703" t="s">
        <v>1</v>
      </c>
      <c r="F703" t="s">
        <v>344</v>
      </c>
      <c r="G703" s="1">
        <f t="shared" si="30"/>
        <v>8739.6523600001819</v>
      </c>
      <c r="H703" s="1">
        <f t="shared" si="31"/>
        <v>13.615</v>
      </c>
      <c r="I703" s="1" t="str">
        <f t="shared" si="32"/>
        <v>KCLA</v>
      </c>
    </row>
    <row r="704" spans="1:9" x14ac:dyDescent="0.25">
      <c r="A704">
        <v>2458739.7047600001</v>
      </c>
      <c r="B704" t="s">
        <v>343</v>
      </c>
      <c r="C704">
        <v>13.606999999999999</v>
      </c>
      <c r="D704">
        <v>1.6E-2</v>
      </c>
      <c r="E704" t="s">
        <v>1</v>
      </c>
      <c r="F704" t="s">
        <v>344</v>
      </c>
      <c r="G704" s="1">
        <f t="shared" si="30"/>
        <v>8739.7047600001097</v>
      </c>
      <c r="H704" s="1">
        <f t="shared" si="31"/>
        <v>13.606999999999999</v>
      </c>
      <c r="I704" s="1" t="str">
        <f t="shared" si="32"/>
        <v>KCLA</v>
      </c>
    </row>
    <row r="705" spans="1:9" x14ac:dyDescent="0.25">
      <c r="A705">
        <v>2458739.7606299999</v>
      </c>
      <c r="B705" t="s">
        <v>343</v>
      </c>
      <c r="C705">
        <v>13.615</v>
      </c>
      <c r="D705">
        <v>0.01</v>
      </c>
      <c r="E705" t="s">
        <v>1</v>
      </c>
      <c r="F705" t="s">
        <v>344</v>
      </c>
      <c r="G705" s="1">
        <f t="shared" si="30"/>
        <v>8739.760629999917</v>
      </c>
      <c r="H705" s="1">
        <f t="shared" si="31"/>
        <v>13.615</v>
      </c>
      <c r="I705" s="1" t="str">
        <f t="shared" si="32"/>
        <v>KCLA</v>
      </c>
    </row>
    <row r="706" spans="1:9" x14ac:dyDescent="0.25">
      <c r="A706">
        <v>2458740.3062800001</v>
      </c>
      <c r="B706" t="s">
        <v>343</v>
      </c>
      <c r="C706">
        <v>13.493</v>
      </c>
      <c r="D706">
        <v>3.2000000000000001E-2</v>
      </c>
      <c r="E706" t="s">
        <v>1</v>
      </c>
      <c r="F706" t="s">
        <v>101</v>
      </c>
      <c r="G706" s="1">
        <f t="shared" si="30"/>
        <v>8740.3062800001353</v>
      </c>
      <c r="H706" s="1">
        <f t="shared" si="31"/>
        <v>13.493</v>
      </c>
      <c r="I706" s="1" t="str">
        <f t="shared" si="32"/>
        <v>DUBF</v>
      </c>
    </row>
    <row r="707" spans="1:9" x14ac:dyDescent="0.25">
      <c r="A707">
        <v>2458740.3065999998</v>
      </c>
      <c r="B707" t="s">
        <v>343</v>
      </c>
      <c r="C707">
        <v>13.510999999999999</v>
      </c>
      <c r="D707">
        <v>3.1E-2</v>
      </c>
      <c r="E707" t="s">
        <v>1</v>
      </c>
      <c r="F707" t="s">
        <v>101</v>
      </c>
      <c r="G707" s="1">
        <f t="shared" ref="G707:G726" si="33">+A707-2450000</f>
        <v>8740.306599999778</v>
      </c>
      <c r="H707" s="1">
        <f t="shared" ref="H707:H726" si="34">+C707</f>
        <v>13.510999999999999</v>
      </c>
      <c r="I707" s="1" t="str">
        <f t="shared" ref="I707:I726" si="35">+F707</f>
        <v>DUBF</v>
      </c>
    </row>
    <row r="708" spans="1:9" x14ac:dyDescent="0.25">
      <c r="A708">
        <v>2458744.3240200002</v>
      </c>
      <c r="B708" t="s">
        <v>345</v>
      </c>
      <c r="C708">
        <v>13.542</v>
      </c>
      <c r="D708">
        <v>2.1000000000000001E-2</v>
      </c>
      <c r="E708" t="s">
        <v>1</v>
      </c>
      <c r="F708" t="s">
        <v>101</v>
      </c>
      <c r="G708" s="1">
        <f t="shared" si="33"/>
        <v>8744.3240200001746</v>
      </c>
      <c r="H708" s="1">
        <f t="shared" si="34"/>
        <v>13.542</v>
      </c>
      <c r="I708" s="1" t="str">
        <f t="shared" si="35"/>
        <v>DUBF</v>
      </c>
    </row>
    <row r="709" spans="1:9" x14ac:dyDescent="0.25">
      <c r="A709">
        <v>2458744.3243300002</v>
      </c>
      <c r="B709" t="s">
        <v>345</v>
      </c>
      <c r="C709">
        <v>13.557</v>
      </c>
      <c r="D709">
        <v>2.1999999999999999E-2</v>
      </c>
      <c r="E709" t="s">
        <v>1</v>
      </c>
      <c r="F709" t="s">
        <v>101</v>
      </c>
      <c r="G709" s="1">
        <f t="shared" si="33"/>
        <v>8744.3243300002068</v>
      </c>
      <c r="H709" s="1">
        <f t="shared" si="34"/>
        <v>13.557</v>
      </c>
      <c r="I709" s="1" t="str">
        <f t="shared" si="35"/>
        <v>DUBF</v>
      </c>
    </row>
    <row r="710" spans="1:9" x14ac:dyDescent="0.25">
      <c r="A710">
        <v>2458745.3123400002</v>
      </c>
      <c r="B710" t="s">
        <v>346</v>
      </c>
      <c r="C710">
        <v>13.491</v>
      </c>
      <c r="D710">
        <v>0.02</v>
      </c>
      <c r="E710" t="s">
        <v>1</v>
      </c>
      <c r="F710" t="s">
        <v>101</v>
      </c>
      <c r="G710" s="1">
        <f t="shared" si="33"/>
        <v>8745.3123400001787</v>
      </c>
      <c r="H710" s="1">
        <f t="shared" si="34"/>
        <v>13.491</v>
      </c>
      <c r="I710" s="1" t="str">
        <f t="shared" si="35"/>
        <v>DUBF</v>
      </c>
    </row>
    <row r="711" spans="1:9" x14ac:dyDescent="0.25">
      <c r="A711">
        <v>2458745.3126500002</v>
      </c>
      <c r="B711" t="s">
        <v>346</v>
      </c>
      <c r="C711">
        <v>13.528</v>
      </c>
      <c r="D711">
        <v>1.9E-2</v>
      </c>
      <c r="E711" t="s">
        <v>1</v>
      </c>
      <c r="F711" t="s">
        <v>101</v>
      </c>
      <c r="G711" s="1">
        <f t="shared" si="33"/>
        <v>8745.3126500002109</v>
      </c>
      <c r="H711" s="1">
        <f t="shared" si="34"/>
        <v>13.528</v>
      </c>
      <c r="I711" s="1" t="str">
        <f t="shared" si="35"/>
        <v>DUBF</v>
      </c>
    </row>
    <row r="712" spans="1:9" x14ac:dyDescent="0.25">
      <c r="A712">
        <v>2458747.2906300002</v>
      </c>
      <c r="B712" t="s">
        <v>347</v>
      </c>
      <c r="C712">
        <v>13.472</v>
      </c>
      <c r="D712">
        <v>3.7999999999999999E-2</v>
      </c>
      <c r="E712" t="s">
        <v>1</v>
      </c>
      <c r="F712" t="s">
        <v>101</v>
      </c>
      <c r="G712" s="1">
        <f t="shared" si="33"/>
        <v>8747.2906300001778</v>
      </c>
      <c r="H712" s="1">
        <f t="shared" si="34"/>
        <v>13.472</v>
      </c>
      <c r="I712" s="1" t="str">
        <f t="shared" si="35"/>
        <v>DUBF</v>
      </c>
    </row>
    <row r="713" spans="1:9" x14ac:dyDescent="0.25">
      <c r="A713">
        <v>2458747.2909400002</v>
      </c>
      <c r="B713" t="s">
        <v>347</v>
      </c>
      <c r="C713">
        <v>13.566000000000001</v>
      </c>
      <c r="D713">
        <v>4.3999999999999997E-2</v>
      </c>
      <c r="E713" t="s">
        <v>1</v>
      </c>
      <c r="F713" t="s">
        <v>101</v>
      </c>
      <c r="G713" s="1">
        <f t="shared" si="33"/>
        <v>8747.29094000021</v>
      </c>
      <c r="H713" s="1">
        <f t="shared" si="34"/>
        <v>13.566000000000001</v>
      </c>
      <c r="I713" s="1" t="str">
        <f t="shared" si="35"/>
        <v>DUBF</v>
      </c>
    </row>
    <row r="714" spans="1:9" x14ac:dyDescent="0.25">
      <c r="A714">
        <v>2458747.69563</v>
      </c>
      <c r="B714" t="s">
        <v>348</v>
      </c>
      <c r="C714">
        <v>13.59</v>
      </c>
      <c r="D714">
        <v>1.0999999999999999E-2</v>
      </c>
      <c r="E714" t="s">
        <v>1</v>
      </c>
      <c r="F714" t="s">
        <v>344</v>
      </c>
      <c r="G714" s="1">
        <f t="shared" si="33"/>
        <v>8747.6956299999729</v>
      </c>
      <c r="H714" s="1">
        <f t="shared" si="34"/>
        <v>13.59</v>
      </c>
      <c r="I714" s="1" t="str">
        <f t="shared" si="35"/>
        <v>KCLA</v>
      </c>
    </row>
    <row r="715" spans="1:9" x14ac:dyDescent="0.25">
      <c r="A715">
        <v>2458748.2513899999</v>
      </c>
      <c r="B715" t="s">
        <v>348</v>
      </c>
      <c r="C715">
        <v>13.53</v>
      </c>
      <c r="D715">
        <v>2.5000000000000001E-2</v>
      </c>
      <c r="E715" t="s">
        <v>1</v>
      </c>
      <c r="F715" t="s">
        <v>5</v>
      </c>
      <c r="G715" s="1">
        <f t="shared" si="33"/>
        <v>8748.2513899998739</v>
      </c>
      <c r="H715" s="1">
        <f t="shared" si="34"/>
        <v>13.53</v>
      </c>
      <c r="I715" s="1" t="str">
        <f t="shared" si="35"/>
        <v>TIA</v>
      </c>
    </row>
    <row r="716" spans="1:9" x14ac:dyDescent="0.25">
      <c r="A716">
        <v>2458759.3125700001</v>
      </c>
      <c r="B716" t="s">
        <v>351</v>
      </c>
      <c r="C716">
        <v>13.467000000000001</v>
      </c>
      <c r="D716">
        <v>1.9E-2</v>
      </c>
      <c r="E716" t="s">
        <v>1</v>
      </c>
      <c r="F716" t="s">
        <v>101</v>
      </c>
      <c r="G716" s="1">
        <f t="shared" si="33"/>
        <v>8759.3125700000674</v>
      </c>
      <c r="H716" s="1">
        <f t="shared" si="34"/>
        <v>13.467000000000001</v>
      </c>
      <c r="I716" s="1" t="str">
        <f t="shared" si="35"/>
        <v>DUBF</v>
      </c>
    </row>
    <row r="717" spans="1:9" x14ac:dyDescent="0.25">
      <c r="A717">
        <v>2458759.3128900002</v>
      </c>
      <c r="B717" t="s">
        <v>351</v>
      </c>
      <c r="C717">
        <v>13.432</v>
      </c>
      <c r="D717">
        <v>1.9E-2</v>
      </c>
      <c r="E717" t="s">
        <v>1</v>
      </c>
      <c r="F717" t="s">
        <v>101</v>
      </c>
      <c r="G717" s="1">
        <f t="shared" si="33"/>
        <v>8759.3128900001757</v>
      </c>
      <c r="H717" s="1">
        <f t="shared" si="34"/>
        <v>13.432</v>
      </c>
      <c r="I717" s="1" t="str">
        <f t="shared" si="35"/>
        <v>DUBF</v>
      </c>
    </row>
    <row r="718" spans="1:9" x14ac:dyDescent="0.25">
      <c r="A718">
        <v>2458761.2957899999</v>
      </c>
      <c r="B718" t="s">
        <v>352</v>
      </c>
      <c r="C718">
        <v>13.414999999999999</v>
      </c>
      <c r="D718">
        <v>2.1999999999999999E-2</v>
      </c>
      <c r="E718" t="s">
        <v>1</v>
      </c>
      <c r="F718" t="s">
        <v>101</v>
      </c>
      <c r="G718" s="1">
        <f t="shared" si="33"/>
        <v>8761.2957899998873</v>
      </c>
      <c r="H718" s="1">
        <f t="shared" si="34"/>
        <v>13.414999999999999</v>
      </c>
      <c r="I718" s="1" t="str">
        <f t="shared" si="35"/>
        <v>DUBF</v>
      </c>
    </row>
    <row r="719" spans="1:9" x14ac:dyDescent="0.25">
      <c r="A719">
        <v>2458761.29611</v>
      </c>
      <c r="B719" t="s">
        <v>352</v>
      </c>
      <c r="C719">
        <v>13.481999999999999</v>
      </c>
      <c r="D719">
        <v>2.3E-2</v>
      </c>
      <c r="E719" t="s">
        <v>1</v>
      </c>
      <c r="F719" t="s">
        <v>101</v>
      </c>
      <c r="G719" s="1">
        <f t="shared" si="33"/>
        <v>8761.2961099999957</v>
      </c>
      <c r="H719" s="1">
        <f t="shared" si="34"/>
        <v>13.481999999999999</v>
      </c>
      <c r="I719" s="1" t="str">
        <f t="shared" si="35"/>
        <v>DUBF</v>
      </c>
    </row>
    <row r="720" spans="1:9" x14ac:dyDescent="0.25">
      <c r="A720">
        <v>2458762.64634</v>
      </c>
      <c r="B720" t="s">
        <v>353</v>
      </c>
      <c r="C720">
        <v>13.372999999999999</v>
      </c>
      <c r="D720">
        <v>3.3000000000000002E-2</v>
      </c>
      <c r="E720" t="s">
        <v>1</v>
      </c>
      <c r="F720" t="s">
        <v>131</v>
      </c>
      <c r="G720" s="1">
        <f t="shared" si="33"/>
        <v>8762.6463399999775</v>
      </c>
      <c r="H720" s="1">
        <f t="shared" si="34"/>
        <v>13.372999999999999</v>
      </c>
      <c r="I720" s="1" t="str">
        <f t="shared" si="35"/>
        <v>HMH</v>
      </c>
    </row>
    <row r="721" spans="1:9" x14ac:dyDescent="0.25">
      <c r="A721">
        <v>2458765.2634299998</v>
      </c>
      <c r="B721" t="s">
        <v>354</v>
      </c>
      <c r="C721">
        <v>13.412000000000001</v>
      </c>
      <c r="D721">
        <v>3.5000000000000003E-2</v>
      </c>
      <c r="E721" t="s">
        <v>1</v>
      </c>
      <c r="F721" t="s">
        <v>101</v>
      </c>
      <c r="G721" s="1">
        <f t="shared" si="33"/>
        <v>8765.2634299998172</v>
      </c>
      <c r="H721" s="1">
        <f t="shared" si="34"/>
        <v>13.412000000000001</v>
      </c>
      <c r="I721" s="1" t="str">
        <f t="shared" si="35"/>
        <v>DUBF</v>
      </c>
    </row>
    <row r="722" spans="1:9" x14ac:dyDescent="0.25">
      <c r="A722">
        <v>2458765.2637399998</v>
      </c>
      <c r="B722" t="s">
        <v>354</v>
      </c>
      <c r="C722">
        <v>13.398999999999999</v>
      </c>
      <c r="D722">
        <v>3.5000000000000003E-2</v>
      </c>
      <c r="E722" t="s">
        <v>1</v>
      </c>
      <c r="F722" t="s">
        <v>101</v>
      </c>
      <c r="G722" s="1">
        <f t="shared" si="33"/>
        <v>8765.2637399998493</v>
      </c>
      <c r="H722" s="1">
        <f t="shared" si="34"/>
        <v>13.398999999999999</v>
      </c>
      <c r="I722" s="1" t="str">
        <f t="shared" si="35"/>
        <v>DUBF</v>
      </c>
    </row>
    <row r="723" spans="1:9" x14ac:dyDescent="0.25">
      <c r="A723">
        <v>2458768.69582</v>
      </c>
      <c r="B723" t="s">
        <v>355</v>
      </c>
      <c r="C723">
        <v>13.304</v>
      </c>
      <c r="D723">
        <v>6.2E-2</v>
      </c>
      <c r="E723" t="s">
        <v>1</v>
      </c>
      <c r="F723" t="s">
        <v>131</v>
      </c>
      <c r="G723" s="1">
        <f t="shared" si="33"/>
        <v>8768.6958200000226</v>
      </c>
      <c r="H723" s="1">
        <f t="shared" si="34"/>
        <v>13.304</v>
      </c>
      <c r="I723" s="1" t="str">
        <f t="shared" si="35"/>
        <v>HMH</v>
      </c>
    </row>
    <row r="724" spans="1:9" x14ac:dyDescent="0.25">
      <c r="A724">
        <v>2458773.62415</v>
      </c>
      <c r="B724" t="s">
        <v>356</v>
      </c>
      <c r="C724">
        <v>13.259</v>
      </c>
      <c r="D724">
        <v>0.111</v>
      </c>
      <c r="E724" t="s">
        <v>1</v>
      </c>
      <c r="F724" t="s">
        <v>131</v>
      </c>
      <c r="G724" s="1">
        <f t="shared" si="33"/>
        <v>8773.6241500000469</v>
      </c>
      <c r="H724" s="1">
        <f t="shared" si="34"/>
        <v>13.259</v>
      </c>
      <c r="I724" s="1" t="str">
        <f t="shared" si="35"/>
        <v>HMH</v>
      </c>
    </row>
    <row r="725" spans="1:9" x14ac:dyDescent="0.25">
      <c r="A725">
        <v>2458776.5971400002</v>
      </c>
      <c r="B725" t="s">
        <v>357</v>
      </c>
      <c r="C725">
        <v>13.260999999999999</v>
      </c>
      <c r="D725">
        <v>1.4E-2</v>
      </c>
      <c r="E725" t="s">
        <v>1</v>
      </c>
      <c r="F725" t="s">
        <v>131</v>
      </c>
      <c r="G725" s="1">
        <f t="shared" si="33"/>
        <v>8776.5971400002018</v>
      </c>
      <c r="H725" s="1">
        <f t="shared" si="34"/>
        <v>13.260999999999999</v>
      </c>
      <c r="I725" s="1" t="str">
        <f t="shared" si="35"/>
        <v>HMH</v>
      </c>
    </row>
    <row r="726" spans="1:9" x14ac:dyDescent="0.25">
      <c r="A726">
        <v>2458780.5867400002</v>
      </c>
      <c r="B726" t="s">
        <v>358</v>
      </c>
      <c r="C726">
        <v>13.246</v>
      </c>
      <c r="D726">
        <v>0.111</v>
      </c>
      <c r="E726" t="s">
        <v>1</v>
      </c>
      <c r="F726" t="s">
        <v>131</v>
      </c>
      <c r="G726" s="1">
        <f t="shared" si="33"/>
        <v>8780.5867400001734</v>
      </c>
      <c r="H726" s="1">
        <f t="shared" si="34"/>
        <v>13.246</v>
      </c>
      <c r="I726" s="1" t="str">
        <f t="shared" si="35"/>
        <v>HMH</v>
      </c>
    </row>
  </sheetData>
  <autoFilter ref="G1:I726" xr:uid="{F90DF4D7-8612-429E-93BE-9AF51855877F}">
    <filterColumn colId="2">
      <filters>
        <filter val="BDG"/>
        <filter val="DFS"/>
        <filter val="DUBF"/>
        <filter val="HJW"/>
        <filter val="HMH"/>
        <filter val="KCLA"/>
        <filter val="LPAC"/>
        <filter val="OCN"/>
        <filter val="SDM"/>
        <filter val="SRIC"/>
        <filter val="TIA"/>
        <filter val="VBPA"/>
      </filters>
    </filterColumn>
  </autoFilter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D0FA4-5608-4D81-B8C3-637A079BBA99}">
  <sheetPr codeName="Feuil12"/>
  <dimension ref="A3:F113"/>
  <sheetViews>
    <sheetView workbookViewId="0">
      <selection activeCell="E4" sqref="E4:F111"/>
    </sheetView>
  </sheetViews>
  <sheetFormatPr baseColWidth="10" defaultRowHeight="15" x14ac:dyDescent="0.25"/>
  <cols>
    <col min="1" max="1" width="21" bestFit="1" customWidth="1"/>
    <col min="2" max="2" width="13.85546875" bestFit="1" customWidth="1"/>
    <col min="3" max="3" width="12.85546875" bestFit="1" customWidth="1"/>
  </cols>
  <sheetData>
    <row r="3" spans="1:6" x14ac:dyDescent="0.25">
      <c r="A3" s="58" t="s">
        <v>362</v>
      </c>
      <c r="B3" t="s">
        <v>374</v>
      </c>
      <c r="C3" t="s">
        <v>375</v>
      </c>
    </row>
    <row r="4" spans="1:6" x14ac:dyDescent="0.25">
      <c r="A4" s="59">
        <v>8341</v>
      </c>
      <c r="B4" s="60">
        <v>11.45</v>
      </c>
      <c r="C4" s="60" t="e">
        <v>#DIV/0!</v>
      </c>
      <c r="E4">
        <f>+A4</f>
        <v>8341</v>
      </c>
      <c r="F4">
        <f>+B4</f>
        <v>11.45</v>
      </c>
    </row>
    <row r="5" spans="1:6" x14ac:dyDescent="0.25">
      <c r="A5" s="59">
        <v>8343.5</v>
      </c>
      <c r="B5" s="60">
        <v>11.5412</v>
      </c>
      <c r="C5" s="60">
        <v>2.932575662666768E-3</v>
      </c>
      <c r="E5">
        <f t="shared" ref="E5:E68" si="0">+A5</f>
        <v>8343.5</v>
      </c>
      <c r="F5">
        <f t="shared" ref="F5:F68" si="1">+B5</f>
        <v>11.5412</v>
      </c>
    </row>
    <row r="6" spans="1:6" x14ac:dyDescent="0.25">
      <c r="A6" s="59">
        <v>8344.5</v>
      </c>
      <c r="B6" s="60">
        <v>11.542</v>
      </c>
      <c r="C6" s="60" t="e">
        <v>#DIV/0!</v>
      </c>
      <c r="E6">
        <f t="shared" si="0"/>
        <v>8344.5</v>
      </c>
      <c r="F6">
        <f t="shared" si="1"/>
        <v>11.542</v>
      </c>
    </row>
    <row r="7" spans="1:6" x14ac:dyDescent="0.25">
      <c r="A7" s="59">
        <v>8345.25</v>
      </c>
      <c r="B7" s="60">
        <v>11.42974193548387</v>
      </c>
      <c r="C7" s="60">
        <v>2.4182323503526726E-2</v>
      </c>
      <c r="E7">
        <f t="shared" si="0"/>
        <v>8345.25</v>
      </c>
      <c r="F7">
        <f t="shared" si="1"/>
        <v>11.42974193548387</v>
      </c>
    </row>
    <row r="8" spans="1:6" x14ac:dyDescent="0.25">
      <c r="A8" s="59">
        <v>8345.5</v>
      </c>
      <c r="B8" s="60">
        <v>11.456076923076923</v>
      </c>
      <c r="C8" s="60">
        <v>6.7510682897019246E-3</v>
      </c>
      <c r="E8">
        <f t="shared" si="0"/>
        <v>8345.5</v>
      </c>
      <c r="F8">
        <f t="shared" si="1"/>
        <v>11.456076923076923</v>
      </c>
    </row>
    <row r="9" spans="1:6" x14ac:dyDescent="0.25">
      <c r="A9" s="59">
        <v>8345.75</v>
      </c>
      <c r="B9" s="60">
        <v>11.504717948717948</v>
      </c>
      <c r="C9" s="60">
        <v>3.1544412065696539E-2</v>
      </c>
      <c r="E9">
        <f t="shared" si="0"/>
        <v>8345.75</v>
      </c>
      <c r="F9">
        <f t="shared" si="1"/>
        <v>11.504717948717948</v>
      </c>
    </row>
    <row r="10" spans="1:6" x14ac:dyDescent="0.25">
      <c r="A10" s="59">
        <v>8346.5</v>
      </c>
      <c r="B10" s="60">
        <v>11.537470588235294</v>
      </c>
      <c r="C10" s="60">
        <v>7.1424579725031826E-3</v>
      </c>
      <c r="E10">
        <f t="shared" si="0"/>
        <v>8346.5</v>
      </c>
      <c r="F10">
        <f t="shared" si="1"/>
        <v>11.537470588235294</v>
      </c>
    </row>
    <row r="11" spans="1:6" x14ac:dyDescent="0.25">
      <c r="A11" s="59">
        <v>8346.75</v>
      </c>
      <c r="B11" s="60">
        <v>11.552608695652173</v>
      </c>
      <c r="C11" s="60">
        <v>1.3207226433816395E-2</v>
      </c>
      <c r="E11">
        <f t="shared" si="0"/>
        <v>8346.75</v>
      </c>
      <c r="F11">
        <f t="shared" si="1"/>
        <v>11.552608695652173</v>
      </c>
    </row>
    <row r="12" spans="1:6" x14ac:dyDescent="0.25">
      <c r="A12" s="59">
        <v>8347.25</v>
      </c>
      <c r="B12" s="60">
        <v>11.503</v>
      </c>
      <c r="C12" s="60" t="e">
        <v>#DIV/0!</v>
      </c>
      <c r="E12">
        <f t="shared" si="0"/>
        <v>8347.25</v>
      </c>
      <c r="F12">
        <f t="shared" si="1"/>
        <v>11.503</v>
      </c>
    </row>
    <row r="13" spans="1:6" x14ac:dyDescent="0.25">
      <c r="A13" s="59">
        <v>8353.25</v>
      </c>
      <c r="B13" s="60">
        <v>11.564</v>
      </c>
      <c r="C13" s="60" t="e">
        <v>#DIV/0!</v>
      </c>
      <c r="E13">
        <f t="shared" si="0"/>
        <v>8353.25</v>
      </c>
      <c r="F13">
        <f t="shared" si="1"/>
        <v>11.564</v>
      </c>
    </row>
    <row r="14" spans="1:6" x14ac:dyDescent="0.25">
      <c r="A14" s="59">
        <v>8355.75</v>
      </c>
      <c r="B14" s="60">
        <v>11.609</v>
      </c>
      <c r="C14" s="60" t="e">
        <v>#DIV/0!</v>
      </c>
      <c r="E14">
        <f t="shared" si="0"/>
        <v>8355.75</v>
      </c>
      <c r="F14">
        <f t="shared" si="1"/>
        <v>11.609</v>
      </c>
    </row>
    <row r="15" spans="1:6" x14ac:dyDescent="0.25">
      <c r="A15" s="59">
        <v>8359.25</v>
      </c>
      <c r="B15" s="60">
        <v>11.692</v>
      </c>
      <c r="C15" s="60">
        <v>1.1313708497263316E-2</v>
      </c>
      <c r="E15">
        <f t="shared" si="0"/>
        <v>8359.25</v>
      </c>
      <c r="F15">
        <f t="shared" si="1"/>
        <v>11.692</v>
      </c>
    </row>
    <row r="16" spans="1:6" x14ac:dyDescent="0.25">
      <c r="A16" s="59">
        <v>8362.25</v>
      </c>
      <c r="B16" s="60">
        <v>11.797000000000001</v>
      </c>
      <c r="C16" s="60" t="e">
        <v>#DIV/0!</v>
      </c>
      <c r="E16">
        <f t="shared" si="0"/>
        <v>8362.25</v>
      </c>
      <c r="F16">
        <f t="shared" si="1"/>
        <v>11.797000000000001</v>
      </c>
    </row>
    <row r="17" spans="1:6" x14ac:dyDescent="0.25">
      <c r="A17" s="59">
        <v>8364.25</v>
      </c>
      <c r="B17" s="60">
        <v>11.820499999999999</v>
      </c>
      <c r="C17" s="60">
        <v>1.6263455969478507E-2</v>
      </c>
      <c r="E17">
        <f t="shared" si="0"/>
        <v>8364.25</v>
      </c>
      <c r="F17">
        <f t="shared" si="1"/>
        <v>11.820499999999999</v>
      </c>
    </row>
    <row r="18" spans="1:6" x14ac:dyDescent="0.25">
      <c r="A18" s="59">
        <v>8367.5</v>
      </c>
      <c r="B18" s="60">
        <v>11.828769230769229</v>
      </c>
      <c r="C18" s="60">
        <v>5.4575283282394778E-3</v>
      </c>
      <c r="E18">
        <f t="shared" si="0"/>
        <v>8367.5</v>
      </c>
      <c r="F18">
        <f t="shared" si="1"/>
        <v>11.828769230769229</v>
      </c>
    </row>
    <row r="19" spans="1:6" x14ac:dyDescent="0.25">
      <c r="A19" s="59">
        <v>8368.5</v>
      </c>
      <c r="B19" s="60">
        <v>11.973000000000001</v>
      </c>
      <c r="C19" s="60" t="e">
        <v>#DIV/0!</v>
      </c>
      <c r="E19">
        <f t="shared" si="0"/>
        <v>8368.5</v>
      </c>
      <c r="F19">
        <f t="shared" si="1"/>
        <v>11.973000000000001</v>
      </c>
    </row>
    <row r="20" spans="1:6" x14ac:dyDescent="0.25">
      <c r="A20" s="59">
        <v>8369.25</v>
      </c>
      <c r="B20" s="60">
        <v>11.9315</v>
      </c>
      <c r="C20" s="60">
        <v>2.0506096654857659E-2</v>
      </c>
      <c r="E20">
        <f t="shared" si="0"/>
        <v>8369.25</v>
      </c>
      <c r="F20">
        <f t="shared" si="1"/>
        <v>11.9315</v>
      </c>
    </row>
    <row r="21" spans="1:6" x14ac:dyDescent="0.25">
      <c r="A21" s="59">
        <v>8370.25</v>
      </c>
      <c r="B21" s="60">
        <v>11.98</v>
      </c>
      <c r="C21" s="60" t="e">
        <v>#DIV/0!</v>
      </c>
      <c r="E21">
        <f t="shared" si="0"/>
        <v>8370.25</v>
      </c>
      <c r="F21">
        <f t="shared" si="1"/>
        <v>11.98</v>
      </c>
    </row>
    <row r="22" spans="1:6" x14ac:dyDescent="0.25">
      <c r="A22" s="59">
        <v>8375.25</v>
      </c>
      <c r="B22" s="60">
        <v>12.069666666666668</v>
      </c>
      <c r="C22" s="60">
        <v>1.5275252018140666E-3</v>
      </c>
      <c r="E22">
        <f t="shared" si="0"/>
        <v>8375.25</v>
      </c>
      <c r="F22">
        <f t="shared" si="1"/>
        <v>12.069666666666668</v>
      </c>
    </row>
    <row r="23" spans="1:6" x14ac:dyDescent="0.25">
      <c r="A23" s="59">
        <v>8376.25</v>
      </c>
      <c r="B23" s="60">
        <v>12.0945</v>
      </c>
      <c r="C23" s="60">
        <v>3.5355339014695552E-3</v>
      </c>
      <c r="E23">
        <f t="shared" si="0"/>
        <v>8376.25</v>
      </c>
      <c r="F23">
        <f t="shared" si="1"/>
        <v>12.0945</v>
      </c>
    </row>
    <row r="24" spans="1:6" x14ac:dyDescent="0.25">
      <c r="A24" s="59">
        <v>8378.25</v>
      </c>
      <c r="B24" s="60">
        <v>12.088000000000001</v>
      </c>
      <c r="C24" s="60">
        <v>7.0710678069585472E-3</v>
      </c>
      <c r="E24">
        <f t="shared" si="0"/>
        <v>8378.25</v>
      </c>
      <c r="F24">
        <f t="shared" si="1"/>
        <v>12.088000000000001</v>
      </c>
    </row>
    <row r="25" spans="1:6" x14ac:dyDescent="0.25">
      <c r="A25" s="59">
        <v>8383.25</v>
      </c>
      <c r="B25" s="60">
        <v>12.137499999999999</v>
      </c>
      <c r="C25" s="60">
        <v>1.3435028844623746E-2</v>
      </c>
      <c r="E25">
        <f t="shared" si="0"/>
        <v>8383.25</v>
      </c>
      <c r="F25">
        <f t="shared" si="1"/>
        <v>12.137499999999999</v>
      </c>
    </row>
    <row r="26" spans="1:6" x14ac:dyDescent="0.25">
      <c r="A26" s="59">
        <v>8386.25</v>
      </c>
      <c r="B26" s="60">
        <v>12.1755</v>
      </c>
      <c r="C26" s="60">
        <v>3.535533917547302E-3</v>
      </c>
      <c r="E26">
        <f t="shared" si="0"/>
        <v>8386.25</v>
      </c>
      <c r="F26">
        <f t="shared" si="1"/>
        <v>12.1755</v>
      </c>
    </row>
    <row r="27" spans="1:6" x14ac:dyDescent="0.25">
      <c r="A27" s="59">
        <v>8388.25</v>
      </c>
      <c r="B27" s="60">
        <v>12.242333333333333</v>
      </c>
      <c r="C27" s="60">
        <v>6.3437633415857217E-2</v>
      </c>
      <c r="E27">
        <f t="shared" si="0"/>
        <v>8388.25</v>
      </c>
      <c r="F27">
        <f t="shared" si="1"/>
        <v>12.242333333333333</v>
      </c>
    </row>
    <row r="28" spans="1:6" x14ac:dyDescent="0.25">
      <c r="A28" s="59">
        <v>8389.25</v>
      </c>
      <c r="B28" s="60">
        <v>12.225999999999999</v>
      </c>
      <c r="C28" s="60">
        <v>2.828427131224236E-3</v>
      </c>
      <c r="E28">
        <f t="shared" si="0"/>
        <v>8389.25</v>
      </c>
      <c r="F28">
        <f t="shared" si="1"/>
        <v>12.225999999999999</v>
      </c>
    </row>
    <row r="29" spans="1:6" x14ac:dyDescent="0.25">
      <c r="A29" s="59">
        <v>8389.5</v>
      </c>
      <c r="B29" s="60">
        <v>12.162000000000001</v>
      </c>
      <c r="C29" s="60" t="e">
        <v>#DIV/0!</v>
      </c>
      <c r="E29">
        <f t="shared" si="0"/>
        <v>8389.5</v>
      </c>
      <c r="F29">
        <f t="shared" si="1"/>
        <v>12.162000000000001</v>
      </c>
    </row>
    <row r="30" spans="1:6" x14ac:dyDescent="0.25">
      <c r="A30" s="59">
        <v>8390.25</v>
      </c>
      <c r="B30" s="60">
        <v>12.255000000000001</v>
      </c>
      <c r="C30" s="60" t="e">
        <v>#DIV/0!</v>
      </c>
      <c r="E30">
        <f t="shared" si="0"/>
        <v>8390.25</v>
      </c>
      <c r="F30">
        <f t="shared" si="1"/>
        <v>12.255000000000001</v>
      </c>
    </row>
    <row r="31" spans="1:6" x14ac:dyDescent="0.25">
      <c r="A31" s="59">
        <v>8395.5</v>
      </c>
      <c r="B31" s="60">
        <v>12.249000000000001</v>
      </c>
      <c r="C31" s="60" t="e">
        <v>#DIV/0!</v>
      </c>
      <c r="E31">
        <f t="shared" si="0"/>
        <v>8395.5</v>
      </c>
      <c r="F31">
        <f t="shared" si="1"/>
        <v>12.249000000000001</v>
      </c>
    </row>
    <row r="32" spans="1:6" x14ac:dyDescent="0.25">
      <c r="A32" s="59">
        <v>8401.25</v>
      </c>
      <c r="B32" s="60">
        <v>12.3535</v>
      </c>
      <c r="C32" s="60">
        <v>2.1213203408817329E-3</v>
      </c>
      <c r="E32">
        <f t="shared" si="0"/>
        <v>8401.25</v>
      </c>
      <c r="F32">
        <f t="shared" si="1"/>
        <v>12.3535</v>
      </c>
    </row>
    <row r="33" spans="1:6" x14ac:dyDescent="0.25">
      <c r="A33" s="59">
        <v>8402.25</v>
      </c>
      <c r="B33" s="60">
        <v>12.379000000000001</v>
      </c>
      <c r="C33" s="60">
        <v>1.6970562747151047E-2</v>
      </c>
      <c r="E33">
        <f t="shared" si="0"/>
        <v>8402.25</v>
      </c>
      <c r="F33">
        <f t="shared" si="1"/>
        <v>12.379000000000001</v>
      </c>
    </row>
    <row r="34" spans="1:6" x14ac:dyDescent="0.25">
      <c r="A34" s="59">
        <v>8404.25</v>
      </c>
      <c r="B34" s="60">
        <v>12.384</v>
      </c>
      <c r="C34" s="60">
        <v>2.1213203434273763E-2</v>
      </c>
      <c r="E34">
        <f t="shared" si="0"/>
        <v>8404.25</v>
      </c>
      <c r="F34">
        <f t="shared" si="1"/>
        <v>12.384</v>
      </c>
    </row>
    <row r="35" spans="1:6" x14ac:dyDescent="0.25">
      <c r="A35" s="59">
        <v>8406.25</v>
      </c>
      <c r="B35" s="60">
        <v>12.394</v>
      </c>
      <c r="C35" s="60">
        <v>1.6970562748825812E-2</v>
      </c>
      <c r="E35">
        <f t="shared" si="0"/>
        <v>8406.25</v>
      </c>
      <c r="F35">
        <f t="shared" si="1"/>
        <v>12.394</v>
      </c>
    </row>
    <row r="36" spans="1:6" x14ac:dyDescent="0.25">
      <c r="A36" s="59">
        <v>8407.25</v>
      </c>
      <c r="B36" s="60">
        <v>12.408999999999999</v>
      </c>
      <c r="C36" s="60">
        <v>7.0710678149974206E-3</v>
      </c>
      <c r="E36">
        <f t="shared" si="0"/>
        <v>8407.25</v>
      </c>
      <c r="F36">
        <f t="shared" si="1"/>
        <v>12.408999999999999</v>
      </c>
    </row>
    <row r="37" spans="1:6" x14ac:dyDescent="0.25">
      <c r="A37" s="59">
        <v>8409.25</v>
      </c>
      <c r="B37" s="60">
        <v>12.3315</v>
      </c>
      <c r="C37" s="60">
        <v>2.1213203542798553E-3</v>
      </c>
      <c r="E37">
        <f t="shared" si="0"/>
        <v>8409.25</v>
      </c>
      <c r="F37">
        <f t="shared" si="1"/>
        <v>12.3315</v>
      </c>
    </row>
    <row r="38" spans="1:6" x14ac:dyDescent="0.25">
      <c r="A38" s="59">
        <v>8411.25</v>
      </c>
      <c r="B38" s="60">
        <v>12.413</v>
      </c>
      <c r="C38" s="60">
        <v>4.2426406884625272E-3</v>
      </c>
      <c r="E38">
        <f t="shared" si="0"/>
        <v>8411.25</v>
      </c>
      <c r="F38">
        <f t="shared" si="1"/>
        <v>12.413</v>
      </c>
    </row>
    <row r="39" spans="1:6" x14ac:dyDescent="0.25">
      <c r="A39" s="59">
        <v>8415</v>
      </c>
      <c r="B39" s="60">
        <v>12.444500000000001</v>
      </c>
      <c r="C39" s="60">
        <v>9.192388156188341E-3</v>
      </c>
      <c r="E39">
        <f t="shared" si="0"/>
        <v>8415</v>
      </c>
      <c r="F39">
        <f t="shared" si="1"/>
        <v>12.444500000000001</v>
      </c>
    </row>
    <row r="40" spans="1:6" x14ac:dyDescent="0.25">
      <c r="A40" s="59">
        <v>8420</v>
      </c>
      <c r="B40" s="60">
        <v>12.500499999999999</v>
      </c>
      <c r="C40" s="60">
        <v>7.0710682048827692E-4</v>
      </c>
      <c r="E40">
        <f t="shared" si="0"/>
        <v>8420</v>
      </c>
      <c r="F40">
        <f t="shared" si="1"/>
        <v>12.500499999999999</v>
      </c>
    </row>
    <row r="41" spans="1:6" x14ac:dyDescent="0.25">
      <c r="A41" s="59">
        <v>8420.5</v>
      </c>
      <c r="B41" s="60">
        <v>12.43</v>
      </c>
      <c r="C41" s="60" t="e">
        <v>#DIV/0!</v>
      </c>
      <c r="E41">
        <f t="shared" si="0"/>
        <v>8420.5</v>
      </c>
      <c r="F41">
        <f t="shared" si="1"/>
        <v>12.43</v>
      </c>
    </row>
    <row r="42" spans="1:6" x14ac:dyDescent="0.25">
      <c r="A42" s="59">
        <v>8423</v>
      </c>
      <c r="B42" s="60">
        <v>12.6</v>
      </c>
      <c r="C42" s="60" t="e">
        <v>#DIV/0!</v>
      </c>
      <c r="E42">
        <f t="shared" si="0"/>
        <v>8423</v>
      </c>
      <c r="F42">
        <f t="shared" si="1"/>
        <v>12.6</v>
      </c>
    </row>
    <row r="43" spans="1:6" x14ac:dyDescent="0.25">
      <c r="A43" s="59">
        <v>8425.25</v>
      </c>
      <c r="B43" s="60">
        <v>12.5665</v>
      </c>
      <c r="C43" s="60">
        <v>3.7476659402597111E-2</v>
      </c>
      <c r="E43">
        <f t="shared" si="0"/>
        <v>8425.25</v>
      </c>
      <c r="F43">
        <f t="shared" si="1"/>
        <v>12.5665</v>
      </c>
    </row>
    <row r="44" spans="1:6" x14ac:dyDescent="0.25">
      <c r="A44" s="59">
        <v>8425.5</v>
      </c>
      <c r="B44" s="60">
        <v>12.435</v>
      </c>
      <c r="C44" s="60" t="e">
        <v>#DIV/0!</v>
      </c>
      <c r="E44">
        <f t="shared" si="0"/>
        <v>8425.5</v>
      </c>
      <c r="F44">
        <f t="shared" si="1"/>
        <v>12.435</v>
      </c>
    </row>
    <row r="45" spans="1:6" x14ac:dyDescent="0.25">
      <c r="A45" s="59">
        <v>8428.25</v>
      </c>
      <c r="B45" s="60">
        <v>12.574</v>
      </c>
      <c r="C45" s="60">
        <v>2.6870057685016508E-2</v>
      </c>
      <c r="E45">
        <f t="shared" si="0"/>
        <v>8428.25</v>
      </c>
      <c r="F45">
        <f t="shared" si="1"/>
        <v>12.574</v>
      </c>
    </row>
    <row r="46" spans="1:6" x14ac:dyDescent="0.25">
      <c r="A46" s="59">
        <v>8429.5</v>
      </c>
      <c r="B46" s="60">
        <v>12.515000000000001</v>
      </c>
      <c r="C46" s="60" t="e">
        <v>#DIV/0!</v>
      </c>
      <c r="E46">
        <f t="shared" si="0"/>
        <v>8429.5</v>
      </c>
      <c r="F46">
        <f t="shared" si="1"/>
        <v>12.515000000000001</v>
      </c>
    </row>
    <row r="47" spans="1:6" x14ac:dyDescent="0.25">
      <c r="A47" s="59">
        <v>8431</v>
      </c>
      <c r="B47" s="60">
        <v>12.622</v>
      </c>
      <c r="C47" s="60" t="e">
        <v>#DIV/0!</v>
      </c>
      <c r="E47">
        <f t="shared" si="0"/>
        <v>8431</v>
      </c>
      <c r="F47">
        <f t="shared" si="1"/>
        <v>12.622</v>
      </c>
    </row>
    <row r="48" spans="1:6" x14ac:dyDescent="0.25">
      <c r="A48" s="59">
        <v>8433</v>
      </c>
      <c r="B48" s="60">
        <v>12.613</v>
      </c>
      <c r="C48" s="60">
        <v>5.6568542523998799E-3</v>
      </c>
      <c r="E48">
        <f t="shared" si="0"/>
        <v>8433</v>
      </c>
      <c r="F48">
        <f t="shared" si="1"/>
        <v>12.613</v>
      </c>
    </row>
    <row r="49" spans="1:6" x14ac:dyDescent="0.25">
      <c r="A49" s="59">
        <v>8436.5</v>
      </c>
      <c r="B49" s="60">
        <v>12.577</v>
      </c>
      <c r="C49" s="60" t="e">
        <v>#DIV/0!</v>
      </c>
      <c r="E49">
        <f t="shared" si="0"/>
        <v>8436.5</v>
      </c>
      <c r="F49">
        <f t="shared" si="1"/>
        <v>12.577</v>
      </c>
    </row>
    <row r="50" spans="1:6" x14ac:dyDescent="0.25">
      <c r="A50" s="59">
        <v>8437.25</v>
      </c>
      <c r="B50" s="60">
        <v>12.731999999999999</v>
      </c>
      <c r="C50" s="60">
        <v>1.1313708502287611E-2</v>
      </c>
      <c r="E50">
        <f t="shared" si="0"/>
        <v>8437.25</v>
      </c>
      <c r="F50">
        <f t="shared" si="1"/>
        <v>12.731999999999999</v>
      </c>
    </row>
    <row r="51" spans="1:6" x14ac:dyDescent="0.25">
      <c r="A51" s="59">
        <v>8439</v>
      </c>
      <c r="B51" s="60">
        <v>12.75</v>
      </c>
      <c r="C51" s="60" t="e">
        <v>#DIV/0!</v>
      </c>
      <c r="E51">
        <f t="shared" si="0"/>
        <v>8439</v>
      </c>
      <c r="F51">
        <f t="shared" si="1"/>
        <v>12.75</v>
      </c>
    </row>
    <row r="52" spans="1:6" x14ac:dyDescent="0.25">
      <c r="A52" s="59">
        <v>8440.25</v>
      </c>
      <c r="B52" s="60">
        <v>12.821000000000002</v>
      </c>
      <c r="C52" s="60">
        <v>7.0710678109779839E-3</v>
      </c>
      <c r="E52">
        <f t="shared" si="0"/>
        <v>8440.25</v>
      </c>
      <c r="F52">
        <f t="shared" si="1"/>
        <v>12.821000000000002</v>
      </c>
    </row>
    <row r="53" spans="1:6" x14ac:dyDescent="0.25">
      <c r="A53" s="59">
        <v>8442.5</v>
      </c>
      <c r="B53" s="60">
        <v>12.583</v>
      </c>
      <c r="C53" s="60" t="e">
        <v>#DIV/0!</v>
      </c>
      <c r="E53">
        <f t="shared" si="0"/>
        <v>8442.5</v>
      </c>
      <c r="F53">
        <f t="shared" si="1"/>
        <v>12.583</v>
      </c>
    </row>
    <row r="54" spans="1:6" x14ac:dyDescent="0.25">
      <c r="A54" s="59">
        <v>8453</v>
      </c>
      <c r="B54" s="60">
        <v>12.9435</v>
      </c>
      <c r="C54" s="60">
        <v>1.0606601715127163E-2</v>
      </c>
      <c r="E54">
        <f t="shared" si="0"/>
        <v>8453</v>
      </c>
      <c r="F54">
        <f t="shared" si="1"/>
        <v>12.9435</v>
      </c>
    </row>
    <row r="55" spans="1:6" x14ac:dyDescent="0.25">
      <c r="A55" s="59">
        <v>8462</v>
      </c>
      <c r="B55" s="60">
        <v>12.9925</v>
      </c>
      <c r="C55" s="60">
        <v>2.0506096654857659E-2</v>
      </c>
      <c r="E55">
        <f t="shared" si="0"/>
        <v>8462</v>
      </c>
      <c r="F55">
        <f t="shared" si="1"/>
        <v>12.9925</v>
      </c>
    </row>
    <row r="56" spans="1:6" x14ac:dyDescent="0.25">
      <c r="A56" s="59">
        <v>8464.25</v>
      </c>
      <c r="B56" s="60">
        <v>12.9885</v>
      </c>
      <c r="C56" s="60">
        <v>3.4648232277877181E-2</v>
      </c>
      <c r="E56">
        <f t="shared" si="0"/>
        <v>8464.25</v>
      </c>
      <c r="F56">
        <f t="shared" si="1"/>
        <v>12.9885</v>
      </c>
    </row>
    <row r="57" spans="1:6" x14ac:dyDescent="0.25">
      <c r="A57" s="59">
        <v>8478.25</v>
      </c>
      <c r="B57" s="60">
        <v>13.2035</v>
      </c>
      <c r="C57" s="60">
        <v>8.6974134085623517E-2</v>
      </c>
      <c r="E57">
        <f t="shared" si="0"/>
        <v>8478.25</v>
      </c>
      <c r="F57">
        <f t="shared" si="1"/>
        <v>13.2035</v>
      </c>
    </row>
    <row r="58" spans="1:6" x14ac:dyDescent="0.25">
      <c r="A58" s="59">
        <v>8479</v>
      </c>
      <c r="B58" s="60">
        <v>13.145499999999998</v>
      </c>
      <c r="C58" s="60">
        <v>5.8689862838487844E-2</v>
      </c>
      <c r="E58">
        <f t="shared" si="0"/>
        <v>8479</v>
      </c>
      <c r="F58">
        <f t="shared" si="1"/>
        <v>13.145499999999998</v>
      </c>
    </row>
    <row r="59" spans="1:6" x14ac:dyDescent="0.25">
      <c r="A59" s="59">
        <v>8487</v>
      </c>
      <c r="B59" s="60">
        <v>13.206</v>
      </c>
      <c r="C59" s="60">
        <v>4.3840620434624257E-2</v>
      </c>
      <c r="E59">
        <f t="shared" si="0"/>
        <v>8487</v>
      </c>
      <c r="F59">
        <f t="shared" si="1"/>
        <v>13.206</v>
      </c>
    </row>
    <row r="60" spans="1:6" x14ac:dyDescent="0.25">
      <c r="A60" s="59">
        <v>8577.5</v>
      </c>
      <c r="B60" s="60">
        <v>13.7135</v>
      </c>
      <c r="C60" s="60">
        <v>3.1819805154313568E-2</v>
      </c>
      <c r="E60">
        <f t="shared" si="0"/>
        <v>8577.5</v>
      </c>
      <c r="F60">
        <f t="shared" si="1"/>
        <v>13.7135</v>
      </c>
    </row>
    <row r="61" spans="1:6" x14ac:dyDescent="0.25">
      <c r="A61" s="59">
        <v>8597.5</v>
      </c>
      <c r="B61" s="60">
        <v>13.929</v>
      </c>
      <c r="C61" s="60">
        <v>2.4041630560729842E-2</v>
      </c>
      <c r="E61">
        <f t="shared" si="0"/>
        <v>8597.5</v>
      </c>
      <c r="F61">
        <f t="shared" si="1"/>
        <v>13.929</v>
      </c>
    </row>
    <row r="62" spans="1:6" x14ac:dyDescent="0.25">
      <c r="A62" s="59">
        <v>8643.25</v>
      </c>
      <c r="B62" s="60">
        <v>14.054</v>
      </c>
      <c r="C62" s="60">
        <v>7.2124891681007344E-2</v>
      </c>
      <c r="E62">
        <f t="shared" si="0"/>
        <v>8643.25</v>
      </c>
      <c r="F62">
        <f t="shared" si="1"/>
        <v>14.054</v>
      </c>
    </row>
    <row r="63" spans="1:6" x14ac:dyDescent="0.25">
      <c r="A63" s="59">
        <v>8649.75</v>
      </c>
      <c r="B63" s="60">
        <v>13.914999999999999</v>
      </c>
      <c r="C63" s="60" t="e">
        <v>#DIV/0!</v>
      </c>
      <c r="E63">
        <f t="shared" si="0"/>
        <v>8649.75</v>
      </c>
      <c r="F63">
        <f t="shared" si="1"/>
        <v>13.914999999999999</v>
      </c>
    </row>
    <row r="64" spans="1:6" x14ac:dyDescent="0.25">
      <c r="A64" s="59">
        <v>8654.5</v>
      </c>
      <c r="B64" s="60">
        <v>13.852</v>
      </c>
      <c r="C64" s="60" t="e">
        <v>#DIV/0!</v>
      </c>
      <c r="E64">
        <f t="shared" si="0"/>
        <v>8654.5</v>
      </c>
      <c r="F64">
        <f t="shared" si="1"/>
        <v>13.852</v>
      </c>
    </row>
    <row r="65" spans="1:6" x14ac:dyDescent="0.25">
      <c r="A65" s="59">
        <v>8663.25</v>
      </c>
      <c r="B65" s="60">
        <v>13.853999999999999</v>
      </c>
      <c r="C65" s="60">
        <v>3.2526911935461852E-2</v>
      </c>
      <c r="E65">
        <f t="shared" si="0"/>
        <v>8663.25</v>
      </c>
      <c r="F65">
        <f t="shared" si="1"/>
        <v>13.853999999999999</v>
      </c>
    </row>
    <row r="66" spans="1:6" x14ac:dyDescent="0.25">
      <c r="A66" s="59">
        <v>8664.25</v>
      </c>
      <c r="B66" s="60">
        <v>13.87</v>
      </c>
      <c r="C66" s="60" t="e">
        <v>#DIV/0!</v>
      </c>
      <c r="E66">
        <f t="shared" si="0"/>
        <v>8664.25</v>
      </c>
      <c r="F66">
        <f t="shared" si="1"/>
        <v>13.87</v>
      </c>
    </row>
    <row r="67" spans="1:6" x14ac:dyDescent="0.25">
      <c r="A67" s="59">
        <v>8665.75</v>
      </c>
      <c r="B67" s="60">
        <v>13.835000000000001</v>
      </c>
      <c r="C67" s="60" t="e">
        <v>#DIV/0!</v>
      </c>
      <c r="E67">
        <f t="shared" si="0"/>
        <v>8665.75</v>
      </c>
      <c r="F67">
        <f t="shared" si="1"/>
        <v>13.835000000000001</v>
      </c>
    </row>
    <row r="68" spans="1:6" x14ac:dyDescent="0.25">
      <c r="A68" s="59">
        <v>8672.25</v>
      </c>
      <c r="B68" s="60">
        <v>13.8825</v>
      </c>
      <c r="C68" s="60">
        <v>2.0506096654857659E-2</v>
      </c>
      <c r="E68">
        <f t="shared" si="0"/>
        <v>8672.25</v>
      </c>
      <c r="F68">
        <f t="shared" si="1"/>
        <v>13.8825</v>
      </c>
    </row>
    <row r="69" spans="1:6" x14ac:dyDescent="0.25">
      <c r="A69" s="59">
        <v>8677.5</v>
      </c>
      <c r="B69" s="60">
        <v>13.827999999999999</v>
      </c>
      <c r="C69" s="60" t="e">
        <v>#DIV/0!</v>
      </c>
      <c r="E69">
        <f t="shared" ref="E69:E111" si="2">+A69</f>
        <v>8677.5</v>
      </c>
      <c r="F69">
        <f t="shared" ref="F69:F111" si="3">+B69</f>
        <v>13.827999999999999</v>
      </c>
    </row>
    <row r="70" spans="1:6" x14ac:dyDescent="0.25">
      <c r="A70" s="59">
        <v>8681.25</v>
      </c>
      <c r="B70" s="60">
        <v>13.9025</v>
      </c>
      <c r="C70" s="60">
        <v>9.404520189785999E-2</v>
      </c>
      <c r="E70">
        <f t="shared" si="2"/>
        <v>8681.25</v>
      </c>
      <c r="F70">
        <f t="shared" si="3"/>
        <v>13.9025</v>
      </c>
    </row>
    <row r="71" spans="1:6" x14ac:dyDescent="0.25">
      <c r="A71" s="59">
        <v>8685.25</v>
      </c>
      <c r="B71" s="60">
        <v>13.8445</v>
      </c>
      <c r="C71" s="60">
        <v>6.7175144212964361E-2</v>
      </c>
      <c r="E71">
        <f t="shared" si="2"/>
        <v>8685.25</v>
      </c>
      <c r="F71">
        <f t="shared" si="3"/>
        <v>13.8445</v>
      </c>
    </row>
    <row r="72" spans="1:6" x14ac:dyDescent="0.25">
      <c r="A72" s="59">
        <v>8685.5</v>
      </c>
      <c r="B72" s="60">
        <v>13.766999999999999</v>
      </c>
      <c r="C72" s="60" t="e">
        <v>#DIV/0!</v>
      </c>
      <c r="E72">
        <f t="shared" si="2"/>
        <v>8685.5</v>
      </c>
      <c r="F72">
        <f t="shared" si="3"/>
        <v>13.766999999999999</v>
      </c>
    </row>
    <row r="73" spans="1:6" x14ac:dyDescent="0.25">
      <c r="A73" s="59">
        <v>8687.25</v>
      </c>
      <c r="B73" s="60">
        <v>13.786999999999999</v>
      </c>
      <c r="C73" s="60">
        <v>4.1012193309715318E-2</v>
      </c>
      <c r="E73">
        <f t="shared" si="2"/>
        <v>8687.25</v>
      </c>
      <c r="F73">
        <f t="shared" si="3"/>
        <v>13.786999999999999</v>
      </c>
    </row>
    <row r="74" spans="1:6" x14ac:dyDescent="0.25">
      <c r="A74" s="59">
        <v>8688.25</v>
      </c>
      <c r="B74" s="60">
        <v>13.848500000000001</v>
      </c>
      <c r="C74" s="60">
        <v>6.858935777469935E-2</v>
      </c>
      <c r="E74">
        <f t="shared" si="2"/>
        <v>8688.25</v>
      </c>
      <c r="F74">
        <f t="shared" si="3"/>
        <v>13.848500000000001</v>
      </c>
    </row>
    <row r="75" spans="1:6" x14ac:dyDescent="0.25">
      <c r="A75" s="59">
        <v>8690.5</v>
      </c>
      <c r="B75" s="60">
        <v>13.8</v>
      </c>
      <c r="C75" s="60" t="e">
        <v>#DIV/0!</v>
      </c>
      <c r="E75">
        <f t="shared" si="2"/>
        <v>8690.5</v>
      </c>
      <c r="F75">
        <f t="shared" si="3"/>
        <v>13.8</v>
      </c>
    </row>
    <row r="76" spans="1:6" x14ac:dyDescent="0.25">
      <c r="A76" s="59">
        <v>8693.25</v>
      </c>
      <c r="B76" s="60">
        <v>13.760999999999999</v>
      </c>
      <c r="C76" s="60">
        <v>4.2426406817634658E-3</v>
      </c>
      <c r="E76">
        <f t="shared" si="2"/>
        <v>8693.25</v>
      </c>
      <c r="F76">
        <f t="shared" si="3"/>
        <v>13.760999999999999</v>
      </c>
    </row>
    <row r="77" spans="1:6" x14ac:dyDescent="0.25">
      <c r="A77" s="59">
        <v>8694.25</v>
      </c>
      <c r="B77" s="60">
        <v>13.745000000000001</v>
      </c>
      <c r="C77" s="60">
        <v>5.3740115369504141E-2</v>
      </c>
      <c r="E77">
        <f t="shared" si="2"/>
        <v>8694.25</v>
      </c>
      <c r="F77">
        <f t="shared" si="3"/>
        <v>13.745000000000001</v>
      </c>
    </row>
    <row r="78" spans="1:6" x14ac:dyDescent="0.25">
      <c r="A78" s="59">
        <v>8697.25</v>
      </c>
      <c r="B78" s="60">
        <v>13.727499999999999</v>
      </c>
      <c r="C78" s="60">
        <v>2.0506096654857659E-2</v>
      </c>
      <c r="E78">
        <f t="shared" si="2"/>
        <v>8697.25</v>
      </c>
      <c r="F78">
        <f t="shared" si="3"/>
        <v>13.727499999999999</v>
      </c>
    </row>
    <row r="79" spans="1:6" x14ac:dyDescent="0.25">
      <c r="A79" s="59">
        <v>8698.25</v>
      </c>
      <c r="B79" s="60">
        <v>13.780000000000001</v>
      </c>
      <c r="C79" s="60">
        <v>7.0710678118220655E-2</v>
      </c>
      <c r="E79">
        <f t="shared" si="2"/>
        <v>8698.25</v>
      </c>
      <c r="F79">
        <f t="shared" si="3"/>
        <v>13.780000000000001</v>
      </c>
    </row>
    <row r="80" spans="1:6" x14ac:dyDescent="0.25">
      <c r="A80" s="59">
        <v>8699.25</v>
      </c>
      <c r="B80" s="60">
        <v>13.787500000000001</v>
      </c>
      <c r="C80" s="60">
        <v>3.6062445840700702E-2</v>
      </c>
      <c r="E80">
        <f t="shared" si="2"/>
        <v>8699.25</v>
      </c>
      <c r="F80">
        <f t="shared" si="3"/>
        <v>13.787500000000001</v>
      </c>
    </row>
    <row r="81" spans="1:6" x14ac:dyDescent="0.25">
      <c r="A81" s="59">
        <v>8703.25</v>
      </c>
      <c r="B81" s="60">
        <v>13.714500000000001</v>
      </c>
      <c r="C81" s="60">
        <v>3.1819805152527157E-2</v>
      </c>
      <c r="E81">
        <f t="shared" si="2"/>
        <v>8703.25</v>
      </c>
      <c r="F81">
        <f t="shared" si="3"/>
        <v>13.714500000000001</v>
      </c>
    </row>
    <row r="82" spans="1:6" x14ac:dyDescent="0.25">
      <c r="A82" s="59">
        <v>8706.25</v>
      </c>
      <c r="B82" s="60">
        <v>13.701000000000001</v>
      </c>
      <c r="C82" s="60">
        <v>0</v>
      </c>
      <c r="E82">
        <f t="shared" si="2"/>
        <v>8706.25</v>
      </c>
      <c r="F82">
        <f t="shared" si="3"/>
        <v>13.701000000000001</v>
      </c>
    </row>
    <row r="83" spans="1:6" x14ac:dyDescent="0.25">
      <c r="A83" s="59">
        <v>8707.5</v>
      </c>
      <c r="B83" s="60">
        <v>13.601000000000001</v>
      </c>
      <c r="C83" s="60" t="e">
        <v>#DIV/0!</v>
      </c>
      <c r="E83">
        <f t="shared" si="2"/>
        <v>8707.5</v>
      </c>
      <c r="F83">
        <f t="shared" si="3"/>
        <v>13.601000000000001</v>
      </c>
    </row>
    <row r="84" spans="1:6" x14ac:dyDescent="0.25">
      <c r="A84" s="59">
        <v>8708.25</v>
      </c>
      <c r="B84" s="60">
        <v>13.673</v>
      </c>
      <c r="C84" s="60">
        <v>5.7982756057136813E-2</v>
      </c>
      <c r="E84">
        <f t="shared" si="2"/>
        <v>8708.25</v>
      </c>
      <c r="F84">
        <f t="shared" si="3"/>
        <v>13.673</v>
      </c>
    </row>
    <row r="85" spans="1:6" x14ac:dyDescent="0.25">
      <c r="A85" s="59">
        <v>8714.25</v>
      </c>
      <c r="B85" s="60">
        <v>13.676</v>
      </c>
      <c r="C85" s="60">
        <v>1.6970562748825812E-2</v>
      </c>
      <c r="E85">
        <f t="shared" si="2"/>
        <v>8714.25</v>
      </c>
      <c r="F85">
        <f t="shared" si="3"/>
        <v>13.676</v>
      </c>
    </row>
    <row r="86" spans="1:6" x14ac:dyDescent="0.25">
      <c r="A86" s="59">
        <v>8715.25</v>
      </c>
      <c r="B86" s="60">
        <v>13.6785</v>
      </c>
      <c r="C86" s="60">
        <v>6.5760930650315644E-2</v>
      </c>
      <c r="E86">
        <f t="shared" si="2"/>
        <v>8715.25</v>
      </c>
      <c r="F86">
        <f t="shared" si="3"/>
        <v>13.6785</v>
      </c>
    </row>
    <row r="87" spans="1:6" x14ac:dyDescent="0.25">
      <c r="A87" s="59">
        <v>8716.25</v>
      </c>
      <c r="B87" s="60">
        <v>13.66</v>
      </c>
      <c r="C87" s="60" t="e">
        <v>#DIV/0!</v>
      </c>
      <c r="E87">
        <f t="shared" si="2"/>
        <v>8716.25</v>
      </c>
      <c r="F87">
        <f t="shared" si="3"/>
        <v>13.66</v>
      </c>
    </row>
    <row r="88" spans="1:6" x14ac:dyDescent="0.25">
      <c r="A88" s="59">
        <v>8717.25</v>
      </c>
      <c r="B88" s="60">
        <v>13.651</v>
      </c>
      <c r="C88" s="60">
        <v>4.3840620433327662E-2</v>
      </c>
      <c r="E88">
        <f t="shared" si="2"/>
        <v>8717.25</v>
      </c>
      <c r="F88">
        <f t="shared" si="3"/>
        <v>13.651</v>
      </c>
    </row>
    <row r="89" spans="1:6" x14ac:dyDescent="0.25">
      <c r="A89" s="59">
        <v>8720.25</v>
      </c>
      <c r="B89" s="60">
        <v>13.672499999999999</v>
      </c>
      <c r="C89" s="60">
        <v>4.9497474735414821E-3</v>
      </c>
      <c r="E89">
        <f t="shared" si="2"/>
        <v>8720.25</v>
      </c>
      <c r="F89">
        <f t="shared" si="3"/>
        <v>13.672499999999999</v>
      </c>
    </row>
    <row r="90" spans="1:6" x14ac:dyDescent="0.25">
      <c r="A90" s="59">
        <v>8721.5</v>
      </c>
      <c r="B90" s="60">
        <v>13.603999999999999</v>
      </c>
      <c r="C90" s="60" t="e">
        <v>#DIV/0!</v>
      </c>
      <c r="E90">
        <f t="shared" si="2"/>
        <v>8721.5</v>
      </c>
      <c r="F90">
        <f t="shared" si="3"/>
        <v>13.603999999999999</v>
      </c>
    </row>
    <row r="91" spans="1:6" x14ac:dyDescent="0.25">
      <c r="A91" s="59">
        <v>8722.25</v>
      </c>
      <c r="B91" s="60">
        <v>13.64</v>
      </c>
      <c r="C91" s="60">
        <v>0</v>
      </c>
      <c r="E91">
        <f t="shared" si="2"/>
        <v>8722.25</v>
      </c>
      <c r="F91">
        <f t="shared" si="3"/>
        <v>13.64</v>
      </c>
    </row>
    <row r="92" spans="1:6" x14ac:dyDescent="0.25">
      <c r="A92" s="59">
        <v>8726.25</v>
      </c>
      <c r="B92" s="60">
        <v>13.613</v>
      </c>
      <c r="C92" s="60">
        <v>1.8384776310830745E-2</v>
      </c>
      <c r="E92">
        <f t="shared" si="2"/>
        <v>8726.25</v>
      </c>
      <c r="F92">
        <f t="shared" si="3"/>
        <v>13.613</v>
      </c>
    </row>
    <row r="93" spans="1:6" x14ac:dyDescent="0.25">
      <c r="A93" s="59">
        <v>8727.75</v>
      </c>
      <c r="B93" s="60">
        <v>13.603</v>
      </c>
      <c r="C93" s="60" t="e">
        <v>#DIV/0!</v>
      </c>
      <c r="E93">
        <f t="shared" si="2"/>
        <v>8727.75</v>
      </c>
      <c r="F93">
        <f t="shared" si="3"/>
        <v>13.603</v>
      </c>
    </row>
    <row r="94" spans="1:6" x14ac:dyDescent="0.25">
      <c r="A94" s="59">
        <v>8728.25</v>
      </c>
      <c r="B94" s="60">
        <v>13.685500000000001</v>
      </c>
      <c r="C94" s="60">
        <v>5.727564927575967E-2</v>
      </c>
      <c r="E94">
        <f t="shared" si="2"/>
        <v>8728.25</v>
      </c>
      <c r="F94">
        <f t="shared" si="3"/>
        <v>13.685500000000001</v>
      </c>
    </row>
    <row r="95" spans="1:6" x14ac:dyDescent="0.25">
      <c r="A95" s="59">
        <v>8731.25</v>
      </c>
      <c r="B95" s="60">
        <v>13.579499999999999</v>
      </c>
      <c r="C95" s="60">
        <v>6.3639610271112399E-3</v>
      </c>
      <c r="E95">
        <f t="shared" si="2"/>
        <v>8731.25</v>
      </c>
      <c r="F95">
        <f t="shared" si="3"/>
        <v>13.579499999999999</v>
      </c>
    </row>
    <row r="96" spans="1:6" x14ac:dyDescent="0.25">
      <c r="A96" s="59">
        <v>8739.5</v>
      </c>
      <c r="B96" s="60">
        <v>13.611000000000001</v>
      </c>
      <c r="C96" s="60">
        <v>5.6568542423512886E-3</v>
      </c>
      <c r="E96">
        <f t="shared" si="2"/>
        <v>8739.5</v>
      </c>
      <c r="F96">
        <f t="shared" si="3"/>
        <v>13.611000000000001</v>
      </c>
    </row>
    <row r="97" spans="1:6" x14ac:dyDescent="0.25">
      <c r="A97" s="59">
        <v>8739.75</v>
      </c>
      <c r="B97" s="60">
        <v>13.615</v>
      </c>
      <c r="C97" s="60" t="e">
        <v>#DIV/0!</v>
      </c>
      <c r="E97">
        <f t="shared" si="2"/>
        <v>8739.75</v>
      </c>
      <c r="F97">
        <f t="shared" si="3"/>
        <v>13.615</v>
      </c>
    </row>
    <row r="98" spans="1:6" x14ac:dyDescent="0.25">
      <c r="A98" s="59">
        <v>8740.25</v>
      </c>
      <c r="B98" s="60">
        <v>13.501999999999999</v>
      </c>
      <c r="C98" s="60">
        <v>1.2727922063154562E-2</v>
      </c>
      <c r="E98">
        <f t="shared" si="2"/>
        <v>8740.25</v>
      </c>
      <c r="F98">
        <f t="shared" si="3"/>
        <v>13.501999999999999</v>
      </c>
    </row>
    <row r="99" spans="1:6" x14ac:dyDescent="0.25">
      <c r="A99" s="59">
        <v>8744.25</v>
      </c>
      <c r="B99" s="60">
        <v>13.5495</v>
      </c>
      <c r="C99" s="60">
        <v>1.0606601715127163E-2</v>
      </c>
      <c r="E99">
        <f t="shared" si="2"/>
        <v>8744.25</v>
      </c>
      <c r="F99">
        <f t="shared" si="3"/>
        <v>13.5495</v>
      </c>
    </row>
    <row r="100" spans="1:6" x14ac:dyDescent="0.25">
      <c r="A100" s="59">
        <v>8745.25</v>
      </c>
      <c r="B100" s="60">
        <v>13.509499999999999</v>
      </c>
      <c r="C100" s="60">
        <v>2.616295090455107E-2</v>
      </c>
      <c r="E100">
        <f t="shared" si="2"/>
        <v>8745.25</v>
      </c>
      <c r="F100">
        <f t="shared" si="3"/>
        <v>13.509499999999999</v>
      </c>
    </row>
    <row r="101" spans="1:6" x14ac:dyDescent="0.25">
      <c r="A101" s="59">
        <v>8747.25</v>
      </c>
      <c r="B101" s="60">
        <v>13.519</v>
      </c>
      <c r="C101" s="60">
        <v>6.6468037431437171E-2</v>
      </c>
      <c r="E101">
        <f t="shared" si="2"/>
        <v>8747.25</v>
      </c>
      <c r="F101">
        <f t="shared" si="3"/>
        <v>13.519</v>
      </c>
    </row>
    <row r="102" spans="1:6" x14ac:dyDescent="0.25">
      <c r="A102" s="59">
        <v>8747.5</v>
      </c>
      <c r="B102" s="60">
        <v>13.59</v>
      </c>
      <c r="C102" s="60" t="e">
        <v>#DIV/0!</v>
      </c>
      <c r="E102">
        <f t="shared" si="2"/>
        <v>8747.5</v>
      </c>
      <c r="F102">
        <f t="shared" si="3"/>
        <v>13.59</v>
      </c>
    </row>
    <row r="103" spans="1:6" x14ac:dyDescent="0.25">
      <c r="A103" s="59">
        <v>8748.25</v>
      </c>
      <c r="B103" s="60">
        <v>13.53</v>
      </c>
      <c r="C103" s="60" t="e">
        <v>#DIV/0!</v>
      </c>
      <c r="E103">
        <f t="shared" si="2"/>
        <v>8748.25</v>
      </c>
      <c r="F103">
        <f t="shared" si="3"/>
        <v>13.53</v>
      </c>
    </row>
    <row r="104" spans="1:6" x14ac:dyDescent="0.25">
      <c r="A104" s="59">
        <v>8759.25</v>
      </c>
      <c r="B104" s="60">
        <v>13.4495</v>
      </c>
      <c r="C104" s="60">
        <v>2.4748737341293969E-2</v>
      </c>
      <c r="E104">
        <f t="shared" si="2"/>
        <v>8759.25</v>
      </c>
      <c r="F104">
        <f t="shared" si="3"/>
        <v>13.4495</v>
      </c>
    </row>
    <row r="105" spans="1:6" x14ac:dyDescent="0.25">
      <c r="A105" s="59">
        <v>8761.25</v>
      </c>
      <c r="B105" s="60">
        <v>13.448499999999999</v>
      </c>
      <c r="C105" s="60">
        <v>4.7376154339683632E-2</v>
      </c>
      <c r="E105">
        <f t="shared" si="2"/>
        <v>8761.25</v>
      </c>
      <c r="F105">
        <f t="shared" si="3"/>
        <v>13.448499999999999</v>
      </c>
    </row>
    <row r="106" spans="1:6" x14ac:dyDescent="0.25">
      <c r="A106" s="59">
        <v>8762.5</v>
      </c>
      <c r="B106" s="60">
        <v>13.372999999999999</v>
      </c>
      <c r="C106" s="60" t="e">
        <v>#DIV/0!</v>
      </c>
      <c r="E106">
        <f t="shared" si="2"/>
        <v>8762.5</v>
      </c>
      <c r="F106">
        <f t="shared" si="3"/>
        <v>13.372999999999999</v>
      </c>
    </row>
    <row r="107" spans="1:6" x14ac:dyDescent="0.25">
      <c r="A107" s="59">
        <v>8765.25</v>
      </c>
      <c r="B107" s="60">
        <v>13.4055</v>
      </c>
      <c r="C107" s="60">
        <v>9.192388156188341E-3</v>
      </c>
      <c r="E107">
        <f t="shared" si="2"/>
        <v>8765.25</v>
      </c>
      <c r="F107">
        <f t="shared" si="3"/>
        <v>13.4055</v>
      </c>
    </row>
    <row r="108" spans="1:6" x14ac:dyDescent="0.25">
      <c r="A108" s="59">
        <v>8768.5</v>
      </c>
      <c r="B108" s="60">
        <v>13.304</v>
      </c>
      <c r="C108" s="60" t="e">
        <v>#DIV/0!</v>
      </c>
      <c r="E108">
        <f t="shared" si="2"/>
        <v>8768.5</v>
      </c>
      <c r="F108">
        <f t="shared" si="3"/>
        <v>13.304</v>
      </c>
    </row>
    <row r="109" spans="1:6" x14ac:dyDescent="0.25">
      <c r="A109" s="59">
        <v>8773.5</v>
      </c>
      <c r="B109" s="60">
        <v>13.259</v>
      </c>
      <c r="C109" s="60" t="e">
        <v>#DIV/0!</v>
      </c>
      <c r="E109">
        <f t="shared" si="2"/>
        <v>8773.5</v>
      </c>
      <c r="F109">
        <f t="shared" si="3"/>
        <v>13.259</v>
      </c>
    </row>
    <row r="110" spans="1:6" x14ac:dyDescent="0.25">
      <c r="A110" s="59">
        <v>8776.5</v>
      </c>
      <c r="B110" s="60">
        <v>13.260999999999999</v>
      </c>
      <c r="C110" s="60" t="e">
        <v>#DIV/0!</v>
      </c>
      <c r="E110">
        <f t="shared" si="2"/>
        <v>8776.5</v>
      </c>
      <c r="F110">
        <f t="shared" si="3"/>
        <v>13.260999999999999</v>
      </c>
    </row>
    <row r="111" spans="1:6" x14ac:dyDescent="0.25">
      <c r="A111" s="59">
        <v>8780.5</v>
      </c>
      <c r="B111" s="60">
        <v>13.246</v>
      </c>
      <c r="C111" s="60" t="e">
        <v>#DIV/0!</v>
      </c>
      <c r="E111">
        <f t="shared" si="2"/>
        <v>8780.5</v>
      </c>
      <c r="F111">
        <f t="shared" si="3"/>
        <v>13.246</v>
      </c>
    </row>
    <row r="112" spans="1:6" x14ac:dyDescent="0.25">
      <c r="A112" s="59" t="s">
        <v>363</v>
      </c>
      <c r="B112" s="60"/>
      <c r="C112" s="60"/>
    </row>
    <row r="113" spans="1:3" x14ac:dyDescent="0.25">
      <c r="A113" s="59" t="s">
        <v>364</v>
      </c>
      <c r="B113" s="60">
        <v>12.226390581717446</v>
      </c>
      <c r="C113" s="60">
        <v>0.90411977747551542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E1DDD-800E-4D50-A7E2-CDE8F36AC30B}">
  <sheetPr codeName="Feuil13"/>
  <dimension ref="A1:G362"/>
  <sheetViews>
    <sheetView workbookViewId="0">
      <selection activeCell="F1" sqref="F1:G1048576"/>
    </sheetView>
  </sheetViews>
  <sheetFormatPr baseColWidth="10" defaultRowHeight="15" x14ac:dyDescent="0.25"/>
  <sheetData>
    <row r="1" spans="1:7" x14ac:dyDescent="0.25">
      <c r="F1" t="s">
        <v>360</v>
      </c>
      <c r="G1" t="s">
        <v>373</v>
      </c>
    </row>
    <row r="2" spans="1:7" x14ac:dyDescent="0.25">
      <c r="A2">
        <v>8341.1019000001252</v>
      </c>
      <c r="B2">
        <v>11.45</v>
      </c>
      <c r="D2">
        <f>+A2</f>
        <v>8341.1019000001252</v>
      </c>
      <c r="E2">
        <f>+INT(D2*4)/4</f>
        <v>8341</v>
      </c>
      <c r="F2">
        <f>+IF(D2-E2&gt;0.25,E2+0.25,E2)</f>
        <v>8341</v>
      </c>
      <c r="G2">
        <f>+B2</f>
        <v>11.45</v>
      </c>
    </row>
    <row r="3" spans="1:7" x14ac:dyDescent="0.25">
      <c r="A3">
        <v>8343.6637599999085</v>
      </c>
      <c r="B3">
        <v>11.544</v>
      </c>
      <c r="D3">
        <f t="shared" ref="D3:D66" si="0">+A3</f>
        <v>8343.6637599999085</v>
      </c>
      <c r="E3">
        <f t="shared" ref="E3:E66" si="1">+INT(D3*4)/4</f>
        <v>8343.5</v>
      </c>
      <c r="F3">
        <f t="shared" ref="F3:F66" si="2">+IF(D3-E3&gt;0.25,E3+0.25,E3)</f>
        <v>8343.5</v>
      </c>
      <c r="G3">
        <f t="shared" ref="G3:G66" si="3">+B3</f>
        <v>11.544</v>
      </c>
    </row>
    <row r="4" spans="1:7" x14ac:dyDescent="0.25">
      <c r="A4">
        <v>8343.6678499998525</v>
      </c>
      <c r="B4">
        <v>11.537000000000001</v>
      </c>
      <c r="D4">
        <f t="shared" si="0"/>
        <v>8343.6678499998525</v>
      </c>
      <c r="E4">
        <f t="shared" si="1"/>
        <v>8343.5</v>
      </c>
      <c r="F4">
        <f t="shared" si="2"/>
        <v>8343.5</v>
      </c>
      <c r="G4">
        <f t="shared" si="3"/>
        <v>11.537000000000001</v>
      </c>
    </row>
    <row r="5" spans="1:7" x14ac:dyDescent="0.25">
      <c r="A5">
        <v>8343.6719499998726</v>
      </c>
      <c r="B5">
        <v>11.542999999999999</v>
      </c>
      <c r="D5">
        <f t="shared" si="0"/>
        <v>8343.6719499998726</v>
      </c>
      <c r="E5">
        <f t="shared" si="1"/>
        <v>8343.5</v>
      </c>
      <c r="F5">
        <f t="shared" si="2"/>
        <v>8343.5</v>
      </c>
      <c r="G5">
        <f t="shared" si="3"/>
        <v>11.542999999999999</v>
      </c>
    </row>
    <row r="6" spans="1:7" x14ac:dyDescent="0.25">
      <c r="A6">
        <v>8343.6760499998927</v>
      </c>
      <c r="B6">
        <v>11.542</v>
      </c>
      <c r="D6">
        <f t="shared" si="0"/>
        <v>8343.6760499998927</v>
      </c>
      <c r="E6">
        <f t="shared" si="1"/>
        <v>8343.5</v>
      </c>
      <c r="F6">
        <f t="shared" si="2"/>
        <v>8343.5</v>
      </c>
      <c r="G6">
        <f t="shared" si="3"/>
        <v>11.542</v>
      </c>
    </row>
    <row r="7" spans="1:7" x14ac:dyDescent="0.25">
      <c r="A7">
        <v>8343.6801499999128</v>
      </c>
      <c r="B7">
        <v>11.544</v>
      </c>
      <c r="D7">
        <f t="shared" si="0"/>
        <v>8343.6801499999128</v>
      </c>
      <c r="E7">
        <f t="shared" si="1"/>
        <v>8343.5</v>
      </c>
      <c r="F7">
        <f t="shared" si="2"/>
        <v>8343.5</v>
      </c>
      <c r="G7">
        <f t="shared" si="3"/>
        <v>11.544</v>
      </c>
    </row>
    <row r="8" spans="1:7" x14ac:dyDescent="0.25">
      <c r="A8">
        <v>8343.6842399998568</v>
      </c>
      <c r="B8">
        <v>11.542</v>
      </c>
      <c r="D8">
        <f t="shared" si="0"/>
        <v>8343.6842399998568</v>
      </c>
      <c r="E8">
        <f t="shared" si="1"/>
        <v>8343.5</v>
      </c>
      <c r="F8">
        <f t="shared" si="2"/>
        <v>8343.5</v>
      </c>
      <c r="G8">
        <f t="shared" si="3"/>
        <v>11.542</v>
      </c>
    </row>
    <row r="9" spans="1:7" x14ac:dyDescent="0.25">
      <c r="A9">
        <v>8343.6883399998769</v>
      </c>
      <c r="B9">
        <v>11.54</v>
      </c>
      <c r="D9">
        <f t="shared" si="0"/>
        <v>8343.6883399998769</v>
      </c>
      <c r="E9">
        <f t="shared" si="1"/>
        <v>8343.5</v>
      </c>
      <c r="F9">
        <f t="shared" si="2"/>
        <v>8343.5</v>
      </c>
      <c r="G9">
        <f t="shared" si="3"/>
        <v>11.54</v>
      </c>
    </row>
    <row r="10" spans="1:7" x14ac:dyDescent="0.25">
      <c r="A10">
        <v>8343.6924299998209</v>
      </c>
      <c r="B10">
        <v>11.539</v>
      </c>
      <c r="D10">
        <f t="shared" si="0"/>
        <v>8343.6924299998209</v>
      </c>
      <c r="E10">
        <f t="shared" si="1"/>
        <v>8343.5</v>
      </c>
      <c r="F10">
        <f t="shared" si="2"/>
        <v>8343.5</v>
      </c>
      <c r="G10">
        <f t="shared" si="3"/>
        <v>11.539</v>
      </c>
    </row>
    <row r="11" spans="1:7" x14ac:dyDescent="0.25">
      <c r="A11">
        <v>8343.696529999841</v>
      </c>
      <c r="B11">
        <v>11.545</v>
      </c>
      <c r="D11">
        <f t="shared" si="0"/>
        <v>8343.696529999841</v>
      </c>
      <c r="E11">
        <f t="shared" si="1"/>
        <v>8343.5</v>
      </c>
      <c r="F11">
        <f t="shared" si="2"/>
        <v>8343.5</v>
      </c>
      <c r="G11">
        <f t="shared" si="3"/>
        <v>11.545</v>
      </c>
    </row>
    <row r="12" spans="1:7" x14ac:dyDescent="0.25">
      <c r="A12">
        <v>8343.700619999785</v>
      </c>
      <c r="B12">
        <v>11.544</v>
      </c>
      <c r="D12">
        <f t="shared" si="0"/>
        <v>8343.700619999785</v>
      </c>
      <c r="E12">
        <f t="shared" si="1"/>
        <v>8343.5</v>
      </c>
      <c r="F12">
        <f t="shared" si="2"/>
        <v>8343.5</v>
      </c>
      <c r="G12">
        <f t="shared" si="3"/>
        <v>11.544</v>
      </c>
    </row>
    <row r="13" spans="1:7" x14ac:dyDescent="0.25">
      <c r="A13">
        <v>8343.7047199998051</v>
      </c>
      <c r="B13">
        <v>11.534000000000001</v>
      </c>
      <c r="D13">
        <f t="shared" si="0"/>
        <v>8343.7047199998051</v>
      </c>
      <c r="E13">
        <f t="shared" si="1"/>
        <v>8343.5</v>
      </c>
      <c r="F13">
        <f t="shared" si="2"/>
        <v>8343.5</v>
      </c>
      <c r="G13">
        <f t="shared" si="3"/>
        <v>11.534000000000001</v>
      </c>
    </row>
    <row r="14" spans="1:7" x14ac:dyDescent="0.25">
      <c r="A14">
        <v>8343.7088199998252</v>
      </c>
      <c r="B14">
        <v>11.54</v>
      </c>
      <c r="D14">
        <f t="shared" si="0"/>
        <v>8343.7088199998252</v>
      </c>
      <c r="E14">
        <f t="shared" si="1"/>
        <v>8343.5</v>
      </c>
      <c r="F14">
        <f t="shared" si="2"/>
        <v>8343.5</v>
      </c>
      <c r="G14">
        <f t="shared" si="3"/>
        <v>11.54</v>
      </c>
    </row>
    <row r="15" spans="1:7" x14ac:dyDescent="0.25">
      <c r="A15">
        <v>8343.7129199998453</v>
      </c>
      <c r="B15">
        <v>11.541</v>
      </c>
      <c r="D15">
        <f t="shared" si="0"/>
        <v>8343.7129199998453</v>
      </c>
      <c r="E15">
        <f t="shared" si="1"/>
        <v>8343.5</v>
      </c>
      <c r="F15">
        <f t="shared" si="2"/>
        <v>8343.5</v>
      </c>
      <c r="G15">
        <f t="shared" si="3"/>
        <v>11.541</v>
      </c>
    </row>
    <row r="16" spans="1:7" x14ac:dyDescent="0.25">
      <c r="A16">
        <v>8343.7170099997893</v>
      </c>
      <c r="B16">
        <v>11.541</v>
      </c>
      <c r="D16">
        <f t="shared" si="0"/>
        <v>8343.7170099997893</v>
      </c>
      <c r="E16">
        <f t="shared" si="1"/>
        <v>8343.5</v>
      </c>
      <c r="F16">
        <f t="shared" si="2"/>
        <v>8343.5</v>
      </c>
      <c r="G16">
        <f t="shared" si="3"/>
        <v>11.541</v>
      </c>
    </row>
    <row r="17" spans="1:7" x14ac:dyDescent="0.25">
      <c r="A17">
        <v>8343.7211099998094</v>
      </c>
      <c r="B17">
        <v>11.542</v>
      </c>
      <c r="D17">
        <f t="shared" si="0"/>
        <v>8343.7211099998094</v>
      </c>
      <c r="E17">
        <f t="shared" si="1"/>
        <v>8343.5</v>
      </c>
      <c r="F17">
        <f t="shared" si="2"/>
        <v>8343.5</v>
      </c>
      <c r="G17">
        <f t="shared" si="3"/>
        <v>11.542</v>
      </c>
    </row>
    <row r="18" spans="1:7" x14ac:dyDescent="0.25">
      <c r="A18">
        <v>8344.6083200001158</v>
      </c>
      <c r="B18">
        <v>11.542</v>
      </c>
      <c r="D18">
        <f t="shared" si="0"/>
        <v>8344.6083200001158</v>
      </c>
      <c r="E18">
        <f t="shared" si="1"/>
        <v>8344.5</v>
      </c>
      <c r="F18">
        <f t="shared" si="2"/>
        <v>8344.5</v>
      </c>
      <c r="G18">
        <f t="shared" si="3"/>
        <v>11.542</v>
      </c>
    </row>
    <row r="19" spans="1:7" x14ac:dyDescent="0.25">
      <c r="A19">
        <v>8345.4008300001733</v>
      </c>
      <c r="B19">
        <v>11.382</v>
      </c>
      <c r="D19">
        <f t="shared" si="0"/>
        <v>8345.4008300001733</v>
      </c>
      <c r="E19">
        <f t="shared" si="1"/>
        <v>8345.25</v>
      </c>
      <c r="F19">
        <f t="shared" si="2"/>
        <v>8345.25</v>
      </c>
      <c r="G19">
        <f t="shared" si="3"/>
        <v>11.382</v>
      </c>
    </row>
    <row r="20" spans="1:7" x14ac:dyDescent="0.25">
      <c r="A20">
        <v>8345.4024299997836</v>
      </c>
      <c r="B20">
        <v>11.394</v>
      </c>
      <c r="D20">
        <f t="shared" si="0"/>
        <v>8345.4024299997836</v>
      </c>
      <c r="E20">
        <f t="shared" si="1"/>
        <v>8345.25</v>
      </c>
      <c r="F20">
        <f t="shared" si="2"/>
        <v>8345.25</v>
      </c>
      <c r="G20">
        <f t="shared" si="3"/>
        <v>11.394</v>
      </c>
    </row>
    <row r="21" spans="1:7" x14ac:dyDescent="0.25">
      <c r="A21">
        <v>8345.4040399999358</v>
      </c>
      <c r="B21">
        <v>11.411</v>
      </c>
      <c r="D21">
        <f t="shared" si="0"/>
        <v>8345.4040399999358</v>
      </c>
      <c r="E21">
        <f t="shared" si="1"/>
        <v>8345.25</v>
      </c>
      <c r="F21">
        <f t="shared" si="2"/>
        <v>8345.25</v>
      </c>
      <c r="G21">
        <f t="shared" si="3"/>
        <v>11.411</v>
      </c>
    </row>
    <row r="22" spans="1:7" x14ac:dyDescent="0.25">
      <c r="A22">
        <v>8345.4056400000118</v>
      </c>
      <c r="B22">
        <v>11.436999999999999</v>
      </c>
      <c r="D22">
        <f t="shared" si="0"/>
        <v>8345.4056400000118</v>
      </c>
      <c r="E22">
        <f t="shared" si="1"/>
        <v>8345.25</v>
      </c>
      <c r="F22">
        <f t="shared" si="2"/>
        <v>8345.25</v>
      </c>
      <c r="G22">
        <f t="shared" si="3"/>
        <v>11.436999999999999</v>
      </c>
    </row>
    <row r="23" spans="1:7" x14ac:dyDescent="0.25">
      <c r="A23">
        <v>8345.4072500001639</v>
      </c>
      <c r="B23">
        <v>11.445</v>
      </c>
      <c r="D23">
        <f t="shared" si="0"/>
        <v>8345.4072500001639</v>
      </c>
      <c r="E23">
        <f t="shared" si="1"/>
        <v>8345.25</v>
      </c>
      <c r="F23">
        <f t="shared" si="2"/>
        <v>8345.25</v>
      </c>
      <c r="G23">
        <f t="shared" si="3"/>
        <v>11.445</v>
      </c>
    </row>
    <row r="24" spans="1:7" x14ac:dyDescent="0.25">
      <c r="A24">
        <v>8345.4088300000876</v>
      </c>
      <c r="B24">
        <v>11.445</v>
      </c>
      <c r="D24">
        <f t="shared" si="0"/>
        <v>8345.4088300000876</v>
      </c>
      <c r="E24">
        <f t="shared" si="1"/>
        <v>8345.25</v>
      </c>
      <c r="F24">
        <f t="shared" si="2"/>
        <v>8345.25</v>
      </c>
      <c r="G24">
        <f t="shared" si="3"/>
        <v>11.445</v>
      </c>
    </row>
    <row r="25" spans="1:7" x14ac:dyDescent="0.25">
      <c r="A25">
        <v>8345.4104200000875</v>
      </c>
      <c r="B25">
        <v>11.411</v>
      </c>
      <c r="D25">
        <f t="shared" si="0"/>
        <v>8345.4104200000875</v>
      </c>
      <c r="E25">
        <f t="shared" si="1"/>
        <v>8345.25</v>
      </c>
      <c r="F25">
        <f t="shared" si="2"/>
        <v>8345.25</v>
      </c>
      <c r="G25">
        <f t="shared" si="3"/>
        <v>11.411</v>
      </c>
    </row>
    <row r="26" spans="1:7" x14ac:dyDescent="0.25">
      <c r="A26">
        <v>8345.4120000000112</v>
      </c>
      <c r="B26">
        <v>11.406000000000001</v>
      </c>
      <c r="D26">
        <f t="shared" si="0"/>
        <v>8345.4120000000112</v>
      </c>
      <c r="E26">
        <f t="shared" si="1"/>
        <v>8345.25</v>
      </c>
      <c r="F26">
        <f t="shared" si="2"/>
        <v>8345.25</v>
      </c>
      <c r="G26">
        <f t="shared" si="3"/>
        <v>11.406000000000001</v>
      </c>
    </row>
    <row r="27" spans="1:7" x14ac:dyDescent="0.25">
      <c r="A27">
        <v>8345.413590000011</v>
      </c>
      <c r="B27">
        <v>11.391</v>
      </c>
      <c r="D27">
        <f t="shared" si="0"/>
        <v>8345.413590000011</v>
      </c>
      <c r="E27">
        <f t="shared" si="1"/>
        <v>8345.25</v>
      </c>
      <c r="F27">
        <f t="shared" si="2"/>
        <v>8345.25</v>
      </c>
      <c r="G27">
        <f t="shared" si="3"/>
        <v>11.391</v>
      </c>
    </row>
    <row r="28" spans="1:7" x14ac:dyDescent="0.25">
      <c r="A28">
        <v>8345.4151699999347</v>
      </c>
      <c r="B28">
        <v>11.372</v>
      </c>
      <c r="D28">
        <f t="shared" si="0"/>
        <v>8345.4151699999347</v>
      </c>
      <c r="E28">
        <f t="shared" si="1"/>
        <v>8345.25</v>
      </c>
      <c r="F28">
        <f t="shared" si="2"/>
        <v>8345.25</v>
      </c>
      <c r="G28">
        <f t="shared" si="3"/>
        <v>11.372</v>
      </c>
    </row>
    <row r="29" spans="1:7" x14ac:dyDescent="0.25">
      <c r="A29">
        <v>8345.4167599999346</v>
      </c>
      <c r="B29">
        <v>11.38</v>
      </c>
      <c r="D29">
        <f t="shared" si="0"/>
        <v>8345.4167599999346</v>
      </c>
      <c r="E29">
        <f t="shared" si="1"/>
        <v>8345.25</v>
      </c>
      <c r="F29">
        <f t="shared" si="2"/>
        <v>8345.25</v>
      </c>
      <c r="G29">
        <f t="shared" si="3"/>
        <v>11.38</v>
      </c>
    </row>
    <row r="30" spans="1:7" x14ac:dyDescent="0.25">
      <c r="A30">
        <v>8345.4183499999344</v>
      </c>
      <c r="B30">
        <v>11.417</v>
      </c>
      <c r="D30">
        <f t="shared" si="0"/>
        <v>8345.4183499999344</v>
      </c>
      <c r="E30">
        <f t="shared" si="1"/>
        <v>8345.25</v>
      </c>
      <c r="F30">
        <f t="shared" si="2"/>
        <v>8345.25</v>
      </c>
      <c r="G30">
        <f t="shared" si="3"/>
        <v>11.417</v>
      </c>
    </row>
    <row r="31" spans="1:7" x14ac:dyDescent="0.25">
      <c r="A31">
        <v>8345.4199299998581</v>
      </c>
      <c r="B31">
        <v>11.435</v>
      </c>
      <c r="D31">
        <f t="shared" si="0"/>
        <v>8345.4199299998581</v>
      </c>
      <c r="E31">
        <f t="shared" si="1"/>
        <v>8345.25</v>
      </c>
      <c r="F31">
        <f t="shared" si="2"/>
        <v>8345.25</v>
      </c>
      <c r="G31">
        <f t="shared" si="3"/>
        <v>11.435</v>
      </c>
    </row>
    <row r="32" spans="1:7" x14ac:dyDescent="0.25">
      <c r="A32">
        <v>8345.4215299999341</v>
      </c>
      <c r="B32">
        <v>11.448</v>
      </c>
      <c r="D32">
        <f t="shared" si="0"/>
        <v>8345.4215299999341</v>
      </c>
      <c r="E32">
        <f t="shared" si="1"/>
        <v>8345.25</v>
      </c>
      <c r="F32">
        <f t="shared" si="2"/>
        <v>8345.25</v>
      </c>
      <c r="G32">
        <f t="shared" si="3"/>
        <v>11.448</v>
      </c>
    </row>
    <row r="33" spans="1:7" x14ac:dyDescent="0.25">
      <c r="A33">
        <v>8345.4231099998578</v>
      </c>
      <c r="B33">
        <v>11.44</v>
      </c>
      <c r="D33">
        <f t="shared" si="0"/>
        <v>8345.4231099998578</v>
      </c>
      <c r="E33">
        <f t="shared" si="1"/>
        <v>8345.25</v>
      </c>
      <c r="F33">
        <f t="shared" si="2"/>
        <v>8345.25</v>
      </c>
      <c r="G33">
        <f t="shared" si="3"/>
        <v>11.44</v>
      </c>
    </row>
    <row r="34" spans="1:7" x14ac:dyDescent="0.25">
      <c r="A34">
        <v>8345.4246999998577</v>
      </c>
      <c r="B34">
        <v>11.432</v>
      </c>
      <c r="D34">
        <f t="shared" si="0"/>
        <v>8345.4246999998577</v>
      </c>
      <c r="E34">
        <f t="shared" si="1"/>
        <v>8345.25</v>
      </c>
      <c r="F34">
        <f t="shared" si="2"/>
        <v>8345.25</v>
      </c>
      <c r="G34">
        <f t="shared" si="3"/>
        <v>11.432</v>
      </c>
    </row>
    <row r="35" spans="1:7" x14ac:dyDescent="0.25">
      <c r="A35">
        <v>8345.4262799997814</v>
      </c>
      <c r="B35">
        <v>11.439</v>
      </c>
      <c r="D35">
        <f t="shared" si="0"/>
        <v>8345.4262799997814</v>
      </c>
      <c r="E35">
        <f t="shared" si="1"/>
        <v>8345.25</v>
      </c>
      <c r="F35">
        <f t="shared" si="2"/>
        <v>8345.25</v>
      </c>
      <c r="G35">
        <f t="shared" si="3"/>
        <v>11.439</v>
      </c>
    </row>
    <row r="36" spans="1:7" x14ac:dyDescent="0.25">
      <c r="A36">
        <v>8345.4278699997813</v>
      </c>
      <c r="B36">
        <v>11.438000000000001</v>
      </c>
      <c r="D36">
        <f t="shared" si="0"/>
        <v>8345.4278699997813</v>
      </c>
      <c r="E36">
        <f t="shared" si="1"/>
        <v>8345.25</v>
      </c>
      <c r="F36">
        <f t="shared" si="2"/>
        <v>8345.25</v>
      </c>
      <c r="G36">
        <f t="shared" si="3"/>
        <v>11.438000000000001</v>
      </c>
    </row>
    <row r="37" spans="1:7" x14ac:dyDescent="0.25">
      <c r="A37">
        <v>8345.4294500001706</v>
      </c>
      <c r="B37">
        <v>11.441000000000001</v>
      </c>
      <c r="D37">
        <f t="shared" si="0"/>
        <v>8345.4294500001706</v>
      </c>
      <c r="E37">
        <f t="shared" si="1"/>
        <v>8345.25</v>
      </c>
      <c r="F37">
        <f t="shared" si="2"/>
        <v>8345.25</v>
      </c>
      <c r="G37">
        <f t="shared" si="3"/>
        <v>11.441000000000001</v>
      </c>
    </row>
    <row r="38" spans="1:7" x14ac:dyDescent="0.25">
      <c r="A38">
        <v>8345.4310400001705</v>
      </c>
      <c r="B38">
        <v>11.446</v>
      </c>
      <c r="D38">
        <f t="shared" si="0"/>
        <v>8345.4310400001705</v>
      </c>
      <c r="E38">
        <f t="shared" si="1"/>
        <v>8345.25</v>
      </c>
      <c r="F38">
        <f t="shared" si="2"/>
        <v>8345.25</v>
      </c>
      <c r="G38">
        <f t="shared" si="3"/>
        <v>11.446</v>
      </c>
    </row>
    <row r="39" spans="1:7" x14ac:dyDescent="0.25">
      <c r="A39">
        <v>8345.4326300001703</v>
      </c>
      <c r="B39">
        <v>11.426</v>
      </c>
      <c r="D39">
        <f t="shared" si="0"/>
        <v>8345.4326300001703</v>
      </c>
      <c r="E39">
        <f t="shared" si="1"/>
        <v>8345.25</v>
      </c>
      <c r="F39">
        <f t="shared" si="2"/>
        <v>8345.25</v>
      </c>
      <c r="G39">
        <f t="shared" si="3"/>
        <v>11.426</v>
      </c>
    </row>
    <row r="40" spans="1:7" x14ac:dyDescent="0.25">
      <c r="A40">
        <v>8345.434210000094</v>
      </c>
      <c r="B40">
        <v>11.433</v>
      </c>
      <c r="D40">
        <f t="shared" si="0"/>
        <v>8345.434210000094</v>
      </c>
      <c r="E40">
        <f t="shared" si="1"/>
        <v>8345.25</v>
      </c>
      <c r="F40">
        <f t="shared" si="2"/>
        <v>8345.25</v>
      </c>
      <c r="G40">
        <f t="shared" si="3"/>
        <v>11.433</v>
      </c>
    </row>
    <row r="41" spans="1:7" x14ac:dyDescent="0.25">
      <c r="A41">
        <v>8345.4358000000939</v>
      </c>
      <c r="B41">
        <v>11.425000000000001</v>
      </c>
      <c r="D41">
        <f t="shared" si="0"/>
        <v>8345.4358000000939</v>
      </c>
      <c r="E41">
        <f t="shared" si="1"/>
        <v>8345.25</v>
      </c>
      <c r="F41">
        <f t="shared" si="2"/>
        <v>8345.25</v>
      </c>
      <c r="G41">
        <f t="shared" si="3"/>
        <v>11.425000000000001</v>
      </c>
    </row>
    <row r="42" spans="1:7" x14ac:dyDescent="0.25">
      <c r="A42">
        <v>8345.4373800000176</v>
      </c>
      <c r="B42">
        <v>11.426</v>
      </c>
      <c r="D42">
        <f t="shared" si="0"/>
        <v>8345.4373800000176</v>
      </c>
      <c r="E42">
        <f t="shared" si="1"/>
        <v>8345.25</v>
      </c>
      <c r="F42">
        <f t="shared" si="2"/>
        <v>8345.25</v>
      </c>
      <c r="G42">
        <f t="shared" si="3"/>
        <v>11.426</v>
      </c>
    </row>
    <row r="43" spans="1:7" x14ac:dyDescent="0.25">
      <c r="A43">
        <v>8345.4389700000174</v>
      </c>
      <c r="B43">
        <v>11.433</v>
      </c>
      <c r="D43">
        <f t="shared" si="0"/>
        <v>8345.4389700000174</v>
      </c>
      <c r="E43">
        <f t="shared" si="1"/>
        <v>8345.25</v>
      </c>
      <c r="F43">
        <f t="shared" si="2"/>
        <v>8345.25</v>
      </c>
      <c r="G43">
        <f t="shared" si="3"/>
        <v>11.433</v>
      </c>
    </row>
    <row r="44" spans="1:7" x14ac:dyDescent="0.25">
      <c r="A44">
        <v>8345.4405499999411</v>
      </c>
      <c r="B44">
        <v>11.423</v>
      </c>
      <c r="D44">
        <f t="shared" si="0"/>
        <v>8345.4405499999411</v>
      </c>
      <c r="E44">
        <f t="shared" si="1"/>
        <v>8345.25</v>
      </c>
      <c r="F44">
        <f t="shared" si="2"/>
        <v>8345.25</v>
      </c>
      <c r="G44">
        <f t="shared" si="3"/>
        <v>11.423</v>
      </c>
    </row>
    <row r="45" spans="1:7" x14ac:dyDescent="0.25">
      <c r="A45">
        <v>8345.442139999941</v>
      </c>
      <c r="B45">
        <v>11.419</v>
      </c>
      <c r="D45">
        <f t="shared" si="0"/>
        <v>8345.442139999941</v>
      </c>
      <c r="E45">
        <f t="shared" si="1"/>
        <v>8345.25</v>
      </c>
      <c r="F45">
        <f t="shared" si="2"/>
        <v>8345.25</v>
      </c>
      <c r="G45">
        <f t="shared" si="3"/>
        <v>11.419</v>
      </c>
    </row>
    <row r="46" spans="1:7" x14ac:dyDescent="0.25">
      <c r="A46">
        <v>8345.4437299999408</v>
      </c>
      <c r="B46">
        <v>11.417</v>
      </c>
      <c r="D46">
        <f t="shared" si="0"/>
        <v>8345.4437299999408</v>
      </c>
      <c r="E46">
        <f t="shared" si="1"/>
        <v>8345.25</v>
      </c>
      <c r="F46">
        <f t="shared" si="2"/>
        <v>8345.25</v>
      </c>
      <c r="G46">
        <f t="shared" si="3"/>
        <v>11.417</v>
      </c>
    </row>
    <row r="47" spans="1:7" x14ac:dyDescent="0.25">
      <c r="A47">
        <v>8345.4453199999407</v>
      </c>
      <c r="B47">
        <v>11.412000000000001</v>
      </c>
      <c r="D47">
        <f t="shared" si="0"/>
        <v>8345.4453199999407</v>
      </c>
      <c r="E47">
        <f t="shared" si="1"/>
        <v>8345.25</v>
      </c>
      <c r="F47">
        <f t="shared" si="2"/>
        <v>8345.25</v>
      </c>
      <c r="G47">
        <f t="shared" si="3"/>
        <v>11.412000000000001</v>
      </c>
    </row>
    <row r="48" spans="1:7" x14ac:dyDescent="0.25">
      <c r="A48">
        <v>8345.4469099999405</v>
      </c>
      <c r="B48">
        <v>11.420999999999999</v>
      </c>
      <c r="D48">
        <f t="shared" si="0"/>
        <v>8345.4469099999405</v>
      </c>
      <c r="E48">
        <f t="shared" si="1"/>
        <v>8345.25</v>
      </c>
      <c r="F48">
        <f t="shared" si="2"/>
        <v>8345.25</v>
      </c>
      <c r="G48">
        <f t="shared" si="3"/>
        <v>11.420999999999999</v>
      </c>
    </row>
    <row r="49" spans="1:7" x14ac:dyDescent="0.25">
      <c r="A49">
        <v>8345.4484899998643</v>
      </c>
      <c r="B49">
        <v>11.42</v>
      </c>
      <c r="D49">
        <f t="shared" si="0"/>
        <v>8345.4484899998643</v>
      </c>
      <c r="E49">
        <f t="shared" si="1"/>
        <v>8345.25</v>
      </c>
      <c r="F49">
        <f t="shared" si="2"/>
        <v>8345.25</v>
      </c>
      <c r="G49">
        <f t="shared" si="3"/>
        <v>11.42</v>
      </c>
    </row>
    <row r="50" spans="1:7" x14ac:dyDescent="0.25">
      <c r="A50">
        <v>8345.4500799998641</v>
      </c>
      <c r="B50">
        <v>11.428000000000001</v>
      </c>
      <c r="D50">
        <f t="shared" si="0"/>
        <v>8345.4500799998641</v>
      </c>
      <c r="E50">
        <f t="shared" si="1"/>
        <v>8345.25</v>
      </c>
      <c r="F50">
        <f t="shared" si="2"/>
        <v>8345.25</v>
      </c>
      <c r="G50">
        <f t="shared" si="3"/>
        <v>11.428000000000001</v>
      </c>
    </row>
    <row r="51" spans="1:7" x14ac:dyDescent="0.25">
      <c r="A51">
        <v>8345.4516599997878</v>
      </c>
      <c r="B51">
        <v>11.43</v>
      </c>
      <c r="D51">
        <f t="shared" si="0"/>
        <v>8345.4516599997878</v>
      </c>
      <c r="E51">
        <f t="shared" si="1"/>
        <v>8345.25</v>
      </c>
      <c r="F51">
        <f t="shared" si="2"/>
        <v>8345.25</v>
      </c>
      <c r="G51">
        <f t="shared" si="3"/>
        <v>11.43</v>
      </c>
    </row>
    <row r="52" spans="1:7" x14ac:dyDescent="0.25">
      <c r="A52">
        <v>8345.4532499997877</v>
      </c>
      <c r="B52">
        <v>11.43</v>
      </c>
      <c r="D52">
        <f t="shared" si="0"/>
        <v>8345.4532499997877</v>
      </c>
      <c r="E52">
        <f t="shared" si="1"/>
        <v>8345.25</v>
      </c>
      <c r="F52">
        <f t="shared" si="2"/>
        <v>8345.25</v>
      </c>
      <c r="G52">
        <f t="shared" si="3"/>
        <v>11.43</v>
      </c>
    </row>
    <row r="53" spans="1:7" x14ac:dyDescent="0.25">
      <c r="A53">
        <v>8345.4548399997875</v>
      </c>
      <c r="B53">
        <v>11.433999999999999</v>
      </c>
      <c r="D53">
        <f t="shared" si="0"/>
        <v>8345.4548399997875</v>
      </c>
      <c r="E53">
        <f t="shared" si="1"/>
        <v>8345.25</v>
      </c>
      <c r="F53">
        <f t="shared" si="2"/>
        <v>8345.25</v>
      </c>
      <c r="G53">
        <f t="shared" si="3"/>
        <v>11.433999999999999</v>
      </c>
    </row>
    <row r="54" spans="1:7" x14ac:dyDescent="0.25">
      <c r="A54">
        <v>8345.4564200001769</v>
      </c>
      <c r="B54">
        <v>11.416</v>
      </c>
      <c r="D54">
        <f t="shared" si="0"/>
        <v>8345.4564200001769</v>
      </c>
      <c r="E54">
        <f t="shared" si="1"/>
        <v>8345.25</v>
      </c>
      <c r="F54">
        <f t="shared" si="2"/>
        <v>8345.25</v>
      </c>
      <c r="G54">
        <f t="shared" si="3"/>
        <v>11.416</v>
      </c>
    </row>
    <row r="55" spans="1:7" x14ac:dyDescent="0.25">
      <c r="A55">
        <v>8345.4580100001767</v>
      </c>
      <c r="B55">
        <v>11.414999999999999</v>
      </c>
      <c r="D55">
        <f t="shared" si="0"/>
        <v>8345.4580100001767</v>
      </c>
      <c r="E55">
        <f t="shared" si="1"/>
        <v>8345.25</v>
      </c>
      <c r="F55">
        <f t="shared" si="2"/>
        <v>8345.25</v>
      </c>
      <c r="G55">
        <f t="shared" si="3"/>
        <v>11.414999999999999</v>
      </c>
    </row>
    <row r="56" spans="1:7" x14ac:dyDescent="0.25">
      <c r="A56">
        <v>8345.4595900001004</v>
      </c>
      <c r="B56">
        <v>11.423</v>
      </c>
      <c r="D56">
        <f t="shared" si="0"/>
        <v>8345.4595900001004</v>
      </c>
      <c r="E56">
        <f t="shared" si="1"/>
        <v>8345.25</v>
      </c>
      <c r="F56">
        <f t="shared" si="2"/>
        <v>8345.25</v>
      </c>
      <c r="G56">
        <f t="shared" si="3"/>
        <v>11.423</v>
      </c>
    </row>
    <row r="57" spans="1:7" x14ac:dyDescent="0.25">
      <c r="A57">
        <v>8345.4611800001003</v>
      </c>
      <c r="B57">
        <v>11.411</v>
      </c>
      <c r="D57">
        <f t="shared" si="0"/>
        <v>8345.4611800001003</v>
      </c>
      <c r="E57">
        <f t="shared" si="1"/>
        <v>8345.25</v>
      </c>
      <c r="F57">
        <f t="shared" si="2"/>
        <v>8345.25</v>
      </c>
      <c r="G57">
        <f t="shared" si="3"/>
        <v>11.411</v>
      </c>
    </row>
    <row r="58" spans="1:7" x14ac:dyDescent="0.25">
      <c r="A58">
        <v>8345.462760000024</v>
      </c>
      <c r="B58">
        <v>11.409000000000001</v>
      </c>
      <c r="D58">
        <f t="shared" si="0"/>
        <v>8345.462760000024</v>
      </c>
      <c r="E58">
        <f t="shared" si="1"/>
        <v>8345.25</v>
      </c>
      <c r="F58">
        <f t="shared" si="2"/>
        <v>8345.25</v>
      </c>
      <c r="G58">
        <f t="shared" si="3"/>
        <v>11.409000000000001</v>
      </c>
    </row>
    <row r="59" spans="1:7" x14ac:dyDescent="0.25">
      <c r="A59">
        <v>8345.4643500000238</v>
      </c>
      <c r="B59">
        <v>11.41</v>
      </c>
      <c r="D59">
        <f t="shared" si="0"/>
        <v>8345.4643500000238</v>
      </c>
      <c r="E59">
        <f t="shared" si="1"/>
        <v>8345.25</v>
      </c>
      <c r="F59">
        <f t="shared" si="2"/>
        <v>8345.25</v>
      </c>
      <c r="G59">
        <f t="shared" si="3"/>
        <v>11.41</v>
      </c>
    </row>
    <row r="60" spans="1:7" x14ac:dyDescent="0.25">
      <c r="A60">
        <v>8345.4659500000998</v>
      </c>
      <c r="B60">
        <v>11.409000000000001</v>
      </c>
      <c r="D60">
        <f t="shared" si="0"/>
        <v>8345.4659500000998</v>
      </c>
      <c r="E60">
        <f t="shared" si="1"/>
        <v>8345.25</v>
      </c>
      <c r="F60">
        <f t="shared" si="2"/>
        <v>8345.25</v>
      </c>
      <c r="G60">
        <f t="shared" si="3"/>
        <v>11.409000000000001</v>
      </c>
    </row>
    <row r="61" spans="1:7" x14ac:dyDescent="0.25">
      <c r="A61">
        <v>8345.4675300000235</v>
      </c>
      <c r="B61">
        <v>11.403</v>
      </c>
      <c r="D61">
        <f t="shared" si="0"/>
        <v>8345.4675300000235</v>
      </c>
      <c r="E61">
        <f t="shared" si="1"/>
        <v>8345.25</v>
      </c>
      <c r="F61">
        <f t="shared" si="2"/>
        <v>8345.25</v>
      </c>
      <c r="G61">
        <f t="shared" si="3"/>
        <v>11.403</v>
      </c>
    </row>
    <row r="62" spans="1:7" x14ac:dyDescent="0.25">
      <c r="A62">
        <v>8345.4691200000234</v>
      </c>
      <c r="B62">
        <v>11.4</v>
      </c>
      <c r="D62">
        <f t="shared" si="0"/>
        <v>8345.4691200000234</v>
      </c>
      <c r="E62">
        <f t="shared" si="1"/>
        <v>8345.25</v>
      </c>
      <c r="F62">
        <f t="shared" si="2"/>
        <v>8345.25</v>
      </c>
      <c r="G62">
        <f t="shared" si="3"/>
        <v>11.4</v>
      </c>
    </row>
    <row r="63" spans="1:7" x14ac:dyDescent="0.25">
      <c r="A63">
        <v>8345.4706999999471</v>
      </c>
      <c r="B63">
        <v>11.377000000000001</v>
      </c>
      <c r="D63">
        <f t="shared" si="0"/>
        <v>8345.4706999999471</v>
      </c>
      <c r="E63">
        <f t="shared" si="1"/>
        <v>8345.25</v>
      </c>
      <c r="F63">
        <f t="shared" si="2"/>
        <v>8345.25</v>
      </c>
      <c r="G63">
        <f t="shared" si="3"/>
        <v>11.377000000000001</v>
      </c>
    </row>
    <row r="64" spans="1:7" x14ac:dyDescent="0.25">
      <c r="A64">
        <v>8345.4735599998385</v>
      </c>
      <c r="B64">
        <v>11.451000000000001</v>
      </c>
      <c r="D64">
        <f t="shared" si="0"/>
        <v>8345.4735599998385</v>
      </c>
      <c r="E64">
        <f t="shared" si="1"/>
        <v>8345.25</v>
      </c>
      <c r="F64">
        <f t="shared" si="2"/>
        <v>8345.25</v>
      </c>
      <c r="G64">
        <f t="shared" si="3"/>
        <v>11.451000000000001</v>
      </c>
    </row>
    <row r="65" spans="1:7" x14ac:dyDescent="0.25">
      <c r="A65">
        <v>8345.4751499998383</v>
      </c>
      <c r="B65">
        <v>11.467000000000001</v>
      </c>
      <c r="D65">
        <f t="shared" si="0"/>
        <v>8345.4751499998383</v>
      </c>
      <c r="E65">
        <f t="shared" si="1"/>
        <v>8345.25</v>
      </c>
      <c r="F65">
        <f t="shared" si="2"/>
        <v>8345.25</v>
      </c>
      <c r="G65">
        <f t="shared" si="3"/>
        <v>11.467000000000001</v>
      </c>
    </row>
    <row r="66" spans="1:7" x14ac:dyDescent="0.25">
      <c r="A66">
        <v>8345.4767300002277</v>
      </c>
      <c r="B66">
        <v>11.462</v>
      </c>
      <c r="D66">
        <f t="shared" si="0"/>
        <v>8345.4767300002277</v>
      </c>
      <c r="E66">
        <f t="shared" si="1"/>
        <v>8345.25</v>
      </c>
      <c r="F66">
        <f t="shared" si="2"/>
        <v>8345.25</v>
      </c>
      <c r="G66">
        <f t="shared" si="3"/>
        <v>11.462</v>
      </c>
    </row>
    <row r="67" spans="1:7" x14ac:dyDescent="0.25">
      <c r="A67">
        <v>8345.4783200002275</v>
      </c>
      <c r="B67">
        <v>11.47</v>
      </c>
      <c r="D67">
        <f t="shared" ref="D67:D130" si="4">+A67</f>
        <v>8345.4783200002275</v>
      </c>
      <c r="E67">
        <f t="shared" ref="E67:E130" si="5">+INT(D67*4)/4</f>
        <v>8345.25</v>
      </c>
      <c r="F67">
        <f t="shared" ref="F67:F130" si="6">+IF(D67-E67&gt;0.25,E67+0.25,E67)</f>
        <v>8345.25</v>
      </c>
      <c r="G67">
        <f t="shared" ref="G67:G130" si="7">+B67</f>
        <v>11.47</v>
      </c>
    </row>
    <row r="68" spans="1:7" x14ac:dyDescent="0.25">
      <c r="A68">
        <v>8345.4799000001512</v>
      </c>
      <c r="B68">
        <v>11.458</v>
      </c>
      <c r="D68">
        <f t="shared" si="4"/>
        <v>8345.4799000001512</v>
      </c>
      <c r="E68">
        <f t="shared" si="5"/>
        <v>8345.25</v>
      </c>
      <c r="F68">
        <f t="shared" si="6"/>
        <v>8345.25</v>
      </c>
      <c r="G68">
        <f t="shared" si="7"/>
        <v>11.458</v>
      </c>
    </row>
    <row r="69" spans="1:7" x14ac:dyDescent="0.25">
      <c r="A69">
        <v>8345.4814900001511</v>
      </c>
      <c r="B69">
        <v>11.448</v>
      </c>
      <c r="D69">
        <f t="shared" si="4"/>
        <v>8345.4814900001511</v>
      </c>
      <c r="E69">
        <f t="shared" si="5"/>
        <v>8345.25</v>
      </c>
      <c r="F69">
        <f t="shared" si="6"/>
        <v>8345.25</v>
      </c>
      <c r="G69">
        <f t="shared" si="7"/>
        <v>11.448</v>
      </c>
    </row>
    <row r="70" spans="1:7" x14ac:dyDescent="0.25">
      <c r="A70">
        <v>8345.4830800001509</v>
      </c>
      <c r="B70">
        <v>11.442</v>
      </c>
      <c r="D70">
        <f t="shared" si="4"/>
        <v>8345.4830800001509</v>
      </c>
      <c r="E70">
        <f t="shared" si="5"/>
        <v>8345.25</v>
      </c>
      <c r="F70">
        <f t="shared" si="6"/>
        <v>8345.25</v>
      </c>
      <c r="G70">
        <f t="shared" si="7"/>
        <v>11.442</v>
      </c>
    </row>
    <row r="71" spans="1:7" x14ac:dyDescent="0.25">
      <c r="A71">
        <v>8345.4846600000747</v>
      </c>
      <c r="B71">
        <v>11.461</v>
      </c>
      <c r="D71">
        <f t="shared" si="4"/>
        <v>8345.4846600000747</v>
      </c>
      <c r="E71">
        <f t="shared" si="5"/>
        <v>8345.25</v>
      </c>
      <c r="F71">
        <f t="shared" si="6"/>
        <v>8345.25</v>
      </c>
      <c r="G71">
        <f t="shared" si="7"/>
        <v>11.461</v>
      </c>
    </row>
    <row r="72" spans="1:7" x14ac:dyDescent="0.25">
      <c r="A72">
        <v>8345.4862500000745</v>
      </c>
      <c r="B72">
        <v>11.45</v>
      </c>
      <c r="D72">
        <f t="shared" si="4"/>
        <v>8345.4862500000745</v>
      </c>
      <c r="E72">
        <f t="shared" si="5"/>
        <v>8345.25</v>
      </c>
      <c r="F72">
        <f t="shared" si="6"/>
        <v>8345.25</v>
      </c>
      <c r="G72">
        <f t="shared" si="7"/>
        <v>11.45</v>
      </c>
    </row>
    <row r="73" spans="1:7" x14ac:dyDescent="0.25">
      <c r="A73">
        <v>8345.4878299999982</v>
      </c>
      <c r="B73">
        <v>11.461</v>
      </c>
      <c r="D73">
        <f t="shared" si="4"/>
        <v>8345.4878299999982</v>
      </c>
      <c r="E73">
        <f t="shared" si="5"/>
        <v>8345.25</v>
      </c>
      <c r="F73">
        <f t="shared" si="6"/>
        <v>8345.25</v>
      </c>
      <c r="G73">
        <f t="shared" si="7"/>
        <v>11.461</v>
      </c>
    </row>
    <row r="74" spans="1:7" x14ac:dyDescent="0.25">
      <c r="A74">
        <v>8345.4894199999981</v>
      </c>
      <c r="B74">
        <v>11.465</v>
      </c>
      <c r="D74">
        <f t="shared" si="4"/>
        <v>8345.4894199999981</v>
      </c>
      <c r="E74">
        <f t="shared" si="5"/>
        <v>8345.25</v>
      </c>
      <c r="F74">
        <f t="shared" si="6"/>
        <v>8345.25</v>
      </c>
      <c r="G74">
        <f t="shared" si="7"/>
        <v>11.465</v>
      </c>
    </row>
    <row r="75" spans="1:7" x14ac:dyDescent="0.25">
      <c r="A75">
        <v>8345.4910200000741</v>
      </c>
      <c r="B75">
        <v>11.457000000000001</v>
      </c>
      <c r="D75">
        <f t="shared" si="4"/>
        <v>8345.4910200000741</v>
      </c>
      <c r="E75">
        <f t="shared" si="5"/>
        <v>8345.25</v>
      </c>
      <c r="F75">
        <f t="shared" si="6"/>
        <v>8345.25</v>
      </c>
      <c r="G75">
        <f t="shared" si="7"/>
        <v>11.457000000000001</v>
      </c>
    </row>
    <row r="76" spans="1:7" x14ac:dyDescent="0.25">
      <c r="A76">
        <v>8345.4925999999978</v>
      </c>
      <c r="B76">
        <v>11.444000000000001</v>
      </c>
      <c r="D76">
        <f t="shared" si="4"/>
        <v>8345.4925999999978</v>
      </c>
      <c r="E76">
        <f t="shared" si="5"/>
        <v>8345.25</v>
      </c>
      <c r="F76">
        <f t="shared" si="6"/>
        <v>8345.25</v>
      </c>
      <c r="G76">
        <f t="shared" si="7"/>
        <v>11.444000000000001</v>
      </c>
    </row>
    <row r="77" spans="1:7" x14ac:dyDescent="0.25">
      <c r="A77">
        <v>8345.4941899999976</v>
      </c>
      <c r="B77">
        <v>11.462999999999999</v>
      </c>
      <c r="D77">
        <f t="shared" si="4"/>
        <v>8345.4941899999976</v>
      </c>
      <c r="E77">
        <f t="shared" si="5"/>
        <v>8345.25</v>
      </c>
      <c r="F77">
        <f t="shared" si="6"/>
        <v>8345.25</v>
      </c>
      <c r="G77">
        <f t="shared" si="7"/>
        <v>11.462999999999999</v>
      </c>
    </row>
    <row r="78" spans="1:7" x14ac:dyDescent="0.25">
      <c r="A78">
        <v>8345.4957699999213</v>
      </c>
      <c r="B78">
        <v>11.462</v>
      </c>
      <c r="D78">
        <f t="shared" si="4"/>
        <v>8345.4957699999213</v>
      </c>
      <c r="E78">
        <f t="shared" si="5"/>
        <v>8345.25</v>
      </c>
      <c r="F78">
        <f t="shared" si="6"/>
        <v>8345.25</v>
      </c>
      <c r="G78">
        <f t="shared" si="7"/>
        <v>11.462</v>
      </c>
    </row>
    <row r="79" spans="1:7" x14ac:dyDescent="0.25">
      <c r="A79">
        <v>8345.4973599999212</v>
      </c>
      <c r="B79">
        <v>11.462999999999999</v>
      </c>
      <c r="D79">
        <f t="shared" si="4"/>
        <v>8345.4973599999212</v>
      </c>
      <c r="E79">
        <f t="shared" si="5"/>
        <v>8345.25</v>
      </c>
      <c r="F79">
        <f t="shared" si="6"/>
        <v>8345.25</v>
      </c>
      <c r="G79">
        <f t="shared" si="7"/>
        <v>11.462999999999999</v>
      </c>
    </row>
    <row r="80" spans="1:7" x14ac:dyDescent="0.25">
      <c r="A80">
        <v>8345.4989399998449</v>
      </c>
      <c r="B80">
        <v>11.46</v>
      </c>
      <c r="D80">
        <f t="shared" si="4"/>
        <v>8345.4989399998449</v>
      </c>
      <c r="E80">
        <f t="shared" si="5"/>
        <v>8345.25</v>
      </c>
      <c r="F80">
        <f t="shared" si="6"/>
        <v>8345.25</v>
      </c>
      <c r="G80">
        <f t="shared" si="7"/>
        <v>11.46</v>
      </c>
    </row>
    <row r="81" spans="1:7" x14ac:dyDescent="0.25">
      <c r="A81">
        <v>8345.5005299998447</v>
      </c>
      <c r="B81">
        <v>11.454000000000001</v>
      </c>
      <c r="D81">
        <f t="shared" si="4"/>
        <v>8345.5005299998447</v>
      </c>
      <c r="E81">
        <f t="shared" si="5"/>
        <v>8345.5</v>
      </c>
      <c r="F81">
        <f t="shared" si="6"/>
        <v>8345.5</v>
      </c>
      <c r="G81">
        <f t="shared" si="7"/>
        <v>11.454000000000001</v>
      </c>
    </row>
    <row r="82" spans="1:7" x14ac:dyDescent="0.25">
      <c r="A82">
        <v>8345.5021199998446</v>
      </c>
      <c r="B82">
        <v>11.449</v>
      </c>
      <c r="D82">
        <f t="shared" si="4"/>
        <v>8345.5021199998446</v>
      </c>
      <c r="E82">
        <f t="shared" si="5"/>
        <v>8345.5</v>
      </c>
      <c r="F82">
        <f t="shared" si="6"/>
        <v>8345.5</v>
      </c>
      <c r="G82">
        <f t="shared" si="7"/>
        <v>11.449</v>
      </c>
    </row>
    <row r="83" spans="1:7" x14ac:dyDescent="0.25">
      <c r="A83">
        <v>8345.5036999997683</v>
      </c>
      <c r="B83">
        <v>11.462</v>
      </c>
      <c r="D83">
        <f t="shared" si="4"/>
        <v>8345.5036999997683</v>
      </c>
      <c r="E83">
        <f t="shared" si="5"/>
        <v>8345.5</v>
      </c>
      <c r="F83">
        <f t="shared" si="6"/>
        <v>8345.5</v>
      </c>
      <c r="G83">
        <f t="shared" si="7"/>
        <v>11.462</v>
      </c>
    </row>
    <row r="84" spans="1:7" x14ac:dyDescent="0.25">
      <c r="A84">
        <v>8345.5052899997681</v>
      </c>
      <c r="B84">
        <v>11.465</v>
      </c>
      <c r="D84">
        <f t="shared" si="4"/>
        <v>8345.5052899997681</v>
      </c>
      <c r="E84">
        <f t="shared" si="5"/>
        <v>8345.5</v>
      </c>
      <c r="F84">
        <f t="shared" si="6"/>
        <v>8345.5</v>
      </c>
      <c r="G84">
        <f t="shared" si="7"/>
        <v>11.465</v>
      </c>
    </row>
    <row r="85" spans="1:7" x14ac:dyDescent="0.25">
      <c r="A85">
        <v>8345.506879999768</v>
      </c>
      <c r="B85">
        <v>11.46</v>
      </c>
      <c r="D85">
        <f t="shared" si="4"/>
        <v>8345.506879999768</v>
      </c>
      <c r="E85">
        <f t="shared" si="5"/>
        <v>8345.5</v>
      </c>
      <c r="F85">
        <f t="shared" si="6"/>
        <v>8345.5</v>
      </c>
      <c r="G85">
        <f t="shared" si="7"/>
        <v>11.46</v>
      </c>
    </row>
    <row r="86" spans="1:7" x14ac:dyDescent="0.25">
      <c r="A86">
        <v>8345.5084699997678</v>
      </c>
      <c r="B86">
        <v>11.452</v>
      </c>
      <c r="D86">
        <f t="shared" si="4"/>
        <v>8345.5084699997678</v>
      </c>
      <c r="E86">
        <f t="shared" si="5"/>
        <v>8345.5</v>
      </c>
      <c r="F86">
        <f t="shared" si="6"/>
        <v>8345.5</v>
      </c>
      <c r="G86">
        <f t="shared" si="7"/>
        <v>11.452</v>
      </c>
    </row>
    <row r="87" spans="1:7" x14ac:dyDescent="0.25">
      <c r="A87">
        <v>8345.5100500001572</v>
      </c>
      <c r="B87">
        <v>11.459</v>
      </c>
      <c r="D87">
        <f t="shared" si="4"/>
        <v>8345.5100500001572</v>
      </c>
      <c r="E87">
        <f t="shared" si="5"/>
        <v>8345.5</v>
      </c>
      <c r="F87">
        <f t="shared" si="6"/>
        <v>8345.5</v>
      </c>
      <c r="G87">
        <f t="shared" si="7"/>
        <v>11.459</v>
      </c>
    </row>
    <row r="88" spans="1:7" x14ac:dyDescent="0.25">
      <c r="A88">
        <v>8345.5116400001571</v>
      </c>
      <c r="B88">
        <v>11.449</v>
      </c>
      <c r="D88">
        <f t="shared" si="4"/>
        <v>8345.5116400001571</v>
      </c>
      <c r="E88">
        <f t="shared" si="5"/>
        <v>8345.5</v>
      </c>
      <c r="F88">
        <f t="shared" si="6"/>
        <v>8345.5</v>
      </c>
      <c r="G88">
        <f t="shared" si="7"/>
        <v>11.449</v>
      </c>
    </row>
    <row r="89" spans="1:7" x14ac:dyDescent="0.25">
      <c r="A89">
        <v>8345.5132300001569</v>
      </c>
      <c r="B89">
        <v>11.465</v>
      </c>
      <c r="D89">
        <f t="shared" si="4"/>
        <v>8345.5132300001569</v>
      </c>
      <c r="E89">
        <f t="shared" si="5"/>
        <v>8345.5</v>
      </c>
      <c r="F89">
        <f t="shared" si="6"/>
        <v>8345.5</v>
      </c>
      <c r="G89">
        <f t="shared" si="7"/>
        <v>11.465</v>
      </c>
    </row>
    <row r="90" spans="1:7" x14ac:dyDescent="0.25">
      <c r="A90">
        <v>8345.5148100000806</v>
      </c>
      <c r="B90">
        <v>11.462</v>
      </c>
      <c r="D90">
        <f t="shared" si="4"/>
        <v>8345.5148100000806</v>
      </c>
      <c r="E90">
        <f t="shared" si="5"/>
        <v>8345.5</v>
      </c>
      <c r="F90">
        <f t="shared" si="6"/>
        <v>8345.5</v>
      </c>
      <c r="G90">
        <f t="shared" si="7"/>
        <v>11.462</v>
      </c>
    </row>
    <row r="91" spans="1:7" x14ac:dyDescent="0.25">
      <c r="A91">
        <v>8345.5164000000805</v>
      </c>
      <c r="B91">
        <v>11.451000000000001</v>
      </c>
      <c r="D91">
        <f t="shared" si="4"/>
        <v>8345.5164000000805</v>
      </c>
      <c r="E91">
        <f t="shared" si="5"/>
        <v>8345.5</v>
      </c>
      <c r="F91">
        <f t="shared" si="6"/>
        <v>8345.5</v>
      </c>
      <c r="G91">
        <f t="shared" si="7"/>
        <v>11.451000000000001</v>
      </c>
    </row>
    <row r="92" spans="1:7" x14ac:dyDescent="0.25">
      <c r="A92">
        <v>8345.5179900000803</v>
      </c>
      <c r="B92">
        <v>11.457000000000001</v>
      </c>
      <c r="D92">
        <f t="shared" si="4"/>
        <v>8345.5179900000803</v>
      </c>
      <c r="E92">
        <f t="shared" si="5"/>
        <v>8345.5</v>
      </c>
      <c r="F92">
        <f t="shared" si="6"/>
        <v>8345.5</v>
      </c>
      <c r="G92">
        <f t="shared" si="7"/>
        <v>11.457000000000001</v>
      </c>
    </row>
    <row r="93" spans="1:7" x14ac:dyDescent="0.25">
      <c r="A93">
        <v>8345.5195800000802</v>
      </c>
      <c r="B93">
        <v>11.444000000000001</v>
      </c>
      <c r="D93">
        <f t="shared" si="4"/>
        <v>8345.5195800000802</v>
      </c>
      <c r="E93">
        <f t="shared" si="5"/>
        <v>8345.5</v>
      </c>
      <c r="F93">
        <f t="shared" si="6"/>
        <v>8345.5</v>
      </c>
      <c r="G93">
        <f t="shared" si="7"/>
        <v>11.444000000000001</v>
      </c>
    </row>
    <row r="94" spans="1:7" x14ac:dyDescent="0.25">
      <c r="A94">
        <v>8345.7566100000404</v>
      </c>
      <c r="B94">
        <v>11.477</v>
      </c>
      <c r="D94">
        <f t="shared" si="4"/>
        <v>8345.7566100000404</v>
      </c>
      <c r="E94">
        <f t="shared" si="5"/>
        <v>8345.75</v>
      </c>
      <c r="F94">
        <f t="shared" si="6"/>
        <v>8345.75</v>
      </c>
      <c r="G94">
        <f t="shared" si="7"/>
        <v>11.477</v>
      </c>
    </row>
    <row r="95" spans="1:7" x14ac:dyDescent="0.25">
      <c r="A95">
        <v>8345.7570000002161</v>
      </c>
      <c r="B95">
        <v>11.554</v>
      </c>
      <c r="D95">
        <f t="shared" si="4"/>
        <v>8345.7570000002161</v>
      </c>
      <c r="E95">
        <f t="shared" si="5"/>
        <v>8345.75</v>
      </c>
      <c r="F95">
        <f t="shared" si="6"/>
        <v>8345.75</v>
      </c>
      <c r="G95">
        <f t="shared" si="7"/>
        <v>11.554</v>
      </c>
    </row>
    <row r="96" spans="1:7" x14ac:dyDescent="0.25">
      <c r="A96">
        <v>8345.7574100000784</v>
      </c>
      <c r="B96">
        <v>11.513999999999999</v>
      </c>
      <c r="D96">
        <f t="shared" si="4"/>
        <v>8345.7574100000784</v>
      </c>
      <c r="E96">
        <f t="shared" si="5"/>
        <v>8345.75</v>
      </c>
      <c r="F96">
        <f t="shared" si="6"/>
        <v>8345.75</v>
      </c>
      <c r="G96">
        <f t="shared" si="7"/>
        <v>11.513999999999999</v>
      </c>
    </row>
    <row r="97" spans="1:7" x14ac:dyDescent="0.25">
      <c r="A97">
        <v>8345.7578099998645</v>
      </c>
      <c r="B97">
        <v>11.536</v>
      </c>
      <c r="D97">
        <f t="shared" si="4"/>
        <v>8345.7578099998645</v>
      </c>
      <c r="E97">
        <f t="shared" si="5"/>
        <v>8345.75</v>
      </c>
      <c r="F97">
        <f t="shared" si="6"/>
        <v>8345.75</v>
      </c>
      <c r="G97">
        <f t="shared" si="7"/>
        <v>11.536</v>
      </c>
    </row>
    <row r="98" spans="1:7" x14ac:dyDescent="0.25">
      <c r="A98">
        <v>8345.7582200001925</v>
      </c>
      <c r="B98">
        <v>11.528</v>
      </c>
      <c r="D98">
        <f t="shared" si="4"/>
        <v>8345.7582200001925</v>
      </c>
      <c r="E98">
        <f t="shared" si="5"/>
        <v>8345.75</v>
      </c>
      <c r="F98">
        <f t="shared" si="6"/>
        <v>8345.75</v>
      </c>
      <c r="G98">
        <f t="shared" si="7"/>
        <v>11.528</v>
      </c>
    </row>
    <row r="99" spans="1:7" x14ac:dyDescent="0.25">
      <c r="A99">
        <v>8345.7586199999787</v>
      </c>
      <c r="B99">
        <v>11.484</v>
      </c>
      <c r="D99">
        <f t="shared" si="4"/>
        <v>8345.7586199999787</v>
      </c>
      <c r="E99">
        <f t="shared" si="5"/>
        <v>8345.75</v>
      </c>
      <c r="F99">
        <f t="shared" si="6"/>
        <v>8345.75</v>
      </c>
      <c r="G99">
        <f t="shared" si="7"/>
        <v>11.484</v>
      </c>
    </row>
    <row r="100" spans="1:7" x14ac:dyDescent="0.25">
      <c r="A100">
        <v>8345.7590200002305</v>
      </c>
      <c r="B100">
        <v>11.462</v>
      </c>
      <c r="D100">
        <f t="shared" si="4"/>
        <v>8345.7590200002305</v>
      </c>
      <c r="E100">
        <f t="shared" si="5"/>
        <v>8345.75</v>
      </c>
      <c r="F100">
        <f t="shared" si="6"/>
        <v>8345.75</v>
      </c>
      <c r="G100">
        <f t="shared" si="7"/>
        <v>11.462</v>
      </c>
    </row>
    <row r="101" spans="1:7" x14ac:dyDescent="0.25">
      <c r="A101">
        <v>8345.7594300000928</v>
      </c>
      <c r="B101">
        <v>11.464</v>
      </c>
      <c r="D101">
        <f t="shared" si="4"/>
        <v>8345.7594300000928</v>
      </c>
      <c r="E101">
        <f t="shared" si="5"/>
        <v>8345.75</v>
      </c>
      <c r="F101">
        <f t="shared" si="6"/>
        <v>8345.75</v>
      </c>
      <c r="G101">
        <f t="shared" si="7"/>
        <v>11.464</v>
      </c>
    </row>
    <row r="102" spans="1:7" x14ac:dyDescent="0.25">
      <c r="A102">
        <v>8345.759829999879</v>
      </c>
      <c r="B102">
        <v>11.48</v>
      </c>
      <c r="D102">
        <f t="shared" si="4"/>
        <v>8345.759829999879</v>
      </c>
      <c r="E102">
        <f t="shared" si="5"/>
        <v>8345.75</v>
      </c>
      <c r="F102">
        <f t="shared" si="6"/>
        <v>8345.75</v>
      </c>
      <c r="G102">
        <f t="shared" si="7"/>
        <v>11.48</v>
      </c>
    </row>
    <row r="103" spans="1:7" x14ac:dyDescent="0.25">
      <c r="A103">
        <v>8345.7606399999931</v>
      </c>
      <c r="B103">
        <v>11.513999999999999</v>
      </c>
      <c r="D103">
        <f t="shared" si="4"/>
        <v>8345.7606399999931</v>
      </c>
      <c r="E103">
        <f t="shared" si="5"/>
        <v>8345.75</v>
      </c>
      <c r="F103">
        <f t="shared" si="6"/>
        <v>8345.75</v>
      </c>
      <c r="G103">
        <f t="shared" si="7"/>
        <v>11.513999999999999</v>
      </c>
    </row>
    <row r="104" spans="1:7" x14ac:dyDescent="0.25">
      <c r="A104">
        <v>8345.7610300001688</v>
      </c>
      <c r="B104">
        <v>11.472</v>
      </c>
      <c r="D104">
        <f t="shared" si="4"/>
        <v>8345.7610300001688</v>
      </c>
      <c r="E104">
        <f t="shared" si="5"/>
        <v>8345.75</v>
      </c>
      <c r="F104">
        <f t="shared" si="6"/>
        <v>8345.75</v>
      </c>
      <c r="G104">
        <f t="shared" si="7"/>
        <v>11.472</v>
      </c>
    </row>
    <row r="105" spans="1:7" x14ac:dyDescent="0.25">
      <c r="A105">
        <v>8345.7614400000311</v>
      </c>
      <c r="B105">
        <v>11.49</v>
      </c>
      <c r="D105">
        <f t="shared" si="4"/>
        <v>8345.7614400000311</v>
      </c>
      <c r="E105">
        <f t="shared" si="5"/>
        <v>8345.75</v>
      </c>
      <c r="F105">
        <f t="shared" si="6"/>
        <v>8345.75</v>
      </c>
      <c r="G105">
        <f t="shared" si="7"/>
        <v>11.49</v>
      </c>
    </row>
    <row r="106" spans="1:7" x14ac:dyDescent="0.25">
      <c r="A106">
        <v>8345.7618399998173</v>
      </c>
      <c r="B106">
        <v>11.510999999999999</v>
      </c>
      <c r="D106">
        <f t="shared" si="4"/>
        <v>8345.7618399998173</v>
      </c>
      <c r="E106">
        <f t="shared" si="5"/>
        <v>8345.75</v>
      </c>
      <c r="F106">
        <f t="shared" si="6"/>
        <v>8345.75</v>
      </c>
      <c r="G106">
        <f t="shared" si="7"/>
        <v>11.510999999999999</v>
      </c>
    </row>
    <row r="107" spans="1:7" x14ac:dyDescent="0.25">
      <c r="A107">
        <v>8345.7622500001453</v>
      </c>
      <c r="B107">
        <v>11.535</v>
      </c>
      <c r="D107">
        <f t="shared" si="4"/>
        <v>8345.7622500001453</v>
      </c>
      <c r="E107">
        <f t="shared" si="5"/>
        <v>8345.75</v>
      </c>
      <c r="F107">
        <f t="shared" si="6"/>
        <v>8345.75</v>
      </c>
      <c r="G107">
        <f t="shared" si="7"/>
        <v>11.535</v>
      </c>
    </row>
    <row r="108" spans="1:7" x14ac:dyDescent="0.25">
      <c r="A108">
        <v>8345.7626399998553</v>
      </c>
      <c r="B108">
        <v>11.491</v>
      </c>
      <c r="D108">
        <f t="shared" si="4"/>
        <v>8345.7626399998553</v>
      </c>
      <c r="E108">
        <f t="shared" si="5"/>
        <v>8345.75</v>
      </c>
      <c r="F108">
        <f t="shared" si="6"/>
        <v>8345.75</v>
      </c>
      <c r="G108">
        <f t="shared" si="7"/>
        <v>11.491</v>
      </c>
    </row>
    <row r="109" spans="1:7" x14ac:dyDescent="0.25">
      <c r="A109">
        <v>8345.7630400001071</v>
      </c>
      <c r="B109">
        <v>11.489000000000001</v>
      </c>
      <c r="D109">
        <f t="shared" si="4"/>
        <v>8345.7630400001071</v>
      </c>
      <c r="E109">
        <f t="shared" si="5"/>
        <v>8345.75</v>
      </c>
      <c r="F109">
        <f t="shared" si="6"/>
        <v>8345.75</v>
      </c>
      <c r="G109">
        <f t="shared" si="7"/>
        <v>11.489000000000001</v>
      </c>
    </row>
    <row r="110" spans="1:7" x14ac:dyDescent="0.25">
      <c r="A110">
        <v>8345.7634499999695</v>
      </c>
      <c r="B110">
        <v>11.494999999999999</v>
      </c>
      <c r="D110">
        <f t="shared" si="4"/>
        <v>8345.7634499999695</v>
      </c>
      <c r="E110">
        <f t="shared" si="5"/>
        <v>8345.75</v>
      </c>
      <c r="F110">
        <f t="shared" si="6"/>
        <v>8345.75</v>
      </c>
      <c r="G110">
        <f t="shared" si="7"/>
        <v>11.494999999999999</v>
      </c>
    </row>
    <row r="111" spans="1:7" x14ac:dyDescent="0.25">
      <c r="A111">
        <v>8345.7638500002213</v>
      </c>
      <c r="B111">
        <v>11.536</v>
      </c>
      <c r="D111">
        <f t="shared" si="4"/>
        <v>8345.7638500002213</v>
      </c>
      <c r="E111">
        <f t="shared" si="5"/>
        <v>8345.75</v>
      </c>
      <c r="F111">
        <f t="shared" si="6"/>
        <v>8345.75</v>
      </c>
      <c r="G111">
        <f t="shared" si="7"/>
        <v>11.536</v>
      </c>
    </row>
    <row r="112" spans="1:7" x14ac:dyDescent="0.25">
      <c r="A112">
        <v>8345.7642500000075</v>
      </c>
      <c r="B112">
        <v>11.615</v>
      </c>
      <c r="D112">
        <f t="shared" si="4"/>
        <v>8345.7642500000075</v>
      </c>
      <c r="E112">
        <f t="shared" si="5"/>
        <v>8345.75</v>
      </c>
      <c r="F112">
        <f t="shared" si="6"/>
        <v>8345.75</v>
      </c>
      <c r="G112">
        <f t="shared" si="7"/>
        <v>11.615</v>
      </c>
    </row>
    <row r="113" spans="1:7" x14ac:dyDescent="0.25">
      <c r="A113">
        <v>8345.7646499997936</v>
      </c>
      <c r="B113">
        <v>11.478</v>
      </c>
      <c r="D113">
        <f t="shared" si="4"/>
        <v>8345.7646499997936</v>
      </c>
      <c r="E113">
        <f t="shared" si="5"/>
        <v>8345.75</v>
      </c>
      <c r="F113">
        <f t="shared" si="6"/>
        <v>8345.75</v>
      </c>
      <c r="G113">
        <f t="shared" si="7"/>
        <v>11.478</v>
      </c>
    </row>
    <row r="114" spans="1:7" x14ac:dyDescent="0.25">
      <c r="A114">
        <v>8345.7650500000454</v>
      </c>
      <c r="B114">
        <v>11.504</v>
      </c>
      <c r="D114">
        <f t="shared" si="4"/>
        <v>8345.7650500000454</v>
      </c>
      <c r="E114">
        <f t="shared" si="5"/>
        <v>8345.75</v>
      </c>
      <c r="F114">
        <f t="shared" si="6"/>
        <v>8345.75</v>
      </c>
      <c r="G114">
        <f t="shared" si="7"/>
        <v>11.504</v>
      </c>
    </row>
    <row r="115" spans="1:7" x14ac:dyDescent="0.25">
      <c r="A115">
        <v>8345.7654499998316</v>
      </c>
      <c r="B115">
        <v>11.478999999999999</v>
      </c>
      <c r="D115">
        <f t="shared" si="4"/>
        <v>8345.7654499998316</v>
      </c>
      <c r="E115">
        <f t="shared" si="5"/>
        <v>8345.75</v>
      </c>
      <c r="F115">
        <f t="shared" si="6"/>
        <v>8345.75</v>
      </c>
      <c r="G115">
        <f t="shared" si="7"/>
        <v>11.478999999999999</v>
      </c>
    </row>
    <row r="116" spans="1:7" x14ac:dyDescent="0.25">
      <c r="A116">
        <v>8345.7658600001596</v>
      </c>
      <c r="B116">
        <v>11.476000000000001</v>
      </c>
      <c r="D116">
        <f t="shared" si="4"/>
        <v>8345.7658600001596</v>
      </c>
      <c r="E116">
        <f t="shared" si="5"/>
        <v>8345.75</v>
      </c>
      <c r="F116">
        <f t="shared" si="6"/>
        <v>8345.75</v>
      </c>
      <c r="G116">
        <f t="shared" si="7"/>
        <v>11.476000000000001</v>
      </c>
    </row>
    <row r="117" spans="1:7" x14ac:dyDescent="0.25">
      <c r="A117">
        <v>8345.7662499998696</v>
      </c>
      <c r="B117">
        <v>11.507999999999999</v>
      </c>
      <c r="D117">
        <f t="shared" si="4"/>
        <v>8345.7662499998696</v>
      </c>
      <c r="E117">
        <f t="shared" si="5"/>
        <v>8345.75</v>
      </c>
      <c r="F117">
        <f t="shared" si="6"/>
        <v>8345.75</v>
      </c>
      <c r="G117">
        <f t="shared" si="7"/>
        <v>11.507999999999999</v>
      </c>
    </row>
    <row r="118" spans="1:7" x14ac:dyDescent="0.25">
      <c r="A118">
        <v>8345.7666600001976</v>
      </c>
      <c r="B118">
        <v>11.497</v>
      </c>
      <c r="D118">
        <f t="shared" si="4"/>
        <v>8345.7666600001976</v>
      </c>
      <c r="E118">
        <f t="shared" si="5"/>
        <v>8345.75</v>
      </c>
      <c r="F118">
        <f t="shared" si="6"/>
        <v>8345.75</v>
      </c>
      <c r="G118">
        <f t="shared" si="7"/>
        <v>11.497</v>
      </c>
    </row>
    <row r="119" spans="1:7" x14ac:dyDescent="0.25">
      <c r="A119">
        <v>8345.7670499999076</v>
      </c>
      <c r="B119">
        <v>11.525</v>
      </c>
      <c r="D119">
        <f t="shared" si="4"/>
        <v>8345.7670499999076</v>
      </c>
      <c r="E119">
        <f t="shared" si="5"/>
        <v>8345.75</v>
      </c>
      <c r="F119">
        <f t="shared" si="6"/>
        <v>8345.75</v>
      </c>
      <c r="G119">
        <f t="shared" si="7"/>
        <v>11.525</v>
      </c>
    </row>
    <row r="120" spans="1:7" x14ac:dyDescent="0.25">
      <c r="A120">
        <v>8345.7674500001594</v>
      </c>
      <c r="B120">
        <v>11.489000000000001</v>
      </c>
      <c r="D120">
        <f t="shared" si="4"/>
        <v>8345.7674500001594</v>
      </c>
      <c r="E120">
        <f t="shared" si="5"/>
        <v>8345.75</v>
      </c>
      <c r="F120">
        <f t="shared" si="6"/>
        <v>8345.75</v>
      </c>
      <c r="G120">
        <f t="shared" si="7"/>
        <v>11.489000000000001</v>
      </c>
    </row>
    <row r="121" spans="1:7" x14ac:dyDescent="0.25">
      <c r="A121">
        <v>8345.7678600000218</v>
      </c>
      <c r="B121">
        <v>11.553000000000001</v>
      </c>
      <c r="D121">
        <f t="shared" si="4"/>
        <v>8345.7678600000218</v>
      </c>
      <c r="E121">
        <f t="shared" si="5"/>
        <v>8345.75</v>
      </c>
      <c r="F121">
        <f t="shared" si="6"/>
        <v>8345.75</v>
      </c>
      <c r="G121">
        <f t="shared" si="7"/>
        <v>11.553000000000001</v>
      </c>
    </row>
    <row r="122" spans="1:7" x14ac:dyDescent="0.25">
      <c r="A122">
        <v>8345.7682599998079</v>
      </c>
      <c r="B122">
        <v>11.515000000000001</v>
      </c>
      <c r="D122">
        <f t="shared" si="4"/>
        <v>8345.7682599998079</v>
      </c>
      <c r="E122">
        <f t="shared" si="5"/>
        <v>8345.75</v>
      </c>
      <c r="F122">
        <f t="shared" si="6"/>
        <v>8345.75</v>
      </c>
      <c r="G122">
        <f t="shared" si="7"/>
        <v>11.515000000000001</v>
      </c>
    </row>
    <row r="123" spans="1:7" x14ac:dyDescent="0.25">
      <c r="A123">
        <v>8345.7686600000598</v>
      </c>
      <c r="B123">
        <v>11.497</v>
      </c>
      <c r="D123">
        <f t="shared" si="4"/>
        <v>8345.7686600000598</v>
      </c>
      <c r="E123">
        <f t="shared" si="5"/>
        <v>8345.75</v>
      </c>
      <c r="F123">
        <f t="shared" si="6"/>
        <v>8345.75</v>
      </c>
      <c r="G123">
        <f t="shared" si="7"/>
        <v>11.497</v>
      </c>
    </row>
    <row r="124" spans="1:7" x14ac:dyDescent="0.25">
      <c r="A124">
        <v>8345.7690499997698</v>
      </c>
      <c r="B124">
        <v>11.523</v>
      </c>
      <c r="D124">
        <f t="shared" si="4"/>
        <v>8345.7690499997698</v>
      </c>
      <c r="E124">
        <f t="shared" si="5"/>
        <v>8345.75</v>
      </c>
      <c r="F124">
        <f t="shared" si="6"/>
        <v>8345.75</v>
      </c>
      <c r="G124">
        <f t="shared" si="7"/>
        <v>11.523</v>
      </c>
    </row>
    <row r="125" spans="1:7" x14ac:dyDescent="0.25">
      <c r="A125">
        <v>8345.7694700001739</v>
      </c>
      <c r="B125">
        <v>11.512</v>
      </c>
      <c r="D125">
        <f t="shared" si="4"/>
        <v>8345.7694700001739</v>
      </c>
      <c r="E125">
        <f t="shared" si="5"/>
        <v>8345.75</v>
      </c>
      <c r="F125">
        <f t="shared" si="6"/>
        <v>8345.75</v>
      </c>
      <c r="G125">
        <f t="shared" si="7"/>
        <v>11.512</v>
      </c>
    </row>
    <row r="126" spans="1:7" x14ac:dyDescent="0.25">
      <c r="A126">
        <v>8345.7698599998839</v>
      </c>
      <c r="B126">
        <v>11.513</v>
      </c>
      <c r="D126">
        <f t="shared" si="4"/>
        <v>8345.7698599998839</v>
      </c>
      <c r="E126">
        <f t="shared" si="5"/>
        <v>8345.75</v>
      </c>
      <c r="F126">
        <f t="shared" si="6"/>
        <v>8345.75</v>
      </c>
      <c r="G126">
        <f t="shared" si="7"/>
        <v>11.513</v>
      </c>
    </row>
    <row r="127" spans="1:7" x14ac:dyDescent="0.25">
      <c r="A127">
        <v>8345.7702700002119</v>
      </c>
      <c r="B127">
        <v>11.449</v>
      </c>
      <c r="D127">
        <f t="shared" si="4"/>
        <v>8345.7702700002119</v>
      </c>
      <c r="E127">
        <f t="shared" si="5"/>
        <v>8345.75</v>
      </c>
      <c r="F127">
        <f t="shared" si="6"/>
        <v>8345.75</v>
      </c>
      <c r="G127">
        <f t="shared" si="7"/>
        <v>11.449</v>
      </c>
    </row>
    <row r="128" spans="1:7" x14ac:dyDescent="0.25">
      <c r="A128">
        <v>8345.7706599999219</v>
      </c>
      <c r="B128">
        <v>11.468</v>
      </c>
      <c r="D128">
        <f t="shared" si="4"/>
        <v>8345.7706599999219</v>
      </c>
      <c r="E128">
        <f t="shared" si="5"/>
        <v>8345.75</v>
      </c>
      <c r="F128">
        <f t="shared" si="6"/>
        <v>8345.75</v>
      </c>
      <c r="G128">
        <f t="shared" si="7"/>
        <v>11.468</v>
      </c>
    </row>
    <row r="129" spans="1:7" x14ac:dyDescent="0.25">
      <c r="A129">
        <v>8345.7710600001737</v>
      </c>
      <c r="B129">
        <v>11.483000000000001</v>
      </c>
      <c r="D129">
        <f t="shared" si="4"/>
        <v>8345.7710600001737</v>
      </c>
      <c r="E129">
        <f t="shared" si="5"/>
        <v>8345.75</v>
      </c>
      <c r="F129">
        <f t="shared" si="6"/>
        <v>8345.75</v>
      </c>
      <c r="G129">
        <f t="shared" si="7"/>
        <v>11.483000000000001</v>
      </c>
    </row>
    <row r="130" spans="1:7" x14ac:dyDescent="0.25">
      <c r="A130">
        <v>8345.7714700000361</v>
      </c>
      <c r="B130">
        <v>11.502000000000001</v>
      </c>
      <c r="D130">
        <f t="shared" si="4"/>
        <v>8345.7714700000361</v>
      </c>
      <c r="E130">
        <f t="shared" si="5"/>
        <v>8345.75</v>
      </c>
      <c r="F130">
        <f t="shared" si="6"/>
        <v>8345.75</v>
      </c>
      <c r="G130">
        <f t="shared" si="7"/>
        <v>11.502000000000001</v>
      </c>
    </row>
    <row r="131" spans="1:7" x14ac:dyDescent="0.25">
      <c r="A131">
        <v>8345.7718600002117</v>
      </c>
      <c r="B131">
        <v>11.539</v>
      </c>
      <c r="D131">
        <f t="shared" ref="D131:D194" si="8">+A131</f>
        <v>8345.7718600002117</v>
      </c>
      <c r="E131">
        <f t="shared" ref="E131:E194" si="9">+INT(D131*4)/4</f>
        <v>8345.75</v>
      </c>
      <c r="F131">
        <f t="shared" ref="F131:F194" si="10">+IF(D131-E131&gt;0.25,E131+0.25,E131)</f>
        <v>8345.75</v>
      </c>
      <c r="G131">
        <f t="shared" ref="G131:G194" si="11">+B131</f>
        <v>11.539</v>
      </c>
    </row>
    <row r="132" spans="1:7" x14ac:dyDescent="0.25">
      <c r="A132">
        <v>8345.7722700000741</v>
      </c>
      <c r="B132">
        <v>11.526999999999999</v>
      </c>
      <c r="D132">
        <f t="shared" si="8"/>
        <v>8345.7722700000741</v>
      </c>
      <c r="E132">
        <f t="shared" si="9"/>
        <v>8345.75</v>
      </c>
      <c r="F132">
        <f t="shared" si="10"/>
        <v>8345.75</v>
      </c>
      <c r="G132">
        <f t="shared" si="11"/>
        <v>11.526999999999999</v>
      </c>
    </row>
    <row r="133" spans="1:7" x14ac:dyDescent="0.25">
      <c r="A133">
        <v>8346.6552400002256</v>
      </c>
      <c r="B133">
        <v>11.538</v>
      </c>
      <c r="D133">
        <f t="shared" si="8"/>
        <v>8346.6552400002256</v>
      </c>
      <c r="E133">
        <f t="shared" si="9"/>
        <v>8346.5</v>
      </c>
      <c r="F133">
        <f t="shared" si="10"/>
        <v>8346.5</v>
      </c>
      <c r="G133">
        <f t="shared" si="11"/>
        <v>11.538</v>
      </c>
    </row>
    <row r="134" spans="1:7" x14ac:dyDescent="0.25">
      <c r="A134">
        <v>8346.6606700001284</v>
      </c>
      <c r="B134">
        <v>11.545999999999999</v>
      </c>
      <c r="D134">
        <f t="shared" si="8"/>
        <v>8346.6606700001284</v>
      </c>
      <c r="E134">
        <f t="shared" si="9"/>
        <v>8346.5</v>
      </c>
      <c r="F134">
        <f t="shared" si="10"/>
        <v>8346.5</v>
      </c>
      <c r="G134">
        <f t="shared" si="11"/>
        <v>11.545999999999999</v>
      </c>
    </row>
    <row r="135" spans="1:7" x14ac:dyDescent="0.25">
      <c r="A135">
        <v>8346.6661000000313</v>
      </c>
      <c r="B135">
        <v>11.551</v>
      </c>
      <c r="D135">
        <f t="shared" si="8"/>
        <v>8346.6661000000313</v>
      </c>
      <c r="E135">
        <f t="shared" si="9"/>
        <v>8346.5</v>
      </c>
      <c r="F135">
        <f t="shared" si="10"/>
        <v>8346.5</v>
      </c>
      <c r="G135">
        <f t="shared" si="11"/>
        <v>11.551</v>
      </c>
    </row>
    <row r="136" spans="1:7" x14ac:dyDescent="0.25">
      <c r="A136">
        <v>8346.6715299999341</v>
      </c>
      <c r="B136">
        <v>11.538</v>
      </c>
      <c r="D136">
        <f t="shared" si="8"/>
        <v>8346.6715299999341</v>
      </c>
      <c r="E136">
        <f t="shared" si="9"/>
        <v>8346.5</v>
      </c>
      <c r="F136">
        <f t="shared" si="10"/>
        <v>8346.5</v>
      </c>
      <c r="G136">
        <f t="shared" si="11"/>
        <v>11.538</v>
      </c>
    </row>
    <row r="137" spans="1:7" x14ac:dyDescent="0.25">
      <c r="A137">
        <v>8346.6769300000742</v>
      </c>
      <c r="B137">
        <v>11.541</v>
      </c>
      <c r="D137">
        <f t="shared" si="8"/>
        <v>8346.6769300000742</v>
      </c>
      <c r="E137">
        <f t="shared" si="9"/>
        <v>8346.5</v>
      </c>
      <c r="F137">
        <f t="shared" si="10"/>
        <v>8346.5</v>
      </c>
      <c r="G137">
        <f t="shared" si="11"/>
        <v>11.541</v>
      </c>
    </row>
    <row r="138" spans="1:7" x14ac:dyDescent="0.25">
      <c r="A138">
        <v>8346.6823599999771</v>
      </c>
      <c r="B138">
        <v>11.548999999999999</v>
      </c>
      <c r="D138">
        <f t="shared" si="8"/>
        <v>8346.6823599999771</v>
      </c>
      <c r="E138">
        <f t="shared" si="9"/>
        <v>8346.5</v>
      </c>
      <c r="F138">
        <f t="shared" si="10"/>
        <v>8346.5</v>
      </c>
      <c r="G138">
        <f t="shared" si="11"/>
        <v>11.548999999999999</v>
      </c>
    </row>
    <row r="139" spans="1:7" x14ac:dyDescent="0.25">
      <c r="A139">
        <v>8346.6877799998038</v>
      </c>
      <c r="B139">
        <v>11.541</v>
      </c>
      <c r="D139">
        <f t="shared" si="8"/>
        <v>8346.6877799998038</v>
      </c>
      <c r="E139">
        <f t="shared" si="9"/>
        <v>8346.5</v>
      </c>
      <c r="F139">
        <f t="shared" si="10"/>
        <v>8346.5</v>
      </c>
      <c r="G139">
        <f t="shared" si="11"/>
        <v>11.541</v>
      </c>
    </row>
    <row r="140" spans="1:7" x14ac:dyDescent="0.25">
      <c r="A140">
        <v>8346.69319000002</v>
      </c>
      <c r="B140">
        <v>11.535</v>
      </c>
      <c r="D140">
        <f t="shared" si="8"/>
        <v>8346.69319000002</v>
      </c>
      <c r="E140">
        <f t="shared" si="9"/>
        <v>8346.5</v>
      </c>
      <c r="F140">
        <f t="shared" si="10"/>
        <v>8346.5</v>
      </c>
      <c r="G140">
        <f t="shared" si="11"/>
        <v>11.535</v>
      </c>
    </row>
    <row r="141" spans="1:7" x14ac:dyDescent="0.25">
      <c r="A141">
        <v>8346.698629999999</v>
      </c>
      <c r="B141">
        <v>11.542</v>
      </c>
      <c r="D141">
        <f t="shared" si="8"/>
        <v>8346.698629999999</v>
      </c>
      <c r="E141">
        <f t="shared" si="9"/>
        <v>8346.5</v>
      </c>
      <c r="F141">
        <f t="shared" si="10"/>
        <v>8346.5</v>
      </c>
      <c r="G141">
        <f t="shared" si="11"/>
        <v>11.542</v>
      </c>
    </row>
    <row r="142" spans="1:7" x14ac:dyDescent="0.25">
      <c r="A142">
        <v>8346.7040599999018</v>
      </c>
      <c r="B142">
        <v>11.541</v>
      </c>
      <c r="D142">
        <f t="shared" si="8"/>
        <v>8346.7040599999018</v>
      </c>
      <c r="E142">
        <f t="shared" si="9"/>
        <v>8346.5</v>
      </c>
      <c r="F142">
        <f t="shared" si="10"/>
        <v>8346.5</v>
      </c>
      <c r="G142">
        <f t="shared" si="11"/>
        <v>11.541</v>
      </c>
    </row>
    <row r="143" spans="1:7" x14ac:dyDescent="0.25">
      <c r="A143">
        <v>8346.7094999998808</v>
      </c>
      <c r="B143">
        <v>11.529</v>
      </c>
      <c r="D143">
        <f t="shared" si="8"/>
        <v>8346.7094999998808</v>
      </c>
      <c r="E143">
        <f t="shared" si="9"/>
        <v>8346.5</v>
      </c>
      <c r="F143">
        <f t="shared" si="10"/>
        <v>8346.5</v>
      </c>
      <c r="G143">
        <f t="shared" si="11"/>
        <v>11.529</v>
      </c>
    </row>
    <row r="144" spans="1:7" x14ac:dyDescent="0.25">
      <c r="A144">
        <v>8346.7149299997836</v>
      </c>
      <c r="B144">
        <v>11.532</v>
      </c>
      <c r="D144">
        <f t="shared" si="8"/>
        <v>8346.7149299997836</v>
      </c>
      <c r="E144">
        <f t="shared" si="9"/>
        <v>8346.5</v>
      </c>
      <c r="F144">
        <f t="shared" si="10"/>
        <v>8346.5</v>
      </c>
      <c r="G144">
        <f t="shared" si="11"/>
        <v>11.532</v>
      </c>
    </row>
    <row r="145" spans="1:7" x14ac:dyDescent="0.25">
      <c r="A145">
        <v>8346.7203700002283</v>
      </c>
      <c r="B145">
        <v>11.532999999999999</v>
      </c>
      <c r="D145">
        <f t="shared" si="8"/>
        <v>8346.7203700002283</v>
      </c>
      <c r="E145">
        <f t="shared" si="9"/>
        <v>8346.5</v>
      </c>
      <c r="F145">
        <f t="shared" si="10"/>
        <v>8346.5</v>
      </c>
      <c r="G145">
        <f t="shared" si="11"/>
        <v>11.532999999999999</v>
      </c>
    </row>
    <row r="146" spans="1:7" x14ac:dyDescent="0.25">
      <c r="A146">
        <v>8346.7258100002073</v>
      </c>
      <c r="B146">
        <v>11.526</v>
      </c>
      <c r="D146">
        <f t="shared" si="8"/>
        <v>8346.7258100002073</v>
      </c>
      <c r="E146">
        <f t="shared" si="9"/>
        <v>8346.5</v>
      </c>
      <c r="F146">
        <f t="shared" si="10"/>
        <v>8346.5</v>
      </c>
      <c r="G146">
        <f t="shared" si="11"/>
        <v>11.526</v>
      </c>
    </row>
    <row r="147" spans="1:7" x14ac:dyDescent="0.25">
      <c r="A147">
        <v>8346.7312400001101</v>
      </c>
      <c r="B147">
        <v>11.531000000000001</v>
      </c>
      <c r="D147">
        <f t="shared" si="8"/>
        <v>8346.7312400001101</v>
      </c>
      <c r="E147">
        <f t="shared" si="9"/>
        <v>8346.5</v>
      </c>
      <c r="F147">
        <f t="shared" si="10"/>
        <v>8346.5</v>
      </c>
      <c r="G147">
        <f t="shared" si="11"/>
        <v>11.531000000000001</v>
      </c>
    </row>
    <row r="148" spans="1:7" x14ac:dyDescent="0.25">
      <c r="A148">
        <v>8346.736670000013</v>
      </c>
      <c r="B148">
        <v>11.534000000000001</v>
      </c>
      <c r="D148">
        <f t="shared" si="8"/>
        <v>8346.736670000013</v>
      </c>
      <c r="E148">
        <f t="shared" si="9"/>
        <v>8346.5</v>
      </c>
      <c r="F148">
        <f t="shared" si="10"/>
        <v>8346.5</v>
      </c>
      <c r="G148">
        <f t="shared" si="11"/>
        <v>11.534000000000001</v>
      </c>
    </row>
    <row r="149" spans="1:7" x14ac:dyDescent="0.25">
      <c r="A149">
        <v>8346.746960000135</v>
      </c>
      <c r="B149">
        <v>11.53</v>
      </c>
      <c r="D149">
        <f t="shared" si="8"/>
        <v>8346.746960000135</v>
      </c>
      <c r="E149">
        <f t="shared" si="9"/>
        <v>8346.5</v>
      </c>
      <c r="F149">
        <f t="shared" si="10"/>
        <v>8346.5</v>
      </c>
      <c r="G149">
        <f t="shared" si="11"/>
        <v>11.53</v>
      </c>
    </row>
    <row r="150" spans="1:7" x14ac:dyDescent="0.25">
      <c r="A150">
        <v>8346.7523799999617</v>
      </c>
      <c r="B150">
        <v>11.537000000000001</v>
      </c>
      <c r="D150">
        <f t="shared" si="8"/>
        <v>8346.7523799999617</v>
      </c>
      <c r="E150">
        <f t="shared" si="9"/>
        <v>8346.75</v>
      </c>
      <c r="F150">
        <f t="shared" si="10"/>
        <v>8346.75</v>
      </c>
      <c r="G150">
        <f t="shared" si="11"/>
        <v>11.537000000000001</v>
      </c>
    </row>
    <row r="151" spans="1:7" x14ac:dyDescent="0.25">
      <c r="A151">
        <v>8346.7578199999407</v>
      </c>
      <c r="B151">
        <v>11.545</v>
      </c>
      <c r="D151">
        <f t="shared" si="8"/>
        <v>8346.7578199999407</v>
      </c>
      <c r="E151">
        <f t="shared" si="9"/>
        <v>8346.75</v>
      </c>
      <c r="F151">
        <f t="shared" si="10"/>
        <v>8346.75</v>
      </c>
      <c r="G151">
        <f t="shared" si="11"/>
        <v>11.545</v>
      </c>
    </row>
    <row r="152" spans="1:7" x14ac:dyDescent="0.25">
      <c r="A152">
        <v>8346.7632399997674</v>
      </c>
      <c r="B152">
        <v>11.544</v>
      </c>
      <c r="D152">
        <f t="shared" si="8"/>
        <v>8346.7632399997674</v>
      </c>
      <c r="E152">
        <f t="shared" si="9"/>
        <v>8346.75</v>
      </c>
      <c r="F152">
        <f t="shared" si="10"/>
        <v>8346.75</v>
      </c>
      <c r="G152">
        <f t="shared" si="11"/>
        <v>11.544</v>
      </c>
    </row>
    <row r="153" spans="1:7" x14ac:dyDescent="0.25">
      <c r="A153">
        <v>8346.7686999998987</v>
      </c>
      <c r="B153">
        <v>11.544</v>
      </c>
      <c r="D153">
        <f t="shared" si="8"/>
        <v>8346.7686999998987</v>
      </c>
      <c r="E153">
        <f t="shared" si="9"/>
        <v>8346.75</v>
      </c>
      <c r="F153">
        <f t="shared" si="10"/>
        <v>8346.75</v>
      </c>
      <c r="G153">
        <f t="shared" si="11"/>
        <v>11.544</v>
      </c>
    </row>
    <row r="154" spans="1:7" x14ac:dyDescent="0.25">
      <c r="A154">
        <v>8346.7741399998777</v>
      </c>
      <c r="B154">
        <v>11.541</v>
      </c>
      <c r="D154">
        <f t="shared" si="8"/>
        <v>8346.7741399998777</v>
      </c>
      <c r="E154">
        <f t="shared" si="9"/>
        <v>8346.75</v>
      </c>
      <c r="F154">
        <f t="shared" si="10"/>
        <v>8346.75</v>
      </c>
      <c r="G154">
        <f t="shared" si="11"/>
        <v>11.541</v>
      </c>
    </row>
    <row r="155" spans="1:7" x14ac:dyDescent="0.25">
      <c r="A155">
        <v>8346.7795699997805</v>
      </c>
      <c r="B155">
        <v>11.55</v>
      </c>
      <c r="D155">
        <f t="shared" si="8"/>
        <v>8346.7795699997805</v>
      </c>
      <c r="E155">
        <f t="shared" si="9"/>
        <v>8346.75</v>
      </c>
      <c r="F155">
        <f t="shared" si="10"/>
        <v>8346.75</v>
      </c>
      <c r="G155">
        <f t="shared" si="11"/>
        <v>11.55</v>
      </c>
    </row>
    <row r="156" spans="1:7" x14ac:dyDescent="0.25">
      <c r="A156">
        <v>8346.7850100002252</v>
      </c>
      <c r="B156">
        <v>11.555999999999999</v>
      </c>
      <c r="D156">
        <f t="shared" si="8"/>
        <v>8346.7850100002252</v>
      </c>
      <c r="E156">
        <f t="shared" si="9"/>
        <v>8346.75</v>
      </c>
      <c r="F156">
        <f t="shared" si="10"/>
        <v>8346.75</v>
      </c>
      <c r="G156">
        <f t="shared" si="11"/>
        <v>11.555999999999999</v>
      </c>
    </row>
    <row r="157" spans="1:7" x14ac:dyDescent="0.25">
      <c r="A157">
        <v>8346.7904500002041</v>
      </c>
      <c r="B157">
        <v>11.548</v>
      </c>
      <c r="D157">
        <f t="shared" si="8"/>
        <v>8346.7904500002041</v>
      </c>
      <c r="E157">
        <f t="shared" si="9"/>
        <v>8346.75</v>
      </c>
      <c r="F157">
        <f t="shared" si="10"/>
        <v>8346.75</v>
      </c>
      <c r="G157">
        <f t="shared" si="11"/>
        <v>11.548</v>
      </c>
    </row>
    <row r="158" spans="1:7" x14ac:dyDescent="0.25">
      <c r="A158">
        <v>8346.7958900001831</v>
      </c>
      <c r="B158">
        <v>11.548</v>
      </c>
      <c r="D158">
        <f t="shared" si="8"/>
        <v>8346.7958900001831</v>
      </c>
      <c r="E158">
        <f t="shared" si="9"/>
        <v>8346.75</v>
      </c>
      <c r="F158">
        <f t="shared" si="10"/>
        <v>8346.75</v>
      </c>
      <c r="G158">
        <f t="shared" si="11"/>
        <v>11.548</v>
      </c>
    </row>
    <row r="159" spans="1:7" x14ac:dyDescent="0.25">
      <c r="A159">
        <v>8346.8013100000098</v>
      </c>
      <c r="B159">
        <v>11.54</v>
      </c>
      <c r="D159">
        <f t="shared" si="8"/>
        <v>8346.8013100000098</v>
      </c>
      <c r="E159">
        <f t="shared" si="9"/>
        <v>8346.75</v>
      </c>
      <c r="F159">
        <f t="shared" si="10"/>
        <v>8346.75</v>
      </c>
      <c r="G159">
        <f t="shared" si="11"/>
        <v>11.54</v>
      </c>
    </row>
    <row r="160" spans="1:7" x14ac:dyDescent="0.25">
      <c r="A160">
        <v>8346.8067200002261</v>
      </c>
      <c r="B160">
        <v>11.56</v>
      </c>
      <c r="D160">
        <f t="shared" si="8"/>
        <v>8346.8067200002261</v>
      </c>
      <c r="E160">
        <f t="shared" si="9"/>
        <v>8346.75</v>
      </c>
      <c r="F160">
        <f t="shared" si="10"/>
        <v>8346.75</v>
      </c>
      <c r="G160">
        <f t="shared" si="11"/>
        <v>11.56</v>
      </c>
    </row>
    <row r="161" spans="1:7" x14ac:dyDescent="0.25">
      <c r="A161">
        <v>8346.8121500001289</v>
      </c>
      <c r="B161">
        <v>11.558</v>
      </c>
      <c r="D161">
        <f t="shared" si="8"/>
        <v>8346.8121500001289</v>
      </c>
      <c r="E161">
        <f t="shared" si="9"/>
        <v>8346.75</v>
      </c>
      <c r="F161">
        <f t="shared" si="10"/>
        <v>8346.75</v>
      </c>
      <c r="G161">
        <f t="shared" si="11"/>
        <v>11.558</v>
      </c>
    </row>
    <row r="162" spans="1:7" x14ac:dyDescent="0.25">
      <c r="A162">
        <v>8346.8175800000317</v>
      </c>
      <c r="B162">
        <v>11.539</v>
      </c>
      <c r="D162">
        <f t="shared" si="8"/>
        <v>8346.8175800000317</v>
      </c>
      <c r="E162">
        <f t="shared" si="9"/>
        <v>8346.75</v>
      </c>
      <c r="F162">
        <f t="shared" si="10"/>
        <v>8346.75</v>
      </c>
      <c r="G162">
        <f t="shared" si="11"/>
        <v>11.539</v>
      </c>
    </row>
    <row r="163" spans="1:7" x14ac:dyDescent="0.25">
      <c r="A163">
        <v>8346.8264700002037</v>
      </c>
      <c r="B163">
        <v>11.542</v>
      </c>
      <c r="D163">
        <f t="shared" si="8"/>
        <v>8346.8264700002037</v>
      </c>
      <c r="E163">
        <f t="shared" si="9"/>
        <v>8346.75</v>
      </c>
      <c r="F163">
        <f t="shared" si="10"/>
        <v>8346.75</v>
      </c>
      <c r="G163">
        <f t="shared" si="11"/>
        <v>11.542</v>
      </c>
    </row>
    <row r="164" spans="1:7" x14ac:dyDescent="0.25">
      <c r="A164">
        <v>8346.8319100001827</v>
      </c>
      <c r="B164">
        <v>11.55</v>
      </c>
      <c r="D164">
        <f t="shared" si="8"/>
        <v>8346.8319100001827</v>
      </c>
      <c r="E164">
        <f t="shared" si="9"/>
        <v>8346.75</v>
      </c>
      <c r="F164">
        <f t="shared" si="10"/>
        <v>8346.75</v>
      </c>
      <c r="G164">
        <f t="shared" si="11"/>
        <v>11.55</v>
      </c>
    </row>
    <row r="165" spans="1:7" x14ac:dyDescent="0.25">
      <c r="A165">
        <v>8346.8373500001617</v>
      </c>
      <c r="B165">
        <v>11.564</v>
      </c>
      <c r="D165">
        <f t="shared" si="8"/>
        <v>8346.8373500001617</v>
      </c>
      <c r="E165">
        <f t="shared" si="9"/>
        <v>8346.75</v>
      </c>
      <c r="F165">
        <f t="shared" si="10"/>
        <v>8346.75</v>
      </c>
      <c r="G165">
        <f t="shared" si="11"/>
        <v>11.564</v>
      </c>
    </row>
    <row r="166" spans="1:7" x14ac:dyDescent="0.25">
      <c r="A166">
        <v>8346.8427900001407</v>
      </c>
      <c r="B166">
        <v>11.558</v>
      </c>
      <c r="D166">
        <f t="shared" si="8"/>
        <v>8346.8427900001407</v>
      </c>
      <c r="E166">
        <f t="shared" si="9"/>
        <v>8346.75</v>
      </c>
      <c r="F166">
        <f t="shared" si="10"/>
        <v>8346.75</v>
      </c>
      <c r="G166">
        <f t="shared" si="11"/>
        <v>11.558</v>
      </c>
    </row>
    <row r="167" spans="1:7" x14ac:dyDescent="0.25">
      <c r="A167">
        <v>8346.8482200000435</v>
      </c>
      <c r="B167">
        <v>11.567</v>
      </c>
      <c r="D167">
        <f t="shared" si="8"/>
        <v>8346.8482200000435</v>
      </c>
      <c r="E167">
        <f t="shared" si="9"/>
        <v>8346.75</v>
      </c>
      <c r="F167">
        <f t="shared" si="10"/>
        <v>8346.75</v>
      </c>
      <c r="G167">
        <f t="shared" si="11"/>
        <v>11.567</v>
      </c>
    </row>
    <row r="168" spans="1:7" x14ac:dyDescent="0.25">
      <c r="A168">
        <v>8346.8536600000225</v>
      </c>
      <c r="B168">
        <v>11.554</v>
      </c>
      <c r="D168">
        <f t="shared" si="8"/>
        <v>8346.8536600000225</v>
      </c>
      <c r="E168">
        <f t="shared" si="9"/>
        <v>8346.75</v>
      </c>
      <c r="F168">
        <f t="shared" si="10"/>
        <v>8346.75</v>
      </c>
      <c r="G168">
        <f t="shared" si="11"/>
        <v>11.554</v>
      </c>
    </row>
    <row r="169" spans="1:7" x14ac:dyDescent="0.25">
      <c r="A169">
        <v>8346.8591000000015</v>
      </c>
      <c r="B169">
        <v>11.554</v>
      </c>
      <c r="D169">
        <f t="shared" si="8"/>
        <v>8346.8591000000015</v>
      </c>
      <c r="E169">
        <f t="shared" si="9"/>
        <v>8346.75</v>
      </c>
      <c r="F169">
        <f t="shared" si="10"/>
        <v>8346.75</v>
      </c>
      <c r="G169">
        <f t="shared" si="11"/>
        <v>11.554</v>
      </c>
    </row>
    <row r="170" spans="1:7" x14ac:dyDescent="0.25">
      <c r="A170">
        <v>8346.8645000001416</v>
      </c>
      <c r="B170">
        <v>11.553000000000001</v>
      </c>
      <c r="D170">
        <f t="shared" si="8"/>
        <v>8346.8645000001416</v>
      </c>
      <c r="E170">
        <f t="shared" si="9"/>
        <v>8346.75</v>
      </c>
      <c r="F170">
        <f t="shared" si="10"/>
        <v>8346.75</v>
      </c>
      <c r="G170">
        <f t="shared" si="11"/>
        <v>11.553000000000001</v>
      </c>
    </row>
    <row r="171" spans="1:7" x14ac:dyDescent="0.25">
      <c r="A171">
        <v>8346.8699400001206</v>
      </c>
      <c r="B171">
        <v>11.558</v>
      </c>
      <c r="D171">
        <f t="shared" si="8"/>
        <v>8346.8699400001206</v>
      </c>
      <c r="E171">
        <f t="shared" si="9"/>
        <v>8346.75</v>
      </c>
      <c r="F171">
        <f t="shared" si="10"/>
        <v>8346.75</v>
      </c>
      <c r="G171">
        <f t="shared" si="11"/>
        <v>11.558</v>
      </c>
    </row>
    <row r="172" spans="1:7" x14ac:dyDescent="0.25">
      <c r="A172">
        <v>8346.8753800000995</v>
      </c>
      <c r="B172">
        <v>11.6</v>
      </c>
      <c r="D172">
        <f t="shared" si="8"/>
        <v>8346.8753800000995</v>
      </c>
      <c r="E172">
        <f t="shared" si="9"/>
        <v>8346.75</v>
      </c>
      <c r="F172">
        <f t="shared" si="10"/>
        <v>8346.75</v>
      </c>
      <c r="G172">
        <f t="shared" si="11"/>
        <v>11.6</v>
      </c>
    </row>
    <row r="173" spans="1:7" x14ac:dyDescent="0.25">
      <c r="A173">
        <v>8347.373399999924</v>
      </c>
      <c r="B173">
        <v>11.503</v>
      </c>
      <c r="D173">
        <f t="shared" si="8"/>
        <v>8347.373399999924</v>
      </c>
      <c r="E173">
        <f t="shared" si="9"/>
        <v>8347.25</v>
      </c>
      <c r="F173">
        <f t="shared" si="10"/>
        <v>8347.25</v>
      </c>
      <c r="G173">
        <f t="shared" si="11"/>
        <v>11.503</v>
      </c>
    </row>
    <row r="174" spans="1:7" x14ac:dyDescent="0.25">
      <c r="A174">
        <v>8353.3609799998812</v>
      </c>
      <c r="B174">
        <v>11.564</v>
      </c>
      <c r="D174">
        <f t="shared" si="8"/>
        <v>8353.3609799998812</v>
      </c>
      <c r="E174">
        <f t="shared" si="9"/>
        <v>8353.25</v>
      </c>
      <c r="F174">
        <f t="shared" si="10"/>
        <v>8353.25</v>
      </c>
      <c r="G174">
        <f t="shared" si="11"/>
        <v>11.564</v>
      </c>
    </row>
    <row r="175" spans="1:7" x14ac:dyDescent="0.25">
      <c r="A175">
        <v>8355.75270000007</v>
      </c>
      <c r="B175">
        <v>11.609</v>
      </c>
      <c r="D175">
        <f t="shared" si="8"/>
        <v>8355.75270000007</v>
      </c>
      <c r="E175">
        <f t="shared" si="9"/>
        <v>8355.75</v>
      </c>
      <c r="F175">
        <f t="shared" si="10"/>
        <v>8355.75</v>
      </c>
      <c r="G175">
        <f t="shared" si="11"/>
        <v>11.609</v>
      </c>
    </row>
    <row r="176" spans="1:7" x14ac:dyDescent="0.25">
      <c r="A176">
        <v>8359.3710500001907</v>
      </c>
      <c r="B176">
        <v>11.683999999999999</v>
      </c>
      <c r="D176">
        <f t="shared" si="8"/>
        <v>8359.3710500001907</v>
      </c>
      <c r="E176">
        <f t="shared" si="9"/>
        <v>8359.25</v>
      </c>
      <c r="F176">
        <f t="shared" si="10"/>
        <v>8359.25</v>
      </c>
      <c r="G176">
        <f t="shared" si="11"/>
        <v>11.683999999999999</v>
      </c>
    </row>
    <row r="177" spans="1:7" x14ac:dyDescent="0.25">
      <c r="A177">
        <v>8359.3717800001614</v>
      </c>
      <c r="B177">
        <v>11.7</v>
      </c>
      <c r="D177">
        <f t="shared" si="8"/>
        <v>8359.3717800001614</v>
      </c>
      <c r="E177">
        <f t="shared" si="9"/>
        <v>8359.25</v>
      </c>
      <c r="F177">
        <f t="shared" si="10"/>
        <v>8359.25</v>
      </c>
      <c r="G177">
        <f t="shared" si="11"/>
        <v>11.7</v>
      </c>
    </row>
    <row r="178" spans="1:7" x14ac:dyDescent="0.25">
      <c r="A178">
        <v>8362.3600200000219</v>
      </c>
      <c r="B178">
        <v>11.797000000000001</v>
      </c>
      <c r="D178">
        <f t="shared" si="8"/>
        <v>8362.3600200000219</v>
      </c>
      <c r="E178">
        <f t="shared" si="9"/>
        <v>8362.25</v>
      </c>
      <c r="F178">
        <f t="shared" si="10"/>
        <v>8362.25</v>
      </c>
      <c r="G178">
        <f t="shared" si="11"/>
        <v>11.797000000000001</v>
      </c>
    </row>
    <row r="179" spans="1:7" x14ac:dyDescent="0.25">
      <c r="A179">
        <v>8364.3527899999171</v>
      </c>
      <c r="B179">
        <v>11.808999999999999</v>
      </c>
      <c r="D179">
        <f t="shared" si="8"/>
        <v>8364.3527899999171</v>
      </c>
      <c r="E179">
        <f t="shared" si="9"/>
        <v>8364.25</v>
      </c>
      <c r="F179">
        <f t="shared" si="10"/>
        <v>8364.25</v>
      </c>
      <c r="G179">
        <f t="shared" si="11"/>
        <v>11.808999999999999</v>
      </c>
    </row>
    <row r="180" spans="1:7" x14ac:dyDescent="0.25">
      <c r="A180">
        <v>8364.3535199998878</v>
      </c>
      <c r="B180">
        <v>11.832000000000001</v>
      </c>
      <c r="D180">
        <f t="shared" si="8"/>
        <v>8364.3535199998878</v>
      </c>
      <c r="E180">
        <f t="shared" si="9"/>
        <v>8364.25</v>
      </c>
      <c r="F180">
        <f t="shared" si="10"/>
        <v>8364.25</v>
      </c>
      <c r="G180">
        <f t="shared" si="11"/>
        <v>11.832000000000001</v>
      </c>
    </row>
    <row r="181" spans="1:7" x14ac:dyDescent="0.25">
      <c r="A181">
        <v>8367.5920699997805</v>
      </c>
      <c r="B181">
        <v>11.827</v>
      </c>
      <c r="D181">
        <f t="shared" si="8"/>
        <v>8367.5920699997805</v>
      </c>
      <c r="E181">
        <f t="shared" si="9"/>
        <v>8367.5</v>
      </c>
      <c r="F181">
        <f t="shared" si="10"/>
        <v>8367.5</v>
      </c>
      <c r="G181">
        <f t="shared" si="11"/>
        <v>11.827</v>
      </c>
    </row>
    <row r="182" spans="1:7" x14ac:dyDescent="0.25">
      <c r="A182">
        <v>8367.5943800001405</v>
      </c>
      <c r="B182">
        <v>11.821</v>
      </c>
      <c r="D182">
        <f t="shared" si="8"/>
        <v>8367.5943800001405</v>
      </c>
      <c r="E182">
        <f t="shared" si="9"/>
        <v>8367.5</v>
      </c>
      <c r="F182">
        <f t="shared" si="10"/>
        <v>8367.5</v>
      </c>
      <c r="G182">
        <f t="shared" si="11"/>
        <v>11.821</v>
      </c>
    </row>
    <row r="183" spans="1:7" x14ac:dyDescent="0.25">
      <c r="A183">
        <v>8367.5966699998826</v>
      </c>
      <c r="B183">
        <v>11.821999999999999</v>
      </c>
      <c r="D183">
        <f t="shared" si="8"/>
        <v>8367.5966699998826</v>
      </c>
      <c r="E183">
        <f t="shared" si="9"/>
        <v>8367.5</v>
      </c>
      <c r="F183">
        <f t="shared" si="10"/>
        <v>8367.5</v>
      </c>
      <c r="G183">
        <f t="shared" si="11"/>
        <v>11.821999999999999</v>
      </c>
    </row>
    <row r="184" spans="1:7" x14ac:dyDescent="0.25">
      <c r="A184">
        <v>8367.5989700001664</v>
      </c>
      <c r="B184">
        <v>11.821</v>
      </c>
      <c r="D184">
        <f t="shared" si="8"/>
        <v>8367.5989700001664</v>
      </c>
      <c r="E184">
        <f t="shared" si="9"/>
        <v>8367.5</v>
      </c>
      <c r="F184">
        <f t="shared" si="10"/>
        <v>8367.5</v>
      </c>
      <c r="G184">
        <f t="shared" si="11"/>
        <v>11.821</v>
      </c>
    </row>
    <row r="185" spans="1:7" x14ac:dyDescent="0.25">
      <c r="A185">
        <v>8367.6012599999085</v>
      </c>
      <c r="B185">
        <v>11.813000000000001</v>
      </c>
      <c r="D185">
        <f t="shared" si="8"/>
        <v>8367.6012599999085</v>
      </c>
      <c r="E185">
        <f t="shared" si="9"/>
        <v>8367.5</v>
      </c>
      <c r="F185">
        <f t="shared" si="10"/>
        <v>8367.5</v>
      </c>
      <c r="G185">
        <f t="shared" si="11"/>
        <v>11.813000000000001</v>
      </c>
    </row>
    <row r="186" spans="1:7" x14ac:dyDescent="0.25">
      <c r="A186">
        <v>8367.6035500001162</v>
      </c>
      <c r="B186">
        <v>11.836</v>
      </c>
      <c r="D186">
        <f t="shared" si="8"/>
        <v>8367.6035500001162</v>
      </c>
      <c r="E186">
        <f t="shared" si="9"/>
        <v>8367.5</v>
      </c>
      <c r="F186">
        <f t="shared" si="10"/>
        <v>8367.5</v>
      </c>
      <c r="G186">
        <f t="shared" si="11"/>
        <v>11.836</v>
      </c>
    </row>
    <row r="187" spans="1:7" x14ac:dyDescent="0.25">
      <c r="A187">
        <v>8367.6058399998583</v>
      </c>
      <c r="B187">
        <v>11.827</v>
      </c>
      <c r="D187">
        <f t="shared" si="8"/>
        <v>8367.6058399998583</v>
      </c>
      <c r="E187">
        <f t="shared" si="9"/>
        <v>8367.5</v>
      </c>
      <c r="F187">
        <f t="shared" si="10"/>
        <v>8367.5</v>
      </c>
      <c r="G187">
        <f t="shared" si="11"/>
        <v>11.827</v>
      </c>
    </row>
    <row r="188" spans="1:7" x14ac:dyDescent="0.25">
      <c r="A188">
        <v>8367.6081500002183</v>
      </c>
      <c r="B188">
        <v>11.824</v>
      </c>
      <c r="D188">
        <f t="shared" si="8"/>
        <v>8367.6081500002183</v>
      </c>
      <c r="E188">
        <f t="shared" si="9"/>
        <v>8367.5</v>
      </c>
      <c r="F188">
        <f t="shared" si="10"/>
        <v>8367.5</v>
      </c>
      <c r="G188">
        <f t="shared" si="11"/>
        <v>11.824</v>
      </c>
    </row>
    <row r="189" spans="1:7" x14ac:dyDescent="0.25">
      <c r="A189">
        <v>8367.6104399999604</v>
      </c>
      <c r="B189">
        <v>11.833</v>
      </c>
      <c r="D189">
        <f t="shared" si="8"/>
        <v>8367.6104399999604</v>
      </c>
      <c r="E189">
        <f t="shared" si="9"/>
        <v>8367.5</v>
      </c>
      <c r="F189">
        <f t="shared" si="10"/>
        <v>8367.5</v>
      </c>
      <c r="G189">
        <f t="shared" si="11"/>
        <v>11.833</v>
      </c>
    </row>
    <row r="190" spans="1:7" x14ac:dyDescent="0.25">
      <c r="A190">
        <v>8367.6127399997786</v>
      </c>
      <c r="B190">
        <v>11.83</v>
      </c>
      <c r="D190">
        <f t="shared" si="8"/>
        <v>8367.6127399997786</v>
      </c>
      <c r="E190">
        <f t="shared" si="9"/>
        <v>8367.5</v>
      </c>
      <c r="F190">
        <f t="shared" si="10"/>
        <v>8367.5</v>
      </c>
      <c r="G190">
        <f t="shared" si="11"/>
        <v>11.83</v>
      </c>
    </row>
    <row r="191" spans="1:7" x14ac:dyDescent="0.25">
      <c r="A191">
        <v>8367.6150299999863</v>
      </c>
      <c r="B191">
        <v>11.824999999999999</v>
      </c>
      <c r="D191">
        <f t="shared" si="8"/>
        <v>8367.6150299999863</v>
      </c>
      <c r="E191">
        <f t="shared" si="9"/>
        <v>8367.5</v>
      </c>
      <c r="F191">
        <f t="shared" si="10"/>
        <v>8367.5</v>
      </c>
      <c r="G191">
        <f t="shared" si="11"/>
        <v>11.824999999999999</v>
      </c>
    </row>
    <row r="192" spans="1:7" x14ac:dyDescent="0.25">
      <c r="A192">
        <v>8367.6173299998045</v>
      </c>
      <c r="B192">
        <v>11.826000000000001</v>
      </c>
      <c r="D192">
        <f t="shared" si="8"/>
        <v>8367.6173299998045</v>
      </c>
      <c r="E192">
        <f t="shared" si="9"/>
        <v>8367.5</v>
      </c>
      <c r="F192">
        <f t="shared" si="10"/>
        <v>8367.5</v>
      </c>
      <c r="G192">
        <f t="shared" si="11"/>
        <v>11.826000000000001</v>
      </c>
    </row>
    <row r="193" spans="1:7" x14ac:dyDescent="0.25">
      <c r="A193">
        <v>8367.6196300000884</v>
      </c>
      <c r="B193">
        <v>11.83</v>
      </c>
      <c r="D193">
        <f t="shared" si="8"/>
        <v>8367.6196300000884</v>
      </c>
      <c r="E193">
        <f t="shared" si="9"/>
        <v>8367.5</v>
      </c>
      <c r="F193">
        <f t="shared" si="10"/>
        <v>8367.5</v>
      </c>
      <c r="G193">
        <f t="shared" si="11"/>
        <v>11.83</v>
      </c>
    </row>
    <row r="194" spans="1:7" x14ac:dyDescent="0.25">
      <c r="A194">
        <v>8367.622049999889</v>
      </c>
      <c r="B194">
        <v>11.826000000000001</v>
      </c>
      <c r="D194">
        <f t="shared" si="8"/>
        <v>8367.622049999889</v>
      </c>
      <c r="E194">
        <f t="shared" si="9"/>
        <v>8367.5</v>
      </c>
      <c r="F194">
        <f t="shared" si="10"/>
        <v>8367.5</v>
      </c>
      <c r="G194">
        <f t="shared" si="11"/>
        <v>11.826000000000001</v>
      </c>
    </row>
    <row r="195" spans="1:7" x14ac:dyDescent="0.25">
      <c r="A195">
        <v>8367.6243500001729</v>
      </c>
      <c r="B195">
        <v>11.831</v>
      </c>
      <c r="D195">
        <f t="shared" ref="D195:D258" si="12">+A195</f>
        <v>8367.6243500001729</v>
      </c>
      <c r="E195">
        <f t="shared" ref="E195:E258" si="13">+INT(D195*4)/4</f>
        <v>8367.5</v>
      </c>
      <c r="F195">
        <f t="shared" ref="F195:F258" si="14">+IF(D195-E195&gt;0.25,E195+0.25,E195)</f>
        <v>8367.5</v>
      </c>
      <c r="G195">
        <f t="shared" ref="G195:G258" si="15">+B195</f>
        <v>11.831</v>
      </c>
    </row>
    <row r="196" spans="1:7" x14ac:dyDescent="0.25">
      <c r="A196">
        <v>8367.6266399999149</v>
      </c>
      <c r="B196">
        <v>11.834</v>
      </c>
      <c r="D196">
        <f t="shared" si="12"/>
        <v>8367.6266399999149</v>
      </c>
      <c r="E196">
        <f t="shared" si="13"/>
        <v>8367.5</v>
      </c>
      <c r="F196">
        <f t="shared" si="14"/>
        <v>8367.5</v>
      </c>
      <c r="G196">
        <f t="shared" si="15"/>
        <v>11.834</v>
      </c>
    </row>
    <row r="197" spans="1:7" x14ac:dyDescent="0.25">
      <c r="A197">
        <v>8367.6289400001988</v>
      </c>
      <c r="B197">
        <v>11.834</v>
      </c>
      <c r="D197">
        <f t="shared" si="12"/>
        <v>8367.6289400001988</v>
      </c>
      <c r="E197">
        <f t="shared" si="13"/>
        <v>8367.5</v>
      </c>
      <c r="F197">
        <f t="shared" si="14"/>
        <v>8367.5</v>
      </c>
      <c r="G197">
        <f t="shared" si="15"/>
        <v>11.834</v>
      </c>
    </row>
    <row r="198" spans="1:7" x14ac:dyDescent="0.25">
      <c r="A198">
        <v>8367.631240000017</v>
      </c>
      <c r="B198">
        <v>11.831</v>
      </c>
      <c r="D198">
        <f t="shared" si="12"/>
        <v>8367.631240000017</v>
      </c>
      <c r="E198">
        <f t="shared" si="13"/>
        <v>8367.5</v>
      </c>
      <c r="F198">
        <f t="shared" si="14"/>
        <v>8367.5</v>
      </c>
      <c r="G198">
        <f t="shared" si="15"/>
        <v>11.831</v>
      </c>
    </row>
    <row r="199" spans="1:7" x14ac:dyDescent="0.25">
      <c r="A199">
        <v>8367.6335300002247</v>
      </c>
      <c r="B199">
        <v>11.834</v>
      </c>
      <c r="D199">
        <f t="shared" si="12"/>
        <v>8367.6335300002247</v>
      </c>
      <c r="E199">
        <f t="shared" si="13"/>
        <v>8367.5</v>
      </c>
      <c r="F199">
        <f t="shared" si="14"/>
        <v>8367.5</v>
      </c>
      <c r="G199">
        <f t="shared" si="15"/>
        <v>11.834</v>
      </c>
    </row>
    <row r="200" spans="1:7" x14ac:dyDescent="0.25">
      <c r="A200">
        <v>8367.6358199999668</v>
      </c>
      <c r="B200">
        <v>11.829000000000001</v>
      </c>
      <c r="D200">
        <f t="shared" si="12"/>
        <v>8367.6358199999668</v>
      </c>
      <c r="E200">
        <f t="shared" si="13"/>
        <v>8367.5</v>
      </c>
      <c r="F200">
        <f t="shared" si="14"/>
        <v>8367.5</v>
      </c>
      <c r="G200">
        <f t="shared" si="15"/>
        <v>11.829000000000001</v>
      </c>
    </row>
    <row r="201" spans="1:7" x14ac:dyDescent="0.25">
      <c r="A201">
        <v>8367.6381299998611</v>
      </c>
      <c r="B201">
        <v>11.832000000000001</v>
      </c>
      <c r="D201">
        <f t="shared" si="12"/>
        <v>8367.6381299998611</v>
      </c>
      <c r="E201">
        <f t="shared" si="13"/>
        <v>8367.5</v>
      </c>
      <c r="F201">
        <f t="shared" si="14"/>
        <v>8367.5</v>
      </c>
      <c r="G201">
        <f t="shared" si="15"/>
        <v>11.832000000000001</v>
      </c>
    </row>
    <row r="202" spans="1:7" x14ac:dyDescent="0.25">
      <c r="A202">
        <v>8367.6404200000688</v>
      </c>
      <c r="B202">
        <v>11.834</v>
      </c>
      <c r="D202">
        <f t="shared" si="12"/>
        <v>8367.6404200000688</v>
      </c>
      <c r="E202">
        <f t="shared" si="13"/>
        <v>8367.5</v>
      </c>
      <c r="F202">
        <f t="shared" si="14"/>
        <v>8367.5</v>
      </c>
      <c r="G202">
        <f t="shared" si="15"/>
        <v>11.834</v>
      </c>
    </row>
    <row r="203" spans="1:7" x14ac:dyDescent="0.25">
      <c r="A203">
        <v>8367.6427099998109</v>
      </c>
      <c r="B203">
        <v>11.832000000000001</v>
      </c>
      <c r="D203">
        <f t="shared" si="12"/>
        <v>8367.6427099998109</v>
      </c>
      <c r="E203">
        <f t="shared" si="13"/>
        <v>8367.5</v>
      </c>
      <c r="F203">
        <f t="shared" si="14"/>
        <v>8367.5</v>
      </c>
      <c r="G203">
        <f t="shared" si="15"/>
        <v>11.832000000000001</v>
      </c>
    </row>
    <row r="204" spans="1:7" x14ac:dyDescent="0.25">
      <c r="A204">
        <v>8367.6450100000948</v>
      </c>
      <c r="B204">
        <v>11.835000000000001</v>
      </c>
      <c r="D204">
        <f t="shared" si="12"/>
        <v>8367.6450100000948</v>
      </c>
      <c r="E204">
        <f t="shared" si="13"/>
        <v>8367.5</v>
      </c>
      <c r="F204">
        <f t="shared" si="14"/>
        <v>8367.5</v>
      </c>
      <c r="G204">
        <f t="shared" si="15"/>
        <v>11.835000000000001</v>
      </c>
    </row>
    <row r="205" spans="1:7" x14ac:dyDescent="0.25">
      <c r="A205">
        <v>8367.6472999998368</v>
      </c>
      <c r="B205">
        <v>11.833</v>
      </c>
      <c r="D205">
        <f t="shared" si="12"/>
        <v>8367.6472999998368</v>
      </c>
      <c r="E205">
        <f t="shared" si="13"/>
        <v>8367.5</v>
      </c>
      <c r="F205">
        <f t="shared" si="14"/>
        <v>8367.5</v>
      </c>
      <c r="G205">
        <f t="shared" si="15"/>
        <v>11.833</v>
      </c>
    </row>
    <row r="206" spans="1:7" x14ac:dyDescent="0.25">
      <c r="A206">
        <v>8367.6496100001968</v>
      </c>
      <c r="B206">
        <v>11.827999999999999</v>
      </c>
      <c r="D206">
        <f t="shared" si="12"/>
        <v>8367.6496100001968</v>
      </c>
      <c r="E206">
        <f t="shared" si="13"/>
        <v>8367.5</v>
      </c>
      <c r="F206">
        <f t="shared" si="14"/>
        <v>8367.5</v>
      </c>
      <c r="G206">
        <f t="shared" si="15"/>
        <v>11.827999999999999</v>
      </c>
    </row>
    <row r="207" spans="1:7" x14ac:dyDescent="0.25">
      <c r="A207">
        <v>8368.5653699999675</v>
      </c>
      <c r="B207">
        <v>11.973000000000001</v>
      </c>
      <c r="D207">
        <f t="shared" si="12"/>
        <v>8368.5653699999675</v>
      </c>
      <c r="E207">
        <f t="shared" si="13"/>
        <v>8368.5</v>
      </c>
      <c r="F207">
        <f t="shared" si="14"/>
        <v>8368.5</v>
      </c>
      <c r="G207">
        <f t="shared" si="15"/>
        <v>11.973000000000001</v>
      </c>
    </row>
    <row r="208" spans="1:7" x14ac:dyDescent="0.25">
      <c r="A208">
        <v>8369.316589999944</v>
      </c>
      <c r="B208">
        <v>11.946</v>
      </c>
      <c r="D208">
        <f t="shared" si="12"/>
        <v>8369.316589999944</v>
      </c>
      <c r="E208">
        <f t="shared" si="13"/>
        <v>8369.25</v>
      </c>
      <c r="F208">
        <f t="shared" si="14"/>
        <v>8369.25</v>
      </c>
      <c r="G208">
        <f t="shared" si="15"/>
        <v>11.946</v>
      </c>
    </row>
    <row r="209" spans="1:7" x14ac:dyDescent="0.25">
      <c r="A209">
        <v>8369.3168999999762</v>
      </c>
      <c r="B209">
        <v>11.917</v>
      </c>
      <c r="D209">
        <f t="shared" si="12"/>
        <v>8369.3168999999762</v>
      </c>
      <c r="E209">
        <f t="shared" si="13"/>
        <v>8369.25</v>
      </c>
      <c r="F209">
        <f t="shared" si="14"/>
        <v>8369.25</v>
      </c>
      <c r="G209">
        <f t="shared" si="15"/>
        <v>11.917</v>
      </c>
    </row>
    <row r="210" spans="1:7" x14ac:dyDescent="0.25">
      <c r="A210">
        <v>8370.3423600001261</v>
      </c>
      <c r="B210">
        <v>11.98</v>
      </c>
      <c r="D210">
        <f t="shared" si="12"/>
        <v>8370.3423600001261</v>
      </c>
      <c r="E210">
        <f t="shared" si="13"/>
        <v>8370.25</v>
      </c>
      <c r="F210">
        <f t="shared" si="14"/>
        <v>8370.25</v>
      </c>
      <c r="G210">
        <f t="shared" si="15"/>
        <v>11.98</v>
      </c>
    </row>
    <row r="211" spans="1:7" x14ac:dyDescent="0.25">
      <c r="A211">
        <v>8375.3082900000736</v>
      </c>
      <c r="B211">
        <v>12.068</v>
      </c>
      <c r="D211">
        <f t="shared" si="12"/>
        <v>8375.3082900000736</v>
      </c>
      <c r="E211">
        <f t="shared" si="13"/>
        <v>8375.25</v>
      </c>
      <c r="F211">
        <f t="shared" si="14"/>
        <v>8375.25</v>
      </c>
      <c r="G211">
        <f t="shared" si="15"/>
        <v>12.068</v>
      </c>
    </row>
    <row r="212" spans="1:7" x14ac:dyDescent="0.25">
      <c r="A212">
        <v>8375.3082900000736</v>
      </c>
      <c r="B212">
        <v>12.071</v>
      </c>
      <c r="D212">
        <f t="shared" si="12"/>
        <v>8375.3082900000736</v>
      </c>
      <c r="E212">
        <f t="shared" si="13"/>
        <v>8375.25</v>
      </c>
      <c r="F212">
        <f t="shared" si="14"/>
        <v>8375.25</v>
      </c>
      <c r="G212">
        <f t="shared" si="15"/>
        <v>12.071</v>
      </c>
    </row>
    <row r="213" spans="1:7" x14ac:dyDescent="0.25">
      <c r="A213">
        <v>8375.3085900000297</v>
      </c>
      <c r="B213">
        <v>12.07</v>
      </c>
      <c r="D213">
        <f t="shared" si="12"/>
        <v>8375.3085900000297</v>
      </c>
      <c r="E213">
        <f t="shared" si="13"/>
        <v>8375.25</v>
      </c>
      <c r="F213">
        <f t="shared" si="14"/>
        <v>8375.25</v>
      </c>
      <c r="G213">
        <f t="shared" si="15"/>
        <v>12.07</v>
      </c>
    </row>
    <row r="214" spans="1:7" x14ac:dyDescent="0.25">
      <c r="A214">
        <v>8376.305370000191</v>
      </c>
      <c r="B214">
        <v>12.097</v>
      </c>
      <c r="D214">
        <f t="shared" si="12"/>
        <v>8376.305370000191</v>
      </c>
      <c r="E214">
        <f t="shared" si="13"/>
        <v>8376.25</v>
      </c>
      <c r="F214">
        <f t="shared" si="14"/>
        <v>8376.25</v>
      </c>
      <c r="G214">
        <f t="shared" si="15"/>
        <v>12.097</v>
      </c>
    </row>
    <row r="215" spans="1:7" x14ac:dyDescent="0.25">
      <c r="A215">
        <v>8376.3056700001471</v>
      </c>
      <c r="B215">
        <v>12.092000000000001</v>
      </c>
      <c r="D215">
        <f t="shared" si="12"/>
        <v>8376.3056700001471</v>
      </c>
      <c r="E215">
        <f t="shared" si="13"/>
        <v>8376.25</v>
      </c>
      <c r="F215">
        <f t="shared" si="14"/>
        <v>8376.25</v>
      </c>
      <c r="G215">
        <f t="shared" si="15"/>
        <v>12.092000000000001</v>
      </c>
    </row>
    <row r="216" spans="1:7" x14ac:dyDescent="0.25">
      <c r="A216">
        <v>8378.3017500001006</v>
      </c>
      <c r="B216">
        <v>12.083</v>
      </c>
      <c r="D216">
        <f t="shared" si="12"/>
        <v>8378.3017500001006</v>
      </c>
      <c r="E216">
        <f t="shared" si="13"/>
        <v>8378.25</v>
      </c>
      <c r="F216">
        <f t="shared" si="14"/>
        <v>8378.25</v>
      </c>
      <c r="G216">
        <f t="shared" si="15"/>
        <v>12.083</v>
      </c>
    </row>
    <row r="217" spans="1:7" x14ac:dyDescent="0.25">
      <c r="A217">
        <v>8378.3020600001328</v>
      </c>
      <c r="B217">
        <v>12.093</v>
      </c>
      <c r="D217">
        <f t="shared" si="12"/>
        <v>8378.3020600001328</v>
      </c>
      <c r="E217">
        <f t="shared" si="13"/>
        <v>8378.25</v>
      </c>
      <c r="F217">
        <f t="shared" si="14"/>
        <v>8378.25</v>
      </c>
      <c r="G217">
        <f t="shared" si="15"/>
        <v>12.093</v>
      </c>
    </row>
    <row r="218" spans="1:7" x14ac:dyDescent="0.25">
      <c r="A218">
        <v>8383.3731399998069</v>
      </c>
      <c r="B218">
        <v>12.147</v>
      </c>
      <c r="D218">
        <f t="shared" si="12"/>
        <v>8383.3731399998069</v>
      </c>
      <c r="E218">
        <f t="shared" si="13"/>
        <v>8383.25</v>
      </c>
      <c r="F218">
        <f t="shared" si="14"/>
        <v>8383.25</v>
      </c>
      <c r="G218">
        <f t="shared" si="15"/>
        <v>12.147</v>
      </c>
    </row>
    <row r="219" spans="1:7" x14ac:dyDescent="0.25">
      <c r="A219">
        <v>8383.3734499998391</v>
      </c>
      <c r="B219">
        <v>12.128</v>
      </c>
      <c r="D219">
        <f t="shared" si="12"/>
        <v>8383.3734499998391</v>
      </c>
      <c r="E219">
        <f t="shared" si="13"/>
        <v>8383.25</v>
      </c>
      <c r="F219">
        <f t="shared" si="14"/>
        <v>8383.25</v>
      </c>
      <c r="G219">
        <f t="shared" si="15"/>
        <v>12.128</v>
      </c>
    </row>
    <row r="220" spans="1:7" x14ac:dyDescent="0.25">
      <c r="A220">
        <v>8386.2867800001986</v>
      </c>
      <c r="B220">
        <v>12.173</v>
      </c>
      <c r="D220">
        <f t="shared" si="12"/>
        <v>8386.2867800001986</v>
      </c>
      <c r="E220">
        <f t="shared" si="13"/>
        <v>8386.25</v>
      </c>
      <c r="F220">
        <f t="shared" si="14"/>
        <v>8386.25</v>
      </c>
      <c r="G220">
        <f t="shared" si="15"/>
        <v>12.173</v>
      </c>
    </row>
    <row r="221" spans="1:7" x14ac:dyDescent="0.25">
      <c r="A221">
        <v>8386.2870900002308</v>
      </c>
      <c r="B221">
        <v>12.178000000000001</v>
      </c>
      <c r="D221">
        <f t="shared" si="12"/>
        <v>8386.2870900002308</v>
      </c>
      <c r="E221">
        <f t="shared" si="13"/>
        <v>8386.25</v>
      </c>
      <c r="F221">
        <f t="shared" si="14"/>
        <v>8386.25</v>
      </c>
      <c r="G221">
        <f t="shared" si="15"/>
        <v>12.178000000000001</v>
      </c>
    </row>
    <row r="222" spans="1:7" x14ac:dyDescent="0.25">
      <c r="A222">
        <v>8388.286050000228</v>
      </c>
      <c r="B222">
        <v>12.198</v>
      </c>
      <c r="D222">
        <f t="shared" si="12"/>
        <v>8388.286050000228</v>
      </c>
      <c r="E222">
        <f t="shared" si="13"/>
        <v>8388.25</v>
      </c>
      <c r="F222">
        <f t="shared" si="14"/>
        <v>8388.25</v>
      </c>
      <c r="G222">
        <f t="shared" si="15"/>
        <v>12.198</v>
      </c>
    </row>
    <row r="223" spans="1:7" x14ac:dyDescent="0.25">
      <c r="A223">
        <v>8388.2863699998707</v>
      </c>
      <c r="B223">
        <v>12.214</v>
      </c>
      <c r="D223">
        <f t="shared" si="12"/>
        <v>8388.2863699998707</v>
      </c>
      <c r="E223">
        <f t="shared" si="13"/>
        <v>8388.25</v>
      </c>
      <c r="F223">
        <f t="shared" si="14"/>
        <v>8388.25</v>
      </c>
      <c r="G223">
        <f t="shared" si="15"/>
        <v>12.214</v>
      </c>
    </row>
    <row r="224" spans="1:7" x14ac:dyDescent="0.25">
      <c r="A224">
        <v>8388.3407399998978</v>
      </c>
      <c r="B224">
        <v>12.315</v>
      </c>
      <c r="D224">
        <f t="shared" si="12"/>
        <v>8388.3407399998978</v>
      </c>
      <c r="E224">
        <f t="shared" si="13"/>
        <v>8388.25</v>
      </c>
      <c r="F224">
        <f t="shared" si="14"/>
        <v>8388.25</v>
      </c>
      <c r="G224">
        <f t="shared" si="15"/>
        <v>12.315</v>
      </c>
    </row>
    <row r="225" spans="1:7" x14ac:dyDescent="0.25">
      <c r="A225">
        <v>8389.2873100000434</v>
      </c>
      <c r="B225">
        <v>12.228</v>
      </c>
      <c r="D225">
        <f t="shared" si="12"/>
        <v>8389.2873100000434</v>
      </c>
      <c r="E225">
        <f t="shared" si="13"/>
        <v>8389.25</v>
      </c>
      <c r="F225">
        <f t="shared" si="14"/>
        <v>8389.25</v>
      </c>
      <c r="G225">
        <f t="shared" si="15"/>
        <v>12.228</v>
      </c>
    </row>
    <row r="226" spans="1:7" x14ac:dyDescent="0.25">
      <c r="A226">
        <v>8389.2876300001517</v>
      </c>
      <c r="B226">
        <v>12.224</v>
      </c>
      <c r="D226">
        <f t="shared" si="12"/>
        <v>8389.2876300001517</v>
      </c>
      <c r="E226">
        <f t="shared" si="13"/>
        <v>8389.25</v>
      </c>
      <c r="F226">
        <f t="shared" si="14"/>
        <v>8389.25</v>
      </c>
      <c r="G226">
        <f t="shared" si="15"/>
        <v>12.224</v>
      </c>
    </row>
    <row r="227" spans="1:7" x14ac:dyDescent="0.25">
      <c r="A227">
        <v>8389.6844799998216</v>
      </c>
      <c r="B227">
        <v>12.162000000000001</v>
      </c>
      <c r="D227">
        <f t="shared" si="12"/>
        <v>8389.6844799998216</v>
      </c>
      <c r="E227">
        <f t="shared" si="13"/>
        <v>8389.5</v>
      </c>
      <c r="F227">
        <f t="shared" si="14"/>
        <v>8389.5</v>
      </c>
      <c r="G227">
        <f t="shared" si="15"/>
        <v>12.162000000000001</v>
      </c>
    </row>
    <row r="228" spans="1:7" x14ac:dyDescent="0.25">
      <c r="A228">
        <v>8390.30280999979</v>
      </c>
      <c r="B228">
        <v>12.255000000000001</v>
      </c>
      <c r="D228">
        <f t="shared" si="12"/>
        <v>8390.30280999979</v>
      </c>
      <c r="E228">
        <f t="shared" si="13"/>
        <v>8390.25</v>
      </c>
      <c r="F228">
        <f t="shared" si="14"/>
        <v>8390.25</v>
      </c>
      <c r="G228">
        <f t="shared" si="15"/>
        <v>12.255000000000001</v>
      </c>
    </row>
    <row r="229" spans="1:7" x14ac:dyDescent="0.25">
      <c r="A229">
        <v>8395.6280600000173</v>
      </c>
      <c r="B229">
        <v>12.249000000000001</v>
      </c>
      <c r="D229">
        <f t="shared" si="12"/>
        <v>8395.6280600000173</v>
      </c>
      <c r="E229">
        <f t="shared" si="13"/>
        <v>8395.5</v>
      </c>
      <c r="F229">
        <f t="shared" si="14"/>
        <v>8395.5</v>
      </c>
      <c r="G229">
        <f t="shared" si="15"/>
        <v>12.249000000000001</v>
      </c>
    </row>
    <row r="230" spans="1:7" x14ac:dyDescent="0.25">
      <c r="A230">
        <v>8401.2725700000301</v>
      </c>
      <c r="B230">
        <v>12.352</v>
      </c>
      <c r="D230">
        <f t="shared" si="12"/>
        <v>8401.2725700000301</v>
      </c>
      <c r="E230">
        <f t="shared" si="13"/>
        <v>8401.25</v>
      </c>
      <c r="F230">
        <f t="shared" si="14"/>
        <v>8401.25</v>
      </c>
      <c r="G230">
        <f t="shared" si="15"/>
        <v>12.352</v>
      </c>
    </row>
    <row r="231" spans="1:7" x14ac:dyDescent="0.25">
      <c r="A231">
        <v>8401.2728800000623</v>
      </c>
      <c r="B231">
        <v>12.355</v>
      </c>
      <c r="D231">
        <f t="shared" si="12"/>
        <v>8401.2728800000623</v>
      </c>
      <c r="E231">
        <f t="shared" si="13"/>
        <v>8401.25</v>
      </c>
      <c r="F231">
        <f t="shared" si="14"/>
        <v>8401.25</v>
      </c>
      <c r="G231">
        <f t="shared" si="15"/>
        <v>12.355</v>
      </c>
    </row>
    <row r="232" spans="1:7" x14ac:dyDescent="0.25">
      <c r="A232">
        <v>8402.2627900000662</v>
      </c>
      <c r="B232">
        <v>12.391</v>
      </c>
      <c r="D232">
        <f t="shared" si="12"/>
        <v>8402.2627900000662</v>
      </c>
      <c r="E232">
        <f t="shared" si="13"/>
        <v>8402.25</v>
      </c>
      <c r="F232">
        <f t="shared" si="14"/>
        <v>8402.25</v>
      </c>
      <c r="G232">
        <f t="shared" si="15"/>
        <v>12.391</v>
      </c>
    </row>
    <row r="233" spans="1:7" x14ac:dyDescent="0.25">
      <c r="A233">
        <v>8402.2631000000983</v>
      </c>
      <c r="B233">
        <v>12.367000000000001</v>
      </c>
      <c r="D233">
        <f t="shared" si="12"/>
        <v>8402.2631000000983</v>
      </c>
      <c r="E233">
        <f t="shared" si="13"/>
        <v>8402.25</v>
      </c>
      <c r="F233">
        <f t="shared" si="14"/>
        <v>8402.25</v>
      </c>
      <c r="G233">
        <f t="shared" si="15"/>
        <v>12.367000000000001</v>
      </c>
    </row>
    <row r="234" spans="1:7" x14ac:dyDescent="0.25">
      <c r="A234">
        <v>8404.3459100001492</v>
      </c>
      <c r="B234">
        <v>12.398999999999999</v>
      </c>
      <c r="D234">
        <f t="shared" si="12"/>
        <v>8404.3459100001492</v>
      </c>
      <c r="E234">
        <f t="shared" si="13"/>
        <v>8404.25</v>
      </c>
      <c r="F234">
        <f t="shared" si="14"/>
        <v>8404.25</v>
      </c>
      <c r="G234">
        <f t="shared" si="15"/>
        <v>12.398999999999999</v>
      </c>
    </row>
    <row r="235" spans="1:7" x14ac:dyDescent="0.25">
      <c r="A235">
        <v>8404.3462299997918</v>
      </c>
      <c r="B235">
        <v>12.369</v>
      </c>
      <c r="D235">
        <f t="shared" si="12"/>
        <v>8404.3462299997918</v>
      </c>
      <c r="E235">
        <f t="shared" si="13"/>
        <v>8404.25</v>
      </c>
      <c r="F235">
        <f t="shared" si="14"/>
        <v>8404.25</v>
      </c>
      <c r="G235">
        <f t="shared" si="15"/>
        <v>12.369</v>
      </c>
    </row>
    <row r="236" spans="1:7" x14ac:dyDescent="0.25">
      <c r="A236">
        <v>8406.2608599998057</v>
      </c>
      <c r="B236">
        <v>12.382</v>
      </c>
      <c r="D236">
        <f t="shared" si="12"/>
        <v>8406.2608599998057</v>
      </c>
      <c r="E236">
        <f t="shared" si="13"/>
        <v>8406.25</v>
      </c>
      <c r="F236">
        <f t="shared" si="14"/>
        <v>8406.25</v>
      </c>
      <c r="G236">
        <f t="shared" si="15"/>
        <v>12.382</v>
      </c>
    </row>
    <row r="237" spans="1:7" x14ac:dyDescent="0.25">
      <c r="A237">
        <v>8406.2611699998379</v>
      </c>
      <c r="B237">
        <v>12.406000000000001</v>
      </c>
      <c r="D237">
        <f t="shared" si="12"/>
        <v>8406.2611699998379</v>
      </c>
      <c r="E237">
        <f t="shared" si="13"/>
        <v>8406.25</v>
      </c>
      <c r="F237">
        <f t="shared" si="14"/>
        <v>8406.25</v>
      </c>
      <c r="G237">
        <f t="shared" si="15"/>
        <v>12.406000000000001</v>
      </c>
    </row>
    <row r="238" spans="1:7" x14ac:dyDescent="0.25">
      <c r="A238">
        <v>8407.2964800000191</v>
      </c>
      <c r="B238">
        <v>12.414</v>
      </c>
      <c r="D238">
        <f t="shared" si="12"/>
        <v>8407.2964800000191</v>
      </c>
      <c r="E238">
        <f t="shared" si="13"/>
        <v>8407.25</v>
      </c>
      <c r="F238">
        <f t="shared" si="14"/>
        <v>8407.25</v>
      </c>
      <c r="G238">
        <f t="shared" si="15"/>
        <v>12.414</v>
      </c>
    </row>
    <row r="239" spans="1:7" x14ac:dyDescent="0.25">
      <c r="A239">
        <v>8407.2967900000513</v>
      </c>
      <c r="B239">
        <v>12.404</v>
      </c>
      <c r="D239">
        <f t="shared" si="12"/>
        <v>8407.2967900000513</v>
      </c>
      <c r="E239">
        <f t="shared" si="13"/>
        <v>8407.25</v>
      </c>
      <c r="F239">
        <f t="shared" si="14"/>
        <v>8407.25</v>
      </c>
      <c r="G239">
        <f t="shared" si="15"/>
        <v>12.404</v>
      </c>
    </row>
    <row r="240" spans="1:7" x14ac:dyDescent="0.25">
      <c r="A240">
        <v>8409.2549700001255</v>
      </c>
      <c r="B240">
        <v>12.333</v>
      </c>
      <c r="D240">
        <f t="shared" si="12"/>
        <v>8409.2549700001255</v>
      </c>
      <c r="E240">
        <f t="shared" si="13"/>
        <v>8409.25</v>
      </c>
      <c r="F240">
        <f t="shared" si="14"/>
        <v>8409.25</v>
      </c>
      <c r="G240">
        <f t="shared" si="15"/>
        <v>12.333</v>
      </c>
    </row>
    <row r="241" spans="1:7" x14ac:dyDescent="0.25">
      <c r="A241">
        <v>8409.2552800001577</v>
      </c>
      <c r="B241">
        <v>12.33</v>
      </c>
      <c r="D241">
        <f t="shared" si="12"/>
        <v>8409.2552800001577</v>
      </c>
      <c r="E241">
        <f t="shared" si="13"/>
        <v>8409.25</v>
      </c>
      <c r="F241">
        <f t="shared" si="14"/>
        <v>8409.25</v>
      </c>
      <c r="G241">
        <f t="shared" si="15"/>
        <v>12.33</v>
      </c>
    </row>
    <row r="242" spans="1:7" x14ac:dyDescent="0.25">
      <c r="A242">
        <v>8411.3212500000373</v>
      </c>
      <c r="B242">
        <v>12.41</v>
      </c>
      <c r="D242">
        <f t="shared" si="12"/>
        <v>8411.3212500000373</v>
      </c>
      <c r="E242">
        <f t="shared" si="13"/>
        <v>8411.25</v>
      </c>
      <c r="F242">
        <f t="shared" si="14"/>
        <v>8411.25</v>
      </c>
      <c r="G242">
        <f t="shared" si="15"/>
        <v>12.41</v>
      </c>
    </row>
    <row r="243" spans="1:7" x14ac:dyDescent="0.25">
      <c r="A243">
        <v>8411.3215600000694</v>
      </c>
      <c r="B243">
        <v>12.416</v>
      </c>
      <c r="D243">
        <f t="shared" si="12"/>
        <v>8411.3215600000694</v>
      </c>
      <c r="E243">
        <f t="shared" si="13"/>
        <v>8411.25</v>
      </c>
      <c r="F243">
        <f t="shared" si="14"/>
        <v>8411.25</v>
      </c>
      <c r="G243">
        <f t="shared" si="15"/>
        <v>12.416</v>
      </c>
    </row>
    <row r="244" spans="1:7" x14ac:dyDescent="0.25">
      <c r="A244">
        <v>8415.2427500002086</v>
      </c>
      <c r="B244">
        <v>12.451000000000001</v>
      </c>
      <c r="D244">
        <f t="shared" si="12"/>
        <v>8415.2427500002086</v>
      </c>
      <c r="E244">
        <f t="shared" si="13"/>
        <v>8415</v>
      </c>
      <c r="F244">
        <f t="shared" si="14"/>
        <v>8415</v>
      </c>
      <c r="G244">
        <f t="shared" si="15"/>
        <v>12.451000000000001</v>
      </c>
    </row>
    <row r="245" spans="1:7" x14ac:dyDescent="0.25">
      <c r="A245">
        <v>8415.2430699998513</v>
      </c>
      <c r="B245">
        <v>12.438000000000001</v>
      </c>
      <c r="D245">
        <f t="shared" si="12"/>
        <v>8415.2430699998513</v>
      </c>
      <c r="E245">
        <f t="shared" si="13"/>
        <v>8415</v>
      </c>
      <c r="F245">
        <f t="shared" si="14"/>
        <v>8415</v>
      </c>
      <c r="G245">
        <f t="shared" si="15"/>
        <v>12.438000000000001</v>
      </c>
    </row>
    <row r="246" spans="1:7" x14ac:dyDescent="0.25">
      <c r="A246">
        <v>8420.2458299999125</v>
      </c>
      <c r="B246">
        <v>12.500999999999999</v>
      </c>
      <c r="D246">
        <f t="shared" si="12"/>
        <v>8420.2458299999125</v>
      </c>
      <c r="E246">
        <f t="shared" si="13"/>
        <v>8420</v>
      </c>
      <c r="F246">
        <f t="shared" si="14"/>
        <v>8420</v>
      </c>
      <c r="G246">
        <f t="shared" si="15"/>
        <v>12.500999999999999</v>
      </c>
    </row>
    <row r="247" spans="1:7" x14ac:dyDescent="0.25">
      <c r="A247">
        <v>8420.2461299998686</v>
      </c>
      <c r="B247">
        <v>12.5</v>
      </c>
      <c r="D247">
        <f t="shared" si="12"/>
        <v>8420.2461299998686</v>
      </c>
      <c r="E247">
        <f t="shared" si="13"/>
        <v>8420</v>
      </c>
      <c r="F247">
        <f t="shared" si="14"/>
        <v>8420</v>
      </c>
      <c r="G247">
        <f t="shared" si="15"/>
        <v>12.5</v>
      </c>
    </row>
    <row r="248" spans="1:7" x14ac:dyDescent="0.25">
      <c r="A248">
        <v>8420.6217000000179</v>
      </c>
      <c r="B248">
        <v>12.43</v>
      </c>
      <c r="D248">
        <f t="shared" si="12"/>
        <v>8420.6217000000179</v>
      </c>
      <c r="E248">
        <f t="shared" si="13"/>
        <v>8420.5</v>
      </c>
      <c r="F248">
        <f t="shared" si="14"/>
        <v>8420.5</v>
      </c>
      <c r="G248">
        <f t="shared" si="15"/>
        <v>12.43</v>
      </c>
    </row>
    <row r="249" spans="1:7" x14ac:dyDescent="0.25">
      <c r="A249">
        <v>8423.2166699999943</v>
      </c>
      <c r="B249">
        <v>12.6</v>
      </c>
      <c r="D249">
        <f t="shared" si="12"/>
        <v>8423.2166699999943</v>
      </c>
      <c r="E249">
        <f t="shared" si="13"/>
        <v>8423</v>
      </c>
      <c r="F249">
        <f t="shared" si="14"/>
        <v>8423</v>
      </c>
      <c r="G249">
        <f t="shared" si="15"/>
        <v>12.6</v>
      </c>
    </row>
    <row r="250" spans="1:7" x14ac:dyDescent="0.25">
      <c r="A250">
        <v>8425.4294199999422</v>
      </c>
      <c r="B250">
        <v>12.593</v>
      </c>
      <c r="D250">
        <f t="shared" si="12"/>
        <v>8425.4294199999422</v>
      </c>
      <c r="E250">
        <f t="shared" si="13"/>
        <v>8425.25</v>
      </c>
      <c r="F250">
        <f t="shared" si="14"/>
        <v>8425.25</v>
      </c>
      <c r="G250">
        <f t="shared" si="15"/>
        <v>12.593</v>
      </c>
    </row>
    <row r="251" spans="1:7" x14ac:dyDescent="0.25">
      <c r="A251">
        <v>8425.4297299999744</v>
      </c>
      <c r="B251">
        <v>12.54</v>
      </c>
      <c r="D251">
        <f t="shared" si="12"/>
        <v>8425.4297299999744</v>
      </c>
      <c r="E251">
        <f t="shared" si="13"/>
        <v>8425.25</v>
      </c>
      <c r="F251">
        <f t="shared" si="14"/>
        <v>8425.25</v>
      </c>
      <c r="G251">
        <f t="shared" si="15"/>
        <v>12.54</v>
      </c>
    </row>
    <row r="252" spans="1:7" x14ac:dyDescent="0.25">
      <c r="A252">
        <v>8425.6202300000004</v>
      </c>
      <c r="B252">
        <v>12.435</v>
      </c>
      <c r="D252">
        <f t="shared" si="12"/>
        <v>8425.6202300000004</v>
      </c>
      <c r="E252">
        <f t="shared" si="13"/>
        <v>8425.5</v>
      </c>
      <c r="F252">
        <f t="shared" si="14"/>
        <v>8425.5</v>
      </c>
      <c r="G252">
        <f t="shared" si="15"/>
        <v>12.435</v>
      </c>
    </row>
    <row r="253" spans="1:7" x14ac:dyDescent="0.25">
      <c r="A253">
        <v>8428.2596200001426</v>
      </c>
      <c r="B253">
        <v>12.593</v>
      </c>
      <c r="D253">
        <f t="shared" si="12"/>
        <v>8428.2596200001426</v>
      </c>
      <c r="E253">
        <f t="shared" si="13"/>
        <v>8428.25</v>
      </c>
      <c r="F253">
        <f t="shared" si="14"/>
        <v>8428.25</v>
      </c>
      <c r="G253">
        <f t="shared" si="15"/>
        <v>12.593</v>
      </c>
    </row>
    <row r="254" spans="1:7" x14ac:dyDescent="0.25">
      <c r="A254">
        <v>8428.2599300001748</v>
      </c>
      <c r="B254">
        <v>12.555</v>
      </c>
      <c r="D254">
        <f t="shared" si="12"/>
        <v>8428.2599300001748</v>
      </c>
      <c r="E254">
        <f t="shared" si="13"/>
        <v>8428.25</v>
      </c>
      <c r="F254">
        <f t="shared" si="14"/>
        <v>8428.25</v>
      </c>
      <c r="G254">
        <f t="shared" si="15"/>
        <v>12.555</v>
      </c>
    </row>
    <row r="255" spans="1:7" x14ac:dyDescent="0.25">
      <c r="A255">
        <v>8429.5956600001082</v>
      </c>
      <c r="B255">
        <v>12.515000000000001</v>
      </c>
      <c r="D255">
        <f t="shared" si="12"/>
        <v>8429.5956600001082</v>
      </c>
      <c r="E255">
        <f t="shared" si="13"/>
        <v>8429.5</v>
      </c>
      <c r="F255">
        <f t="shared" si="14"/>
        <v>8429.5</v>
      </c>
      <c r="G255">
        <f t="shared" si="15"/>
        <v>12.515000000000001</v>
      </c>
    </row>
    <row r="256" spans="1:7" x14ac:dyDescent="0.25">
      <c r="A256">
        <v>8431.2256499999203</v>
      </c>
      <c r="B256">
        <v>12.622</v>
      </c>
      <c r="D256">
        <f t="shared" si="12"/>
        <v>8431.2256499999203</v>
      </c>
      <c r="E256">
        <f t="shared" si="13"/>
        <v>8431</v>
      </c>
      <c r="F256">
        <f t="shared" si="14"/>
        <v>8431</v>
      </c>
      <c r="G256">
        <f t="shared" si="15"/>
        <v>12.622</v>
      </c>
    </row>
    <row r="257" spans="1:7" x14ac:dyDescent="0.25">
      <c r="A257">
        <v>8433.2368399999104</v>
      </c>
      <c r="B257">
        <v>12.617000000000001</v>
      </c>
      <c r="D257">
        <f t="shared" si="12"/>
        <v>8433.2368399999104</v>
      </c>
      <c r="E257">
        <f t="shared" si="13"/>
        <v>8433</v>
      </c>
      <c r="F257">
        <f t="shared" si="14"/>
        <v>8433</v>
      </c>
      <c r="G257">
        <f t="shared" si="15"/>
        <v>12.617000000000001</v>
      </c>
    </row>
    <row r="258" spans="1:7" x14ac:dyDescent="0.25">
      <c r="A258">
        <v>8433.2371499999426</v>
      </c>
      <c r="B258">
        <v>12.609</v>
      </c>
      <c r="D258">
        <f t="shared" si="12"/>
        <v>8433.2371499999426</v>
      </c>
      <c r="E258">
        <f t="shared" si="13"/>
        <v>8433</v>
      </c>
      <c r="F258">
        <f t="shared" si="14"/>
        <v>8433</v>
      </c>
      <c r="G258">
        <f t="shared" si="15"/>
        <v>12.609</v>
      </c>
    </row>
    <row r="259" spans="1:7" x14ac:dyDescent="0.25">
      <c r="A259">
        <v>8436.6130099999718</v>
      </c>
      <c r="B259">
        <v>12.577</v>
      </c>
      <c r="D259">
        <f t="shared" ref="D259:D322" si="16">+A259</f>
        <v>8436.6130099999718</v>
      </c>
      <c r="E259">
        <f t="shared" ref="E259:E322" si="17">+INT(D259*4)/4</f>
        <v>8436.5</v>
      </c>
      <c r="F259">
        <f t="shared" ref="F259:F322" si="18">+IF(D259-E259&gt;0.25,E259+0.25,E259)</f>
        <v>8436.5</v>
      </c>
      <c r="G259">
        <f t="shared" ref="G259:G322" si="19">+B259</f>
        <v>12.577</v>
      </c>
    </row>
    <row r="260" spans="1:7" x14ac:dyDescent="0.25">
      <c r="A260">
        <v>8437.2737300000153</v>
      </c>
      <c r="B260">
        <v>12.724</v>
      </c>
      <c r="D260">
        <f t="shared" si="16"/>
        <v>8437.2737300000153</v>
      </c>
      <c r="E260">
        <f t="shared" si="17"/>
        <v>8437.25</v>
      </c>
      <c r="F260">
        <f t="shared" si="18"/>
        <v>8437.25</v>
      </c>
      <c r="G260">
        <f t="shared" si="19"/>
        <v>12.724</v>
      </c>
    </row>
    <row r="261" spans="1:7" x14ac:dyDescent="0.25">
      <c r="A261">
        <v>8437.2740299999714</v>
      </c>
      <c r="B261">
        <v>12.74</v>
      </c>
      <c r="D261">
        <f t="shared" si="16"/>
        <v>8437.2740299999714</v>
      </c>
      <c r="E261">
        <f t="shared" si="17"/>
        <v>8437.25</v>
      </c>
      <c r="F261">
        <f t="shared" si="18"/>
        <v>8437.25</v>
      </c>
      <c r="G261">
        <f t="shared" si="19"/>
        <v>12.74</v>
      </c>
    </row>
    <row r="262" spans="1:7" x14ac:dyDescent="0.25">
      <c r="A262">
        <v>8439.1979200001806</v>
      </c>
      <c r="B262">
        <v>12.75</v>
      </c>
      <c r="D262">
        <f t="shared" si="16"/>
        <v>8439.1979200001806</v>
      </c>
      <c r="E262">
        <f t="shared" si="17"/>
        <v>8439</v>
      </c>
      <c r="F262">
        <f t="shared" si="18"/>
        <v>8439</v>
      </c>
      <c r="G262">
        <f t="shared" si="19"/>
        <v>12.75</v>
      </c>
    </row>
    <row r="263" spans="1:7" x14ac:dyDescent="0.25">
      <c r="A263">
        <v>8440.3509100000374</v>
      </c>
      <c r="B263">
        <v>12.826000000000001</v>
      </c>
      <c r="D263">
        <f t="shared" si="16"/>
        <v>8440.3509100000374</v>
      </c>
      <c r="E263">
        <f t="shared" si="17"/>
        <v>8440.25</v>
      </c>
      <c r="F263">
        <f t="shared" si="18"/>
        <v>8440.25</v>
      </c>
      <c r="G263">
        <f t="shared" si="19"/>
        <v>12.826000000000001</v>
      </c>
    </row>
    <row r="264" spans="1:7" x14ac:dyDescent="0.25">
      <c r="A264">
        <v>8440.3512300001457</v>
      </c>
      <c r="B264">
        <v>12.816000000000001</v>
      </c>
      <c r="D264">
        <f t="shared" si="16"/>
        <v>8440.3512300001457</v>
      </c>
      <c r="E264">
        <f t="shared" si="17"/>
        <v>8440.25</v>
      </c>
      <c r="F264">
        <f t="shared" si="18"/>
        <v>8440.25</v>
      </c>
      <c r="G264">
        <f t="shared" si="19"/>
        <v>12.816000000000001</v>
      </c>
    </row>
    <row r="265" spans="1:7" x14ac:dyDescent="0.25">
      <c r="A265">
        <v>8442.6449000001885</v>
      </c>
      <c r="B265">
        <v>12.583</v>
      </c>
      <c r="D265">
        <f t="shared" si="16"/>
        <v>8442.6449000001885</v>
      </c>
      <c r="E265">
        <f t="shared" si="17"/>
        <v>8442.5</v>
      </c>
      <c r="F265">
        <f t="shared" si="18"/>
        <v>8442.5</v>
      </c>
      <c r="G265">
        <f t="shared" si="19"/>
        <v>12.583</v>
      </c>
    </row>
    <row r="266" spans="1:7" x14ac:dyDescent="0.25">
      <c r="A266">
        <v>8453.2187199997716</v>
      </c>
      <c r="B266">
        <v>12.951000000000001</v>
      </c>
      <c r="D266">
        <f t="shared" si="16"/>
        <v>8453.2187199997716</v>
      </c>
      <c r="E266">
        <f t="shared" si="17"/>
        <v>8453</v>
      </c>
      <c r="F266">
        <f t="shared" si="18"/>
        <v>8453</v>
      </c>
      <c r="G266">
        <f t="shared" si="19"/>
        <v>12.951000000000001</v>
      </c>
    </row>
    <row r="267" spans="1:7" x14ac:dyDescent="0.25">
      <c r="A267">
        <v>8453.2190299998038</v>
      </c>
      <c r="B267">
        <v>12.936</v>
      </c>
      <c r="D267">
        <f t="shared" si="16"/>
        <v>8453.2190299998038</v>
      </c>
      <c r="E267">
        <f t="shared" si="17"/>
        <v>8453</v>
      </c>
      <c r="F267">
        <f t="shared" si="18"/>
        <v>8453</v>
      </c>
      <c r="G267">
        <f t="shared" si="19"/>
        <v>12.936</v>
      </c>
    </row>
    <row r="268" spans="1:7" x14ac:dyDescent="0.25">
      <c r="A268">
        <v>8462.2132999999449</v>
      </c>
      <c r="B268">
        <v>13.007</v>
      </c>
      <c r="D268">
        <f t="shared" si="16"/>
        <v>8462.2132999999449</v>
      </c>
      <c r="E268">
        <f t="shared" si="17"/>
        <v>8462</v>
      </c>
      <c r="F268">
        <f t="shared" si="18"/>
        <v>8462</v>
      </c>
      <c r="G268">
        <f t="shared" si="19"/>
        <v>13.007</v>
      </c>
    </row>
    <row r="269" spans="1:7" x14ac:dyDescent="0.25">
      <c r="A269">
        <v>8462.2136099999771</v>
      </c>
      <c r="B269">
        <v>12.978</v>
      </c>
      <c r="D269">
        <f t="shared" si="16"/>
        <v>8462.2136099999771</v>
      </c>
      <c r="E269">
        <f t="shared" si="17"/>
        <v>8462</v>
      </c>
      <c r="F269">
        <f t="shared" si="18"/>
        <v>8462</v>
      </c>
      <c r="G269">
        <f t="shared" si="19"/>
        <v>12.978</v>
      </c>
    </row>
    <row r="270" spans="1:7" x14ac:dyDescent="0.25">
      <c r="A270">
        <v>8464.2587500000373</v>
      </c>
      <c r="B270">
        <v>12.964</v>
      </c>
      <c r="D270">
        <f t="shared" si="16"/>
        <v>8464.2587500000373</v>
      </c>
      <c r="E270">
        <f t="shared" si="17"/>
        <v>8464.25</v>
      </c>
      <c r="F270">
        <f t="shared" si="18"/>
        <v>8464.25</v>
      </c>
      <c r="G270">
        <f t="shared" si="19"/>
        <v>12.964</v>
      </c>
    </row>
    <row r="271" spans="1:7" x14ac:dyDescent="0.25">
      <c r="A271">
        <v>8464.2590600000694</v>
      </c>
      <c r="B271">
        <v>13.013</v>
      </c>
      <c r="D271">
        <f t="shared" si="16"/>
        <v>8464.2590600000694</v>
      </c>
      <c r="E271">
        <f t="shared" si="17"/>
        <v>8464.25</v>
      </c>
      <c r="F271">
        <f t="shared" si="18"/>
        <v>8464.25</v>
      </c>
      <c r="G271">
        <f t="shared" si="19"/>
        <v>13.013</v>
      </c>
    </row>
    <row r="272" spans="1:7" x14ac:dyDescent="0.25">
      <c r="A272">
        <v>8478.3030699999072</v>
      </c>
      <c r="B272">
        <v>13.141999999999999</v>
      </c>
      <c r="D272">
        <f t="shared" si="16"/>
        <v>8478.3030699999072</v>
      </c>
      <c r="E272">
        <f t="shared" si="17"/>
        <v>8478.25</v>
      </c>
      <c r="F272">
        <f t="shared" si="18"/>
        <v>8478.25</v>
      </c>
      <c r="G272">
        <f t="shared" si="19"/>
        <v>13.141999999999999</v>
      </c>
    </row>
    <row r="273" spans="1:7" x14ac:dyDescent="0.25">
      <c r="A273">
        <v>8478.3033799999394</v>
      </c>
      <c r="B273">
        <v>13.265000000000001</v>
      </c>
      <c r="D273">
        <f t="shared" si="16"/>
        <v>8478.3033799999394</v>
      </c>
      <c r="E273">
        <f t="shared" si="17"/>
        <v>8478.25</v>
      </c>
      <c r="F273">
        <f t="shared" si="18"/>
        <v>8478.25</v>
      </c>
      <c r="G273">
        <f t="shared" si="19"/>
        <v>13.265000000000001</v>
      </c>
    </row>
    <row r="274" spans="1:7" x14ac:dyDescent="0.25">
      <c r="A274">
        <v>8479.2107400000095</v>
      </c>
      <c r="B274">
        <v>13.186999999999999</v>
      </c>
      <c r="D274">
        <f t="shared" si="16"/>
        <v>8479.2107400000095</v>
      </c>
      <c r="E274">
        <f t="shared" si="17"/>
        <v>8479</v>
      </c>
      <c r="F274">
        <f t="shared" si="18"/>
        <v>8479</v>
      </c>
      <c r="G274">
        <f t="shared" si="19"/>
        <v>13.186999999999999</v>
      </c>
    </row>
    <row r="275" spans="1:7" x14ac:dyDescent="0.25">
      <c r="A275">
        <v>8479.2110500000417</v>
      </c>
      <c r="B275">
        <v>13.103999999999999</v>
      </c>
      <c r="D275">
        <f t="shared" si="16"/>
        <v>8479.2110500000417</v>
      </c>
      <c r="E275">
        <f t="shared" si="17"/>
        <v>8479</v>
      </c>
      <c r="F275">
        <f t="shared" si="18"/>
        <v>8479</v>
      </c>
      <c r="G275">
        <f t="shared" si="19"/>
        <v>13.103999999999999</v>
      </c>
    </row>
    <row r="276" spans="1:7" x14ac:dyDescent="0.25">
      <c r="A276">
        <v>8487.2130700000562</v>
      </c>
      <c r="B276">
        <v>13.237</v>
      </c>
      <c r="D276">
        <f t="shared" si="16"/>
        <v>8487.2130700000562</v>
      </c>
      <c r="E276">
        <f t="shared" si="17"/>
        <v>8487</v>
      </c>
      <c r="F276">
        <f t="shared" si="18"/>
        <v>8487</v>
      </c>
      <c r="G276">
        <f t="shared" si="19"/>
        <v>13.237</v>
      </c>
    </row>
    <row r="277" spans="1:7" x14ac:dyDescent="0.25">
      <c r="A277">
        <v>8487.2133800000884</v>
      </c>
      <c r="B277">
        <v>13.175000000000001</v>
      </c>
      <c r="D277">
        <f t="shared" si="16"/>
        <v>8487.2133800000884</v>
      </c>
      <c r="E277">
        <f t="shared" si="17"/>
        <v>8487</v>
      </c>
      <c r="F277">
        <f t="shared" si="18"/>
        <v>8487</v>
      </c>
      <c r="G277">
        <f t="shared" si="19"/>
        <v>13.175000000000001</v>
      </c>
    </row>
    <row r="278" spans="1:7" x14ac:dyDescent="0.25">
      <c r="A278">
        <v>8577.6216299999505</v>
      </c>
      <c r="B278">
        <v>13.736000000000001</v>
      </c>
      <c r="D278">
        <f t="shared" si="16"/>
        <v>8577.6216299999505</v>
      </c>
      <c r="E278">
        <f t="shared" si="17"/>
        <v>8577.5</v>
      </c>
      <c r="F278">
        <f t="shared" si="18"/>
        <v>8577.5</v>
      </c>
      <c r="G278">
        <f t="shared" si="19"/>
        <v>13.736000000000001</v>
      </c>
    </row>
    <row r="279" spans="1:7" x14ac:dyDescent="0.25">
      <c r="A279">
        <v>8577.6219399999827</v>
      </c>
      <c r="B279">
        <v>13.691000000000001</v>
      </c>
      <c r="D279">
        <f t="shared" si="16"/>
        <v>8577.6219399999827</v>
      </c>
      <c r="E279">
        <f t="shared" si="17"/>
        <v>8577.5</v>
      </c>
      <c r="F279">
        <f t="shared" si="18"/>
        <v>8577.5</v>
      </c>
      <c r="G279">
        <f t="shared" si="19"/>
        <v>13.691000000000001</v>
      </c>
    </row>
    <row r="280" spans="1:7" x14ac:dyDescent="0.25">
      <c r="A280">
        <v>8597.640430000145</v>
      </c>
      <c r="B280">
        <v>13.946</v>
      </c>
      <c r="D280">
        <f t="shared" si="16"/>
        <v>8597.640430000145</v>
      </c>
      <c r="E280">
        <f t="shared" si="17"/>
        <v>8597.5</v>
      </c>
      <c r="F280">
        <f t="shared" si="18"/>
        <v>8597.5</v>
      </c>
      <c r="G280">
        <f t="shared" si="19"/>
        <v>13.946</v>
      </c>
    </row>
    <row r="281" spans="1:7" x14ac:dyDescent="0.25">
      <c r="A281">
        <v>8597.6407400001772</v>
      </c>
      <c r="B281">
        <v>13.912000000000001</v>
      </c>
      <c r="D281">
        <f t="shared" si="16"/>
        <v>8597.6407400001772</v>
      </c>
      <c r="E281">
        <f t="shared" si="17"/>
        <v>8597.5</v>
      </c>
      <c r="F281">
        <f t="shared" si="18"/>
        <v>8597.5</v>
      </c>
      <c r="G281">
        <f t="shared" si="19"/>
        <v>13.912000000000001</v>
      </c>
    </row>
    <row r="282" spans="1:7" x14ac:dyDescent="0.25">
      <c r="A282">
        <v>8643.449729999993</v>
      </c>
      <c r="B282">
        <v>14.003</v>
      </c>
      <c r="D282">
        <f t="shared" si="16"/>
        <v>8643.449729999993</v>
      </c>
      <c r="E282">
        <f t="shared" si="17"/>
        <v>8643.25</v>
      </c>
      <c r="F282">
        <f t="shared" si="18"/>
        <v>8643.25</v>
      </c>
      <c r="G282">
        <f t="shared" si="19"/>
        <v>14.003</v>
      </c>
    </row>
    <row r="283" spans="1:7" x14ac:dyDescent="0.25">
      <c r="A283">
        <v>8643.4500500001013</v>
      </c>
      <c r="B283">
        <v>14.105</v>
      </c>
      <c r="D283">
        <f t="shared" si="16"/>
        <v>8643.4500500001013</v>
      </c>
      <c r="E283">
        <f t="shared" si="17"/>
        <v>8643.25</v>
      </c>
      <c r="F283">
        <f t="shared" si="18"/>
        <v>8643.25</v>
      </c>
      <c r="G283">
        <f t="shared" si="19"/>
        <v>14.105</v>
      </c>
    </row>
    <row r="284" spans="1:7" x14ac:dyDescent="0.25">
      <c r="A284">
        <v>8649.7823999999091</v>
      </c>
      <c r="B284">
        <v>13.914999999999999</v>
      </c>
      <c r="D284">
        <f t="shared" si="16"/>
        <v>8649.7823999999091</v>
      </c>
      <c r="E284">
        <f t="shared" si="17"/>
        <v>8649.75</v>
      </c>
      <c r="F284">
        <f t="shared" si="18"/>
        <v>8649.75</v>
      </c>
      <c r="G284">
        <f t="shared" si="19"/>
        <v>13.914999999999999</v>
      </c>
    </row>
    <row r="285" spans="1:7" x14ac:dyDescent="0.25">
      <c r="A285">
        <v>8654.7356599997729</v>
      </c>
      <c r="B285">
        <v>13.852</v>
      </c>
      <c r="D285">
        <f t="shared" si="16"/>
        <v>8654.7356599997729</v>
      </c>
      <c r="E285">
        <f t="shared" si="17"/>
        <v>8654.5</v>
      </c>
      <c r="F285">
        <f t="shared" si="18"/>
        <v>8654.5</v>
      </c>
      <c r="G285">
        <f t="shared" si="19"/>
        <v>13.852</v>
      </c>
    </row>
    <row r="286" spans="1:7" x14ac:dyDescent="0.25">
      <c r="A286">
        <v>8663.4421199997887</v>
      </c>
      <c r="B286">
        <v>13.877000000000001</v>
      </c>
      <c r="D286">
        <f t="shared" si="16"/>
        <v>8663.4421199997887</v>
      </c>
      <c r="E286">
        <f t="shared" si="17"/>
        <v>8663.25</v>
      </c>
      <c r="F286">
        <f t="shared" si="18"/>
        <v>8663.25</v>
      </c>
      <c r="G286">
        <f t="shared" si="19"/>
        <v>13.877000000000001</v>
      </c>
    </row>
    <row r="287" spans="1:7" x14ac:dyDescent="0.25">
      <c r="A287">
        <v>8663.442439999897</v>
      </c>
      <c r="B287">
        <v>13.831</v>
      </c>
      <c r="D287">
        <f t="shared" si="16"/>
        <v>8663.442439999897</v>
      </c>
      <c r="E287">
        <f t="shared" si="17"/>
        <v>8663.25</v>
      </c>
      <c r="F287">
        <f t="shared" si="18"/>
        <v>8663.25</v>
      </c>
      <c r="G287">
        <f t="shared" si="19"/>
        <v>13.831</v>
      </c>
    </row>
    <row r="288" spans="1:7" x14ac:dyDescent="0.25">
      <c r="A288">
        <v>8664.415279999841</v>
      </c>
      <c r="B288">
        <v>13.87</v>
      </c>
      <c r="D288">
        <f t="shared" si="16"/>
        <v>8664.415279999841</v>
      </c>
      <c r="E288">
        <f t="shared" si="17"/>
        <v>8664.25</v>
      </c>
      <c r="F288">
        <f t="shared" si="18"/>
        <v>8664.25</v>
      </c>
      <c r="G288">
        <f t="shared" si="19"/>
        <v>13.87</v>
      </c>
    </row>
    <row r="289" spans="1:7" x14ac:dyDescent="0.25">
      <c r="A289">
        <v>8665.7539599998854</v>
      </c>
      <c r="B289">
        <v>13.835000000000001</v>
      </c>
      <c r="D289">
        <f t="shared" si="16"/>
        <v>8665.7539599998854</v>
      </c>
      <c r="E289">
        <f t="shared" si="17"/>
        <v>8665.75</v>
      </c>
      <c r="F289">
        <f t="shared" si="18"/>
        <v>8665.75</v>
      </c>
      <c r="G289">
        <f t="shared" si="19"/>
        <v>13.835000000000001</v>
      </c>
    </row>
    <row r="290" spans="1:7" x14ac:dyDescent="0.25">
      <c r="A290">
        <v>8672.424130000174</v>
      </c>
      <c r="B290">
        <v>13.868</v>
      </c>
      <c r="D290">
        <f t="shared" si="16"/>
        <v>8672.424130000174</v>
      </c>
      <c r="E290">
        <f t="shared" si="17"/>
        <v>8672.25</v>
      </c>
      <c r="F290">
        <f t="shared" si="18"/>
        <v>8672.25</v>
      </c>
      <c r="G290">
        <f t="shared" si="19"/>
        <v>13.868</v>
      </c>
    </row>
    <row r="291" spans="1:7" x14ac:dyDescent="0.25">
      <c r="A291">
        <v>8672.4244400002062</v>
      </c>
      <c r="B291">
        <v>13.897</v>
      </c>
      <c r="D291">
        <f t="shared" si="16"/>
        <v>8672.4244400002062</v>
      </c>
      <c r="E291">
        <f t="shared" si="17"/>
        <v>8672.25</v>
      </c>
      <c r="F291">
        <f t="shared" si="18"/>
        <v>8672.25</v>
      </c>
      <c r="G291">
        <f t="shared" si="19"/>
        <v>13.897</v>
      </c>
    </row>
    <row r="292" spans="1:7" x14ac:dyDescent="0.25">
      <c r="A292">
        <v>8677.731480000075</v>
      </c>
      <c r="B292">
        <v>13.827999999999999</v>
      </c>
      <c r="D292">
        <f t="shared" si="16"/>
        <v>8677.731480000075</v>
      </c>
      <c r="E292">
        <f t="shared" si="17"/>
        <v>8677.5</v>
      </c>
      <c r="F292">
        <f t="shared" si="18"/>
        <v>8677.5</v>
      </c>
      <c r="G292">
        <f t="shared" si="19"/>
        <v>13.827999999999999</v>
      </c>
    </row>
    <row r="293" spans="1:7" x14ac:dyDescent="0.25">
      <c r="A293">
        <v>8681.3988100001588</v>
      </c>
      <c r="B293">
        <v>13.968999999999999</v>
      </c>
      <c r="D293">
        <f t="shared" si="16"/>
        <v>8681.3988100001588</v>
      </c>
      <c r="E293">
        <f t="shared" si="17"/>
        <v>8681.25</v>
      </c>
      <c r="F293">
        <f t="shared" si="18"/>
        <v>8681.25</v>
      </c>
      <c r="G293">
        <f t="shared" si="19"/>
        <v>13.968999999999999</v>
      </c>
    </row>
    <row r="294" spans="1:7" x14ac:dyDescent="0.25">
      <c r="A294">
        <v>8681.399120000191</v>
      </c>
      <c r="B294">
        <v>13.836</v>
      </c>
      <c r="D294">
        <f t="shared" si="16"/>
        <v>8681.399120000191</v>
      </c>
      <c r="E294">
        <f t="shared" si="17"/>
        <v>8681.25</v>
      </c>
      <c r="F294">
        <f t="shared" si="18"/>
        <v>8681.25</v>
      </c>
      <c r="G294">
        <f t="shared" si="19"/>
        <v>13.836</v>
      </c>
    </row>
    <row r="295" spans="1:7" x14ac:dyDescent="0.25">
      <c r="A295">
        <v>8685.4319899999537</v>
      </c>
      <c r="B295">
        <v>13.797000000000001</v>
      </c>
      <c r="D295">
        <f t="shared" si="16"/>
        <v>8685.4319899999537</v>
      </c>
      <c r="E295">
        <f t="shared" si="17"/>
        <v>8685.25</v>
      </c>
      <c r="F295">
        <f t="shared" si="18"/>
        <v>8685.25</v>
      </c>
      <c r="G295">
        <f t="shared" si="19"/>
        <v>13.797000000000001</v>
      </c>
    </row>
    <row r="296" spans="1:7" x14ac:dyDescent="0.25">
      <c r="A296">
        <v>8685.4322999999858</v>
      </c>
      <c r="B296">
        <v>13.891999999999999</v>
      </c>
      <c r="D296">
        <f t="shared" si="16"/>
        <v>8685.4322999999858</v>
      </c>
      <c r="E296">
        <f t="shared" si="17"/>
        <v>8685.25</v>
      </c>
      <c r="F296">
        <f t="shared" si="18"/>
        <v>8685.25</v>
      </c>
      <c r="G296">
        <f t="shared" si="19"/>
        <v>13.891999999999999</v>
      </c>
    </row>
    <row r="297" spans="1:7" x14ac:dyDescent="0.25">
      <c r="A297">
        <v>8685.7145299999975</v>
      </c>
      <c r="B297">
        <v>13.766999999999999</v>
      </c>
      <c r="D297">
        <f t="shared" si="16"/>
        <v>8685.7145299999975</v>
      </c>
      <c r="E297">
        <f t="shared" si="17"/>
        <v>8685.5</v>
      </c>
      <c r="F297">
        <f t="shared" si="18"/>
        <v>8685.5</v>
      </c>
      <c r="G297">
        <f t="shared" si="19"/>
        <v>13.766999999999999</v>
      </c>
    </row>
    <row r="298" spans="1:7" x14ac:dyDescent="0.25">
      <c r="A298">
        <v>8687.4005300002173</v>
      </c>
      <c r="B298">
        <v>13.757999999999999</v>
      </c>
      <c r="D298">
        <f t="shared" si="16"/>
        <v>8687.4005300002173</v>
      </c>
      <c r="E298">
        <f t="shared" si="17"/>
        <v>8687.25</v>
      </c>
      <c r="F298">
        <f t="shared" si="18"/>
        <v>8687.25</v>
      </c>
      <c r="G298">
        <f t="shared" si="19"/>
        <v>13.757999999999999</v>
      </c>
    </row>
    <row r="299" spans="1:7" x14ac:dyDescent="0.25">
      <c r="A299">
        <v>8687.4008399997838</v>
      </c>
      <c r="B299">
        <v>13.816000000000001</v>
      </c>
      <c r="D299">
        <f t="shared" si="16"/>
        <v>8687.4008399997838</v>
      </c>
      <c r="E299">
        <f t="shared" si="17"/>
        <v>8687.25</v>
      </c>
      <c r="F299">
        <f t="shared" si="18"/>
        <v>8687.25</v>
      </c>
      <c r="G299">
        <f t="shared" si="19"/>
        <v>13.816000000000001</v>
      </c>
    </row>
    <row r="300" spans="1:7" x14ac:dyDescent="0.25">
      <c r="A300">
        <v>8688.3947499999776</v>
      </c>
      <c r="B300">
        <v>13.8</v>
      </c>
      <c r="D300">
        <f t="shared" si="16"/>
        <v>8688.3947499999776</v>
      </c>
      <c r="E300">
        <f t="shared" si="17"/>
        <v>8688.25</v>
      </c>
      <c r="F300">
        <f t="shared" si="18"/>
        <v>8688.25</v>
      </c>
      <c r="G300">
        <f t="shared" si="19"/>
        <v>13.8</v>
      </c>
    </row>
    <row r="301" spans="1:7" x14ac:dyDescent="0.25">
      <c r="A301">
        <v>8688.3950600000098</v>
      </c>
      <c r="B301">
        <v>13.897</v>
      </c>
      <c r="D301">
        <f t="shared" si="16"/>
        <v>8688.3950600000098</v>
      </c>
      <c r="E301">
        <f t="shared" si="17"/>
        <v>8688.25</v>
      </c>
      <c r="F301">
        <f t="shared" si="18"/>
        <v>8688.25</v>
      </c>
      <c r="G301">
        <f t="shared" si="19"/>
        <v>13.897</v>
      </c>
    </row>
    <row r="302" spans="1:7" x14ac:dyDescent="0.25">
      <c r="A302">
        <v>8690.509029999841</v>
      </c>
      <c r="B302">
        <v>13.8</v>
      </c>
      <c r="D302">
        <f t="shared" si="16"/>
        <v>8690.509029999841</v>
      </c>
      <c r="E302">
        <f t="shared" si="17"/>
        <v>8690.5</v>
      </c>
      <c r="F302">
        <f t="shared" si="18"/>
        <v>8690.5</v>
      </c>
      <c r="G302">
        <f t="shared" si="19"/>
        <v>13.8</v>
      </c>
    </row>
    <row r="303" spans="1:7" x14ac:dyDescent="0.25">
      <c r="A303">
        <v>8693.3942599999718</v>
      </c>
      <c r="B303">
        <v>13.763999999999999</v>
      </c>
      <c r="D303">
        <f t="shared" si="16"/>
        <v>8693.3942599999718</v>
      </c>
      <c r="E303">
        <f t="shared" si="17"/>
        <v>8693.25</v>
      </c>
      <c r="F303">
        <f t="shared" si="18"/>
        <v>8693.25</v>
      </c>
      <c r="G303">
        <f t="shared" si="19"/>
        <v>13.763999999999999</v>
      </c>
    </row>
    <row r="304" spans="1:7" x14ac:dyDescent="0.25">
      <c r="A304">
        <v>8693.394570000004</v>
      </c>
      <c r="B304">
        <v>13.757999999999999</v>
      </c>
      <c r="D304">
        <f t="shared" si="16"/>
        <v>8693.394570000004</v>
      </c>
      <c r="E304">
        <f t="shared" si="17"/>
        <v>8693.25</v>
      </c>
      <c r="F304">
        <f t="shared" si="18"/>
        <v>8693.25</v>
      </c>
      <c r="G304">
        <f t="shared" si="19"/>
        <v>13.757999999999999</v>
      </c>
    </row>
    <row r="305" spans="1:7" x14ac:dyDescent="0.25">
      <c r="A305">
        <v>8694.3867700002156</v>
      </c>
      <c r="B305">
        <v>13.707000000000001</v>
      </c>
      <c r="D305">
        <f t="shared" si="16"/>
        <v>8694.3867700002156</v>
      </c>
      <c r="E305">
        <f t="shared" si="17"/>
        <v>8694.25</v>
      </c>
      <c r="F305">
        <f t="shared" si="18"/>
        <v>8694.25</v>
      </c>
      <c r="G305">
        <f t="shared" si="19"/>
        <v>13.707000000000001</v>
      </c>
    </row>
    <row r="306" spans="1:7" x14ac:dyDescent="0.25">
      <c r="A306">
        <v>8694.3870799997821</v>
      </c>
      <c r="B306">
        <v>13.782999999999999</v>
      </c>
      <c r="D306">
        <f t="shared" si="16"/>
        <v>8694.3870799997821</v>
      </c>
      <c r="E306">
        <f t="shared" si="17"/>
        <v>8694.25</v>
      </c>
      <c r="F306">
        <f t="shared" si="18"/>
        <v>8694.25</v>
      </c>
      <c r="G306">
        <f t="shared" si="19"/>
        <v>13.782999999999999</v>
      </c>
    </row>
    <row r="307" spans="1:7" x14ac:dyDescent="0.25">
      <c r="A307">
        <v>8697.3937400002033</v>
      </c>
      <c r="B307">
        <v>13.742000000000001</v>
      </c>
      <c r="D307">
        <f t="shared" si="16"/>
        <v>8697.3937400002033</v>
      </c>
      <c r="E307">
        <f t="shared" si="17"/>
        <v>8697.25</v>
      </c>
      <c r="F307">
        <f t="shared" si="18"/>
        <v>8697.25</v>
      </c>
      <c r="G307">
        <f t="shared" si="19"/>
        <v>13.742000000000001</v>
      </c>
    </row>
    <row r="308" spans="1:7" x14ac:dyDescent="0.25">
      <c r="A308">
        <v>8697.3940499997698</v>
      </c>
      <c r="B308">
        <v>13.712999999999999</v>
      </c>
      <c r="D308">
        <f t="shared" si="16"/>
        <v>8697.3940499997698</v>
      </c>
      <c r="E308">
        <f t="shared" si="17"/>
        <v>8697.25</v>
      </c>
      <c r="F308">
        <f t="shared" si="18"/>
        <v>8697.25</v>
      </c>
      <c r="G308">
        <f t="shared" si="19"/>
        <v>13.712999999999999</v>
      </c>
    </row>
    <row r="309" spans="1:7" x14ac:dyDescent="0.25">
      <c r="A309">
        <v>8698.3824300002307</v>
      </c>
      <c r="B309">
        <v>13.73</v>
      </c>
      <c r="D309">
        <f t="shared" si="16"/>
        <v>8698.3824300002307</v>
      </c>
      <c r="E309">
        <f t="shared" si="17"/>
        <v>8698.25</v>
      </c>
      <c r="F309">
        <f t="shared" si="18"/>
        <v>8698.25</v>
      </c>
      <c r="G309">
        <f t="shared" si="19"/>
        <v>13.73</v>
      </c>
    </row>
    <row r="310" spans="1:7" x14ac:dyDescent="0.25">
      <c r="A310">
        <v>8698.3827399997972</v>
      </c>
      <c r="B310">
        <v>13.83</v>
      </c>
      <c r="D310">
        <f t="shared" si="16"/>
        <v>8698.3827399997972</v>
      </c>
      <c r="E310">
        <f t="shared" si="17"/>
        <v>8698.25</v>
      </c>
      <c r="F310">
        <f t="shared" si="18"/>
        <v>8698.25</v>
      </c>
      <c r="G310">
        <f t="shared" si="19"/>
        <v>13.83</v>
      </c>
    </row>
    <row r="311" spans="1:7" x14ac:dyDescent="0.25">
      <c r="A311">
        <v>8699.4000900001265</v>
      </c>
      <c r="B311">
        <v>13.762</v>
      </c>
      <c r="D311">
        <f t="shared" si="16"/>
        <v>8699.4000900001265</v>
      </c>
      <c r="E311">
        <f t="shared" si="17"/>
        <v>8699.25</v>
      </c>
      <c r="F311">
        <f t="shared" si="18"/>
        <v>8699.25</v>
      </c>
      <c r="G311">
        <f t="shared" si="19"/>
        <v>13.762</v>
      </c>
    </row>
    <row r="312" spans="1:7" x14ac:dyDescent="0.25">
      <c r="A312">
        <v>8699.4004099997692</v>
      </c>
      <c r="B312">
        <v>13.813000000000001</v>
      </c>
      <c r="D312">
        <f t="shared" si="16"/>
        <v>8699.4004099997692</v>
      </c>
      <c r="E312">
        <f t="shared" si="17"/>
        <v>8699.25</v>
      </c>
      <c r="F312">
        <f t="shared" si="18"/>
        <v>8699.25</v>
      </c>
      <c r="G312">
        <f t="shared" si="19"/>
        <v>13.813000000000001</v>
      </c>
    </row>
    <row r="313" spans="1:7" x14ac:dyDescent="0.25">
      <c r="A313">
        <v>8703.3747600000352</v>
      </c>
      <c r="B313">
        <v>13.737</v>
      </c>
      <c r="D313">
        <f t="shared" si="16"/>
        <v>8703.3747600000352</v>
      </c>
      <c r="E313">
        <f t="shared" si="17"/>
        <v>8703.25</v>
      </c>
      <c r="F313">
        <f t="shared" si="18"/>
        <v>8703.25</v>
      </c>
      <c r="G313">
        <f t="shared" si="19"/>
        <v>13.737</v>
      </c>
    </row>
    <row r="314" spans="1:7" x14ac:dyDescent="0.25">
      <c r="A314">
        <v>8703.3750700000674</v>
      </c>
      <c r="B314">
        <v>13.692</v>
      </c>
      <c r="D314">
        <f t="shared" si="16"/>
        <v>8703.3750700000674</v>
      </c>
      <c r="E314">
        <f t="shared" si="17"/>
        <v>8703.25</v>
      </c>
      <c r="F314">
        <f t="shared" si="18"/>
        <v>8703.25</v>
      </c>
      <c r="G314">
        <f t="shared" si="19"/>
        <v>13.692</v>
      </c>
    </row>
    <row r="315" spans="1:7" x14ac:dyDescent="0.25">
      <c r="A315">
        <v>8706.3756699999794</v>
      </c>
      <c r="B315">
        <v>13.701000000000001</v>
      </c>
      <c r="D315">
        <f t="shared" si="16"/>
        <v>8706.3756699999794</v>
      </c>
      <c r="E315">
        <f t="shared" si="17"/>
        <v>8706.25</v>
      </c>
      <c r="F315">
        <f t="shared" si="18"/>
        <v>8706.25</v>
      </c>
      <c r="G315">
        <f t="shared" si="19"/>
        <v>13.701000000000001</v>
      </c>
    </row>
    <row r="316" spans="1:7" x14ac:dyDescent="0.25">
      <c r="A316">
        <v>8706.3759800000116</v>
      </c>
      <c r="B316">
        <v>13.701000000000001</v>
      </c>
      <c r="D316">
        <f t="shared" si="16"/>
        <v>8706.3759800000116</v>
      </c>
      <c r="E316">
        <f t="shared" si="17"/>
        <v>8706.25</v>
      </c>
      <c r="F316">
        <f t="shared" si="18"/>
        <v>8706.25</v>
      </c>
      <c r="G316">
        <f t="shared" si="19"/>
        <v>13.701000000000001</v>
      </c>
    </row>
    <row r="317" spans="1:7" x14ac:dyDescent="0.25">
      <c r="A317">
        <v>8707.7013900000602</v>
      </c>
      <c r="B317">
        <v>13.601000000000001</v>
      </c>
      <c r="D317">
        <f t="shared" si="16"/>
        <v>8707.7013900000602</v>
      </c>
      <c r="E317">
        <f t="shared" si="17"/>
        <v>8707.5</v>
      </c>
      <c r="F317">
        <f t="shared" si="18"/>
        <v>8707.5</v>
      </c>
      <c r="G317">
        <f t="shared" si="19"/>
        <v>13.601000000000001</v>
      </c>
    </row>
    <row r="318" spans="1:7" x14ac:dyDescent="0.25">
      <c r="A318">
        <v>8708.3750700000674</v>
      </c>
      <c r="B318">
        <v>13.714</v>
      </c>
      <c r="D318">
        <f t="shared" si="16"/>
        <v>8708.3750700000674</v>
      </c>
      <c r="E318">
        <f t="shared" si="17"/>
        <v>8708.25</v>
      </c>
      <c r="F318">
        <f t="shared" si="18"/>
        <v>8708.25</v>
      </c>
      <c r="G318">
        <f t="shared" si="19"/>
        <v>13.714</v>
      </c>
    </row>
    <row r="319" spans="1:7" x14ac:dyDescent="0.25">
      <c r="A319">
        <v>8708.3753800000995</v>
      </c>
      <c r="B319">
        <v>13.632</v>
      </c>
      <c r="D319">
        <f t="shared" si="16"/>
        <v>8708.3753800000995</v>
      </c>
      <c r="E319">
        <f t="shared" si="17"/>
        <v>8708.25</v>
      </c>
      <c r="F319">
        <f t="shared" si="18"/>
        <v>8708.25</v>
      </c>
      <c r="G319">
        <f t="shared" si="19"/>
        <v>13.632</v>
      </c>
    </row>
    <row r="320" spans="1:7" x14ac:dyDescent="0.25">
      <c r="A320">
        <v>8714.3640299998224</v>
      </c>
      <c r="B320">
        <v>13.688000000000001</v>
      </c>
      <c r="D320">
        <f t="shared" si="16"/>
        <v>8714.3640299998224</v>
      </c>
      <c r="E320">
        <f t="shared" si="17"/>
        <v>8714.25</v>
      </c>
      <c r="F320">
        <f t="shared" si="18"/>
        <v>8714.25</v>
      </c>
      <c r="G320">
        <f t="shared" si="19"/>
        <v>13.688000000000001</v>
      </c>
    </row>
    <row r="321" spans="1:7" x14ac:dyDescent="0.25">
      <c r="A321">
        <v>8714.3643399998546</v>
      </c>
      <c r="B321">
        <v>13.664</v>
      </c>
      <c r="D321">
        <f t="shared" si="16"/>
        <v>8714.3643399998546</v>
      </c>
      <c r="E321">
        <f t="shared" si="17"/>
        <v>8714.25</v>
      </c>
      <c r="F321">
        <f t="shared" si="18"/>
        <v>8714.25</v>
      </c>
      <c r="G321">
        <f t="shared" si="19"/>
        <v>13.664</v>
      </c>
    </row>
    <row r="322" spans="1:7" x14ac:dyDescent="0.25">
      <c r="A322">
        <v>8715.3673499999568</v>
      </c>
      <c r="B322">
        <v>13.725</v>
      </c>
      <c r="D322">
        <f t="shared" si="16"/>
        <v>8715.3673499999568</v>
      </c>
      <c r="E322">
        <f t="shared" si="17"/>
        <v>8715.25</v>
      </c>
      <c r="F322">
        <f t="shared" si="18"/>
        <v>8715.25</v>
      </c>
      <c r="G322">
        <f t="shared" si="19"/>
        <v>13.725</v>
      </c>
    </row>
    <row r="323" spans="1:7" x14ac:dyDescent="0.25">
      <c r="A323">
        <v>8715.367659999989</v>
      </c>
      <c r="B323">
        <v>13.632</v>
      </c>
      <c r="D323">
        <f t="shared" ref="D323:D362" si="20">+A323</f>
        <v>8715.367659999989</v>
      </c>
      <c r="E323">
        <f t="shared" ref="E323:E362" si="21">+INT(D323*4)/4</f>
        <v>8715.25</v>
      </c>
      <c r="F323">
        <f t="shared" ref="F323:F362" si="22">+IF(D323-E323&gt;0.25,E323+0.25,E323)</f>
        <v>8715.25</v>
      </c>
      <c r="G323">
        <f t="shared" ref="G323:G362" si="23">+B323</f>
        <v>13.632</v>
      </c>
    </row>
    <row r="324" spans="1:7" x14ac:dyDescent="0.25">
      <c r="A324">
        <v>8716.3479200000875</v>
      </c>
      <c r="B324">
        <v>13.66</v>
      </c>
      <c r="D324">
        <f t="shared" si="20"/>
        <v>8716.3479200000875</v>
      </c>
      <c r="E324">
        <f t="shared" si="21"/>
        <v>8716.25</v>
      </c>
      <c r="F324">
        <f t="shared" si="22"/>
        <v>8716.25</v>
      </c>
      <c r="G324">
        <f t="shared" si="23"/>
        <v>13.66</v>
      </c>
    </row>
    <row r="325" spans="1:7" x14ac:dyDescent="0.25">
      <c r="A325">
        <v>8717.3642799998634</v>
      </c>
      <c r="B325">
        <v>13.62</v>
      </c>
      <c r="D325">
        <f t="shared" si="20"/>
        <v>8717.3642799998634</v>
      </c>
      <c r="E325">
        <f t="shared" si="21"/>
        <v>8717.25</v>
      </c>
      <c r="F325">
        <f t="shared" si="22"/>
        <v>8717.25</v>
      </c>
      <c r="G325">
        <f t="shared" si="23"/>
        <v>13.62</v>
      </c>
    </row>
    <row r="326" spans="1:7" x14ac:dyDescent="0.25">
      <c r="A326">
        <v>8717.3645899998955</v>
      </c>
      <c r="B326">
        <v>13.682</v>
      </c>
      <c r="D326">
        <f t="shared" si="20"/>
        <v>8717.3645899998955</v>
      </c>
      <c r="E326">
        <f t="shared" si="21"/>
        <v>8717.25</v>
      </c>
      <c r="F326">
        <f t="shared" si="22"/>
        <v>8717.25</v>
      </c>
      <c r="G326">
        <f t="shared" si="23"/>
        <v>13.682</v>
      </c>
    </row>
    <row r="327" spans="1:7" x14ac:dyDescent="0.25">
      <c r="A327">
        <v>8720.3369900002144</v>
      </c>
      <c r="B327">
        <v>13.676</v>
      </c>
      <c r="D327">
        <f t="shared" si="20"/>
        <v>8720.3369900002144</v>
      </c>
      <c r="E327">
        <f t="shared" si="21"/>
        <v>8720.25</v>
      </c>
      <c r="F327">
        <f t="shared" si="22"/>
        <v>8720.25</v>
      </c>
      <c r="G327">
        <f t="shared" si="23"/>
        <v>13.676</v>
      </c>
    </row>
    <row r="328" spans="1:7" x14ac:dyDescent="0.25">
      <c r="A328">
        <v>8720.337299999781</v>
      </c>
      <c r="B328">
        <v>13.669</v>
      </c>
      <c r="D328">
        <f t="shared" si="20"/>
        <v>8720.337299999781</v>
      </c>
      <c r="E328">
        <f t="shared" si="21"/>
        <v>8720.25</v>
      </c>
      <c r="F328">
        <f t="shared" si="22"/>
        <v>8720.25</v>
      </c>
      <c r="G328">
        <f t="shared" si="23"/>
        <v>13.669</v>
      </c>
    </row>
    <row r="329" spans="1:7" x14ac:dyDescent="0.25">
      <c r="A329">
        <v>8721.6719200001098</v>
      </c>
      <c r="B329">
        <v>13.603999999999999</v>
      </c>
      <c r="D329">
        <f t="shared" si="20"/>
        <v>8721.6719200001098</v>
      </c>
      <c r="E329">
        <f t="shared" si="21"/>
        <v>8721.5</v>
      </c>
      <c r="F329">
        <f t="shared" si="22"/>
        <v>8721.5</v>
      </c>
      <c r="G329">
        <f t="shared" si="23"/>
        <v>13.603999999999999</v>
      </c>
    </row>
    <row r="330" spans="1:7" x14ac:dyDescent="0.25">
      <c r="A330">
        <v>8722.3399200001732</v>
      </c>
      <c r="B330">
        <v>13.64</v>
      </c>
      <c r="D330">
        <f t="shared" si="20"/>
        <v>8722.3399200001732</v>
      </c>
      <c r="E330">
        <f t="shared" si="21"/>
        <v>8722.25</v>
      </c>
      <c r="F330">
        <f t="shared" si="22"/>
        <v>8722.25</v>
      </c>
      <c r="G330">
        <f t="shared" si="23"/>
        <v>13.64</v>
      </c>
    </row>
    <row r="331" spans="1:7" x14ac:dyDescent="0.25">
      <c r="A331">
        <v>8722.3402300002053</v>
      </c>
      <c r="B331">
        <v>13.64</v>
      </c>
      <c r="D331">
        <f t="shared" si="20"/>
        <v>8722.3402300002053</v>
      </c>
      <c r="E331">
        <f t="shared" si="21"/>
        <v>8722.25</v>
      </c>
      <c r="F331">
        <f t="shared" si="22"/>
        <v>8722.25</v>
      </c>
      <c r="G331">
        <f t="shared" si="23"/>
        <v>13.64</v>
      </c>
    </row>
    <row r="332" spans="1:7" x14ac:dyDescent="0.25">
      <c r="A332">
        <v>8726.3368500000797</v>
      </c>
      <c r="B332">
        <v>13.6</v>
      </c>
      <c r="D332">
        <f t="shared" si="20"/>
        <v>8726.3368500000797</v>
      </c>
      <c r="E332">
        <f t="shared" si="21"/>
        <v>8726.25</v>
      </c>
      <c r="F332">
        <f t="shared" si="22"/>
        <v>8726.25</v>
      </c>
      <c r="G332">
        <f t="shared" si="23"/>
        <v>13.6</v>
      </c>
    </row>
    <row r="333" spans="1:7" x14ac:dyDescent="0.25">
      <c r="A333">
        <v>8726.3371600001119</v>
      </c>
      <c r="B333">
        <v>13.625999999999999</v>
      </c>
      <c r="D333">
        <f t="shared" si="20"/>
        <v>8726.3371600001119</v>
      </c>
      <c r="E333">
        <f t="shared" si="21"/>
        <v>8726.25</v>
      </c>
      <c r="F333">
        <f t="shared" si="22"/>
        <v>8726.25</v>
      </c>
      <c r="G333">
        <f t="shared" si="23"/>
        <v>13.625999999999999</v>
      </c>
    </row>
    <row r="334" spans="1:7" x14ac:dyDescent="0.25">
      <c r="A334">
        <v>8727.7861100002192</v>
      </c>
      <c r="B334">
        <v>13.603</v>
      </c>
      <c r="D334">
        <f t="shared" si="20"/>
        <v>8727.7861100002192</v>
      </c>
      <c r="E334">
        <f t="shared" si="21"/>
        <v>8727.75</v>
      </c>
      <c r="F334">
        <f t="shared" si="22"/>
        <v>8727.75</v>
      </c>
      <c r="G334">
        <f t="shared" si="23"/>
        <v>13.603</v>
      </c>
    </row>
    <row r="335" spans="1:7" x14ac:dyDescent="0.25">
      <c r="A335">
        <v>8728.3482200000435</v>
      </c>
      <c r="B335">
        <v>13.645</v>
      </c>
      <c r="D335">
        <f t="shared" si="20"/>
        <v>8728.3482200000435</v>
      </c>
      <c r="E335">
        <f t="shared" si="21"/>
        <v>8728.25</v>
      </c>
      <c r="F335">
        <f t="shared" si="22"/>
        <v>8728.25</v>
      </c>
      <c r="G335">
        <f t="shared" si="23"/>
        <v>13.645</v>
      </c>
    </row>
    <row r="336" spans="1:7" x14ac:dyDescent="0.25">
      <c r="A336">
        <v>8728.3485300000757</v>
      </c>
      <c r="B336">
        <v>13.726000000000001</v>
      </c>
      <c r="D336">
        <f t="shared" si="20"/>
        <v>8728.3485300000757</v>
      </c>
      <c r="E336">
        <f t="shared" si="21"/>
        <v>8728.25</v>
      </c>
      <c r="F336">
        <f t="shared" si="22"/>
        <v>8728.25</v>
      </c>
      <c r="G336">
        <f t="shared" si="23"/>
        <v>13.726000000000001</v>
      </c>
    </row>
    <row r="337" spans="1:7" x14ac:dyDescent="0.25">
      <c r="A337">
        <v>8731.3215899998322</v>
      </c>
      <c r="B337">
        <v>13.584</v>
      </c>
      <c r="D337">
        <f t="shared" si="20"/>
        <v>8731.3215899998322</v>
      </c>
      <c r="E337">
        <f t="shared" si="21"/>
        <v>8731.25</v>
      </c>
      <c r="F337">
        <f t="shared" si="22"/>
        <v>8731.25</v>
      </c>
      <c r="G337">
        <f t="shared" si="23"/>
        <v>13.584</v>
      </c>
    </row>
    <row r="338" spans="1:7" x14ac:dyDescent="0.25">
      <c r="A338">
        <v>8731.3219099999405</v>
      </c>
      <c r="B338">
        <v>13.574999999999999</v>
      </c>
      <c r="D338">
        <f t="shared" si="20"/>
        <v>8731.3219099999405</v>
      </c>
      <c r="E338">
        <f t="shared" si="21"/>
        <v>8731.25</v>
      </c>
      <c r="F338">
        <f t="shared" si="22"/>
        <v>8731.25</v>
      </c>
      <c r="G338">
        <f t="shared" si="23"/>
        <v>13.574999999999999</v>
      </c>
    </row>
    <row r="339" spans="1:7" x14ac:dyDescent="0.25">
      <c r="A339">
        <v>8739.6523600001819</v>
      </c>
      <c r="B339">
        <v>13.615</v>
      </c>
      <c r="D339">
        <f t="shared" si="20"/>
        <v>8739.6523600001819</v>
      </c>
      <c r="E339">
        <f t="shared" si="21"/>
        <v>8739.5</v>
      </c>
      <c r="F339">
        <f t="shared" si="22"/>
        <v>8739.5</v>
      </c>
      <c r="G339">
        <f t="shared" si="23"/>
        <v>13.615</v>
      </c>
    </row>
    <row r="340" spans="1:7" x14ac:dyDescent="0.25">
      <c r="A340">
        <v>8739.7047600001097</v>
      </c>
      <c r="B340">
        <v>13.606999999999999</v>
      </c>
      <c r="D340">
        <f t="shared" si="20"/>
        <v>8739.7047600001097</v>
      </c>
      <c r="E340">
        <f t="shared" si="21"/>
        <v>8739.5</v>
      </c>
      <c r="F340">
        <f t="shared" si="22"/>
        <v>8739.5</v>
      </c>
      <c r="G340">
        <f t="shared" si="23"/>
        <v>13.606999999999999</v>
      </c>
    </row>
    <row r="341" spans="1:7" x14ac:dyDescent="0.25">
      <c r="A341">
        <v>8739.760629999917</v>
      </c>
      <c r="B341">
        <v>13.615</v>
      </c>
      <c r="D341">
        <f t="shared" si="20"/>
        <v>8739.760629999917</v>
      </c>
      <c r="E341">
        <f t="shared" si="21"/>
        <v>8739.75</v>
      </c>
      <c r="F341">
        <f t="shared" si="22"/>
        <v>8739.75</v>
      </c>
      <c r="G341">
        <f t="shared" si="23"/>
        <v>13.615</v>
      </c>
    </row>
    <row r="342" spans="1:7" x14ac:dyDescent="0.25">
      <c r="A342">
        <v>8740.3062800001353</v>
      </c>
      <c r="B342">
        <v>13.493</v>
      </c>
      <c r="D342">
        <f t="shared" si="20"/>
        <v>8740.3062800001353</v>
      </c>
      <c r="E342">
        <f t="shared" si="21"/>
        <v>8740.25</v>
      </c>
      <c r="F342">
        <f t="shared" si="22"/>
        <v>8740.25</v>
      </c>
      <c r="G342">
        <f t="shared" si="23"/>
        <v>13.493</v>
      </c>
    </row>
    <row r="343" spans="1:7" x14ac:dyDescent="0.25">
      <c r="A343">
        <v>8740.306599999778</v>
      </c>
      <c r="B343">
        <v>13.510999999999999</v>
      </c>
      <c r="D343">
        <f t="shared" si="20"/>
        <v>8740.306599999778</v>
      </c>
      <c r="E343">
        <f t="shared" si="21"/>
        <v>8740.25</v>
      </c>
      <c r="F343">
        <f t="shared" si="22"/>
        <v>8740.25</v>
      </c>
      <c r="G343">
        <f t="shared" si="23"/>
        <v>13.510999999999999</v>
      </c>
    </row>
    <row r="344" spans="1:7" x14ac:dyDescent="0.25">
      <c r="A344">
        <v>8744.3240200001746</v>
      </c>
      <c r="B344">
        <v>13.542</v>
      </c>
      <c r="D344">
        <f t="shared" si="20"/>
        <v>8744.3240200001746</v>
      </c>
      <c r="E344">
        <f t="shared" si="21"/>
        <v>8744.25</v>
      </c>
      <c r="F344">
        <f t="shared" si="22"/>
        <v>8744.25</v>
      </c>
      <c r="G344">
        <f t="shared" si="23"/>
        <v>13.542</v>
      </c>
    </row>
    <row r="345" spans="1:7" x14ac:dyDescent="0.25">
      <c r="A345">
        <v>8744.3243300002068</v>
      </c>
      <c r="B345">
        <v>13.557</v>
      </c>
      <c r="D345">
        <f t="shared" si="20"/>
        <v>8744.3243300002068</v>
      </c>
      <c r="E345">
        <f t="shared" si="21"/>
        <v>8744.25</v>
      </c>
      <c r="F345">
        <f t="shared" si="22"/>
        <v>8744.25</v>
      </c>
      <c r="G345">
        <f t="shared" si="23"/>
        <v>13.557</v>
      </c>
    </row>
    <row r="346" spans="1:7" x14ac:dyDescent="0.25">
      <c r="A346">
        <v>8745.3123400001787</v>
      </c>
      <c r="B346">
        <v>13.491</v>
      </c>
      <c r="D346">
        <f t="shared" si="20"/>
        <v>8745.3123400001787</v>
      </c>
      <c r="E346">
        <f t="shared" si="21"/>
        <v>8745.25</v>
      </c>
      <c r="F346">
        <f t="shared" si="22"/>
        <v>8745.25</v>
      </c>
      <c r="G346">
        <f t="shared" si="23"/>
        <v>13.491</v>
      </c>
    </row>
    <row r="347" spans="1:7" x14ac:dyDescent="0.25">
      <c r="A347">
        <v>8745.3126500002109</v>
      </c>
      <c r="B347">
        <v>13.528</v>
      </c>
      <c r="D347">
        <f t="shared" si="20"/>
        <v>8745.3126500002109</v>
      </c>
      <c r="E347">
        <f t="shared" si="21"/>
        <v>8745.25</v>
      </c>
      <c r="F347">
        <f t="shared" si="22"/>
        <v>8745.25</v>
      </c>
      <c r="G347">
        <f t="shared" si="23"/>
        <v>13.528</v>
      </c>
    </row>
    <row r="348" spans="1:7" x14ac:dyDescent="0.25">
      <c r="A348">
        <v>8747.2906300001778</v>
      </c>
      <c r="B348">
        <v>13.472</v>
      </c>
      <c r="D348">
        <f t="shared" si="20"/>
        <v>8747.2906300001778</v>
      </c>
      <c r="E348">
        <f t="shared" si="21"/>
        <v>8747.25</v>
      </c>
      <c r="F348">
        <f t="shared" si="22"/>
        <v>8747.25</v>
      </c>
      <c r="G348">
        <f t="shared" si="23"/>
        <v>13.472</v>
      </c>
    </row>
    <row r="349" spans="1:7" x14ac:dyDescent="0.25">
      <c r="A349">
        <v>8747.29094000021</v>
      </c>
      <c r="B349">
        <v>13.566000000000001</v>
      </c>
      <c r="D349">
        <f t="shared" si="20"/>
        <v>8747.29094000021</v>
      </c>
      <c r="E349">
        <f t="shared" si="21"/>
        <v>8747.25</v>
      </c>
      <c r="F349">
        <f t="shared" si="22"/>
        <v>8747.25</v>
      </c>
      <c r="G349">
        <f t="shared" si="23"/>
        <v>13.566000000000001</v>
      </c>
    </row>
    <row r="350" spans="1:7" x14ac:dyDescent="0.25">
      <c r="A350">
        <v>8747.6956299999729</v>
      </c>
      <c r="B350">
        <v>13.59</v>
      </c>
      <c r="D350">
        <f t="shared" si="20"/>
        <v>8747.6956299999729</v>
      </c>
      <c r="E350">
        <f t="shared" si="21"/>
        <v>8747.5</v>
      </c>
      <c r="F350">
        <f t="shared" si="22"/>
        <v>8747.5</v>
      </c>
      <c r="G350">
        <f t="shared" si="23"/>
        <v>13.59</v>
      </c>
    </row>
    <row r="351" spans="1:7" x14ac:dyDescent="0.25">
      <c r="A351">
        <v>8748.2513899998739</v>
      </c>
      <c r="B351">
        <v>13.53</v>
      </c>
      <c r="D351">
        <f t="shared" si="20"/>
        <v>8748.2513899998739</v>
      </c>
      <c r="E351">
        <f t="shared" si="21"/>
        <v>8748.25</v>
      </c>
      <c r="F351">
        <f t="shared" si="22"/>
        <v>8748.25</v>
      </c>
      <c r="G351">
        <f t="shared" si="23"/>
        <v>13.53</v>
      </c>
    </row>
    <row r="352" spans="1:7" x14ac:dyDescent="0.25">
      <c r="A352">
        <v>8759.3125700000674</v>
      </c>
      <c r="B352">
        <v>13.467000000000001</v>
      </c>
      <c r="D352">
        <f t="shared" si="20"/>
        <v>8759.3125700000674</v>
      </c>
      <c r="E352">
        <f t="shared" si="21"/>
        <v>8759.25</v>
      </c>
      <c r="F352">
        <f t="shared" si="22"/>
        <v>8759.25</v>
      </c>
      <c r="G352">
        <f t="shared" si="23"/>
        <v>13.467000000000001</v>
      </c>
    </row>
    <row r="353" spans="1:7" x14ac:dyDescent="0.25">
      <c r="A353">
        <v>8759.3128900001757</v>
      </c>
      <c r="B353">
        <v>13.432</v>
      </c>
      <c r="D353">
        <f t="shared" si="20"/>
        <v>8759.3128900001757</v>
      </c>
      <c r="E353">
        <f t="shared" si="21"/>
        <v>8759.25</v>
      </c>
      <c r="F353">
        <f t="shared" si="22"/>
        <v>8759.25</v>
      </c>
      <c r="G353">
        <f t="shared" si="23"/>
        <v>13.432</v>
      </c>
    </row>
    <row r="354" spans="1:7" x14ac:dyDescent="0.25">
      <c r="A354">
        <v>8761.2957899998873</v>
      </c>
      <c r="B354">
        <v>13.414999999999999</v>
      </c>
      <c r="D354">
        <f t="shared" si="20"/>
        <v>8761.2957899998873</v>
      </c>
      <c r="E354">
        <f t="shared" si="21"/>
        <v>8761.25</v>
      </c>
      <c r="F354">
        <f t="shared" si="22"/>
        <v>8761.25</v>
      </c>
      <c r="G354">
        <f t="shared" si="23"/>
        <v>13.414999999999999</v>
      </c>
    </row>
    <row r="355" spans="1:7" x14ac:dyDescent="0.25">
      <c r="A355">
        <v>8761.2961099999957</v>
      </c>
      <c r="B355">
        <v>13.481999999999999</v>
      </c>
      <c r="D355">
        <f t="shared" si="20"/>
        <v>8761.2961099999957</v>
      </c>
      <c r="E355">
        <f t="shared" si="21"/>
        <v>8761.25</v>
      </c>
      <c r="F355">
        <f t="shared" si="22"/>
        <v>8761.25</v>
      </c>
      <c r="G355">
        <f t="shared" si="23"/>
        <v>13.481999999999999</v>
      </c>
    </row>
    <row r="356" spans="1:7" x14ac:dyDescent="0.25">
      <c r="A356">
        <v>8762.6463399999775</v>
      </c>
      <c r="B356">
        <v>13.372999999999999</v>
      </c>
      <c r="D356">
        <f t="shared" si="20"/>
        <v>8762.6463399999775</v>
      </c>
      <c r="E356">
        <f t="shared" si="21"/>
        <v>8762.5</v>
      </c>
      <c r="F356">
        <f t="shared" si="22"/>
        <v>8762.5</v>
      </c>
      <c r="G356">
        <f t="shared" si="23"/>
        <v>13.372999999999999</v>
      </c>
    </row>
    <row r="357" spans="1:7" x14ac:dyDescent="0.25">
      <c r="A357">
        <v>8765.2634299998172</v>
      </c>
      <c r="B357">
        <v>13.412000000000001</v>
      </c>
      <c r="D357">
        <f t="shared" si="20"/>
        <v>8765.2634299998172</v>
      </c>
      <c r="E357">
        <f t="shared" si="21"/>
        <v>8765.25</v>
      </c>
      <c r="F357">
        <f t="shared" si="22"/>
        <v>8765.25</v>
      </c>
      <c r="G357">
        <f t="shared" si="23"/>
        <v>13.412000000000001</v>
      </c>
    </row>
    <row r="358" spans="1:7" x14ac:dyDescent="0.25">
      <c r="A358">
        <v>8765.2637399998493</v>
      </c>
      <c r="B358">
        <v>13.398999999999999</v>
      </c>
      <c r="D358">
        <f t="shared" si="20"/>
        <v>8765.2637399998493</v>
      </c>
      <c r="E358">
        <f t="shared" si="21"/>
        <v>8765.25</v>
      </c>
      <c r="F358">
        <f t="shared" si="22"/>
        <v>8765.25</v>
      </c>
      <c r="G358">
        <f t="shared" si="23"/>
        <v>13.398999999999999</v>
      </c>
    </row>
    <row r="359" spans="1:7" x14ac:dyDescent="0.25">
      <c r="A359">
        <v>8768.6958200000226</v>
      </c>
      <c r="B359">
        <v>13.304</v>
      </c>
      <c r="D359">
        <f t="shared" si="20"/>
        <v>8768.6958200000226</v>
      </c>
      <c r="E359">
        <f t="shared" si="21"/>
        <v>8768.5</v>
      </c>
      <c r="F359">
        <f t="shared" si="22"/>
        <v>8768.5</v>
      </c>
      <c r="G359">
        <f t="shared" si="23"/>
        <v>13.304</v>
      </c>
    </row>
    <row r="360" spans="1:7" x14ac:dyDescent="0.25">
      <c r="A360">
        <v>8773.6241500000469</v>
      </c>
      <c r="B360">
        <v>13.259</v>
      </c>
      <c r="D360">
        <f t="shared" si="20"/>
        <v>8773.6241500000469</v>
      </c>
      <c r="E360">
        <f t="shared" si="21"/>
        <v>8773.5</v>
      </c>
      <c r="F360">
        <f t="shared" si="22"/>
        <v>8773.5</v>
      </c>
      <c r="G360">
        <f t="shared" si="23"/>
        <v>13.259</v>
      </c>
    </row>
    <row r="361" spans="1:7" x14ac:dyDescent="0.25">
      <c r="A361">
        <v>8776.5971400002018</v>
      </c>
      <c r="B361">
        <v>13.260999999999999</v>
      </c>
      <c r="D361">
        <f t="shared" si="20"/>
        <v>8776.5971400002018</v>
      </c>
      <c r="E361">
        <f t="shared" si="21"/>
        <v>8776.5</v>
      </c>
      <c r="F361">
        <f t="shared" si="22"/>
        <v>8776.5</v>
      </c>
      <c r="G361">
        <f t="shared" si="23"/>
        <v>13.260999999999999</v>
      </c>
    </row>
    <row r="362" spans="1:7" x14ac:dyDescent="0.25">
      <c r="A362">
        <v>8780.5867400001734</v>
      </c>
      <c r="B362">
        <v>13.246</v>
      </c>
      <c r="D362">
        <f t="shared" si="20"/>
        <v>8780.5867400001734</v>
      </c>
      <c r="E362">
        <f t="shared" si="21"/>
        <v>8780.5</v>
      </c>
      <c r="F362">
        <f t="shared" si="22"/>
        <v>8780.5</v>
      </c>
      <c r="G362">
        <f t="shared" si="23"/>
        <v>13.246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0EBD4-E95A-4631-8344-B31BA9254B67}">
  <sheetPr codeName="Feuil14"/>
  <dimension ref="A1:D108"/>
  <sheetViews>
    <sheetView workbookViewId="0">
      <selection activeCell="H16" sqref="H16"/>
    </sheetView>
  </sheetViews>
  <sheetFormatPr baseColWidth="10" defaultRowHeight="15" x14ac:dyDescent="0.25"/>
  <cols>
    <col min="2" max="2" width="11.42578125" style="61"/>
  </cols>
  <sheetData>
    <row r="1" spans="1:4" x14ac:dyDescent="0.25">
      <c r="A1">
        <v>8341</v>
      </c>
      <c r="B1" s="61">
        <v>11.45</v>
      </c>
      <c r="D1">
        <f>+COUNTA(B:B)</f>
        <v>108</v>
      </c>
    </row>
    <row r="2" spans="1:4" x14ac:dyDescent="0.25">
      <c r="A2">
        <v>8343.5</v>
      </c>
      <c r="B2" s="61">
        <v>11.5412</v>
      </c>
    </row>
    <row r="3" spans="1:4" x14ac:dyDescent="0.25">
      <c r="A3">
        <v>8344.5</v>
      </c>
      <c r="B3" s="61">
        <v>11.542</v>
      </c>
    </row>
    <row r="4" spans="1:4" x14ac:dyDescent="0.25">
      <c r="A4">
        <v>8345.25</v>
      </c>
      <c r="B4" s="61">
        <v>11.42974193548387</v>
      </c>
    </row>
    <row r="5" spans="1:4" x14ac:dyDescent="0.25">
      <c r="A5">
        <v>8345.5</v>
      </c>
      <c r="B5" s="61">
        <v>11.456076923076923</v>
      </c>
    </row>
    <row r="6" spans="1:4" x14ac:dyDescent="0.25">
      <c r="A6">
        <v>8345.75</v>
      </c>
      <c r="B6" s="61">
        <v>11.504717948717948</v>
      </c>
    </row>
    <row r="7" spans="1:4" x14ac:dyDescent="0.25">
      <c r="A7">
        <v>8346.5</v>
      </c>
      <c r="B7" s="61">
        <v>11.537470588235294</v>
      </c>
    </row>
    <row r="8" spans="1:4" x14ac:dyDescent="0.25">
      <c r="A8">
        <v>8346.75</v>
      </c>
      <c r="B8" s="61">
        <v>11.552608695652173</v>
      </c>
    </row>
    <row r="9" spans="1:4" x14ac:dyDescent="0.25">
      <c r="A9">
        <v>8347.25</v>
      </c>
      <c r="B9" s="61">
        <v>11.503</v>
      </c>
    </row>
    <row r="10" spans="1:4" x14ac:dyDescent="0.25">
      <c r="A10">
        <v>8353.25</v>
      </c>
      <c r="B10" s="61">
        <v>11.564</v>
      </c>
    </row>
    <row r="11" spans="1:4" x14ac:dyDescent="0.25">
      <c r="A11">
        <v>8355.75</v>
      </c>
      <c r="B11" s="61">
        <v>11.609</v>
      </c>
    </row>
    <row r="12" spans="1:4" x14ac:dyDescent="0.25">
      <c r="A12">
        <v>8359.25</v>
      </c>
      <c r="B12" s="61">
        <v>11.692</v>
      </c>
    </row>
    <row r="13" spans="1:4" x14ac:dyDescent="0.25">
      <c r="A13">
        <v>8362.25</v>
      </c>
      <c r="B13" s="61">
        <v>11.797000000000001</v>
      </c>
    </row>
    <row r="14" spans="1:4" x14ac:dyDescent="0.25">
      <c r="A14">
        <v>8364.25</v>
      </c>
      <c r="B14" s="61">
        <v>11.820499999999999</v>
      </c>
    </row>
    <row r="15" spans="1:4" x14ac:dyDescent="0.25">
      <c r="A15">
        <v>8367.5</v>
      </c>
      <c r="B15" s="61">
        <v>11.828769230769229</v>
      </c>
    </row>
    <row r="16" spans="1:4" x14ac:dyDescent="0.25">
      <c r="A16">
        <v>8368.5</v>
      </c>
      <c r="B16" s="61">
        <v>11.973000000000001</v>
      </c>
    </row>
    <row r="17" spans="1:2" x14ac:dyDescent="0.25">
      <c r="A17">
        <v>8369.25</v>
      </c>
      <c r="B17" s="61">
        <v>11.9315</v>
      </c>
    </row>
    <row r="18" spans="1:2" x14ac:dyDescent="0.25">
      <c r="A18">
        <v>8370.25</v>
      </c>
      <c r="B18" s="61">
        <v>11.98</v>
      </c>
    </row>
    <row r="19" spans="1:2" x14ac:dyDescent="0.25">
      <c r="A19">
        <v>8375.25</v>
      </c>
      <c r="B19" s="61">
        <v>12.069666666666668</v>
      </c>
    </row>
    <row r="20" spans="1:2" x14ac:dyDescent="0.25">
      <c r="A20">
        <v>8376.25</v>
      </c>
      <c r="B20" s="61">
        <v>12.0945</v>
      </c>
    </row>
    <row r="21" spans="1:2" x14ac:dyDescent="0.25">
      <c r="A21">
        <v>8378.25</v>
      </c>
      <c r="B21" s="61">
        <v>12.088000000000001</v>
      </c>
    </row>
    <row r="22" spans="1:2" x14ac:dyDescent="0.25">
      <c r="A22">
        <v>8383.25</v>
      </c>
      <c r="B22" s="61">
        <v>12.137499999999999</v>
      </c>
    </row>
    <row r="23" spans="1:2" x14ac:dyDescent="0.25">
      <c r="A23">
        <v>8386.25</v>
      </c>
      <c r="B23" s="61">
        <v>12.1755</v>
      </c>
    </row>
    <row r="24" spans="1:2" x14ac:dyDescent="0.25">
      <c r="A24">
        <v>8388.25</v>
      </c>
      <c r="B24" s="61">
        <v>12.242333333333333</v>
      </c>
    </row>
    <row r="25" spans="1:2" x14ac:dyDescent="0.25">
      <c r="A25">
        <v>8389.25</v>
      </c>
      <c r="B25" s="61">
        <v>12.225999999999999</v>
      </c>
    </row>
    <row r="26" spans="1:2" x14ac:dyDescent="0.25">
      <c r="A26">
        <v>8389.5</v>
      </c>
      <c r="B26" s="61">
        <v>12.162000000000001</v>
      </c>
    </row>
    <row r="27" spans="1:2" x14ac:dyDescent="0.25">
      <c r="A27">
        <v>8390.25</v>
      </c>
      <c r="B27" s="61">
        <v>12.255000000000001</v>
      </c>
    </row>
    <row r="28" spans="1:2" x14ac:dyDescent="0.25">
      <c r="A28">
        <v>8395.5</v>
      </c>
      <c r="B28" s="61">
        <v>12.249000000000001</v>
      </c>
    </row>
    <row r="29" spans="1:2" x14ac:dyDescent="0.25">
      <c r="A29">
        <v>8401.25</v>
      </c>
      <c r="B29" s="61">
        <v>12.3535</v>
      </c>
    </row>
    <row r="30" spans="1:2" x14ac:dyDescent="0.25">
      <c r="A30">
        <v>8402.25</v>
      </c>
      <c r="B30" s="61">
        <v>12.379000000000001</v>
      </c>
    </row>
    <row r="31" spans="1:2" x14ac:dyDescent="0.25">
      <c r="A31">
        <v>8404.25</v>
      </c>
      <c r="B31" s="61">
        <v>12.384</v>
      </c>
    </row>
    <row r="32" spans="1:2" x14ac:dyDescent="0.25">
      <c r="A32">
        <v>8406.25</v>
      </c>
      <c r="B32" s="61">
        <v>12.394</v>
      </c>
    </row>
    <row r="33" spans="1:2" x14ac:dyDescent="0.25">
      <c r="A33">
        <v>8407.25</v>
      </c>
      <c r="B33" s="61">
        <v>12.408999999999999</v>
      </c>
    </row>
    <row r="34" spans="1:2" x14ac:dyDescent="0.25">
      <c r="A34">
        <v>8409.25</v>
      </c>
      <c r="B34" s="61">
        <v>12.3315</v>
      </c>
    </row>
    <row r="35" spans="1:2" x14ac:dyDescent="0.25">
      <c r="A35">
        <v>8411.25</v>
      </c>
      <c r="B35" s="61">
        <v>12.413</v>
      </c>
    </row>
    <row r="36" spans="1:2" x14ac:dyDescent="0.25">
      <c r="A36">
        <v>8415</v>
      </c>
      <c r="B36" s="61">
        <v>12.444500000000001</v>
      </c>
    </row>
    <row r="37" spans="1:2" x14ac:dyDescent="0.25">
      <c r="A37">
        <v>8420</v>
      </c>
      <c r="B37" s="61">
        <v>12.500499999999999</v>
      </c>
    </row>
    <row r="38" spans="1:2" x14ac:dyDescent="0.25">
      <c r="A38">
        <v>8420.5</v>
      </c>
      <c r="B38" s="61">
        <v>12.43</v>
      </c>
    </row>
    <row r="39" spans="1:2" x14ac:dyDescent="0.25">
      <c r="A39">
        <v>8423</v>
      </c>
      <c r="B39" s="61">
        <v>12.6</v>
      </c>
    </row>
    <row r="40" spans="1:2" x14ac:dyDescent="0.25">
      <c r="A40">
        <v>8425.25</v>
      </c>
      <c r="B40" s="61">
        <v>12.5665</v>
      </c>
    </row>
    <row r="41" spans="1:2" x14ac:dyDescent="0.25">
      <c r="A41">
        <v>8425.5</v>
      </c>
      <c r="B41" s="61">
        <v>12.435</v>
      </c>
    </row>
    <row r="42" spans="1:2" x14ac:dyDescent="0.25">
      <c r="A42">
        <v>8428.25</v>
      </c>
      <c r="B42" s="61">
        <v>12.574</v>
      </c>
    </row>
    <row r="43" spans="1:2" x14ac:dyDescent="0.25">
      <c r="A43">
        <v>8429.5</v>
      </c>
      <c r="B43" s="61">
        <v>12.515000000000001</v>
      </c>
    </row>
    <row r="44" spans="1:2" x14ac:dyDescent="0.25">
      <c r="A44">
        <v>8431</v>
      </c>
      <c r="B44" s="61">
        <v>12.622</v>
      </c>
    </row>
    <row r="45" spans="1:2" x14ac:dyDescent="0.25">
      <c r="A45">
        <v>8433</v>
      </c>
      <c r="B45" s="61">
        <v>12.613</v>
      </c>
    </row>
    <row r="46" spans="1:2" x14ac:dyDescent="0.25">
      <c r="A46">
        <v>8436.5</v>
      </c>
      <c r="B46" s="61">
        <v>12.577</v>
      </c>
    </row>
    <row r="47" spans="1:2" x14ac:dyDescent="0.25">
      <c r="A47">
        <v>8437.25</v>
      </c>
      <c r="B47" s="61">
        <v>12.731999999999999</v>
      </c>
    </row>
    <row r="48" spans="1:2" x14ac:dyDescent="0.25">
      <c r="A48">
        <v>8439</v>
      </c>
      <c r="B48" s="61">
        <v>12.75</v>
      </c>
    </row>
    <row r="49" spans="1:2" x14ac:dyDescent="0.25">
      <c r="A49">
        <v>8440.25</v>
      </c>
      <c r="B49" s="61">
        <v>12.821000000000002</v>
      </c>
    </row>
    <row r="50" spans="1:2" x14ac:dyDescent="0.25">
      <c r="A50">
        <v>8442.5</v>
      </c>
      <c r="B50" s="61">
        <v>12.583</v>
      </c>
    </row>
    <row r="51" spans="1:2" x14ac:dyDescent="0.25">
      <c r="A51">
        <v>8453</v>
      </c>
      <c r="B51" s="61">
        <v>12.9435</v>
      </c>
    </row>
    <row r="52" spans="1:2" x14ac:dyDescent="0.25">
      <c r="A52">
        <v>8462</v>
      </c>
      <c r="B52" s="61">
        <v>12.9925</v>
      </c>
    </row>
    <row r="53" spans="1:2" x14ac:dyDescent="0.25">
      <c r="A53">
        <v>8464.25</v>
      </c>
      <c r="B53" s="61">
        <v>12.9885</v>
      </c>
    </row>
    <row r="54" spans="1:2" x14ac:dyDescent="0.25">
      <c r="A54">
        <v>8478.25</v>
      </c>
      <c r="B54" s="61">
        <v>13.2035</v>
      </c>
    </row>
    <row r="55" spans="1:2" x14ac:dyDescent="0.25">
      <c r="A55">
        <v>8479</v>
      </c>
      <c r="B55" s="61">
        <v>13.145499999999998</v>
      </c>
    </row>
    <row r="56" spans="1:2" x14ac:dyDescent="0.25">
      <c r="A56">
        <v>8487</v>
      </c>
      <c r="B56" s="61">
        <v>13.206</v>
      </c>
    </row>
    <row r="57" spans="1:2" x14ac:dyDescent="0.25">
      <c r="A57">
        <v>8577.5</v>
      </c>
      <c r="B57" s="61">
        <v>13.7135</v>
      </c>
    </row>
    <row r="58" spans="1:2" x14ac:dyDescent="0.25">
      <c r="A58">
        <v>8597.5</v>
      </c>
      <c r="B58" s="61">
        <v>13.929</v>
      </c>
    </row>
    <row r="59" spans="1:2" x14ac:dyDescent="0.25">
      <c r="A59">
        <v>8643.25</v>
      </c>
      <c r="B59" s="61">
        <v>14.054</v>
      </c>
    </row>
    <row r="60" spans="1:2" x14ac:dyDescent="0.25">
      <c r="A60">
        <v>8649.75</v>
      </c>
      <c r="B60" s="61">
        <v>13.914999999999999</v>
      </c>
    </row>
    <row r="61" spans="1:2" x14ac:dyDescent="0.25">
      <c r="A61">
        <v>8654.5</v>
      </c>
      <c r="B61" s="61">
        <v>13.852</v>
      </c>
    </row>
    <row r="62" spans="1:2" x14ac:dyDescent="0.25">
      <c r="A62">
        <v>8663.25</v>
      </c>
      <c r="B62" s="61">
        <v>13.853999999999999</v>
      </c>
    </row>
    <row r="63" spans="1:2" x14ac:dyDescent="0.25">
      <c r="A63">
        <v>8664.25</v>
      </c>
      <c r="B63" s="61">
        <v>13.87</v>
      </c>
    </row>
    <row r="64" spans="1:2" x14ac:dyDescent="0.25">
      <c r="A64">
        <v>8665.75</v>
      </c>
      <c r="B64" s="61">
        <v>13.835000000000001</v>
      </c>
    </row>
    <row r="65" spans="1:2" x14ac:dyDescent="0.25">
      <c r="A65">
        <v>8672.25</v>
      </c>
      <c r="B65" s="61">
        <v>13.8825</v>
      </c>
    </row>
    <row r="66" spans="1:2" x14ac:dyDescent="0.25">
      <c r="A66">
        <v>8677.5</v>
      </c>
      <c r="B66" s="61">
        <v>13.827999999999999</v>
      </c>
    </row>
    <row r="67" spans="1:2" x14ac:dyDescent="0.25">
      <c r="A67">
        <v>8681.25</v>
      </c>
      <c r="B67" s="61">
        <v>13.9025</v>
      </c>
    </row>
    <row r="68" spans="1:2" x14ac:dyDescent="0.25">
      <c r="A68">
        <v>8685.25</v>
      </c>
      <c r="B68" s="61">
        <v>13.8445</v>
      </c>
    </row>
    <row r="69" spans="1:2" x14ac:dyDescent="0.25">
      <c r="A69">
        <v>8685.5</v>
      </c>
      <c r="B69" s="61">
        <v>13.766999999999999</v>
      </c>
    </row>
    <row r="70" spans="1:2" x14ac:dyDescent="0.25">
      <c r="A70">
        <v>8687.25</v>
      </c>
      <c r="B70" s="61">
        <v>13.786999999999999</v>
      </c>
    </row>
    <row r="71" spans="1:2" x14ac:dyDescent="0.25">
      <c r="A71">
        <v>8688.25</v>
      </c>
      <c r="B71" s="61">
        <v>13.848500000000001</v>
      </c>
    </row>
    <row r="72" spans="1:2" x14ac:dyDescent="0.25">
      <c r="A72">
        <v>8690.5</v>
      </c>
      <c r="B72" s="61">
        <v>13.8</v>
      </c>
    </row>
    <row r="73" spans="1:2" x14ac:dyDescent="0.25">
      <c r="A73">
        <v>8693.25</v>
      </c>
      <c r="B73" s="61">
        <v>13.760999999999999</v>
      </c>
    </row>
    <row r="74" spans="1:2" x14ac:dyDescent="0.25">
      <c r="A74">
        <v>8694.25</v>
      </c>
      <c r="B74" s="61">
        <v>13.745000000000001</v>
      </c>
    </row>
    <row r="75" spans="1:2" x14ac:dyDescent="0.25">
      <c r="A75">
        <v>8697.25</v>
      </c>
      <c r="B75" s="61">
        <v>13.727499999999999</v>
      </c>
    </row>
    <row r="76" spans="1:2" x14ac:dyDescent="0.25">
      <c r="A76">
        <v>8698.25</v>
      </c>
      <c r="B76" s="61">
        <v>13.780000000000001</v>
      </c>
    </row>
    <row r="77" spans="1:2" x14ac:dyDescent="0.25">
      <c r="A77">
        <v>8699.25</v>
      </c>
      <c r="B77" s="61">
        <v>13.787500000000001</v>
      </c>
    </row>
    <row r="78" spans="1:2" x14ac:dyDescent="0.25">
      <c r="A78">
        <v>8703.25</v>
      </c>
      <c r="B78" s="61">
        <v>13.714500000000001</v>
      </c>
    </row>
    <row r="79" spans="1:2" x14ac:dyDescent="0.25">
      <c r="A79">
        <v>8706.25</v>
      </c>
      <c r="B79" s="61">
        <v>13.701000000000001</v>
      </c>
    </row>
    <row r="80" spans="1:2" x14ac:dyDescent="0.25">
      <c r="A80">
        <v>8707.5</v>
      </c>
      <c r="B80" s="61">
        <v>13.601000000000001</v>
      </c>
    </row>
    <row r="81" spans="1:2" x14ac:dyDescent="0.25">
      <c r="A81">
        <v>8708.25</v>
      </c>
      <c r="B81" s="61">
        <v>13.673</v>
      </c>
    </row>
    <row r="82" spans="1:2" x14ac:dyDescent="0.25">
      <c r="A82">
        <v>8714.25</v>
      </c>
      <c r="B82" s="61">
        <v>13.676</v>
      </c>
    </row>
    <row r="83" spans="1:2" x14ac:dyDescent="0.25">
      <c r="A83">
        <v>8715.25</v>
      </c>
      <c r="B83" s="61">
        <v>13.6785</v>
      </c>
    </row>
    <row r="84" spans="1:2" x14ac:dyDescent="0.25">
      <c r="A84">
        <v>8716.25</v>
      </c>
      <c r="B84" s="61">
        <v>13.66</v>
      </c>
    </row>
    <row r="85" spans="1:2" x14ac:dyDescent="0.25">
      <c r="A85">
        <v>8717.25</v>
      </c>
      <c r="B85" s="61">
        <v>13.651</v>
      </c>
    </row>
    <row r="86" spans="1:2" x14ac:dyDescent="0.25">
      <c r="A86">
        <v>8720.25</v>
      </c>
      <c r="B86" s="61">
        <v>13.672499999999999</v>
      </c>
    </row>
    <row r="87" spans="1:2" x14ac:dyDescent="0.25">
      <c r="A87">
        <v>8721.5</v>
      </c>
      <c r="B87" s="61">
        <v>13.603999999999999</v>
      </c>
    </row>
    <row r="88" spans="1:2" x14ac:dyDescent="0.25">
      <c r="A88">
        <v>8722.25</v>
      </c>
      <c r="B88" s="61">
        <v>13.64</v>
      </c>
    </row>
    <row r="89" spans="1:2" x14ac:dyDescent="0.25">
      <c r="A89">
        <v>8726.25</v>
      </c>
      <c r="B89" s="61">
        <v>13.613</v>
      </c>
    </row>
    <row r="90" spans="1:2" x14ac:dyDescent="0.25">
      <c r="A90">
        <v>8727.75</v>
      </c>
      <c r="B90" s="61">
        <v>13.603</v>
      </c>
    </row>
    <row r="91" spans="1:2" x14ac:dyDescent="0.25">
      <c r="A91">
        <v>8728.25</v>
      </c>
      <c r="B91" s="61">
        <v>13.685500000000001</v>
      </c>
    </row>
    <row r="92" spans="1:2" x14ac:dyDescent="0.25">
      <c r="A92">
        <v>8731.25</v>
      </c>
      <c r="B92" s="61">
        <v>13.579499999999999</v>
      </c>
    </row>
    <row r="93" spans="1:2" x14ac:dyDescent="0.25">
      <c r="A93">
        <v>8739.5</v>
      </c>
      <c r="B93" s="61">
        <v>13.611000000000001</v>
      </c>
    </row>
    <row r="94" spans="1:2" x14ac:dyDescent="0.25">
      <c r="A94">
        <v>8739.75</v>
      </c>
      <c r="B94" s="61">
        <v>13.615</v>
      </c>
    </row>
    <row r="95" spans="1:2" x14ac:dyDescent="0.25">
      <c r="A95">
        <v>8740.25</v>
      </c>
      <c r="B95" s="61">
        <v>13.501999999999999</v>
      </c>
    </row>
    <row r="96" spans="1:2" x14ac:dyDescent="0.25">
      <c r="A96">
        <v>8744.25</v>
      </c>
      <c r="B96" s="61">
        <v>13.5495</v>
      </c>
    </row>
    <row r="97" spans="1:2" x14ac:dyDescent="0.25">
      <c r="A97">
        <v>8745.25</v>
      </c>
      <c r="B97" s="61">
        <v>13.509499999999999</v>
      </c>
    </row>
    <row r="98" spans="1:2" x14ac:dyDescent="0.25">
      <c r="A98">
        <v>8747.25</v>
      </c>
      <c r="B98" s="61">
        <v>13.519</v>
      </c>
    </row>
    <row r="99" spans="1:2" x14ac:dyDescent="0.25">
      <c r="A99">
        <v>8747.5</v>
      </c>
      <c r="B99" s="61">
        <v>13.59</v>
      </c>
    </row>
    <row r="100" spans="1:2" x14ac:dyDescent="0.25">
      <c r="A100">
        <v>8748.25</v>
      </c>
      <c r="B100" s="61">
        <v>13.53</v>
      </c>
    </row>
    <row r="101" spans="1:2" x14ac:dyDescent="0.25">
      <c r="A101">
        <v>8759.25</v>
      </c>
      <c r="B101" s="61">
        <v>13.4495</v>
      </c>
    </row>
    <row r="102" spans="1:2" x14ac:dyDescent="0.25">
      <c r="A102">
        <v>8761.25</v>
      </c>
      <c r="B102" s="61">
        <v>13.448499999999999</v>
      </c>
    </row>
    <row r="103" spans="1:2" x14ac:dyDescent="0.25">
      <c r="A103">
        <v>8762.5</v>
      </c>
      <c r="B103" s="61">
        <v>13.372999999999999</v>
      </c>
    </row>
    <row r="104" spans="1:2" x14ac:dyDescent="0.25">
      <c r="A104">
        <v>8765.25</v>
      </c>
      <c r="B104" s="61">
        <v>13.4055</v>
      </c>
    </row>
    <row r="105" spans="1:2" x14ac:dyDescent="0.25">
      <c r="A105">
        <v>8768.5</v>
      </c>
      <c r="B105" s="61">
        <v>13.304</v>
      </c>
    </row>
    <row r="106" spans="1:2" x14ac:dyDescent="0.25">
      <c r="A106">
        <v>8773.5</v>
      </c>
      <c r="B106" s="61">
        <v>13.259</v>
      </c>
    </row>
    <row r="107" spans="1:2" x14ac:dyDescent="0.25">
      <c r="A107">
        <v>8776.5</v>
      </c>
      <c r="B107" s="61">
        <v>13.260999999999999</v>
      </c>
    </row>
    <row r="108" spans="1:2" x14ac:dyDescent="0.25">
      <c r="A108">
        <v>8780.5</v>
      </c>
      <c r="B108" s="61">
        <v>13.246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B1:P38"/>
  <sheetViews>
    <sheetView showGridLines="0" topLeftCell="B19" workbookViewId="0">
      <selection activeCell="J22" sqref="J22"/>
    </sheetView>
  </sheetViews>
  <sheetFormatPr baseColWidth="10" defaultRowHeight="15" x14ac:dyDescent="0.25"/>
  <cols>
    <col min="3" max="3" width="11.85546875" bestFit="1" customWidth="1"/>
    <col min="5" max="5" width="7" bestFit="1" customWidth="1"/>
    <col min="7" max="7" width="14" customWidth="1"/>
  </cols>
  <sheetData>
    <row r="1" spans="2:16" x14ac:dyDescent="0.25">
      <c r="P1" t="s">
        <v>8</v>
      </c>
    </row>
    <row r="2" spans="2:16" x14ac:dyDescent="0.25">
      <c r="P2" t="s">
        <v>9</v>
      </c>
    </row>
    <row r="3" spans="2:16" x14ac:dyDescent="0.25">
      <c r="C3" s="2"/>
      <c r="D3" s="2" t="s">
        <v>10</v>
      </c>
      <c r="E3" s="2" t="s">
        <v>6</v>
      </c>
      <c r="F3" s="2" t="s">
        <v>74</v>
      </c>
      <c r="G3" s="2"/>
      <c r="H3" s="2"/>
      <c r="I3" s="2"/>
      <c r="J3" s="2"/>
      <c r="K3" s="2"/>
      <c r="L3" s="2"/>
      <c r="P3" t="s">
        <v>11</v>
      </c>
    </row>
    <row r="4" spans="2:16" x14ac:dyDescent="0.25">
      <c r="C4" s="2"/>
      <c r="D4" s="2" t="s">
        <v>12</v>
      </c>
      <c r="E4" s="2" t="str">
        <f>CONCATENATE("D:\SymbioticStudies\" &amp; E5&amp;F3)</f>
        <v>D:\SymbioticStudies\AGPeg\2016</v>
      </c>
      <c r="F4" s="2"/>
      <c r="G4" s="2"/>
      <c r="H4" s="2" t="str">
        <f>+CONCATENATE("D:\SITEWEB\SymbioticStars\Studies\" &amp; E5)</f>
        <v>D:\SITEWEB\SymbioticStars\Studies\AGPeg</v>
      </c>
      <c r="I4" s="2"/>
      <c r="J4" s="2"/>
      <c r="K4" s="2"/>
      <c r="L4" s="2"/>
      <c r="P4" t="s">
        <v>13</v>
      </c>
    </row>
    <row r="5" spans="2:16" x14ac:dyDescent="0.25">
      <c r="C5" s="2"/>
      <c r="D5" s="2" t="s">
        <v>14</v>
      </c>
      <c r="E5" s="2" t="str">
        <f>+SUBSTITUTE(E3," ","")</f>
        <v>AGPeg</v>
      </c>
      <c r="F5" s="2"/>
      <c r="G5" s="2"/>
      <c r="H5" s="2"/>
      <c r="I5" s="2"/>
      <c r="J5" s="2"/>
      <c r="K5" s="2"/>
      <c r="L5" s="2"/>
      <c r="P5" t="s">
        <v>15</v>
      </c>
    </row>
    <row r="6" spans="2:16" x14ac:dyDescent="0.25">
      <c r="P6" t="s">
        <v>16</v>
      </c>
    </row>
    <row r="7" spans="2:16" x14ac:dyDescent="0.25">
      <c r="C7" s="3" t="s">
        <v>17</v>
      </c>
      <c r="D7" s="3">
        <v>818.2</v>
      </c>
      <c r="F7" s="2" t="s">
        <v>18</v>
      </c>
      <c r="G7" s="2">
        <f>+VLOOKUP($J$9,$B$16:$G$37,5)</f>
        <v>10</v>
      </c>
      <c r="H7" s="2"/>
      <c r="P7" t="s">
        <v>19</v>
      </c>
    </row>
    <row r="8" spans="2:16" x14ac:dyDescent="0.25">
      <c r="C8" s="3" t="s">
        <v>20</v>
      </c>
      <c r="D8" s="3">
        <v>2450804</v>
      </c>
      <c r="F8" s="2" t="s">
        <v>21</v>
      </c>
      <c r="G8" s="2">
        <v>500</v>
      </c>
      <c r="H8" s="2" t="s">
        <v>22</v>
      </c>
      <c r="P8" t="s">
        <v>23</v>
      </c>
    </row>
    <row r="9" spans="2:16" x14ac:dyDescent="0.25">
      <c r="C9" s="3" t="s">
        <v>24</v>
      </c>
      <c r="D9" s="3">
        <v>-15.9</v>
      </c>
      <c r="F9" s="2" t="s">
        <v>25</v>
      </c>
      <c r="G9" s="2">
        <f>+G8/2</f>
        <v>250</v>
      </c>
      <c r="H9" s="2"/>
      <c r="J9">
        <v>10</v>
      </c>
      <c r="P9" t="s">
        <v>26</v>
      </c>
    </row>
    <row r="10" spans="2:16" x14ac:dyDescent="0.25">
      <c r="F10" s="2" t="s">
        <v>27</v>
      </c>
      <c r="G10" s="2">
        <f>+VLOOKUP($J$9,$B$16:$G$37,6)</f>
        <v>3</v>
      </c>
      <c r="H10" s="2"/>
      <c r="P10" t="s">
        <v>28</v>
      </c>
    </row>
    <row r="11" spans="2:16" x14ac:dyDescent="0.25">
      <c r="C11" s="2" t="s">
        <v>29</v>
      </c>
      <c r="D11" s="2">
        <v>250</v>
      </c>
      <c r="F11" s="2" t="s">
        <v>30</v>
      </c>
      <c r="G11" s="2"/>
      <c r="H11" s="2"/>
      <c r="P11" t="s">
        <v>31</v>
      </c>
    </row>
    <row r="12" spans="2:16" x14ac:dyDescent="0.25">
      <c r="C12" s="2" t="s">
        <v>32</v>
      </c>
      <c r="D12" s="2">
        <v>450</v>
      </c>
      <c r="F12" s="2" t="s">
        <v>33</v>
      </c>
      <c r="G12" s="2">
        <f>+VLOOKUP($J$9,$B$16:$H$37,7)</f>
        <v>130</v>
      </c>
      <c r="H12" s="2"/>
      <c r="P12" t="s">
        <v>34</v>
      </c>
    </row>
    <row r="13" spans="2:16" x14ac:dyDescent="0.25">
      <c r="C13" s="2" t="s">
        <v>35</v>
      </c>
      <c r="D13" s="4" t="str">
        <f>+VLOOKUP([3]Feuil1!A1,[3]Feuil1!A3:B6,2)</f>
        <v>b</v>
      </c>
      <c r="F13" s="2" t="s">
        <v>36</v>
      </c>
      <c r="G13" s="5">
        <f>+VLOOKUP($J$9,$B$16:$H$37,4)</f>
        <v>4685.68</v>
      </c>
      <c r="H13" s="2"/>
      <c r="P13" t="s">
        <v>37</v>
      </c>
    </row>
    <row r="14" spans="2:16" x14ac:dyDescent="0.25">
      <c r="F14" s="2" t="s">
        <v>38</v>
      </c>
      <c r="G14" s="6" t="str">
        <f>+VLOOKUP($J$9,$B$16:$H$37,2)</f>
        <v>He II 4686</v>
      </c>
      <c r="H14" s="2"/>
      <c r="P14" t="s">
        <v>39</v>
      </c>
    </row>
    <row r="15" spans="2:16" x14ac:dyDescent="0.25">
      <c r="F15" s="7" t="s">
        <v>18</v>
      </c>
      <c r="G15" s="7" t="s">
        <v>27</v>
      </c>
      <c r="H15" s="7"/>
      <c r="P15" t="s">
        <v>40</v>
      </c>
    </row>
    <row r="16" spans="2:16" x14ac:dyDescent="0.25">
      <c r="B16" s="8">
        <v>1</v>
      </c>
      <c r="C16" s="8" t="str">
        <f>+CONCATENATE(D16 &amp; " " &amp; ROUND( E16,0))</f>
        <v>Ha 6563</v>
      </c>
      <c r="D16" t="s">
        <v>41</v>
      </c>
      <c r="E16">
        <v>6562.82</v>
      </c>
      <c r="F16" s="7">
        <v>10</v>
      </c>
      <c r="G16" s="7">
        <v>2</v>
      </c>
      <c r="H16" s="7">
        <v>120</v>
      </c>
      <c r="P16" t="s">
        <v>42</v>
      </c>
    </row>
    <row r="17" spans="2:16" x14ac:dyDescent="0.25">
      <c r="B17" s="8">
        <v>2</v>
      </c>
      <c r="C17" s="8" t="str">
        <f t="shared" ref="C17:C34" si="0">+CONCATENATE(D17 &amp; " " &amp; ROUND( E17,0))</f>
        <v>Hb 4861</v>
      </c>
      <c r="D17" t="s">
        <v>43</v>
      </c>
      <c r="E17">
        <v>4861.34</v>
      </c>
      <c r="F17" s="7">
        <v>10</v>
      </c>
      <c r="G17" s="7">
        <v>3</v>
      </c>
      <c r="H17" s="7">
        <v>130</v>
      </c>
      <c r="P17" t="s">
        <v>44</v>
      </c>
    </row>
    <row r="18" spans="2:16" x14ac:dyDescent="0.25">
      <c r="B18">
        <v>3</v>
      </c>
      <c r="C18" t="str">
        <f t="shared" si="0"/>
        <v>Hg 4340</v>
      </c>
      <c r="D18" t="s">
        <v>45</v>
      </c>
      <c r="E18">
        <v>4340</v>
      </c>
      <c r="F18" s="7">
        <v>1</v>
      </c>
      <c r="G18" s="7">
        <v>3</v>
      </c>
      <c r="H18" s="7">
        <v>25</v>
      </c>
      <c r="P18" t="s">
        <v>46</v>
      </c>
    </row>
    <row r="19" spans="2:16" x14ac:dyDescent="0.25">
      <c r="B19">
        <v>4</v>
      </c>
      <c r="C19" t="str">
        <f t="shared" si="0"/>
        <v>[OI] 6300</v>
      </c>
      <c r="D19" t="s">
        <v>47</v>
      </c>
      <c r="E19">
        <v>6300.32</v>
      </c>
      <c r="F19" s="7">
        <v>1</v>
      </c>
      <c r="G19" s="7">
        <v>0.5</v>
      </c>
      <c r="H19" s="7">
        <v>22</v>
      </c>
      <c r="P19" t="s">
        <v>48</v>
      </c>
    </row>
    <row r="20" spans="2:16" x14ac:dyDescent="0.25">
      <c r="B20">
        <v>5</v>
      </c>
      <c r="C20" t="str">
        <f t="shared" si="0"/>
        <v>[OI] 6363</v>
      </c>
      <c r="D20" t="s">
        <v>47</v>
      </c>
      <c r="E20">
        <v>6363</v>
      </c>
      <c r="F20" s="7"/>
      <c r="G20" s="7"/>
      <c r="H20" s="7"/>
      <c r="P20" t="s">
        <v>49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50</v>
      </c>
      <c r="E21">
        <v>5015.68</v>
      </c>
      <c r="F21" s="7">
        <v>1</v>
      </c>
      <c r="G21" s="7">
        <v>0.5</v>
      </c>
      <c r="H21" s="7">
        <v>25</v>
      </c>
      <c r="P21" t="s">
        <v>51</v>
      </c>
    </row>
    <row r="22" spans="2:16" x14ac:dyDescent="0.25">
      <c r="B22" s="8">
        <v>7</v>
      </c>
      <c r="C22" s="8" t="str">
        <f t="shared" si="0"/>
        <v>He I 5876</v>
      </c>
      <c r="D22" t="s">
        <v>50</v>
      </c>
      <c r="E22">
        <v>5875.65</v>
      </c>
      <c r="F22" s="7">
        <v>2</v>
      </c>
      <c r="G22" s="7">
        <v>0.5</v>
      </c>
      <c r="H22" s="7">
        <v>28</v>
      </c>
      <c r="P22" t="s">
        <v>52</v>
      </c>
    </row>
    <row r="23" spans="2:16" x14ac:dyDescent="0.25">
      <c r="B23">
        <v>8</v>
      </c>
      <c r="C23" t="str">
        <f t="shared" si="0"/>
        <v>He I 6678</v>
      </c>
      <c r="D23" t="s">
        <v>50</v>
      </c>
      <c r="E23">
        <v>6678.15</v>
      </c>
      <c r="F23" s="7">
        <v>1</v>
      </c>
      <c r="G23" s="7">
        <v>0.5</v>
      </c>
      <c r="H23" s="7">
        <v>15</v>
      </c>
      <c r="P23" t="s">
        <v>53</v>
      </c>
    </row>
    <row r="24" spans="2:16" x14ac:dyDescent="0.25">
      <c r="B24">
        <v>9</v>
      </c>
      <c r="C24" t="str">
        <f t="shared" si="0"/>
        <v>He I 7065</v>
      </c>
      <c r="D24" t="s">
        <v>50</v>
      </c>
      <c r="E24">
        <v>7065</v>
      </c>
      <c r="F24" s="7"/>
      <c r="G24" s="7"/>
      <c r="H24" s="7"/>
      <c r="P24" t="s">
        <v>54</v>
      </c>
    </row>
    <row r="25" spans="2:16" x14ac:dyDescent="0.25">
      <c r="B25">
        <v>10</v>
      </c>
      <c r="C25" t="str">
        <f t="shared" si="0"/>
        <v>He II 4686</v>
      </c>
      <c r="D25" t="s">
        <v>55</v>
      </c>
      <c r="E25">
        <v>4685.68</v>
      </c>
      <c r="F25" s="7">
        <v>10</v>
      </c>
      <c r="G25" s="7">
        <v>3</v>
      </c>
      <c r="H25" s="7">
        <v>130</v>
      </c>
      <c r="P25" t="s">
        <v>56</v>
      </c>
    </row>
    <row r="26" spans="2:16" x14ac:dyDescent="0.25">
      <c r="B26">
        <v>11</v>
      </c>
      <c r="C26" t="str">
        <f t="shared" si="0"/>
        <v>[O III] 5007</v>
      </c>
      <c r="D26" t="s">
        <v>57</v>
      </c>
      <c r="E26">
        <v>5006.84</v>
      </c>
      <c r="F26" s="7">
        <v>1</v>
      </c>
      <c r="G26" s="7">
        <v>0.5</v>
      </c>
      <c r="H26" s="7">
        <v>25</v>
      </c>
      <c r="P26" t="s">
        <v>58</v>
      </c>
    </row>
    <row r="27" spans="2:16" x14ac:dyDescent="0.25">
      <c r="B27">
        <v>12</v>
      </c>
      <c r="C27" t="str">
        <f t="shared" si="0"/>
        <v>[O III] 4959</v>
      </c>
      <c r="D27" t="s">
        <v>57</v>
      </c>
      <c r="E27">
        <v>4959</v>
      </c>
      <c r="F27" s="7"/>
      <c r="G27" s="7"/>
      <c r="H27" s="7"/>
      <c r="P27" t="s">
        <v>59</v>
      </c>
    </row>
    <row r="28" spans="2:16" x14ac:dyDescent="0.25">
      <c r="B28">
        <v>13</v>
      </c>
      <c r="C28" t="str">
        <f t="shared" si="0"/>
        <v>[O III] 4363</v>
      </c>
      <c r="D28" t="s">
        <v>57</v>
      </c>
      <c r="E28">
        <v>4363</v>
      </c>
      <c r="F28" s="7">
        <v>1</v>
      </c>
      <c r="G28" s="7">
        <v>0.5</v>
      </c>
      <c r="H28" s="7">
        <v>20</v>
      </c>
      <c r="P28" t="s">
        <v>60</v>
      </c>
    </row>
    <row r="29" spans="2:16" x14ac:dyDescent="0.25">
      <c r="B29">
        <v>14</v>
      </c>
      <c r="C29" t="str">
        <f t="shared" si="0"/>
        <v>Fe II 4924</v>
      </c>
      <c r="D29" t="s">
        <v>61</v>
      </c>
      <c r="E29">
        <v>4923.92</v>
      </c>
      <c r="F29" s="7">
        <v>1</v>
      </c>
      <c r="G29" s="7">
        <v>1</v>
      </c>
      <c r="H29" s="7">
        <v>25</v>
      </c>
      <c r="P29" t="s">
        <v>62</v>
      </c>
    </row>
    <row r="30" spans="2:16" x14ac:dyDescent="0.25">
      <c r="B30">
        <v>15</v>
      </c>
      <c r="C30" t="str">
        <f t="shared" si="0"/>
        <v>Fe II 5018</v>
      </c>
      <c r="D30" t="s">
        <v>61</v>
      </c>
      <c r="E30">
        <v>5018.43</v>
      </c>
      <c r="F30" s="7">
        <v>2</v>
      </c>
      <c r="G30" s="7">
        <v>1</v>
      </c>
      <c r="H30" s="7">
        <v>40</v>
      </c>
      <c r="P30" t="s">
        <v>63</v>
      </c>
    </row>
    <row r="31" spans="2:16" x14ac:dyDescent="0.25">
      <c r="B31">
        <v>16</v>
      </c>
      <c r="C31" t="str">
        <f t="shared" si="0"/>
        <v>NaI D 5890</v>
      </c>
      <c r="D31" t="s">
        <v>75</v>
      </c>
      <c r="E31">
        <v>5889.95</v>
      </c>
      <c r="F31" s="7">
        <v>0.01</v>
      </c>
      <c r="G31" s="7">
        <v>1</v>
      </c>
      <c r="H31" s="7">
        <v>2</v>
      </c>
      <c r="P31" t="s">
        <v>64</v>
      </c>
    </row>
    <row r="32" spans="2:16" x14ac:dyDescent="0.25">
      <c r="B32">
        <v>17</v>
      </c>
      <c r="C32" t="s">
        <v>7</v>
      </c>
      <c r="E32">
        <v>5018.43</v>
      </c>
      <c r="F32" s="7"/>
      <c r="G32" s="7"/>
      <c r="H32" s="7"/>
      <c r="P32" t="s">
        <v>65</v>
      </c>
    </row>
    <row r="33" spans="2:16" x14ac:dyDescent="0.25">
      <c r="B33">
        <v>18</v>
      </c>
      <c r="C33" t="str">
        <f t="shared" si="0"/>
        <v>[Fe VII] 6087</v>
      </c>
      <c r="D33" t="s">
        <v>66</v>
      </c>
      <c r="E33">
        <v>6087</v>
      </c>
      <c r="F33" s="7">
        <v>1</v>
      </c>
      <c r="G33" s="7">
        <v>0.5</v>
      </c>
      <c r="H33" s="7">
        <v>12</v>
      </c>
      <c r="P33" t="s">
        <v>67</v>
      </c>
    </row>
    <row r="34" spans="2:16" x14ac:dyDescent="0.25">
      <c r="B34">
        <v>19</v>
      </c>
      <c r="C34" t="str">
        <f t="shared" si="0"/>
        <v>[Fe VII] 5721</v>
      </c>
      <c r="D34" t="s">
        <v>66</v>
      </c>
      <c r="E34">
        <v>5721</v>
      </c>
      <c r="F34" s="7">
        <v>2</v>
      </c>
      <c r="G34" s="7">
        <v>1</v>
      </c>
      <c r="H34" s="7">
        <v>40</v>
      </c>
      <c r="P34" t="s">
        <v>68</v>
      </c>
    </row>
    <row r="35" spans="2:16" x14ac:dyDescent="0.25">
      <c r="B35">
        <v>20</v>
      </c>
      <c r="C35" t="s">
        <v>7</v>
      </c>
      <c r="D35" t="s">
        <v>66</v>
      </c>
      <c r="P35" t="s">
        <v>69</v>
      </c>
    </row>
    <row r="36" spans="2:16" x14ac:dyDescent="0.25">
      <c r="B36">
        <v>21</v>
      </c>
      <c r="C36" t="s">
        <v>70</v>
      </c>
      <c r="D36" t="s">
        <v>70</v>
      </c>
      <c r="E36">
        <v>6830</v>
      </c>
      <c r="F36" s="7">
        <v>2</v>
      </c>
      <c r="G36" s="7">
        <v>1</v>
      </c>
      <c r="H36" s="7">
        <v>20</v>
      </c>
      <c r="P36" t="s">
        <v>71</v>
      </c>
    </row>
    <row r="37" spans="2:16" x14ac:dyDescent="0.25">
      <c r="B37">
        <v>22</v>
      </c>
      <c r="C37" t="s">
        <v>7</v>
      </c>
      <c r="D37" t="s">
        <v>70</v>
      </c>
      <c r="P37" t="s">
        <v>72</v>
      </c>
    </row>
    <row r="38" spans="2:16" x14ac:dyDescent="0.25">
      <c r="P38" t="s">
        <v>73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Drop Down 1">
              <controlPr defaultSize="0" autoLine="0" autoPict="0" macro="[4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4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Index</vt:lpstr>
      <vt:lpstr>Feuil1</vt:lpstr>
      <vt:lpstr>V</vt:lpstr>
      <vt:lpstr>Vraw</vt:lpstr>
      <vt:lpstr>Feuil3</vt:lpstr>
      <vt:lpstr>Feuil4</vt:lpstr>
      <vt:lpstr>Feuil5</vt:lpstr>
      <vt:lpstr>V_Sort</vt:lpstr>
      <vt:lpstr>BV</vt:lpstr>
      <vt:lpstr>Braw</vt:lpstr>
      <vt:lpstr>Feuil9</vt:lpstr>
      <vt:lpstr>B_Sort</vt:lpstr>
      <vt:lpstr>B</vt:lpstr>
      <vt:lpstr>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2019-10-26T20:38:22Z</dcterms:modified>
</cp:coreProperties>
</file>