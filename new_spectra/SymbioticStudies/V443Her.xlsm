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A308D506-FFAC-4C7A-83EE-2CB77DEE25DF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Index" sheetId="2" r:id="rId1"/>
    <sheet name="V" sheetId="1" r:id="rId2"/>
    <sheet name="B" sheetId="4" r:id="rId3"/>
    <sheet name="B-V" sheetId="7" r:id="rId4"/>
    <sheet name="Vis_Hist" sheetId="5" r:id="rId5"/>
    <sheet name="M" sheetId="3" r:id="rId6"/>
    <sheet name="Feuil1" sheetId="6" r:id="rId7"/>
  </sheets>
  <externalReferences>
    <externalReference r:id="rId8"/>
    <externalReference r:id="rId9"/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1" i="2" l="1"/>
  <c r="C101" i="2"/>
  <c r="D101" i="2"/>
  <c r="E101" i="2"/>
  <c r="F101" i="2"/>
  <c r="G101" i="2"/>
  <c r="H101" i="2"/>
  <c r="I101" i="2"/>
  <c r="J101" i="2"/>
  <c r="M101" i="2"/>
  <c r="N101" i="2"/>
  <c r="B102" i="2"/>
  <c r="C102" i="2"/>
  <c r="D102" i="2"/>
  <c r="E102" i="2"/>
  <c r="M102" i="2" s="1"/>
  <c r="F102" i="2"/>
  <c r="G102" i="2"/>
  <c r="H102" i="2"/>
  <c r="I102" i="2"/>
  <c r="J102" i="2"/>
  <c r="N102" i="2"/>
  <c r="B103" i="2"/>
  <c r="C103" i="2"/>
  <c r="D103" i="2"/>
  <c r="E103" i="2"/>
  <c r="F103" i="2"/>
  <c r="G103" i="2"/>
  <c r="H103" i="2"/>
  <c r="I103" i="2"/>
  <c r="J103" i="2"/>
  <c r="M103" i="2"/>
  <c r="N103" i="2"/>
  <c r="B104" i="2"/>
  <c r="C104" i="2"/>
  <c r="D104" i="2"/>
  <c r="E104" i="2"/>
  <c r="M104" i="2" s="1"/>
  <c r="F104" i="2"/>
  <c r="G104" i="2"/>
  <c r="H104" i="2"/>
  <c r="I104" i="2"/>
  <c r="J104" i="2"/>
  <c r="N104" i="2"/>
  <c r="B105" i="2"/>
  <c r="C105" i="2"/>
  <c r="D105" i="2"/>
  <c r="E105" i="2"/>
  <c r="M105" i="2" s="1"/>
  <c r="F105" i="2"/>
  <c r="G105" i="2"/>
  <c r="H105" i="2"/>
  <c r="I105" i="2"/>
  <c r="J105" i="2"/>
  <c r="N105" i="2"/>
  <c r="B106" i="2"/>
  <c r="C106" i="2"/>
  <c r="D106" i="2"/>
  <c r="E106" i="2"/>
  <c r="M106" i="2" s="1"/>
  <c r="F106" i="2"/>
  <c r="G106" i="2"/>
  <c r="H106" i="2"/>
  <c r="I106" i="2"/>
  <c r="J106" i="2"/>
  <c r="N106" i="2"/>
  <c r="B107" i="2"/>
  <c r="C107" i="2"/>
  <c r="D107" i="2"/>
  <c r="E107" i="2"/>
  <c r="M107" i="2" s="1"/>
  <c r="F107" i="2"/>
  <c r="G107" i="2"/>
  <c r="H107" i="2"/>
  <c r="I107" i="2"/>
  <c r="J107" i="2"/>
  <c r="N107" i="2"/>
  <c r="B100" i="2" l="1"/>
  <c r="C100" i="2"/>
  <c r="D100" i="2"/>
  <c r="E100" i="2"/>
  <c r="M100" i="2" s="1"/>
  <c r="F100" i="2"/>
  <c r="G100" i="2"/>
  <c r="H100" i="2"/>
  <c r="I100" i="2"/>
  <c r="J100" i="2"/>
  <c r="N100" i="2"/>
  <c r="B97" i="2"/>
  <c r="C97" i="2"/>
  <c r="D97" i="2"/>
  <c r="E97" i="2"/>
  <c r="M97" i="2" s="1"/>
  <c r="F97" i="2"/>
  <c r="G97" i="2"/>
  <c r="H97" i="2"/>
  <c r="I97" i="2"/>
  <c r="J97" i="2"/>
  <c r="N97" i="2"/>
  <c r="B98" i="2"/>
  <c r="C98" i="2"/>
  <c r="D98" i="2"/>
  <c r="E98" i="2"/>
  <c r="M98" i="2" s="1"/>
  <c r="F98" i="2"/>
  <c r="G98" i="2"/>
  <c r="H98" i="2"/>
  <c r="I98" i="2"/>
  <c r="J98" i="2"/>
  <c r="N98" i="2"/>
  <c r="B99" i="2"/>
  <c r="C99" i="2"/>
  <c r="D99" i="2"/>
  <c r="E99" i="2"/>
  <c r="M99" i="2" s="1"/>
  <c r="F99" i="2"/>
  <c r="G99" i="2"/>
  <c r="H99" i="2"/>
  <c r="I99" i="2"/>
  <c r="J99" i="2"/>
  <c r="N99" i="2"/>
  <c r="B89" i="2"/>
  <c r="C89" i="2"/>
  <c r="D89" i="2"/>
  <c r="E89" i="2"/>
  <c r="M89" i="2" s="1"/>
  <c r="F89" i="2"/>
  <c r="G89" i="2"/>
  <c r="H89" i="2"/>
  <c r="I89" i="2"/>
  <c r="J89" i="2"/>
  <c r="N89" i="2"/>
  <c r="B90" i="2"/>
  <c r="C90" i="2"/>
  <c r="D90" i="2"/>
  <c r="E90" i="2"/>
  <c r="M90" i="2" s="1"/>
  <c r="F90" i="2"/>
  <c r="G90" i="2"/>
  <c r="H90" i="2"/>
  <c r="I90" i="2"/>
  <c r="J90" i="2"/>
  <c r="N90" i="2"/>
  <c r="B91" i="2"/>
  <c r="C91" i="2"/>
  <c r="D91" i="2"/>
  <c r="E91" i="2"/>
  <c r="M91" i="2" s="1"/>
  <c r="F91" i="2"/>
  <c r="G91" i="2"/>
  <c r="H91" i="2"/>
  <c r="I91" i="2"/>
  <c r="J91" i="2"/>
  <c r="N91" i="2"/>
  <c r="B92" i="2"/>
  <c r="C92" i="2"/>
  <c r="D92" i="2"/>
  <c r="E92" i="2"/>
  <c r="M92" i="2" s="1"/>
  <c r="F92" i="2"/>
  <c r="G92" i="2"/>
  <c r="H92" i="2"/>
  <c r="I92" i="2"/>
  <c r="J92" i="2"/>
  <c r="N92" i="2"/>
  <c r="B93" i="2"/>
  <c r="C93" i="2"/>
  <c r="D93" i="2"/>
  <c r="E93" i="2"/>
  <c r="M93" i="2" s="1"/>
  <c r="F93" i="2"/>
  <c r="G93" i="2"/>
  <c r="H93" i="2"/>
  <c r="I93" i="2"/>
  <c r="J93" i="2"/>
  <c r="N93" i="2"/>
  <c r="B94" i="2"/>
  <c r="C94" i="2"/>
  <c r="D94" i="2"/>
  <c r="E94" i="2"/>
  <c r="M94" i="2" s="1"/>
  <c r="F94" i="2"/>
  <c r="G94" i="2"/>
  <c r="H94" i="2"/>
  <c r="I94" i="2"/>
  <c r="J94" i="2"/>
  <c r="N94" i="2"/>
  <c r="B95" i="2"/>
  <c r="C95" i="2"/>
  <c r="D95" i="2"/>
  <c r="E95" i="2"/>
  <c r="M95" i="2" s="1"/>
  <c r="F95" i="2"/>
  <c r="G95" i="2"/>
  <c r="H95" i="2"/>
  <c r="I95" i="2"/>
  <c r="J95" i="2"/>
  <c r="N95" i="2"/>
  <c r="B96" i="2"/>
  <c r="C96" i="2"/>
  <c r="D96" i="2"/>
  <c r="E96" i="2"/>
  <c r="M96" i="2" s="1"/>
  <c r="F96" i="2"/>
  <c r="G96" i="2"/>
  <c r="H96" i="2"/>
  <c r="I96" i="2"/>
  <c r="J96" i="2"/>
  <c r="N96" i="2"/>
  <c r="B88" i="2" l="1"/>
  <c r="C88" i="2"/>
  <c r="D88" i="2"/>
  <c r="E88" i="2"/>
  <c r="F88" i="2"/>
  <c r="G88" i="2"/>
  <c r="H88" i="2"/>
  <c r="I88" i="2"/>
  <c r="J88" i="2"/>
  <c r="B81" i="2" l="1"/>
  <c r="C81" i="2"/>
  <c r="D81" i="2"/>
  <c r="E81" i="2"/>
  <c r="F81" i="2"/>
  <c r="G81" i="2"/>
  <c r="H81" i="2"/>
  <c r="I81" i="2"/>
  <c r="J81" i="2"/>
  <c r="B82" i="2"/>
  <c r="C82" i="2"/>
  <c r="D82" i="2"/>
  <c r="E82" i="2"/>
  <c r="F82" i="2"/>
  <c r="G82" i="2"/>
  <c r="H82" i="2"/>
  <c r="I82" i="2"/>
  <c r="J82" i="2"/>
  <c r="B83" i="2"/>
  <c r="C83" i="2"/>
  <c r="D83" i="2"/>
  <c r="E83" i="2"/>
  <c r="F83" i="2"/>
  <c r="G83" i="2"/>
  <c r="H83" i="2"/>
  <c r="I83" i="2"/>
  <c r="J83" i="2"/>
  <c r="B84" i="2"/>
  <c r="C84" i="2"/>
  <c r="D84" i="2"/>
  <c r="E84" i="2"/>
  <c r="F84" i="2"/>
  <c r="G84" i="2"/>
  <c r="H84" i="2"/>
  <c r="I84" i="2"/>
  <c r="J84" i="2"/>
  <c r="B85" i="2"/>
  <c r="C85" i="2"/>
  <c r="D85" i="2"/>
  <c r="E85" i="2"/>
  <c r="F85" i="2"/>
  <c r="G85" i="2"/>
  <c r="H85" i="2"/>
  <c r="I85" i="2"/>
  <c r="J85" i="2"/>
  <c r="B86" i="2"/>
  <c r="C86" i="2"/>
  <c r="D86" i="2"/>
  <c r="E86" i="2"/>
  <c r="F86" i="2"/>
  <c r="G86" i="2"/>
  <c r="H86" i="2"/>
  <c r="I86" i="2"/>
  <c r="J86" i="2"/>
  <c r="B87" i="2"/>
  <c r="C87" i="2"/>
  <c r="D87" i="2"/>
  <c r="E87" i="2"/>
  <c r="F87" i="2"/>
  <c r="G87" i="2"/>
  <c r="H87" i="2"/>
  <c r="I87" i="2"/>
  <c r="J87" i="2"/>
  <c r="B25" i="2" l="1"/>
  <c r="C25" i="2"/>
  <c r="D25" i="2"/>
  <c r="E25" i="2"/>
  <c r="F25" i="2"/>
  <c r="G25" i="2"/>
  <c r="H25" i="2"/>
  <c r="I25" i="2"/>
  <c r="J25" i="2"/>
  <c r="B26" i="2"/>
  <c r="C26" i="2"/>
  <c r="D26" i="2"/>
  <c r="E26" i="2"/>
  <c r="F26" i="2"/>
  <c r="G26" i="2"/>
  <c r="H26" i="2"/>
  <c r="I26" i="2"/>
  <c r="J26" i="2"/>
  <c r="B27" i="2"/>
  <c r="C27" i="2"/>
  <c r="D27" i="2"/>
  <c r="E27" i="2"/>
  <c r="F27" i="2"/>
  <c r="G27" i="2"/>
  <c r="H27" i="2"/>
  <c r="I27" i="2"/>
  <c r="J27" i="2"/>
  <c r="B28" i="2"/>
  <c r="C28" i="2"/>
  <c r="D28" i="2"/>
  <c r="E28" i="2"/>
  <c r="F28" i="2"/>
  <c r="G28" i="2"/>
  <c r="H28" i="2"/>
  <c r="I28" i="2"/>
  <c r="J28" i="2"/>
  <c r="B29" i="2"/>
  <c r="C29" i="2"/>
  <c r="D29" i="2"/>
  <c r="E29" i="2"/>
  <c r="F29" i="2"/>
  <c r="G29" i="2"/>
  <c r="H29" i="2"/>
  <c r="I29" i="2"/>
  <c r="J29" i="2"/>
  <c r="B30" i="2"/>
  <c r="C30" i="2"/>
  <c r="D30" i="2"/>
  <c r="E30" i="2"/>
  <c r="F30" i="2"/>
  <c r="G30" i="2"/>
  <c r="H30" i="2"/>
  <c r="I30" i="2"/>
  <c r="J30" i="2"/>
  <c r="B31" i="2"/>
  <c r="C31" i="2"/>
  <c r="D31" i="2"/>
  <c r="E31" i="2"/>
  <c r="F31" i="2"/>
  <c r="G31" i="2"/>
  <c r="H31" i="2"/>
  <c r="I31" i="2"/>
  <c r="J31" i="2"/>
  <c r="B32" i="2"/>
  <c r="C32" i="2"/>
  <c r="D32" i="2"/>
  <c r="E32" i="2"/>
  <c r="F32" i="2"/>
  <c r="G32" i="2"/>
  <c r="H32" i="2"/>
  <c r="I32" i="2"/>
  <c r="J32" i="2"/>
  <c r="B33" i="2"/>
  <c r="C33" i="2"/>
  <c r="D33" i="2"/>
  <c r="E33" i="2"/>
  <c r="F33" i="2"/>
  <c r="G33" i="2"/>
  <c r="H33" i="2"/>
  <c r="I33" i="2"/>
  <c r="J33" i="2"/>
  <c r="B34" i="2"/>
  <c r="C34" i="2"/>
  <c r="D34" i="2"/>
  <c r="E34" i="2"/>
  <c r="F34" i="2"/>
  <c r="G34" i="2"/>
  <c r="H34" i="2"/>
  <c r="I34" i="2"/>
  <c r="J34" i="2"/>
  <c r="B35" i="2"/>
  <c r="C35" i="2"/>
  <c r="D35" i="2"/>
  <c r="E35" i="2"/>
  <c r="F35" i="2"/>
  <c r="G35" i="2"/>
  <c r="H35" i="2"/>
  <c r="I35" i="2"/>
  <c r="J35" i="2"/>
  <c r="B36" i="2"/>
  <c r="C36" i="2"/>
  <c r="D36" i="2"/>
  <c r="E36" i="2"/>
  <c r="F36" i="2"/>
  <c r="G36" i="2"/>
  <c r="H36" i="2"/>
  <c r="I36" i="2"/>
  <c r="J36" i="2"/>
  <c r="B37" i="2"/>
  <c r="C37" i="2"/>
  <c r="D37" i="2"/>
  <c r="E37" i="2"/>
  <c r="F37" i="2"/>
  <c r="G37" i="2"/>
  <c r="H37" i="2"/>
  <c r="I37" i="2"/>
  <c r="J37" i="2"/>
  <c r="B38" i="2"/>
  <c r="C38" i="2"/>
  <c r="D38" i="2"/>
  <c r="E38" i="2"/>
  <c r="F38" i="2"/>
  <c r="G38" i="2"/>
  <c r="H38" i="2"/>
  <c r="I38" i="2"/>
  <c r="J38" i="2"/>
  <c r="B39" i="2"/>
  <c r="C39" i="2"/>
  <c r="D39" i="2"/>
  <c r="E39" i="2"/>
  <c r="F39" i="2"/>
  <c r="G39" i="2"/>
  <c r="H39" i="2"/>
  <c r="I39" i="2"/>
  <c r="J39" i="2"/>
  <c r="B40" i="2"/>
  <c r="C40" i="2"/>
  <c r="D40" i="2"/>
  <c r="E40" i="2"/>
  <c r="F40" i="2"/>
  <c r="G40" i="2"/>
  <c r="H40" i="2"/>
  <c r="I40" i="2"/>
  <c r="J40" i="2"/>
  <c r="B41" i="2"/>
  <c r="C41" i="2"/>
  <c r="D41" i="2"/>
  <c r="E41" i="2"/>
  <c r="F41" i="2"/>
  <c r="G41" i="2"/>
  <c r="H41" i="2"/>
  <c r="I41" i="2"/>
  <c r="J41" i="2"/>
  <c r="B42" i="2"/>
  <c r="C42" i="2"/>
  <c r="D42" i="2"/>
  <c r="E42" i="2"/>
  <c r="F42" i="2"/>
  <c r="G42" i="2"/>
  <c r="H42" i="2"/>
  <c r="I42" i="2"/>
  <c r="J42" i="2"/>
  <c r="B43" i="2"/>
  <c r="C43" i="2"/>
  <c r="D43" i="2"/>
  <c r="E43" i="2"/>
  <c r="F43" i="2"/>
  <c r="G43" i="2"/>
  <c r="H43" i="2"/>
  <c r="I43" i="2"/>
  <c r="J43" i="2"/>
  <c r="B44" i="2"/>
  <c r="C44" i="2"/>
  <c r="D44" i="2"/>
  <c r="E44" i="2"/>
  <c r="F44" i="2"/>
  <c r="G44" i="2"/>
  <c r="H44" i="2"/>
  <c r="I44" i="2"/>
  <c r="J44" i="2"/>
  <c r="B45" i="2"/>
  <c r="C45" i="2"/>
  <c r="D45" i="2"/>
  <c r="E45" i="2"/>
  <c r="F45" i="2"/>
  <c r="G45" i="2"/>
  <c r="H45" i="2"/>
  <c r="I45" i="2"/>
  <c r="J45" i="2"/>
  <c r="B46" i="2"/>
  <c r="C46" i="2"/>
  <c r="D46" i="2"/>
  <c r="E46" i="2"/>
  <c r="F46" i="2"/>
  <c r="G46" i="2"/>
  <c r="H46" i="2"/>
  <c r="I46" i="2"/>
  <c r="J46" i="2"/>
  <c r="B47" i="2"/>
  <c r="C47" i="2"/>
  <c r="D47" i="2"/>
  <c r="E47" i="2"/>
  <c r="F47" i="2"/>
  <c r="G47" i="2"/>
  <c r="H47" i="2"/>
  <c r="I47" i="2"/>
  <c r="J47" i="2"/>
  <c r="B48" i="2"/>
  <c r="C48" i="2"/>
  <c r="D48" i="2"/>
  <c r="E48" i="2"/>
  <c r="F48" i="2"/>
  <c r="G48" i="2"/>
  <c r="H48" i="2"/>
  <c r="I48" i="2"/>
  <c r="J48" i="2"/>
  <c r="B49" i="2"/>
  <c r="C49" i="2"/>
  <c r="D49" i="2"/>
  <c r="E49" i="2"/>
  <c r="F49" i="2"/>
  <c r="G49" i="2"/>
  <c r="H49" i="2"/>
  <c r="I49" i="2"/>
  <c r="J49" i="2"/>
  <c r="B50" i="2"/>
  <c r="C50" i="2"/>
  <c r="D50" i="2"/>
  <c r="E50" i="2"/>
  <c r="F50" i="2"/>
  <c r="G50" i="2"/>
  <c r="H50" i="2"/>
  <c r="I50" i="2"/>
  <c r="J50" i="2"/>
  <c r="B51" i="2"/>
  <c r="C51" i="2"/>
  <c r="D51" i="2"/>
  <c r="E51" i="2"/>
  <c r="F51" i="2"/>
  <c r="G51" i="2"/>
  <c r="H51" i="2"/>
  <c r="I51" i="2"/>
  <c r="J51" i="2"/>
  <c r="B52" i="2"/>
  <c r="C52" i="2"/>
  <c r="D52" i="2"/>
  <c r="E52" i="2"/>
  <c r="F52" i="2"/>
  <c r="G52" i="2"/>
  <c r="H52" i="2"/>
  <c r="I52" i="2"/>
  <c r="J52" i="2"/>
  <c r="B53" i="2"/>
  <c r="C53" i="2"/>
  <c r="D53" i="2"/>
  <c r="E53" i="2"/>
  <c r="F53" i="2"/>
  <c r="G53" i="2"/>
  <c r="H53" i="2"/>
  <c r="I53" i="2"/>
  <c r="J53" i="2"/>
  <c r="B54" i="2"/>
  <c r="C54" i="2"/>
  <c r="D54" i="2"/>
  <c r="E54" i="2"/>
  <c r="F54" i="2"/>
  <c r="G54" i="2"/>
  <c r="H54" i="2"/>
  <c r="I54" i="2"/>
  <c r="J54" i="2"/>
  <c r="B55" i="2"/>
  <c r="C55" i="2"/>
  <c r="D55" i="2"/>
  <c r="E55" i="2"/>
  <c r="F55" i="2"/>
  <c r="G55" i="2"/>
  <c r="H55" i="2"/>
  <c r="I55" i="2"/>
  <c r="J55" i="2"/>
  <c r="B56" i="2"/>
  <c r="C56" i="2"/>
  <c r="D56" i="2"/>
  <c r="E56" i="2"/>
  <c r="F56" i="2"/>
  <c r="G56" i="2"/>
  <c r="H56" i="2"/>
  <c r="I56" i="2"/>
  <c r="J56" i="2"/>
  <c r="B57" i="2"/>
  <c r="C57" i="2"/>
  <c r="D57" i="2"/>
  <c r="E57" i="2"/>
  <c r="F57" i="2"/>
  <c r="G57" i="2"/>
  <c r="H57" i="2"/>
  <c r="I57" i="2"/>
  <c r="J57" i="2"/>
  <c r="B58" i="2"/>
  <c r="C58" i="2"/>
  <c r="D58" i="2"/>
  <c r="E58" i="2"/>
  <c r="F58" i="2"/>
  <c r="G58" i="2"/>
  <c r="H58" i="2"/>
  <c r="I58" i="2"/>
  <c r="J58" i="2"/>
  <c r="B59" i="2"/>
  <c r="C59" i="2"/>
  <c r="D59" i="2"/>
  <c r="E59" i="2"/>
  <c r="F59" i="2"/>
  <c r="G59" i="2"/>
  <c r="H59" i="2"/>
  <c r="I59" i="2"/>
  <c r="J59" i="2"/>
  <c r="B60" i="2"/>
  <c r="C60" i="2"/>
  <c r="D60" i="2"/>
  <c r="E60" i="2"/>
  <c r="F60" i="2"/>
  <c r="G60" i="2"/>
  <c r="H60" i="2"/>
  <c r="I60" i="2"/>
  <c r="J60" i="2"/>
  <c r="B61" i="2"/>
  <c r="C61" i="2"/>
  <c r="D61" i="2"/>
  <c r="E61" i="2"/>
  <c r="F61" i="2"/>
  <c r="G61" i="2"/>
  <c r="H61" i="2"/>
  <c r="I61" i="2"/>
  <c r="J61" i="2"/>
  <c r="B62" i="2"/>
  <c r="C62" i="2"/>
  <c r="D62" i="2"/>
  <c r="E62" i="2"/>
  <c r="F62" i="2"/>
  <c r="G62" i="2"/>
  <c r="H62" i="2"/>
  <c r="I62" i="2"/>
  <c r="J62" i="2"/>
  <c r="B63" i="2"/>
  <c r="C63" i="2"/>
  <c r="D63" i="2"/>
  <c r="E63" i="2"/>
  <c r="F63" i="2"/>
  <c r="G63" i="2"/>
  <c r="H63" i="2"/>
  <c r="I63" i="2"/>
  <c r="J63" i="2"/>
  <c r="B64" i="2"/>
  <c r="C64" i="2"/>
  <c r="D64" i="2"/>
  <c r="E64" i="2"/>
  <c r="F64" i="2"/>
  <c r="G64" i="2"/>
  <c r="H64" i="2"/>
  <c r="I64" i="2"/>
  <c r="J64" i="2"/>
  <c r="B65" i="2"/>
  <c r="C65" i="2"/>
  <c r="D65" i="2"/>
  <c r="E65" i="2"/>
  <c r="F65" i="2"/>
  <c r="G65" i="2"/>
  <c r="H65" i="2"/>
  <c r="I65" i="2"/>
  <c r="J65" i="2"/>
  <c r="B66" i="2"/>
  <c r="C66" i="2"/>
  <c r="D66" i="2"/>
  <c r="E66" i="2"/>
  <c r="F66" i="2"/>
  <c r="G66" i="2"/>
  <c r="H66" i="2"/>
  <c r="I66" i="2"/>
  <c r="J66" i="2"/>
  <c r="B67" i="2"/>
  <c r="C67" i="2"/>
  <c r="D67" i="2"/>
  <c r="E67" i="2"/>
  <c r="F67" i="2"/>
  <c r="G67" i="2"/>
  <c r="H67" i="2"/>
  <c r="I67" i="2"/>
  <c r="J67" i="2"/>
  <c r="B68" i="2"/>
  <c r="C68" i="2"/>
  <c r="D68" i="2"/>
  <c r="E68" i="2"/>
  <c r="F68" i="2"/>
  <c r="G68" i="2"/>
  <c r="H68" i="2"/>
  <c r="I68" i="2"/>
  <c r="J68" i="2"/>
  <c r="B69" i="2"/>
  <c r="C69" i="2"/>
  <c r="D69" i="2"/>
  <c r="E69" i="2"/>
  <c r="F69" i="2"/>
  <c r="G69" i="2"/>
  <c r="H69" i="2"/>
  <c r="I69" i="2"/>
  <c r="J69" i="2"/>
  <c r="B70" i="2"/>
  <c r="C70" i="2"/>
  <c r="D70" i="2"/>
  <c r="E70" i="2"/>
  <c r="F70" i="2"/>
  <c r="G70" i="2"/>
  <c r="H70" i="2"/>
  <c r="I70" i="2"/>
  <c r="J70" i="2"/>
  <c r="B71" i="2"/>
  <c r="C71" i="2"/>
  <c r="D71" i="2"/>
  <c r="E71" i="2"/>
  <c r="F71" i="2"/>
  <c r="G71" i="2"/>
  <c r="H71" i="2"/>
  <c r="I71" i="2"/>
  <c r="J71" i="2"/>
  <c r="B72" i="2"/>
  <c r="C72" i="2"/>
  <c r="D72" i="2"/>
  <c r="E72" i="2"/>
  <c r="F72" i="2"/>
  <c r="G72" i="2"/>
  <c r="H72" i="2"/>
  <c r="I72" i="2"/>
  <c r="J72" i="2"/>
  <c r="B73" i="2"/>
  <c r="C73" i="2"/>
  <c r="D73" i="2"/>
  <c r="E73" i="2"/>
  <c r="F73" i="2"/>
  <c r="G73" i="2"/>
  <c r="H73" i="2"/>
  <c r="I73" i="2"/>
  <c r="J73" i="2"/>
  <c r="B74" i="2"/>
  <c r="C74" i="2"/>
  <c r="D74" i="2"/>
  <c r="E74" i="2"/>
  <c r="F74" i="2"/>
  <c r="G74" i="2"/>
  <c r="H74" i="2"/>
  <c r="I74" i="2"/>
  <c r="J74" i="2"/>
  <c r="B75" i="2"/>
  <c r="C75" i="2"/>
  <c r="D75" i="2"/>
  <c r="E75" i="2"/>
  <c r="F75" i="2"/>
  <c r="G75" i="2"/>
  <c r="H75" i="2"/>
  <c r="I75" i="2"/>
  <c r="J75" i="2"/>
  <c r="B76" i="2"/>
  <c r="C76" i="2"/>
  <c r="D76" i="2"/>
  <c r="E76" i="2"/>
  <c r="F76" i="2"/>
  <c r="G76" i="2"/>
  <c r="H76" i="2"/>
  <c r="I76" i="2"/>
  <c r="J76" i="2"/>
  <c r="B77" i="2"/>
  <c r="C77" i="2"/>
  <c r="D77" i="2"/>
  <c r="E77" i="2"/>
  <c r="F77" i="2"/>
  <c r="G77" i="2"/>
  <c r="H77" i="2"/>
  <c r="I77" i="2"/>
  <c r="J77" i="2"/>
  <c r="B78" i="2"/>
  <c r="C78" i="2"/>
  <c r="D78" i="2"/>
  <c r="E78" i="2"/>
  <c r="F78" i="2"/>
  <c r="G78" i="2"/>
  <c r="H78" i="2"/>
  <c r="I78" i="2"/>
  <c r="J78" i="2"/>
  <c r="B79" i="2"/>
  <c r="C79" i="2"/>
  <c r="D79" i="2"/>
  <c r="E79" i="2"/>
  <c r="F79" i="2"/>
  <c r="G79" i="2"/>
  <c r="H79" i="2"/>
  <c r="I79" i="2"/>
  <c r="J79" i="2"/>
  <c r="B80" i="2"/>
  <c r="C80" i="2"/>
  <c r="D80" i="2"/>
  <c r="E80" i="2"/>
  <c r="F80" i="2"/>
  <c r="G80" i="2"/>
  <c r="H80" i="2"/>
  <c r="I80" i="2"/>
  <c r="J80" i="2"/>
  <c r="G24" i="2"/>
  <c r="H24" i="2"/>
  <c r="I24" i="2"/>
  <c r="J24" i="2"/>
  <c r="C24" i="2"/>
  <c r="D24" i="2"/>
  <c r="E24" i="2"/>
  <c r="F24" i="2"/>
  <c r="B24" i="2"/>
  <c r="C34" i="3" l="1"/>
  <c r="C33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G14" i="3"/>
  <c r="G13" i="3"/>
  <c r="D13" i="3"/>
  <c r="G12" i="3"/>
  <c r="G10" i="3"/>
  <c r="G9" i="3"/>
  <c r="G7" i="3"/>
  <c r="E5" i="3"/>
  <c r="E4" i="3" s="1"/>
  <c r="H4" i="3"/>
</calcChain>
</file>

<file path=xl/sharedStrings.xml><?xml version="1.0" encoding="utf-8"?>
<sst xmlns="http://schemas.openxmlformats.org/spreadsheetml/2006/main" count="1005" uniqueCount="926">
  <si>
    <t>2015 APR 30</t>
  </si>
  <si>
    <t>2015 MAY 20</t>
  </si>
  <si>
    <t>2015 JUN 19</t>
  </si>
  <si>
    <t>2014 OCT 10</t>
  </si>
  <si>
    <t>2014 MAY 19</t>
  </si>
  <si>
    <t>2014 AUG 25</t>
  </si>
  <si>
    <t>2015 NOV 2</t>
  </si>
  <si>
    <t>Z And</t>
  </si>
  <si>
    <t>2016 AUG 3</t>
  </si>
  <si>
    <t>Raie{1,1} = 'H alpha';</t>
  </si>
  <si>
    <t>Raie{1,2} = 6562.82;</t>
  </si>
  <si>
    <t>Objet</t>
  </si>
  <si>
    <t>Raie{2,1} = 'H beta';</t>
  </si>
  <si>
    <t>Folder</t>
  </si>
  <si>
    <t>Raie{2,2} = 4861.34;</t>
  </si>
  <si>
    <t>Obj</t>
  </si>
  <si>
    <t>Raie{3,1} = 'H gamma';</t>
  </si>
  <si>
    <t>Raie{3,2} = 4340.48;</t>
  </si>
  <si>
    <t>E</t>
  </si>
  <si>
    <t>Decalage</t>
  </si>
  <si>
    <t>Raie{4,1} = 'O[I] 6300';</t>
  </si>
  <si>
    <t>JD0</t>
  </si>
  <si>
    <t>xmax</t>
  </si>
  <si>
    <t>km/s</t>
  </si>
  <si>
    <t>Raie{4,2} = 6300.32;</t>
  </si>
  <si>
    <t>xLigne</t>
  </si>
  <si>
    <t>pas</t>
  </si>
  <si>
    <t>Raie{5,1} = 'O[I] 6363';</t>
  </si>
  <si>
    <t>ajust</t>
  </si>
  <si>
    <t>Raie{5,2} = 6363.81;</t>
  </si>
  <si>
    <t>x</t>
  </si>
  <si>
    <t>xdate</t>
  </si>
  <si>
    <t>Raie{6,1} = 'He I 5875';</t>
  </si>
  <si>
    <t>y</t>
  </si>
  <si>
    <t>ymax</t>
  </si>
  <si>
    <t>Raie{6,2} = 5875.65;</t>
  </si>
  <si>
    <t>couleur</t>
  </si>
  <si>
    <t>Lambda</t>
  </si>
  <si>
    <t>Raie{7,1} = 'He I 6678';</t>
  </si>
  <si>
    <t>Line</t>
  </si>
  <si>
    <t>Raie{7,2} = 6678.15;</t>
  </si>
  <si>
    <t>Raie{8,1} = 'He I 7065';</t>
  </si>
  <si>
    <t>Ha</t>
  </si>
  <si>
    <t>Raie{8,2} = 7065;</t>
  </si>
  <si>
    <t>Hb</t>
  </si>
  <si>
    <t>Raie {9,1} = 'He II 4686';</t>
  </si>
  <si>
    <t>Hg</t>
  </si>
  <si>
    <t>Raie {9,2} = 4685.68;</t>
  </si>
  <si>
    <t>[OI]</t>
  </si>
  <si>
    <t>Raie {10,1} = '[O III 5007]';</t>
  </si>
  <si>
    <t>Raie {10,2} = 5006.84;</t>
  </si>
  <si>
    <t>He I</t>
  </si>
  <si>
    <t>Raie {11,1} = '[O III 4363]';</t>
  </si>
  <si>
    <t>Raie {11,2} = 4363;</t>
  </si>
  <si>
    <t>Raie {13,1} = '[Fe VII 6087]';</t>
  </si>
  <si>
    <t>Raie {13,2} = 6087;</t>
  </si>
  <si>
    <t>He II</t>
  </si>
  <si>
    <t>Raie {14,1} = '[Fe VII 5721]';</t>
  </si>
  <si>
    <t>[O III]</t>
  </si>
  <si>
    <t>Raie {14,2} = 5721;</t>
  </si>
  <si>
    <t>Raie {15,1} = 'Raman OVI';</t>
  </si>
  <si>
    <t>Raie {15,2} = 6830;</t>
  </si>
  <si>
    <t>Fe II</t>
  </si>
  <si>
    <t>Raie {16,1} = 'Na I D';</t>
  </si>
  <si>
    <t>Raie {16,2} = 5889.95;</t>
  </si>
  <si>
    <t>NA</t>
  </si>
  <si>
    <t>Raie {17,1} = 'Fe II 4924';</t>
  </si>
  <si>
    <t>Raie {17,2} = 4923.92;</t>
  </si>
  <si>
    <t>[Fe VII]</t>
  </si>
  <si>
    <t>Raie {18,1} = 'He I 5016';</t>
  </si>
  <si>
    <t>Raie {18,2} = 5015.68;</t>
  </si>
  <si>
    <t>Raie {19,1} = 'Fe II 5018';</t>
  </si>
  <si>
    <t>Raman OVI</t>
  </si>
  <si>
    <t>Raie {19,2} = 5018.43;</t>
  </si>
  <si>
    <t>Raie {20,1} = '[N II] 5755';</t>
  </si>
  <si>
    <t>Raie {20,1} = 5755;</t>
  </si>
  <si>
    <t>b</t>
  </si>
  <si>
    <t>r</t>
  </si>
  <si>
    <t>k</t>
  </si>
  <si>
    <t>g</t>
  </si>
  <si>
    <t>1972 OCT 11</t>
  </si>
  <si>
    <t>1975 MAY 11</t>
  </si>
  <si>
    <t>1977 JUL 6</t>
  </si>
  <si>
    <t>1978 JUN 9</t>
  </si>
  <si>
    <t>1979 NOV 18</t>
  </si>
  <si>
    <t>1981 AUG 23</t>
  </si>
  <si>
    <t>1981 SEP 6</t>
  </si>
  <si>
    <t>1982 MAY 14</t>
  </si>
  <si>
    <t>1983 APR 13</t>
  </si>
  <si>
    <t>1983 NOV 23</t>
  </si>
  <si>
    <t>1987 OCT 14</t>
  </si>
  <si>
    <t>1987 NOV 14</t>
  </si>
  <si>
    <t>1988 AUG 4</t>
  </si>
  <si>
    <t>1988 NOV 27</t>
  </si>
  <si>
    <t>1989 MAY 25</t>
  </si>
  <si>
    <t>1989 NOV 13</t>
  </si>
  <si>
    <t>1990 MAR 25</t>
  </si>
  <si>
    <t>1990 MAY 18</t>
  </si>
  <si>
    <t>1990 AUG 3</t>
  </si>
  <si>
    <t>1992 APR 4</t>
  </si>
  <si>
    <t>1992 MAY 29</t>
  </si>
  <si>
    <t>1993 JUL 27</t>
  </si>
  <si>
    <t>1993 AUG 12</t>
  </si>
  <si>
    <t>1994 MAY 31</t>
  </si>
  <si>
    <t>1994 DEC 29</t>
  </si>
  <si>
    <t>1995 NOV 17</t>
  </si>
  <si>
    <t>1996 JUL 15</t>
  </si>
  <si>
    <t>1997 MAR 2</t>
  </si>
  <si>
    <t>1997 AUG 25</t>
  </si>
  <si>
    <t>1998 JAN 29</t>
  </si>
  <si>
    <t>1998 APR 12</t>
  </si>
  <si>
    <t>1998 APR 27</t>
  </si>
  <si>
    <t>1999 APR 27</t>
  </si>
  <si>
    <t>2000 SEP 9</t>
  </si>
  <si>
    <t>2000 DEC 19</t>
  </si>
  <si>
    <t>2001 MAY 16</t>
  </si>
  <si>
    <t>2002 AUG 17</t>
  </si>
  <si>
    <t>2003 MAR 8</t>
  </si>
  <si>
    <t>2003 JUL 19</t>
  </si>
  <si>
    <t>2003 NOV 11</t>
  </si>
  <si>
    <t>2003 NOV 24</t>
  </si>
  <si>
    <t>2005 MAY 11</t>
  </si>
  <si>
    <t>2006 APR 28</t>
  </si>
  <si>
    <t>2007 FEB 21</t>
  </si>
  <si>
    <t>2007 AUG 5</t>
  </si>
  <si>
    <t>2008 MAY 5</t>
  </si>
  <si>
    <t>2008 AUG 1</t>
  </si>
  <si>
    <t>2008 SEP 25</t>
  </si>
  <si>
    <t>2009 JAN 18</t>
  </si>
  <si>
    <t>2009 MAR 19</t>
  </si>
  <si>
    <t>2010 APR 20</t>
  </si>
  <si>
    <t>2010 AUG 20</t>
  </si>
  <si>
    <t>2011 SEP 20</t>
  </si>
  <si>
    <t>2012 AUG 6</t>
  </si>
  <si>
    <t>2012 AUG 19</t>
  </si>
  <si>
    <t>2012 DEC 13</t>
  </si>
  <si>
    <t>2013 JUN 28</t>
  </si>
  <si>
    <t>2013 JUL 11</t>
  </si>
  <si>
    <t>2013 OCT 31</t>
  </si>
  <si>
    <t>2016 NOV 4</t>
  </si>
  <si>
    <t>NaI D</t>
  </si>
  <si>
    <t>Na I</t>
  </si>
  <si>
    <t>Mean 14 days</t>
  </si>
  <si>
    <t>2004 AUG 21</t>
  </si>
  <si>
    <t>2004 OCT 26</t>
  </si>
  <si>
    <t>2005 JUL 6</t>
  </si>
  <si>
    <t>2005 OCT 26</t>
  </si>
  <si>
    <t>2006 DEC 1</t>
  </si>
  <si>
    <t>2007 FEB 14</t>
  </si>
  <si>
    <t>2007 FEB 17</t>
  </si>
  <si>
    <t>2007 OCT 21</t>
  </si>
  <si>
    <t>2008 FEB 5</t>
  </si>
  <si>
    <t>2008 FEB 17</t>
  </si>
  <si>
    <t>2008 JUN 30</t>
  </si>
  <si>
    <t>2008 OCT 3</t>
  </si>
  <si>
    <t>2009 FEB 4</t>
  </si>
  <si>
    <t>2009 JUL 4</t>
  </si>
  <si>
    <t>2009 OCT 9</t>
  </si>
  <si>
    <t>2009 NOV 23</t>
  </si>
  <si>
    <t>2010 FEB 18</t>
  </si>
  <si>
    <t>2010 APR 10</t>
  </si>
  <si>
    <t>2010 JUN 5</t>
  </si>
  <si>
    <t>2010 JUL 8</t>
  </si>
  <si>
    <t>2010 AUG 30</t>
  </si>
  <si>
    <t>2010 SEP 11</t>
  </si>
  <si>
    <t>2010 OCT 11</t>
  </si>
  <si>
    <t>2010 NOV 30</t>
  </si>
  <si>
    <t>2011 JUL 31</t>
  </si>
  <si>
    <t>2011 OCT 21</t>
  </si>
  <si>
    <t>2011 NOV 5</t>
  </si>
  <si>
    <t>2012 MAR 2</t>
  </si>
  <si>
    <t>2008 SEP 1</t>
  </si>
  <si>
    <t>1969 JUN 8</t>
  </si>
  <si>
    <t>1969 JUN 30</t>
  </si>
  <si>
    <t>1969 JUL 17</t>
  </si>
  <si>
    <t>1969 AUG 20</t>
  </si>
  <si>
    <t>1969 SEP 21</t>
  </si>
  <si>
    <t>1969 OCT 4</t>
  </si>
  <si>
    <t>1969 NOV 17</t>
  </si>
  <si>
    <t>1969 DEC 10</t>
  </si>
  <si>
    <t>1970 JUN 7</t>
  </si>
  <si>
    <t>1970 JUN 24</t>
  </si>
  <si>
    <t>1970 JUL 12</t>
  </si>
  <si>
    <t>1970 AUG 12</t>
  </si>
  <si>
    <t>1970 AUG 27</t>
  </si>
  <si>
    <t>1970 SEP 11</t>
  </si>
  <si>
    <t>1970 SEP 26</t>
  </si>
  <si>
    <t>1970 OCT 24</t>
  </si>
  <si>
    <t>1970 NOV 22</t>
  </si>
  <si>
    <t>1971 MAR 31</t>
  </si>
  <si>
    <t>1971 APR 22</t>
  </si>
  <si>
    <t>1971 MAY 21</t>
  </si>
  <si>
    <t>1971 JUN 14</t>
  </si>
  <si>
    <t>1971 JUL 10</t>
  </si>
  <si>
    <t>1971 AUG 1</t>
  </si>
  <si>
    <t>1971 AUG 17</t>
  </si>
  <si>
    <t>1971 SEP 20</t>
  </si>
  <si>
    <t>1971 OCT 8</t>
  </si>
  <si>
    <t>1971 OCT 22</t>
  </si>
  <si>
    <t>1971 NOV 12</t>
  </si>
  <si>
    <t>1971 DEC 8</t>
  </si>
  <si>
    <t>1972 JAN 21</t>
  </si>
  <si>
    <t>1972 MAR 16</t>
  </si>
  <si>
    <t>1972 APR 9</t>
  </si>
  <si>
    <t>1972 APR 21</t>
  </si>
  <si>
    <t>1972 MAY 14</t>
  </si>
  <si>
    <t>1972 MAY 30</t>
  </si>
  <si>
    <t>1972 JUL 2</t>
  </si>
  <si>
    <t>1972 JUL 25</t>
  </si>
  <si>
    <t>1972 AUG 22</t>
  </si>
  <si>
    <t>1972 SEP 9</t>
  </si>
  <si>
    <t>1972 SEP 28</t>
  </si>
  <si>
    <t>1972 OCT 30</t>
  </si>
  <si>
    <t>1972 NOV 16</t>
  </si>
  <si>
    <t>1973 JUN 9</t>
  </si>
  <si>
    <t>1973 AUG 3</t>
  </si>
  <si>
    <t>1973 AUG 21</t>
  </si>
  <si>
    <t>1973 SEP 7</t>
  </si>
  <si>
    <t>1973 OCT 24</t>
  </si>
  <si>
    <t>1974 MAY 7</t>
  </si>
  <si>
    <t>1974 JUN 23</t>
  </si>
  <si>
    <t>1974 JUL 17</t>
  </si>
  <si>
    <t>1974 AUG 11</t>
  </si>
  <si>
    <t>1974 SEP 6</t>
  </si>
  <si>
    <t>1974 OCT 16</t>
  </si>
  <si>
    <t>1974 NOV 6</t>
  </si>
  <si>
    <t>1975 APR 19</t>
  </si>
  <si>
    <t>1975 JUN 17</t>
  </si>
  <si>
    <t>1975 JUL 3</t>
  </si>
  <si>
    <t>1975 JUL 30</t>
  </si>
  <si>
    <t>1975 AUG 14</t>
  </si>
  <si>
    <t>1975 SEP 5</t>
  </si>
  <si>
    <t>1975 OCT 2</t>
  </si>
  <si>
    <t>1975 OCT 24</t>
  </si>
  <si>
    <t>1975 NOV 15</t>
  </si>
  <si>
    <t>1976 APR 10</t>
  </si>
  <si>
    <t>1976 MAY 1</t>
  </si>
  <si>
    <t>1976 JUN 5</t>
  </si>
  <si>
    <t>1976 JUL 1</t>
  </si>
  <si>
    <t>1976 AUG 2</t>
  </si>
  <si>
    <t>1976 AUG 31</t>
  </si>
  <si>
    <t>1976 SEP 16</t>
  </si>
  <si>
    <t>1976 OCT 17</t>
  </si>
  <si>
    <t>1977 APR 22</t>
  </si>
  <si>
    <t>1977 MAY 21</t>
  </si>
  <si>
    <t>1977 JUN 14</t>
  </si>
  <si>
    <t>1977 AUG 13</t>
  </si>
  <si>
    <t>1977 SEP 7</t>
  </si>
  <si>
    <t>1977 SEP 17</t>
  </si>
  <si>
    <t>1977 OCT 22</t>
  </si>
  <si>
    <t>1977 NOV 6</t>
  </si>
  <si>
    <t>1978 APR 17</t>
  </si>
  <si>
    <t>1978 MAY 4</t>
  </si>
  <si>
    <t>1978 JUL 6</t>
  </si>
  <si>
    <t>1978 JUL 31</t>
  </si>
  <si>
    <t>1978 AUG 16</t>
  </si>
  <si>
    <t>1978 SEP 7</t>
  </si>
  <si>
    <t>1978 OCT 5</t>
  </si>
  <si>
    <t>1978 NOV 2</t>
  </si>
  <si>
    <t>1979 APR 27</t>
  </si>
  <si>
    <t>1979 MAY 25</t>
  </si>
  <si>
    <t>1979 JUN 20</t>
  </si>
  <si>
    <t>1979 JUL 24</t>
  </si>
  <si>
    <t>1979 AUG 14</t>
  </si>
  <si>
    <t>1979 SEP 12</t>
  </si>
  <si>
    <t>1979 OCT 5</t>
  </si>
  <si>
    <t>1979 OCT 18</t>
  </si>
  <si>
    <t>1980 MAY 15</t>
  </si>
  <si>
    <t>1980 JUN 6</t>
  </si>
  <si>
    <t>1980 JUL 14</t>
  </si>
  <si>
    <t>1980 AUG 6</t>
  </si>
  <si>
    <t>1980 SEP 7</t>
  </si>
  <si>
    <t>1980 OCT 16</t>
  </si>
  <si>
    <t>1980 NOV 17</t>
  </si>
  <si>
    <t>1981 MAY 24</t>
  </si>
  <si>
    <t>1981 JUL 11</t>
  </si>
  <si>
    <t>1981 SEP 23</t>
  </si>
  <si>
    <t>1981 OCT 10</t>
  </si>
  <si>
    <t>1981 OCT 24</t>
  </si>
  <si>
    <t>1981 NOV 10</t>
  </si>
  <si>
    <t>1981 NOV 23</t>
  </si>
  <si>
    <t>1982 APR 23</t>
  </si>
  <si>
    <t>1982 MAY 28</t>
  </si>
  <si>
    <t>1982 JUN 17</t>
  </si>
  <si>
    <t>1982 JUL 3</t>
  </si>
  <si>
    <t>1982 JUL 23</t>
  </si>
  <si>
    <t>1982 AUG 18</t>
  </si>
  <si>
    <t>1982 SEP 13</t>
  </si>
  <si>
    <t>1982 SEP 26</t>
  </si>
  <si>
    <t>1982 OCT 15</t>
  </si>
  <si>
    <t>1982 OCT 27</t>
  </si>
  <si>
    <t>1982 NOV 14</t>
  </si>
  <si>
    <t>1982 DEC 2</t>
  </si>
  <si>
    <t>1983 MAR 11</t>
  </si>
  <si>
    <t>1983 MAY 12</t>
  </si>
  <si>
    <t>1983 JUN 6</t>
  </si>
  <si>
    <t>1983 JUN 14</t>
  </si>
  <si>
    <t>1983 JUL 8</t>
  </si>
  <si>
    <t>1983 AUG 8</t>
  </si>
  <si>
    <t>1983 SEP 4</t>
  </si>
  <si>
    <t>1983 SEP 20</t>
  </si>
  <si>
    <t>1983 OCT 10</t>
  </si>
  <si>
    <t>1983 OCT 29</t>
  </si>
  <si>
    <t>1984 APR 9</t>
  </si>
  <si>
    <t>1984 APR 27</t>
  </si>
  <si>
    <t>1984 MAY 13</t>
  </si>
  <si>
    <t>1984 MAY 28</t>
  </si>
  <si>
    <t>1984 JUN 19</t>
  </si>
  <si>
    <t>1984 JUL 6</t>
  </si>
  <si>
    <t>1984 JUL 20</t>
  </si>
  <si>
    <t>1984 AUG 4</t>
  </si>
  <si>
    <t>1984 AUG 22</t>
  </si>
  <si>
    <t>1984 SEP 7</t>
  </si>
  <si>
    <t>1984 SEP 22</t>
  </si>
  <si>
    <t>1984 OCT 11</t>
  </si>
  <si>
    <t>1984 OCT 31</t>
  </si>
  <si>
    <t>1984 NOV 18</t>
  </si>
  <si>
    <t>1984 DEC 6</t>
  </si>
  <si>
    <t>1985 JAN 16</t>
  </si>
  <si>
    <t>1985 FEB 22</t>
  </si>
  <si>
    <t>1985 MAR 22</t>
  </si>
  <si>
    <t>1985 APR 16</t>
  </si>
  <si>
    <t>1985 MAY 7</t>
  </si>
  <si>
    <t>1985 MAY 22</t>
  </si>
  <si>
    <t>1985 JUN 13</t>
  </si>
  <si>
    <t>1985 JUL 1</t>
  </si>
  <si>
    <t>1985 JUL 15</t>
  </si>
  <si>
    <t>1985 AUG 11</t>
  </si>
  <si>
    <t>1985 AUG 23</t>
  </si>
  <si>
    <t>1985 SEP 12</t>
  </si>
  <si>
    <t>1985 OCT 6</t>
  </si>
  <si>
    <t>1985 OCT 17</t>
  </si>
  <si>
    <t>1986 FEB 10</t>
  </si>
  <si>
    <t>1986 MAR 18</t>
  </si>
  <si>
    <t>1986 APR 21</t>
  </si>
  <si>
    <t>1986 MAY 16</t>
  </si>
  <si>
    <t>1986 JUN 9</t>
  </si>
  <si>
    <t>1986 JUL 2</t>
  </si>
  <si>
    <t>1986 JUL 13</t>
  </si>
  <si>
    <t>1986 AUG 9</t>
  </si>
  <si>
    <t>1986 AUG 22</t>
  </si>
  <si>
    <t>1986 SEP 4</t>
  </si>
  <si>
    <t>1986 OCT 8</t>
  </si>
  <si>
    <t>1986 OCT 16</t>
  </si>
  <si>
    <t>1986 NOV 1</t>
  </si>
  <si>
    <t>1986 NOV 28</t>
  </si>
  <si>
    <t>1986 DEC 17</t>
  </si>
  <si>
    <t>1987 APR 9</t>
  </si>
  <si>
    <t>1987 APR 23</t>
  </si>
  <si>
    <t>1987 MAY 27</t>
  </si>
  <si>
    <t>1987 JUN 11</t>
  </si>
  <si>
    <t>1987 JUN 26</t>
  </si>
  <si>
    <t>1987 JUL 17</t>
  </si>
  <si>
    <t>1987 JUL 30</t>
  </si>
  <si>
    <t>1987 AUG 14</t>
  </si>
  <si>
    <t>1987 AUG 25</t>
  </si>
  <si>
    <t>1987 SEP 10</t>
  </si>
  <si>
    <t>1987 SEP 24</t>
  </si>
  <si>
    <t>1988 APR 14</t>
  </si>
  <si>
    <t>1988 MAY 1</t>
  </si>
  <si>
    <t>1988 MAY 19</t>
  </si>
  <si>
    <t>1988 JUN 13</t>
  </si>
  <si>
    <t>1988 JUL 6</t>
  </si>
  <si>
    <t>1988 JUL 17</t>
  </si>
  <si>
    <t>1988 AUG 15</t>
  </si>
  <si>
    <t>1988 SEP 5</t>
  </si>
  <si>
    <t>1988 SEP 19</t>
  </si>
  <si>
    <t>1988 OCT 8</t>
  </si>
  <si>
    <t>1988 OCT 28</t>
  </si>
  <si>
    <t>1988 NOV 9</t>
  </si>
  <si>
    <t>1988 DEC 14</t>
  </si>
  <si>
    <t>1989 JAN 14</t>
  </si>
  <si>
    <t>1989 APR 7</t>
  </si>
  <si>
    <t>1989 APR 29</t>
  </si>
  <si>
    <t>1989 JUN 9</t>
  </si>
  <si>
    <t>1989 JUN 23</t>
  </si>
  <si>
    <t>1989 JUL 6</t>
  </si>
  <si>
    <t>1989 JUL 29</t>
  </si>
  <si>
    <t>1989 AUG 15</t>
  </si>
  <si>
    <t>1989 AUG 29</t>
  </si>
  <si>
    <t>1989 SEP 15</t>
  </si>
  <si>
    <t>1989 SEP 30</t>
  </si>
  <si>
    <t>1989 OCT 23</t>
  </si>
  <si>
    <t>1989 NOV 28</t>
  </si>
  <si>
    <t>1989 DEC 16</t>
  </si>
  <si>
    <t>1990 FEB 24</t>
  </si>
  <si>
    <t>1990 APR 6</t>
  </si>
  <si>
    <t>1990 APR 25</t>
  </si>
  <si>
    <t>1990 MAY 30</t>
  </si>
  <si>
    <t>1990 JUN 19</t>
  </si>
  <si>
    <t>1990 JUL 2</t>
  </si>
  <si>
    <t>1990 JUL 19</t>
  </si>
  <si>
    <t>1990 AUG 21</t>
  </si>
  <si>
    <t>1990 SEP 8</t>
  </si>
  <si>
    <t>1990 SEP 21</t>
  </si>
  <si>
    <t>1990 OCT 13</t>
  </si>
  <si>
    <t>1990 OCT 31</t>
  </si>
  <si>
    <t>1990 NOV 19</t>
  </si>
  <si>
    <t>1990 DEC 8</t>
  </si>
  <si>
    <t>1991 MAR 19</t>
  </si>
  <si>
    <t>1991 APR 12</t>
  </si>
  <si>
    <t>1991 APR 28</t>
  </si>
  <si>
    <t>1991 MAY 18</t>
  </si>
  <si>
    <t>1991 JUN 10</t>
  </si>
  <si>
    <t>1991 JUN 23</t>
  </si>
  <si>
    <t>1991 JUL 10</t>
  </si>
  <si>
    <t>1991 JUL 27</t>
  </si>
  <si>
    <t>1991 AUG 10</t>
  </si>
  <si>
    <t>1991 AUG 27</t>
  </si>
  <si>
    <t>1991 SEP 10</t>
  </si>
  <si>
    <t>1991 SEP 30</t>
  </si>
  <si>
    <t>1991 OCT 12</t>
  </si>
  <si>
    <t>1991 OCT 29</t>
  </si>
  <si>
    <t>1991 NOV 19</t>
  </si>
  <si>
    <t>1991 DEC 4</t>
  </si>
  <si>
    <t>1991 DEC 28</t>
  </si>
  <si>
    <t>1992 FEB 3</t>
  </si>
  <si>
    <t>1992 MAR 11</t>
  </si>
  <si>
    <t>1992 APR 11</t>
  </si>
  <si>
    <t>1992 MAY 1</t>
  </si>
  <si>
    <t>1992 MAY 16</t>
  </si>
  <si>
    <t>1992 JUN 17</t>
  </si>
  <si>
    <t>1992 JUL 2</t>
  </si>
  <si>
    <t>1992 JUL 20</t>
  </si>
  <si>
    <t>1992 AUG 2</t>
  </si>
  <si>
    <t>1992 AUG 22</t>
  </si>
  <si>
    <t>1992 SEP 3</t>
  </si>
  <si>
    <t>1992 SEP 19</t>
  </si>
  <si>
    <t>1992 OCT 5</t>
  </si>
  <si>
    <t>1992 OCT 21</t>
  </si>
  <si>
    <t>1992 NOV 7</t>
  </si>
  <si>
    <t>1992 NOV 20</t>
  </si>
  <si>
    <t>1992 DEC 8</t>
  </si>
  <si>
    <t>1992 DEC 24</t>
  </si>
  <si>
    <t>1993 FEB 2</t>
  </si>
  <si>
    <t>1993 MAR 25</t>
  </si>
  <si>
    <t>1993 APR 25</t>
  </si>
  <si>
    <t>1993 MAY 11</t>
  </si>
  <si>
    <t>1993 MAY 26</t>
  </si>
  <si>
    <t>1993 JUN 11</t>
  </si>
  <si>
    <t>1993 JUN 26</t>
  </si>
  <si>
    <t>1993 JUL 11</t>
  </si>
  <si>
    <t>1993 AUG 27</t>
  </si>
  <si>
    <t>1993 SEP 12</t>
  </si>
  <si>
    <t>1993 SEP 25</t>
  </si>
  <si>
    <t>1993 OCT 12</t>
  </si>
  <si>
    <t>1993 OCT 28</t>
  </si>
  <si>
    <t>1993 NOV 13</t>
  </si>
  <si>
    <t>1993 DEC 1</t>
  </si>
  <si>
    <t>1993 DEC 16</t>
  </si>
  <si>
    <t>1994 FEB 6</t>
  </si>
  <si>
    <t>1994 MAR 10</t>
  </si>
  <si>
    <t>1994 APR 9</t>
  </si>
  <si>
    <t>1994 APR 28</t>
  </si>
  <si>
    <t>1994 MAY 10</t>
  </si>
  <si>
    <t>1994 JUN 11</t>
  </si>
  <si>
    <t>1994 JUN 28</t>
  </si>
  <si>
    <t>1994 JUL 11</t>
  </si>
  <si>
    <t>1994 JUL 31</t>
  </si>
  <si>
    <t>1994 AUG 11</t>
  </si>
  <si>
    <t>1994 AUG 29</t>
  </si>
  <si>
    <t>1994 SEP 10</t>
  </si>
  <si>
    <t>1994 SEP 28</t>
  </si>
  <si>
    <t>1994 OCT 11</t>
  </si>
  <si>
    <t>1994 OCT 28</t>
  </si>
  <si>
    <t>1994 NOV 10</t>
  </si>
  <si>
    <t>1994 DEC 1</t>
  </si>
  <si>
    <t>1995 FEB 1</t>
  </si>
  <si>
    <t>1995 FEB 16</t>
  </si>
  <si>
    <t>1995 MAR 6</t>
  </si>
  <si>
    <t>1995 MAR 29</t>
  </si>
  <si>
    <t>1995 APR 9</t>
  </si>
  <si>
    <t>1995 MAY 1</t>
  </si>
  <si>
    <t>1995 MAY 14</t>
  </si>
  <si>
    <t>1995 MAY 30</t>
  </si>
  <si>
    <t>1995 JUN 15</t>
  </si>
  <si>
    <t>1995 JUL 1</t>
  </si>
  <si>
    <t>1995 JUL 16</t>
  </si>
  <si>
    <t>1995 JUL 30</t>
  </si>
  <si>
    <t>1995 AUG 17</t>
  </si>
  <si>
    <t>1995 AUG 29</t>
  </si>
  <si>
    <t>1995 SEP 16</t>
  </si>
  <si>
    <t>1995 OCT 1</t>
  </si>
  <si>
    <t>1995 OCT 18</t>
  </si>
  <si>
    <t>1995 NOV 3</t>
  </si>
  <si>
    <t>1995 DEC 3</t>
  </si>
  <si>
    <t>1995 DEC 18</t>
  </si>
  <si>
    <t>1996 FEB 29</t>
  </si>
  <si>
    <t>1996 MAR 19</t>
  </si>
  <si>
    <t>1996 APR 8</t>
  </si>
  <si>
    <t>1996 APR 21</t>
  </si>
  <si>
    <t>1996 MAY 10</t>
  </si>
  <si>
    <t>1996 MAY 25</t>
  </si>
  <si>
    <t>1996 JUN 13</t>
  </si>
  <si>
    <t>1996 JUN 30</t>
  </si>
  <si>
    <t>1996 JUL 31</t>
  </si>
  <si>
    <t>1996 AUG 15</t>
  </si>
  <si>
    <t>1996 AUG 30</t>
  </si>
  <si>
    <t>1996 SEP 15</t>
  </si>
  <si>
    <t>1996 OCT 4</t>
  </si>
  <si>
    <t>1996 OCT 15</t>
  </si>
  <si>
    <t>1996 NOV 2</t>
  </si>
  <si>
    <t>1996 NOV 14</t>
  </si>
  <si>
    <t>1996 DEC 7</t>
  </si>
  <si>
    <t>1996 DEC 27</t>
  </si>
  <si>
    <t>1997 JAN 9</t>
  </si>
  <si>
    <t>1997 FEB 2</t>
  </si>
  <si>
    <t>1997 MAR 10</t>
  </si>
  <si>
    <t>1997 APR 1</t>
  </si>
  <si>
    <t>1997 APR 15</t>
  </si>
  <si>
    <t>1997 MAY 3</t>
  </si>
  <si>
    <t>1997 MAY 16</t>
  </si>
  <si>
    <t>1997 JUN 1</t>
  </si>
  <si>
    <t>1997 JUN 20</t>
  </si>
  <si>
    <t>1997 JUL 8</t>
  </si>
  <si>
    <t>1997 JUL 23</t>
  </si>
  <si>
    <t>1997 AUG 9</t>
  </si>
  <si>
    <t>1997 SEP 8</t>
  </si>
  <si>
    <t>1997 SEP 26</t>
  </si>
  <si>
    <t>1997 OCT 12</t>
  </si>
  <si>
    <t>1997 OCT 28</t>
  </si>
  <si>
    <t>1997 NOV 16</t>
  </si>
  <si>
    <t>1997 DEC 1</t>
  </si>
  <si>
    <t>1997 DEC 24</t>
  </si>
  <si>
    <t>1998 FEB 22</t>
  </si>
  <si>
    <t>1998 MAR 6</t>
  </si>
  <si>
    <t>1998 MAR 25</t>
  </si>
  <si>
    <t>1998 MAY 15</t>
  </si>
  <si>
    <t>1998 MAY 29</t>
  </si>
  <si>
    <t>1998 JUN 16</t>
  </si>
  <si>
    <t>1998 JUL 3</t>
  </si>
  <si>
    <t>1998 JUL 20</t>
  </si>
  <si>
    <t>1998 AUG 7</t>
  </si>
  <si>
    <t>1998 AUG 23</t>
  </si>
  <si>
    <t>1998 SEP 8</t>
  </si>
  <si>
    <t>1998 SEP 23</t>
  </si>
  <si>
    <t>1998 OCT 16</t>
  </si>
  <si>
    <t>1998 OCT 30</t>
  </si>
  <si>
    <t>1998 NOV 13</t>
  </si>
  <si>
    <t>1998 DEC 13</t>
  </si>
  <si>
    <t>1999 JAN 31</t>
  </si>
  <si>
    <t>1999 FEB 23</t>
  </si>
  <si>
    <t>1999 MAR 14</t>
  </si>
  <si>
    <t>1999 APR 8</t>
  </si>
  <si>
    <t>1999 MAY 15</t>
  </si>
  <si>
    <t>1999 MAY 31</t>
  </si>
  <si>
    <t>1999 JUN 15</t>
  </si>
  <si>
    <t>1999 JUL 9</t>
  </si>
  <si>
    <t>1999 JUL 22</t>
  </si>
  <si>
    <t>1999 AUG 9</t>
  </si>
  <si>
    <t>1999 AUG 22</t>
  </si>
  <si>
    <t>1999 SEP 8</t>
  </si>
  <si>
    <t>1999 SEP 20</t>
  </si>
  <si>
    <t>1999 OCT 7</t>
  </si>
  <si>
    <t>1999 OCT 20</t>
  </si>
  <si>
    <t>1999 NOV 5</t>
  </si>
  <si>
    <t>1999 NOV 22</t>
  </si>
  <si>
    <t>1999 DEC 7</t>
  </si>
  <si>
    <t>1999 DEC 18</t>
  </si>
  <si>
    <t>2000 JAN 17</t>
  </si>
  <si>
    <t>2000 FEB 4</t>
  </si>
  <si>
    <t>2000 MAR 8</t>
  </si>
  <si>
    <t>2000 MAR 31</t>
  </si>
  <si>
    <t>2000 APR 16</t>
  </si>
  <si>
    <t>2000 MAY 2</t>
  </si>
  <si>
    <t>2000 MAY 21</t>
  </si>
  <si>
    <t>2000 JUN 4</t>
  </si>
  <si>
    <t>2000 JUN 23</t>
  </si>
  <si>
    <t>2000 JUL 9</t>
  </si>
  <si>
    <t>2000 JUL 25</t>
  </si>
  <si>
    <t>2000 AUG 8</t>
  </si>
  <si>
    <t>2000 AUG 25</t>
  </si>
  <si>
    <t>2000 SEP 26</t>
  </si>
  <si>
    <t>2000 OCT 10</t>
  </si>
  <si>
    <t>2000 OCT 27</t>
  </si>
  <si>
    <t>2000 NOV 10</t>
  </si>
  <si>
    <t>2000 NOV 27</t>
  </si>
  <si>
    <t>2001 JAN 13</t>
  </si>
  <si>
    <t>2001 FEB 22</t>
  </si>
  <si>
    <t>2001 MAR 11</t>
  </si>
  <si>
    <t>2001 MAR 27</t>
  </si>
  <si>
    <t>2001 APR 21</t>
  </si>
  <si>
    <t>2001 MAY 6</t>
  </si>
  <si>
    <t>2001 MAY 21</t>
  </si>
  <si>
    <t>2001 JUN 6</t>
  </si>
  <si>
    <t>2001 JUN 24</t>
  </si>
  <si>
    <t>2001 JUL 11</t>
  </si>
  <si>
    <t>2001 JUL 25</t>
  </si>
  <si>
    <t>2001 AUG 13</t>
  </si>
  <si>
    <t>2001 AUG 25</t>
  </si>
  <si>
    <t>2001 SEP 13</t>
  </si>
  <si>
    <t>2001 SEP 26</t>
  </si>
  <si>
    <t>2001 OCT 12</t>
  </si>
  <si>
    <t>2001 OCT 30</t>
  </si>
  <si>
    <t>2001 NOV 11</t>
  </si>
  <si>
    <t>2001 DEC 7</t>
  </si>
  <si>
    <t>2001 DEC 23</t>
  </si>
  <si>
    <t>2002 FEB 16</t>
  </si>
  <si>
    <t>2002 MAR 3</t>
  </si>
  <si>
    <t>2002 MAY 12</t>
  </si>
  <si>
    <t>2002 MAY 31</t>
  </si>
  <si>
    <t>2002 JUN 16</t>
  </si>
  <si>
    <t>2002 JUN 29</t>
  </si>
  <si>
    <t>2002 JUL 13</t>
  </si>
  <si>
    <t>2002 AUG 3</t>
  </si>
  <si>
    <t>2002 SEP 4</t>
  </si>
  <si>
    <t>2002 SEP 19</t>
  </si>
  <si>
    <t>2002 OCT 4</t>
  </si>
  <si>
    <t>2002 OCT 23</t>
  </si>
  <si>
    <t>2002 NOV 9</t>
  </si>
  <si>
    <t>2002 NOV 23</t>
  </si>
  <si>
    <t>2002 DEC 8</t>
  </si>
  <si>
    <t>2003 APR 3</t>
  </si>
  <si>
    <t>2003 MAY 12</t>
  </si>
  <si>
    <t>2003 MAY 29</t>
  </si>
  <si>
    <t>2003 JUN 20</t>
  </si>
  <si>
    <t>2003 JUL 7</t>
  </si>
  <si>
    <t>2003 AUG 2</t>
  </si>
  <si>
    <t>2003 AUG 20</t>
  </si>
  <si>
    <t>2003 SEP 2</t>
  </si>
  <si>
    <t>2003 SEP 22</t>
  </si>
  <si>
    <t>2003 OCT 6</t>
  </si>
  <si>
    <t>2003 OCT 21</t>
  </si>
  <si>
    <t>2004 MAR 10</t>
  </si>
  <si>
    <t>2004 APR 4</t>
  </si>
  <si>
    <t>2004 APR 24</t>
  </si>
  <si>
    <t>2004 MAY 21</t>
  </si>
  <si>
    <t>2004 JUN 5</t>
  </si>
  <si>
    <t>2004 JUN 21</t>
  </si>
  <si>
    <t>2004 JUL 7</t>
  </si>
  <si>
    <t>2004 JUL 21</t>
  </si>
  <si>
    <t>2004 AUG 8</t>
  </si>
  <si>
    <t>2004 SEP 6</t>
  </si>
  <si>
    <t>2004 SEP 22</t>
  </si>
  <si>
    <t>2004 OCT 10</t>
  </si>
  <si>
    <t>2004 NOV 12</t>
  </si>
  <si>
    <t>2004 DEC 6</t>
  </si>
  <si>
    <t>2005 FEB 15</t>
  </si>
  <si>
    <t>2005 MAR 25</t>
  </si>
  <si>
    <t>2005 APR 12</t>
  </si>
  <si>
    <t>2005 APR 25</t>
  </si>
  <si>
    <t>2005 JUN 2</t>
  </si>
  <si>
    <t>2005 JUN 20</t>
  </si>
  <si>
    <t>2005 JUL 20</t>
  </si>
  <si>
    <t>2005 AUG 9</t>
  </si>
  <si>
    <t>2005 AUG 26</t>
  </si>
  <si>
    <t>2005 SEP 8</t>
  </si>
  <si>
    <t>2005 SEP 26</t>
  </si>
  <si>
    <t>2005 OCT 7</t>
  </si>
  <si>
    <t>2005 NOV 7</t>
  </si>
  <si>
    <t>2005 NOV 21</t>
  </si>
  <si>
    <t>2005 DEC 20</t>
  </si>
  <si>
    <t>2006 APR 4</t>
  </si>
  <si>
    <t>2006 MAY 10</t>
  </si>
  <si>
    <t>2006 MAY 30</t>
  </si>
  <si>
    <t>2006 JUN 20</t>
  </si>
  <si>
    <t>2006 JUL 5</t>
  </si>
  <si>
    <t>2006 JUL 22</t>
  </si>
  <si>
    <t>2006 AUG 4</t>
  </si>
  <si>
    <t>2006 AUG 21</t>
  </si>
  <si>
    <t>2006 SEP 5</t>
  </si>
  <si>
    <t>2006 SEP 22</t>
  </si>
  <si>
    <t>2006 OCT 8</t>
  </si>
  <si>
    <t>2006 OCT 28</t>
  </si>
  <si>
    <t>2006 NOV 13</t>
  </si>
  <si>
    <t>2006 DEC 13</t>
  </si>
  <si>
    <t>2007 APR 16</t>
  </si>
  <si>
    <t>2007 MAY 14</t>
  </si>
  <si>
    <t>2007 MAY 31</t>
  </si>
  <si>
    <t>2007 JUN 13</t>
  </si>
  <si>
    <t>2007 JUN 29</t>
  </si>
  <si>
    <t>2007 JUL 19</t>
  </si>
  <si>
    <t>2007 AUG 22</t>
  </si>
  <si>
    <t>2007 SEP 5</t>
  </si>
  <si>
    <t>2007 SEP 18</t>
  </si>
  <si>
    <t>2007 OCT 6</t>
  </si>
  <si>
    <t>2007 NOV 8</t>
  </si>
  <si>
    <t>2008 MAR 12</t>
  </si>
  <si>
    <t>2008 APR 17</t>
  </si>
  <si>
    <t>2008 MAY 27</t>
  </si>
  <si>
    <t>2008 JUN 11</t>
  </si>
  <si>
    <t>2008 JUL 15</t>
  </si>
  <si>
    <t>2008 AUG 15</t>
  </si>
  <si>
    <t>2008 SEP 17</t>
  </si>
  <si>
    <t>2008 OCT 1</t>
  </si>
  <si>
    <t>2008 OCT 16</t>
  </si>
  <si>
    <t>2008 OCT 29</t>
  </si>
  <si>
    <t>2008 NOV 26</t>
  </si>
  <si>
    <t>2009 MAR 5</t>
  </si>
  <si>
    <t>2009 APR 9</t>
  </si>
  <si>
    <t>2009 APR 26</t>
  </si>
  <si>
    <t>2009 MAY 18</t>
  </si>
  <si>
    <t>2009 MAY 31</t>
  </si>
  <si>
    <t>2009 JUN 17</t>
  </si>
  <si>
    <t>2009 JUL 18</t>
  </si>
  <si>
    <t>2009 AUG 4</t>
  </si>
  <si>
    <t>2009 AUG 20</t>
  </si>
  <si>
    <t>2009 SEP 4</t>
  </si>
  <si>
    <t>2009 SEP 19</t>
  </si>
  <si>
    <t>2009 OCT 22</t>
  </si>
  <si>
    <t>2009 NOV 7</t>
  </si>
  <si>
    <t>2009 DEC 7</t>
  </si>
  <si>
    <t>2010 JAN 9</t>
  </si>
  <si>
    <t>2010 JAN 22</t>
  </si>
  <si>
    <t>2010 MAR 5</t>
  </si>
  <si>
    <t>2010 MAR 23</t>
  </si>
  <si>
    <t>2010 APR 14</t>
  </si>
  <si>
    <t>2010 MAY 2</t>
  </si>
  <si>
    <t>2010 MAY 17</t>
  </si>
  <si>
    <t>2010 JUN 20</t>
  </si>
  <si>
    <t>2010 JUL 23</t>
  </si>
  <si>
    <t>2010 AUG 10</t>
  </si>
  <si>
    <t>2010 AUG 26</t>
  </si>
  <si>
    <t>2010 SEP 28</t>
  </si>
  <si>
    <t>2010 OCT 29</t>
  </si>
  <si>
    <t>2010 NOV 16</t>
  </si>
  <si>
    <t>2011 MAY 4</t>
  </si>
  <si>
    <t>2011 MAY 30</t>
  </si>
  <si>
    <t>2011 JUN 13</t>
  </si>
  <si>
    <t>2011 JUN 29</t>
  </si>
  <si>
    <t>2011 JUL 17</t>
  </si>
  <si>
    <t>2011 AUG 17</t>
  </si>
  <si>
    <t>2011 AUG 29</t>
  </si>
  <si>
    <t>2011 OCT 3</t>
  </si>
  <si>
    <t>2011 NOV 23</t>
  </si>
  <si>
    <t>2011 DEC 11</t>
  </si>
  <si>
    <t>2012 APR 17</t>
  </si>
  <si>
    <t>2012 MAY 17</t>
  </si>
  <si>
    <t>2012 MAY 31</t>
  </si>
  <si>
    <t>2012 JUN 19</t>
  </si>
  <si>
    <t>2012 JUL 7</t>
  </si>
  <si>
    <t>2012 JUL 20</t>
  </si>
  <si>
    <t>2012 AUG 5</t>
  </si>
  <si>
    <t>2012 SEP 8</t>
  </si>
  <si>
    <t>2012 SEP 21</t>
  </si>
  <si>
    <t>2012 OCT 7</t>
  </si>
  <si>
    <t>2012 OCT 18</t>
  </si>
  <si>
    <t>2012 NOV 13</t>
  </si>
  <si>
    <t>2012 NOV 25</t>
  </si>
  <si>
    <t>2013 APR 15</t>
  </si>
  <si>
    <t>2013 MAY 1</t>
  </si>
  <si>
    <t>2013 MAY 19</t>
  </si>
  <si>
    <t>2013 JUN 9</t>
  </si>
  <si>
    <t>2013 JUN 29</t>
  </si>
  <si>
    <t>2013 AUG 3</t>
  </si>
  <si>
    <t>2013 AUG 14</t>
  </si>
  <si>
    <t>2013 AUG 31</t>
  </si>
  <si>
    <t>2013 SEP 17</t>
  </si>
  <si>
    <t>2013 OCT 1</t>
  </si>
  <si>
    <t>2013 OCT 13</t>
  </si>
  <si>
    <t>2013 NOV 16</t>
  </si>
  <si>
    <t>2014 MAR 24</t>
  </si>
  <si>
    <t>2014 APR 12</t>
  </si>
  <si>
    <t>2014 MAY 3</t>
  </si>
  <si>
    <t>2014 JUN 6</t>
  </si>
  <si>
    <t>2014 JUN 22</t>
  </si>
  <si>
    <t>2014 JUL 9</t>
  </si>
  <si>
    <t>2014 JUL 24</t>
  </si>
  <si>
    <t>2014 AUG 12</t>
  </si>
  <si>
    <t>2014 SEP 10</t>
  </si>
  <si>
    <t>2014 SEP 24</t>
  </si>
  <si>
    <t>2014 OCT 22</t>
  </si>
  <si>
    <t>2014 NOV 9</t>
  </si>
  <si>
    <t>2014 NOV 22</t>
  </si>
  <si>
    <t>2015 MAR 14</t>
  </si>
  <si>
    <t>2015 JUN 6</t>
  </si>
  <si>
    <t>2015 JUL 8</t>
  </si>
  <si>
    <t>2015 JUL 20</t>
  </si>
  <si>
    <t>2015 AUG 7</t>
  </si>
  <si>
    <t>2015 AUG 21</t>
  </si>
  <si>
    <t>2015 SEP 9</t>
  </si>
  <si>
    <t>2015 SEP 24</t>
  </si>
  <si>
    <t>2015 OCT 12</t>
  </si>
  <si>
    <t>2015 OCT 26</t>
  </si>
  <si>
    <t>2015 NOV 9</t>
  </si>
  <si>
    <t>2015 NOV 29</t>
  </si>
  <si>
    <t>2015 DEC 10</t>
  </si>
  <si>
    <t>2016 MAR 14</t>
  </si>
  <si>
    <t>2016 APR 26</t>
  </si>
  <si>
    <t>2016 MAY 9</t>
  </si>
  <si>
    <t>2016 JUN 2</t>
  </si>
  <si>
    <t>2016 JUN 13</t>
  </si>
  <si>
    <t>2016 JUL 2</t>
  </si>
  <si>
    <t>2016 JUL 19</t>
  </si>
  <si>
    <t>2016 AUG 22</t>
  </si>
  <si>
    <t>2016 SEP 3</t>
  </si>
  <si>
    <t>2016 SEP 22</t>
  </si>
  <si>
    <t>2016 OCT 5</t>
  </si>
  <si>
    <t>2016 OCT 23</t>
  </si>
  <si>
    <t>2016 NOV 18</t>
  </si>
  <si>
    <t>2001 MAY 9</t>
  </si>
  <si>
    <t>2001 MAY 23</t>
  </si>
  <si>
    <t>2005 MAY 1</t>
  </si>
  <si>
    <t>2005 MAY 6</t>
  </si>
  <si>
    <t>2005 MAY 10</t>
  </si>
  <si>
    <t>2005 MAY 14</t>
  </si>
  <si>
    <t>2005 MAY 20</t>
  </si>
  <si>
    <t>2005 MAY 22</t>
  </si>
  <si>
    <t>2005 JUN 1</t>
  </si>
  <si>
    <t>2005 JUN 3</t>
  </si>
  <si>
    <t>2005 JUN 13</t>
  </si>
  <si>
    <t>2005 JUN 15</t>
  </si>
  <si>
    <t>2005 JUN 25</t>
  </si>
  <si>
    <t>2005 JUN 28</t>
  </si>
  <si>
    <t>2005 JUL 5</t>
  </si>
  <si>
    <t>2006 AUG 8</t>
  </si>
  <si>
    <t>2007 FEB 27</t>
  </si>
  <si>
    <t>2007 MAR 4</t>
  </si>
  <si>
    <t>2007 MAR 9</t>
  </si>
  <si>
    <t>2007 MAR 11</t>
  </si>
  <si>
    <t>2007 MAR 14</t>
  </si>
  <si>
    <t>2007 MAR 16</t>
  </si>
  <si>
    <t>2007 MAR 26</t>
  </si>
  <si>
    <t>2007 APR 11</t>
  </si>
  <si>
    <t>2007 APR 19</t>
  </si>
  <si>
    <t>2007 APR 21</t>
  </si>
  <si>
    <t>2007 APR 24</t>
  </si>
  <si>
    <t>2007 MAY 9</t>
  </si>
  <si>
    <t>2007 MAY 10</t>
  </si>
  <si>
    <t>2007 MAY 16</t>
  </si>
  <si>
    <t>2007 MAY 18</t>
  </si>
  <si>
    <t>2007 MAY 22</t>
  </si>
  <si>
    <t>2007 JUL 13</t>
  </si>
  <si>
    <t>2007 JUL 26</t>
  </si>
  <si>
    <t>2008 MAR 17</t>
  </si>
  <si>
    <t>2008 MAR 29</t>
  </si>
  <si>
    <t>2008 APR 13</t>
  </si>
  <si>
    <t>2009 MAY 1</t>
  </si>
  <si>
    <t>2009 MAY 20</t>
  </si>
  <si>
    <t>2009 MAY 24</t>
  </si>
  <si>
    <t>2009 MAY 25</t>
  </si>
  <si>
    <t>2009 MAY 30</t>
  </si>
  <si>
    <t>2009 JUN 1</t>
  </si>
  <si>
    <t>2009 JUN 28</t>
  </si>
  <si>
    <t>2010 APR 17</t>
  </si>
  <si>
    <t>2010 APR 19</t>
  </si>
  <si>
    <t>2010 APR 23</t>
  </si>
  <si>
    <t>2010 MAY 21</t>
  </si>
  <si>
    <t>2010 JUL 29</t>
  </si>
  <si>
    <t>2010 JUL 31</t>
  </si>
  <si>
    <t>2010 AUG 3</t>
  </si>
  <si>
    <t>2011 MAY 7</t>
  </si>
  <si>
    <t>2011 MAY 21</t>
  </si>
  <si>
    <t>2011 JUN 20</t>
  </si>
  <si>
    <t>2011 AUG 8</t>
  </si>
  <si>
    <t>2012 MAR 15</t>
  </si>
  <si>
    <t>2012 MAY 13</t>
  </si>
  <si>
    <t>2012 MAY 19</t>
  </si>
  <si>
    <t>2012 MAY 29</t>
  </si>
  <si>
    <t>2012 JUL 17</t>
  </si>
  <si>
    <t>2012 JUL 23</t>
  </si>
  <si>
    <t>2012 AUG 9</t>
  </si>
  <si>
    <t>2013 APR 25</t>
  </si>
  <si>
    <t>2013 MAY 5</t>
  </si>
  <si>
    <t>2013 MAY 12</t>
  </si>
  <si>
    <t>2013 MAY 26</t>
  </si>
  <si>
    <t>2013 JUN 1</t>
  </si>
  <si>
    <t>2013 JUN 21</t>
  </si>
  <si>
    <t>2013 JUN 22</t>
  </si>
  <si>
    <t>2013 JUN 27</t>
  </si>
  <si>
    <t>2013 AUG 28</t>
  </si>
  <si>
    <t>2013 SEP 4</t>
  </si>
  <si>
    <t>2014 MAY 24</t>
  </si>
  <si>
    <t>2014 MAY 28</t>
  </si>
  <si>
    <t>2014 JUL 17</t>
  </si>
  <si>
    <t>2015 MAY 14</t>
  </si>
  <si>
    <t>2015 MAY 23</t>
  </si>
  <si>
    <t>2015 JUN 27</t>
  </si>
  <si>
    <t>2015 AUG 1</t>
  </si>
  <si>
    <t>2015 SEP 5</t>
  </si>
  <si>
    <t>2015 NOV 1</t>
  </si>
  <si>
    <t>B-V</t>
  </si>
  <si>
    <t>2009 MAY 29</t>
  </si>
  <si>
    <t>2013 MAY 27</t>
  </si>
  <si>
    <t>V443 Her(V)</t>
  </si>
  <si>
    <t>2017 MAR 13</t>
  </si>
  <si>
    <t>2017 MAR 30</t>
  </si>
  <si>
    <t>2017 MAY 27</t>
  </si>
  <si>
    <t>2017 MAY 31</t>
  </si>
  <si>
    <t>2017 JUL 13</t>
  </si>
  <si>
    <t>2017 JUL 15</t>
  </si>
  <si>
    <t>2017 JUL 17</t>
  </si>
  <si>
    <t>2017 JUL 19</t>
  </si>
  <si>
    <t>2017 JUL 20</t>
  </si>
  <si>
    <t>2017 AUG 1</t>
  </si>
  <si>
    <t>2017 AUG 3</t>
  </si>
  <si>
    <t>2017 AUG 26</t>
  </si>
  <si>
    <t>2017 SEP 11</t>
  </si>
  <si>
    <t>2017 SEP 23</t>
  </si>
  <si>
    <t>2018 FEB 11</t>
  </si>
  <si>
    <t>2018 MAR 2</t>
  </si>
  <si>
    <t>2018 APR 20</t>
  </si>
  <si>
    <t>2018 MAY 4</t>
  </si>
  <si>
    <t>2018 MAY 20</t>
  </si>
  <si>
    <t>2018 MAY 25</t>
  </si>
  <si>
    <t>2018 JUL 8</t>
  </si>
  <si>
    <t>2018 JUL 17</t>
  </si>
  <si>
    <t>2018 JUL 22</t>
  </si>
  <si>
    <t>2018 JUL 26</t>
  </si>
  <si>
    <t>2018 JUL 29</t>
  </si>
  <si>
    <t>2018 JUL 31</t>
  </si>
  <si>
    <t>2018 AUG 6</t>
  </si>
  <si>
    <t>2018 AUG 29</t>
  </si>
  <si>
    <t>2018 SEP 10</t>
  </si>
  <si>
    <t>2018 SEP 17</t>
  </si>
  <si>
    <t>2018 SEP 26</t>
  </si>
  <si>
    <t>2019 JAN 15</t>
  </si>
  <si>
    <t>2019 FEB 17</t>
  </si>
  <si>
    <t>2019 FEB 28</t>
  </si>
  <si>
    <t>2019 MAR 11</t>
  </si>
  <si>
    <t>2019 MAR 14</t>
  </si>
  <si>
    <t>2019 MAR 17</t>
  </si>
  <si>
    <t>2019 MAR 28</t>
  </si>
  <si>
    <t>2019 MAR 31</t>
  </si>
  <si>
    <t>2019 MAY 31</t>
  </si>
  <si>
    <t>2020 FEB 20</t>
  </si>
  <si>
    <t>2020 APR 7</t>
  </si>
  <si>
    <t>2020 APR 11</t>
  </si>
  <si>
    <t>2020 MAY 20</t>
  </si>
  <si>
    <t>2020 MAY 21</t>
  </si>
  <si>
    <t>2020 MAY 25</t>
  </si>
  <si>
    <t>2020 MAY 28</t>
  </si>
  <si>
    <t>2020 JUN 1</t>
  </si>
  <si>
    <t>2020 JUL 20</t>
  </si>
  <si>
    <t>2020 SEP 18</t>
  </si>
  <si>
    <t>2020 SEP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</si>
</sst>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5" x14ac:knownFonts="1">
    <font>
      <sz val="11"/>
      <color theme="1"/>
      <name val="Calibri"/>
      <family val="2"/>
      <scheme val="minor"/>
    </font>
    <font>
      <u/>
      <sz val="12"/>
      <color theme="10"/>
      <name val="Calibri"/>
      <family val="2"/>
    </font>
    <font>
      <sz val="12"/>
      <color rgb="FF000000"/>
      <name val="Calibri"/>
      <family val="2"/>
      <scheme val="minor"/>
    </font>
    <font>
      <sz val="9"/>
      <color theme="1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vertical="center" wrapText="1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0" xfId="0" applyFill="1"/>
    <xf numFmtId="0" fontId="0" fillId="2" borderId="1" xfId="0" applyFill="1" applyBorder="1" applyAlignment="1">
      <alignment horizontal="right"/>
    </xf>
    <xf numFmtId="0" fontId="1" fillId="2" borderId="1" xfId="1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1" fillId="4" borderId="2" xfId="1" applyFill="1" applyBorder="1" applyAlignment="1">
      <alignment horizontal="left"/>
    </xf>
    <xf numFmtId="0" fontId="1" fillId="4" borderId="1" xfId="1" applyFill="1" applyBorder="1" applyAlignment="1">
      <alignment horizontal="left"/>
    </xf>
    <xf numFmtId="0" fontId="0" fillId="4" borderId="1" xfId="0" applyFont="1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0" fillId="2" borderId="0" xfId="0" applyFill="1"/>
    <xf numFmtId="0" fontId="0" fillId="6" borderId="0" xfId="0" applyFill="1"/>
    <xf numFmtId="0" fontId="0" fillId="2" borderId="0" xfId="0" applyFill="1" applyAlignment="1">
      <alignment horizontal="right"/>
    </xf>
    <xf numFmtId="2" fontId="0" fillId="2" borderId="0" xfId="0" applyNumberFormat="1" applyFill="1"/>
    <xf numFmtId="1" fontId="0" fillId="2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0" fontId="0" fillId="7" borderId="0" xfId="0" applyFill="1"/>
    <xf numFmtId="2" fontId="0" fillId="0" borderId="0" xfId="0" applyNumberFormat="1"/>
    <xf numFmtId="1" fontId="2" fillId="5" borderId="1" xfId="0" applyNumberFormat="1" applyFont="1" applyFill="1" applyBorder="1" applyAlignment="1">
      <alignment horizontal="center"/>
    </xf>
    <xf numFmtId="14" fontId="2" fillId="5" borderId="1" xfId="0" applyNumberFormat="1" applyFont="1" applyFill="1" applyBorder="1" applyAlignment="1">
      <alignment horizontal="center"/>
    </xf>
    <xf numFmtId="164" fontId="2" fillId="5" borderId="1" xfId="0" applyNumberFormat="1" applyFont="1" applyFill="1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1" fontId="0" fillId="0" borderId="0" xfId="0" applyNumberForma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V443 Her(V)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V!$A$1:$A$1194</c:f>
              <c:numCache>
                <c:formatCode>General</c:formatCode>
                <c:ptCount val="1194"/>
                <c:pt idx="0">
                  <c:v>2452039.4879999999</c:v>
                </c:pt>
                <c:pt idx="1">
                  <c:v>2452046.42</c:v>
                </c:pt>
                <c:pt idx="2">
                  <c:v>2452053.3870000001</c:v>
                </c:pt>
                <c:pt idx="3">
                  <c:v>2453491.88295</c:v>
                </c:pt>
                <c:pt idx="4">
                  <c:v>2453496.8417400001</c:v>
                </c:pt>
                <c:pt idx="5">
                  <c:v>2453500.9115200001</c:v>
                </c:pt>
                <c:pt idx="6">
                  <c:v>2453504.8312400002</c:v>
                </c:pt>
                <c:pt idx="7">
                  <c:v>2453511.2485699998</c:v>
                </c:pt>
                <c:pt idx="8">
                  <c:v>2453512.7522300002</c:v>
                </c:pt>
                <c:pt idx="9">
                  <c:v>2453522.7119900002</c:v>
                </c:pt>
                <c:pt idx="10">
                  <c:v>2453524.9456099998</c:v>
                </c:pt>
                <c:pt idx="11">
                  <c:v>2453534.7465300001</c:v>
                </c:pt>
                <c:pt idx="12">
                  <c:v>2453536.72156</c:v>
                </c:pt>
                <c:pt idx="13">
                  <c:v>2453546.7585</c:v>
                </c:pt>
                <c:pt idx="14">
                  <c:v>2453549.8317999998</c:v>
                </c:pt>
                <c:pt idx="15">
                  <c:v>2453556.6966800001</c:v>
                </c:pt>
                <c:pt idx="16">
                  <c:v>2453956.3881000001</c:v>
                </c:pt>
                <c:pt idx="17">
                  <c:v>2454145.7171999998</c:v>
                </c:pt>
                <c:pt idx="18">
                  <c:v>2454148.7086</c:v>
                </c:pt>
                <c:pt idx="19">
                  <c:v>2454152.7148000002</c:v>
                </c:pt>
                <c:pt idx="20">
                  <c:v>2454158.7022000002</c:v>
                </c:pt>
                <c:pt idx="21">
                  <c:v>2454163.6677000001</c:v>
                </c:pt>
                <c:pt idx="22">
                  <c:v>2454168.6889</c:v>
                </c:pt>
                <c:pt idx="23">
                  <c:v>2454171.1581999999</c:v>
                </c:pt>
                <c:pt idx="24">
                  <c:v>2454173.6797500001</c:v>
                </c:pt>
                <c:pt idx="25">
                  <c:v>2454175.6353000002</c:v>
                </c:pt>
                <c:pt idx="26">
                  <c:v>2454185.9416999999</c:v>
                </c:pt>
                <c:pt idx="27">
                  <c:v>2454201.64542</c:v>
                </c:pt>
                <c:pt idx="28">
                  <c:v>2454209.5758000002</c:v>
                </c:pt>
                <c:pt idx="29">
                  <c:v>2454211.5913</c:v>
                </c:pt>
                <c:pt idx="30">
                  <c:v>2454214.5611999999</c:v>
                </c:pt>
                <c:pt idx="31">
                  <c:v>2454229.5559</c:v>
                </c:pt>
                <c:pt idx="32">
                  <c:v>2454231.4964000001</c:v>
                </c:pt>
                <c:pt idx="33">
                  <c:v>2454236.5362999998</c:v>
                </c:pt>
                <c:pt idx="34">
                  <c:v>2454238.5539000002</c:v>
                </c:pt>
                <c:pt idx="35">
                  <c:v>2454243.4840000002</c:v>
                </c:pt>
                <c:pt idx="36">
                  <c:v>2454295.4105000002</c:v>
                </c:pt>
                <c:pt idx="37">
                  <c:v>2454308.3985000001</c:v>
                </c:pt>
                <c:pt idx="38">
                  <c:v>2454542.9515999998</c:v>
                </c:pt>
                <c:pt idx="39">
                  <c:v>2454554.6617000001</c:v>
                </c:pt>
                <c:pt idx="40">
                  <c:v>2454569.7603000002</c:v>
                </c:pt>
                <c:pt idx="41">
                  <c:v>2454734.5222</c:v>
                </c:pt>
                <c:pt idx="42">
                  <c:v>2454742.5178</c:v>
                </c:pt>
                <c:pt idx="43">
                  <c:v>2454952.5821000002</c:v>
                </c:pt>
                <c:pt idx="44">
                  <c:v>2454971.5301999999</c:v>
                </c:pt>
                <c:pt idx="45">
                  <c:v>2454975.8117999998</c:v>
                </c:pt>
                <c:pt idx="46">
                  <c:v>2454977.0159900002</c:v>
                </c:pt>
                <c:pt idx="47">
                  <c:v>2454981.5380000002</c:v>
                </c:pt>
                <c:pt idx="48">
                  <c:v>2454982.5633700001</c:v>
                </c:pt>
                <c:pt idx="49">
                  <c:v>2454983.56428</c:v>
                </c:pt>
                <c:pt idx="50">
                  <c:v>2455011.4956</c:v>
                </c:pt>
                <c:pt idx="51">
                  <c:v>2455296.6061999998</c:v>
                </c:pt>
                <c:pt idx="52">
                  <c:v>2455304.1085600001</c:v>
                </c:pt>
                <c:pt idx="53">
                  <c:v>2455305.6075599999</c:v>
                </c:pt>
                <c:pt idx="54">
                  <c:v>2455307.1087600002</c:v>
                </c:pt>
                <c:pt idx="55">
                  <c:v>2455310.1056400002</c:v>
                </c:pt>
                <c:pt idx="56">
                  <c:v>2455338.4752000002</c:v>
                </c:pt>
                <c:pt idx="57">
                  <c:v>2455406.5460000001</c:v>
                </c:pt>
                <c:pt idx="58">
                  <c:v>2455408.5455800002</c:v>
                </c:pt>
                <c:pt idx="59">
                  <c:v>2455412.3870000001</c:v>
                </c:pt>
                <c:pt idx="60">
                  <c:v>2455429.3283000002</c:v>
                </c:pt>
                <c:pt idx="61">
                  <c:v>2455439.4640000002</c:v>
                </c:pt>
                <c:pt idx="62">
                  <c:v>2455688.5345100001</c:v>
                </c:pt>
                <c:pt idx="63">
                  <c:v>2455702.5613000002</c:v>
                </c:pt>
                <c:pt idx="64">
                  <c:v>2455732.5408999999</c:v>
                </c:pt>
                <c:pt idx="65">
                  <c:v>2455782.3957000002</c:v>
                </c:pt>
                <c:pt idx="66">
                  <c:v>2455988.6875</c:v>
                </c:pt>
                <c:pt idx="67">
                  <c:v>2456001.6647999999</c:v>
                </c:pt>
                <c:pt idx="68">
                  <c:v>2456060.5095299999</c:v>
                </c:pt>
                <c:pt idx="69">
                  <c:v>2456066.5190300001</c:v>
                </c:pt>
                <c:pt idx="70">
                  <c:v>2456077.4471900002</c:v>
                </c:pt>
                <c:pt idx="71">
                  <c:v>2456126.4167900002</c:v>
                </c:pt>
                <c:pt idx="72">
                  <c:v>2456132.4236099999</c:v>
                </c:pt>
                <c:pt idx="73">
                  <c:v>2456146.4302099999</c:v>
                </c:pt>
                <c:pt idx="74">
                  <c:v>2456149.3681200002</c:v>
                </c:pt>
                <c:pt idx="75">
                  <c:v>2456407.5684000002</c:v>
                </c:pt>
                <c:pt idx="76">
                  <c:v>2456417.5259400001</c:v>
                </c:pt>
                <c:pt idx="77">
                  <c:v>2456424.5978199998</c:v>
                </c:pt>
                <c:pt idx="78">
                  <c:v>2456439.4878799999</c:v>
                </c:pt>
                <c:pt idx="79">
                  <c:v>2456444.50789</c:v>
                </c:pt>
                <c:pt idx="80">
                  <c:v>2456464.6121899998</c:v>
                </c:pt>
                <c:pt idx="81">
                  <c:v>2456465.6146399998</c:v>
                </c:pt>
                <c:pt idx="82">
                  <c:v>2456471.4992399998</c:v>
                </c:pt>
                <c:pt idx="83">
                  <c:v>2456533.3700199998</c:v>
                </c:pt>
                <c:pt idx="84">
                  <c:v>2456540.3111999999</c:v>
                </c:pt>
                <c:pt idx="85">
                  <c:v>2456566.5066399998</c:v>
                </c:pt>
                <c:pt idx="86">
                  <c:v>2456802.4443999999</c:v>
                </c:pt>
                <c:pt idx="87">
                  <c:v>2456805.5784399998</c:v>
                </c:pt>
                <c:pt idx="88">
                  <c:v>2456856.4763500001</c:v>
                </c:pt>
                <c:pt idx="89">
                  <c:v>2457156.8599200002</c:v>
                </c:pt>
                <c:pt idx="90">
                  <c:v>2457165.8309499999</c:v>
                </c:pt>
                <c:pt idx="91">
                  <c:v>2457200.7313199998</c:v>
                </c:pt>
                <c:pt idx="92">
                  <c:v>2457235.6425899998</c:v>
                </c:pt>
                <c:pt idx="93">
                  <c:v>2457270.5467900001</c:v>
                </c:pt>
                <c:pt idx="94">
                  <c:v>2457328.3111</c:v>
                </c:pt>
                <c:pt idx="95">
                  <c:v>2457329.3111</c:v>
                </c:pt>
                <c:pt idx="96">
                  <c:v>2457825.6638799999</c:v>
                </c:pt>
                <c:pt idx="97">
                  <c:v>2457842.64701</c:v>
                </c:pt>
                <c:pt idx="98">
                  <c:v>2457900.5609400002</c:v>
                </c:pt>
                <c:pt idx="99">
                  <c:v>2457904.50238</c:v>
                </c:pt>
                <c:pt idx="100">
                  <c:v>2457947.7022899999</c:v>
                </c:pt>
                <c:pt idx="101">
                  <c:v>2457949.6936900001</c:v>
                </c:pt>
                <c:pt idx="102">
                  <c:v>2457951.68676</c:v>
                </c:pt>
                <c:pt idx="103">
                  <c:v>2457953.66328</c:v>
                </c:pt>
                <c:pt idx="104">
                  <c:v>2457954.7533800001</c:v>
                </c:pt>
                <c:pt idx="105">
                  <c:v>2457966.7453000001</c:v>
                </c:pt>
                <c:pt idx="106">
                  <c:v>2457968.7135200002</c:v>
                </c:pt>
                <c:pt idx="107">
                  <c:v>2457991.5524800001</c:v>
                </c:pt>
                <c:pt idx="108">
                  <c:v>2458007.5992000001</c:v>
                </c:pt>
                <c:pt idx="109">
                  <c:v>2458019.5301600001</c:v>
                </c:pt>
                <c:pt idx="110">
                  <c:v>2458160.9900799999</c:v>
                </c:pt>
                <c:pt idx="111">
                  <c:v>2458179.9164900002</c:v>
                </c:pt>
                <c:pt idx="112">
                  <c:v>2458228.9261099999</c:v>
                </c:pt>
                <c:pt idx="113">
                  <c:v>2458242.7605900001</c:v>
                </c:pt>
                <c:pt idx="114">
                  <c:v>2458259.4146599998</c:v>
                </c:pt>
                <c:pt idx="115">
                  <c:v>2458263.8607299998</c:v>
                </c:pt>
                <c:pt idx="116">
                  <c:v>2458307.5147799999</c:v>
                </c:pt>
                <c:pt idx="117">
                  <c:v>2458317.4190199999</c:v>
                </c:pt>
                <c:pt idx="118">
                  <c:v>2458321.7513700002</c:v>
                </c:pt>
                <c:pt idx="119">
                  <c:v>2458325.7432599999</c:v>
                </c:pt>
                <c:pt idx="120">
                  <c:v>2458328.8707900001</c:v>
                </c:pt>
                <c:pt idx="121">
                  <c:v>2458330.8920300002</c:v>
                </c:pt>
                <c:pt idx="122">
                  <c:v>2458336.8246200001</c:v>
                </c:pt>
                <c:pt idx="123">
                  <c:v>2458359.7609299999</c:v>
                </c:pt>
                <c:pt idx="124">
                  <c:v>2458371.73184</c:v>
                </c:pt>
                <c:pt idx="125">
                  <c:v>2458378.7087699999</c:v>
                </c:pt>
                <c:pt idx="126">
                  <c:v>2458387.6862699999</c:v>
                </c:pt>
                <c:pt idx="127">
                  <c:v>2458499.0765200001</c:v>
                </c:pt>
                <c:pt idx="128">
                  <c:v>2458531.70988</c:v>
                </c:pt>
                <c:pt idx="129">
                  <c:v>2458542.6948699998</c:v>
                </c:pt>
                <c:pt idx="130">
                  <c:v>2458553.6811899999</c:v>
                </c:pt>
                <c:pt idx="131">
                  <c:v>2458556.68126</c:v>
                </c:pt>
                <c:pt idx="132">
                  <c:v>2458559.6716999998</c:v>
                </c:pt>
                <c:pt idx="133">
                  <c:v>2458570.6548299999</c:v>
                </c:pt>
                <c:pt idx="134">
                  <c:v>2458573.6538200001</c:v>
                </c:pt>
                <c:pt idx="135">
                  <c:v>2458635.4924099999</c:v>
                </c:pt>
                <c:pt idx="136">
                  <c:v>2458899.7064399999</c:v>
                </c:pt>
                <c:pt idx="137">
                  <c:v>2458946.6115700002</c:v>
                </c:pt>
                <c:pt idx="138">
                  <c:v>2458950.6464900002</c:v>
                </c:pt>
                <c:pt idx="139">
                  <c:v>2458990.4426199999</c:v>
                </c:pt>
                <c:pt idx="140">
                  <c:v>2458991.4861699999</c:v>
                </c:pt>
                <c:pt idx="141">
                  <c:v>2458994.5282800002</c:v>
                </c:pt>
                <c:pt idx="142">
                  <c:v>2458997.5071399999</c:v>
                </c:pt>
                <c:pt idx="143">
                  <c:v>2459001.5495000002</c:v>
                </c:pt>
                <c:pt idx="144">
                  <c:v>2459050.5068199998</c:v>
                </c:pt>
                <c:pt idx="145">
                  <c:v>2459111.3098300002</c:v>
                </c:pt>
                <c:pt idx="146">
                  <c:v>2459112.4179400001</c:v>
                </c:pt>
              </c:numCache>
            </c:numRef>
          </c:xVal>
          <c:yVal>
            <c:numRef>
              <c:f>V!$C$1:$C$1194</c:f>
              <c:numCache>
                <c:formatCode>General</c:formatCode>
                <c:ptCount val="1194"/>
                <c:pt idx="0">
                  <c:v>11.43</c:v>
                </c:pt>
                <c:pt idx="1">
                  <c:v>11.45</c:v>
                </c:pt>
                <c:pt idx="2">
                  <c:v>11.51</c:v>
                </c:pt>
                <c:pt idx="3">
                  <c:v>11.282</c:v>
                </c:pt>
                <c:pt idx="4">
                  <c:v>11.288</c:v>
                </c:pt>
                <c:pt idx="5">
                  <c:v>11.337</c:v>
                </c:pt>
                <c:pt idx="6">
                  <c:v>11.388</c:v>
                </c:pt>
                <c:pt idx="7">
                  <c:v>11.404500000000001</c:v>
                </c:pt>
                <c:pt idx="8">
                  <c:v>11.420999999999999</c:v>
                </c:pt>
                <c:pt idx="9">
                  <c:v>11.477</c:v>
                </c:pt>
                <c:pt idx="10">
                  <c:v>11.48</c:v>
                </c:pt>
                <c:pt idx="11">
                  <c:v>11.45</c:v>
                </c:pt>
                <c:pt idx="12">
                  <c:v>11.452999999999999</c:v>
                </c:pt>
                <c:pt idx="13">
                  <c:v>11.487</c:v>
                </c:pt>
                <c:pt idx="14">
                  <c:v>11.461</c:v>
                </c:pt>
                <c:pt idx="15">
                  <c:v>11.47</c:v>
                </c:pt>
                <c:pt idx="16">
                  <c:v>11.43</c:v>
                </c:pt>
                <c:pt idx="17">
                  <c:v>11.47</c:v>
                </c:pt>
                <c:pt idx="18">
                  <c:v>11.47</c:v>
                </c:pt>
                <c:pt idx="19">
                  <c:v>11.48</c:v>
                </c:pt>
                <c:pt idx="20">
                  <c:v>11.48</c:v>
                </c:pt>
                <c:pt idx="21">
                  <c:v>11.47</c:v>
                </c:pt>
                <c:pt idx="22">
                  <c:v>11.46</c:v>
                </c:pt>
                <c:pt idx="23">
                  <c:v>11.445</c:v>
                </c:pt>
                <c:pt idx="24">
                  <c:v>11.43</c:v>
                </c:pt>
                <c:pt idx="25">
                  <c:v>11.425000000000001</c:v>
                </c:pt>
                <c:pt idx="26">
                  <c:v>11.374000000000001</c:v>
                </c:pt>
                <c:pt idx="27">
                  <c:v>11.43125</c:v>
                </c:pt>
                <c:pt idx="28">
                  <c:v>11.46</c:v>
                </c:pt>
                <c:pt idx="29">
                  <c:v>11.46</c:v>
                </c:pt>
                <c:pt idx="30">
                  <c:v>11.455</c:v>
                </c:pt>
                <c:pt idx="31">
                  <c:v>11.51</c:v>
                </c:pt>
                <c:pt idx="32">
                  <c:v>11.52</c:v>
                </c:pt>
                <c:pt idx="33">
                  <c:v>11.5</c:v>
                </c:pt>
                <c:pt idx="34">
                  <c:v>11.52</c:v>
                </c:pt>
                <c:pt idx="35">
                  <c:v>11.53</c:v>
                </c:pt>
                <c:pt idx="36">
                  <c:v>11.59</c:v>
                </c:pt>
                <c:pt idx="37">
                  <c:v>11.67</c:v>
                </c:pt>
                <c:pt idx="38">
                  <c:v>11.276</c:v>
                </c:pt>
                <c:pt idx="39">
                  <c:v>11.383333</c:v>
                </c:pt>
                <c:pt idx="40">
                  <c:v>11.26</c:v>
                </c:pt>
                <c:pt idx="41">
                  <c:v>11.195</c:v>
                </c:pt>
                <c:pt idx="42">
                  <c:v>11.273</c:v>
                </c:pt>
                <c:pt idx="43">
                  <c:v>11.35</c:v>
                </c:pt>
                <c:pt idx="44">
                  <c:v>11.551</c:v>
                </c:pt>
                <c:pt idx="45">
                  <c:v>11.52575</c:v>
                </c:pt>
                <c:pt idx="46">
                  <c:v>11.537000000000001</c:v>
                </c:pt>
                <c:pt idx="47">
                  <c:v>11.507</c:v>
                </c:pt>
                <c:pt idx="48">
                  <c:v>11.464667</c:v>
                </c:pt>
                <c:pt idx="49">
                  <c:v>11.439333</c:v>
                </c:pt>
                <c:pt idx="50">
                  <c:v>11.497999999999999</c:v>
                </c:pt>
                <c:pt idx="51">
                  <c:v>11.19</c:v>
                </c:pt>
                <c:pt idx="52">
                  <c:v>11.195499999999999</c:v>
                </c:pt>
                <c:pt idx="53">
                  <c:v>11.21</c:v>
                </c:pt>
                <c:pt idx="54">
                  <c:v>11.2095</c:v>
                </c:pt>
                <c:pt idx="55">
                  <c:v>11.231</c:v>
                </c:pt>
                <c:pt idx="56">
                  <c:v>11.343999999999999</c:v>
                </c:pt>
                <c:pt idx="57">
                  <c:v>11.47</c:v>
                </c:pt>
                <c:pt idx="58">
                  <c:v>11.433</c:v>
                </c:pt>
                <c:pt idx="59">
                  <c:v>11.45</c:v>
                </c:pt>
                <c:pt idx="60">
                  <c:v>11.516999999999999</c:v>
                </c:pt>
                <c:pt idx="61">
                  <c:v>11.64</c:v>
                </c:pt>
                <c:pt idx="62">
                  <c:v>11.458</c:v>
                </c:pt>
                <c:pt idx="63">
                  <c:v>11.391</c:v>
                </c:pt>
                <c:pt idx="64">
                  <c:v>11.388999999999999</c:v>
                </c:pt>
                <c:pt idx="65">
                  <c:v>11.41</c:v>
                </c:pt>
                <c:pt idx="66">
                  <c:v>11.356999999999999</c:v>
                </c:pt>
                <c:pt idx="67">
                  <c:v>11.343</c:v>
                </c:pt>
                <c:pt idx="68">
                  <c:v>11.282</c:v>
                </c:pt>
                <c:pt idx="69">
                  <c:v>11.294</c:v>
                </c:pt>
                <c:pt idx="70">
                  <c:v>11.451000000000001</c:v>
                </c:pt>
                <c:pt idx="71">
                  <c:v>11.481999999999999</c:v>
                </c:pt>
                <c:pt idx="72">
                  <c:v>11.491</c:v>
                </c:pt>
                <c:pt idx="73">
                  <c:v>11.459</c:v>
                </c:pt>
                <c:pt idx="74">
                  <c:v>11.45</c:v>
                </c:pt>
                <c:pt idx="75">
                  <c:v>11.331</c:v>
                </c:pt>
                <c:pt idx="76">
                  <c:v>11.411</c:v>
                </c:pt>
                <c:pt idx="77">
                  <c:v>11.441000000000001</c:v>
                </c:pt>
                <c:pt idx="78">
                  <c:v>11.387</c:v>
                </c:pt>
                <c:pt idx="79">
                  <c:v>11.388</c:v>
                </c:pt>
                <c:pt idx="80">
                  <c:v>11.375</c:v>
                </c:pt>
                <c:pt idx="81">
                  <c:v>11.387</c:v>
                </c:pt>
                <c:pt idx="82">
                  <c:v>11.334</c:v>
                </c:pt>
                <c:pt idx="83">
                  <c:v>11.349</c:v>
                </c:pt>
                <c:pt idx="84">
                  <c:v>11.375999999999999</c:v>
                </c:pt>
                <c:pt idx="85">
                  <c:v>11.326000000000001</c:v>
                </c:pt>
                <c:pt idx="86">
                  <c:v>11.707000000000001</c:v>
                </c:pt>
                <c:pt idx="87">
                  <c:v>11.693</c:v>
                </c:pt>
                <c:pt idx="88">
                  <c:v>11.507</c:v>
                </c:pt>
                <c:pt idx="89">
                  <c:v>11.375999999999999</c:v>
                </c:pt>
                <c:pt idx="90">
                  <c:v>11.372999999999999</c:v>
                </c:pt>
                <c:pt idx="91">
                  <c:v>11.385</c:v>
                </c:pt>
                <c:pt idx="92">
                  <c:v>11.419</c:v>
                </c:pt>
                <c:pt idx="93">
                  <c:v>11.632999999999999</c:v>
                </c:pt>
                <c:pt idx="94">
                  <c:v>11.669</c:v>
                </c:pt>
                <c:pt idx="95">
                  <c:v>11.669</c:v>
                </c:pt>
                <c:pt idx="96">
                  <c:v>11.509</c:v>
                </c:pt>
                <c:pt idx="97">
                  <c:v>11.526999999999999</c:v>
                </c:pt>
                <c:pt idx="98">
                  <c:v>11.528</c:v>
                </c:pt>
                <c:pt idx="99">
                  <c:v>11.603</c:v>
                </c:pt>
                <c:pt idx="100">
                  <c:v>11.472</c:v>
                </c:pt>
                <c:pt idx="101">
                  <c:v>11.483000000000001</c:v>
                </c:pt>
                <c:pt idx="102">
                  <c:v>11.513500000000001</c:v>
                </c:pt>
                <c:pt idx="103">
                  <c:v>11.49</c:v>
                </c:pt>
                <c:pt idx="104">
                  <c:v>11.516</c:v>
                </c:pt>
                <c:pt idx="105">
                  <c:v>11.464</c:v>
                </c:pt>
                <c:pt idx="106">
                  <c:v>11.456</c:v>
                </c:pt>
                <c:pt idx="107">
                  <c:v>11.558</c:v>
                </c:pt>
                <c:pt idx="108">
                  <c:v>11.521000000000001</c:v>
                </c:pt>
                <c:pt idx="109">
                  <c:v>11.49</c:v>
                </c:pt>
                <c:pt idx="110">
                  <c:v>11.427</c:v>
                </c:pt>
                <c:pt idx="111">
                  <c:v>11.269</c:v>
                </c:pt>
                <c:pt idx="112">
                  <c:v>11.255000000000001</c:v>
                </c:pt>
                <c:pt idx="113">
                  <c:v>11.335000000000001</c:v>
                </c:pt>
                <c:pt idx="114">
                  <c:v>11.288</c:v>
                </c:pt>
                <c:pt idx="115">
                  <c:v>11.301</c:v>
                </c:pt>
                <c:pt idx="116">
                  <c:v>11.276</c:v>
                </c:pt>
                <c:pt idx="117">
                  <c:v>11.278</c:v>
                </c:pt>
                <c:pt idx="118">
                  <c:v>11.288</c:v>
                </c:pt>
                <c:pt idx="119">
                  <c:v>11.266</c:v>
                </c:pt>
                <c:pt idx="120">
                  <c:v>11.273</c:v>
                </c:pt>
                <c:pt idx="121">
                  <c:v>11.27</c:v>
                </c:pt>
                <c:pt idx="122">
                  <c:v>11.308</c:v>
                </c:pt>
                <c:pt idx="123">
                  <c:v>11.414999999999999</c:v>
                </c:pt>
                <c:pt idx="124">
                  <c:v>11.333</c:v>
                </c:pt>
                <c:pt idx="125">
                  <c:v>11.334</c:v>
                </c:pt>
                <c:pt idx="126">
                  <c:v>11.356999999999999</c:v>
                </c:pt>
                <c:pt idx="127">
                  <c:v>11.573</c:v>
                </c:pt>
                <c:pt idx="128">
                  <c:v>11.519</c:v>
                </c:pt>
                <c:pt idx="129">
                  <c:v>11.515000000000001</c:v>
                </c:pt>
                <c:pt idx="130">
                  <c:v>11.481</c:v>
                </c:pt>
                <c:pt idx="131">
                  <c:v>11.499000000000001</c:v>
                </c:pt>
                <c:pt idx="132">
                  <c:v>11.522</c:v>
                </c:pt>
                <c:pt idx="133">
                  <c:v>11.542999999999999</c:v>
                </c:pt>
                <c:pt idx="134">
                  <c:v>11.503</c:v>
                </c:pt>
                <c:pt idx="135">
                  <c:v>11.538</c:v>
                </c:pt>
                <c:pt idx="136">
                  <c:v>11.318</c:v>
                </c:pt>
                <c:pt idx="137">
                  <c:v>11.407999999999999</c:v>
                </c:pt>
                <c:pt idx="138">
                  <c:v>11.414</c:v>
                </c:pt>
                <c:pt idx="139">
                  <c:v>11.446</c:v>
                </c:pt>
                <c:pt idx="140">
                  <c:v>11.423</c:v>
                </c:pt>
                <c:pt idx="141">
                  <c:v>11.414</c:v>
                </c:pt>
                <c:pt idx="142">
                  <c:v>11.407</c:v>
                </c:pt>
                <c:pt idx="143">
                  <c:v>11.404999999999999</c:v>
                </c:pt>
                <c:pt idx="144">
                  <c:v>11.516999999999999</c:v>
                </c:pt>
                <c:pt idx="145">
                  <c:v>11.590999999999999</c:v>
                </c:pt>
                <c:pt idx="146">
                  <c:v>11.590999999999999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46-4CB0-8EF7-A8420A780A4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Index!$M$24:$M$133</c:f>
              <c:numCache>
                <c:formatCode>0</c:formatCode>
                <c:ptCount val="110"/>
                <c:pt idx="65">
                  <c:v>8954.6006999998353</c:v>
                </c:pt>
                <c:pt idx="66">
                  <c:v>8955.5888000000268</c:v>
                </c:pt>
                <c:pt idx="67">
                  <c:v>8955.9624000000767</c:v>
                </c:pt>
                <c:pt idx="68">
                  <c:v>8960.4131000000052</c:v>
                </c:pt>
                <c:pt idx="69">
                  <c:v>8964.6387000000104</c:v>
                </c:pt>
                <c:pt idx="70">
                  <c:v>8965.6069000000134</c:v>
                </c:pt>
                <c:pt idx="71">
                  <c:v>8975.8349999999627</c:v>
                </c:pt>
                <c:pt idx="72">
                  <c:v>8983.7609999999404</c:v>
                </c:pt>
                <c:pt idx="73">
                  <c:v>8987.5139999999665</c:v>
                </c:pt>
                <c:pt idx="74">
                  <c:v>8990.4308000002056</c:v>
                </c:pt>
                <c:pt idx="75">
                  <c:v>8995.5244999998249</c:v>
                </c:pt>
                <c:pt idx="76">
                  <c:v>9002.3872000002302</c:v>
                </c:pt>
                <c:pt idx="77">
                  <c:v>9050.473000000231</c:v>
                </c:pt>
                <c:pt idx="78">
                  <c:v>9054.6338999997824</c:v>
                </c:pt>
                <c:pt idx="79">
                  <c:v>9044.4651000001468</c:v>
                </c:pt>
                <c:pt idx="80">
                  <c:v>9058.3920999998227</c:v>
                </c:pt>
                <c:pt idx="81">
                  <c:v>9058.7601999999024</c:v>
                </c:pt>
                <c:pt idx="82">
                  <c:v>9084.3898999998346</c:v>
                </c:pt>
                <c:pt idx="83">
                  <c:v>9112.4372999998741</c:v>
                </c:pt>
              </c:numCache>
            </c:numRef>
          </c:xVal>
          <c:yVal>
            <c:numRef>
              <c:f>Index!$N$24:$N$133</c:f>
              <c:numCache>
                <c:formatCode>General</c:formatCode>
                <c:ptCount val="110"/>
                <c:pt idx="65">
                  <c:v>11</c:v>
                </c:pt>
                <c:pt idx="66">
                  <c:v>11</c:v>
                </c:pt>
                <c:pt idx="67">
                  <c:v>11</c:v>
                </c:pt>
                <c:pt idx="68">
                  <c:v>11</c:v>
                </c:pt>
                <c:pt idx="69">
                  <c:v>11</c:v>
                </c:pt>
                <c:pt idx="70">
                  <c:v>11</c:v>
                </c:pt>
                <c:pt idx="71">
                  <c:v>11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11</c:v>
                </c:pt>
                <c:pt idx="78">
                  <c:v>11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46-4CB0-8EF7-A8420A780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903112"/>
        <c:axId val="576898016"/>
      </c:scatterChart>
      <c:valAx>
        <c:axId val="576903112"/>
        <c:scaling>
          <c:orientation val="minMax"/>
          <c:min val="2457400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6898016"/>
        <c:crosses val="max"/>
        <c:crossBetween val="midCat"/>
        <c:majorUnit val="100"/>
      </c:valAx>
      <c:valAx>
        <c:axId val="576898016"/>
        <c:scaling>
          <c:orientation val="maxMin"/>
          <c:min val="11"/>
        </c:scaling>
        <c:delete val="0"/>
        <c:axPos val="l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6903112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Vis_Mean14d</c:v>
          </c:tx>
          <c:spPr>
            <a:ln w="19050">
              <a:noFill/>
            </a:ln>
          </c:spPr>
          <c:marker>
            <c:symbol val="square"/>
            <c:size val="3"/>
            <c:spPr>
              <a:solidFill>
                <a:schemeClr val="bg1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Vis_Hist!$A$1:$A$1986</c:f>
              <c:numCache>
                <c:formatCode>General</c:formatCode>
                <c:ptCount val="1986"/>
                <c:pt idx="0">
                  <c:v>2440380.7000000002</c:v>
                </c:pt>
                <c:pt idx="1">
                  <c:v>2440402.6</c:v>
                </c:pt>
                <c:pt idx="2">
                  <c:v>2440419.7000000002</c:v>
                </c:pt>
                <c:pt idx="3">
                  <c:v>2440453.6</c:v>
                </c:pt>
                <c:pt idx="4">
                  <c:v>2440486.2666699998</c:v>
                </c:pt>
                <c:pt idx="5">
                  <c:v>2440498.9333299999</c:v>
                </c:pt>
                <c:pt idx="6">
                  <c:v>2440542.5</c:v>
                </c:pt>
                <c:pt idx="7">
                  <c:v>2440565.5</c:v>
                </c:pt>
                <c:pt idx="8">
                  <c:v>2440745.03333</c:v>
                </c:pt>
                <c:pt idx="9">
                  <c:v>2440762.2000000002</c:v>
                </c:pt>
                <c:pt idx="10">
                  <c:v>2440780.3333299998</c:v>
                </c:pt>
                <c:pt idx="11">
                  <c:v>2440810.7000000002</c:v>
                </c:pt>
                <c:pt idx="12">
                  <c:v>2440825.7000000002</c:v>
                </c:pt>
                <c:pt idx="13">
                  <c:v>2440841.2999999998</c:v>
                </c:pt>
                <c:pt idx="14">
                  <c:v>2440855.6</c:v>
                </c:pt>
                <c:pt idx="15">
                  <c:v>2440883.5666700001</c:v>
                </c:pt>
                <c:pt idx="16">
                  <c:v>2440912.5</c:v>
                </c:pt>
                <c:pt idx="17">
                  <c:v>2441042.2999999998</c:v>
                </c:pt>
                <c:pt idx="18">
                  <c:v>2441063.7000000002</c:v>
                </c:pt>
                <c:pt idx="19">
                  <c:v>2441092.7000000002</c:v>
                </c:pt>
                <c:pt idx="20">
                  <c:v>2441117.2000000002</c:v>
                </c:pt>
                <c:pt idx="21">
                  <c:v>2441142.9333299999</c:v>
                </c:pt>
                <c:pt idx="22">
                  <c:v>2441164.65</c:v>
                </c:pt>
                <c:pt idx="23">
                  <c:v>2441180.6</c:v>
                </c:pt>
                <c:pt idx="24">
                  <c:v>2441215.15</c:v>
                </c:pt>
                <c:pt idx="25">
                  <c:v>2441232.7999999998</c:v>
                </c:pt>
                <c:pt idx="26">
                  <c:v>2441247.35</c:v>
                </c:pt>
                <c:pt idx="27">
                  <c:v>2441268.25</c:v>
                </c:pt>
                <c:pt idx="28">
                  <c:v>2441294</c:v>
                </c:pt>
                <c:pt idx="29">
                  <c:v>2441337.7000000002</c:v>
                </c:pt>
                <c:pt idx="30">
                  <c:v>2441392.7000000002</c:v>
                </c:pt>
                <c:pt idx="31">
                  <c:v>2441416.7000000002</c:v>
                </c:pt>
                <c:pt idx="32">
                  <c:v>2441429.25</c:v>
                </c:pt>
                <c:pt idx="33">
                  <c:v>2441452.1</c:v>
                </c:pt>
                <c:pt idx="34">
                  <c:v>2441468.2666699998</c:v>
                </c:pt>
                <c:pt idx="35">
                  <c:v>2441501.0150000001</c:v>
                </c:pt>
                <c:pt idx="36">
                  <c:v>2441524.15</c:v>
                </c:pt>
                <c:pt idx="37">
                  <c:v>2441551.96667</c:v>
                </c:pt>
                <c:pt idx="38">
                  <c:v>2441570.4166700002</c:v>
                </c:pt>
                <c:pt idx="39">
                  <c:v>2441588.5499999998</c:v>
                </c:pt>
                <c:pt idx="40">
                  <c:v>2441601.5</c:v>
                </c:pt>
                <c:pt idx="41">
                  <c:v>2441621</c:v>
                </c:pt>
                <c:pt idx="42">
                  <c:v>2441638.1666700002</c:v>
                </c:pt>
                <c:pt idx="43">
                  <c:v>2441842.7000000002</c:v>
                </c:pt>
                <c:pt idx="44">
                  <c:v>2441897.65</c:v>
                </c:pt>
                <c:pt idx="45">
                  <c:v>2441915.7000000002</c:v>
                </c:pt>
                <c:pt idx="46">
                  <c:v>2441932.6</c:v>
                </c:pt>
                <c:pt idx="47">
                  <c:v>2441979.6</c:v>
                </c:pt>
                <c:pt idx="48">
                  <c:v>2442175.25</c:v>
                </c:pt>
                <c:pt idx="49">
                  <c:v>2442221.7999999998</c:v>
                </c:pt>
                <c:pt idx="50">
                  <c:v>2442246.1749999998</c:v>
                </c:pt>
                <c:pt idx="51">
                  <c:v>2442270.7000000002</c:v>
                </c:pt>
                <c:pt idx="52">
                  <c:v>2442297.3333299998</c:v>
                </c:pt>
                <c:pt idx="53">
                  <c:v>2442337.2333300002</c:v>
                </c:pt>
                <c:pt idx="54">
                  <c:v>2442357.6</c:v>
                </c:pt>
                <c:pt idx="55">
                  <c:v>2442521.9</c:v>
                </c:pt>
                <c:pt idx="56">
                  <c:v>2442544</c:v>
                </c:pt>
                <c:pt idx="57">
                  <c:v>2442580.65</c:v>
                </c:pt>
                <c:pt idx="58">
                  <c:v>2442596.96667</c:v>
                </c:pt>
                <c:pt idx="59">
                  <c:v>2442623.65</c:v>
                </c:pt>
                <c:pt idx="60">
                  <c:v>2442638.96667</c:v>
                </c:pt>
                <c:pt idx="61">
                  <c:v>2442661.15</c:v>
                </c:pt>
                <c:pt idx="62">
                  <c:v>2442687.65</c:v>
                </c:pt>
                <c:pt idx="63">
                  <c:v>2442709.6</c:v>
                </c:pt>
                <c:pt idx="64">
                  <c:v>2442731.6</c:v>
                </c:pt>
                <c:pt idx="65">
                  <c:v>2442878.9</c:v>
                </c:pt>
                <c:pt idx="66">
                  <c:v>2442899.7999999998</c:v>
                </c:pt>
                <c:pt idx="67">
                  <c:v>2442934.7000000002</c:v>
                </c:pt>
                <c:pt idx="68">
                  <c:v>2442960.7000000002</c:v>
                </c:pt>
                <c:pt idx="69">
                  <c:v>2442993.2000000002</c:v>
                </c:pt>
                <c:pt idx="70">
                  <c:v>2443021.6</c:v>
                </c:pt>
                <c:pt idx="71">
                  <c:v>2443037.65</c:v>
                </c:pt>
                <c:pt idx="72">
                  <c:v>2443068.5499999998</c:v>
                </c:pt>
                <c:pt idx="73">
                  <c:v>2443255.85</c:v>
                </c:pt>
                <c:pt idx="74">
                  <c:v>2443284.7999999998</c:v>
                </c:pt>
                <c:pt idx="75">
                  <c:v>2443308.65</c:v>
                </c:pt>
                <c:pt idx="76">
                  <c:v>2443331.2000000002</c:v>
                </c:pt>
                <c:pt idx="77">
                  <c:v>2443369.2999999998</c:v>
                </c:pt>
                <c:pt idx="78">
                  <c:v>2443393.7000000002</c:v>
                </c:pt>
                <c:pt idx="79">
                  <c:v>2443403.65</c:v>
                </c:pt>
                <c:pt idx="80">
                  <c:v>2443438.6</c:v>
                </c:pt>
                <c:pt idx="81">
                  <c:v>2443453.6</c:v>
                </c:pt>
                <c:pt idx="82">
                  <c:v>2443615.9</c:v>
                </c:pt>
                <c:pt idx="83">
                  <c:v>2443632.7000000002</c:v>
                </c:pt>
                <c:pt idx="84">
                  <c:v>2443668.7000000002</c:v>
                </c:pt>
                <c:pt idx="85">
                  <c:v>2443696.2000000002</c:v>
                </c:pt>
                <c:pt idx="86">
                  <c:v>2443720.6</c:v>
                </c:pt>
                <c:pt idx="87">
                  <c:v>2443736.65</c:v>
                </c:pt>
                <c:pt idx="88">
                  <c:v>2443758.96667</c:v>
                </c:pt>
                <c:pt idx="89">
                  <c:v>2443786.5499999998</c:v>
                </c:pt>
                <c:pt idx="90">
                  <c:v>2443815.21</c:v>
                </c:pt>
                <c:pt idx="91">
                  <c:v>2443991.15</c:v>
                </c:pt>
                <c:pt idx="92">
                  <c:v>2444018.6666700002</c:v>
                </c:pt>
                <c:pt idx="93">
                  <c:v>2444044.6</c:v>
                </c:pt>
                <c:pt idx="94">
                  <c:v>2444079.15</c:v>
                </c:pt>
                <c:pt idx="95">
                  <c:v>2444099.6</c:v>
                </c:pt>
                <c:pt idx="96">
                  <c:v>2444128.6</c:v>
                </c:pt>
                <c:pt idx="97">
                  <c:v>2444151.5</c:v>
                </c:pt>
                <c:pt idx="98">
                  <c:v>2444165.0499999998</c:v>
                </c:pt>
                <c:pt idx="99">
                  <c:v>2444195.6</c:v>
                </c:pt>
                <c:pt idx="100">
                  <c:v>2444374.6</c:v>
                </c:pt>
                <c:pt idx="101">
                  <c:v>2444396.6</c:v>
                </c:pt>
                <c:pt idx="102">
                  <c:v>2444434.6</c:v>
                </c:pt>
                <c:pt idx="103">
                  <c:v>2444458.1</c:v>
                </c:pt>
                <c:pt idx="104">
                  <c:v>2444490.1</c:v>
                </c:pt>
                <c:pt idx="105">
                  <c:v>2444528.5550000002</c:v>
                </c:pt>
                <c:pt idx="106">
                  <c:v>2444560.5</c:v>
                </c:pt>
                <c:pt idx="107">
                  <c:v>2444748.6</c:v>
                </c:pt>
                <c:pt idx="108">
                  <c:v>2444796.6</c:v>
                </c:pt>
                <c:pt idx="109">
                  <c:v>2444840.3166700001</c:v>
                </c:pt>
                <c:pt idx="110">
                  <c:v>2444853.6749999998</c:v>
                </c:pt>
                <c:pt idx="111">
                  <c:v>2444871.0039400002</c:v>
                </c:pt>
                <c:pt idx="112">
                  <c:v>2444887.5327300001</c:v>
                </c:pt>
                <c:pt idx="113">
                  <c:v>2444901.9555600001</c:v>
                </c:pt>
                <c:pt idx="114">
                  <c:v>2444919.2599999998</c:v>
                </c:pt>
                <c:pt idx="115">
                  <c:v>2444931.7749999999</c:v>
                </c:pt>
                <c:pt idx="116">
                  <c:v>2445082.9</c:v>
                </c:pt>
                <c:pt idx="117">
                  <c:v>2445104.05333</c:v>
                </c:pt>
                <c:pt idx="118">
                  <c:v>2445118.4</c:v>
                </c:pt>
                <c:pt idx="119">
                  <c:v>2445137.6749999998</c:v>
                </c:pt>
                <c:pt idx="120">
                  <c:v>2445154.1666700002</c:v>
                </c:pt>
                <c:pt idx="121">
                  <c:v>2445174.2000000002</c:v>
                </c:pt>
                <c:pt idx="122">
                  <c:v>2445199.6934000002</c:v>
                </c:pt>
                <c:pt idx="123">
                  <c:v>2445225.5166699998</c:v>
                </c:pt>
                <c:pt idx="124">
                  <c:v>2445238.7333300002</c:v>
                </c:pt>
                <c:pt idx="125">
                  <c:v>2445257.67692</c:v>
                </c:pt>
                <c:pt idx="126">
                  <c:v>2445269.7250000001</c:v>
                </c:pt>
                <c:pt idx="127">
                  <c:v>2445288.14</c:v>
                </c:pt>
                <c:pt idx="128">
                  <c:v>2445306.1666700002</c:v>
                </c:pt>
                <c:pt idx="129">
                  <c:v>2445404.9</c:v>
                </c:pt>
                <c:pt idx="130">
                  <c:v>2445437.9</c:v>
                </c:pt>
                <c:pt idx="131">
                  <c:v>2445467.4333299999</c:v>
                </c:pt>
                <c:pt idx="132">
                  <c:v>2445491.5</c:v>
                </c:pt>
                <c:pt idx="133">
                  <c:v>2445499.96</c:v>
                </c:pt>
                <c:pt idx="134">
                  <c:v>2445523.5809999998</c:v>
                </c:pt>
                <c:pt idx="135">
                  <c:v>2445554.78333</c:v>
                </c:pt>
                <c:pt idx="136">
                  <c:v>2445582.44</c:v>
                </c:pt>
                <c:pt idx="137">
                  <c:v>2445598.42</c:v>
                </c:pt>
                <c:pt idx="138">
                  <c:v>2445617.6</c:v>
                </c:pt>
                <c:pt idx="139">
                  <c:v>2445637.42</c:v>
                </c:pt>
                <c:pt idx="140">
                  <c:v>2445661.5</c:v>
                </c:pt>
                <c:pt idx="141">
                  <c:v>2445799.9</c:v>
                </c:pt>
                <c:pt idx="142">
                  <c:v>2445818.2999999998</c:v>
                </c:pt>
                <c:pt idx="143">
                  <c:v>2445834.0249999999</c:v>
                </c:pt>
                <c:pt idx="144">
                  <c:v>2445848.7000000002</c:v>
                </c:pt>
                <c:pt idx="145">
                  <c:v>2445871.3666699999</c:v>
                </c:pt>
                <c:pt idx="146">
                  <c:v>2445887.9750000001</c:v>
                </c:pt>
                <c:pt idx="147">
                  <c:v>2445902.08</c:v>
                </c:pt>
                <c:pt idx="148">
                  <c:v>2445917.4</c:v>
                </c:pt>
                <c:pt idx="149">
                  <c:v>2445935.3857100001</c:v>
                </c:pt>
                <c:pt idx="150">
                  <c:v>2445951</c:v>
                </c:pt>
                <c:pt idx="151">
                  <c:v>2445966.3857100001</c:v>
                </c:pt>
                <c:pt idx="152">
                  <c:v>2445985.1857099999</c:v>
                </c:pt>
                <c:pt idx="153">
                  <c:v>2446004.54</c:v>
                </c:pt>
                <c:pt idx="154">
                  <c:v>2446022.9</c:v>
                </c:pt>
                <c:pt idx="155">
                  <c:v>2446040.6</c:v>
                </c:pt>
                <c:pt idx="156">
                  <c:v>2446082.1</c:v>
                </c:pt>
                <c:pt idx="157">
                  <c:v>2446119.29067</c:v>
                </c:pt>
                <c:pt idx="158">
                  <c:v>2446147</c:v>
                </c:pt>
                <c:pt idx="159">
                  <c:v>2446171.7999999998</c:v>
                </c:pt>
                <c:pt idx="160">
                  <c:v>2446192.9474999998</c:v>
                </c:pt>
                <c:pt idx="161">
                  <c:v>2446207.92</c:v>
                </c:pt>
                <c:pt idx="162">
                  <c:v>2446230.2012499999</c:v>
                </c:pt>
                <c:pt idx="163">
                  <c:v>2446248.25</c:v>
                </c:pt>
                <c:pt idx="164">
                  <c:v>2446262.0227800002</c:v>
                </c:pt>
                <c:pt idx="165">
                  <c:v>2446289.0192499999</c:v>
                </c:pt>
                <c:pt idx="166">
                  <c:v>2446301.0883300002</c:v>
                </c:pt>
                <c:pt idx="167">
                  <c:v>2446321.2149999999</c:v>
                </c:pt>
                <c:pt idx="168">
                  <c:v>2446344.9</c:v>
                </c:pt>
                <c:pt idx="169">
                  <c:v>2446356.2400000002</c:v>
                </c:pt>
                <c:pt idx="170">
                  <c:v>2446472.04</c:v>
                </c:pt>
                <c:pt idx="171">
                  <c:v>2446507.98</c:v>
                </c:pt>
                <c:pt idx="172">
                  <c:v>2446541.75</c:v>
                </c:pt>
                <c:pt idx="173">
                  <c:v>2446567.08</c:v>
                </c:pt>
                <c:pt idx="174">
                  <c:v>2446590.6488899998</c:v>
                </c:pt>
                <c:pt idx="175">
                  <c:v>2446613.6222199998</c:v>
                </c:pt>
                <c:pt idx="176">
                  <c:v>2446624.8716699998</c:v>
                </c:pt>
                <c:pt idx="177">
                  <c:v>2446651.6161500001</c:v>
                </c:pt>
                <c:pt idx="178">
                  <c:v>2446664.9424999999</c:v>
                </c:pt>
                <c:pt idx="179">
                  <c:v>2446678.09455</c:v>
                </c:pt>
                <c:pt idx="180">
                  <c:v>2446711.5</c:v>
                </c:pt>
                <c:pt idx="181">
                  <c:v>2446720.2000000002</c:v>
                </c:pt>
                <c:pt idx="182">
                  <c:v>2446736.0833299998</c:v>
                </c:pt>
                <c:pt idx="183">
                  <c:v>2446762.6</c:v>
                </c:pt>
                <c:pt idx="184">
                  <c:v>2446781.65</c:v>
                </c:pt>
                <c:pt idx="185">
                  <c:v>2446894.5</c:v>
                </c:pt>
                <c:pt idx="186">
                  <c:v>2446908.9333299999</c:v>
                </c:pt>
                <c:pt idx="187">
                  <c:v>2446942.65</c:v>
                </c:pt>
                <c:pt idx="188">
                  <c:v>2446958.15</c:v>
                </c:pt>
                <c:pt idx="189">
                  <c:v>2446972.73</c:v>
                </c:pt>
                <c:pt idx="190">
                  <c:v>2446994.145</c:v>
                </c:pt>
                <c:pt idx="191">
                  <c:v>2447006.9633300002</c:v>
                </c:pt>
                <c:pt idx="192">
                  <c:v>2447021.9700000002</c:v>
                </c:pt>
                <c:pt idx="193">
                  <c:v>2447032.9446700001</c:v>
                </c:pt>
                <c:pt idx="194">
                  <c:v>2447049.2193800001</c:v>
                </c:pt>
                <c:pt idx="195">
                  <c:v>2447063.1170000001</c:v>
                </c:pt>
                <c:pt idx="196">
                  <c:v>2447083.3055599998</c:v>
                </c:pt>
                <c:pt idx="197">
                  <c:v>2447113.5</c:v>
                </c:pt>
                <c:pt idx="198">
                  <c:v>2447266.4</c:v>
                </c:pt>
                <c:pt idx="199">
                  <c:v>2447282.5</c:v>
                </c:pt>
                <c:pt idx="200">
                  <c:v>2447301.4049999998</c:v>
                </c:pt>
                <c:pt idx="201">
                  <c:v>2447326.3344399999</c:v>
                </c:pt>
                <c:pt idx="202">
                  <c:v>2447349.2085699998</c:v>
                </c:pt>
                <c:pt idx="203">
                  <c:v>2447359.6230000001</c:v>
                </c:pt>
                <c:pt idx="204">
                  <c:v>2447377.9321400002</c:v>
                </c:pt>
                <c:pt idx="205">
                  <c:v>2447389.07767</c:v>
                </c:pt>
                <c:pt idx="206">
                  <c:v>2447410.04385</c:v>
                </c:pt>
                <c:pt idx="207">
                  <c:v>2447423.9172200002</c:v>
                </c:pt>
                <c:pt idx="208">
                  <c:v>2447442.92</c:v>
                </c:pt>
                <c:pt idx="209">
                  <c:v>2447462.94937</c:v>
                </c:pt>
                <c:pt idx="210">
                  <c:v>2447475.3169999998</c:v>
                </c:pt>
                <c:pt idx="211">
                  <c:v>2447493.2749999999</c:v>
                </c:pt>
                <c:pt idx="212">
                  <c:v>2447509.53333</c:v>
                </c:pt>
                <c:pt idx="213">
                  <c:v>2447540.85</c:v>
                </c:pt>
                <c:pt idx="214">
                  <c:v>2447624.2000000002</c:v>
                </c:pt>
                <c:pt idx="215">
                  <c:v>2447645.5</c:v>
                </c:pt>
                <c:pt idx="216">
                  <c:v>2447672.1</c:v>
                </c:pt>
                <c:pt idx="217">
                  <c:v>2447686.6667800001</c:v>
                </c:pt>
                <c:pt idx="218">
                  <c:v>2447700.83</c:v>
                </c:pt>
                <c:pt idx="219">
                  <c:v>2447714.1911800001</c:v>
                </c:pt>
                <c:pt idx="220">
                  <c:v>2447737.4072500002</c:v>
                </c:pt>
                <c:pt idx="221">
                  <c:v>2447753.9364700001</c:v>
                </c:pt>
                <c:pt idx="222">
                  <c:v>2447767.7312500002</c:v>
                </c:pt>
                <c:pt idx="223">
                  <c:v>2447785.2509099999</c:v>
                </c:pt>
                <c:pt idx="224">
                  <c:v>2447800.0484199999</c:v>
                </c:pt>
                <c:pt idx="225">
                  <c:v>2447822.6518199998</c:v>
                </c:pt>
                <c:pt idx="226">
                  <c:v>2447843.62</c:v>
                </c:pt>
                <c:pt idx="227">
                  <c:v>2447859.142</c:v>
                </c:pt>
                <c:pt idx="228">
                  <c:v>2447876.66</c:v>
                </c:pt>
                <c:pt idx="229">
                  <c:v>2447947.48</c:v>
                </c:pt>
                <c:pt idx="230">
                  <c:v>2447976.16</c:v>
                </c:pt>
                <c:pt idx="231">
                  <c:v>2447987.9300000002</c:v>
                </c:pt>
                <c:pt idx="232">
                  <c:v>2448007.1433299999</c:v>
                </c:pt>
                <c:pt idx="233">
                  <c:v>2448029.75</c:v>
                </c:pt>
                <c:pt idx="234">
                  <c:v>2448041.7450000001</c:v>
                </c:pt>
                <c:pt idx="235">
                  <c:v>2448061.9188899999</c:v>
                </c:pt>
                <c:pt idx="236">
                  <c:v>2448074.51333</c:v>
                </c:pt>
                <c:pt idx="237">
                  <c:v>2448092.2068699999</c:v>
                </c:pt>
                <c:pt idx="238">
                  <c:v>2448106.5844399999</c:v>
                </c:pt>
                <c:pt idx="239">
                  <c:v>2448125.13619</c:v>
                </c:pt>
                <c:pt idx="240">
                  <c:v>2448143.47688</c:v>
                </c:pt>
                <c:pt idx="241">
                  <c:v>2448156.0837500002</c:v>
                </c:pt>
                <c:pt idx="242">
                  <c:v>2448177.585</c:v>
                </c:pt>
                <c:pt idx="243">
                  <c:v>2448195.7439999999</c:v>
                </c:pt>
                <c:pt idx="244">
                  <c:v>2448214.71</c:v>
                </c:pt>
                <c:pt idx="245">
                  <c:v>2448233.8066699998</c:v>
                </c:pt>
                <c:pt idx="246">
                  <c:v>2448335.29</c:v>
                </c:pt>
                <c:pt idx="247">
                  <c:v>2448359.4</c:v>
                </c:pt>
                <c:pt idx="248">
                  <c:v>2448375.3050000002</c:v>
                </c:pt>
                <c:pt idx="249">
                  <c:v>2448394.98</c:v>
                </c:pt>
                <c:pt idx="250">
                  <c:v>2448417.5666700001</c:v>
                </c:pt>
                <c:pt idx="251">
                  <c:v>2448431.4030900002</c:v>
                </c:pt>
                <c:pt idx="252">
                  <c:v>2448448.40068</c:v>
                </c:pt>
                <c:pt idx="253">
                  <c:v>2448464.6755499998</c:v>
                </c:pt>
                <c:pt idx="254">
                  <c:v>2448478.80761</c:v>
                </c:pt>
                <c:pt idx="255">
                  <c:v>2448496.0351499999</c:v>
                </c:pt>
                <c:pt idx="256">
                  <c:v>2448510.1023400002</c:v>
                </c:pt>
                <c:pt idx="257">
                  <c:v>2448529.6768</c:v>
                </c:pt>
                <c:pt idx="258">
                  <c:v>2448542.0072400002</c:v>
                </c:pt>
                <c:pt idx="259">
                  <c:v>2448558.7039899998</c:v>
                </c:pt>
                <c:pt idx="260">
                  <c:v>2448579.835</c:v>
                </c:pt>
                <c:pt idx="261">
                  <c:v>2448595.3866699999</c:v>
                </c:pt>
                <c:pt idx="262">
                  <c:v>2448619.15</c:v>
                </c:pt>
                <c:pt idx="263">
                  <c:v>2448655.9</c:v>
                </c:pt>
                <c:pt idx="264">
                  <c:v>2448693.1822000002</c:v>
                </c:pt>
                <c:pt idx="265">
                  <c:v>2448716.9501299998</c:v>
                </c:pt>
                <c:pt idx="266">
                  <c:v>2448723.77733</c:v>
                </c:pt>
                <c:pt idx="267">
                  <c:v>2448743.94202</c:v>
                </c:pt>
                <c:pt idx="268">
                  <c:v>2448758.6338399998</c:v>
                </c:pt>
                <c:pt idx="269">
                  <c:v>2448772.02911</c:v>
                </c:pt>
                <c:pt idx="270">
                  <c:v>2448791.2503</c:v>
                </c:pt>
                <c:pt idx="271">
                  <c:v>2448805.7259499999</c:v>
                </c:pt>
                <c:pt idx="272">
                  <c:v>2448824.2075200002</c:v>
                </c:pt>
                <c:pt idx="273">
                  <c:v>2448836.86491</c:v>
                </c:pt>
                <c:pt idx="274">
                  <c:v>2448856.6699899998</c:v>
                </c:pt>
                <c:pt idx="275">
                  <c:v>2448869.4205299998</c:v>
                </c:pt>
                <c:pt idx="276">
                  <c:v>2448885.1804300002</c:v>
                </c:pt>
                <c:pt idx="277">
                  <c:v>2448901.2695200001</c:v>
                </c:pt>
                <c:pt idx="278">
                  <c:v>2448916.6631399998</c:v>
                </c:pt>
                <c:pt idx="279">
                  <c:v>2448933.7112199999</c:v>
                </c:pt>
                <c:pt idx="280">
                  <c:v>2448947.3344299998</c:v>
                </c:pt>
                <c:pt idx="281">
                  <c:v>2448964.5285</c:v>
                </c:pt>
                <c:pt idx="282">
                  <c:v>2448981.4925000002</c:v>
                </c:pt>
                <c:pt idx="283">
                  <c:v>2449020.9380000001</c:v>
                </c:pt>
                <c:pt idx="284">
                  <c:v>2449072.0468100002</c:v>
                </c:pt>
                <c:pt idx="285">
                  <c:v>2449102.6267200001</c:v>
                </c:pt>
                <c:pt idx="286">
                  <c:v>2449119.0606900002</c:v>
                </c:pt>
                <c:pt idx="287">
                  <c:v>2449133.5132499998</c:v>
                </c:pt>
                <c:pt idx="288">
                  <c:v>2449149.9103799998</c:v>
                </c:pt>
                <c:pt idx="289">
                  <c:v>2449164.5547699998</c:v>
                </c:pt>
                <c:pt idx="290">
                  <c:v>2449180.3128599999</c:v>
                </c:pt>
                <c:pt idx="291">
                  <c:v>2449195.9260300002</c:v>
                </c:pt>
                <c:pt idx="292">
                  <c:v>2449212.4079100001</c:v>
                </c:pt>
                <c:pt idx="293">
                  <c:v>2449226.6325300001</c:v>
                </c:pt>
                <c:pt idx="294">
                  <c:v>2449242.6860699998</c:v>
                </c:pt>
                <c:pt idx="295">
                  <c:v>2449256.40925</c:v>
                </c:pt>
                <c:pt idx="296">
                  <c:v>2449272.6469200002</c:v>
                </c:pt>
                <c:pt idx="297">
                  <c:v>2449288.73636</c:v>
                </c:pt>
                <c:pt idx="298">
                  <c:v>2449305.3561399998</c:v>
                </c:pt>
                <c:pt idx="299">
                  <c:v>2449323.0732900002</c:v>
                </c:pt>
                <c:pt idx="300">
                  <c:v>2449338.1085600001</c:v>
                </c:pt>
                <c:pt idx="301">
                  <c:v>2449389.719</c:v>
                </c:pt>
                <c:pt idx="302">
                  <c:v>2449421.5887500001</c:v>
                </c:pt>
                <c:pt idx="303">
                  <c:v>2449451.8775999998</c:v>
                </c:pt>
                <c:pt idx="304">
                  <c:v>2449470.5547799999</c:v>
                </c:pt>
                <c:pt idx="305">
                  <c:v>2449483.2718099998</c:v>
                </c:pt>
                <c:pt idx="306">
                  <c:v>2449503.9975000001</c:v>
                </c:pt>
                <c:pt idx="307">
                  <c:v>2449515.2564300001</c:v>
                </c:pt>
                <c:pt idx="308">
                  <c:v>2449532.0916900001</c:v>
                </c:pt>
                <c:pt idx="309">
                  <c:v>2449545.4339399999</c:v>
                </c:pt>
                <c:pt idx="310">
                  <c:v>2449565.0449399999</c:v>
                </c:pt>
                <c:pt idx="311">
                  <c:v>2449576.20658</c:v>
                </c:pt>
                <c:pt idx="312">
                  <c:v>2449593.6283800001</c:v>
                </c:pt>
                <c:pt idx="313">
                  <c:v>2449606.1267200001</c:v>
                </c:pt>
                <c:pt idx="314">
                  <c:v>2449624.1483</c:v>
                </c:pt>
                <c:pt idx="315">
                  <c:v>2449637.0175800002</c:v>
                </c:pt>
                <c:pt idx="316">
                  <c:v>2449654.2429999998</c:v>
                </c:pt>
                <c:pt idx="317">
                  <c:v>2449667.2501400001</c:v>
                </c:pt>
                <c:pt idx="318">
                  <c:v>2449687.8445000001</c:v>
                </c:pt>
                <c:pt idx="319">
                  <c:v>2449716</c:v>
                </c:pt>
                <c:pt idx="320">
                  <c:v>2449749.5</c:v>
                </c:pt>
                <c:pt idx="321">
                  <c:v>2449764.6875</c:v>
                </c:pt>
                <c:pt idx="322">
                  <c:v>2449783.2058000001</c:v>
                </c:pt>
                <c:pt idx="323">
                  <c:v>2449805.5</c:v>
                </c:pt>
                <c:pt idx="324">
                  <c:v>2449816.5090000001</c:v>
                </c:pt>
                <c:pt idx="325">
                  <c:v>2449839.0033800001</c:v>
                </c:pt>
                <c:pt idx="326">
                  <c:v>2449852.38796</c:v>
                </c:pt>
                <c:pt idx="327">
                  <c:v>2449867.7689899998</c:v>
                </c:pt>
                <c:pt idx="328">
                  <c:v>2449883.8753200001</c:v>
                </c:pt>
                <c:pt idx="329">
                  <c:v>2449899.5718899998</c:v>
                </c:pt>
                <c:pt idx="330">
                  <c:v>2449914.8485400002</c:v>
                </c:pt>
                <c:pt idx="331">
                  <c:v>2449929.0743200001</c:v>
                </c:pt>
                <c:pt idx="332">
                  <c:v>2449946.5352699999</c:v>
                </c:pt>
                <c:pt idx="333">
                  <c:v>2449959.3681399999</c:v>
                </c:pt>
                <c:pt idx="334">
                  <c:v>2449977.3437199998</c:v>
                </c:pt>
                <c:pt idx="335">
                  <c:v>2449991.6180400001</c:v>
                </c:pt>
                <c:pt idx="336">
                  <c:v>2450008.7714999998</c:v>
                </c:pt>
                <c:pt idx="337">
                  <c:v>2450024.5565800001</c:v>
                </c:pt>
                <c:pt idx="338">
                  <c:v>2450039.2967599998</c:v>
                </c:pt>
                <c:pt idx="339">
                  <c:v>2450054.8379799998</c:v>
                </c:pt>
                <c:pt idx="340">
                  <c:v>2450070.33183</c:v>
                </c:pt>
                <c:pt idx="341">
                  <c:v>2450143.105</c:v>
                </c:pt>
                <c:pt idx="342">
                  <c:v>2450161.9027999998</c:v>
                </c:pt>
                <c:pt idx="343">
                  <c:v>2450181.7962600002</c:v>
                </c:pt>
                <c:pt idx="344">
                  <c:v>2450195.3593299999</c:v>
                </c:pt>
                <c:pt idx="345">
                  <c:v>2450213.8024900001</c:v>
                </c:pt>
                <c:pt idx="346">
                  <c:v>2450229.4047099999</c:v>
                </c:pt>
                <c:pt idx="347">
                  <c:v>2450247.6849600002</c:v>
                </c:pt>
                <c:pt idx="348">
                  <c:v>2450264.5467699999</c:v>
                </c:pt>
                <c:pt idx="349">
                  <c:v>2450279.6271299999</c:v>
                </c:pt>
                <c:pt idx="350">
                  <c:v>2450295.7710199999</c:v>
                </c:pt>
                <c:pt idx="351">
                  <c:v>2450310.8512800001</c:v>
                </c:pt>
                <c:pt idx="352">
                  <c:v>2450326.30443</c:v>
                </c:pt>
                <c:pt idx="353">
                  <c:v>2450341.63974</c:v>
                </c:pt>
                <c:pt idx="354">
                  <c:v>2450360.77679</c:v>
                </c:pt>
                <c:pt idx="355">
                  <c:v>2450371.8578499998</c:v>
                </c:pt>
                <c:pt idx="356">
                  <c:v>2450389.9766699998</c:v>
                </c:pt>
                <c:pt idx="357">
                  <c:v>2450401.9240600001</c:v>
                </c:pt>
                <c:pt idx="358">
                  <c:v>2450425.3560799998</c:v>
                </c:pt>
                <c:pt idx="359">
                  <c:v>2450445.19997</c:v>
                </c:pt>
                <c:pt idx="360">
                  <c:v>2450458.3509999998</c:v>
                </c:pt>
                <c:pt idx="361">
                  <c:v>2450481.5499999998</c:v>
                </c:pt>
                <c:pt idx="362">
                  <c:v>2450510.2740000002</c:v>
                </c:pt>
                <c:pt idx="363">
                  <c:v>2450518.3927500001</c:v>
                </c:pt>
                <c:pt idx="364">
                  <c:v>2450540.3876700001</c:v>
                </c:pt>
                <c:pt idx="365">
                  <c:v>2450553.5532</c:v>
                </c:pt>
                <c:pt idx="366">
                  <c:v>2450572.2825500001</c:v>
                </c:pt>
                <c:pt idx="367">
                  <c:v>2450584.8694000002</c:v>
                </c:pt>
                <c:pt idx="368">
                  <c:v>2450600.6345199998</c:v>
                </c:pt>
                <c:pt idx="369">
                  <c:v>2450620.1834</c:v>
                </c:pt>
                <c:pt idx="370">
                  <c:v>2450638.2340000002</c:v>
                </c:pt>
                <c:pt idx="371">
                  <c:v>2450652.9985799999</c:v>
                </c:pt>
                <c:pt idx="372">
                  <c:v>2450669.6431499999</c:v>
                </c:pt>
                <c:pt idx="373">
                  <c:v>2450685.56697</c:v>
                </c:pt>
                <c:pt idx="374">
                  <c:v>2450700.2734099999</c:v>
                </c:pt>
                <c:pt idx="375">
                  <c:v>2450718.3722100002</c:v>
                </c:pt>
                <c:pt idx="376">
                  <c:v>2450734.0504600001</c:v>
                </c:pt>
                <c:pt idx="377">
                  <c:v>2450749.5259099999</c:v>
                </c:pt>
                <c:pt idx="378">
                  <c:v>2450769.0619299999</c:v>
                </c:pt>
                <c:pt idx="379">
                  <c:v>2450783.7423299998</c:v>
                </c:pt>
                <c:pt idx="380">
                  <c:v>2450806.5559999999</c:v>
                </c:pt>
                <c:pt idx="381">
                  <c:v>2450842.5989999999</c:v>
                </c:pt>
                <c:pt idx="382">
                  <c:v>2450866.6889999998</c:v>
                </c:pt>
                <c:pt idx="383">
                  <c:v>2450878.6423300002</c:v>
                </c:pt>
                <c:pt idx="384">
                  <c:v>2450898.1455000001</c:v>
                </c:pt>
                <c:pt idx="385">
                  <c:v>2450915.87347</c:v>
                </c:pt>
                <c:pt idx="386">
                  <c:v>2450930.9797800002</c:v>
                </c:pt>
                <c:pt idx="387">
                  <c:v>2450949.3406000002</c:v>
                </c:pt>
                <c:pt idx="388">
                  <c:v>2450963.2923300001</c:v>
                </c:pt>
                <c:pt idx="389">
                  <c:v>2450980.6235799999</c:v>
                </c:pt>
                <c:pt idx="390">
                  <c:v>2450997.91475</c:v>
                </c:pt>
                <c:pt idx="391">
                  <c:v>2451014.5462799999</c:v>
                </c:pt>
                <c:pt idx="392">
                  <c:v>2451032.8462200002</c:v>
                </c:pt>
                <c:pt idx="393">
                  <c:v>2451049.1614600001</c:v>
                </c:pt>
                <c:pt idx="394">
                  <c:v>2451065.4970900002</c:v>
                </c:pt>
                <c:pt idx="395">
                  <c:v>2451080.0790499998</c:v>
                </c:pt>
                <c:pt idx="396">
                  <c:v>2451103.2801100002</c:v>
                </c:pt>
                <c:pt idx="397">
                  <c:v>2451116.8012199998</c:v>
                </c:pt>
                <c:pt idx="398">
                  <c:v>2451131.4153300002</c:v>
                </c:pt>
                <c:pt idx="399">
                  <c:v>2451161</c:v>
                </c:pt>
                <c:pt idx="400">
                  <c:v>2451209.7999999998</c:v>
                </c:pt>
                <c:pt idx="401">
                  <c:v>2451232.7000000002</c:v>
                </c:pt>
                <c:pt idx="402">
                  <c:v>2451251.6189999999</c:v>
                </c:pt>
                <c:pt idx="403">
                  <c:v>2451277.0835000002</c:v>
                </c:pt>
                <c:pt idx="404">
                  <c:v>2451295.5554999998</c:v>
                </c:pt>
                <c:pt idx="405">
                  <c:v>2451314.1894999999</c:v>
                </c:pt>
                <c:pt idx="406">
                  <c:v>2451329.7313299999</c:v>
                </c:pt>
                <c:pt idx="407">
                  <c:v>2451345.1396699999</c:v>
                </c:pt>
                <c:pt idx="408">
                  <c:v>2451368.50342</c:v>
                </c:pt>
                <c:pt idx="409">
                  <c:v>2451382.0006300001</c:v>
                </c:pt>
                <c:pt idx="410">
                  <c:v>2451399.5117899999</c:v>
                </c:pt>
                <c:pt idx="411">
                  <c:v>2451412.5420200001</c:v>
                </c:pt>
                <c:pt idx="412">
                  <c:v>2451429.6211999999</c:v>
                </c:pt>
                <c:pt idx="413">
                  <c:v>2451442.3646499999</c:v>
                </c:pt>
                <c:pt idx="414">
                  <c:v>2451459.1671000002</c:v>
                </c:pt>
                <c:pt idx="415">
                  <c:v>2451471.97719</c:v>
                </c:pt>
                <c:pt idx="416">
                  <c:v>2451488.2694199998</c:v>
                </c:pt>
                <c:pt idx="417">
                  <c:v>2451504.7590000001</c:v>
                </c:pt>
                <c:pt idx="418">
                  <c:v>2451519.8464000002</c:v>
                </c:pt>
                <c:pt idx="419">
                  <c:v>2451530.5</c:v>
                </c:pt>
                <c:pt idx="420">
                  <c:v>2451560.7000000002</c:v>
                </c:pt>
                <c:pt idx="421">
                  <c:v>2451579.4409699999</c:v>
                </c:pt>
                <c:pt idx="422">
                  <c:v>2451611.9288599999</c:v>
                </c:pt>
                <c:pt idx="423">
                  <c:v>2451634.57571</c:v>
                </c:pt>
                <c:pt idx="424">
                  <c:v>2451650.9952699998</c:v>
                </c:pt>
                <c:pt idx="425">
                  <c:v>2451667.1876099999</c:v>
                </c:pt>
                <c:pt idx="426">
                  <c:v>2451686.2907699998</c:v>
                </c:pt>
                <c:pt idx="427">
                  <c:v>2451700.1374400002</c:v>
                </c:pt>
                <c:pt idx="428">
                  <c:v>2451719.0367800002</c:v>
                </c:pt>
                <c:pt idx="429">
                  <c:v>2451735.4171699998</c:v>
                </c:pt>
                <c:pt idx="430">
                  <c:v>2451751.0923299999</c:v>
                </c:pt>
                <c:pt idx="431">
                  <c:v>2451765.0261599999</c:v>
                </c:pt>
                <c:pt idx="432">
                  <c:v>2451782.1099</c:v>
                </c:pt>
                <c:pt idx="433">
                  <c:v>2451797.2009100001</c:v>
                </c:pt>
                <c:pt idx="434">
                  <c:v>2451814.1397299999</c:v>
                </c:pt>
                <c:pt idx="435">
                  <c:v>2451828.0801400002</c:v>
                </c:pt>
                <c:pt idx="436">
                  <c:v>2451845.19723</c:v>
                </c:pt>
                <c:pt idx="437">
                  <c:v>2451859.0085700001</c:v>
                </c:pt>
                <c:pt idx="438">
                  <c:v>2451876.0821699998</c:v>
                </c:pt>
                <c:pt idx="439">
                  <c:v>2451897.5</c:v>
                </c:pt>
                <c:pt idx="440">
                  <c:v>2451922.69</c:v>
                </c:pt>
                <c:pt idx="441">
                  <c:v>2451963.3741299999</c:v>
                </c:pt>
                <c:pt idx="442">
                  <c:v>2451980.0787999998</c:v>
                </c:pt>
                <c:pt idx="443">
                  <c:v>2451996.4667000002</c:v>
                </c:pt>
                <c:pt idx="444">
                  <c:v>2452020.5998300002</c:v>
                </c:pt>
                <c:pt idx="445">
                  <c:v>2452036.3716600002</c:v>
                </c:pt>
                <c:pt idx="446">
                  <c:v>2452050.8687800001</c:v>
                </c:pt>
                <c:pt idx="447">
                  <c:v>2452067.4635800002</c:v>
                </c:pt>
                <c:pt idx="448">
                  <c:v>2452085.0526899998</c:v>
                </c:pt>
                <c:pt idx="449">
                  <c:v>2452102.1587299998</c:v>
                </c:pt>
                <c:pt idx="450">
                  <c:v>2452115.9300199999</c:v>
                </c:pt>
                <c:pt idx="451">
                  <c:v>2452134.9825900001</c:v>
                </c:pt>
                <c:pt idx="452">
                  <c:v>2452146.8834799998</c:v>
                </c:pt>
                <c:pt idx="453">
                  <c:v>2452165.6998100001</c:v>
                </c:pt>
                <c:pt idx="454">
                  <c:v>2452179.2066000002</c:v>
                </c:pt>
                <c:pt idx="455">
                  <c:v>2452194.96991</c:v>
                </c:pt>
                <c:pt idx="456">
                  <c:v>2452212.86</c:v>
                </c:pt>
                <c:pt idx="457">
                  <c:v>2452225.4223099998</c:v>
                </c:pt>
                <c:pt idx="458">
                  <c:v>2452250.8333299998</c:v>
                </c:pt>
                <c:pt idx="459">
                  <c:v>2452266.5</c:v>
                </c:pt>
                <c:pt idx="460">
                  <c:v>2452321.5882000001</c:v>
                </c:pt>
                <c:pt idx="461">
                  <c:v>2452336.7000000002</c:v>
                </c:pt>
                <c:pt idx="462">
                  <c:v>2452406.5496</c:v>
                </c:pt>
                <c:pt idx="463">
                  <c:v>2452426.0485399999</c:v>
                </c:pt>
                <c:pt idx="464">
                  <c:v>2452441.5395999998</c:v>
                </c:pt>
                <c:pt idx="465">
                  <c:v>2452455.4810000001</c:v>
                </c:pt>
                <c:pt idx="466">
                  <c:v>2452468.9619</c:v>
                </c:pt>
                <c:pt idx="467">
                  <c:v>2452489.8295900002</c:v>
                </c:pt>
                <c:pt idx="468">
                  <c:v>2452503.75978</c:v>
                </c:pt>
                <c:pt idx="469">
                  <c:v>2452522.0918100001</c:v>
                </c:pt>
                <c:pt idx="470">
                  <c:v>2452536.9015000002</c:v>
                </c:pt>
                <c:pt idx="471">
                  <c:v>2452551.9608200002</c:v>
                </c:pt>
                <c:pt idx="472">
                  <c:v>2452571.3546000002</c:v>
                </c:pt>
                <c:pt idx="473">
                  <c:v>2452587.7316000001</c:v>
                </c:pt>
                <c:pt idx="474">
                  <c:v>2452602.4333299999</c:v>
                </c:pt>
                <c:pt idx="475">
                  <c:v>2452616.5</c:v>
                </c:pt>
                <c:pt idx="476">
                  <c:v>2452707.003</c:v>
                </c:pt>
                <c:pt idx="477">
                  <c:v>2452732.7000000002</c:v>
                </c:pt>
                <c:pt idx="478">
                  <c:v>2452772.42301</c:v>
                </c:pt>
                <c:pt idx="479">
                  <c:v>2452788.7015</c:v>
                </c:pt>
                <c:pt idx="480">
                  <c:v>2452810.7863799999</c:v>
                </c:pt>
                <c:pt idx="481">
                  <c:v>2452827.7018800001</c:v>
                </c:pt>
                <c:pt idx="482">
                  <c:v>2452840.3436099999</c:v>
                </c:pt>
                <c:pt idx="483">
                  <c:v>2452853.9709700001</c:v>
                </c:pt>
                <c:pt idx="484">
                  <c:v>2452871.65582</c:v>
                </c:pt>
                <c:pt idx="485">
                  <c:v>2452885.2453299998</c:v>
                </c:pt>
                <c:pt idx="486">
                  <c:v>2452905.2077000001</c:v>
                </c:pt>
                <c:pt idx="487">
                  <c:v>2452919.1552900001</c:v>
                </c:pt>
                <c:pt idx="488">
                  <c:v>2452934.2303200001</c:v>
                </c:pt>
                <c:pt idx="489">
                  <c:v>2452955.0640799999</c:v>
                </c:pt>
                <c:pt idx="490">
                  <c:v>2452968.4522199999</c:v>
                </c:pt>
                <c:pt idx="491">
                  <c:v>2453075.3333299998</c:v>
                </c:pt>
                <c:pt idx="492">
                  <c:v>2453100.0935</c:v>
                </c:pt>
                <c:pt idx="493">
                  <c:v>2453119.8052500002</c:v>
                </c:pt>
                <c:pt idx="494">
                  <c:v>2453146.5088200001</c:v>
                </c:pt>
                <c:pt idx="495">
                  <c:v>2453162.30314</c:v>
                </c:pt>
                <c:pt idx="496">
                  <c:v>2453178.2349200002</c:v>
                </c:pt>
                <c:pt idx="497">
                  <c:v>2453193.96844</c:v>
                </c:pt>
                <c:pt idx="498">
                  <c:v>2453208.1611000001</c:v>
                </c:pt>
                <c:pt idx="499">
                  <c:v>2453225.7605699999</c:v>
                </c:pt>
                <c:pt idx="500">
                  <c:v>2453238.63136</c:v>
                </c:pt>
                <c:pt idx="501">
                  <c:v>2453255.1837900002</c:v>
                </c:pt>
                <c:pt idx="502">
                  <c:v>2453270.8542399998</c:v>
                </c:pt>
                <c:pt idx="503">
                  <c:v>2453288.53492</c:v>
                </c:pt>
                <c:pt idx="504">
                  <c:v>2453304.8954799999</c:v>
                </c:pt>
                <c:pt idx="505">
                  <c:v>2453321.8690599999</c:v>
                </c:pt>
                <c:pt idx="506">
                  <c:v>2453345.8333299998</c:v>
                </c:pt>
                <c:pt idx="507">
                  <c:v>2453416.7000000002</c:v>
                </c:pt>
                <c:pt idx="508">
                  <c:v>2453455.3666699999</c:v>
                </c:pt>
                <c:pt idx="509">
                  <c:v>2453473.3002499999</c:v>
                </c:pt>
                <c:pt idx="510">
                  <c:v>2453486.1</c:v>
                </c:pt>
                <c:pt idx="511">
                  <c:v>2453502.1491</c:v>
                </c:pt>
                <c:pt idx="512">
                  <c:v>2453524.17</c:v>
                </c:pt>
                <c:pt idx="513">
                  <c:v>2453541.8505000002</c:v>
                </c:pt>
                <c:pt idx="514">
                  <c:v>2453558.2647299999</c:v>
                </c:pt>
                <c:pt idx="515">
                  <c:v>2453571.9834599998</c:v>
                </c:pt>
                <c:pt idx="516">
                  <c:v>2453591.8760000002</c:v>
                </c:pt>
                <c:pt idx="517">
                  <c:v>2453608.8834099998</c:v>
                </c:pt>
                <c:pt idx="518">
                  <c:v>2453621.6934000002</c:v>
                </c:pt>
                <c:pt idx="519">
                  <c:v>2453639.9687199998</c:v>
                </c:pt>
                <c:pt idx="520">
                  <c:v>2453651.1178899999</c:v>
                </c:pt>
                <c:pt idx="521">
                  <c:v>2453670.2159799999</c:v>
                </c:pt>
                <c:pt idx="522">
                  <c:v>2453682.4968699999</c:v>
                </c:pt>
                <c:pt idx="523">
                  <c:v>2453695.5602199999</c:v>
                </c:pt>
                <c:pt idx="524">
                  <c:v>2453724.5</c:v>
                </c:pt>
                <c:pt idx="525">
                  <c:v>2453829.7000000002</c:v>
                </c:pt>
                <c:pt idx="526">
                  <c:v>2453853.8670000001</c:v>
                </c:pt>
                <c:pt idx="527">
                  <c:v>2453865.5063999998</c:v>
                </c:pt>
                <c:pt idx="528">
                  <c:v>2453886.2941100001</c:v>
                </c:pt>
                <c:pt idx="529">
                  <c:v>2453906.5502300002</c:v>
                </c:pt>
                <c:pt idx="530">
                  <c:v>2453922.2898400002</c:v>
                </c:pt>
                <c:pt idx="531">
                  <c:v>2453938.5821199999</c:v>
                </c:pt>
                <c:pt idx="532">
                  <c:v>2453952.2435900001</c:v>
                </c:pt>
                <c:pt idx="533">
                  <c:v>2453968.7028100002</c:v>
                </c:pt>
                <c:pt idx="534">
                  <c:v>2453983.6189600001</c:v>
                </c:pt>
                <c:pt idx="535">
                  <c:v>2454001.1658200002</c:v>
                </c:pt>
                <c:pt idx="536">
                  <c:v>2454016.9120100001</c:v>
                </c:pt>
                <c:pt idx="537">
                  <c:v>2454037.37836</c:v>
                </c:pt>
                <c:pt idx="538">
                  <c:v>2454052.6970000002</c:v>
                </c:pt>
                <c:pt idx="539">
                  <c:v>2454071.3645000001</c:v>
                </c:pt>
                <c:pt idx="540">
                  <c:v>2454082.8689999999</c:v>
                </c:pt>
                <c:pt idx="541">
                  <c:v>2454207.0780000002</c:v>
                </c:pt>
                <c:pt idx="542">
                  <c:v>2454235.2069999999</c:v>
                </c:pt>
                <c:pt idx="543">
                  <c:v>2454252.37543</c:v>
                </c:pt>
                <c:pt idx="544">
                  <c:v>2454265.42093</c:v>
                </c:pt>
                <c:pt idx="545">
                  <c:v>2454280.8933199998</c:v>
                </c:pt>
                <c:pt idx="546">
                  <c:v>2454300.7474199999</c:v>
                </c:pt>
                <c:pt idx="547">
                  <c:v>2454317.7795699998</c:v>
                </c:pt>
                <c:pt idx="548">
                  <c:v>2454334.8321699998</c:v>
                </c:pt>
                <c:pt idx="549">
                  <c:v>2454348.6124700001</c:v>
                </c:pt>
                <c:pt idx="550">
                  <c:v>2454361.8146199998</c:v>
                </c:pt>
                <c:pt idx="551">
                  <c:v>2454379.8535699998</c:v>
                </c:pt>
                <c:pt idx="552">
                  <c:v>2454395.3362199999</c:v>
                </c:pt>
                <c:pt idx="553">
                  <c:v>2454413.07705</c:v>
                </c:pt>
                <c:pt idx="554">
                  <c:v>2454502.2000000002</c:v>
                </c:pt>
                <c:pt idx="555">
                  <c:v>2454513.7000000002</c:v>
                </c:pt>
                <c:pt idx="556">
                  <c:v>2454537.7000000002</c:v>
                </c:pt>
                <c:pt idx="557">
                  <c:v>2454574.2749999999</c:v>
                </c:pt>
                <c:pt idx="558">
                  <c:v>2454592.4254299998</c:v>
                </c:pt>
                <c:pt idx="559">
                  <c:v>2454613.74089</c:v>
                </c:pt>
                <c:pt idx="560">
                  <c:v>2454629.33555</c:v>
                </c:pt>
                <c:pt idx="561">
                  <c:v>2454647.5044399998</c:v>
                </c:pt>
                <c:pt idx="562">
                  <c:v>2454662.6203600001</c:v>
                </c:pt>
                <c:pt idx="563">
                  <c:v>2454680.2768999999</c:v>
                </c:pt>
                <c:pt idx="564">
                  <c:v>2454694.2392099998</c:v>
                </c:pt>
                <c:pt idx="565">
                  <c:v>2454711.10451</c:v>
                </c:pt>
                <c:pt idx="566">
                  <c:v>2454727.0380600002</c:v>
                </c:pt>
                <c:pt idx="567">
                  <c:v>2454740.9594899998</c:v>
                </c:pt>
                <c:pt idx="568">
                  <c:v>2454756.49046</c:v>
                </c:pt>
                <c:pt idx="569">
                  <c:v>2454769.0569799999</c:v>
                </c:pt>
                <c:pt idx="570">
                  <c:v>2454796.5</c:v>
                </c:pt>
                <c:pt idx="571">
                  <c:v>2454850.0225499999</c:v>
                </c:pt>
                <c:pt idx="572">
                  <c:v>2454866.75</c:v>
                </c:pt>
                <c:pt idx="573">
                  <c:v>2454896.3685300001</c:v>
                </c:pt>
                <c:pt idx="574">
                  <c:v>2454909.6277999999</c:v>
                </c:pt>
                <c:pt idx="575">
                  <c:v>2454931.2670200001</c:v>
                </c:pt>
                <c:pt idx="576">
                  <c:v>2454947.6588699999</c:v>
                </c:pt>
                <c:pt idx="577">
                  <c:v>2454969.6228399999</c:v>
                </c:pt>
                <c:pt idx="578">
                  <c:v>2454983.2505600001</c:v>
                </c:pt>
                <c:pt idx="579">
                  <c:v>2455000.3292200002</c:v>
                </c:pt>
                <c:pt idx="580">
                  <c:v>2455016.9180600001</c:v>
                </c:pt>
                <c:pt idx="581">
                  <c:v>2455031.4326300002</c:v>
                </c:pt>
                <c:pt idx="582">
                  <c:v>2455047.8516699998</c:v>
                </c:pt>
                <c:pt idx="583">
                  <c:v>2455063.5455</c:v>
                </c:pt>
                <c:pt idx="584">
                  <c:v>2455079.0051799999</c:v>
                </c:pt>
                <c:pt idx="585">
                  <c:v>2455093.5708599999</c:v>
                </c:pt>
                <c:pt idx="586">
                  <c:v>2455113.9835600001</c:v>
                </c:pt>
                <c:pt idx="587">
                  <c:v>2455126.5387599999</c:v>
                </c:pt>
                <c:pt idx="588">
                  <c:v>2455143.0349400002</c:v>
                </c:pt>
                <c:pt idx="589">
                  <c:v>2455158.7820600001</c:v>
                </c:pt>
                <c:pt idx="590">
                  <c:v>2455173.4967</c:v>
                </c:pt>
                <c:pt idx="591">
                  <c:v>2455206.0944300001</c:v>
                </c:pt>
                <c:pt idx="592">
                  <c:v>2455218.7785</c:v>
                </c:pt>
                <c:pt idx="593">
                  <c:v>2455246.4627800002</c:v>
                </c:pt>
                <c:pt idx="594">
                  <c:v>2455260.7149</c:v>
                </c:pt>
                <c:pt idx="595">
                  <c:v>2455278.5823599999</c:v>
                </c:pt>
                <c:pt idx="596">
                  <c:v>2455301.2092300002</c:v>
                </c:pt>
                <c:pt idx="597">
                  <c:v>2455318.8740500002</c:v>
                </c:pt>
                <c:pt idx="598">
                  <c:v>2455334.45273</c:v>
                </c:pt>
                <c:pt idx="599">
                  <c:v>2455353.24278</c:v>
                </c:pt>
                <c:pt idx="600">
                  <c:v>2455367.53865</c:v>
                </c:pt>
                <c:pt idx="601">
                  <c:v>2455385.7361099999</c:v>
                </c:pt>
                <c:pt idx="602">
                  <c:v>2455400.7681399998</c:v>
                </c:pt>
                <c:pt idx="603">
                  <c:v>2455419.3683799999</c:v>
                </c:pt>
                <c:pt idx="604">
                  <c:v>2455434.6602500002</c:v>
                </c:pt>
                <c:pt idx="605">
                  <c:v>2455450.73624</c:v>
                </c:pt>
                <c:pt idx="606">
                  <c:v>2455468.1312500001</c:v>
                </c:pt>
                <c:pt idx="607">
                  <c:v>2455480.9583800002</c:v>
                </c:pt>
                <c:pt idx="608">
                  <c:v>2455499.4493499999</c:v>
                </c:pt>
                <c:pt idx="609">
                  <c:v>2455517.38472</c:v>
                </c:pt>
                <c:pt idx="610">
                  <c:v>2455530.8333299998</c:v>
                </c:pt>
                <c:pt idx="611">
                  <c:v>2455685.5189999999</c:v>
                </c:pt>
                <c:pt idx="612">
                  <c:v>2455712.0042500002</c:v>
                </c:pt>
                <c:pt idx="613">
                  <c:v>2455725.9452499999</c:v>
                </c:pt>
                <c:pt idx="614">
                  <c:v>2455741.76884</c:v>
                </c:pt>
                <c:pt idx="615">
                  <c:v>2455759.6770299999</c:v>
                </c:pt>
                <c:pt idx="616">
                  <c:v>2455774.2778500002</c:v>
                </c:pt>
                <c:pt idx="617">
                  <c:v>2455790.7190999999</c:v>
                </c:pt>
                <c:pt idx="618">
                  <c:v>2455803.3382299999</c:v>
                </c:pt>
                <c:pt idx="619">
                  <c:v>2455824.7905100002</c:v>
                </c:pt>
                <c:pt idx="620">
                  <c:v>2455837.7419799999</c:v>
                </c:pt>
                <c:pt idx="621">
                  <c:v>2455855.7178000002</c:v>
                </c:pt>
                <c:pt idx="622">
                  <c:v>2455870.5911400001</c:v>
                </c:pt>
                <c:pt idx="623">
                  <c:v>2455889.0077999998</c:v>
                </c:pt>
                <c:pt idx="624">
                  <c:v>2455907</c:v>
                </c:pt>
                <c:pt idx="625">
                  <c:v>2456035.1580500002</c:v>
                </c:pt>
                <c:pt idx="626">
                  <c:v>2456065.0172000001</c:v>
                </c:pt>
                <c:pt idx="627">
                  <c:v>2456078.9249499999</c:v>
                </c:pt>
                <c:pt idx="628">
                  <c:v>2456098.3678600001</c:v>
                </c:pt>
                <c:pt idx="629">
                  <c:v>2456116.1959199999</c:v>
                </c:pt>
                <c:pt idx="630">
                  <c:v>2456128.5184900002</c:v>
                </c:pt>
                <c:pt idx="631">
                  <c:v>2456144.8901300002</c:v>
                </c:pt>
                <c:pt idx="632">
                  <c:v>2456159.4401600002</c:v>
                </c:pt>
                <c:pt idx="633">
                  <c:v>2456178.6313700001</c:v>
                </c:pt>
                <c:pt idx="634">
                  <c:v>2456191.9964200002</c:v>
                </c:pt>
                <c:pt idx="635">
                  <c:v>2456207.8432399998</c:v>
                </c:pt>
                <c:pt idx="636">
                  <c:v>2456219.2416900001</c:v>
                </c:pt>
                <c:pt idx="637">
                  <c:v>2456244.9128200002</c:v>
                </c:pt>
                <c:pt idx="638">
                  <c:v>2456257.2634999999</c:v>
                </c:pt>
                <c:pt idx="639">
                  <c:v>2456275.1666700002</c:v>
                </c:pt>
                <c:pt idx="640">
                  <c:v>2456398.2949999999</c:v>
                </c:pt>
                <c:pt idx="641">
                  <c:v>2456414.3080600002</c:v>
                </c:pt>
                <c:pt idx="642">
                  <c:v>2456431.5281400001</c:v>
                </c:pt>
                <c:pt idx="643">
                  <c:v>2456453.11742</c:v>
                </c:pt>
                <c:pt idx="644">
                  <c:v>2456472.9942800002</c:v>
                </c:pt>
                <c:pt idx="645">
                  <c:v>2456484.7133599999</c:v>
                </c:pt>
                <c:pt idx="646">
                  <c:v>2456507.58751</c:v>
                </c:pt>
                <c:pt idx="647">
                  <c:v>2456519.1484599998</c:v>
                </c:pt>
                <c:pt idx="648">
                  <c:v>2456536.0170700001</c:v>
                </c:pt>
                <c:pt idx="649">
                  <c:v>2456552.7229900002</c:v>
                </c:pt>
                <c:pt idx="650">
                  <c:v>2456567.01609</c:v>
                </c:pt>
                <c:pt idx="651">
                  <c:v>2456579.0024600001</c:v>
                </c:pt>
                <c:pt idx="652">
                  <c:v>2456596.9138799999</c:v>
                </c:pt>
                <c:pt idx="653">
                  <c:v>2456612.5897499998</c:v>
                </c:pt>
                <c:pt idx="654">
                  <c:v>2456740.6850000001</c:v>
                </c:pt>
                <c:pt idx="655">
                  <c:v>2456759.98544</c:v>
                </c:pt>
                <c:pt idx="656">
                  <c:v>2456781.0032000002</c:v>
                </c:pt>
                <c:pt idx="657">
                  <c:v>2456797.1855700002</c:v>
                </c:pt>
                <c:pt idx="658">
                  <c:v>2456815.4652300002</c:v>
                </c:pt>
                <c:pt idx="659">
                  <c:v>2456831.3750999998</c:v>
                </c:pt>
                <c:pt idx="660">
                  <c:v>2456848.23055</c:v>
                </c:pt>
                <c:pt idx="661">
                  <c:v>2456862.7563399998</c:v>
                </c:pt>
                <c:pt idx="662">
                  <c:v>2456881.8062700001</c:v>
                </c:pt>
                <c:pt idx="663">
                  <c:v>2456894.8763100002</c:v>
                </c:pt>
                <c:pt idx="664">
                  <c:v>2456910.5298199998</c:v>
                </c:pt>
                <c:pt idx="665">
                  <c:v>2456924.7106400002</c:v>
                </c:pt>
                <c:pt idx="666">
                  <c:v>2456940.5490000001</c:v>
                </c:pt>
                <c:pt idx="667">
                  <c:v>2456953.4747299999</c:v>
                </c:pt>
                <c:pt idx="668">
                  <c:v>2456970.6807400002</c:v>
                </c:pt>
                <c:pt idx="669">
                  <c:v>2456984.2659999998</c:v>
                </c:pt>
                <c:pt idx="670">
                  <c:v>2457095.6771</c:v>
                </c:pt>
                <c:pt idx="671">
                  <c:v>2457143.2102999999</c:v>
                </c:pt>
                <c:pt idx="672">
                  <c:v>2457163.14787</c:v>
                </c:pt>
                <c:pt idx="673">
                  <c:v>2457179.5667599998</c:v>
                </c:pt>
                <c:pt idx="674">
                  <c:v>2457193.14555</c:v>
                </c:pt>
                <c:pt idx="675">
                  <c:v>2457211.7963999999</c:v>
                </c:pt>
                <c:pt idx="676">
                  <c:v>2457224.2688500001</c:v>
                </c:pt>
                <c:pt idx="677">
                  <c:v>2457242.49798</c:v>
                </c:pt>
                <c:pt idx="678">
                  <c:v>2457256.1880899998</c:v>
                </c:pt>
                <c:pt idx="679">
                  <c:v>2457275.24425</c:v>
                </c:pt>
                <c:pt idx="680">
                  <c:v>2457290.2673599999</c:v>
                </c:pt>
                <c:pt idx="681">
                  <c:v>2457307.51902</c:v>
                </c:pt>
                <c:pt idx="682">
                  <c:v>2457322.20585</c:v>
                </c:pt>
                <c:pt idx="683">
                  <c:v>2457336.0282200002</c:v>
                </c:pt>
                <c:pt idx="684">
                  <c:v>2457356.2449400001</c:v>
                </c:pt>
                <c:pt idx="685">
                  <c:v>2457367.3684</c:v>
                </c:pt>
                <c:pt idx="686">
                  <c:v>2457462.1387700001</c:v>
                </c:pt>
                <c:pt idx="687">
                  <c:v>2457505.2285199999</c:v>
                </c:pt>
                <c:pt idx="688">
                  <c:v>2457518.2323799999</c:v>
                </c:pt>
                <c:pt idx="689">
                  <c:v>2457541.7086299998</c:v>
                </c:pt>
                <c:pt idx="690">
                  <c:v>2457552.9383200002</c:v>
                </c:pt>
                <c:pt idx="691">
                  <c:v>2457572.3152600001</c:v>
                </c:pt>
                <c:pt idx="692">
                  <c:v>2457588.5366600002</c:v>
                </c:pt>
                <c:pt idx="693">
                  <c:v>2457604.46441</c:v>
                </c:pt>
                <c:pt idx="694">
                  <c:v>2457622.6222799998</c:v>
                </c:pt>
                <c:pt idx="695">
                  <c:v>2457635.3106300002</c:v>
                </c:pt>
                <c:pt idx="696">
                  <c:v>2457654.1613500002</c:v>
                </c:pt>
                <c:pt idx="697">
                  <c:v>2457667.2607200001</c:v>
                </c:pt>
                <c:pt idx="698">
                  <c:v>2457684.7782899998</c:v>
                </c:pt>
                <c:pt idx="699">
                  <c:v>2457697.3197599999</c:v>
                </c:pt>
                <c:pt idx="700">
                  <c:v>2457710.5</c:v>
                </c:pt>
              </c:numCache>
            </c:numRef>
          </c:xVal>
          <c:yVal>
            <c:numRef>
              <c:f>Vis_Hist!$C$1:$C$1986</c:f>
              <c:numCache>
                <c:formatCode>General</c:formatCode>
                <c:ptCount val="1986"/>
                <c:pt idx="0">
                  <c:v>11.5</c:v>
                </c:pt>
                <c:pt idx="1">
                  <c:v>11.3</c:v>
                </c:pt>
                <c:pt idx="2">
                  <c:v>11.6</c:v>
                </c:pt>
                <c:pt idx="3">
                  <c:v>11.6</c:v>
                </c:pt>
                <c:pt idx="4">
                  <c:v>11.8</c:v>
                </c:pt>
                <c:pt idx="5">
                  <c:v>11.866667</c:v>
                </c:pt>
                <c:pt idx="6">
                  <c:v>11.8</c:v>
                </c:pt>
                <c:pt idx="7">
                  <c:v>11.9</c:v>
                </c:pt>
                <c:pt idx="8">
                  <c:v>11.4</c:v>
                </c:pt>
                <c:pt idx="9">
                  <c:v>11.45</c:v>
                </c:pt>
                <c:pt idx="10">
                  <c:v>11.566667000000001</c:v>
                </c:pt>
                <c:pt idx="11">
                  <c:v>11.4</c:v>
                </c:pt>
                <c:pt idx="12">
                  <c:v>11.4</c:v>
                </c:pt>
                <c:pt idx="13">
                  <c:v>11.633333</c:v>
                </c:pt>
                <c:pt idx="14">
                  <c:v>11.45</c:v>
                </c:pt>
                <c:pt idx="15">
                  <c:v>11.5</c:v>
                </c:pt>
                <c:pt idx="16">
                  <c:v>11.3</c:v>
                </c:pt>
                <c:pt idx="17">
                  <c:v>11.55</c:v>
                </c:pt>
                <c:pt idx="18">
                  <c:v>11.5</c:v>
                </c:pt>
                <c:pt idx="19">
                  <c:v>11.55</c:v>
                </c:pt>
                <c:pt idx="20">
                  <c:v>11.55</c:v>
                </c:pt>
                <c:pt idx="21">
                  <c:v>11.433332999999999</c:v>
                </c:pt>
                <c:pt idx="22">
                  <c:v>11.6</c:v>
                </c:pt>
                <c:pt idx="23">
                  <c:v>11.775</c:v>
                </c:pt>
                <c:pt idx="24">
                  <c:v>11.75</c:v>
                </c:pt>
                <c:pt idx="25">
                  <c:v>11.875</c:v>
                </c:pt>
                <c:pt idx="26">
                  <c:v>11.9</c:v>
                </c:pt>
                <c:pt idx="27">
                  <c:v>11.824999999999999</c:v>
                </c:pt>
                <c:pt idx="28">
                  <c:v>11.85</c:v>
                </c:pt>
                <c:pt idx="29">
                  <c:v>11.8</c:v>
                </c:pt>
                <c:pt idx="30">
                  <c:v>11.7</c:v>
                </c:pt>
                <c:pt idx="31">
                  <c:v>11.6</c:v>
                </c:pt>
                <c:pt idx="32">
                  <c:v>11.25</c:v>
                </c:pt>
                <c:pt idx="33">
                  <c:v>11.4</c:v>
                </c:pt>
                <c:pt idx="34">
                  <c:v>11.4</c:v>
                </c:pt>
                <c:pt idx="35">
                  <c:v>11.4</c:v>
                </c:pt>
                <c:pt idx="36">
                  <c:v>11.5</c:v>
                </c:pt>
                <c:pt idx="37">
                  <c:v>11.433332999999999</c:v>
                </c:pt>
                <c:pt idx="38">
                  <c:v>11.516667</c:v>
                </c:pt>
                <c:pt idx="39">
                  <c:v>11.65</c:v>
                </c:pt>
                <c:pt idx="40">
                  <c:v>11.4</c:v>
                </c:pt>
                <c:pt idx="41">
                  <c:v>11.5</c:v>
                </c:pt>
                <c:pt idx="42">
                  <c:v>11.466666999999999</c:v>
                </c:pt>
                <c:pt idx="43">
                  <c:v>12</c:v>
                </c:pt>
                <c:pt idx="44">
                  <c:v>11.65</c:v>
                </c:pt>
                <c:pt idx="45">
                  <c:v>11.5</c:v>
                </c:pt>
                <c:pt idx="46">
                  <c:v>11.5</c:v>
                </c:pt>
                <c:pt idx="47">
                  <c:v>11.5</c:v>
                </c:pt>
                <c:pt idx="48">
                  <c:v>11.55</c:v>
                </c:pt>
                <c:pt idx="49">
                  <c:v>11.55</c:v>
                </c:pt>
                <c:pt idx="50">
                  <c:v>11.525</c:v>
                </c:pt>
                <c:pt idx="51">
                  <c:v>11.6</c:v>
                </c:pt>
                <c:pt idx="52">
                  <c:v>11.6</c:v>
                </c:pt>
                <c:pt idx="53">
                  <c:v>11.566667000000001</c:v>
                </c:pt>
                <c:pt idx="54">
                  <c:v>11.55</c:v>
                </c:pt>
                <c:pt idx="55">
                  <c:v>11.5</c:v>
                </c:pt>
                <c:pt idx="56">
                  <c:v>11.5</c:v>
                </c:pt>
                <c:pt idx="57">
                  <c:v>11.45</c:v>
                </c:pt>
                <c:pt idx="58">
                  <c:v>11.5</c:v>
                </c:pt>
                <c:pt idx="59">
                  <c:v>11.45</c:v>
                </c:pt>
                <c:pt idx="60">
                  <c:v>11.366667</c:v>
                </c:pt>
                <c:pt idx="61">
                  <c:v>11.3</c:v>
                </c:pt>
                <c:pt idx="62">
                  <c:v>11.5</c:v>
                </c:pt>
                <c:pt idx="63">
                  <c:v>11.35</c:v>
                </c:pt>
                <c:pt idx="64">
                  <c:v>11.5</c:v>
                </c:pt>
                <c:pt idx="65">
                  <c:v>11.4</c:v>
                </c:pt>
                <c:pt idx="66">
                  <c:v>11.6</c:v>
                </c:pt>
                <c:pt idx="67">
                  <c:v>11.8</c:v>
                </c:pt>
                <c:pt idx="68">
                  <c:v>11.65</c:v>
                </c:pt>
                <c:pt idx="69">
                  <c:v>11.45</c:v>
                </c:pt>
                <c:pt idx="70">
                  <c:v>11.6</c:v>
                </c:pt>
                <c:pt idx="71">
                  <c:v>11.55</c:v>
                </c:pt>
                <c:pt idx="72">
                  <c:v>11.55</c:v>
                </c:pt>
                <c:pt idx="73">
                  <c:v>11.45</c:v>
                </c:pt>
                <c:pt idx="74">
                  <c:v>11.4</c:v>
                </c:pt>
                <c:pt idx="75">
                  <c:v>11.5</c:v>
                </c:pt>
                <c:pt idx="76">
                  <c:v>11.4</c:v>
                </c:pt>
                <c:pt idx="77">
                  <c:v>11.466666999999999</c:v>
                </c:pt>
                <c:pt idx="78">
                  <c:v>11.3</c:v>
                </c:pt>
                <c:pt idx="79">
                  <c:v>11.3</c:v>
                </c:pt>
                <c:pt idx="80">
                  <c:v>11.5</c:v>
                </c:pt>
                <c:pt idx="81">
                  <c:v>11.4</c:v>
                </c:pt>
                <c:pt idx="82">
                  <c:v>12</c:v>
                </c:pt>
                <c:pt idx="83">
                  <c:v>11.633333</c:v>
                </c:pt>
                <c:pt idx="84">
                  <c:v>11.766667</c:v>
                </c:pt>
                <c:pt idx="85">
                  <c:v>11.55</c:v>
                </c:pt>
                <c:pt idx="86">
                  <c:v>11.5</c:v>
                </c:pt>
                <c:pt idx="87">
                  <c:v>11.55</c:v>
                </c:pt>
                <c:pt idx="88">
                  <c:v>11.433332999999999</c:v>
                </c:pt>
                <c:pt idx="89">
                  <c:v>11.45</c:v>
                </c:pt>
                <c:pt idx="90">
                  <c:v>11.366667</c:v>
                </c:pt>
                <c:pt idx="91">
                  <c:v>11.65</c:v>
                </c:pt>
                <c:pt idx="92">
                  <c:v>11.633333</c:v>
                </c:pt>
                <c:pt idx="93">
                  <c:v>11.65</c:v>
                </c:pt>
                <c:pt idx="94">
                  <c:v>11.35</c:v>
                </c:pt>
                <c:pt idx="95">
                  <c:v>11.6</c:v>
                </c:pt>
                <c:pt idx="96">
                  <c:v>11.6</c:v>
                </c:pt>
                <c:pt idx="97">
                  <c:v>11.4</c:v>
                </c:pt>
                <c:pt idx="98">
                  <c:v>11.55</c:v>
                </c:pt>
                <c:pt idx="99">
                  <c:v>11.75</c:v>
                </c:pt>
                <c:pt idx="100">
                  <c:v>11.5</c:v>
                </c:pt>
                <c:pt idx="101">
                  <c:v>11.5</c:v>
                </c:pt>
                <c:pt idx="102">
                  <c:v>11.5</c:v>
                </c:pt>
                <c:pt idx="103">
                  <c:v>11.5</c:v>
                </c:pt>
                <c:pt idx="104">
                  <c:v>11.35</c:v>
                </c:pt>
                <c:pt idx="105">
                  <c:v>11.4</c:v>
                </c:pt>
                <c:pt idx="106">
                  <c:v>11.4</c:v>
                </c:pt>
                <c:pt idx="107">
                  <c:v>11.7</c:v>
                </c:pt>
                <c:pt idx="108">
                  <c:v>11.8</c:v>
                </c:pt>
                <c:pt idx="109">
                  <c:v>11.983333</c:v>
                </c:pt>
                <c:pt idx="110">
                  <c:v>12.018750000000001</c:v>
                </c:pt>
                <c:pt idx="111">
                  <c:v>12.055555999999999</c:v>
                </c:pt>
                <c:pt idx="112">
                  <c:v>12.093332999999999</c:v>
                </c:pt>
                <c:pt idx="113">
                  <c:v>12.072222</c:v>
                </c:pt>
                <c:pt idx="114">
                  <c:v>12.11</c:v>
                </c:pt>
                <c:pt idx="115">
                  <c:v>12.074999999999999</c:v>
                </c:pt>
                <c:pt idx="116">
                  <c:v>12</c:v>
                </c:pt>
                <c:pt idx="117">
                  <c:v>11.933332999999999</c:v>
                </c:pt>
                <c:pt idx="118">
                  <c:v>11.824999999999999</c:v>
                </c:pt>
                <c:pt idx="119">
                  <c:v>11.7875</c:v>
                </c:pt>
                <c:pt idx="120">
                  <c:v>11.766667</c:v>
                </c:pt>
                <c:pt idx="121">
                  <c:v>11.466666999999999</c:v>
                </c:pt>
                <c:pt idx="122">
                  <c:v>11.89</c:v>
                </c:pt>
                <c:pt idx="123">
                  <c:v>11.8</c:v>
                </c:pt>
                <c:pt idx="124">
                  <c:v>11.9</c:v>
                </c:pt>
                <c:pt idx="125">
                  <c:v>12.007692</c:v>
                </c:pt>
                <c:pt idx="126">
                  <c:v>12.025</c:v>
                </c:pt>
                <c:pt idx="127">
                  <c:v>12.02</c:v>
                </c:pt>
                <c:pt idx="128">
                  <c:v>12.1</c:v>
                </c:pt>
                <c:pt idx="129">
                  <c:v>12.2</c:v>
                </c:pt>
                <c:pt idx="130">
                  <c:v>12.1</c:v>
                </c:pt>
                <c:pt idx="131">
                  <c:v>12</c:v>
                </c:pt>
                <c:pt idx="132">
                  <c:v>11.833333</c:v>
                </c:pt>
                <c:pt idx="133">
                  <c:v>11.98</c:v>
                </c:pt>
                <c:pt idx="134">
                  <c:v>11.985714</c:v>
                </c:pt>
                <c:pt idx="135">
                  <c:v>12</c:v>
                </c:pt>
                <c:pt idx="136">
                  <c:v>11.76</c:v>
                </c:pt>
                <c:pt idx="137">
                  <c:v>11.78</c:v>
                </c:pt>
                <c:pt idx="138">
                  <c:v>11.75</c:v>
                </c:pt>
                <c:pt idx="139">
                  <c:v>11.7</c:v>
                </c:pt>
                <c:pt idx="140">
                  <c:v>11.5</c:v>
                </c:pt>
                <c:pt idx="141">
                  <c:v>11.9</c:v>
                </c:pt>
                <c:pt idx="142">
                  <c:v>11.75</c:v>
                </c:pt>
                <c:pt idx="143">
                  <c:v>11.824999999999999</c:v>
                </c:pt>
                <c:pt idx="144">
                  <c:v>12</c:v>
                </c:pt>
                <c:pt idx="145">
                  <c:v>11.933332999999999</c:v>
                </c:pt>
                <c:pt idx="146">
                  <c:v>11.925000000000001</c:v>
                </c:pt>
                <c:pt idx="147">
                  <c:v>12.02</c:v>
                </c:pt>
                <c:pt idx="148">
                  <c:v>12</c:v>
                </c:pt>
                <c:pt idx="149">
                  <c:v>11.857143000000001</c:v>
                </c:pt>
                <c:pt idx="150">
                  <c:v>11.9</c:v>
                </c:pt>
                <c:pt idx="151">
                  <c:v>11.942857</c:v>
                </c:pt>
                <c:pt idx="152">
                  <c:v>11.914286000000001</c:v>
                </c:pt>
                <c:pt idx="153">
                  <c:v>11.84</c:v>
                </c:pt>
                <c:pt idx="154">
                  <c:v>11.9</c:v>
                </c:pt>
                <c:pt idx="155">
                  <c:v>12.15</c:v>
                </c:pt>
                <c:pt idx="156">
                  <c:v>11.6</c:v>
                </c:pt>
                <c:pt idx="157">
                  <c:v>11.9</c:v>
                </c:pt>
                <c:pt idx="158">
                  <c:v>11.9</c:v>
                </c:pt>
                <c:pt idx="159">
                  <c:v>11.9</c:v>
                </c:pt>
                <c:pt idx="160">
                  <c:v>11.6</c:v>
                </c:pt>
                <c:pt idx="161">
                  <c:v>11.72</c:v>
                </c:pt>
                <c:pt idx="162">
                  <c:v>11.8125</c:v>
                </c:pt>
                <c:pt idx="163">
                  <c:v>11.525</c:v>
                </c:pt>
                <c:pt idx="164">
                  <c:v>11.833333</c:v>
                </c:pt>
                <c:pt idx="165">
                  <c:v>11.691667000000001</c:v>
                </c:pt>
                <c:pt idx="166">
                  <c:v>11.7</c:v>
                </c:pt>
                <c:pt idx="167">
                  <c:v>11.866667</c:v>
                </c:pt>
                <c:pt idx="168">
                  <c:v>11.7</c:v>
                </c:pt>
                <c:pt idx="169">
                  <c:v>11.7</c:v>
                </c:pt>
                <c:pt idx="170">
                  <c:v>11.4</c:v>
                </c:pt>
                <c:pt idx="171">
                  <c:v>11.8</c:v>
                </c:pt>
                <c:pt idx="172">
                  <c:v>11.7</c:v>
                </c:pt>
                <c:pt idx="173">
                  <c:v>12.066667000000001</c:v>
                </c:pt>
                <c:pt idx="174">
                  <c:v>11.966666999999999</c:v>
                </c:pt>
                <c:pt idx="175">
                  <c:v>12.011111</c:v>
                </c:pt>
                <c:pt idx="176">
                  <c:v>12.083333</c:v>
                </c:pt>
                <c:pt idx="177">
                  <c:v>11.984615</c:v>
                </c:pt>
                <c:pt idx="178">
                  <c:v>12.0375</c:v>
                </c:pt>
                <c:pt idx="179">
                  <c:v>11.981818000000001</c:v>
                </c:pt>
                <c:pt idx="180">
                  <c:v>11.7</c:v>
                </c:pt>
                <c:pt idx="181">
                  <c:v>11.883333</c:v>
                </c:pt>
                <c:pt idx="182">
                  <c:v>11.85</c:v>
                </c:pt>
                <c:pt idx="183">
                  <c:v>11.775</c:v>
                </c:pt>
                <c:pt idx="184">
                  <c:v>11.8</c:v>
                </c:pt>
                <c:pt idx="185">
                  <c:v>11.7</c:v>
                </c:pt>
                <c:pt idx="186">
                  <c:v>11.833333</c:v>
                </c:pt>
                <c:pt idx="187">
                  <c:v>11.9</c:v>
                </c:pt>
                <c:pt idx="188">
                  <c:v>12.05</c:v>
                </c:pt>
                <c:pt idx="189">
                  <c:v>11.824999999999999</c:v>
                </c:pt>
                <c:pt idx="190">
                  <c:v>11.95</c:v>
                </c:pt>
                <c:pt idx="191">
                  <c:v>11.866667</c:v>
                </c:pt>
                <c:pt idx="192">
                  <c:v>12.0375</c:v>
                </c:pt>
                <c:pt idx="193">
                  <c:v>12.026667</c:v>
                </c:pt>
                <c:pt idx="194">
                  <c:v>12.025</c:v>
                </c:pt>
                <c:pt idx="195">
                  <c:v>11.92</c:v>
                </c:pt>
                <c:pt idx="196">
                  <c:v>11.933332999999999</c:v>
                </c:pt>
                <c:pt idx="197">
                  <c:v>11.7</c:v>
                </c:pt>
                <c:pt idx="198">
                  <c:v>11.966666999999999</c:v>
                </c:pt>
                <c:pt idx="199">
                  <c:v>12.05</c:v>
                </c:pt>
                <c:pt idx="200">
                  <c:v>11.9</c:v>
                </c:pt>
                <c:pt idx="201">
                  <c:v>12.1</c:v>
                </c:pt>
                <c:pt idx="202">
                  <c:v>11.985714</c:v>
                </c:pt>
                <c:pt idx="203">
                  <c:v>11.99375</c:v>
                </c:pt>
                <c:pt idx="204">
                  <c:v>11.978571000000001</c:v>
                </c:pt>
                <c:pt idx="205">
                  <c:v>11.883333</c:v>
                </c:pt>
                <c:pt idx="206">
                  <c:v>11.830769</c:v>
                </c:pt>
                <c:pt idx="207">
                  <c:v>11.955556</c:v>
                </c:pt>
                <c:pt idx="208">
                  <c:v>11.929411999999999</c:v>
                </c:pt>
                <c:pt idx="209">
                  <c:v>11.887499999999999</c:v>
                </c:pt>
                <c:pt idx="210">
                  <c:v>11.88</c:v>
                </c:pt>
                <c:pt idx="211">
                  <c:v>11.775</c:v>
                </c:pt>
                <c:pt idx="212">
                  <c:v>11.9</c:v>
                </c:pt>
                <c:pt idx="213">
                  <c:v>12</c:v>
                </c:pt>
                <c:pt idx="214">
                  <c:v>12</c:v>
                </c:pt>
                <c:pt idx="215">
                  <c:v>12.066667000000001</c:v>
                </c:pt>
                <c:pt idx="216">
                  <c:v>12.2</c:v>
                </c:pt>
                <c:pt idx="217">
                  <c:v>11.911111</c:v>
                </c:pt>
                <c:pt idx="218">
                  <c:v>11.9</c:v>
                </c:pt>
                <c:pt idx="219">
                  <c:v>12.047059000000001</c:v>
                </c:pt>
                <c:pt idx="220">
                  <c:v>12.041667</c:v>
                </c:pt>
                <c:pt idx="221">
                  <c:v>12</c:v>
                </c:pt>
                <c:pt idx="222">
                  <c:v>11.995832999999999</c:v>
                </c:pt>
                <c:pt idx="223">
                  <c:v>12.009091</c:v>
                </c:pt>
                <c:pt idx="224">
                  <c:v>12.084211</c:v>
                </c:pt>
                <c:pt idx="225">
                  <c:v>11.990909</c:v>
                </c:pt>
                <c:pt idx="226">
                  <c:v>12.025</c:v>
                </c:pt>
                <c:pt idx="227">
                  <c:v>12.03</c:v>
                </c:pt>
                <c:pt idx="228">
                  <c:v>12.05</c:v>
                </c:pt>
                <c:pt idx="229">
                  <c:v>12.1</c:v>
                </c:pt>
                <c:pt idx="230">
                  <c:v>12.05</c:v>
                </c:pt>
                <c:pt idx="231">
                  <c:v>12.05</c:v>
                </c:pt>
                <c:pt idx="232">
                  <c:v>12.033333000000001</c:v>
                </c:pt>
                <c:pt idx="233">
                  <c:v>11.8</c:v>
                </c:pt>
                <c:pt idx="234">
                  <c:v>11.925000000000001</c:v>
                </c:pt>
                <c:pt idx="235">
                  <c:v>12.033333000000001</c:v>
                </c:pt>
                <c:pt idx="236">
                  <c:v>11.883333</c:v>
                </c:pt>
                <c:pt idx="237">
                  <c:v>11.793749999999999</c:v>
                </c:pt>
                <c:pt idx="238">
                  <c:v>11.711111000000001</c:v>
                </c:pt>
                <c:pt idx="239">
                  <c:v>11.809524</c:v>
                </c:pt>
                <c:pt idx="240">
                  <c:v>11.793749999999999</c:v>
                </c:pt>
                <c:pt idx="241">
                  <c:v>11.74375</c:v>
                </c:pt>
                <c:pt idx="242">
                  <c:v>11.75</c:v>
                </c:pt>
                <c:pt idx="243">
                  <c:v>11.77</c:v>
                </c:pt>
                <c:pt idx="244">
                  <c:v>11.8</c:v>
                </c:pt>
                <c:pt idx="245">
                  <c:v>11.733333</c:v>
                </c:pt>
                <c:pt idx="246">
                  <c:v>11.95</c:v>
                </c:pt>
                <c:pt idx="247">
                  <c:v>11.866667</c:v>
                </c:pt>
                <c:pt idx="248">
                  <c:v>12.125</c:v>
                </c:pt>
                <c:pt idx="249">
                  <c:v>12.044444</c:v>
                </c:pt>
                <c:pt idx="250">
                  <c:v>11.991667</c:v>
                </c:pt>
                <c:pt idx="251">
                  <c:v>11.984999999999999</c:v>
                </c:pt>
                <c:pt idx="252">
                  <c:v>11.984</c:v>
                </c:pt>
                <c:pt idx="253">
                  <c:v>12.009231</c:v>
                </c:pt>
                <c:pt idx="254">
                  <c:v>12.006522</c:v>
                </c:pt>
                <c:pt idx="255">
                  <c:v>11.972353</c:v>
                </c:pt>
                <c:pt idx="256">
                  <c:v>11.922000000000001</c:v>
                </c:pt>
                <c:pt idx="257">
                  <c:v>11.885</c:v>
                </c:pt>
                <c:pt idx="258">
                  <c:v>11.767143000000001</c:v>
                </c:pt>
                <c:pt idx="259">
                  <c:v>11.8125</c:v>
                </c:pt>
                <c:pt idx="260">
                  <c:v>12</c:v>
                </c:pt>
                <c:pt idx="261">
                  <c:v>11.9</c:v>
                </c:pt>
                <c:pt idx="262">
                  <c:v>12</c:v>
                </c:pt>
                <c:pt idx="263">
                  <c:v>12</c:v>
                </c:pt>
                <c:pt idx="264">
                  <c:v>11.916667</c:v>
                </c:pt>
                <c:pt idx="265">
                  <c:v>11.756667</c:v>
                </c:pt>
                <c:pt idx="266">
                  <c:v>11.955</c:v>
                </c:pt>
                <c:pt idx="267">
                  <c:v>11.904</c:v>
                </c:pt>
                <c:pt idx="268">
                  <c:v>11.8775</c:v>
                </c:pt>
                <c:pt idx="269">
                  <c:v>11.76</c:v>
                </c:pt>
                <c:pt idx="270">
                  <c:v>11.936875000000001</c:v>
                </c:pt>
                <c:pt idx="271">
                  <c:v>11.868124999999999</c:v>
                </c:pt>
                <c:pt idx="272">
                  <c:v>11.897143</c:v>
                </c:pt>
                <c:pt idx="273">
                  <c:v>11.797857</c:v>
                </c:pt>
                <c:pt idx="274">
                  <c:v>11.930476000000001</c:v>
                </c:pt>
                <c:pt idx="275">
                  <c:v>11.864545</c:v>
                </c:pt>
                <c:pt idx="276">
                  <c:v>11.819129999999999</c:v>
                </c:pt>
                <c:pt idx="277">
                  <c:v>11.762105</c:v>
                </c:pt>
                <c:pt idx="278">
                  <c:v>11.778</c:v>
                </c:pt>
                <c:pt idx="279">
                  <c:v>11.821249999999999</c:v>
                </c:pt>
                <c:pt idx="280">
                  <c:v>11.81</c:v>
                </c:pt>
                <c:pt idx="281">
                  <c:v>11.85</c:v>
                </c:pt>
                <c:pt idx="282">
                  <c:v>12.025</c:v>
                </c:pt>
                <c:pt idx="283">
                  <c:v>11.7</c:v>
                </c:pt>
                <c:pt idx="284">
                  <c:v>12.035714</c:v>
                </c:pt>
                <c:pt idx="285">
                  <c:v>11.976922999999999</c:v>
                </c:pt>
                <c:pt idx="286">
                  <c:v>11.8125</c:v>
                </c:pt>
                <c:pt idx="287">
                  <c:v>11.8232</c:v>
                </c:pt>
                <c:pt idx="288">
                  <c:v>11.852973</c:v>
                </c:pt>
                <c:pt idx="289">
                  <c:v>11.827999999999999</c:v>
                </c:pt>
                <c:pt idx="290">
                  <c:v>11.763076999999999</c:v>
                </c:pt>
                <c:pt idx="291">
                  <c:v>11.792142999999999</c:v>
                </c:pt>
                <c:pt idx="292">
                  <c:v>11.814145999999999</c:v>
                </c:pt>
                <c:pt idx="293">
                  <c:v>11.725161</c:v>
                </c:pt>
                <c:pt idx="294">
                  <c:v>11.762962999999999</c:v>
                </c:pt>
                <c:pt idx="295">
                  <c:v>11.667742000000001</c:v>
                </c:pt>
                <c:pt idx="296">
                  <c:v>11.589696999999999</c:v>
                </c:pt>
                <c:pt idx="297">
                  <c:v>11.66</c:v>
                </c:pt>
                <c:pt idx="298">
                  <c:v>11.708696</c:v>
                </c:pt>
                <c:pt idx="299">
                  <c:v>11.658823999999999</c:v>
                </c:pt>
                <c:pt idx="300">
                  <c:v>11.633333</c:v>
                </c:pt>
                <c:pt idx="301">
                  <c:v>12.1</c:v>
                </c:pt>
                <c:pt idx="302">
                  <c:v>12.074999999999999</c:v>
                </c:pt>
                <c:pt idx="303">
                  <c:v>11.98</c:v>
                </c:pt>
                <c:pt idx="304">
                  <c:v>11.96</c:v>
                </c:pt>
                <c:pt idx="305">
                  <c:v>11.868421</c:v>
                </c:pt>
                <c:pt idx="306">
                  <c:v>11.911538</c:v>
                </c:pt>
                <c:pt idx="307">
                  <c:v>11.897273</c:v>
                </c:pt>
                <c:pt idx="308">
                  <c:v>11.92069</c:v>
                </c:pt>
                <c:pt idx="309">
                  <c:v>11.943725000000001</c:v>
                </c:pt>
                <c:pt idx="310">
                  <c:v>12.058824</c:v>
                </c:pt>
                <c:pt idx="311">
                  <c:v>11.997</c:v>
                </c:pt>
                <c:pt idx="312">
                  <c:v>11.965517</c:v>
                </c:pt>
                <c:pt idx="313">
                  <c:v>11.962069</c:v>
                </c:pt>
                <c:pt idx="314">
                  <c:v>11.856522</c:v>
                </c:pt>
                <c:pt idx="315">
                  <c:v>11.765000000000001</c:v>
                </c:pt>
                <c:pt idx="316">
                  <c:v>11.916667</c:v>
                </c:pt>
                <c:pt idx="317">
                  <c:v>11.971429000000001</c:v>
                </c:pt>
                <c:pt idx="318">
                  <c:v>11.925000000000001</c:v>
                </c:pt>
                <c:pt idx="319">
                  <c:v>11.9</c:v>
                </c:pt>
                <c:pt idx="320">
                  <c:v>11.8</c:v>
                </c:pt>
                <c:pt idx="321">
                  <c:v>11.85</c:v>
                </c:pt>
                <c:pt idx="322">
                  <c:v>11.88</c:v>
                </c:pt>
                <c:pt idx="323">
                  <c:v>11.9</c:v>
                </c:pt>
                <c:pt idx="324">
                  <c:v>11.966666999999999</c:v>
                </c:pt>
                <c:pt idx="325">
                  <c:v>11.834286000000001</c:v>
                </c:pt>
                <c:pt idx="326">
                  <c:v>11.97</c:v>
                </c:pt>
                <c:pt idx="327">
                  <c:v>11.84</c:v>
                </c:pt>
                <c:pt idx="328">
                  <c:v>11.821052999999999</c:v>
                </c:pt>
                <c:pt idx="329">
                  <c:v>11.764865</c:v>
                </c:pt>
                <c:pt idx="330">
                  <c:v>11.709</c:v>
                </c:pt>
                <c:pt idx="331">
                  <c:v>11.720769000000001</c:v>
                </c:pt>
                <c:pt idx="332">
                  <c:v>11.761538</c:v>
                </c:pt>
                <c:pt idx="333">
                  <c:v>11.726667000000001</c:v>
                </c:pt>
                <c:pt idx="334">
                  <c:v>11.636364</c:v>
                </c:pt>
                <c:pt idx="335">
                  <c:v>11.704762000000001</c:v>
                </c:pt>
                <c:pt idx="336">
                  <c:v>11.7</c:v>
                </c:pt>
                <c:pt idx="337">
                  <c:v>11.658823999999999</c:v>
                </c:pt>
                <c:pt idx="338">
                  <c:v>11.642105000000001</c:v>
                </c:pt>
                <c:pt idx="339">
                  <c:v>11.655556000000001</c:v>
                </c:pt>
                <c:pt idx="340">
                  <c:v>11.785714</c:v>
                </c:pt>
                <c:pt idx="341">
                  <c:v>11.7</c:v>
                </c:pt>
                <c:pt idx="342">
                  <c:v>11.7</c:v>
                </c:pt>
                <c:pt idx="343">
                  <c:v>11.98</c:v>
                </c:pt>
                <c:pt idx="344">
                  <c:v>11.941667000000001</c:v>
                </c:pt>
                <c:pt idx="345">
                  <c:v>12.035714</c:v>
                </c:pt>
                <c:pt idx="346">
                  <c:v>11.876189999999999</c:v>
                </c:pt>
                <c:pt idx="347">
                  <c:v>11.974615</c:v>
                </c:pt>
                <c:pt idx="348">
                  <c:v>12.018750000000001</c:v>
                </c:pt>
                <c:pt idx="349">
                  <c:v>11.893750000000001</c:v>
                </c:pt>
                <c:pt idx="350">
                  <c:v>11.937692</c:v>
                </c:pt>
                <c:pt idx="351">
                  <c:v>11.881667</c:v>
                </c:pt>
                <c:pt idx="352">
                  <c:v>11.871428999999999</c:v>
                </c:pt>
                <c:pt idx="353">
                  <c:v>11.914211</c:v>
                </c:pt>
                <c:pt idx="354">
                  <c:v>11.791499999999999</c:v>
                </c:pt>
                <c:pt idx="355">
                  <c:v>11.775862</c:v>
                </c:pt>
                <c:pt idx="356">
                  <c:v>11.775</c:v>
                </c:pt>
                <c:pt idx="357">
                  <c:v>11.721052999999999</c:v>
                </c:pt>
                <c:pt idx="358">
                  <c:v>11.7875</c:v>
                </c:pt>
                <c:pt idx="359">
                  <c:v>11.833333</c:v>
                </c:pt>
                <c:pt idx="360">
                  <c:v>11.85</c:v>
                </c:pt>
                <c:pt idx="361">
                  <c:v>11.8</c:v>
                </c:pt>
                <c:pt idx="362">
                  <c:v>12</c:v>
                </c:pt>
                <c:pt idx="363">
                  <c:v>11.875</c:v>
                </c:pt>
                <c:pt idx="364">
                  <c:v>11.933332999999999</c:v>
                </c:pt>
                <c:pt idx="365">
                  <c:v>12.06</c:v>
                </c:pt>
                <c:pt idx="366">
                  <c:v>11.93</c:v>
                </c:pt>
                <c:pt idx="367">
                  <c:v>11.99</c:v>
                </c:pt>
                <c:pt idx="368">
                  <c:v>11.911111</c:v>
                </c:pt>
                <c:pt idx="369">
                  <c:v>11.877777999999999</c:v>
                </c:pt>
                <c:pt idx="370">
                  <c:v>11.871667</c:v>
                </c:pt>
                <c:pt idx="371">
                  <c:v>11.954762000000001</c:v>
                </c:pt>
                <c:pt idx="372">
                  <c:v>11.936999999999999</c:v>
                </c:pt>
                <c:pt idx="373">
                  <c:v>11.92</c:v>
                </c:pt>
                <c:pt idx="374">
                  <c:v>12.032353000000001</c:v>
                </c:pt>
                <c:pt idx="375">
                  <c:v>11.905263</c:v>
                </c:pt>
                <c:pt idx="376">
                  <c:v>11.884615</c:v>
                </c:pt>
                <c:pt idx="377">
                  <c:v>11.88</c:v>
                </c:pt>
                <c:pt idx="378">
                  <c:v>11.958333</c:v>
                </c:pt>
                <c:pt idx="379">
                  <c:v>12.033333000000001</c:v>
                </c:pt>
                <c:pt idx="380">
                  <c:v>11.9</c:v>
                </c:pt>
                <c:pt idx="381">
                  <c:v>11.9</c:v>
                </c:pt>
                <c:pt idx="382">
                  <c:v>12.2</c:v>
                </c:pt>
                <c:pt idx="383">
                  <c:v>11.9</c:v>
                </c:pt>
                <c:pt idx="384">
                  <c:v>11.85</c:v>
                </c:pt>
                <c:pt idx="385">
                  <c:v>12</c:v>
                </c:pt>
                <c:pt idx="386">
                  <c:v>12.06</c:v>
                </c:pt>
                <c:pt idx="387">
                  <c:v>11.98</c:v>
                </c:pt>
                <c:pt idx="388">
                  <c:v>11.944444000000001</c:v>
                </c:pt>
                <c:pt idx="389">
                  <c:v>11.9</c:v>
                </c:pt>
                <c:pt idx="390">
                  <c:v>11.958333</c:v>
                </c:pt>
                <c:pt idx="391">
                  <c:v>11.956</c:v>
                </c:pt>
                <c:pt idx="392">
                  <c:v>11.925000000000001</c:v>
                </c:pt>
                <c:pt idx="393">
                  <c:v>11.887499999999999</c:v>
                </c:pt>
                <c:pt idx="394">
                  <c:v>11.9375</c:v>
                </c:pt>
                <c:pt idx="395">
                  <c:v>11.7</c:v>
                </c:pt>
                <c:pt idx="396">
                  <c:v>11.871428999999999</c:v>
                </c:pt>
                <c:pt idx="397">
                  <c:v>11.94</c:v>
                </c:pt>
                <c:pt idx="398">
                  <c:v>11.933332999999999</c:v>
                </c:pt>
                <c:pt idx="399">
                  <c:v>11.6</c:v>
                </c:pt>
                <c:pt idx="400">
                  <c:v>11.3</c:v>
                </c:pt>
                <c:pt idx="401">
                  <c:v>11.3</c:v>
                </c:pt>
                <c:pt idx="402">
                  <c:v>12.4</c:v>
                </c:pt>
                <c:pt idx="403">
                  <c:v>11.75</c:v>
                </c:pt>
                <c:pt idx="404">
                  <c:v>11.824999999999999</c:v>
                </c:pt>
                <c:pt idx="405">
                  <c:v>11.95</c:v>
                </c:pt>
                <c:pt idx="406">
                  <c:v>11.922222</c:v>
                </c:pt>
                <c:pt idx="407">
                  <c:v>12.04</c:v>
                </c:pt>
                <c:pt idx="408">
                  <c:v>12.006667</c:v>
                </c:pt>
                <c:pt idx="409">
                  <c:v>11.94375</c:v>
                </c:pt>
                <c:pt idx="410">
                  <c:v>11.785</c:v>
                </c:pt>
                <c:pt idx="411">
                  <c:v>11.833333</c:v>
                </c:pt>
                <c:pt idx="412">
                  <c:v>11.72963</c:v>
                </c:pt>
                <c:pt idx="413">
                  <c:v>11.8</c:v>
                </c:pt>
                <c:pt idx="414">
                  <c:v>11.745455</c:v>
                </c:pt>
                <c:pt idx="415">
                  <c:v>11.74375</c:v>
                </c:pt>
                <c:pt idx="416">
                  <c:v>11.85</c:v>
                </c:pt>
                <c:pt idx="417">
                  <c:v>11.88</c:v>
                </c:pt>
                <c:pt idx="418">
                  <c:v>11.96</c:v>
                </c:pt>
                <c:pt idx="419">
                  <c:v>11.9</c:v>
                </c:pt>
                <c:pt idx="420">
                  <c:v>11.8</c:v>
                </c:pt>
                <c:pt idx="421">
                  <c:v>11.766667</c:v>
                </c:pt>
                <c:pt idx="422">
                  <c:v>11.84</c:v>
                </c:pt>
                <c:pt idx="423">
                  <c:v>11.885714</c:v>
                </c:pt>
                <c:pt idx="424">
                  <c:v>11.6</c:v>
                </c:pt>
                <c:pt idx="425">
                  <c:v>11.73</c:v>
                </c:pt>
                <c:pt idx="426">
                  <c:v>11.844443999999999</c:v>
                </c:pt>
                <c:pt idx="427">
                  <c:v>11.7</c:v>
                </c:pt>
                <c:pt idx="428">
                  <c:v>11.742105</c:v>
                </c:pt>
                <c:pt idx="429">
                  <c:v>11.82</c:v>
                </c:pt>
                <c:pt idx="430">
                  <c:v>11.9</c:v>
                </c:pt>
                <c:pt idx="431">
                  <c:v>11.831250000000001</c:v>
                </c:pt>
                <c:pt idx="432">
                  <c:v>11.825806</c:v>
                </c:pt>
                <c:pt idx="433">
                  <c:v>11.776923</c:v>
                </c:pt>
                <c:pt idx="434">
                  <c:v>11.72</c:v>
                </c:pt>
                <c:pt idx="435">
                  <c:v>11.957143</c:v>
                </c:pt>
                <c:pt idx="436">
                  <c:v>11.815384999999999</c:v>
                </c:pt>
                <c:pt idx="437">
                  <c:v>11.8</c:v>
                </c:pt>
                <c:pt idx="438">
                  <c:v>11.95</c:v>
                </c:pt>
                <c:pt idx="439">
                  <c:v>11.9</c:v>
                </c:pt>
                <c:pt idx="440">
                  <c:v>11.9</c:v>
                </c:pt>
                <c:pt idx="441">
                  <c:v>11.7</c:v>
                </c:pt>
                <c:pt idx="442">
                  <c:v>11.8</c:v>
                </c:pt>
                <c:pt idx="443">
                  <c:v>11.7</c:v>
                </c:pt>
                <c:pt idx="444">
                  <c:v>11.918182</c:v>
                </c:pt>
                <c:pt idx="445">
                  <c:v>11.808332999999999</c:v>
                </c:pt>
                <c:pt idx="446">
                  <c:v>11.856249999999999</c:v>
                </c:pt>
                <c:pt idx="447">
                  <c:v>11.976922999999999</c:v>
                </c:pt>
                <c:pt idx="448">
                  <c:v>11.833333</c:v>
                </c:pt>
                <c:pt idx="449">
                  <c:v>11.873684000000001</c:v>
                </c:pt>
                <c:pt idx="450">
                  <c:v>11.864286</c:v>
                </c:pt>
                <c:pt idx="451">
                  <c:v>11.893333</c:v>
                </c:pt>
                <c:pt idx="452">
                  <c:v>11.831250000000001</c:v>
                </c:pt>
                <c:pt idx="453">
                  <c:v>11.828571</c:v>
                </c:pt>
                <c:pt idx="454">
                  <c:v>11.78</c:v>
                </c:pt>
                <c:pt idx="455">
                  <c:v>11.777778</c:v>
                </c:pt>
                <c:pt idx="456">
                  <c:v>11.74</c:v>
                </c:pt>
                <c:pt idx="457">
                  <c:v>11.86</c:v>
                </c:pt>
                <c:pt idx="458">
                  <c:v>11.833333</c:v>
                </c:pt>
                <c:pt idx="459">
                  <c:v>11.8</c:v>
                </c:pt>
                <c:pt idx="460">
                  <c:v>11.9</c:v>
                </c:pt>
                <c:pt idx="461">
                  <c:v>11.5</c:v>
                </c:pt>
                <c:pt idx="462">
                  <c:v>11.94</c:v>
                </c:pt>
                <c:pt idx="463">
                  <c:v>11.86</c:v>
                </c:pt>
                <c:pt idx="464">
                  <c:v>11.84</c:v>
                </c:pt>
                <c:pt idx="465">
                  <c:v>11.96</c:v>
                </c:pt>
                <c:pt idx="466">
                  <c:v>11.9375</c:v>
                </c:pt>
                <c:pt idx="467">
                  <c:v>11.958824</c:v>
                </c:pt>
                <c:pt idx="468">
                  <c:v>11.916667</c:v>
                </c:pt>
                <c:pt idx="469">
                  <c:v>11.927273</c:v>
                </c:pt>
                <c:pt idx="470">
                  <c:v>11.836364</c:v>
                </c:pt>
                <c:pt idx="471">
                  <c:v>11.86</c:v>
                </c:pt>
                <c:pt idx="472">
                  <c:v>11.84</c:v>
                </c:pt>
                <c:pt idx="473">
                  <c:v>11.84</c:v>
                </c:pt>
                <c:pt idx="474">
                  <c:v>11.833333</c:v>
                </c:pt>
                <c:pt idx="475">
                  <c:v>11.9</c:v>
                </c:pt>
                <c:pt idx="476">
                  <c:v>11.833333</c:v>
                </c:pt>
                <c:pt idx="477">
                  <c:v>11.65</c:v>
                </c:pt>
                <c:pt idx="478">
                  <c:v>11.862500000000001</c:v>
                </c:pt>
                <c:pt idx="479">
                  <c:v>11.816667000000001</c:v>
                </c:pt>
                <c:pt idx="480">
                  <c:v>11.9125</c:v>
                </c:pt>
                <c:pt idx="481">
                  <c:v>11.925000000000001</c:v>
                </c:pt>
                <c:pt idx="482">
                  <c:v>11.87</c:v>
                </c:pt>
                <c:pt idx="483">
                  <c:v>11.826667</c:v>
                </c:pt>
                <c:pt idx="484">
                  <c:v>11.863636</c:v>
                </c:pt>
                <c:pt idx="485">
                  <c:v>11.833333</c:v>
                </c:pt>
                <c:pt idx="486">
                  <c:v>11.86</c:v>
                </c:pt>
                <c:pt idx="487">
                  <c:v>11.9375</c:v>
                </c:pt>
                <c:pt idx="488">
                  <c:v>11.966666999999999</c:v>
                </c:pt>
                <c:pt idx="489">
                  <c:v>11.975</c:v>
                </c:pt>
                <c:pt idx="490">
                  <c:v>11.9</c:v>
                </c:pt>
                <c:pt idx="491">
                  <c:v>11.633333</c:v>
                </c:pt>
                <c:pt idx="492">
                  <c:v>11.9</c:v>
                </c:pt>
                <c:pt idx="493">
                  <c:v>11.85</c:v>
                </c:pt>
                <c:pt idx="494">
                  <c:v>11.938461999999999</c:v>
                </c:pt>
                <c:pt idx="495">
                  <c:v>11.737500000000001</c:v>
                </c:pt>
                <c:pt idx="496">
                  <c:v>11.878571000000001</c:v>
                </c:pt>
                <c:pt idx="497">
                  <c:v>11.881818000000001</c:v>
                </c:pt>
                <c:pt idx="498">
                  <c:v>11.85</c:v>
                </c:pt>
                <c:pt idx="499">
                  <c:v>11.8</c:v>
                </c:pt>
                <c:pt idx="500">
                  <c:v>11.828571</c:v>
                </c:pt>
                <c:pt idx="501">
                  <c:v>11.771428999999999</c:v>
                </c:pt>
                <c:pt idx="502">
                  <c:v>11.7</c:v>
                </c:pt>
                <c:pt idx="503">
                  <c:v>11.758824000000001</c:v>
                </c:pt>
                <c:pt idx="504">
                  <c:v>11.75</c:v>
                </c:pt>
                <c:pt idx="505">
                  <c:v>11.642856999999999</c:v>
                </c:pt>
                <c:pt idx="506">
                  <c:v>11.6</c:v>
                </c:pt>
                <c:pt idx="507">
                  <c:v>11.4</c:v>
                </c:pt>
                <c:pt idx="508">
                  <c:v>11.2</c:v>
                </c:pt>
                <c:pt idx="509">
                  <c:v>11.9</c:v>
                </c:pt>
                <c:pt idx="510">
                  <c:v>10.95</c:v>
                </c:pt>
                <c:pt idx="511">
                  <c:v>11.72</c:v>
                </c:pt>
                <c:pt idx="512">
                  <c:v>11.6</c:v>
                </c:pt>
                <c:pt idx="513">
                  <c:v>11.641667</c:v>
                </c:pt>
                <c:pt idx="514">
                  <c:v>11.455556</c:v>
                </c:pt>
                <c:pt idx="515">
                  <c:v>11.507692</c:v>
                </c:pt>
                <c:pt idx="516">
                  <c:v>11.457143</c:v>
                </c:pt>
                <c:pt idx="517">
                  <c:v>11.638889000000001</c:v>
                </c:pt>
                <c:pt idx="518">
                  <c:v>11.453333000000001</c:v>
                </c:pt>
                <c:pt idx="519">
                  <c:v>11.570968000000001</c:v>
                </c:pt>
                <c:pt idx="520">
                  <c:v>11.525</c:v>
                </c:pt>
                <c:pt idx="521">
                  <c:v>11.5</c:v>
                </c:pt>
                <c:pt idx="522">
                  <c:v>11.55</c:v>
                </c:pt>
                <c:pt idx="523">
                  <c:v>11.583333</c:v>
                </c:pt>
                <c:pt idx="524">
                  <c:v>11.666667</c:v>
                </c:pt>
                <c:pt idx="525">
                  <c:v>11.7</c:v>
                </c:pt>
                <c:pt idx="526">
                  <c:v>11.533333000000001</c:v>
                </c:pt>
                <c:pt idx="527">
                  <c:v>11.55</c:v>
                </c:pt>
                <c:pt idx="528">
                  <c:v>11.7</c:v>
                </c:pt>
                <c:pt idx="529">
                  <c:v>11.614286</c:v>
                </c:pt>
                <c:pt idx="530">
                  <c:v>11.663636</c:v>
                </c:pt>
                <c:pt idx="531">
                  <c:v>11.584614999999999</c:v>
                </c:pt>
                <c:pt idx="532">
                  <c:v>11.669231</c:v>
                </c:pt>
                <c:pt idx="533">
                  <c:v>11.637036999999999</c:v>
                </c:pt>
                <c:pt idx="534">
                  <c:v>11.707143</c:v>
                </c:pt>
                <c:pt idx="535">
                  <c:v>11.606667</c:v>
                </c:pt>
                <c:pt idx="536">
                  <c:v>11.593332999999999</c:v>
                </c:pt>
                <c:pt idx="537">
                  <c:v>11.545455</c:v>
                </c:pt>
                <c:pt idx="538">
                  <c:v>11.6</c:v>
                </c:pt>
                <c:pt idx="539">
                  <c:v>11.5</c:v>
                </c:pt>
                <c:pt idx="540">
                  <c:v>11.55</c:v>
                </c:pt>
                <c:pt idx="541">
                  <c:v>11.55</c:v>
                </c:pt>
                <c:pt idx="542">
                  <c:v>11.566667000000001</c:v>
                </c:pt>
                <c:pt idx="543">
                  <c:v>11.585713999999999</c:v>
                </c:pt>
                <c:pt idx="544">
                  <c:v>11.574999999999999</c:v>
                </c:pt>
                <c:pt idx="545">
                  <c:v>11.583333</c:v>
                </c:pt>
                <c:pt idx="546">
                  <c:v>11.6</c:v>
                </c:pt>
                <c:pt idx="547">
                  <c:v>11.6</c:v>
                </c:pt>
                <c:pt idx="548">
                  <c:v>11.7</c:v>
                </c:pt>
                <c:pt idx="549">
                  <c:v>11.74375</c:v>
                </c:pt>
                <c:pt idx="550">
                  <c:v>11.65</c:v>
                </c:pt>
                <c:pt idx="551">
                  <c:v>11.766667</c:v>
                </c:pt>
                <c:pt idx="552">
                  <c:v>11.783333000000001</c:v>
                </c:pt>
                <c:pt idx="553">
                  <c:v>11.633333</c:v>
                </c:pt>
                <c:pt idx="554">
                  <c:v>11.6</c:v>
                </c:pt>
                <c:pt idx="555">
                  <c:v>11.7</c:v>
                </c:pt>
                <c:pt idx="556">
                  <c:v>11.6</c:v>
                </c:pt>
                <c:pt idx="557">
                  <c:v>11.6</c:v>
                </c:pt>
                <c:pt idx="558">
                  <c:v>11.614286</c:v>
                </c:pt>
                <c:pt idx="559">
                  <c:v>11.442857</c:v>
                </c:pt>
                <c:pt idx="560">
                  <c:v>11.545455</c:v>
                </c:pt>
                <c:pt idx="561">
                  <c:v>11.453333000000001</c:v>
                </c:pt>
                <c:pt idx="562">
                  <c:v>11.466666999999999</c:v>
                </c:pt>
                <c:pt idx="563">
                  <c:v>11.42963</c:v>
                </c:pt>
                <c:pt idx="564">
                  <c:v>11.38</c:v>
                </c:pt>
                <c:pt idx="565">
                  <c:v>11.473913</c:v>
                </c:pt>
                <c:pt idx="566">
                  <c:v>11.277272999999999</c:v>
                </c:pt>
                <c:pt idx="567">
                  <c:v>11.32</c:v>
                </c:pt>
                <c:pt idx="568">
                  <c:v>11.305882</c:v>
                </c:pt>
                <c:pt idx="569">
                  <c:v>11.366667</c:v>
                </c:pt>
                <c:pt idx="570">
                  <c:v>11.4</c:v>
                </c:pt>
                <c:pt idx="571">
                  <c:v>11.65</c:v>
                </c:pt>
                <c:pt idx="572">
                  <c:v>11.8</c:v>
                </c:pt>
                <c:pt idx="573">
                  <c:v>11.766667</c:v>
                </c:pt>
                <c:pt idx="574">
                  <c:v>11.7</c:v>
                </c:pt>
                <c:pt idx="575">
                  <c:v>11.883333</c:v>
                </c:pt>
                <c:pt idx="576">
                  <c:v>11.655556000000001</c:v>
                </c:pt>
                <c:pt idx="577">
                  <c:v>11.6</c:v>
                </c:pt>
                <c:pt idx="578">
                  <c:v>11.642856999999999</c:v>
                </c:pt>
                <c:pt idx="579">
                  <c:v>11.58</c:v>
                </c:pt>
                <c:pt idx="580">
                  <c:v>11.547368000000001</c:v>
                </c:pt>
                <c:pt idx="581">
                  <c:v>11.464706</c:v>
                </c:pt>
                <c:pt idx="582">
                  <c:v>11.494118</c:v>
                </c:pt>
                <c:pt idx="583">
                  <c:v>11.439285999999999</c:v>
                </c:pt>
                <c:pt idx="584">
                  <c:v>11.468</c:v>
                </c:pt>
                <c:pt idx="585">
                  <c:v>11.504545</c:v>
                </c:pt>
                <c:pt idx="586">
                  <c:v>11.45</c:v>
                </c:pt>
                <c:pt idx="587">
                  <c:v>11.436363999999999</c:v>
                </c:pt>
                <c:pt idx="588">
                  <c:v>11.47</c:v>
                </c:pt>
                <c:pt idx="589">
                  <c:v>11.454545</c:v>
                </c:pt>
                <c:pt idx="590">
                  <c:v>11.5</c:v>
                </c:pt>
                <c:pt idx="591">
                  <c:v>11.566667000000001</c:v>
                </c:pt>
                <c:pt idx="592">
                  <c:v>11.5</c:v>
                </c:pt>
                <c:pt idx="593">
                  <c:v>11.45</c:v>
                </c:pt>
                <c:pt idx="594">
                  <c:v>11.65</c:v>
                </c:pt>
                <c:pt idx="595">
                  <c:v>11.6</c:v>
                </c:pt>
                <c:pt idx="596">
                  <c:v>11.5</c:v>
                </c:pt>
                <c:pt idx="597">
                  <c:v>11.425000000000001</c:v>
                </c:pt>
                <c:pt idx="598">
                  <c:v>11.44</c:v>
                </c:pt>
                <c:pt idx="599">
                  <c:v>11.507692</c:v>
                </c:pt>
                <c:pt idx="600">
                  <c:v>11.5</c:v>
                </c:pt>
                <c:pt idx="601">
                  <c:v>11.481249999999999</c:v>
                </c:pt>
                <c:pt idx="602">
                  <c:v>11.48</c:v>
                </c:pt>
                <c:pt idx="603">
                  <c:v>11.455</c:v>
                </c:pt>
                <c:pt idx="604">
                  <c:v>11.525</c:v>
                </c:pt>
                <c:pt idx="605">
                  <c:v>11.5</c:v>
                </c:pt>
                <c:pt idx="606">
                  <c:v>11.485714</c:v>
                </c:pt>
                <c:pt idx="607">
                  <c:v>11.517647</c:v>
                </c:pt>
                <c:pt idx="608">
                  <c:v>11.574999999999999</c:v>
                </c:pt>
                <c:pt idx="609">
                  <c:v>11.72</c:v>
                </c:pt>
                <c:pt idx="610">
                  <c:v>11.5</c:v>
                </c:pt>
                <c:pt idx="611">
                  <c:v>11.566667000000001</c:v>
                </c:pt>
                <c:pt idx="612">
                  <c:v>11.463635999999999</c:v>
                </c:pt>
                <c:pt idx="613">
                  <c:v>11.4</c:v>
                </c:pt>
                <c:pt idx="614">
                  <c:v>11.45</c:v>
                </c:pt>
                <c:pt idx="615">
                  <c:v>11.454545</c:v>
                </c:pt>
                <c:pt idx="616">
                  <c:v>11.52</c:v>
                </c:pt>
                <c:pt idx="617">
                  <c:v>11.457143</c:v>
                </c:pt>
                <c:pt idx="618">
                  <c:v>11.404999999999999</c:v>
                </c:pt>
                <c:pt idx="619">
                  <c:v>11.304762</c:v>
                </c:pt>
                <c:pt idx="620">
                  <c:v>11.345454999999999</c:v>
                </c:pt>
                <c:pt idx="621">
                  <c:v>11.44</c:v>
                </c:pt>
                <c:pt idx="622">
                  <c:v>11.328571</c:v>
                </c:pt>
                <c:pt idx="623">
                  <c:v>11.26</c:v>
                </c:pt>
                <c:pt idx="624">
                  <c:v>11.25</c:v>
                </c:pt>
                <c:pt idx="625">
                  <c:v>11.35</c:v>
                </c:pt>
                <c:pt idx="626">
                  <c:v>11.554544999999999</c:v>
                </c:pt>
                <c:pt idx="627">
                  <c:v>11.483333</c:v>
                </c:pt>
                <c:pt idx="628">
                  <c:v>11.566667000000001</c:v>
                </c:pt>
                <c:pt idx="629">
                  <c:v>11.536364000000001</c:v>
                </c:pt>
                <c:pt idx="630">
                  <c:v>11.55</c:v>
                </c:pt>
                <c:pt idx="631">
                  <c:v>11.377273000000001</c:v>
                </c:pt>
                <c:pt idx="632">
                  <c:v>11.469564999999999</c:v>
                </c:pt>
                <c:pt idx="633">
                  <c:v>11.458333</c:v>
                </c:pt>
                <c:pt idx="634">
                  <c:v>11.387499999999999</c:v>
                </c:pt>
                <c:pt idx="635">
                  <c:v>11.46</c:v>
                </c:pt>
                <c:pt idx="636">
                  <c:v>11.488889</c:v>
                </c:pt>
                <c:pt idx="637">
                  <c:v>11.454545</c:v>
                </c:pt>
                <c:pt idx="638">
                  <c:v>11.516667</c:v>
                </c:pt>
                <c:pt idx="639">
                  <c:v>11.433332999999999</c:v>
                </c:pt>
                <c:pt idx="640">
                  <c:v>11.46</c:v>
                </c:pt>
                <c:pt idx="641">
                  <c:v>11.364706</c:v>
                </c:pt>
                <c:pt idx="642">
                  <c:v>11.39</c:v>
                </c:pt>
                <c:pt idx="643">
                  <c:v>11.452940999999999</c:v>
                </c:pt>
                <c:pt idx="644">
                  <c:v>11.442105</c:v>
                </c:pt>
                <c:pt idx="645">
                  <c:v>11.403846</c:v>
                </c:pt>
                <c:pt idx="646">
                  <c:v>11.431578999999999</c:v>
                </c:pt>
                <c:pt idx="647">
                  <c:v>11.392593</c:v>
                </c:pt>
                <c:pt idx="648">
                  <c:v>11.415789</c:v>
                </c:pt>
                <c:pt idx="649">
                  <c:v>11.41</c:v>
                </c:pt>
                <c:pt idx="650">
                  <c:v>11.365385</c:v>
                </c:pt>
                <c:pt idx="651">
                  <c:v>11.409091</c:v>
                </c:pt>
                <c:pt idx="652">
                  <c:v>11.358333</c:v>
                </c:pt>
                <c:pt idx="653">
                  <c:v>11.35</c:v>
                </c:pt>
                <c:pt idx="654">
                  <c:v>11.6</c:v>
                </c:pt>
                <c:pt idx="655">
                  <c:v>11.56</c:v>
                </c:pt>
                <c:pt idx="656">
                  <c:v>11.55</c:v>
                </c:pt>
                <c:pt idx="657">
                  <c:v>11.677778</c:v>
                </c:pt>
                <c:pt idx="658">
                  <c:v>11.564285999999999</c:v>
                </c:pt>
                <c:pt idx="659">
                  <c:v>11.691667000000001</c:v>
                </c:pt>
                <c:pt idx="660">
                  <c:v>11.6</c:v>
                </c:pt>
                <c:pt idx="661">
                  <c:v>11.535135</c:v>
                </c:pt>
                <c:pt idx="662">
                  <c:v>11.529412000000001</c:v>
                </c:pt>
                <c:pt idx="663">
                  <c:v>11.465217000000001</c:v>
                </c:pt>
                <c:pt idx="664">
                  <c:v>11.379167000000001</c:v>
                </c:pt>
                <c:pt idx="665">
                  <c:v>11.454545</c:v>
                </c:pt>
                <c:pt idx="666">
                  <c:v>11.365</c:v>
                </c:pt>
                <c:pt idx="667">
                  <c:v>11.370588</c:v>
                </c:pt>
                <c:pt idx="668">
                  <c:v>11.49</c:v>
                </c:pt>
                <c:pt idx="669">
                  <c:v>11.7</c:v>
                </c:pt>
                <c:pt idx="670">
                  <c:v>11.4</c:v>
                </c:pt>
                <c:pt idx="671">
                  <c:v>11.566667000000001</c:v>
                </c:pt>
                <c:pt idx="672">
                  <c:v>11.589473999999999</c:v>
                </c:pt>
                <c:pt idx="673">
                  <c:v>11.521428999999999</c:v>
                </c:pt>
                <c:pt idx="674">
                  <c:v>11.483333</c:v>
                </c:pt>
                <c:pt idx="675">
                  <c:v>11.490475999999999</c:v>
                </c:pt>
                <c:pt idx="676">
                  <c:v>11.489474</c:v>
                </c:pt>
                <c:pt idx="677">
                  <c:v>11.475</c:v>
                </c:pt>
                <c:pt idx="678">
                  <c:v>11.55</c:v>
                </c:pt>
                <c:pt idx="679">
                  <c:v>11.5375</c:v>
                </c:pt>
                <c:pt idx="680">
                  <c:v>11.578946999999999</c:v>
                </c:pt>
                <c:pt idx="681">
                  <c:v>11.542857</c:v>
                </c:pt>
                <c:pt idx="682">
                  <c:v>11.504761999999999</c:v>
                </c:pt>
                <c:pt idx="683">
                  <c:v>11.563636000000001</c:v>
                </c:pt>
                <c:pt idx="684">
                  <c:v>11.442857</c:v>
                </c:pt>
                <c:pt idx="685">
                  <c:v>11.45</c:v>
                </c:pt>
                <c:pt idx="686">
                  <c:v>11.566667000000001</c:v>
                </c:pt>
                <c:pt idx="687">
                  <c:v>11.544444</c:v>
                </c:pt>
                <c:pt idx="688">
                  <c:v>11.65</c:v>
                </c:pt>
                <c:pt idx="689">
                  <c:v>11.566667000000001</c:v>
                </c:pt>
                <c:pt idx="690">
                  <c:v>11.333333</c:v>
                </c:pt>
                <c:pt idx="691">
                  <c:v>11.485714</c:v>
                </c:pt>
                <c:pt idx="692">
                  <c:v>11.475</c:v>
                </c:pt>
                <c:pt idx="693">
                  <c:v>11.428000000000001</c:v>
                </c:pt>
                <c:pt idx="694">
                  <c:v>11.44375</c:v>
                </c:pt>
                <c:pt idx="695">
                  <c:v>11.4</c:v>
                </c:pt>
                <c:pt idx="696">
                  <c:v>11.35</c:v>
                </c:pt>
                <c:pt idx="697">
                  <c:v>11.307143</c:v>
                </c:pt>
                <c:pt idx="698">
                  <c:v>11.308332999999999</c:v>
                </c:pt>
                <c:pt idx="699">
                  <c:v>11.285714</c:v>
                </c:pt>
                <c:pt idx="700">
                  <c:v>11.3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B7-4CA6-93C4-0CED01936A90}"/>
            </c:ext>
          </c:extLst>
        </c:ser>
        <c:ser>
          <c:idx val="0"/>
          <c:order val="1"/>
          <c:spPr>
            <a:ln w="19050">
              <a:noFill/>
            </a:ln>
          </c:spPr>
          <c:marker>
            <c:symbol val="square"/>
            <c:size val="3"/>
            <c:spPr>
              <a:solidFill>
                <a:srgbClr val="66FF33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V!$A:$A</c:f>
              <c:numCache>
                <c:formatCode>General</c:formatCode>
                <c:ptCount val="1048576"/>
                <c:pt idx="0">
                  <c:v>2452039.4879999999</c:v>
                </c:pt>
                <c:pt idx="1">
                  <c:v>2452046.42</c:v>
                </c:pt>
                <c:pt idx="2">
                  <c:v>2452053.3870000001</c:v>
                </c:pt>
                <c:pt idx="3">
                  <c:v>2453491.88295</c:v>
                </c:pt>
                <c:pt idx="4">
                  <c:v>2453496.8417400001</c:v>
                </c:pt>
                <c:pt idx="5">
                  <c:v>2453500.9115200001</c:v>
                </c:pt>
                <c:pt idx="6">
                  <c:v>2453504.8312400002</c:v>
                </c:pt>
                <c:pt idx="7">
                  <c:v>2453511.2485699998</c:v>
                </c:pt>
                <c:pt idx="8">
                  <c:v>2453512.7522300002</c:v>
                </c:pt>
                <c:pt idx="9">
                  <c:v>2453522.7119900002</c:v>
                </c:pt>
                <c:pt idx="10">
                  <c:v>2453524.9456099998</c:v>
                </c:pt>
                <c:pt idx="11">
                  <c:v>2453534.7465300001</c:v>
                </c:pt>
                <c:pt idx="12">
                  <c:v>2453536.72156</c:v>
                </c:pt>
                <c:pt idx="13">
                  <c:v>2453546.7585</c:v>
                </c:pt>
                <c:pt idx="14">
                  <c:v>2453549.8317999998</c:v>
                </c:pt>
                <c:pt idx="15">
                  <c:v>2453556.6966800001</c:v>
                </c:pt>
                <c:pt idx="16">
                  <c:v>2453956.3881000001</c:v>
                </c:pt>
                <c:pt idx="17">
                  <c:v>2454145.7171999998</c:v>
                </c:pt>
                <c:pt idx="18">
                  <c:v>2454148.7086</c:v>
                </c:pt>
                <c:pt idx="19">
                  <c:v>2454152.7148000002</c:v>
                </c:pt>
                <c:pt idx="20">
                  <c:v>2454158.7022000002</c:v>
                </c:pt>
                <c:pt idx="21">
                  <c:v>2454163.6677000001</c:v>
                </c:pt>
                <c:pt idx="22">
                  <c:v>2454168.6889</c:v>
                </c:pt>
                <c:pt idx="23">
                  <c:v>2454171.1581999999</c:v>
                </c:pt>
                <c:pt idx="24">
                  <c:v>2454173.6797500001</c:v>
                </c:pt>
                <c:pt idx="25">
                  <c:v>2454175.6353000002</c:v>
                </c:pt>
                <c:pt idx="26">
                  <c:v>2454185.9416999999</c:v>
                </c:pt>
                <c:pt idx="27">
                  <c:v>2454201.64542</c:v>
                </c:pt>
                <c:pt idx="28">
                  <c:v>2454209.5758000002</c:v>
                </c:pt>
                <c:pt idx="29">
                  <c:v>2454211.5913</c:v>
                </c:pt>
                <c:pt idx="30">
                  <c:v>2454214.5611999999</c:v>
                </c:pt>
                <c:pt idx="31">
                  <c:v>2454229.5559</c:v>
                </c:pt>
                <c:pt idx="32">
                  <c:v>2454231.4964000001</c:v>
                </c:pt>
                <c:pt idx="33">
                  <c:v>2454236.5362999998</c:v>
                </c:pt>
                <c:pt idx="34">
                  <c:v>2454238.5539000002</c:v>
                </c:pt>
                <c:pt idx="35">
                  <c:v>2454243.4840000002</c:v>
                </c:pt>
                <c:pt idx="36">
                  <c:v>2454295.4105000002</c:v>
                </c:pt>
                <c:pt idx="37">
                  <c:v>2454308.3985000001</c:v>
                </c:pt>
                <c:pt idx="38">
                  <c:v>2454542.9515999998</c:v>
                </c:pt>
                <c:pt idx="39">
                  <c:v>2454554.6617000001</c:v>
                </c:pt>
                <c:pt idx="40">
                  <c:v>2454569.7603000002</c:v>
                </c:pt>
                <c:pt idx="41">
                  <c:v>2454734.5222</c:v>
                </c:pt>
                <c:pt idx="42">
                  <c:v>2454742.5178</c:v>
                </c:pt>
                <c:pt idx="43">
                  <c:v>2454952.5821000002</c:v>
                </c:pt>
                <c:pt idx="44">
                  <c:v>2454971.5301999999</c:v>
                </c:pt>
                <c:pt idx="45">
                  <c:v>2454975.8117999998</c:v>
                </c:pt>
                <c:pt idx="46">
                  <c:v>2454977.0159900002</c:v>
                </c:pt>
                <c:pt idx="47">
                  <c:v>2454981.5380000002</c:v>
                </c:pt>
                <c:pt idx="48">
                  <c:v>2454982.5633700001</c:v>
                </c:pt>
                <c:pt idx="49">
                  <c:v>2454983.56428</c:v>
                </c:pt>
                <c:pt idx="50">
                  <c:v>2455011.4956</c:v>
                </c:pt>
                <c:pt idx="51">
                  <c:v>2455296.6061999998</c:v>
                </c:pt>
                <c:pt idx="52">
                  <c:v>2455304.1085600001</c:v>
                </c:pt>
                <c:pt idx="53">
                  <c:v>2455305.6075599999</c:v>
                </c:pt>
                <c:pt idx="54">
                  <c:v>2455307.1087600002</c:v>
                </c:pt>
                <c:pt idx="55">
                  <c:v>2455310.1056400002</c:v>
                </c:pt>
                <c:pt idx="56">
                  <c:v>2455338.4752000002</c:v>
                </c:pt>
                <c:pt idx="57">
                  <c:v>2455406.5460000001</c:v>
                </c:pt>
                <c:pt idx="58">
                  <c:v>2455408.5455800002</c:v>
                </c:pt>
                <c:pt idx="59">
                  <c:v>2455412.3870000001</c:v>
                </c:pt>
                <c:pt idx="60">
                  <c:v>2455429.3283000002</c:v>
                </c:pt>
                <c:pt idx="61">
                  <c:v>2455439.4640000002</c:v>
                </c:pt>
                <c:pt idx="62">
                  <c:v>2455688.5345100001</c:v>
                </c:pt>
                <c:pt idx="63">
                  <c:v>2455702.5613000002</c:v>
                </c:pt>
                <c:pt idx="64">
                  <c:v>2455732.5408999999</c:v>
                </c:pt>
                <c:pt idx="65">
                  <c:v>2455782.3957000002</c:v>
                </c:pt>
                <c:pt idx="66">
                  <c:v>2455988.6875</c:v>
                </c:pt>
                <c:pt idx="67">
                  <c:v>2456001.6647999999</c:v>
                </c:pt>
                <c:pt idx="68">
                  <c:v>2456060.5095299999</c:v>
                </c:pt>
                <c:pt idx="69">
                  <c:v>2456066.5190300001</c:v>
                </c:pt>
                <c:pt idx="70">
                  <c:v>2456077.4471900002</c:v>
                </c:pt>
                <c:pt idx="71">
                  <c:v>2456126.4167900002</c:v>
                </c:pt>
                <c:pt idx="72">
                  <c:v>2456132.4236099999</c:v>
                </c:pt>
                <c:pt idx="73">
                  <c:v>2456146.4302099999</c:v>
                </c:pt>
                <c:pt idx="74">
                  <c:v>2456149.3681200002</c:v>
                </c:pt>
                <c:pt idx="75">
                  <c:v>2456407.5684000002</c:v>
                </c:pt>
                <c:pt idx="76">
                  <c:v>2456417.5259400001</c:v>
                </c:pt>
                <c:pt idx="77">
                  <c:v>2456424.5978199998</c:v>
                </c:pt>
                <c:pt idx="78">
                  <c:v>2456439.4878799999</c:v>
                </c:pt>
                <c:pt idx="79">
                  <c:v>2456444.50789</c:v>
                </c:pt>
                <c:pt idx="80">
                  <c:v>2456464.6121899998</c:v>
                </c:pt>
                <c:pt idx="81">
                  <c:v>2456465.6146399998</c:v>
                </c:pt>
                <c:pt idx="82">
                  <c:v>2456471.4992399998</c:v>
                </c:pt>
                <c:pt idx="83">
                  <c:v>2456533.3700199998</c:v>
                </c:pt>
                <c:pt idx="84">
                  <c:v>2456540.3111999999</c:v>
                </c:pt>
                <c:pt idx="85">
                  <c:v>2456566.5066399998</c:v>
                </c:pt>
                <c:pt idx="86">
                  <c:v>2456802.4443999999</c:v>
                </c:pt>
                <c:pt idx="87">
                  <c:v>2456805.5784399998</c:v>
                </c:pt>
                <c:pt idx="88">
                  <c:v>2456856.4763500001</c:v>
                </c:pt>
                <c:pt idx="89">
                  <c:v>2457156.8599200002</c:v>
                </c:pt>
                <c:pt idx="90">
                  <c:v>2457165.8309499999</c:v>
                </c:pt>
                <c:pt idx="91">
                  <c:v>2457200.7313199998</c:v>
                </c:pt>
                <c:pt idx="92">
                  <c:v>2457235.6425899998</c:v>
                </c:pt>
                <c:pt idx="93">
                  <c:v>2457270.5467900001</c:v>
                </c:pt>
                <c:pt idx="94">
                  <c:v>2457328.3111</c:v>
                </c:pt>
                <c:pt idx="95">
                  <c:v>2457329.3111</c:v>
                </c:pt>
                <c:pt idx="96">
                  <c:v>2457825.6638799999</c:v>
                </c:pt>
                <c:pt idx="97">
                  <c:v>2457842.64701</c:v>
                </c:pt>
                <c:pt idx="98">
                  <c:v>2457900.5609400002</c:v>
                </c:pt>
                <c:pt idx="99">
                  <c:v>2457904.50238</c:v>
                </c:pt>
                <c:pt idx="100">
                  <c:v>2457947.7022899999</c:v>
                </c:pt>
                <c:pt idx="101">
                  <c:v>2457949.6936900001</c:v>
                </c:pt>
                <c:pt idx="102">
                  <c:v>2457951.68676</c:v>
                </c:pt>
                <c:pt idx="103">
                  <c:v>2457953.66328</c:v>
                </c:pt>
                <c:pt idx="104">
                  <c:v>2457954.7533800001</c:v>
                </c:pt>
                <c:pt idx="105">
                  <c:v>2457966.7453000001</c:v>
                </c:pt>
                <c:pt idx="106">
                  <c:v>2457968.7135200002</c:v>
                </c:pt>
                <c:pt idx="107">
                  <c:v>2457991.5524800001</c:v>
                </c:pt>
                <c:pt idx="108">
                  <c:v>2458007.5992000001</c:v>
                </c:pt>
                <c:pt idx="109">
                  <c:v>2458019.5301600001</c:v>
                </c:pt>
                <c:pt idx="110">
                  <c:v>2458160.9900799999</c:v>
                </c:pt>
                <c:pt idx="111">
                  <c:v>2458179.9164900002</c:v>
                </c:pt>
                <c:pt idx="112">
                  <c:v>2458228.9261099999</c:v>
                </c:pt>
                <c:pt idx="113">
                  <c:v>2458242.7605900001</c:v>
                </c:pt>
                <c:pt idx="114">
                  <c:v>2458259.4146599998</c:v>
                </c:pt>
                <c:pt idx="115">
                  <c:v>2458263.8607299998</c:v>
                </c:pt>
                <c:pt idx="116">
                  <c:v>2458307.5147799999</c:v>
                </c:pt>
                <c:pt idx="117">
                  <c:v>2458317.4190199999</c:v>
                </c:pt>
                <c:pt idx="118">
                  <c:v>2458321.7513700002</c:v>
                </c:pt>
                <c:pt idx="119">
                  <c:v>2458325.7432599999</c:v>
                </c:pt>
                <c:pt idx="120">
                  <c:v>2458328.8707900001</c:v>
                </c:pt>
                <c:pt idx="121">
                  <c:v>2458330.8920300002</c:v>
                </c:pt>
                <c:pt idx="122">
                  <c:v>2458336.8246200001</c:v>
                </c:pt>
                <c:pt idx="123">
                  <c:v>2458359.7609299999</c:v>
                </c:pt>
                <c:pt idx="124">
                  <c:v>2458371.73184</c:v>
                </c:pt>
                <c:pt idx="125">
                  <c:v>2458378.7087699999</c:v>
                </c:pt>
                <c:pt idx="126">
                  <c:v>2458387.6862699999</c:v>
                </c:pt>
                <c:pt idx="127">
                  <c:v>2458499.0765200001</c:v>
                </c:pt>
                <c:pt idx="128">
                  <c:v>2458531.70988</c:v>
                </c:pt>
                <c:pt idx="129">
                  <c:v>2458542.6948699998</c:v>
                </c:pt>
                <c:pt idx="130">
                  <c:v>2458553.6811899999</c:v>
                </c:pt>
                <c:pt idx="131">
                  <c:v>2458556.68126</c:v>
                </c:pt>
                <c:pt idx="132">
                  <c:v>2458559.6716999998</c:v>
                </c:pt>
                <c:pt idx="133">
                  <c:v>2458570.6548299999</c:v>
                </c:pt>
                <c:pt idx="134">
                  <c:v>2458573.6538200001</c:v>
                </c:pt>
                <c:pt idx="135">
                  <c:v>2458635.4924099999</c:v>
                </c:pt>
                <c:pt idx="136">
                  <c:v>2458899.7064399999</c:v>
                </c:pt>
                <c:pt idx="137">
                  <c:v>2458946.6115700002</c:v>
                </c:pt>
                <c:pt idx="138">
                  <c:v>2458950.6464900002</c:v>
                </c:pt>
                <c:pt idx="139">
                  <c:v>2458990.4426199999</c:v>
                </c:pt>
                <c:pt idx="140">
                  <c:v>2458991.4861699999</c:v>
                </c:pt>
                <c:pt idx="141">
                  <c:v>2458994.5282800002</c:v>
                </c:pt>
                <c:pt idx="142">
                  <c:v>2458997.5071399999</c:v>
                </c:pt>
                <c:pt idx="143">
                  <c:v>2459001.5495000002</c:v>
                </c:pt>
                <c:pt idx="144">
                  <c:v>2459050.5068199998</c:v>
                </c:pt>
                <c:pt idx="145">
                  <c:v>2459111.3098300002</c:v>
                </c:pt>
                <c:pt idx="146">
                  <c:v>2459112.4179400001</c:v>
                </c:pt>
              </c:numCache>
            </c:numRef>
          </c:xVal>
          <c:yVal>
            <c:numRef>
              <c:f>V!$C:$C</c:f>
              <c:numCache>
                <c:formatCode>General</c:formatCode>
                <c:ptCount val="1048576"/>
                <c:pt idx="0">
                  <c:v>11.43</c:v>
                </c:pt>
                <c:pt idx="1">
                  <c:v>11.45</c:v>
                </c:pt>
                <c:pt idx="2">
                  <c:v>11.51</c:v>
                </c:pt>
                <c:pt idx="3">
                  <c:v>11.282</c:v>
                </c:pt>
                <c:pt idx="4">
                  <c:v>11.288</c:v>
                </c:pt>
                <c:pt idx="5">
                  <c:v>11.337</c:v>
                </c:pt>
                <c:pt idx="6">
                  <c:v>11.388</c:v>
                </c:pt>
                <c:pt idx="7">
                  <c:v>11.404500000000001</c:v>
                </c:pt>
                <c:pt idx="8">
                  <c:v>11.420999999999999</c:v>
                </c:pt>
                <c:pt idx="9">
                  <c:v>11.477</c:v>
                </c:pt>
                <c:pt idx="10">
                  <c:v>11.48</c:v>
                </c:pt>
                <c:pt idx="11">
                  <c:v>11.45</c:v>
                </c:pt>
                <c:pt idx="12">
                  <c:v>11.452999999999999</c:v>
                </c:pt>
                <c:pt idx="13">
                  <c:v>11.487</c:v>
                </c:pt>
                <c:pt idx="14">
                  <c:v>11.461</c:v>
                </c:pt>
                <c:pt idx="15">
                  <c:v>11.47</c:v>
                </c:pt>
                <c:pt idx="16">
                  <c:v>11.43</c:v>
                </c:pt>
                <c:pt idx="17">
                  <c:v>11.47</c:v>
                </c:pt>
                <c:pt idx="18">
                  <c:v>11.47</c:v>
                </c:pt>
                <c:pt idx="19">
                  <c:v>11.48</c:v>
                </c:pt>
                <c:pt idx="20">
                  <c:v>11.48</c:v>
                </c:pt>
                <c:pt idx="21">
                  <c:v>11.47</c:v>
                </c:pt>
                <c:pt idx="22">
                  <c:v>11.46</c:v>
                </c:pt>
                <c:pt idx="23">
                  <c:v>11.445</c:v>
                </c:pt>
                <c:pt idx="24">
                  <c:v>11.43</c:v>
                </c:pt>
                <c:pt idx="25">
                  <c:v>11.425000000000001</c:v>
                </c:pt>
                <c:pt idx="26">
                  <c:v>11.374000000000001</c:v>
                </c:pt>
                <c:pt idx="27">
                  <c:v>11.43125</c:v>
                </c:pt>
                <c:pt idx="28">
                  <c:v>11.46</c:v>
                </c:pt>
                <c:pt idx="29">
                  <c:v>11.46</c:v>
                </c:pt>
                <c:pt idx="30">
                  <c:v>11.455</c:v>
                </c:pt>
                <c:pt idx="31">
                  <c:v>11.51</c:v>
                </c:pt>
                <c:pt idx="32">
                  <c:v>11.52</c:v>
                </c:pt>
                <c:pt idx="33">
                  <c:v>11.5</c:v>
                </c:pt>
                <c:pt idx="34">
                  <c:v>11.52</c:v>
                </c:pt>
                <c:pt idx="35">
                  <c:v>11.53</c:v>
                </c:pt>
                <c:pt idx="36">
                  <c:v>11.59</c:v>
                </c:pt>
                <c:pt idx="37">
                  <c:v>11.67</c:v>
                </c:pt>
                <c:pt idx="38">
                  <c:v>11.276</c:v>
                </c:pt>
                <c:pt idx="39">
                  <c:v>11.383333</c:v>
                </c:pt>
                <c:pt idx="40">
                  <c:v>11.26</c:v>
                </c:pt>
                <c:pt idx="41">
                  <c:v>11.195</c:v>
                </c:pt>
                <c:pt idx="42">
                  <c:v>11.273</c:v>
                </c:pt>
                <c:pt idx="43">
                  <c:v>11.35</c:v>
                </c:pt>
                <c:pt idx="44">
                  <c:v>11.551</c:v>
                </c:pt>
                <c:pt idx="45">
                  <c:v>11.52575</c:v>
                </c:pt>
                <c:pt idx="46">
                  <c:v>11.537000000000001</c:v>
                </c:pt>
                <c:pt idx="47">
                  <c:v>11.507</c:v>
                </c:pt>
                <c:pt idx="48">
                  <c:v>11.464667</c:v>
                </c:pt>
                <c:pt idx="49">
                  <c:v>11.439333</c:v>
                </c:pt>
                <c:pt idx="50">
                  <c:v>11.497999999999999</c:v>
                </c:pt>
                <c:pt idx="51">
                  <c:v>11.19</c:v>
                </c:pt>
                <c:pt idx="52">
                  <c:v>11.195499999999999</c:v>
                </c:pt>
                <c:pt idx="53">
                  <c:v>11.21</c:v>
                </c:pt>
                <c:pt idx="54">
                  <c:v>11.2095</c:v>
                </c:pt>
                <c:pt idx="55">
                  <c:v>11.231</c:v>
                </c:pt>
                <c:pt idx="56">
                  <c:v>11.343999999999999</c:v>
                </c:pt>
                <c:pt idx="57">
                  <c:v>11.47</c:v>
                </c:pt>
                <c:pt idx="58">
                  <c:v>11.433</c:v>
                </c:pt>
                <c:pt idx="59">
                  <c:v>11.45</c:v>
                </c:pt>
                <c:pt idx="60">
                  <c:v>11.516999999999999</c:v>
                </c:pt>
                <c:pt idx="61">
                  <c:v>11.64</c:v>
                </c:pt>
                <c:pt idx="62">
                  <c:v>11.458</c:v>
                </c:pt>
                <c:pt idx="63">
                  <c:v>11.391</c:v>
                </c:pt>
                <c:pt idx="64">
                  <c:v>11.388999999999999</c:v>
                </c:pt>
                <c:pt idx="65">
                  <c:v>11.41</c:v>
                </c:pt>
                <c:pt idx="66">
                  <c:v>11.356999999999999</c:v>
                </c:pt>
                <c:pt idx="67">
                  <c:v>11.343</c:v>
                </c:pt>
                <c:pt idx="68">
                  <c:v>11.282</c:v>
                </c:pt>
                <c:pt idx="69">
                  <c:v>11.294</c:v>
                </c:pt>
                <c:pt idx="70">
                  <c:v>11.451000000000001</c:v>
                </c:pt>
                <c:pt idx="71">
                  <c:v>11.481999999999999</c:v>
                </c:pt>
                <c:pt idx="72">
                  <c:v>11.491</c:v>
                </c:pt>
                <c:pt idx="73">
                  <c:v>11.459</c:v>
                </c:pt>
                <c:pt idx="74">
                  <c:v>11.45</c:v>
                </c:pt>
                <c:pt idx="75">
                  <c:v>11.331</c:v>
                </c:pt>
                <c:pt idx="76">
                  <c:v>11.411</c:v>
                </c:pt>
                <c:pt idx="77">
                  <c:v>11.441000000000001</c:v>
                </c:pt>
                <c:pt idx="78">
                  <c:v>11.387</c:v>
                </c:pt>
                <c:pt idx="79">
                  <c:v>11.388</c:v>
                </c:pt>
                <c:pt idx="80">
                  <c:v>11.375</c:v>
                </c:pt>
                <c:pt idx="81">
                  <c:v>11.387</c:v>
                </c:pt>
                <c:pt idx="82">
                  <c:v>11.334</c:v>
                </c:pt>
                <c:pt idx="83">
                  <c:v>11.349</c:v>
                </c:pt>
                <c:pt idx="84">
                  <c:v>11.375999999999999</c:v>
                </c:pt>
                <c:pt idx="85">
                  <c:v>11.326000000000001</c:v>
                </c:pt>
                <c:pt idx="86">
                  <c:v>11.707000000000001</c:v>
                </c:pt>
                <c:pt idx="87">
                  <c:v>11.693</c:v>
                </c:pt>
                <c:pt idx="88">
                  <c:v>11.507</c:v>
                </c:pt>
                <c:pt idx="89">
                  <c:v>11.375999999999999</c:v>
                </c:pt>
                <c:pt idx="90">
                  <c:v>11.372999999999999</c:v>
                </c:pt>
                <c:pt idx="91">
                  <c:v>11.385</c:v>
                </c:pt>
                <c:pt idx="92">
                  <c:v>11.419</c:v>
                </c:pt>
                <c:pt idx="93">
                  <c:v>11.632999999999999</c:v>
                </c:pt>
                <c:pt idx="94">
                  <c:v>11.669</c:v>
                </c:pt>
                <c:pt idx="95">
                  <c:v>11.669</c:v>
                </c:pt>
                <c:pt idx="96">
                  <c:v>11.509</c:v>
                </c:pt>
                <c:pt idx="97">
                  <c:v>11.526999999999999</c:v>
                </c:pt>
                <c:pt idx="98">
                  <c:v>11.528</c:v>
                </c:pt>
                <c:pt idx="99">
                  <c:v>11.603</c:v>
                </c:pt>
                <c:pt idx="100">
                  <c:v>11.472</c:v>
                </c:pt>
                <c:pt idx="101">
                  <c:v>11.483000000000001</c:v>
                </c:pt>
                <c:pt idx="102">
                  <c:v>11.513500000000001</c:v>
                </c:pt>
                <c:pt idx="103">
                  <c:v>11.49</c:v>
                </c:pt>
                <c:pt idx="104">
                  <c:v>11.516</c:v>
                </c:pt>
                <c:pt idx="105">
                  <c:v>11.464</c:v>
                </c:pt>
                <c:pt idx="106">
                  <c:v>11.456</c:v>
                </c:pt>
                <c:pt idx="107">
                  <c:v>11.558</c:v>
                </c:pt>
                <c:pt idx="108">
                  <c:v>11.521000000000001</c:v>
                </c:pt>
                <c:pt idx="109">
                  <c:v>11.49</c:v>
                </c:pt>
                <c:pt idx="110">
                  <c:v>11.427</c:v>
                </c:pt>
                <c:pt idx="111">
                  <c:v>11.269</c:v>
                </c:pt>
                <c:pt idx="112">
                  <c:v>11.255000000000001</c:v>
                </c:pt>
                <c:pt idx="113">
                  <c:v>11.335000000000001</c:v>
                </c:pt>
                <c:pt idx="114">
                  <c:v>11.288</c:v>
                </c:pt>
                <c:pt idx="115">
                  <c:v>11.301</c:v>
                </c:pt>
                <c:pt idx="116">
                  <c:v>11.276</c:v>
                </c:pt>
                <c:pt idx="117">
                  <c:v>11.278</c:v>
                </c:pt>
                <c:pt idx="118">
                  <c:v>11.288</c:v>
                </c:pt>
                <c:pt idx="119">
                  <c:v>11.266</c:v>
                </c:pt>
                <c:pt idx="120">
                  <c:v>11.273</c:v>
                </c:pt>
                <c:pt idx="121">
                  <c:v>11.27</c:v>
                </c:pt>
                <c:pt idx="122">
                  <c:v>11.308</c:v>
                </c:pt>
                <c:pt idx="123">
                  <c:v>11.414999999999999</c:v>
                </c:pt>
                <c:pt idx="124">
                  <c:v>11.333</c:v>
                </c:pt>
                <c:pt idx="125">
                  <c:v>11.334</c:v>
                </c:pt>
                <c:pt idx="126">
                  <c:v>11.356999999999999</c:v>
                </c:pt>
                <c:pt idx="127">
                  <c:v>11.573</c:v>
                </c:pt>
                <c:pt idx="128">
                  <c:v>11.519</c:v>
                </c:pt>
                <c:pt idx="129">
                  <c:v>11.515000000000001</c:v>
                </c:pt>
                <c:pt idx="130">
                  <c:v>11.481</c:v>
                </c:pt>
                <c:pt idx="131">
                  <c:v>11.499000000000001</c:v>
                </c:pt>
                <c:pt idx="132">
                  <c:v>11.522</c:v>
                </c:pt>
                <c:pt idx="133">
                  <c:v>11.542999999999999</c:v>
                </c:pt>
                <c:pt idx="134">
                  <c:v>11.503</c:v>
                </c:pt>
                <c:pt idx="135">
                  <c:v>11.538</c:v>
                </c:pt>
                <c:pt idx="136">
                  <c:v>11.318</c:v>
                </c:pt>
                <c:pt idx="137">
                  <c:v>11.407999999999999</c:v>
                </c:pt>
                <c:pt idx="138">
                  <c:v>11.414</c:v>
                </c:pt>
                <c:pt idx="139">
                  <c:v>11.446</c:v>
                </c:pt>
                <c:pt idx="140">
                  <c:v>11.423</c:v>
                </c:pt>
                <c:pt idx="141">
                  <c:v>11.414</c:v>
                </c:pt>
                <c:pt idx="142">
                  <c:v>11.407</c:v>
                </c:pt>
                <c:pt idx="143">
                  <c:v>11.404999999999999</c:v>
                </c:pt>
                <c:pt idx="144">
                  <c:v>11.516999999999999</c:v>
                </c:pt>
                <c:pt idx="145">
                  <c:v>11.590999999999999</c:v>
                </c:pt>
                <c:pt idx="146">
                  <c:v>11.590999999999999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0B7-4CA6-93C4-0CED01936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48328"/>
        <c:axId val="539954992"/>
      </c:scatterChart>
      <c:valAx>
        <c:axId val="539948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954992"/>
        <c:crosses val="max"/>
        <c:crossBetween val="midCat"/>
      </c:valAx>
      <c:valAx>
        <c:axId val="53995499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948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square"/>
            <c:size val="3"/>
            <c:spPr>
              <a:solidFill>
                <a:srgbClr val="66FF33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V!$A:$A</c:f>
              <c:numCache>
                <c:formatCode>General</c:formatCode>
                <c:ptCount val="1048576"/>
                <c:pt idx="0">
                  <c:v>2452039.4879999999</c:v>
                </c:pt>
                <c:pt idx="1">
                  <c:v>2452046.42</c:v>
                </c:pt>
                <c:pt idx="2">
                  <c:v>2452053.3870000001</c:v>
                </c:pt>
                <c:pt idx="3">
                  <c:v>2453491.88295</c:v>
                </c:pt>
                <c:pt idx="4">
                  <c:v>2453496.8417400001</c:v>
                </c:pt>
                <c:pt idx="5">
                  <c:v>2453500.9115200001</c:v>
                </c:pt>
                <c:pt idx="6">
                  <c:v>2453504.8312400002</c:v>
                </c:pt>
                <c:pt idx="7">
                  <c:v>2453511.2485699998</c:v>
                </c:pt>
                <c:pt idx="8">
                  <c:v>2453512.7522300002</c:v>
                </c:pt>
                <c:pt idx="9">
                  <c:v>2453522.7119900002</c:v>
                </c:pt>
                <c:pt idx="10">
                  <c:v>2453524.9456099998</c:v>
                </c:pt>
                <c:pt idx="11">
                  <c:v>2453534.7465300001</c:v>
                </c:pt>
                <c:pt idx="12">
                  <c:v>2453536.72156</c:v>
                </c:pt>
                <c:pt idx="13">
                  <c:v>2453546.7585</c:v>
                </c:pt>
                <c:pt idx="14">
                  <c:v>2453549.8317999998</c:v>
                </c:pt>
                <c:pt idx="15">
                  <c:v>2453556.6966800001</c:v>
                </c:pt>
                <c:pt idx="16">
                  <c:v>2453956.3881000001</c:v>
                </c:pt>
                <c:pt idx="17">
                  <c:v>2454145.7171999998</c:v>
                </c:pt>
                <c:pt idx="18">
                  <c:v>2454148.7086</c:v>
                </c:pt>
                <c:pt idx="19">
                  <c:v>2454152.7148000002</c:v>
                </c:pt>
                <c:pt idx="20">
                  <c:v>2454158.7022000002</c:v>
                </c:pt>
                <c:pt idx="21">
                  <c:v>2454163.6677000001</c:v>
                </c:pt>
                <c:pt idx="22">
                  <c:v>2454168.6889</c:v>
                </c:pt>
                <c:pt idx="23">
                  <c:v>2454171.1581999999</c:v>
                </c:pt>
                <c:pt idx="24">
                  <c:v>2454173.6797500001</c:v>
                </c:pt>
                <c:pt idx="25">
                  <c:v>2454175.6353000002</c:v>
                </c:pt>
                <c:pt idx="26">
                  <c:v>2454185.9416999999</c:v>
                </c:pt>
                <c:pt idx="27">
                  <c:v>2454201.64542</c:v>
                </c:pt>
                <c:pt idx="28">
                  <c:v>2454209.5758000002</c:v>
                </c:pt>
                <c:pt idx="29">
                  <c:v>2454211.5913</c:v>
                </c:pt>
                <c:pt idx="30">
                  <c:v>2454214.5611999999</c:v>
                </c:pt>
                <c:pt idx="31">
                  <c:v>2454229.5559</c:v>
                </c:pt>
                <c:pt idx="32">
                  <c:v>2454231.4964000001</c:v>
                </c:pt>
                <c:pt idx="33">
                  <c:v>2454236.5362999998</c:v>
                </c:pt>
                <c:pt idx="34">
                  <c:v>2454238.5539000002</c:v>
                </c:pt>
                <c:pt idx="35">
                  <c:v>2454243.4840000002</c:v>
                </c:pt>
                <c:pt idx="36">
                  <c:v>2454295.4105000002</c:v>
                </c:pt>
                <c:pt idx="37">
                  <c:v>2454308.3985000001</c:v>
                </c:pt>
                <c:pt idx="38">
                  <c:v>2454542.9515999998</c:v>
                </c:pt>
                <c:pt idx="39">
                  <c:v>2454554.6617000001</c:v>
                </c:pt>
                <c:pt idx="40">
                  <c:v>2454569.7603000002</c:v>
                </c:pt>
                <c:pt idx="41">
                  <c:v>2454734.5222</c:v>
                </c:pt>
                <c:pt idx="42">
                  <c:v>2454742.5178</c:v>
                </c:pt>
                <c:pt idx="43">
                  <c:v>2454952.5821000002</c:v>
                </c:pt>
                <c:pt idx="44">
                  <c:v>2454971.5301999999</c:v>
                </c:pt>
                <c:pt idx="45">
                  <c:v>2454975.8117999998</c:v>
                </c:pt>
                <c:pt idx="46">
                  <c:v>2454977.0159900002</c:v>
                </c:pt>
                <c:pt idx="47">
                  <c:v>2454981.5380000002</c:v>
                </c:pt>
                <c:pt idx="48">
                  <c:v>2454982.5633700001</c:v>
                </c:pt>
                <c:pt idx="49">
                  <c:v>2454983.56428</c:v>
                </c:pt>
                <c:pt idx="50">
                  <c:v>2455011.4956</c:v>
                </c:pt>
                <c:pt idx="51">
                  <c:v>2455296.6061999998</c:v>
                </c:pt>
                <c:pt idx="52">
                  <c:v>2455304.1085600001</c:v>
                </c:pt>
                <c:pt idx="53">
                  <c:v>2455305.6075599999</c:v>
                </c:pt>
                <c:pt idx="54">
                  <c:v>2455307.1087600002</c:v>
                </c:pt>
                <c:pt idx="55">
                  <c:v>2455310.1056400002</c:v>
                </c:pt>
                <c:pt idx="56">
                  <c:v>2455338.4752000002</c:v>
                </c:pt>
                <c:pt idx="57">
                  <c:v>2455406.5460000001</c:v>
                </c:pt>
                <c:pt idx="58">
                  <c:v>2455408.5455800002</c:v>
                </c:pt>
                <c:pt idx="59">
                  <c:v>2455412.3870000001</c:v>
                </c:pt>
                <c:pt idx="60">
                  <c:v>2455429.3283000002</c:v>
                </c:pt>
                <c:pt idx="61">
                  <c:v>2455439.4640000002</c:v>
                </c:pt>
                <c:pt idx="62">
                  <c:v>2455688.5345100001</c:v>
                </c:pt>
                <c:pt idx="63">
                  <c:v>2455702.5613000002</c:v>
                </c:pt>
                <c:pt idx="64">
                  <c:v>2455732.5408999999</c:v>
                </c:pt>
                <c:pt idx="65">
                  <c:v>2455782.3957000002</c:v>
                </c:pt>
                <c:pt idx="66">
                  <c:v>2455988.6875</c:v>
                </c:pt>
                <c:pt idx="67">
                  <c:v>2456001.6647999999</c:v>
                </c:pt>
                <c:pt idx="68">
                  <c:v>2456060.5095299999</c:v>
                </c:pt>
                <c:pt idx="69">
                  <c:v>2456066.5190300001</c:v>
                </c:pt>
                <c:pt idx="70">
                  <c:v>2456077.4471900002</c:v>
                </c:pt>
                <c:pt idx="71">
                  <c:v>2456126.4167900002</c:v>
                </c:pt>
                <c:pt idx="72">
                  <c:v>2456132.4236099999</c:v>
                </c:pt>
                <c:pt idx="73">
                  <c:v>2456146.4302099999</c:v>
                </c:pt>
                <c:pt idx="74">
                  <c:v>2456149.3681200002</c:v>
                </c:pt>
                <c:pt idx="75">
                  <c:v>2456407.5684000002</c:v>
                </c:pt>
                <c:pt idx="76">
                  <c:v>2456417.5259400001</c:v>
                </c:pt>
                <c:pt idx="77">
                  <c:v>2456424.5978199998</c:v>
                </c:pt>
                <c:pt idx="78">
                  <c:v>2456439.4878799999</c:v>
                </c:pt>
                <c:pt idx="79">
                  <c:v>2456444.50789</c:v>
                </c:pt>
                <c:pt idx="80">
                  <c:v>2456464.6121899998</c:v>
                </c:pt>
                <c:pt idx="81">
                  <c:v>2456465.6146399998</c:v>
                </c:pt>
                <c:pt idx="82">
                  <c:v>2456471.4992399998</c:v>
                </c:pt>
                <c:pt idx="83">
                  <c:v>2456533.3700199998</c:v>
                </c:pt>
                <c:pt idx="84">
                  <c:v>2456540.3111999999</c:v>
                </c:pt>
                <c:pt idx="85">
                  <c:v>2456566.5066399998</c:v>
                </c:pt>
                <c:pt idx="86">
                  <c:v>2456802.4443999999</c:v>
                </c:pt>
                <c:pt idx="87">
                  <c:v>2456805.5784399998</c:v>
                </c:pt>
                <c:pt idx="88">
                  <c:v>2456856.4763500001</c:v>
                </c:pt>
                <c:pt idx="89">
                  <c:v>2457156.8599200002</c:v>
                </c:pt>
                <c:pt idx="90">
                  <c:v>2457165.8309499999</c:v>
                </c:pt>
                <c:pt idx="91">
                  <c:v>2457200.7313199998</c:v>
                </c:pt>
                <c:pt idx="92">
                  <c:v>2457235.6425899998</c:v>
                </c:pt>
                <c:pt idx="93">
                  <c:v>2457270.5467900001</c:v>
                </c:pt>
                <c:pt idx="94">
                  <c:v>2457328.3111</c:v>
                </c:pt>
                <c:pt idx="95">
                  <c:v>2457329.3111</c:v>
                </c:pt>
                <c:pt idx="96">
                  <c:v>2457825.6638799999</c:v>
                </c:pt>
                <c:pt idx="97">
                  <c:v>2457842.64701</c:v>
                </c:pt>
                <c:pt idx="98">
                  <c:v>2457900.5609400002</c:v>
                </c:pt>
                <c:pt idx="99">
                  <c:v>2457904.50238</c:v>
                </c:pt>
                <c:pt idx="100">
                  <c:v>2457947.7022899999</c:v>
                </c:pt>
                <c:pt idx="101">
                  <c:v>2457949.6936900001</c:v>
                </c:pt>
                <c:pt idx="102">
                  <c:v>2457951.68676</c:v>
                </c:pt>
                <c:pt idx="103">
                  <c:v>2457953.66328</c:v>
                </c:pt>
                <c:pt idx="104">
                  <c:v>2457954.7533800001</c:v>
                </c:pt>
                <c:pt idx="105">
                  <c:v>2457966.7453000001</c:v>
                </c:pt>
                <c:pt idx="106">
                  <c:v>2457968.7135200002</c:v>
                </c:pt>
                <c:pt idx="107">
                  <c:v>2457991.5524800001</c:v>
                </c:pt>
                <c:pt idx="108">
                  <c:v>2458007.5992000001</c:v>
                </c:pt>
                <c:pt idx="109">
                  <c:v>2458019.5301600001</c:v>
                </c:pt>
                <c:pt idx="110">
                  <c:v>2458160.9900799999</c:v>
                </c:pt>
                <c:pt idx="111">
                  <c:v>2458179.9164900002</c:v>
                </c:pt>
                <c:pt idx="112">
                  <c:v>2458228.9261099999</c:v>
                </c:pt>
                <c:pt idx="113">
                  <c:v>2458242.7605900001</c:v>
                </c:pt>
                <c:pt idx="114">
                  <c:v>2458259.4146599998</c:v>
                </c:pt>
                <c:pt idx="115">
                  <c:v>2458263.8607299998</c:v>
                </c:pt>
                <c:pt idx="116">
                  <c:v>2458307.5147799999</c:v>
                </c:pt>
                <c:pt idx="117">
                  <c:v>2458317.4190199999</c:v>
                </c:pt>
                <c:pt idx="118">
                  <c:v>2458321.7513700002</c:v>
                </c:pt>
                <c:pt idx="119">
                  <c:v>2458325.7432599999</c:v>
                </c:pt>
                <c:pt idx="120">
                  <c:v>2458328.8707900001</c:v>
                </c:pt>
                <c:pt idx="121">
                  <c:v>2458330.8920300002</c:v>
                </c:pt>
                <c:pt idx="122">
                  <c:v>2458336.8246200001</c:v>
                </c:pt>
                <c:pt idx="123">
                  <c:v>2458359.7609299999</c:v>
                </c:pt>
                <c:pt idx="124">
                  <c:v>2458371.73184</c:v>
                </c:pt>
                <c:pt idx="125">
                  <c:v>2458378.7087699999</c:v>
                </c:pt>
                <c:pt idx="126">
                  <c:v>2458387.6862699999</c:v>
                </c:pt>
                <c:pt idx="127">
                  <c:v>2458499.0765200001</c:v>
                </c:pt>
                <c:pt idx="128">
                  <c:v>2458531.70988</c:v>
                </c:pt>
                <c:pt idx="129">
                  <c:v>2458542.6948699998</c:v>
                </c:pt>
                <c:pt idx="130">
                  <c:v>2458553.6811899999</c:v>
                </c:pt>
                <c:pt idx="131">
                  <c:v>2458556.68126</c:v>
                </c:pt>
                <c:pt idx="132">
                  <c:v>2458559.6716999998</c:v>
                </c:pt>
                <c:pt idx="133">
                  <c:v>2458570.6548299999</c:v>
                </c:pt>
                <c:pt idx="134">
                  <c:v>2458573.6538200001</c:v>
                </c:pt>
                <c:pt idx="135">
                  <c:v>2458635.4924099999</c:v>
                </c:pt>
                <c:pt idx="136">
                  <c:v>2458899.7064399999</c:v>
                </c:pt>
                <c:pt idx="137">
                  <c:v>2458946.6115700002</c:v>
                </c:pt>
                <c:pt idx="138">
                  <c:v>2458950.6464900002</c:v>
                </c:pt>
                <c:pt idx="139">
                  <c:v>2458990.4426199999</c:v>
                </c:pt>
                <c:pt idx="140">
                  <c:v>2458991.4861699999</c:v>
                </c:pt>
                <c:pt idx="141">
                  <c:v>2458994.5282800002</c:v>
                </c:pt>
                <c:pt idx="142">
                  <c:v>2458997.5071399999</c:v>
                </c:pt>
                <c:pt idx="143">
                  <c:v>2459001.5495000002</c:v>
                </c:pt>
                <c:pt idx="144">
                  <c:v>2459050.5068199998</c:v>
                </c:pt>
                <c:pt idx="145">
                  <c:v>2459111.3098300002</c:v>
                </c:pt>
                <c:pt idx="146">
                  <c:v>2459112.4179400001</c:v>
                </c:pt>
              </c:numCache>
            </c:numRef>
          </c:xVal>
          <c:yVal>
            <c:numRef>
              <c:f>V!$C:$C</c:f>
              <c:numCache>
                <c:formatCode>General</c:formatCode>
                <c:ptCount val="1048576"/>
                <c:pt idx="0">
                  <c:v>11.43</c:v>
                </c:pt>
                <c:pt idx="1">
                  <c:v>11.45</c:v>
                </c:pt>
                <c:pt idx="2">
                  <c:v>11.51</c:v>
                </c:pt>
                <c:pt idx="3">
                  <c:v>11.282</c:v>
                </c:pt>
                <c:pt idx="4">
                  <c:v>11.288</c:v>
                </c:pt>
                <c:pt idx="5">
                  <c:v>11.337</c:v>
                </c:pt>
                <c:pt idx="6">
                  <c:v>11.388</c:v>
                </c:pt>
                <c:pt idx="7">
                  <c:v>11.404500000000001</c:v>
                </c:pt>
                <c:pt idx="8">
                  <c:v>11.420999999999999</c:v>
                </c:pt>
                <c:pt idx="9">
                  <c:v>11.477</c:v>
                </c:pt>
                <c:pt idx="10">
                  <c:v>11.48</c:v>
                </c:pt>
                <c:pt idx="11">
                  <c:v>11.45</c:v>
                </c:pt>
                <c:pt idx="12">
                  <c:v>11.452999999999999</c:v>
                </c:pt>
                <c:pt idx="13">
                  <c:v>11.487</c:v>
                </c:pt>
                <c:pt idx="14">
                  <c:v>11.461</c:v>
                </c:pt>
                <c:pt idx="15">
                  <c:v>11.47</c:v>
                </c:pt>
                <c:pt idx="16">
                  <c:v>11.43</c:v>
                </c:pt>
                <c:pt idx="17">
                  <c:v>11.47</c:v>
                </c:pt>
                <c:pt idx="18">
                  <c:v>11.47</c:v>
                </c:pt>
                <c:pt idx="19">
                  <c:v>11.48</c:v>
                </c:pt>
                <c:pt idx="20">
                  <c:v>11.48</c:v>
                </c:pt>
                <c:pt idx="21">
                  <c:v>11.47</c:v>
                </c:pt>
                <c:pt idx="22">
                  <c:v>11.46</c:v>
                </c:pt>
                <c:pt idx="23">
                  <c:v>11.445</c:v>
                </c:pt>
                <c:pt idx="24">
                  <c:v>11.43</c:v>
                </c:pt>
                <c:pt idx="25">
                  <c:v>11.425000000000001</c:v>
                </c:pt>
                <c:pt idx="26">
                  <c:v>11.374000000000001</c:v>
                </c:pt>
                <c:pt idx="27">
                  <c:v>11.43125</c:v>
                </c:pt>
                <c:pt idx="28">
                  <c:v>11.46</c:v>
                </c:pt>
                <c:pt idx="29">
                  <c:v>11.46</c:v>
                </c:pt>
                <c:pt idx="30">
                  <c:v>11.455</c:v>
                </c:pt>
                <c:pt idx="31">
                  <c:v>11.51</c:v>
                </c:pt>
                <c:pt idx="32">
                  <c:v>11.52</c:v>
                </c:pt>
                <c:pt idx="33">
                  <c:v>11.5</c:v>
                </c:pt>
                <c:pt idx="34">
                  <c:v>11.52</c:v>
                </c:pt>
                <c:pt idx="35">
                  <c:v>11.53</c:v>
                </c:pt>
                <c:pt idx="36">
                  <c:v>11.59</c:v>
                </c:pt>
                <c:pt idx="37">
                  <c:v>11.67</c:v>
                </c:pt>
                <c:pt idx="38">
                  <c:v>11.276</c:v>
                </c:pt>
                <c:pt idx="39">
                  <c:v>11.383333</c:v>
                </c:pt>
                <c:pt idx="40">
                  <c:v>11.26</c:v>
                </c:pt>
                <c:pt idx="41">
                  <c:v>11.195</c:v>
                </c:pt>
                <c:pt idx="42">
                  <c:v>11.273</c:v>
                </c:pt>
                <c:pt idx="43">
                  <c:v>11.35</c:v>
                </c:pt>
                <c:pt idx="44">
                  <c:v>11.551</c:v>
                </c:pt>
                <c:pt idx="45">
                  <c:v>11.52575</c:v>
                </c:pt>
                <c:pt idx="46">
                  <c:v>11.537000000000001</c:v>
                </c:pt>
                <c:pt idx="47">
                  <c:v>11.507</c:v>
                </c:pt>
                <c:pt idx="48">
                  <c:v>11.464667</c:v>
                </c:pt>
                <c:pt idx="49">
                  <c:v>11.439333</c:v>
                </c:pt>
                <c:pt idx="50">
                  <c:v>11.497999999999999</c:v>
                </c:pt>
                <c:pt idx="51">
                  <c:v>11.19</c:v>
                </c:pt>
                <c:pt idx="52">
                  <c:v>11.195499999999999</c:v>
                </c:pt>
                <c:pt idx="53">
                  <c:v>11.21</c:v>
                </c:pt>
                <c:pt idx="54">
                  <c:v>11.2095</c:v>
                </c:pt>
                <c:pt idx="55">
                  <c:v>11.231</c:v>
                </c:pt>
                <c:pt idx="56">
                  <c:v>11.343999999999999</c:v>
                </c:pt>
                <c:pt idx="57">
                  <c:v>11.47</c:v>
                </c:pt>
                <c:pt idx="58">
                  <c:v>11.433</c:v>
                </c:pt>
                <c:pt idx="59">
                  <c:v>11.45</c:v>
                </c:pt>
                <c:pt idx="60">
                  <c:v>11.516999999999999</c:v>
                </c:pt>
                <c:pt idx="61">
                  <c:v>11.64</c:v>
                </c:pt>
                <c:pt idx="62">
                  <c:v>11.458</c:v>
                </c:pt>
                <c:pt idx="63">
                  <c:v>11.391</c:v>
                </c:pt>
                <c:pt idx="64">
                  <c:v>11.388999999999999</c:v>
                </c:pt>
                <c:pt idx="65">
                  <c:v>11.41</c:v>
                </c:pt>
                <c:pt idx="66">
                  <c:v>11.356999999999999</c:v>
                </c:pt>
                <c:pt idx="67">
                  <c:v>11.343</c:v>
                </c:pt>
                <c:pt idx="68">
                  <c:v>11.282</c:v>
                </c:pt>
                <c:pt idx="69">
                  <c:v>11.294</c:v>
                </c:pt>
                <c:pt idx="70">
                  <c:v>11.451000000000001</c:v>
                </c:pt>
                <c:pt idx="71">
                  <c:v>11.481999999999999</c:v>
                </c:pt>
                <c:pt idx="72">
                  <c:v>11.491</c:v>
                </c:pt>
                <c:pt idx="73">
                  <c:v>11.459</c:v>
                </c:pt>
                <c:pt idx="74">
                  <c:v>11.45</c:v>
                </c:pt>
                <c:pt idx="75">
                  <c:v>11.331</c:v>
                </c:pt>
                <c:pt idx="76">
                  <c:v>11.411</c:v>
                </c:pt>
                <c:pt idx="77">
                  <c:v>11.441000000000001</c:v>
                </c:pt>
                <c:pt idx="78">
                  <c:v>11.387</c:v>
                </c:pt>
                <c:pt idx="79">
                  <c:v>11.388</c:v>
                </c:pt>
                <c:pt idx="80">
                  <c:v>11.375</c:v>
                </c:pt>
                <c:pt idx="81">
                  <c:v>11.387</c:v>
                </c:pt>
                <c:pt idx="82">
                  <c:v>11.334</c:v>
                </c:pt>
                <c:pt idx="83">
                  <c:v>11.349</c:v>
                </c:pt>
                <c:pt idx="84">
                  <c:v>11.375999999999999</c:v>
                </c:pt>
                <c:pt idx="85">
                  <c:v>11.326000000000001</c:v>
                </c:pt>
                <c:pt idx="86">
                  <c:v>11.707000000000001</c:v>
                </c:pt>
                <c:pt idx="87">
                  <c:v>11.693</c:v>
                </c:pt>
                <c:pt idx="88">
                  <c:v>11.507</c:v>
                </c:pt>
                <c:pt idx="89">
                  <c:v>11.375999999999999</c:v>
                </c:pt>
                <c:pt idx="90">
                  <c:v>11.372999999999999</c:v>
                </c:pt>
                <c:pt idx="91">
                  <c:v>11.385</c:v>
                </c:pt>
                <c:pt idx="92">
                  <c:v>11.419</c:v>
                </c:pt>
                <c:pt idx="93">
                  <c:v>11.632999999999999</c:v>
                </c:pt>
                <c:pt idx="94">
                  <c:v>11.669</c:v>
                </c:pt>
                <c:pt idx="95">
                  <c:v>11.669</c:v>
                </c:pt>
                <c:pt idx="96">
                  <c:v>11.509</c:v>
                </c:pt>
                <c:pt idx="97">
                  <c:v>11.526999999999999</c:v>
                </c:pt>
                <c:pt idx="98">
                  <c:v>11.528</c:v>
                </c:pt>
                <c:pt idx="99">
                  <c:v>11.603</c:v>
                </c:pt>
                <c:pt idx="100">
                  <c:v>11.472</c:v>
                </c:pt>
                <c:pt idx="101">
                  <c:v>11.483000000000001</c:v>
                </c:pt>
                <c:pt idx="102">
                  <c:v>11.513500000000001</c:v>
                </c:pt>
                <c:pt idx="103">
                  <c:v>11.49</c:v>
                </c:pt>
                <c:pt idx="104">
                  <c:v>11.516</c:v>
                </c:pt>
                <c:pt idx="105">
                  <c:v>11.464</c:v>
                </c:pt>
                <c:pt idx="106">
                  <c:v>11.456</c:v>
                </c:pt>
                <c:pt idx="107">
                  <c:v>11.558</c:v>
                </c:pt>
                <c:pt idx="108">
                  <c:v>11.521000000000001</c:v>
                </c:pt>
                <c:pt idx="109">
                  <c:v>11.49</c:v>
                </c:pt>
                <c:pt idx="110">
                  <c:v>11.427</c:v>
                </c:pt>
                <c:pt idx="111">
                  <c:v>11.269</c:v>
                </c:pt>
                <c:pt idx="112">
                  <c:v>11.255000000000001</c:v>
                </c:pt>
                <c:pt idx="113">
                  <c:v>11.335000000000001</c:v>
                </c:pt>
                <c:pt idx="114">
                  <c:v>11.288</c:v>
                </c:pt>
                <c:pt idx="115">
                  <c:v>11.301</c:v>
                </c:pt>
                <c:pt idx="116">
                  <c:v>11.276</c:v>
                </c:pt>
                <c:pt idx="117">
                  <c:v>11.278</c:v>
                </c:pt>
                <c:pt idx="118">
                  <c:v>11.288</c:v>
                </c:pt>
                <c:pt idx="119">
                  <c:v>11.266</c:v>
                </c:pt>
                <c:pt idx="120">
                  <c:v>11.273</c:v>
                </c:pt>
                <c:pt idx="121">
                  <c:v>11.27</c:v>
                </c:pt>
                <c:pt idx="122">
                  <c:v>11.308</c:v>
                </c:pt>
                <c:pt idx="123">
                  <c:v>11.414999999999999</c:v>
                </c:pt>
                <c:pt idx="124">
                  <c:v>11.333</c:v>
                </c:pt>
                <c:pt idx="125">
                  <c:v>11.334</c:v>
                </c:pt>
                <c:pt idx="126">
                  <c:v>11.356999999999999</c:v>
                </c:pt>
                <c:pt idx="127">
                  <c:v>11.573</c:v>
                </c:pt>
                <c:pt idx="128">
                  <c:v>11.519</c:v>
                </c:pt>
                <c:pt idx="129">
                  <c:v>11.515000000000001</c:v>
                </c:pt>
                <c:pt idx="130">
                  <c:v>11.481</c:v>
                </c:pt>
                <c:pt idx="131">
                  <c:v>11.499000000000001</c:v>
                </c:pt>
                <c:pt idx="132">
                  <c:v>11.522</c:v>
                </c:pt>
                <c:pt idx="133">
                  <c:v>11.542999999999999</c:v>
                </c:pt>
                <c:pt idx="134">
                  <c:v>11.503</c:v>
                </c:pt>
                <c:pt idx="135">
                  <c:v>11.538</c:v>
                </c:pt>
                <c:pt idx="136">
                  <c:v>11.318</c:v>
                </c:pt>
                <c:pt idx="137">
                  <c:v>11.407999999999999</c:v>
                </c:pt>
                <c:pt idx="138">
                  <c:v>11.414</c:v>
                </c:pt>
                <c:pt idx="139">
                  <c:v>11.446</c:v>
                </c:pt>
                <c:pt idx="140">
                  <c:v>11.423</c:v>
                </c:pt>
                <c:pt idx="141">
                  <c:v>11.414</c:v>
                </c:pt>
                <c:pt idx="142">
                  <c:v>11.407</c:v>
                </c:pt>
                <c:pt idx="143">
                  <c:v>11.404999999999999</c:v>
                </c:pt>
                <c:pt idx="144">
                  <c:v>11.516999999999999</c:v>
                </c:pt>
                <c:pt idx="145">
                  <c:v>11.590999999999999</c:v>
                </c:pt>
                <c:pt idx="146">
                  <c:v>11.590999999999999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EB-4BE6-9D59-B5D2CE143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48328"/>
        <c:axId val="539954992"/>
      </c:scatterChart>
      <c:scatterChart>
        <c:scatterStyle val="lineMarker"/>
        <c:varyColors val="0"/>
        <c:ser>
          <c:idx val="1"/>
          <c:order val="1"/>
          <c:tx>
            <c:v>B-V</c:v>
          </c:tx>
          <c:spPr>
            <a:ln w="19050">
              <a:noFill/>
            </a:ln>
          </c:spPr>
          <c:marker>
            <c:symbol val="square"/>
            <c:size val="3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xVal>
            <c:numRef>
              <c:f>'B-V'!$A:$A</c:f>
              <c:numCache>
                <c:formatCode>General</c:formatCode>
                <c:ptCount val="1048576"/>
                <c:pt idx="0">
                  <c:v>2454554.6634499999</c:v>
                </c:pt>
                <c:pt idx="1">
                  <c:v>2454952.5843000002</c:v>
                </c:pt>
                <c:pt idx="2">
                  <c:v>2454971.5323999999</c:v>
                </c:pt>
                <c:pt idx="3">
                  <c:v>2454977.4756999998</c:v>
                </c:pt>
                <c:pt idx="4">
                  <c:v>2454981.4652999998</c:v>
                </c:pt>
                <c:pt idx="5">
                  <c:v>2455011.4981499999</c:v>
                </c:pt>
                <c:pt idx="6">
                  <c:v>2455296.6085999999</c:v>
                </c:pt>
                <c:pt idx="7">
                  <c:v>2455338.4776499998</c:v>
                </c:pt>
                <c:pt idx="8">
                  <c:v>2455412.3894500001</c:v>
                </c:pt>
                <c:pt idx="9">
                  <c:v>2455429.3308000001</c:v>
                </c:pt>
                <c:pt idx="10">
                  <c:v>2455688.5366699998</c:v>
                </c:pt>
                <c:pt idx="11">
                  <c:v>2455702.5637500002</c:v>
                </c:pt>
                <c:pt idx="12">
                  <c:v>2455732.5432500001</c:v>
                </c:pt>
                <c:pt idx="13">
                  <c:v>2455782.3981499998</c:v>
                </c:pt>
                <c:pt idx="14">
                  <c:v>2455988.6900999998</c:v>
                </c:pt>
                <c:pt idx="15">
                  <c:v>2456001.6674000002</c:v>
                </c:pt>
                <c:pt idx="16">
                  <c:v>2456060.5120600001</c:v>
                </c:pt>
                <c:pt idx="17">
                  <c:v>2456066.5216000001</c:v>
                </c:pt>
                <c:pt idx="18">
                  <c:v>2456077.4497500001</c:v>
                </c:pt>
                <c:pt idx="19">
                  <c:v>2456126.4193799999</c:v>
                </c:pt>
                <c:pt idx="20">
                  <c:v>2456132.42618</c:v>
                </c:pt>
                <c:pt idx="21">
                  <c:v>2456146.4328000001</c:v>
                </c:pt>
                <c:pt idx="22">
                  <c:v>2456149.3707300001</c:v>
                </c:pt>
                <c:pt idx="23">
                  <c:v>2456407.5719599999</c:v>
                </c:pt>
                <c:pt idx="24">
                  <c:v>2456417.52935</c:v>
                </c:pt>
                <c:pt idx="25">
                  <c:v>2456424.60103</c:v>
                </c:pt>
                <c:pt idx="26">
                  <c:v>2456439.5170200001</c:v>
                </c:pt>
                <c:pt idx="27">
                  <c:v>2456444.5109999999</c:v>
                </c:pt>
                <c:pt idx="28">
                  <c:v>2456471.50238</c:v>
                </c:pt>
                <c:pt idx="29">
                  <c:v>2456540.3143099998</c:v>
                </c:pt>
                <c:pt idx="30">
                  <c:v>2456802.4467199999</c:v>
                </c:pt>
                <c:pt idx="31">
                  <c:v>2456805.5808600001</c:v>
                </c:pt>
                <c:pt idx="32">
                  <c:v>2456856.4783100002</c:v>
                </c:pt>
              </c:numCache>
            </c:numRef>
          </c:xVal>
          <c:yVal>
            <c:numRef>
              <c:f>'B-V'!$C:$C</c:f>
              <c:numCache>
                <c:formatCode>General</c:formatCode>
                <c:ptCount val="1048576"/>
                <c:pt idx="0">
                  <c:v>1.06</c:v>
                </c:pt>
                <c:pt idx="1">
                  <c:v>1.1599999999999999</c:v>
                </c:pt>
                <c:pt idx="2">
                  <c:v>1.0669999999999999</c:v>
                </c:pt>
                <c:pt idx="3">
                  <c:v>1.0409999999999999</c:v>
                </c:pt>
                <c:pt idx="4">
                  <c:v>1.139</c:v>
                </c:pt>
                <c:pt idx="5">
                  <c:v>1.181</c:v>
                </c:pt>
                <c:pt idx="6">
                  <c:v>1.0940000000000001</c:v>
                </c:pt>
                <c:pt idx="7">
                  <c:v>1.014</c:v>
                </c:pt>
                <c:pt idx="8">
                  <c:v>1.0409999999999999</c:v>
                </c:pt>
                <c:pt idx="9">
                  <c:v>1.032</c:v>
                </c:pt>
                <c:pt idx="10">
                  <c:v>1.0980000000000001</c:v>
                </c:pt>
                <c:pt idx="11">
                  <c:v>1.1299999999999999</c:v>
                </c:pt>
                <c:pt idx="12">
                  <c:v>1.071</c:v>
                </c:pt>
                <c:pt idx="13">
                  <c:v>1.014</c:v>
                </c:pt>
                <c:pt idx="14">
                  <c:v>1.004</c:v>
                </c:pt>
                <c:pt idx="15">
                  <c:v>1.0429999999999999</c:v>
                </c:pt>
                <c:pt idx="16">
                  <c:v>1.1279999999999999</c:v>
                </c:pt>
                <c:pt idx="17">
                  <c:v>1.107</c:v>
                </c:pt>
                <c:pt idx="18">
                  <c:v>1.0720000000000001</c:v>
                </c:pt>
                <c:pt idx="19">
                  <c:v>1.0980000000000001</c:v>
                </c:pt>
                <c:pt idx="20">
                  <c:v>1.103</c:v>
                </c:pt>
                <c:pt idx="21">
                  <c:v>1.0740000000000001</c:v>
                </c:pt>
                <c:pt idx="22">
                  <c:v>1.097</c:v>
                </c:pt>
                <c:pt idx="23">
                  <c:v>0.995</c:v>
                </c:pt>
                <c:pt idx="24">
                  <c:v>0.96399999999999997</c:v>
                </c:pt>
                <c:pt idx="25">
                  <c:v>0.92700000000000005</c:v>
                </c:pt>
                <c:pt idx="26">
                  <c:v>0.97199999999999998</c:v>
                </c:pt>
                <c:pt idx="27">
                  <c:v>0.91400000000000003</c:v>
                </c:pt>
                <c:pt idx="28">
                  <c:v>0.94899999999999995</c:v>
                </c:pt>
                <c:pt idx="29">
                  <c:v>0.98899999999999999</c:v>
                </c:pt>
                <c:pt idx="30">
                  <c:v>0.98099999999999998</c:v>
                </c:pt>
                <c:pt idx="31">
                  <c:v>0.98799999999999999</c:v>
                </c:pt>
                <c:pt idx="32">
                  <c:v>1.0620000000000001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EB-4BE6-9D59-B5D2CE143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112456"/>
        <c:axId val="683116064"/>
      </c:scatterChart>
      <c:valAx>
        <c:axId val="539948328"/>
        <c:scaling>
          <c:orientation val="minMax"/>
          <c:min val="245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954992"/>
        <c:crosses val="max"/>
        <c:crossBetween val="midCat"/>
      </c:valAx>
      <c:valAx>
        <c:axId val="539954992"/>
        <c:scaling>
          <c:orientation val="maxMin"/>
          <c:max val="12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948328"/>
        <c:crosses val="autoZero"/>
        <c:crossBetween val="midCat"/>
      </c:valAx>
      <c:valAx>
        <c:axId val="683116064"/>
        <c:scaling>
          <c:orientation val="maxMin"/>
        </c:scaling>
        <c:delete val="0"/>
        <c:axPos val="r"/>
        <c:numFmt formatCode="General" sourceLinked="1"/>
        <c:majorTickMark val="out"/>
        <c:minorTickMark val="none"/>
        <c:tickLblPos val="nextTo"/>
        <c:crossAx val="683112456"/>
        <c:crosses val="max"/>
        <c:crossBetween val="midCat"/>
      </c:valAx>
      <c:valAx>
        <c:axId val="68311245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311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40" dropStyle="combo" dx="16" fmlaLink="$J$9" fmlaRange="$C$16:$C$40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[2]Feuil1!$A$1" fmlaRange="[2]Feuil1!$B$3:$B$6" noThreeD="1" sel="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4</xdr:row>
      <xdr:rowOff>171450</xdr:rowOff>
    </xdr:from>
    <xdr:to>
      <xdr:col>14</xdr:col>
      <xdr:colOff>66673</xdr:colOff>
      <xdr:row>14</xdr:row>
      <xdr:rowOff>9525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180975</xdr:rowOff>
    </xdr:from>
    <xdr:to>
      <xdr:col>17</xdr:col>
      <xdr:colOff>38100</xdr:colOff>
      <xdr:row>19</xdr:row>
      <xdr:rowOff>171450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21</xdr:row>
      <xdr:rowOff>0</xdr:rowOff>
    </xdr:from>
    <xdr:to>
      <xdr:col>17</xdr:col>
      <xdr:colOff>38100</xdr:colOff>
      <xdr:row>38</xdr:row>
      <xdr:rowOff>180975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457200</xdr:colOff>
          <xdr:row>7</xdr:row>
          <xdr:rowOff>57150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5</xdr:row>
          <xdr:rowOff>180975</xdr:rowOff>
        </xdr:from>
        <xdr:to>
          <xdr:col>11</xdr:col>
          <xdr:colOff>476250</xdr:colOff>
          <xdr:row>7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12</xdr:row>
          <xdr:rowOff>9525</xdr:rowOff>
        </xdr:from>
        <xdr:to>
          <xdr:col>3</xdr:col>
          <xdr:colOff>638175</xdr:colOff>
          <xdr:row>13</xdr:row>
          <xdr:rowOff>9525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GAn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ICyg_AAVSO_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"/>
      <sheetName val="Index"/>
      <sheetName val="Data"/>
      <sheetName val="ListCall"/>
      <sheetName val="NewSpectra"/>
      <sheetName val="Objects"/>
      <sheetName val="AliasNom"/>
      <sheetName val="AliasSite"/>
      <sheetName val="Suspected"/>
      <sheetName val="Classification"/>
      <sheetName val="AGDra"/>
      <sheetName val="AGPeg"/>
      <sheetName val="AS210"/>
      <sheetName val="AS245"/>
      <sheetName val="AS270"/>
      <sheetName val="AS289"/>
      <sheetName val="AS323"/>
      <sheetName val="AXPer"/>
      <sheetName val="BDCam"/>
      <sheetName val="EF Aql"/>
      <sheetName val="BFCyg"/>
      <sheetName val="BXMon"/>
      <sheetName val="CHCyg"/>
      <sheetName val="Feuil1"/>
      <sheetName val="CICyg"/>
      <sheetName val="CMAql"/>
      <sheetName val="CQDra"/>
      <sheetName val="EFAql"/>
      <sheetName val="EGAnd"/>
      <sheetName val="ERDel"/>
      <sheetName val="FGSer"/>
      <sheetName val="FNSgr"/>
      <sheetName val="GHGem"/>
      <sheetName val="Hen2-468"/>
      <sheetName val="Hen3-1341"/>
      <sheetName val="Hen3-1342"/>
      <sheetName val="Hen3-1768"/>
      <sheetName val="HMSge"/>
      <sheetName val="IVVir"/>
      <sheetName val="LTDel"/>
      <sheetName val="MWC960"/>
      <sheetName val="NQGem"/>
      <sheetName val="OmiCet"/>
      <sheetName val="PUVul"/>
      <sheetName val="QWSge"/>
      <sheetName val="RAqr"/>
      <sheetName val="RRTel"/>
      <sheetName val="RSOph"/>
      <sheetName val="RTCru"/>
      <sheetName val="RTSer"/>
      <sheetName val="RWHya"/>
      <sheetName val="SSLep"/>
      <sheetName val="StHa32"/>
      <sheetName val="StHa55"/>
      <sheetName val="StHa149"/>
      <sheetName val="StHa196"/>
      <sheetName val="StHa180"/>
      <sheetName val="StHa190"/>
      <sheetName val="SULyn"/>
      <sheetName val="SYMus"/>
      <sheetName val="TCrB"/>
      <sheetName val="TCPJ19544251+1722281"/>
      <sheetName val="TXCVn"/>
      <sheetName val="UVAur"/>
      <sheetName val="V335Vul"/>
      <sheetName val="V407Cyg"/>
      <sheetName val="StHa169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329Cyg"/>
      <sheetName val="V1413Aql"/>
      <sheetName val="V1261Ori"/>
      <sheetName val="ZZCMi"/>
      <sheetName val="YYHer"/>
      <sheetName val="ZAnd"/>
      <sheetName val="Feuil70"/>
      <sheetName val="Feuil82"/>
      <sheetName val="Feuil71"/>
      <sheetName val="Feuil72"/>
      <sheetName val="Feuil73"/>
      <sheetName val="Feuil74"/>
      <sheetName val="Feuil75"/>
      <sheetName val="Feuil76"/>
      <sheetName val="Feuil77"/>
      <sheetName val="Feuil78"/>
      <sheetName val="Feuil79"/>
      <sheetName val="Feuil80"/>
      <sheetName val="Feuil8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>
        <row r="13">
          <cell r="B13">
            <v>1</v>
          </cell>
          <cell r="C13">
            <v>40681</v>
          </cell>
          <cell r="D13">
            <v>0.93440972222222218</v>
          </cell>
          <cell r="E13">
            <v>2455699.9344097222</v>
          </cell>
          <cell r="F13" t="str">
            <v xml:space="preserve">FMT </v>
          </cell>
          <cell r="P13">
            <v>3820</v>
          </cell>
          <cell r="Q13">
            <v>7372</v>
          </cell>
          <cell r="X13" t="str">
            <v>asdb_v443her_20110518_934.fit</v>
          </cell>
        </row>
        <row r="14">
          <cell r="B14">
            <v>2</v>
          </cell>
          <cell r="C14">
            <v>41041</v>
          </cell>
          <cell r="D14">
            <v>0.99229166666666668</v>
          </cell>
          <cell r="E14">
            <v>2456059.9922916666</v>
          </cell>
          <cell r="F14" t="str">
            <v xml:space="preserve">FMT </v>
          </cell>
          <cell r="I14">
            <v>1000</v>
          </cell>
          <cell r="P14">
            <v>4001</v>
          </cell>
          <cell r="Q14">
            <v>7200</v>
          </cell>
          <cell r="X14" t="str">
            <v>asdb_v443her_20120512_992.fit</v>
          </cell>
        </row>
        <row r="15">
          <cell r="B15">
            <v>3</v>
          </cell>
          <cell r="C15">
            <v>41338</v>
          </cell>
          <cell r="D15">
            <v>0.14509259259259258</v>
          </cell>
          <cell r="E15">
            <v>2456356.6611000001</v>
          </cell>
          <cell r="F15" t="str">
            <v xml:space="preserve">FMT </v>
          </cell>
          <cell r="I15">
            <v>700</v>
          </cell>
          <cell r="P15">
            <v>4000</v>
          </cell>
          <cell r="Q15">
            <v>7495</v>
          </cell>
          <cell r="X15" t="str">
            <v>asdb_v443her_20130305_145.fit</v>
          </cell>
        </row>
        <row r="16">
          <cell r="B16">
            <v>4</v>
          </cell>
          <cell r="C16">
            <v>41397</v>
          </cell>
          <cell r="D16">
            <v>0.98288194444444443</v>
          </cell>
          <cell r="E16">
            <v>2456416.4969000001</v>
          </cell>
          <cell r="F16" t="str">
            <v xml:space="preserve">FMT </v>
          </cell>
          <cell r="I16">
            <v>755</v>
          </cell>
          <cell r="P16">
            <v>4001</v>
          </cell>
          <cell r="Q16">
            <v>7500</v>
          </cell>
          <cell r="X16" t="str">
            <v>asdb_v443her_20130503_983.fit</v>
          </cell>
        </row>
        <row r="17">
          <cell r="B17">
            <v>5</v>
          </cell>
          <cell r="C17">
            <v>41496</v>
          </cell>
          <cell r="D17">
            <v>0.97891203703703711</v>
          </cell>
          <cell r="E17">
            <v>2456515.4879000001</v>
          </cell>
          <cell r="F17" t="str">
            <v>BUI</v>
          </cell>
          <cell r="I17">
            <v>619</v>
          </cell>
          <cell r="P17">
            <v>3726</v>
          </cell>
          <cell r="Q17">
            <v>7391</v>
          </cell>
          <cell r="X17" t="str">
            <v>asdb_v443her_20130810_979.fit</v>
          </cell>
        </row>
        <row r="18">
          <cell r="B18">
            <v>6</v>
          </cell>
          <cell r="C18">
            <v>41739</v>
          </cell>
          <cell r="D18">
            <v>0.25491898148148145</v>
          </cell>
          <cell r="E18">
            <v>2456757.7689</v>
          </cell>
          <cell r="F18" t="str">
            <v>LES</v>
          </cell>
          <cell r="I18">
            <v>1683</v>
          </cell>
          <cell r="P18">
            <v>4025</v>
          </cell>
          <cell r="Q18">
            <v>7480</v>
          </cell>
          <cell r="X18" t="str">
            <v>asdb_v443her_20140410_255.fit</v>
          </cell>
        </row>
        <row r="19">
          <cell r="B19">
            <v>7</v>
          </cell>
          <cell r="C19">
            <v>41745</v>
          </cell>
          <cell r="D19">
            <v>0.93961805555555555</v>
          </cell>
          <cell r="E19">
            <v>2456764.4501</v>
          </cell>
          <cell r="F19" t="str">
            <v>JPM</v>
          </cell>
          <cell r="I19">
            <v>377</v>
          </cell>
          <cell r="P19">
            <v>3603</v>
          </cell>
          <cell r="Q19">
            <v>7404</v>
          </cell>
          <cell r="X19" t="str">
            <v>asdb_v443her_20140416_940.fit</v>
          </cell>
        </row>
        <row r="20">
          <cell r="B20">
            <v>8</v>
          </cell>
          <cell r="C20">
            <v>41746</v>
          </cell>
          <cell r="D20">
            <v>9.0995370370370365E-2</v>
          </cell>
          <cell r="E20">
            <v>2456764.6055000001</v>
          </cell>
          <cell r="F20" t="str">
            <v>JMO</v>
          </cell>
          <cell r="I20">
            <v>600</v>
          </cell>
          <cell r="P20">
            <v>3832</v>
          </cell>
          <cell r="Q20">
            <v>8118</v>
          </cell>
          <cell r="X20" t="str">
            <v>asdb_v443her_20140417_091.fit</v>
          </cell>
        </row>
        <row r="21">
          <cell r="B21">
            <v>9</v>
          </cell>
          <cell r="C21">
            <v>41763</v>
          </cell>
          <cell r="D21">
            <v>4.3194444444444445E-2</v>
          </cell>
          <cell r="E21">
            <v>2456781.5573999998</v>
          </cell>
          <cell r="F21" t="str">
            <v xml:space="preserve">FMT </v>
          </cell>
          <cell r="I21">
            <v>987</v>
          </cell>
          <cell r="P21">
            <v>4000</v>
          </cell>
          <cell r="Q21">
            <v>7551</v>
          </cell>
          <cell r="X21" t="str">
            <v>asdb_v443her_20140504_043.fit</v>
          </cell>
        </row>
        <row r="22">
          <cell r="B22">
            <v>10</v>
          </cell>
          <cell r="C22">
            <v>41764</v>
          </cell>
          <cell r="D22">
            <v>1.5995370370370372E-2</v>
          </cell>
          <cell r="E22">
            <v>2456782.54</v>
          </cell>
          <cell r="F22" t="str">
            <v>JMO</v>
          </cell>
          <cell r="I22">
            <v>634</v>
          </cell>
          <cell r="P22">
            <v>3853</v>
          </cell>
          <cell r="Q22">
            <v>7387</v>
          </cell>
          <cell r="X22" t="str">
            <v>asdb_v443her_20140505_016.fit</v>
          </cell>
        </row>
        <row r="23">
          <cell r="B23">
            <v>11</v>
          </cell>
          <cell r="C23">
            <v>42050</v>
          </cell>
          <cell r="D23">
            <v>3.8101851851851852E-2</v>
          </cell>
          <cell r="E23">
            <v>2457068.5556000001</v>
          </cell>
          <cell r="F23" t="str">
            <v>PSO</v>
          </cell>
          <cell r="I23">
            <v>536</v>
          </cell>
          <cell r="P23">
            <v>3651</v>
          </cell>
          <cell r="Q23">
            <v>7924</v>
          </cell>
          <cell r="X23" t="str">
            <v>asdb_v443her_20150215_038.fit</v>
          </cell>
        </row>
        <row r="24">
          <cell r="B24">
            <v>12</v>
          </cell>
          <cell r="C24">
            <v>42053</v>
          </cell>
          <cell r="D24">
            <v>0.16001157407407407</v>
          </cell>
          <cell r="E24">
            <v>2457071.6705</v>
          </cell>
          <cell r="F24" t="str">
            <v xml:space="preserve">FMT </v>
          </cell>
          <cell r="I24">
            <v>1142</v>
          </cell>
          <cell r="P24">
            <v>3603</v>
          </cell>
          <cell r="Q24">
            <v>7598</v>
          </cell>
          <cell r="X24" t="str">
            <v>asdb_v443her_20150218_160.fit</v>
          </cell>
        </row>
        <row r="25">
          <cell r="B25">
            <v>13</v>
          </cell>
          <cell r="C25">
            <v>42112</v>
          </cell>
          <cell r="D25">
            <v>0.2424074074074074</v>
          </cell>
          <cell r="E25">
            <v>2457130.7612000001</v>
          </cell>
          <cell r="F25" t="str">
            <v>LES</v>
          </cell>
          <cell r="I25">
            <v>1918</v>
          </cell>
          <cell r="P25">
            <v>4002</v>
          </cell>
          <cell r="Q25">
            <v>7475</v>
          </cell>
          <cell r="X25" t="str">
            <v>asdb_v443her_20150418_242.fit</v>
          </cell>
        </row>
        <row r="26">
          <cell r="B26">
            <v>14</v>
          </cell>
          <cell r="C26">
            <v>42114</v>
          </cell>
          <cell r="D26">
            <v>1.9988425925925927E-2</v>
          </cell>
          <cell r="E26">
            <v>2457132.5293000001</v>
          </cell>
          <cell r="F26" t="str">
            <v>JMO</v>
          </cell>
          <cell r="P26">
            <v>3932</v>
          </cell>
          <cell r="Q26">
            <v>7381</v>
          </cell>
          <cell r="X26" t="str">
            <v>asdb_v443her_20150420_020.fit</v>
          </cell>
        </row>
        <row r="27">
          <cell r="B27">
            <v>15</v>
          </cell>
          <cell r="C27">
            <v>42161</v>
          </cell>
          <cell r="D27">
            <v>0.87834490740740734</v>
          </cell>
          <cell r="E27">
            <v>2457180.3772</v>
          </cell>
          <cell r="F27" t="str">
            <v>PSO</v>
          </cell>
          <cell r="I27">
            <v>11763</v>
          </cell>
          <cell r="P27">
            <v>6511</v>
          </cell>
          <cell r="Q27">
            <v>6623</v>
          </cell>
          <cell r="X27" t="str">
            <v>asdb_v443her_20150606_878.fit</v>
          </cell>
        </row>
        <row r="28">
          <cell r="B28">
            <v>16</v>
          </cell>
          <cell r="C28">
            <v>42182</v>
          </cell>
          <cell r="D28">
            <v>0.11729166666666667</v>
          </cell>
          <cell r="E28">
            <v>2457200.6601999998</v>
          </cell>
          <cell r="F28" t="str">
            <v>LES</v>
          </cell>
          <cell r="I28">
            <v>9100</v>
          </cell>
          <cell r="P28">
            <v>6006</v>
          </cell>
          <cell r="Q28">
            <v>7108</v>
          </cell>
          <cell r="X28" t="str">
            <v>asdb_v443her_20150627_117.fit</v>
          </cell>
        </row>
        <row r="29">
          <cell r="B29">
            <v>17</v>
          </cell>
          <cell r="C29">
            <v>42192</v>
          </cell>
          <cell r="D29">
            <v>0.89290509259259254</v>
          </cell>
          <cell r="E29">
            <v>2457211.4208</v>
          </cell>
          <cell r="F29" t="str">
            <v>JGF</v>
          </cell>
          <cell r="I29">
            <v>908</v>
          </cell>
          <cell r="P29">
            <v>3815</v>
          </cell>
          <cell r="Q29">
            <v>7507</v>
          </cell>
          <cell r="X29" t="str">
            <v>asdb_v443her_20150707_893.fit</v>
          </cell>
        </row>
        <row r="30">
          <cell r="B30">
            <v>18</v>
          </cell>
          <cell r="C30">
            <v>42195</v>
          </cell>
          <cell r="D30">
            <v>0.99061342592592594</v>
          </cell>
          <cell r="E30">
            <v>2457214.4890999999</v>
          </cell>
          <cell r="F30" t="str">
            <v>PSO</v>
          </cell>
          <cell r="I30">
            <v>3100</v>
          </cell>
          <cell r="P30">
            <v>6388</v>
          </cell>
          <cell r="Q30">
            <v>7109</v>
          </cell>
          <cell r="X30" t="str">
            <v>asdb_v443her_20150710_991.fit</v>
          </cell>
        </row>
        <row r="31">
          <cell r="B31">
            <v>19</v>
          </cell>
          <cell r="C31">
            <v>42204</v>
          </cell>
          <cell r="D31">
            <v>0.88638888888888889</v>
          </cell>
          <cell r="E31">
            <v>2457223.4153999998</v>
          </cell>
          <cell r="F31" t="str">
            <v>JGF</v>
          </cell>
          <cell r="I31">
            <v>938</v>
          </cell>
          <cell r="P31">
            <v>3780</v>
          </cell>
          <cell r="Q31">
            <v>7512</v>
          </cell>
          <cell r="X31" t="str">
            <v>asdb_v443her_20150719_886.fit</v>
          </cell>
        </row>
        <row r="32">
          <cell r="B32">
            <v>20</v>
          </cell>
          <cell r="C32">
            <v>42204</v>
          </cell>
          <cell r="D32">
            <v>0.94927083333333329</v>
          </cell>
          <cell r="E32">
            <v>2457223.4706999999</v>
          </cell>
          <cell r="F32" t="str">
            <v>DBO</v>
          </cell>
          <cell r="I32">
            <v>790</v>
          </cell>
          <cell r="P32">
            <v>3900</v>
          </cell>
          <cell r="Q32">
            <v>7400</v>
          </cell>
          <cell r="X32" t="str">
            <v>asdb_v443her_20150719_949.fit</v>
          </cell>
        </row>
        <row r="33">
          <cell r="B33">
            <v>21</v>
          </cell>
          <cell r="C33">
            <v>42407</v>
          </cell>
          <cell r="D33">
            <v>0.16092592592592592</v>
          </cell>
          <cell r="E33">
            <v>2457425.6822000002</v>
          </cell>
          <cell r="F33" t="str">
            <v>PSO</v>
          </cell>
          <cell r="I33">
            <v>2416</v>
          </cell>
          <cell r="P33">
            <v>6385</v>
          </cell>
          <cell r="Q33">
            <v>7095</v>
          </cell>
          <cell r="X33" t="str">
            <v>asdb_v443her_20160207_161.fit</v>
          </cell>
        </row>
        <row r="34">
          <cell r="B34">
            <v>22</v>
          </cell>
          <cell r="C34">
            <v>42465</v>
          </cell>
          <cell r="D34">
            <v>0.28164351851851849</v>
          </cell>
          <cell r="E34">
            <v>2457483.8237000001</v>
          </cell>
          <cell r="F34" t="str">
            <v>LES</v>
          </cell>
          <cell r="I34">
            <v>6000</v>
          </cell>
          <cell r="P34">
            <v>4263</v>
          </cell>
          <cell r="Q34">
            <v>5419</v>
          </cell>
          <cell r="X34" t="str">
            <v>asdb_v443her_20160405_282.fit</v>
          </cell>
        </row>
        <row r="35">
          <cell r="B35">
            <v>23</v>
          </cell>
          <cell r="C35">
            <v>42495</v>
          </cell>
          <cell r="D35">
            <v>7.4999999999999997E-2</v>
          </cell>
          <cell r="E35">
            <v>2457513.5822000001</v>
          </cell>
          <cell r="F35" t="str">
            <v>JMO</v>
          </cell>
          <cell r="I35">
            <v>651</v>
          </cell>
          <cell r="P35">
            <v>3787</v>
          </cell>
          <cell r="Q35">
            <v>7393</v>
          </cell>
          <cell r="X35" t="str">
            <v>asdb_v443her_20160505_075.fit</v>
          </cell>
        </row>
        <row r="36">
          <cell r="B36">
            <v>24</v>
          </cell>
          <cell r="C36">
            <v>42495</v>
          </cell>
          <cell r="D36">
            <v>0.9186805555555555</v>
          </cell>
          <cell r="E36">
            <v>2457514.4334999998</v>
          </cell>
          <cell r="F36" t="str">
            <v>SOL</v>
          </cell>
          <cell r="I36">
            <v>787</v>
          </cell>
          <cell r="P36">
            <v>3750</v>
          </cell>
          <cell r="Q36">
            <v>7360</v>
          </cell>
          <cell r="X36" t="str">
            <v>asdb_v443her_20160505_919.fit</v>
          </cell>
        </row>
        <row r="37">
          <cell r="B37">
            <v>25</v>
          </cell>
          <cell r="C37">
            <v>42530</v>
          </cell>
          <cell r="D37">
            <v>0.91472222222222221</v>
          </cell>
          <cell r="E37">
            <v>2457549.4358000001</v>
          </cell>
          <cell r="F37" t="str">
            <v xml:space="preserve">FMT </v>
          </cell>
          <cell r="I37">
            <v>11000</v>
          </cell>
          <cell r="P37">
            <v>4144</v>
          </cell>
          <cell r="Q37">
            <v>7161</v>
          </cell>
          <cell r="X37" t="str">
            <v>asdb_v443her_20160609_915.fit</v>
          </cell>
        </row>
        <row r="38">
          <cell r="B38">
            <v>26</v>
          </cell>
          <cell r="C38">
            <v>42571</v>
          </cell>
          <cell r="D38">
            <v>0.19663194444444443</v>
          </cell>
          <cell r="E38">
            <v>2457589.7463000002</v>
          </cell>
          <cell r="F38" t="str">
            <v>LES</v>
          </cell>
          <cell r="I38">
            <v>6400</v>
          </cell>
          <cell r="P38">
            <v>4265</v>
          </cell>
          <cell r="Q38">
            <v>5420</v>
          </cell>
          <cell r="X38" t="str">
            <v>asdb_v443her_20160720_197.fit</v>
          </cell>
        </row>
        <row r="39">
          <cell r="B39">
            <v>27</v>
          </cell>
          <cell r="C39">
            <v>42580</v>
          </cell>
          <cell r="D39">
            <v>0.88471064814814815</v>
          </cell>
          <cell r="E39">
            <v>2457599.3865</v>
          </cell>
          <cell r="F39" t="str">
            <v>FBO</v>
          </cell>
          <cell r="I39">
            <v>2200</v>
          </cell>
          <cell r="P39">
            <v>3951</v>
          </cell>
          <cell r="Q39">
            <v>7502</v>
          </cell>
          <cell r="X39" t="str">
            <v>asdb_v443her_20160729_885.fit</v>
          </cell>
        </row>
        <row r="40">
          <cell r="B40">
            <v>28</v>
          </cell>
          <cell r="C40">
            <v>42590</v>
          </cell>
          <cell r="D40">
            <v>0.98053240740740744</v>
          </cell>
          <cell r="E40">
            <v>2457609.5014</v>
          </cell>
          <cell r="F40" t="str">
            <v>OGA</v>
          </cell>
          <cell r="I40">
            <v>599</v>
          </cell>
          <cell r="P40">
            <v>3915</v>
          </cell>
          <cell r="Q40">
            <v>7495</v>
          </cell>
          <cell r="X40" t="str">
            <v>asdb_v443her_20160808_981.fit</v>
          </cell>
        </row>
        <row r="41">
          <cell r="B41">
            <v>29</v>
          </cell>
          <cell r="C41">
            <v>42596</v>
          </cell>
          <cell r="D41">
            <v>3.8993055555555552E-2</v>
          </cell>
          <cell r="E41">
            <v>2457614.5458</v>
          </cell>
          <cell r="F41" t="str">
            <v>JMO</v>
          </cell>
          <cell r="I41">
            <v>667</v>
          </cell>
          <cell r="P41">
            <v>3832</v>
          </cell>
          <cell r="Q41">
            <v>7393</v>
          </cell>
          <cell r="X41" t="str">
            <v>asdb_v443her_20160814_039.fit</v>
          </cell>
        </row>
        <row r="42">
          <cell r="B42">
            <v>30</v>
          </cell>
          <cell r="C42">
            <v>42604</v>
          </cell>
          <cell r="D42">
            <v>0.97923611111111108</v>
          </cell>
          <cell r="E42">
            <v>2457623.4896999998</v>
          </cell>
          <cell r="F42" t="str">
            <v>CBO</v>
          </cell>
          <cell r="I42">
            <v>505</v>
          </cell>
          <cell r="P42">
            <v>3700</v>
          </cell>
          <cell r="Q42">
            <v>7570</v>
          </cell>
          <cell r="X42" t="str">
            <v>asdb_v443her_20160822_979.fit</v>
          </cell>
        </row>
        <row r="43">
          <cell r="B43">
            <v>31</v>
          </cell>
          <cell r="C43">
            <v>42621</v>
          </cell>
          <cell r="D43">
            <v>0.80354166666666671</v>
          </cell>
          <cell r="E43">
            <v>2457640.3250000002</v>
          </cell>
          <cell r="F43" t="str">
            <v xml:space="preserve">FMT </v>
          </cell>
          <cell r="I43">
            <v>11000</v>
          </cell>
          <cell r="P43">
            <v>4210</v>
          </cell>
          <cell r="Q43">
            <v>7161</v>
          </cell>
          <cell r="X43" t="str">
            <v>asdb_v443her_20160908_804.fit</v>
          </cell>
        </row>
        <row r="44">
          <cell r="B44">
            <v>32</v>
          </cell>
          <cell r="C44">
            <v>42833</v>
          </cell>
          <cell r="D44">
            <v>7.0995370370370361E-2</v>
          </cell>
          <cell r="E44">
            <v>2457851.5832000002</v>
          </cell>
          <cell r="F44" t="str">
            <v>JMO</v>
          </cell>
          <cell r="I44">
            <v>698</v>
          </cell>
          <cell r="P44">
            <v>3806</v>
          </cell>
          <cell r="Q44">
            <v>7396</v>
          </cell>
          <cell r="X44" t="str">
            <v>asdb_v443her_20170408_071.fit</v>
          </cell>
        </row>
        <row r="45">
          <cell r="B45">
            <v>33</v>
          </cell>
          <cell r="C45">
            <v>42883</v>
          </cell>
          <cell r="D45">
            <v>3.5196759259259254E-2</v>
          </cell>
          <cell r="E45">
            <v>2457901.5561000002</v>
          </cell>
          <cell r="F45" t="str">
            <v>FCA</v>
          </cell>
          <cell r="I45">
            <v>850</v>
          </cell>
          <cell r="P45">
            <v>3747</v>
          </cell>
          <cell r="Q45">
            <v>7293</v>
          </cell>
          <cell r="X45" t="str">
            <v>asdb_v443her_20170528_035.fit</v>
          </cell>
        </row>
        <row r="46">
          <cell r="B46">
            <v>34</v>
          </cell>
          <cell r="C46">
            <v>42905</v>
          </cell>
          <cell r="D46">
            <v>0.95549768518518519</v>
          </cell>
          <cell r="E46">
            <v>2457924.4728999999</v>
          </cell>
          <cell r="F46" t="str">
            <v>FRA</v>
          </cell>
          <cell r="I46">
            <v>530</v>
          </cell>
          <cell r="P46">
            <v>3841</v>
          </cell>
          <cell r="Q46">
            <v>7231</v>
          </cell>
          <cell r="X46" t="str">
            <v>asdb_v443her_20170619_955.fit</v>
          </cell>
        </row>
        <row r="47">
          <cell r="B47">
            <v>35</v>
          </cell>
          <cell r="C47">
            <v>42950</v>
          </cell>
          <cell r="D47">
            <v>0.8715856481481481</v>
          </cell>
          <cell r="E47">
            <v>2457969.3872000002</v>
          </cell>
          <cell r="F47" t="str">
            <v>FCA</v>
          </cell>
          <cell r="I47">
            <v>771</v>
          </cell>
          <cell r="P47">
            <v>3823</v>
          </cell>
          <cell r="Q47">
            <v>7357</v>
          </cell>
          <cell r="X47" t="str">
            <v>asdb_v443her_20170803_872.fit</v>
          </cell>
        </row>
        <row r="48">
          <cell r="B48">
            <v>36</v>
          </cell>
          <cell r="C48">
            <v>42964</v>
          </cell>
          <cell r="D48">
            <v>0.12890046296296295</v>
          </cell>
          <cell r="E48">
            <v>2457982.6532999999</v>
          </cell>
          <cell r="F48" t="str">
            <v>GKA</v>
          </cell>
          <cell r="I48">
            <v>514</v>
          </cell>
          <cell r="P48">
            <v>3666</v>
          </cell>
          <cell r="Q48">
            <v>7404</v>
          </cell>
          <cell r="X48" t="str">
            <v>asdb_v443her_20170817_129.fit</v>
          </cell>
        </row>
        <row r="49">
          <cell r="B49">
            <v>37</v>
          </cell>
          <cell r="C49">
            <v>42971</v>
          </cell>
          <cell r="D49">
            <v>0.79133101851851861</v>
          </cell>
          <cell r="E49">
            <v>2457990.3122</v>
          </cell>
          <cell r="F49" t="str">
            <v>FRA</v>
          </cell>
          <cell r="I49">
            <v>530</v>
          </cell>
          <cell r="P49">
            <v>3841</v>
          </cell>
          <cell r="Q49">
            <v>7231</v>
          </cell>
          <cell r="X49" t="str">
            <v>asdb_v443her_20170824_791.fit</v>
          </cell>
        </row>
        <row r="50">
          <cell r="B50">
            <v>38</v>
          </cell>
          <cell r="C50">
            <v>42998</v>
          </cell>
          <cell r="D50">
            <v>5.6192129629629634E-2</v>
          </cell>
          <cell r="E50">
            <v>2458016.5597000001</v>
          </cell>
          <cell r="F50" t="str">
            <v>GKA</v>
          </cell>
          <cell r="I50">
            <v>534</v>
          </cell>
          <cell r="P50">
            <v>3880</v>
          </cell>
          <cell r="Q50">
            <v>7380</v>
          </cell>
          <cell r="X50" t="str">
            <v>asdb_v443her_20170920_056.fit</v>
          </cell>
        </row>
        <row r="51">
          <cell r="B51">
            <v>39</v>
          </cell>
          <cell r="C51">
            <v>43002</v>
          </cell>
          <cell r="D51">
            <v>0.26299768518518518</v>
          </cell>
          <cell r="E51">
            <v>2458020.7716999999</v>
          </cell>
          <cell r="F51" t="str">
            <v>JRF</v>
          </cell>
          <cell r="I51">
            <v>564</v>
          </cell>
          <cell r="P51">
            <v>3900</v>
          </cell>
          <cell r="Q51">
            <v>7400</v>
          </cell>
          <cell r="X51" t="str">
            <v>asdb_v443her_20170924_263.fit</v>
          </cell>
        </row>
        <row r="52">
          <cell r="B52">
            <v>40</v>
          </cell>
          <cell r="C52">
            <v>43019</v>
          </cell>
          <cell r="D52">
            <v>0.79912037037037031</v>
          </cell>
          <cell r="E52">
            <v>2458038.3182000001</v>
          </cell>
          <cell r="F52" t="str">
            <v>FRA</v>
          </cell>
          <cell r="I52">
            <v>532</v>
          </cell>
          <cell r="P52">
            <v>3841</v>
          </cell>
          <cell r="Q52">
            <v>7231</v>
          </cell>
          <cell r="X52" t="str">
            <v>asdb_v443her_20171011_799.fit</v>
          </cell>
        </row>
        <row r="53">
          <cell r="B53">
            <v>41</v>
          </cell>
          <cell r="C53">
            <v>43231</v>
          </cell>
          <cell r="D53">
            <v>6.2997685185185184E-2</v>
          </cell>
          <cell r="E53">
            <v>2458249.5721</v>
          </cell>
          <cell r="F53" t="str">
            <v>JMO</v>
          </cell>
          <cell r="I53">
            <v>669</v>
          </cell>
          <cell r="P53">
            <v>3799</v>
          </cell>
          <cell r="Q53">
            <v>7570</v>
          </cell>
          <cell r="X53" t="str">
            <v>asdb_v443her_20180511_063.fit</v>
          </cell>
        </row>
        <row r="54">
          <cell r="B54">
            <v>42</v>
          </cell>
          <cell r="C54">
            <v>43240</v>
          </cell>
          <cell r="D54">
            <v>0.91500000000000004</v>
          </cell>
          <cell r="E54">
            <v>2458259.4476000001</v>
          </cell>
          <cell r="F54" t="str">
            <v>DBO</v>
          </cell>
          <cell r="I54">
            <v>929</v>
          </cell>
          <cell r="P54">
            <v>3901</v>
          </cell>
          <cell r="Q54">
            <v>7380</v>
          </cell>
          <cell r="X54" t="str">
            <v>asdb_v443her_20180520_915.fit</v>
          </cell>
        </row>
        <row r="55">
          <cell r="B55">
            <v>43</v>
          </cell>
          <cell r="C55">
            <v>43243</v>
          </cell>
          <cell r="D55">
            <v>0.23282407407407404</v>
          </cell>
          <cell r="E55">
            <v>2458261.7749999999</v>
          </cell>
          <cell r="F55" t="str">
            <v>LES</v>
          </cell>
          <cell r="I55">
            <v>13000</v>
          </cell>
          <cell r="P55">
            <v>4280</v>
          </cell>
          <cell r="Q55">
            <v>7947</v>
          </cell>
          <cell r="X55" t="str">
            <v>asdb_v443her_20180523_233.fit</v>
          </cell>
        </row>
        <row r="56">
          <cell r="B56">
            <v>44</v>
          </cell>
          <cell r="C56">
            <v>43260</v>
          </cell>
          <cell r="D56">
            <v>0.44341435185185185</v>
          </cell>
          <cell r="E56">
            <v>2458278.9646999999</v>
          </cell>
          <cell r="F56" t="str">
            <v>JRF</v>
          </cell>
          <cell r="I56">
            <v>897</v>
          </cell>
          <cell r="P56">
            <v>3825</v>
          </cell>
          <cell r="Q56">
            <v>7395</v>
          </cell>
          <cell r="X56" t="str">
            <v>asdb_v443her_20180609_443.fit</v>
          </cell>
        </row>
        <row r="57">
          <cell r="B57">
            <v>45</v>
          </cell>
          <cell r="C57">
            <v>43265</v>
          </cell>
          <cell r="D57">
            <v>0.40106481481481482</v>
          </cell>
          <cell r="E57">
            <v>2458283.9095000001</v>
          </cell>
          <cell r="F57" t="str">
            <v>JRF</v>
          </cell>
          <cell r="I57">
            <v>899</v>
          </cell>
          <cell r="P57">
            <v>3825</v>
          </cell>
          <cell r="Q57">
            <v>7390</v>
          </cell>
          <cell r="X57" t="str">
            <v>asdb_v443her_20180614_401.fit</v>
          </cell>
        </row>
        <row r="58">
          <cell r="B58">
            <v>46</v>
          </cell>
          <cell r="C58">
            <v>43270</v>
          </cell>
          <cell r="D58">
            <v>0.92003472222222227</v>
          </cell>
          <cell r="E58">
            <v>2458289.4408</v>
          </cell>
          <cell r="F58" t="str">
            <v>CBO</v>
          </cell>
          <cell r="I58">
            <v>509</v>
          </cell>
          <cell r="P58">
            <v>3700</v>
          </cell>
          <cell r="Q58">
            <v>7570</v>
          </cell>
          <cell r="X58" t="str">
            <v>asdb_v443her_20180619_920.fit</v>
          </cell>
        </row>
        <row r="59">
          <cell r="B59">
            <v>47</v>
          </cell>
          <cell r="C59">
            <v>43296</v>
          </cell>
          <cell r="D59">
            <v>0.33291666666666669</v>
          </cell>
          <cell r="E59">
            <v>2458314.8454</v>
          </cell>
          <cell r="F59" t="str">
            <v>JRF</v>
          </cell>
          <cell r="I59">
            <v>806</v>
          </cell>
          <cell r="P59">
            <v>3890</v>
          </cell>
          <cell r="Q59">
            <v>7395</v>
          </cell>
          <cell r="X59" t="str">
            <v>asdb_v443her_20180715_333.fit</v>
          </cell>
        </row>
        <row r="60">
          <cell r="B60">
            <v>48</v>
          </cell>
          <cell r="C60">
            <v>43322</v>
          </cell>
          <cell r="D60">
            <v>0.12046296296296295</v>
          </cell>
          <cell r="E60">
            <v>2458340.6343999999</v>
          </cell>
          <cell r="F60" t="str">
            <v>GKA</v>
          </cell>
          <cell r="I60">
            <v>546</v>
          </cell>
          <cell r="P60">
            <v>3731</v>
          </cell>
          <cell r="Q60">
            <v>7371</v>
          </cell>
          <cell r="X60" t="str">
            <v>asdb_v443her_20180810_120.fit</v>
          </cell>
        </row>
        <row r="61">
          <cell r="B61">
            <v>49</v>
          </cell>
          <cell r="C61">
            <v>43340</v>
          </cell>
          <cell r="D61">
            <v>0.18515046296296298</v>
          </cell>
          <cell r="E61">
            <v>2458358.7220000001</v>
          </cell>
          <cell r="F61" t="str">
            <v>JRF</v>
          </cell>
          <cell r="I61">
            <v>8973</v>
          </cell>
          <cell r="P61">
            <v>6420</v>
          </cell>
          <cell r="Q61">
            <v>6694</v>
          </cell>
          <cell r="X61" t="str">
            <v>asdb_v443her_20180828_185.fit</v>
          </cell>
        </row>
        <row r="62">
          <cell r="B62">
            <v>50</v>
          </cell>
          <cell r="C62">
            <v>43342</v>
          </cell>
          <cell r="D62">
            <v>0.1812384259259259</v>
          </cell>
          <cell r="E62">
            <v>2458360.7392000002</v>
          </cell>
          <cell r="F62" t="str">
            <v>JRF</v>
          </cell>
          <cell r="I62">
            <v>3224</v>
          </cell>
          <cell r="P62">
            <v>3772</v>
          </cell>
          <cell r="Q62">
            <v>4084</v>
          </cell>
          <cell r="X62" t="str">
            <v>asdb_v443her_20180830_181.fit</v>
          </cell>
        </row>
        <row r="63">
          <cell r="B63">
            <v>51</v>
          </cell>
          <cell r="C63">
            <v>43343</v>
          </cell>
          <cell r="D63">
            <v>0.18000000000000002</v>
          </cell>
          <cell r="E63">
            <v>2458361.7152</v>
          </cell>
          <cell r="F63" t="str">
            <v>JRF</v>
          </cell>
          <cell r="I63">
            <v>5975</v>
          </cell>
          <cell r="P63">
            <v>4715</v>
          </cell>
          <cell r="Q63">
            <v>5019</v>
          </cell>
          <cell r="X63" t="str">
            <v>asdb_v443her_20180831_180.fit</v>
          </cell>
        </row>
        <row r="64">
          <cell r="B64">
            <v>52</v>
          </cell>
          <cell r="C64">
            <v>43369</v>
          </cell>
          <cell r="D64">
            <v>0.80740740740740735</v>
          </cell>
          <cell r="E64">
            <v>2458388.3248000001</v>
          </cell>
          <cell r="F64" t="str">
            <v>FCA</v>
          </cell>
          <cell r="I64">
            <v>740</v>
          </cell>
          <cell r="P64">
            <v>3860</v>
          </cell>
          <cell r="Q64">
            <v>7415</v>
          </cell>
          <cell r="X64" t="str">
            <v>asdb_v443her_20180926_807.fit</v>
          </cell>
        </row>
        <row r="65">
          <cell r="B65">
            <v>53</v>
          </cell>
          <cell r="C65">
            <v>43415</v>
          </cell>
          <cell r="D65">
            <v>0.11973379629629628</v>
          </cell>
          <cell r="E65">
            <v>2458433.6354999999</v>
          </cell>
          <cell r="F65" t="str">
            <v>JRF</v>
          </cell>
          <cell r="I65">
            <v>554</v>
          </cell>
          <cell r="P65">
            <v>3750</v>
          </cell>
          <cell r="Q65">
            <v>7400</v>
          </cell>
          <cell r="X65" t="str">
            <v>asdb_v443her_20181111_120.fit</v>
          </cell>
        </row>
        <row r="66">
          <cell r="B66">
            <v>54</v>
          </cell>
          <cell r="C66">
            <v>43415</v>
          </cell>
          <cell r="D66">
            <v>0.11973379629629628</v>
          </cell>
          <cell r="E66">
            <v>2458433.6354999999</v>
          </cell>
          <cell r="F66" t="str">
            <v>JRF</v>
          </cell>
          <cell r="I66">
            <v>554</v>
          </cell>
          <cell r="P66">
            <v>3750</v>
          </cell>
          <cell r="Q66">
            <v>7400</v>
          </cell>
          <cell r="X66" t="str">
            <v>asdb_v443her_20181111_120.fit</v>
          </cell>
        </row>
        <row r="67">
          <cell r="B67">
            <v>55</v>
          </cell>
          <cell r="C67">
            <v>43416</v>
          </cell>
          <cell r="D67">
            <v>0.11052083333333333</v>
          </cell>
          <cell r="E67">
            <v>2458434.6247999999</v>
          </cell>
          <cell r="F67" t="str">
            <v>JRF</v>
          </cell>
          <cell r="I67">
            <v>745</v>
          </cell>
          <cell r="P67">
            <v>6207</v>
          </cell>
          <cell r="Q67">
            <v>9629</v>
          </cell>
          <cell r="X67" t="str">
            <v>asdb_v443her_20181112_111.fit</v>
          </cell>
        </row>
        <row r="68">
          <cell r="B68">
            <v>56</v>
          </cell>
          <cell r="C68">
            <v>43445</v>
          </cell>
          <cell r="D68">
            <v>0.11052083333333333</v>
          </cell>
          <cell r="E68">
            <v>2458434.6247999999</v>
          </cell>
          <cell r="F68" t="str">
            <v>JRF</v>
          </cell>
          <cell r="I68">
            <v>745</v>
          </cell>
          <cell r="P68">
            <v>6207</v>
          </cell>
          <cell r="Q68">
            <v>9629</v>
          </cell>
          <cell r="X68" t="str">
            <v>asdb_v443her_20181211_111.fit</v>
          </cell>
        </row>
        <row r="69">
          <cell r="B69">
            <v>57</v>
          </cell>
          <cell r="C69">
            <v>43603</v>
          </cell>
          <cell r="D69">
            <v>0.30988425925925928</v>
          </cell>
          <cell r="E69">
            <v>2458621.8256000001</v>
          </cell>
          <cell r="F69" t="str">
            <v>FAS</v>
          </cell>
          <cell r="I69">
            <v>1048</v>
          </cell>
          <cell r="P69">
            <v>3726</v>
          </cell>
          <cell r="Q69">
            <v>7275</v>
          </cell>
          <cell r="X69" t="str">
            <v>asdb_v443her_20190518_310.fit</v>
          </cell>
        </row>
        <row r="70">
          <cell r="B70">
            <v>58</v>
          </cell>
          <cell r="C70">
            <v>43617</v>
          </cell>
          <cell r="D70">
            <v>0.97174768518518517</v>
          </cell>
          <cell r="E70">
            <v>2458636.4961000001</v>
          </cell>
          <cell r="F70" t="str">
            <v xml:space="preserve">FMT </v>
          </cell>
          <cell r="I70">
            <v>11000</v>
          </cell>
          <cell r="P70">
            <v>4035</v>
          </cell>
          <cell r="Q70">
            <v>7352</v>
          </cell>
          <cell r="X70" t="str">
            <v>asdb_v443her_20190601_972.fit</v>
          </cell>
        </row>
        <row r="71">
          <cell r="B71">
            <v>59</v>
          </cell>
          <cell r="C71">
            <v>43648</v>
          </cell>
          <cell r="D71">
            <v>0.88650462962962961</v>
          </cell>
          <cell r="E71">
            <v>2458667.4213</v>
          </cell>
          <cell r="F71" t="str">
            <v>JGF</v>
          </cell>
          <cell r="I71">
            <v>9000</v>
          </cell>
          <cell r="P71">
            <v>3997</v>
          </cell>
          <cell r="Q71">
            <v>8013</v>
          </cell>
          <cell r="X71" t="str">
            <v>asdb_v443her_20190702_887.fit</v>
          </cell>
        </row>
        <row r="72">
          <cell r="B72">
            <v>60</v>
          </cell>
          <cell r="C72">
            <v>43667</v>
          </cell>
          <cell r="D72">
            <v>0.83197916666666671</v>
          </cell>
          <cell r="E72">
            <v>2458686.3465999998</v>
          </cell>
          <cell r="F72" t="str">
            <v>FRA</v>
          </cell>
          <cell r="I72">
            <v>528</v>
          </cell>
          <cell r="P72">
            <v>3827</v>
          </cell>
          <cell r="Q72">
            <v>7240</v>
          </cell>
          <cell r="X72" t="str">
            <v>asdb_v443her_20190721_832.fit</v>
          </cell>
        </row>
        <row r="73">
          <cell r="B73">
            <v>61</v>
          </cell>
          <cell r="C73">
            <v>43702</v>
          </cell>
          <cell r="D73">
            <v>4.4027777777777777E-2</v>
          </cell>
          <cell r="E73">
            <v>2458720.608</v>
          </cell>
          <cell r="F73" t="str">
            <v>LES</v>
          </cell>
          <cell r="I73">
            <v>12000</v>
          </cell>
          <cell r="P73">
            <v>4030</v>
          </cell>
          <cell r="Q73">
            <v>7955</v>
          </cell>
          <cell r="X73" t="str">
            <v>asdb_v443her_20190825_044.fit</v>
          </cell>
        </row>
        <row r="74">
          <cell r="B74">
            <v>62</v>
          </cell>
          <cell r="C74">
            <v>43704</v>
          </cell>
          <cell r="D74">
            <v>0.28696759259259258</v>
          </cell>
          <cell r="E74">
            <v>2458722.8067000001</v>
          </cell>
          <cell r="F74" t="str">
            <v>JRF</v>
          </cell>
          <cell r="I74">
            <v>408</v>
          </cell>
          <cell r="P74">
            <v>3671</v>
          </cell>
          <cell r="Q74">
            <v>7400</v>
          </cell>
          <cell r="X74" t="str">
            <v>asdb_v443her_20190827_287.fit</v>
          </cell>
        </row>
        <row r="75">
          <cell r="B75">
            <v>63</v>
          </cell>
          <cell r="C75">
            <v>43705</v>
          </cell>
          <cell r="D75">
            <v>0.85988425925925915</v>
          </cell>
          <cell r="E75">
            <v>2458724.3703999999</v>
          </cell>
          <cell r="F75" t="str">
            <v>FCA</v>
          </cell>
          <cell r="I75">
            <v>920</v>
          </cell>
          <cell r="P75">
            <v>3805</v>
          </cell>
          <cell r="Q75">
            <v>7342</v>
          </cell>
          <cell r="X75" t="str">
            <v>asdb_v443her_20190828_860.fit</v>
          </cell>
        </row>
        <row r="76">
          <cell r="B76">
            <v>64</v>
          </cell>
          <cell r="C76">
            <v>43707</v>
          </cell>
          <cell r="D76">
            <v>0.17980324074074075</v>
          </cell>
          <cell r="E76">
            <v>2458725.6946</v>
          </cell>
          <cell r="F76" t="str">
            <v>JRF</v>
          </cell>
          <cell r="I76">
            <v>996</v>
          </cell>
          <cell r="P76">
            <v>6255</v>
          </cell>
          <cell r="Q76">
            <v>9550</v>
          </cell>
          <cell r="X76" t="str">
            <v>asdb_v443her_20190830_180.fit</v>
          </cell>
        </row>
        <row r="77">
          <cell r="B77">
            <v>65</v>
          </cell>
          <cell r="C77">
            <v>43756</v>
          </cell>
          <cell r="D77">
            <v>0.1125</v>
          </cell>
          <cell r="E77">
            <v>2458774.6282000002</v>
          </cell>
          <cell r="F77" t="str">
            <v>FAS</v>
          </cell>
          <cell r="I77">
            <v>954</v>
          </cell>
          <cell r="P77">
            <v>3715</v>
          </cell>
          <cell r="Q77">
            <v>7301</v>
          </cell>
          <cell r="X77" t="str">
            <v>asdb_v443her_20191018_113.fit</v>
          </cell>
        </row>
        <row r="78">
          <cell r="B78">
            <v>66</v>
          </cell>
          <cell r="C78">
            <v>43936</v>
          </cell>
          <cell r="D78">
            <v>7.6134259259259263E-2</v>
          </cell>
          <cell r="E78">
            <v>2458954.6006999998</v>
          </cell>
          <cell r="F78" t="str">
            <v>IBR</v>
          </cell>
          <cell r="I78">
            <v>701</v>
          </cell>
          <cell r="P78">
            <v>3377</v>
          </cell>
          <cell r="Q78">
            <v>5961</v>
          </cell>
          <cell r="X78" t="str">
            <v>asdb_v443her_20200415_076.fit</v>
          </cell>
        </row>
        <row r="79">
          <cell r="B79">
            <v>67</v>
          </cell>
          <cell r="C79">
            <v>43937</v>
          </cell>
          <cell r="D79">
            <v>6.5995370370370371E-2</v>
          </cell>
          <cell r="E79">
            <v>2458955.5888</v>
          </cell>
          <cell r="F79" t="str">
            <v>CBO</v>
          </cell>
          <cell r="I79">
            <v>506</v>
          </cell>
          <cell r="P79">
            <v>3700</v>
          </cell>
          <cell r="Q79">
            <v>7565</v>
          </cell>
          <cell r="X79" t="str">
            <v>asdb_v443her_20200416_066.fit</v>
          </cell>
        </row>
        <row r="80">
          <cell r="B80">
            <v>68</v>
          </cell>
          <cell r="C80">
            <v>43937</v>
          </cell>
          <cell r="D80">
            <v>0.43533564814814812</v>
          </cell>
          <cell r="E80">
            <v>2458955.9624000001</v>
          </cell>
          <cell r="F80" t="str">
            <v>FAS</v>
          </cell>
          <cell r="I80">
            <v>1038</v>
          </cell>
          <cell r="P80">
            <v>3713</v>
          </cell>
          <cell r="Q80">
            <v>7302</v>
          </cell>
          <cell r="X80" t="str">
            <v>asdb_v443her_20200416_435.fit</v>
          </cell>
        </row>
        <row r="81">
          <cell r="B81">
            <v>69</v>
          </cell>
          <cell r="C81">
            <v>43941</v>
          </cell>
          <cell r="D81">
            <v>0.88495370370370363</v>
          </cell>
          <cell r="E81">
            <v>2458960.4131</v>
          </cell>
          <cell r="F81" t="str">
            <v>PDTM</v>
          </cell>
          <cell r="I81">
            <v>767</v>
          </cell>
          <cell r="P81">
            <v>3850</v>
          </cell>
          <cell r="Q81">
            <v>7590</v>
          </cell>
          <cell r="X81" t="str">
            <v>asdb_v443her_20200420_885.fit</v>
          </cell>
        </row>
        <row r="82">
          <cell r="B82">
            <v>70</v>
          </cell>
          <cell r="C82">
            <v>43946</v>
          </cell>
          <cell r="D82">
            <v>0.12752314814814816</v>
          </cell>
          <cell r="E82">
            <v>2458964.6387</v>
          </cell>
          <cell r="F82" t="str">
            <v>PCA</v>
          </cell>
          <cell r="I82">
            <v>607</v>
          </cell>
          <cell r="P82">
            <v>3801</v>
          </cell>
          <cell r="Q82">
            <v>7299</v>
          </cell>
          <cell r="X82" t="str">
            <v>asdb_v443her_20200425_128.fit</v>
          </cell>
        </row>
        <row r="83">
          <cell r="B83">
            <v>71</v>
          </cell>
          <cell r="C83">
            <v>43947</v>
          </cell>
          <cell r="D83">
            <v>9.6435185185185179E-2</v>
          </cell>
          <cell r="E83">
            <v>2458965.6069</v>
          </cell>
          <cell r="F83" t="str">
            <v>IBR</v>
          </cell>
          <cell r="I83">
            <v>610</v>
          </cell>
          <cell r="P83">
            <v>3603</v>
          </cell>
          <cell r="Q83">
            <v>6104</v>
          </cell>
          <cell r="X83" t="str">
            <v>asdb_v443her_20200426_096.fit</v>
          </cell>
        </row>
        <row r="84">
          <cell r="B84">
            <v>72</v>
          </cell>
          <cell r="C84" t="str">
            <v>06/05/2020</v>
          </cell>
          <cell r="D84">
            <v>0.3125</v>
          </cell>
          <cell r="E84">
            <v>2458975.835</v>
          </cell>
          <cell r="F84" t="str">
            <v>FAS</v>
          </cell>
          <cell r="I84">
            <v>1057</v>
          </cell>
          <cell r="P84">
            <v>3712</v>
          </cell>
          <cell r="Q84">
            <v>7300</v>
          </cell>
          <cell r="X84" t="str">
            <v>asdb_v443her_20200506_312.fit</v>
          </cell>
        </row>
        <row r="85">
          <cell r="B85">
            <v>73</v>
          </cell>
          <cell r="C85">
            <v>43965</v>
          </cell>
          <cell r="D85">
            <v>0.19672453703703704</v>
          </cell>
          <cell r="E85">
            <v>2458983.7609999999</v>
          </cell>
          <cell r="F85" t="str">
            <v>LES</v>
          </cell>
          <cell r="I85">
            <v>14000</v>
          </cell>
          <cell r="P85">
            <v>4030</v>
          </cell>
          <cell r="Q85">
            <v>7955</v>
          </cell>
          <cell r="X85" t="str">
            <v>asdb_v443her_20200514_197.fit</v>
          </cell>
        </row>
        <row r="86">
          <cell r="B86">
            <v>74</v>
          </cell>
          <cell r="C86" t="str">
            <v>18/05/2020</v>
          </cell>
          <cell r="D86">
            <v>1.4583333333333332E-2</v>
          </cell>
          <cell r="E86">
            <v>2458987.514</v>
          </cell>
          <cell r="F86" t="str">
            <v>CBO</v>
          </cell>
          <cell r="I86">
            <v>504</v>
          </cell>
          <cell r="P86">
            <v>3700</v>
          </cell>
          <cell r="Q86">
            <v>7565</v>
          </cell>
          <cell r="X86" t="str">
            <v>asdb_v443her_20200518_014.fit</v>
          </cell>
        </row>
        <row r="87">
          <cell r="B87">
            <v>75</v>
          </cell>
          <cell r="C87">
            <v>43971</v>
          </cell>
          <cell r="D87">
            <v>0.90905092592592596</v>
          </cell>
          <cell r="E87">
            <v>2458990.4308000002</v>
          </cell>
          <cell r="F87" t="str">
            <v>DBO</v>
          </cell>
          <cell r="I87">
            <v>1055</v>
          </cell>
          <cell r="P87">
            <v>3900</v>
          </cell>
          <cell r="Q87">
            <v>7380</v>
          </cell>
          <cell r="X87" t="str">
            <v>asdb_v443her_20200520_909.fit</v>
          </cell>
        </row>
        <row r="88">
          <cell r="B88">
            <v>76</v>
          </cell>
          <cell r="C88">
            <v>43977</v>
          </cell>
          <cell r="D88">
            <v>7.1180555555555554E-3</v>
          </cell>
          <cell r="E88">
            <v>2458995.5244999998</v>
          </cell>
          <cell r="F88" t="str">
            <v>IBR</v>
          </cell>
          <cell r="I88">
            <v>551</v>
          </cell>
          <cell r="P88">
            <v>3488</v>
          </cell>
          <cell r="Q88">
            <v>6027</v>
          </cell>
          <cell r="X88" t="str">
            <v>asdb_v443her_20200526_007.fit</v>
          </cell>
        </row>
        <row r="89">
          <cell r="B89">
            <v>77</v>
          </cell>
          <cell r="C89">
            <v>43983</v>
          </cell>
          <cell r="D89">
            <v>0.86958333333333337</v>
          </cell>
          <cell r="E89">
            <v>2459002.3872000002</v>
          </cell>
          <cell r="F89" t="str">
            <v>PDTM</v>
          </cell>
          <cell r="I89">
            <v>820</v>
          </cell>
          <cell r="P89">
            <v>3900</v>
          </cell>
          <cell r="Q89">
            <v>7590</v>
          </cell>
          <cell r="X89" t="str">
            <v>asdb_v443her_20200601_870.fit</v>
          </cell>
        </row>
        <row r="90">
          <cell r="B90">
            <v>78</v>
          </cell>
          <cell r="C90" t="str">
            <v>19/07/2020</v>
          </cell>
          <cell r="D90">
            <v>0.97361111111111109</v>
          </cell>
          <cell r="E90">
            <v>2459050.4730000002</v>
          </cell>
          <cell r="F90" t="str">
            <v>DBO</v>
          </cell>
          <cell r="I90">
            <v>1138</v>
          </cell>
          <cell r="P90">
            <v>3900</v>
          </cell>
          <cell r="Q90">
            <v>7380</v>
          </cell>
          <cell r="X90" t="str">
            <v>asdb_v443her_20200719_973.fit</v>
          </cell>
        </row>
        <row r="91">
          <cell r="B91">
            <v>79</v>
          </cell>
          <cell r="C91" t="str">
            <v>24/07/2020</v>
          </cell>
          <cell r="D91">
            <v>7.6388888888888895E-2</v>
          </cell>
          <cell r="E91">
            <v>2459054.6338999998</v>
          </cell>
          <cell r="F91" t="str">
            <v>LES</v>
          </cell>
          <cell r="I91">
            <v>14000</v>
          </cell>
          <cell r="P91">
            <v>4030</v>
          </cell>
          <cell r="Q91">
            <v>7955</v>
          </cell>
          <cell r="X91" t="str">
            <v>asdb_v443her_20200724_077.fit</v>
          </cell>
        </row>
        <row r="92">
          <cell r="B92">
            <v>80</v>
          </cell>
          <cell r="C92" t="str">
            <v>13/07/2020</v>
          </cell>
          <cell r="D92">
            <v>0.95416666666666661</v>
          </cell>
          <cell r="E92">
            <v>2459044.4651000001</v>
          </cell>
          <cell r="F92" t="str">
            <v>PDTM</v>
          </cell>
          <cell r="I92">
            <v>871</v>
          </cell>
          <cell r="P92">
            <v>4000</v>
          </cell>
          <cell r="Q92">
            <v>7400</v>
          </cell>
          <cell r="X92" t="str">
            <v>asdb_v443her_20200713_954.fit</v>
          </cell>
        </row>
        <row r="93">
          <cell r="B93">
            <v>81</v>
          </cell>
          <cell r="C93" t="str">
            <v>27/07/2020</v>
          </cell>
          <cell r="D93">
            <v>0.86458333333333337</v>
          </cell>
          <cell r="E93">
            <v>2459058.3920999998</v>
          </cell>
          <cell r="F93" t="str">
            <v>JMI</v>
          </cell>
          <cell r="I93">
            <v>1000</v>
          </cell>
          <cell r="P93">
            <v>3850</v>
          </cell>
          <cell r="Q93">
            <v>7500</v>
          </cell>
          <cell r="X93" t="str">
            <v>asdb_v443her_20200727_865.fit</v>
          </cell>
        </row>
        <row r="94">
          <cell r="B94">
            <v>82</v>
          </cell>
          <cell r="C94" t="str">
            <v>28/07/2020</v>
          </cell>
          <cell r="D94">
            <v>0.24722222222222223</v>
          </cell>
          <cell r="E94">
            <v>2459058.7601999999</v>
          </cell>
          <cell r="F94" t="str">
            <v>FAS</v>
          </cell>
          <cell r="I94">
            <v>1027</v>
          </cell>
          <cell r="P94">
            <v>3720</v>
          </cell>
          <cell r="Q94">
            <v>7306</v>
          </cell>
          <cell r="X94" t="str">
            <v>asdb_v443her_20200728_247.fit</v>
          </cell>
        </row>
        <row r="95">
          <cell r="B95">
            <v>83</v>
          </cell>
          <cell r="C95" t="str">
            <v>22/08/2020</v>
          </cell>
          <cell r="D95">
            <v>0.88055555555555554</v>
          </cell>
          <cell r="E95">
            <v>2459084.3898999998</v>
          </cell>
          <cell r="F95" t="str">
            <v>FCA</v>
          </cell>
          <cell r="I95">
            <v>1083</v>
          </cell>
          <cell r="P95">
            <v>3836</v>
          </cell>
          <cell r="Q95">
            <v>7370</v>
          </cell>
          <cell r="X95" t="str">
            <v>asdb_v443her_20200822_881.fit</v>
          </cell>
        </row>
        <row r="96">
          <cell r="B96">
            <v>84</v>
          </cell>
          <cell r="C96" t="str">
            <v>19/09/2020</v>
          </cell>
          <cell r="D96">
            <v>0.91736111111111107</v>
          </cell>
          <cell r="E96">
            <v>2459112.4372999999</v>
          </cell>
          <cell r="F96" t="str">
            <v>DBO</v>
          </cell>
          <cell r="I96">
            <v>1133</v>
          </cell>
          <cell r="P96">
            <v>3900</v>
          </cell>
          <cell r="Q96">
            <v>7380</v>
          </cell>
          <cell r="X96" t="str">
            <v>asdb_v443her_20200919_917.fit</v>
          </cell>
        </row>
      </sheetData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13">
          <cell r="B13">
            <v>1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Tri"/>
      <sheetName val="V"/>
      <sheetName val="B"/>
      <sheetName val="M"/>
      <sheetName val="Feuil1"/>
      <sheetName val="Ech"/>
    </sheetNames>
    <sheetDataSet>
      <sheetData sheetId="0"/>
      <sheetData sheetId="1"/>
      <sheetData sheetId="2"/>
      <sheetData sheetId="3"/>
      <sheetData sheetId="4"/>
      <sheetData sheetId="5">
        <row r="1">
          <cell r="A1">
            <v>1</v>
          </cell>
        </row>
        <row r="3">
          <cell r="A3">
            <v>1</v>
          </cell>
          <cell r="B3" t="str">
            <v>b</v>
          </cell>
        </row>
        <row r="4">
          <cell r="A4">
            <v>2</v>
          </cell>
          <cell r="B4" t="str">
            <v>r</v>
          </cell>
        </row>
        <row r="5">
          <cell r="A5">
            <v>3</v>
          </cell>
          <cell r="B5" t="str">
            <v>k</v>
          </cell>
        </row>
        <row r="6">
          <cell r="A6">
            <v>4</v>
          </cell>
          <cell r="B6" t="str">
            <v>g</v>
          </cell>
        </row>
      </sheetData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is"/>
      <sheetName val="V"/>
      <sheetName val="B-V"/>
      <sheetName val="B"/>
      <sheetName val="M"/>
      <sheetName val="CICyg_AAVSO_V"/>
      <sheetName val="Feuil1"/>
    </sheetNames>
    <definedNames>
      <definedName name="m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3:O107"/>
  <sheetViews>
    <sheetView showGridLines="0" topLeftCell="A79" workbookViewId="0">
      <selection activeCell="F110" sqref="F110"/>
    </sheetView>
  </sheetViews>
  <sheetFormatPr baseColWidth="10" defaultRowHeight="15" x14ac:dyDescent="0.25"/>
  <cols>
    <col min="3" max="3" width="11.85546875" bestFit="1" customWidth="1"/>
    <col min="5" max="5" width="13" bestFit="1" customWidth="1"/>
    <col min="10" max="10" width="29.140625" bestFit="1" customWidth="1"/>
  </cols>
  <sheetData>
    <row r="3" spans="13:13" x14ac:dyDescent="0.25">
      <c r="M3" t="s">
        <v>874</v>
      </c>
    </row>
    <row r="22" spans="2:15" x14ac:dyDescent="0.25">
      <c r="O22">
        <v>11</v>
      </c>
    </row>
    <row r="24" spans="2:15" ht="15.75" x14ac:dyDescent="0.25">
      <c r="B24" s="22">
        <f>+[1]V443Her!B13</f>
        <v>1</v>
      </c>
      <c r="C24" s="23">
        <f>+[1]V443Her!C13</f>
        <v>40681</v>
      </c>
      <c r="D24" s="24">
        <f>+[1]V443Her!D13</f>
        <v>0.93440972222222218</v>
      </c>
      <c r="E24" s="22">
        <f>+[1]V443Her!E13</f>
        <v>2455699.9344097222</v>
      </c>
      <c r="F24" s="22" t="str">
        <f>+[1]V443Her!F13</f>
        <v xml:space="preserve">FMT </v>
      </c>
      <c r="G24" s="25">
        <f>+[1]V443Her!I13</f>
        <v>0</v>
      </c>
      <c r="H24" s="7">
        <f>+[1]V443Her!P13</f>
        <v>3820</v>
      </c>
      <c r="I24" s="7">
        <f>+[1]V443Her!Q13</f>
        <v>7372</v>
      </c>
      <c r="J24" s="2" t="str">
        <f>+[1]V443Her!X13</f>
        <v>asdb_v443her_20110518_934.fit</v>
      </c>
      <c r="K24" s="2"/>
      <c r="M24" s="26"/>
    </row>
    <row r="25" spans="2:15" ht="15.75" x14ac:dyDescent="0.25">
      <c r="B25" s="22">
        <f>+[1]V443Her!B14</f>
        <v>2</v>
      </c>
      <c r="C25" s="23">
        <f>+[1]V443Her!C14</f>
        <v>41041</v>
      </c>
      <c r="D25" s="24">
        <f>+[1]V443Her!D14</f>
        <v>0.99229166666666668</v>
      </c>
      <c r="E25" s="22">
        <f>+[1]V443Her!E14</f>
        <v>2456059.9922916666</v>
      </c>
      <c r="F25" s="22" t="str">
        <f>+[1]V443Her!F14</f>
        <v xml:space="preserve">FMT </v>
      </c>
      <c r="G25" s="25">
        <f>+[1]V443Her!I14</f>
        <v>1000</v>
      </c>
      <c r="H25" s="7">
        <f>+[1]V443Her!P14</f>
        <v>4001</v>
      </c>
      <c r="I25" s="7">
        <f>+[1]V443Her!Q14</f>
        <v>7200</v>
      </c>
      <c r="J25" s="2" t="str">
        <f>+[1]V443Her!X14</f>
        <v>asdb_v443her_20120512_992.fit</v>
      </c>
      <c r="K25" s="2"/>
      <c r="M25" s="26"/>
    </row>
    <row r="26" spans="2:15" ht="15.75" x14ac:dyDescent="0.25">
      <c r="B26" s="22">
        <f>+[1]V443Her!B15</f>
        <v>3</v>
      </c>
      <c r="C26" s="23">
        <f>+[1]V443Her!C15</f>
        <v>41338</v>
      </c>
      <c r="D26" s="24">
        <f>+[1]V443Her!D15</f>
        <v>0.14509259259259258</v>
      </c>
      <c r="E26" s="22">
        <f>+[1]V443Her!E15</f>
        <v>2456356.6611000001</v>
      </c>
      <c r="F26" s="22" t="str">
        <f>+[1]V443Her!F15</f>
        <v xml:space="preserve">FMT </v>
      </c>
      <c r="G26" s="25">
        <f>+[1]V443Her!I15</f>
        <v>700</v>
      </c>
      <c r="H26" s="7">
        <f>+[1]V443Her!P15</f>
        <v>4000</v>
      </c>
      <c r="I26" s="7">
        <f>+[1]V443Her!Q15</f>
        <v>7495</v>
      </c>
      <c r="J26" s="2" t="str">
        <f>+[1]V443Her!X15</f>
        <v>asdb_v443her_20130305_145.fit</v>
      </c>
      <c r="K26" s="2"/>
      <c r="M26" s="26"/>
    </row>
    <row r="27" spans="2:15" ht="15.75" x14ac:dyDescent="0.25">
      <c r="B27" s="22">
        <f>+[1]V443Her!B16</f>
        <v>4</v>
      </c>
      <c r="C27" s="23">
        <f>+[1]V443Her!C16</f>
        <v>41397</v>
      </c>
      <c r="D27" s="24">
        <f>+[1]V443Her!D16</f>
        <v>0.98288194444444443</v>
      </c>
      <c r="E27" s="22">
        <f>+[1]V443Her!E16</f>
        <v>2456416.4969000001</v>
      </c>
      <c r="F27" s="22" t="str">
        <f>+[1]V443Her!F16</f>
        <v xml:space="preserve">FMT </v>
      </c>
      <c r="G27" s="25">
        <f>+[1]V443Her!I16</f>
        <v>755</v>
      </c>
      <c r="H27" s="7">
        <f>+[1]V443Her!P16</f>
        <v>4001</v>
      </c>
      <c r="I27" s="7">
        <f>+[1]V443Her!Q16</f>
        <v>7500</v>
      </c>
      <c r="J27" s="2" t="str">
        <f>+[1]V443Her!X16</f>
        <v>asdb_v443her_20130503_983.fit</v>
      </c>
      <c r="K27" s="2"/>
      <c r="M27" s="26"/>
    </row>
    <row r="28" spans="2:15" ht="15.75" x14ac:dyDescent="0.25">
      <c r="B28" s="22">
        <f>+[1]V443Her!B17</f>
        <v>5</v>
      </c>
      <c r="C28" s="23">
        <f>+[1]V443Her!C17</f>
        <v>41496</v>
      </c>
      <c r="D28" s="24">
        <f>+[1]V443Her!D17</f>
        <v>0.97891203703703711</v>
      </c>
      <c r="E28" s="22">
        <f>+[1]V443Her!E17</f>
        <v>2456515.4879000001</v>
      </c>
      <c r="F28" s="22" t="str">
        <f>+[1]V443Her!F17</f>
        <v>BUI</v>
      </c>
      <c r="G28" s="25">
        <f>+[1]V443Her!I17</f>
        <v>619</v>
      </c>
      <c r="H28" s="7">
        <f>+[1]V443Her!P17</f>
        <v>3726</v>
      </c>
      <c r="I28" s="7">
        <f>+[1]V443Her!Q17</f>
        <v>7391</v>
      </c>
      <c r="J28" s="2" t="str">
        <f>+[1]V443Her!X17</f>
        <v>asdb_v443her_20130810_979.fit</v>
      </c>
      <c r="K28" s="2"/>
      <c r="M28" s="26"/>
    </row>
    <row r="29" spans="2:15" ht="15.75" x14ac:dyDescent="0.25">
      <c r="B29" s="22">
        <f>+[1]V443Her!B18</f>
        <v>6</v>
      </c>
      <c r="C29" s="23">
        <f>+[1]V443Her!C18</f>
        <v>41739</v>
      </c>
      <c r="D29" s="24">
        <f>+[1]V443Her!D18</f>
        <v>0.25491898148148145</v>
      </c>
      <c r="E29" s="22">
        <f>+[1]V443Her!E18</f>
        <v>2456757.7689</v>
      </c>
      <c r="F29" s="22" t="str">
        <f>+[1]V443Her!F18</f>
        <v>LES</v>
      </c>
      <c r="G29" s="25">
        <f>+[1]V443Her!I18</f>
        <v>1683</v>
      </c>
      <c r="H29" s="7">
        <f>+[1]V443Her!P18</f>
        <v>4025</v>
      </c>
      <c r="I29" s="7">
        <f>+[1]V443Her!Q18</f>
        <v>7480</v>
      </c>
      <c r="J29" s="2" t="str">
        <f>+[1]V443Her!X18</f>
        <v>asdb_v443her_20140410_255.fit</v>
      </c>
      <c r="K29" s="2"/>
      <c r="M29" s="26"/>
    </row>
    <row r="30" spans="2:15" ht="15.75" x14ac:dyDescent="0.25">
      <c r="B30" s="22">
        <f>+[1]V443Her!B19</f>
        <v>7</v>
      </c>
      <c r="C30" s="23">
        <f>+[1]V443Her!C19</f>
        <v>41745</v>
      </c>
      <c r="D30" s="24">
        <f>+[1]V443Her!D19</f>
        <v>0.93961805555555555</v>
      </c>
      <c r="E30" s="22">
        <f>+[1]V443Her!E19</f>
        <v>2456764.4501</v>
      </c>
      <c r="F30" s="22" t="str">
        <f>+[1]V443Her!F19</f>
        <v>JPM</v>
      </c>
      <c r="G30" s="25">
        <f>+[1]V443Her!I19</f>
        <v>377</v>
      </c>
      <c r="H30" s="7">
        <f>+[1]V443Her!P19</f>
        <v>3603</v>
      </c>
      <c r="I30" s="7">
        <f>+[1]V443Her!Q19</f>
        <v>7404</v>
      </c>
      <c r="J30" s="2" t="str">
        <f>+[1]V443Her!X19</f>
        <v>asdb_v443her_20140416_940.fit</v>
      </c>
      <c r="K30" s="3"/>
      <c r="L30" s="4"/>
      <c r="M30" s="26"/>
    </row>
    <row r="31" spans="2:15" ht="15.75" x14ac:dyDescent="0.25">
      <c r="B31" s="22">
        <f>+[1]V443Her!B20</f>
        <v>8</v>
      </c>
      <c r="C31" s="23">
        <f>+[1]V443Her!C20</f>
        <v>41746</v>
      </c>
      <c r="D31" s="24">
        <f>+[1]V443Her!D20</f>
        <v>9.0995370370370365E-2</v>
      </c>
      <c r="E31" s="22">
        <f>+[1]V443Her!E20</f>
        <v>2456764.6055000001</v>
      </c>
      <c r="F31" s="22" t="str">
        <f>+[1]V443Her!F20</f>
        <v>JMO</v>
      </c>
      <c r="G31" s="25">
        <f>+[1]V443Her!I20</f>
        <v>600</v>
      </c>
      <c r="H31" s="7">
        <f>+[1]V443Her!P20</f>
        <v>3832</v>
      </c>
      <c r="I31" s="7">
        <f>+[1]V443Her!Q20</f>
        <v>8118</v>
      </c>
      <c r="J31" s="2" t="str">
        <f>+[1]V443Her!X20</f>
        <v>asdb_v443her_20140417_091.fit</v>
      </c>
      <c r="K31" s="3"/>
      <c r="L31" s="4"/>
      <c r="M31" s="26"/>
    </row>
    <row r="32" spans="2:15" ht="15.75" x14ac:dyDescent="0.25">
      <c r="B32" s="22">
        <f>+[1]V443Her!B21</f>
        <v>9</v>
      </c>
      <c r="C32" s="23">
        <f>+[1]V443Her!C21</f>
        <v>41763</v>
      </c>
      <c r="D32" s="24">
        <f>+[1]V443Her!D21</f>
        <v>4.3194444444444445E-2</v>
      </c>
      <c r="E32" s="22">
        <f>+[1]V443Her!E21</f>
        <v>2456781.5573999998</v>
      </c>
      <c r="F32" s="22" t="str">
        <f>+[1]V443Her!F21</f>
        <v xml:space="preserve">FMT </v>
      </c>
      <c r="G32" s="25">
        <f>+[1]V443Her!I21</f>
        <v>987</v>
      </c>
      <c r="H32" s="7">
        <f>+[1]V443Her!P21</f>
        <v>4000</v>
      </c>
      <c r="I32" s="7">
        <f>+[1]V443Her!Q21</f>
        <v>7551</v>
      </c>
      <c r="J32" s="2" t="str">
        <f>+[1]V443Her!X21</f>
        <v>asdb_v443her_20140504_043.fit</v>
      </c>
      <c r="K32" s="3"/>
      <c r="L32" s="4"/>
      <c r="M32" s="26"/>
    </row>
    <row r="33" spans="2:13" ht="15.75" x14ac:dyDescent="0.25">
      <c r="B33" s="22">
        <f>+[1]V443Her!B22</f>
        <v>10</v>
      </c>
      <c r="C33" s="23">
        <f>+[1]V443Her!C22</f>
        <v>41764</v>
      </c>
      <c r="D33" s="24">
        <f>+[1]V443Her!D22</f>
        <v>1.5995370370370372E-2</v>
      </c>
      <c r="E33" s="22">
        <f>+[1]V443Her!E22</f>
        <v>2456782.54</v>
      </c>
      <c r="F33" s="22" t="str">
        <f>+[1]V443Her!F22</f>
        <v>JMO</v>
      </c>
      <c r="G33" s="25">
        <f>+[1]V443Her!I22</f>
        <v>634</v>
      </c>
      <c r="H33" s="7">
        <f>+[1]V443Her!P22</f>
        <v>3853</v>
      </c>
      <c r="I33" s="7">
        <f>+[1]V443Her!Q22</f>
        <v>7387</v>
      </c>
      <c r="J33" s="2" t="str">
        <f>+[1]V443Her!X22</f>
        <v>asdb_v443her_20140505_016.fit</v>
      </c>
      <c r="K33" s="3"/>
      <c r="L33" s="4"/>
      <c r="M33" s="26"/>
    </row>
    <row r="34" spans="2:13" ht="15.75" x14ac:dyDescent="0.25">
      <c r="B34" s="22">
        <f>+[1]V443Her!B23</f>
        <v>11</v>
      </c>
      <c r="C34" s="23">
        <f>+[1]V443Her!C23</f>
        <v>42050</v>
      </c>
      <c r="D34" s="24">
        <f>+[1]V443Her!D23</f>
        <v>3.8101851851851852E-2</v>
      </c>
      <c r="E34" s="22">
        <f>+[1]V443Her!E23</f>
        <v>2457068.5556000001</v>
      </c>
      <c r="F34" s="22" t="str">
        <f>+[1]V443Her!F23</f>
        <v>PSO</v>
      </c>
      <c r="G34" s="25">
        <f>+[1]V443Her!I23</f>
        <v>536</v>
      </c>
      <c r="H34" s="7">
        <f>+[1]V443Her!P23</f>
        <v>3651</v>
      </c>
      <c r="I34" s="7">
        <f>+[1]V443Her!Q23</f>
        <v>7924</v>
      </c>
      <c r="J34" s="2" t="str">
        <f>+[1]V443Her!X23</f>
        <v>asdb_v443her_20150215_038.fit</v>
      </c>
      <c r="K34" s="2"/>
      <c r="M34" s="26"/>
    </row>
    <row r="35" spans="2:13" ht="15.75" x14ac:dyDescent="0.25">
      <c r="B35" s="22">
        <f>+[1]V443Her!B24</f>
        <v>12</v>
      </c>
      <c r="C35" s="23">
        <f>+[1]V443Her!C24</f>
        <v>42053</v>
      </c>
      <c r="D35" s="24">
        <f>+[1]V443Her!D24</f>
        <v>0.16001157407407407</v>
      </c>
      <c r="E35" s="22">
        <f>+[1]V443Her!E24</f>
        <v>2457071.6705</v>
      </c>
      <c r="F35" s="22" t="str">
        <f>+[1]V443Her!F24</f>
        <v xml:space="preserve">FMT </v>
      </c>
      <c r="G35" s="25">
        <f>+[1]V443Her!I24</f>
        <v>1142</v>
      </c>
      <c r="H35" s="7">
        <f>+[1]V443Her!P24</f>
        <v>3603</v>
      </c>
      <c r="I35" s="7">
        <f>+[1]V443Her!Q24</f>
        <v>7598</v>
      </c>
      <c r="J35" s="2" t="str">
        <f>+[1]V443Her!X24</f>
        <v>asdb_v443her_20150218_160.fit</v>
      </c>
      <c r="K35" s="2"/>
      <c r="M35" s="26"/>
    </row>
    <row r="36" spans="2:13" ht="15.75" x14ac:dyDescent="0.25">
      <c r="B36" s="22">
        <f>+[1]V443Her!B25</f>
        <v>13</v>
      </c>
      <c r="C36" s="23">
        <f>+[1]V443Her!C25</f>
        <v>42112</v>
      </c>
      <c r="D36" s="24">
        <f>+[1]V443Her!D25</f>
        <v>0.2424074074074074</v>
      </c>
      <c r="E36" s="22">
        <f>+[1]V443Her!E25</f>
        <v>2457130.7612000001</v>
      </c>
      <c r="F36" s="22" t="str">
        <f>+[1]V443Her!F25</f>
        <v>LES</v>
      </c>
      <c r="G36" s="25">
        <f>+[1]V443Her!I25</f>
        <v>1918</v>
      </c>
      <c r="H36" s="7">
        <f>+[1]V443Her!P25</f>
        <v>4002</v>
      </c>
      <c r="I36" s="7">
        <f>+[1]V443Her!Q25</f>
        <v>7475</v>
      </c>
      <c r="J36" s="2" t="str">
        <f>+[1]V443Her!X25</f>
        <v>asdb_v443her_20150418_242.fit</v>
      </c>
      <c r="K36" s="3"/>
      <c r="L36" s="4"/>
      <c r="M36" s="26"/>
    </row>
    <row r="37" spans="2:13" ht="15.75" x14ac:dyDescent="0.25">
      <c r="B37" s="22">
        <f>+[1]V443Her!B26</f>
        <v>14</v>
      </c>
      <c r="C37" s="23">
        <f>+[1]V443Her!C26</f>
        <v>42114</v>
      </c>
      <c r="D37" s="24">
        <f>+[1]V443Her!D26</f>
        <v>1.9988425925925927E-2</v>
      </c>
      <c r="E37" s="22">
        <f>+[1]V443Her!E26</f>
        <v>2457132.5293000001</v>
      </c>
      <c r="F37" s="22" t="str">
        <f>+[1]V443Her!F26</f>
        <v>JMO</v>
      </c>
      <c r="G37" s="25">
        <f>+[1]V443Her!I26</f>
        <v>0</v>
      </c>
      <c r="H37" s="7">
        <f>+[1]V443Her!P26</f>
        <v>3932</v>
      </c>
      <c r="I37" s="7">
        <f>+[1]V443Her!Q26</f>
        <v>7381</v>
      </c>
      <c r="J37" s="2" t="str">
        <f>+[1]V443Her!X26</f>
        <v>asdb_v443her_20150420_020.fit</v>
      </c>
      <c r="K37" s="5"/>
      <c r="L37" s="6"/>
      <c r="M37" s="26"/>
    </row>
    <row r="38" spans="2:13" ht="15.75" x14ac:dyDescent="0.25">
      <c r="B38" s="22">
        <f>+[1]V443Her!B27</f>
        <v>15</v>
      </c>
      <c r="C38" s="23">
        <f>+[1]V443Her!C27</f>
        <v>42161</v>
      </c>
      <c r="D38" s="24">
        <f>+[1]V443Her!D27</f>
        <v>0.87834490740740734</v>
      </c>
      <c r="E38" s="22">
        <f>+[1]V443Her!E27</f>
        <v>2457180.3772</v>
      </c>
      <c r="F38" s="22" t="str">
        <f>+[1]V443Her!F27</f>
        <v>PSO</v>
      </c>
      <c r="G38" s="25">
        <f>+[1]V443Her!I27</f>
        <v>11763</v>
      </c>
      <c r="H38" s="7">
        <f>+[1]V443Her!P27</f>
        <v>6511</v>
      </c>
      <c r="I38" s="7">
        <f>+[1]V443Her!Q27</f>
        <v>6623</v>
      </c>
      <c r="J38" s="2" t="str">
        <f>+[1]V443Her!X27</f>
        <v>asdb_v443her_20150606_878.fit</v>
      </c>
      <c r="M38" s="26"/>
    </row>
    <row r="39" spans="2:13" ht="15.75" x14ac:dyDescent="0.25">
      <c r="B39" s="22">
        <f>+[1]V443Her!B28</f>
        <v>16</v>
      </c>
      <c r="C39" s="23">
        <f>+[1]V443Her!C28</f>
        <v>42182</v>
      </c>
      <c r="D39" s="24">
        <f>+[1]V443Her!D28</f>
        <v>0.11729166666666667</v>
      </c>
      <c r="E39" s="22">
        <f>+[1]V443Her!E28</f>
        <v>2457200.6601999998</v>
      </c>
      <c r="F39" s="22" t="str">
        <f>+[1]V443Her!F28</f>
        <v>LES</v>
      </c>
      <c r="G39" s="25">
        <f>+[1]V443Her!I28</f>
        <v>9100</v>
      </c>
      <c r="H39" s="7">
        <f>+[1]V443Her!P28</f>
        <v>6006</v>
      </c>
      <c r="I39" s="7">
        <f>+[1]V443Her!Q28</f>
        <v>7108</v>
      </c>
      <c r="J39" s="2" t="str">
        <f>+[1]V443Her!X28</f>
        <v>asdb_v443her_20150627_117.fit</v>
      </c>
      <c r="M39" s="26"/>
    </row>
    <row r="40" spans="2:13" ht="15.75" x14ac:dyDescent="0.25">
      <c r="B40" s="22">
        <f>+[1]V443Her!B29</f>
        <v>17</v>
      </c>
      <c r="C40" s="23">
        <f>+[1]V443Her!C29</f>
        <v>42192</v>
      </c>
      <c r="D40" s="24">
        <f>+[1]V443Her!D29</f>
        <v>0.89290509259259254</v>
      </c>
      <c r="E40" s="22">
        <f>+[1]V443Her!E29</f>
        <v>2457211.4208</v>
      </c>
      <c r="F40" s="22" t="str">
        <f>+[1]V443Her!F29</f>
        <v>JGF</v>
      </c>
      <c r="G40" s="25">
        <f>+[1]V443Her!I29</f>
        <v>908</v>
      </c>
      <c r="H40" s="7">
        <f>+[1]V443Her!P29</f>
        <v>3815</v>
      </c>
      <c r="I40" s="7">
        <f>+[1]V443Her!Q29</f>
        <v>7507</v>
      </c>
      <c r="J40" s="2" t="str">
        <f>+[1]V443Her!X29</f>
        <v>asdb_v443her_20150707_893.fit</v>
      </c>
      <c r="M40" s="26"/>
    </row>
    <row r="41" spans="2:13" ht="15.75" x14ac:dyDescent="0.25">
      <c r="B41" s="22">
        <f>+[1]V443Her!B30</f>
        <v>18</v>
      </c>
      <c r="C41" s="23">
        <f>+[1]V443Her!C30</f>
        <v>42195</v>
      </c>
      <c r="D41" s="24">
        <f>+[1]V443Her!D30</f>
        <v>0.99061342592592594</v>
      </c>
      <c r="E41" s="22">
        <f>+[1]V443Her!E30</f>
        <v>2457214.4890999999</v>
      </c>
      <c r="F41" s="22" t="str">
        <f>+[1]V443Her!F30</f>
        <v>PSO</v>
      </c>
      <c r="G41" s="25">
        <f>+[1]V443Her!I30</f>
        <v>3100</v>
      </c>
      <c r="H41" s="7">
        <f>+[1]V443Her!P30</f>
        <v>6388</v>
      </c>
      <c r="I41" s="7">
        <f>+[1]V443Her!Q30</f>
        <v>7109</v>
      </c>
      <c r="J41" s="2" t="str">
        <f>+[1]V443Her!X30</f>
        <v>asdb_v443her_20150710_991.fit</v>
      </c>
      <c r="M41" s="26"/>
    </row>
    <row r="42" spans="2:13" ht="15.75" x14ac:dyDescent="0.25">
      <c r="B42" s="22">
        <f>+[1]V443Her!B31</f>
        <v>19</v>
      </c>
      <c r="C42" s="23">
        <f>+[1]V443Her!C31</f>
        <v>42204</v>
      </c>
      <c r="D42" s="24">
        <f>+[1]V443Her!D31</f>
        <v>0.88638888888888889</v>
      </c>
      <c r="E42" s="22">
        <f>+[1]V443Her!E31</f>
        <v>2457223.4153999998</v>
      </c>
      <c r="F42" s="22" t="str">
        <f>+[1]V443Her!F31</f>
        <v>JGF</v>
      </c>
      <c r="G42" s="25">
        <f>+[1]V443Her!I31</f>
        <v>938</v>
      </c>
      <c r="H42" s="7">
        <f>+[1]V443Her!P31</f>
        <v>3780</v>
      </c>
      <c r="I42" s="7">
        <f>+[1]V443Her!Q31</f>
        <v>7512</v>
      </c>
      <c r="J42" s="2" t="str">
        <f>+[1]V443Her!X31</f>
        <v>asdb_v443her_20150719_886.fit</v>
      </c>
      <c r="K42" s="8"/>
      <c r="L42" s="9"/>
      <c r="M42" s="26"/>
    </row>
    <row r="43" spans="2:13" ht="15.75" x14ac:dyDescent="0.25">
      <c r="B43" s="22">
        <f>+[1]V443Her!B32</f>
        <v>20</v>
      </c>
      <c r="C43" s="23">
        <f>+[1]V443Her!C32</f>
        <v>42204</v>
      </c>
      <c r="D43" s="24">
        <f>+[1]V443Her!D32</f>
        <v>0.94927083333333329</v>
      </c>
      <c r="E43" s="22">
        <f>+[1]V443Her!E32</f>
        <v>2457223.4706999999</v>
      </c>
      <c r="F43" s="22" t="str">
        <f>+[1]V443Her!F32</f>
        <v>DBO</v>
      </c>
      <c r="G43" s="25">
        <f>+[1]V443Her!I32</f>
        <v>790</v>
      </c>
      <c r="H43" s="7">
        <f>+[1]V443Her!P32</f>
        <v>3900</v>
      </c>
      <c r="I43" s="7">
        <f>+[1]V443Her!Q32</f>
        <v>7400</v>
      </c>
      <c r="J43" s="2" t="str">
        <f>+[1]V443Her!X32</f>
        <v>asdb_v443her_20150719_949.fit</v>
      </c>
      <c r="K43" s="8"/>
      <c r="L43" s="9"/>
      <c r="M43" s="26"/>
    </row>
    <row r="44" spans="2:13" ht="15.75" x14ac:dyDescent="0.25">
      <c r="B44" s="22">
        <f>+[1]V443Her!B33</f>
        <v>21</v>
      </c>
      <c r="C44" s="23">
        <f>+[1]V443Her!C33</f>
        <v>42407</v>
      </c>
      <c r="D44" s="24">
        <f>+[1]V443Her!D33</f>
        <v>0.16092592592592592</v>
      </c>
      <c r="E44" s="22">
        <f>+[1]V443Her!E33</f>
        <v>2457425.6822000002</v>
      </c>
      <c r="F44" s="22" t="str">
        <f>+[1]V443Her!F33</f>
        <v>PSO</v>
      </c>
      <c r="G44" s="25">
        <f>+[1]V443Her!I33</f>
        <v>2416</v>
      </c>
      <c r="H44" s="7">
        <f>+[1]V443Her!P33</f>
        <v>6385</v>
      </c>
      <c r="I44" s="7">
        <f>+[1]V443Her!Q33</f>
        <v>7095</v>
      </c>
      <c r="J44" s="2" t="str">
        <f>+[1]V443Her!X33</f>
        <v>asdb_v443her_20160207_161.fit</v>
      </c>
      <c r="K44" s="8"/>
      <c r="L44" s="9"/>
      <c r="M44" s="26"/>
    </row>
    <row r="45" spans="2:13" ht="15.75" x14ac:dyDescent="0.25">
      <c r="B45" s="22">
        <f>+[1]V443Her!B34</f>
        <v>22</v>
      </c>
      <c r="C45" s="23">
        <f>+[1]V443Her!C34</f>
        <v>42465</v>
      </c>
      <c r="D45" s="24">
        <f>+[1]V443Her!D34</f>
        <v>0.28164351851851849</v>
      </c>
      <c r="E45" s="22">
        <f>+[1]V443Her!E34</f>
        <v>2457483.8237000001</v>
      </c>
      <c r="F45" s="22" t="str">
        <f>+[1]V443Her!F34</f>
        <v>LES</v>
      </c>
      <c r="G45" s="25">
        <f>+[1]V443Her!I34</f>
        <v>6000</v>
      </c>
      <c r="H45" s="7">
        <f>+[1]V443Her!P34</f>
        <v>4263</v>
      </c>
      <c r="I45" s="7">
        <f>+[1]V443Her!Q34</f>
        <v>5419</v>
      </c>
      <c r="J45" s="2" t="str">
        <f>+[1]V443Her!X34</f>
        <v>asdb_v443her_20160405_282.fit</v>
      </c>
      <c r="K45" s="8"/>
      <c r="L45" s="9"/>
      <c r="M45" s="26"/>
    </row>
    <row r="46" spans="2:13" ht="15.75" x14ac:dyDescent="0.25">
      <c r="B46" s="22">
        <f>+[1]V443Her!B35</f>
        <v>23</v>
      </c>
      <c r="C46" s="23">
        <f>+[1]V443Her!C35</f>
        <v>42495</v>
      </c>
      <c r="D46" s="24">
        <f>+[1]V443Her!D35</f>
        <v>7.4999999999999997E-2</v>
      </c>
      <c r="E46" s="22">
        <f>+[1]V443Her!E35</f>
        <v>2457513.5822000001</v>
      </c>
      <c r="F46" s="22" t="str">
        <f>+[1]V443Her!F35</f>
        <v>JMO</v>
      </c>
      <c r="G46" s="25">
        <f>+[1]V443Her!I35</f>
        <v>651</v>
      </c>
      <c r="H46" s="7">
        <f>+[1]V443Her!P35</f>
        <v>3787</v>
      </c>
      <c r="I46" s="7">
        <f>+[1]V443Her!Q35</f>
        <v>7393</v>
      </c>
      <c r="J46" s="2" t="str">
        <f>+[1]V443Her!X35</f>
        <v>asdb_v443her_20160505_075.fit</v>
      </c>
      <c r="K46" s="8"/>
      <c r="L46" s="9"/>
      <c r="M46" s="26"/>
    </row>
    <row r="47" spans="2:13" ht="15.75" x14ac:dyDescent="0.25">
      <c r="B47" s="22">
        <f>+[1]V443Her!B36</f>
        <v>24</v>
      </c>
      <c r="C47" s="23">
        <f>+[1]V443Her!C36</f>
        <v>42495</v>
      </c>
      <c r="D47" s="24">
        <f>+[1]V443Her!D36</f>
        <v>0.9186805555555555</v>
      </c>
      <c r="E47" s="22">
        <f>+[1]V443Her!E36</f>
        <v>2457514.4334999998</v>
      </c>
      <c r="F47" s="22" t="str">
        <f>+[1]V443Her!F36</f>
        <v>SOL</v>
      </c>
      <c r="G47" s="25">
        <f>+[1]V443Her!I36</f>
        <v>787</v>
      </c>
      <c r="H47" s="7">
        <f>+[1]V443Her!P36</f>
        <v>3750</v>
      </c>
      <c r="I47" s="7">
        <f>+[1]V443Her!Q36</f>
        <v>7360</v>
      </c>
      <c r="J47" s="2" t="str">
        <f>+[1]V443Her!X36</f>
        <v>asdb_v443her_20160505_919.fit</v>
      </c>
      <c r="K47" s="8"/>
      <c r="L47" s="9"/>
      <c r="M47" s="26"/>
    </row>
    <row r="48" spans="2:13" ht="15.75" x14ac:dyDescent="0.25">
      <c r="B48" s="22">
        <f>+[1]V443Her!B37</f>
        <v>25</v>
      </c>
      <c r="C48" s="23">
        <f>+[1]V443Her!C37</f>
        <v>42530</v>
      </c>
      <c r="D48" s="24">
        <f>+[1]V443Her!D37</f>
        <v>0.91472222222222221</v>
      </c>
      <c r="E48" s="22">
        <f>+[1]V443Her!E37</f>
        <v>2457549.4358000001</v>
      </c>
      <c r="F48" s="22" t="str">
        <f>+[1]V443Her!F37</f>
        <v xml:space="preserve">FMT </v>
      </c>
      <c r="G48" s="25">
        <f>+[1]V443Her!I37</f>
        <v>11000</v>
      </c>
      <c r="H48" s="7">
        <f>+[1]V443Her!P37</f>
        <v>4144</v>
      </c>
      <c r="I48" s="7">
        <f>+[1]V443Her!Q37</f>
        <v>7161</v>
      </c>
      <c r="J48" s="2" t="str">
        <f>+[1]V443Her!X37</f>
        <v>asdb_v443her_20160609_915.fit</v>
      </c>
      <c r="K48" s="8"/>
      <c r="L48" s="9"/>
      <c r="M48" s="26"/>
    </row>
    <row r="49" spans="2:13" ht="15.75" x14ac:dyDescent="0.25">
      <c r="B49" s="22">
        <f>+[1]V443Her!B38</f>
        <v>26</v>
      </c>
      <c r="C49" s="23">
        <f>+[1]V443Her!C38</f>
        <v>42571</v>
      </c>
      <c r="D49" s="24">
        <f>+[1]V443Her!D38</f>
        <v>0.19663194444444443</v>
      </c>
      <c r="E49" s="22">
        <f>+[1]V443Her!E38</f>
        <v>2457589.7463000002</v>
      </c>
      <c r="F49" s="22" t="str">
        <f>+[1]V443Her!F38</f>
        <v>LES</v>
      </c>
      <c r="G49" s="25">
        <f>+[1]V443Her!I38</f>
        <v>6400</v>
      </c>
      <c r="H49" s="7">
        <f>+[1]V443Her!P38</f>
        <v>4265</v>
      </c>
      <c r="I49" s="7">
        <f>+[1]V443Her!Q38</f>
        <v>5420</v>
      </c>
      <c r="J49" s="2" t="str">
        <f>+[1]V443Her!X38</f>
        <v>asdb_v443her_20160720_197.fit</v>
      </c>
      <c r="K49" s="8"/>
      <c r="L49" s="9"/>
      <c r="M49" s="26"/>
    </row>
    <row r="50" spans="2:13" ht="15.75" x14ac:dyDescent="0.25">
      <c r="B50" s="22">
        <f>+[1]V443Her!B39</f>
        <v>27</v>
      </c>
      <c r="C50" s="23">
        <f>+[1]V443Her!C39</f>
        <v>42580</v>
      </c>
      <c r="D50" s="24">
        <f>+[1]V443Her!D39</f>
        <v>0.88471064814814815</v>
      </c>
      <c r="E50" s="22">
        <f>+[1]V443Her!E39</f>
        <v>2457599.3865</v>
      </c>
      <c r="F50" s="22" t="str">
        <f>+[1]V443Her!F39</f>
        <v>FBO</v>
      </c>
      <c r="G50" s="25">
        <f>+[1]V443Her!I39</f>
        <v>2200</v>
      </c>
      <c r="H50" s="7">
        <f>+[1]V443Her!P39</f>
        <v>3951</v>
      </c>
      <c r="I50" s="7">
        <f>+[1]V443Her!Q39</f>
        <v>7502</v>
      </c>
      <c r="J50" s="2" t="str">
        <f>+[1]V443Her!X39</f>
        <v>asdb_v443her_20160729_885.fit</v>
      </c>
      <c r="K50" s="8"/>
      <c r="L50" s="9"/>
      <c r="M50" s="26"/>
    </row>
    <row r="51" spans="2:13" ht="15.75" x14ac:dyDescent="0.25">
      <c r="B51" s="22">
        <f>+[1]V443Her!B40</f>
        <v>28</v>
      </c>
      <c r="C51" s="23">
        <f>+[1]V443Her!C40</f>
        <v>42590</v>
      </c>
      <c r="D51" s="24">
        <f>+[1]V443Her!D40</f>
        <v>0.98053240740740744</v>
      </c>
      <c r="E51" s="22">
        <f>+[1]V443Her!E40</f>
        <v>2457609.5014</v>
      </c>
      <c r="F51" s="22" t="str">
        <f>+[1]V443Her!F40</f>
        <v>OGA</v>
      </c>
      <c r="G51" s="25">
        <f>+[1]V443Her!I40</f>
        <v>599</v>
      </c>
      <c r="H51" s="7">
        <f>+[1]V443Her!P40</f>
        <v>3915</v>
      </c>
      <c r="I51" s="7">
        <f>+[1]V443Her!Q40</f>
        <v>7495</v>
      </c>
      <c r="J51" s="2" t="str">
        <f>+[1]V443Her!X40</f>
        <v>asdb_v443her_20160808_981.fit</v>
      </c>
      <c r="K51" s="8"/>
      <c r="L51" s="9"/>
      <c r="M51" s="26"/>
    </row>
    <row r="52" spans="2:13" ht="15.75" x14ac:dyDescent="0.25">
      <c r="B52" s="22">
        <f>+[1]V443Her!B41</f>
        <v>29</v>
      </c>
      <c r="C52" s="23">
        <f>+[1]V443Her!C41</f>
        <v>42596</v>
      </c>
      <c r="D52" s="24">
        <f>+[1]V443Her!D41</f>
        <v>3.8993055555555552E-2</v>
      </c>
      <c r="E52" s="22">
        <f>+[1]V443Her!E41</f>
        <v>2457614.5458</v>
      </c>
      <c r="F52" s="22" t="str">
        <f>+[1]V443Her!F41</f>
        <v>JMO</v>
      </c>
      <c r="G52" s="25">
        <f>+[1]V443Her!I41</f>
        <v>667</v>
      </c>
      <c r="H52" s="7">
        <f>+[1]V443Her!P41</f>
        <v>3832</v>
      </c>
      <c r="I52" s="7">
        <f>+[1]V443Her!Q41</f>
        <v>7393</v>
      </c>
      <c r="J52" s="2" t="str">
        <f>+[1]V443Her!X41</f>
        <v>asdb_v443her_20160814_039.fit</v>
      </c>
      <c r="K52" s="8"/>
      <c r="L52" s="9"/>
      <c r="M52" s="26"/>
    </row>
    <row r="53" spans="2:13" ht="15.75" x14ac:dyDescent="0.25">
      <c r="B53" s="22">
        <f>+[1]V443Her!B42</f>
        <v>30</v>
      </c>
      <c r="C53" s="23">
        <f>+[1]V443Her!C42</f>
        <v>42604</v>
      </c>
      <c r="D53" s="24">
        <f>+[1]V443Her!D42</f>
        <v>0.97923611111111108</v>
      </c>
      <c r="E53" s="22">
        <f>+[1]V443Her!E42</f>
        <v>2457623.4896999998</v>
      </c>
      <c r="F53" s="22" t="str">
        <f>+[1]V443Her!F42</f>
        <v>CBO</v>
      </c>
      <c r="G53" s="25">
        <f>+[1]V443Her!I42</f>
        <v>505</v>
      </c>
      <c r="H53" s="7">
        <f>+[1]V443Her!P42</f>
        <v>3700</v>
      </c>
      <c r="I53" s="7">
        <f>+[1]V443Her!Q42</f>
        <v>7570</v>
      </c>
      <c r="J53" s="2" t="str">
        <f>+[1]V443Her!X42</f>
        <v>asdb_v443her_20160822_979.fit</v>
      </c>
      <c r="K53" s="8"/>
      <c r="L53" s="9"/>
      <c r="M53" s="26"/>
    </row>
    <row r="54" spans="2:13" ht="15.75" x14ac:dyDescent="0.25">
      <c r="B54" s="22">
        <f>+[1]V443Her!B43</f>
        <v>31</v>
      </c>
      <c r="C54" s="23">
        <f>+[1]V443Her!C43</f>
        <v>42621</v>
      </c>
      <c r="D54" s="24">
        <f>+[1]V443Her!D43</f>
        <v>0.80354166666666671</v>
      </c>
      <c r="E54" s="22">
        <f>+[1]V443Her!E43</f>
        <v>2457640.3250000002</v>
      </c>
      <c r="F54" s="22" t="str">
        <f>+[1]V443Her!F43</f>
        <v xml:space="preserve">FMT </v>
      </c>
      <c r="G54" s="25">
        <f>+[1]V443Her!I43</f>
        <v>11000</v>
      </c>
      <c r="H54" s="7">
        <f>+[1]V443Her!P43</f>
        <v>4210</v>
      </c>
      <c r="I54" s="7">
        <f>+[1]V443Her!Q43</f>
        <v>7161</v>
      </c>
      <c r="J54" s="2" t="str">
        <f>+[1]V443Her!X43</f>
        <v>asdb_v443her_20160908_804.fit</v>
      </c>
      <c r="K54" s="8"/>
      <c r="L54" s="9"/>
      <c r="M54" s="26"/>
    </row>
    <row r="55" spans="2:13" ht="15.75" x14ac:dyDescent="0.25">
      <c r="B55" s="22">
        <f>+[1]V443Her!B44</f>
        <v>32</v>
      </c>
      <c r="C55" s="23">
        <f>+[1]V443Her!C44</f>
        <v>42833</v>
      </c>
      <c r="D55" s="24">
        <f>+[1]V443Her!D44</f>
        <v>7.0995370370370361E-2</v>
      </c>
      <c r="E55" s="22">
        <f>+[1]V443Her!E44</f>
        <v>2457851.5832000002</v>
      </c>
      <c r="F55" s="22" t="str">
        <f>+[1]V443Her!F44</f>
        <v>JMO</v>
      </c>
      <c r="G55" s="25">
        <f>+[1]V443Her!I44</f>
        <v>698</v>
      </c>
      <c r="H55" s="7">
        <f>+[1]V443Her!P44</f>
        <v>3806</v>
      </c>
      <c r="I55" s="7">
        <f>+[1]V443Her!Q44</f>
        <v>7396</v>
      </c>
      <c r="J55" s="2" t="str">
        <f>+[1]V443Her!X44</f>
        <v>asdb_v443her_20170408_071.fit</v>
      </c>
      <c r="K55" s="8"/>
      <c r="L55" s="9"/>
      <c r="M55" s="26"/>
    </row>
    <row r="56" spans="2:13" ht="15.75" x14ac:dyDescent="0.25">
      <c r="B56" s="22">
        <f>+[1]V443Her!B45</f>
        <v>33</v>
      </c>
      <c r="C56" s="23">
        <f>+[1]V443Her!C45</f>
        <v>42883</v>
      </c>
      <c r="D56" s="24">
        <f>+[1]V443Her!D45</f>
        <v>3.5196759259259254E-2</v>
      </c>
      <c r="E56" s="22">
        <f>+[1]V443Her!E45</f>
        <v>2457901.5561000002</v>
      </c>
      <c r="F56" s="22" t="str">
        <f>+[1]V443Her!F45</f>
        <v>FCA</v>
      </c>
      <c r="G56" s="25">
        <f>+[1]V443Her!I45</f>
        <v>850</v>
      </c>
      <c r="H56" s="7">
        <f>+[1]V443Her!P45</f>
        <v>3747</v>
      </c>
      <c r="I56" s="7">
        <f>+[1]V443Her!Q45</f>
        <v>7293</v>
      </c>
      <c r="J56" s="2" t="str">
        <f>+[1]V443Her!X45</f>
        <v>asdb_v443her_20170528_035.fit</v>
      </c>
      <c r="K56" s="8"/>
      <c r="L56" s="9"/>
      <c r="M56" s="26"/>
    </row>
    <row r="57" spans="2:13" ht="15.75" x14ac:dyDescent="0.25">
      <c r="B57" s="22">
        <f>+[1]V443Her!B46</f>
        <v>34</v>
      </c>
      <c r="C57" s="23">
        <f>+[1]V443Her!C46</f>
        <v>42905</v>
      </c>
      <c r="D57" s="24">
        <f>+[1]V443Her!D46</f>
        <v>0.95549768518518519</v>
      </c>
      <c r="E57" s="22">
        <f>+[1]V443Her!E46</f>
        <v>2457924.4728999999</v>
      </c>
      <c r="F57" s="22" t="str">
        <f>+[1]V443Her!F46</f>
        <v>FRA</v>
      </c>
      <c r="G57" s="25">
        <f>+[1]V443Her!I46</f>
        <v>530</v>
      </c>
      <c r="H57" s="7">
        <f>+[1]V443Her!P46</f>
        <v>3841</v>
      </c>
      <c r="I57" s="7">
        <f>+[1]V443Her!Q46</f>
        <v>7231</v>
      </c>
      <c r="J57" s="2" t="str">
        <f>+[1]V443Her!X46</f>
        <v>asdb_v443her_20170619_955.fit</v>
      </c>
      <c r="K57" s="7"/>
      <c r="L57" s="10"/>
      <c r="M57" s="26"/>
    </row>
    <row r="58" spans="2:13" ht="15.75" x14ac:dyDescent="0.25">
      <c r="B58" s="22">
        <f>+[1]V443Her!B47</f>
        <v>35</v>
      </c>
      <c r="C58" s="23">
        <f>+[1]V443Her!C47</f>
        <v>42950</v>
      </c>
      <c r="D58" s="24">
        <f>+[1]V443Her!D47</f>
        <v>0.8715856481481481</v>
      </c>
      <c r="E58" s="22">
        <f>+[1]V443Her!E47</f>
        <v>2457969.3872000002</v>
      </c>
      <c r="F58" s="22" t="str">
        <f>+[1]V443Her!F47</f>
        <v>FCA</v>
      </c>
      <c r="G58" s="25">
        <f>+[1]V443Her!I47</f>
        <v>771</v>
      </c>
      <c r="H58" s="7">
        <f>+[1]V443Her!P47</f>
        <v>3823</v>
      </c>
      <c r="I58" s="7">
        <f>+[1]V443Her!Q47</f>
        <v>7357</v>
      </c>
      <c r="J58" s="2" t="str">
        <f>+[1]V443Her!X47</f>
        <v>asdb_v443her_20170803_872.fit</v>
      </c>
      <c r="M58" s="26"/>
    </row>
    <row r="59" spans="2:13" ht="15.75" x14ac:dyDescent="0.25">
      <c r="B59" s="22">
        <f>+[1]V443Her!B48</f>
        <v>36</v>
      </c>
      <c r="C59" s="23">
        <f>+[1]V443Her!C48</f>
        <v>42964</v>
      </c>
      <c r="D59" s="24">
        <f>+[1]V443Her!D48</f>
        <v>0.12890046296296295</v>
      </c>
      <c r="E59" s="22">
        <f>+[1]V443Her!E48</f>
        <v>2457982.6532999999</v>
      </c>
      <c r="F59" s="22" t="str">
        <f>+[1]V443Her!F48</f>
        <v>GKA</v>
      </c>
      <c r="G59" s="25">
        <f>+[1]V443Her!I48</f>
        <v>514</v>
      </c>
      <c r="H59" s="7">
        <f>+[1]V443Her!P48</f>
        <v>3666</v>
      </c>
      <c r="I59" s="7">
        <f>+[1]V443Her!Q48</f>
        <v>7404</v>
      </c>
      <c r="J59" s="2" t="str">
        <f>+[1]V443Her!X48</f>
        <v>asdb_v443her_20170817_129.fit</v>
      </c>
      <c r="K59" s="8">
        <v>7400</v>
      </c>
      <c r="L59" s="12">
        <v>3589</v>
      </c>
      <c r="M59" s="26"/>
    </row>
    <row r="60" spans="2:13" ht="15.75" x14ac:dyDescent="0.25">
      <c r="B60" s="22">
        <f>+[1]V443Her!B49</f>
        <v>37</v>
      </c>
      <c r="C60" s="23">
        <f>+[1]V443Her!C49</f>
        <v>42971</v>
      </c>
      <c r="D60" s="24">
        <f>+[1]V443Her!D49</f>
        <v>0.79133101851851861</v>
      </c>
      <c r="E60" s="22">
        <f>+[1]V443Her!E49</f>
        <v>2457990.3122</v>
      </c>
      <c r="F60" s="22" t="str">
        <f>+[1]V443Her!F49</f>
        <v>FRA</v>
      </c>
      <c r="G60" s="25">
        <f>+[1]V443Her!I49</f>
        <v>530</v>
      </c>
      <c r="H60" s="7">
        <f>+[1]V443Her!P49</f>
        <v>3841</v>
      </c>
      <c r="I60" s="7">
        <f>+[1]V443Her!Q49</f>
        <v>7231</v>
      </c>
      <c r="J60" s="2" t="str">
        <f>+[1]V443Her!X49</f>
        <v>asdb_v443her_20170824_791.fit</v>
      </c>
      <c r="K60" s="8">
        <v>7161</v>
      </c>
      <c r="L60" s="12">
        <v>5550</v>
      </c>
      <c r="M60" s="26"/>
    </row>
    <row r="61" spans="2:13" ht="15.75" x14ac:dyDescent="0.25">
      <c r="B61" s="22">
        <f>+[1]V443Her!B50</f>
        <v>38</v>
      </c>
      <c r="C61" s="23">
        <f>+[1]V443Her!C50</f>
        <v>42998</v>
      </c>
      <c r="D61" s="24">
        <f>+[1]V443Her!D50</f>
        <v>5.6192129629629634E-2</v>
      </c>
      <c r="E61" s="22">
        <f>+[1]V443Her!E50</f>
        <v>2458016.5597000001</v>
      </c>
      <c r="F61" s="22" t="str">
        <f>+[1]V443Her!F50</f>
        <v>GKA</v>
      </c>
      <c r="G61" s="25">
        <f>+[1]V443Her!I50</f>
        <v>534</v>
      </c>
      <c r="H61" s="7">
        <f>+[1]V443Her!P50</f>
        <v>3880</v>
      </c>
      <c r="I61" s="7">
        <f>+[1]V443Her!Q50</f>
        <v>7380</v>
      </c>
      <c r="J61" s="2" t="str">
        <f>+[1]V443Her!X50</f>
        <v>asdb_v443her_20170920_056.fit</v>
      </c>
      <c r="K61" s="8">
        <v>5297</v>
      </c>
      <c r="L61" s="12">
        <v>3093.0079999999998</v>
      </c>
      <c r="M61" s="26"/>
    </row>
    <row r="62" spans="2:13" ht="15.75" x14ac:dyDescent="0.25">
      <c r="B62" s="22">
        <f>+[1]V443Her!B51</f>
        <v>39</v>
      </c>
      <c r="C62" s="23">
        <f>+[1]V443Her!C51</f>
        <v>43002</v>
      </c>
      <c r="D62" s="24">
        <f>+[1]V443Her!D51</f>
        <v>0.26299768518518518</v>
      </c>
      <c r="E62" s="22">
        <f>+[1]V443Her!E51</f>
        <v>2458020.7716999999</v>
      </c>
      <c r="F62" s="22" t="str">
        <f>+[1]V443Her!F51</f>
        <v>JRF</v>
      </c>
      <c r="G62" s="25">
        <f>+[1]V443Her!I51</f>
        <v>564</v>
      </c>
      <c r="H62" s="7">
        <f>+[1]V443Her!P51</f>
        <v>3900</v>
      </c>
      <c r="I62" s="7">
        <f>+[1]V443Her!Q51</f>
        <v>7400</v>
      </c>
      <c r="J62" s="2" t="str">
        <f>+[1]V443Her!X51</f>
        <v>asdb_v443her_20170924_263.fit</v>
      </c>
      <c r="K62" s="8">
        <v>7161</v>
      </c>
      <c r="L62" s="12">
        <v>4859</v>
      </c>
      <c r="M62" s="26"/>
    </row>
    <row r="63" spans="2:13" ht="15.75" x14ac:dyDescent="0.25">
      <c r="B63" s="22">
        <f>+[1]V443Her!B52</f>
        <v>40</v>
      </c>
      <c r="C63" s="23">
        <f>+[1]V443Her!C52</f>
        <v>43019</v>
      </c>
      <c r="D63" s="24">
        <f>+[1]V443Her!D52</f>
        <v>0.79912037037037031</v>
      </c>
      <c r="E63" s="22">
        <f>+[1]V443Her!E52</f>
        <v>2458038.3182000001</v>
      </c>
      <c r="F63" s="22" t="str">
        <f>+[1]V443Her!F52</f>
        <v>FRA</v>
      </c>
      <c r="G63" s="25">
        <f>+[1]V443Her!I52</f>
        <v>532</v>
      </c>
      <c r="H63" s="7">
        <f>+[1]V443Her!P52</f>
        <v>3841</v>
      </c>
      <c r="I63" s="7">
        <f>+[1]V443Her!Q52</f>
        <v>7231</v>
      </c>
      <c r="J63" s="2" t="str">
        <f>+[1]V443Her!X52</f>
        <v>asdb_v443her_20171011_799.fit</v>
      </c>
      <c r="K63" s="8">
        <v>7400</v>
      </c>
      <c r="L63" s="13">
        <v>3689</v>
      </c>
      <c r="M63" s="26"/>
    </row>
    <row r="64" spans="2:13" ht="15.75" x14ac:dyDescent="0.25">
      <c r="B64" s="22">
        <f>+[1]V443Her!B53</f>
        <v>41</v>
      </c>
      <c r="C64" s="23">
        <f>+[1]V443Her!C53</f>
        <v>43231</v>
      </c>
      <c r="D64" s="24">
        <f>+[1]V443Her!D53</f>
        <v>6.2997685185185184E-2</v>
      </c>
      <c r="E64" s="22">
        <f>+[1]V443Her!E53</f>
        <v>2458249.5721</v>
      </c>
      <c r="F64" s="22" t="str">
        <f>+[1]V443Her!F53</f>
        <v>JMO</v>
      </c>
      <c r="G64" s="25">
        <f>+[1]V443Her!I53</f>
        <v>669</v>
      </c>
      <c r="H64" s="7">
        <f>+[1]V443Her!P53</f>
        <v>3799</v>
      </c>
      <c r="I64" s="7">
        <f>+[1]V443Her!Q53</f>
        <v>7570</v>
      </c>
      <c r="J64" s="2" t="str">
        <f>+[1]V443Her!X53</f>
        <v>asdb_v443her_20180511_063.fit</v>
      </c>
      <c r="K64" s="8">
        <v>7560</v>
      </c>
      <c r="L64" s="12">
        <v>2477</v>
      </c>
      <c r="M64" s="26"/>
    </row>
    <row r="65" spans="2:13" ht="15.75" x14ac:dyDescent="0.25">
      <c r="B65" s="22">
        <f>+[1]V443Her!B54</f>
        <v>42</v>
      </c>
      <c r="C65" s="23">
        <f>+[1]V443Her!C54</f>
        <v>43240</v>
      </c>
      <c r="D65" s="24">
        <f>+[1]V443Her!D54</f>
        <v>0.91500000000000004</v>
      </c>
      <c r="E65" s="22">
        <f>+[1]V443Her!E54</f>
        <v>2458259.4476000001</v>
      </c>
      <c r="F65" s="22" t="str">
        <f>+[1]V443Her!F54</f>
        <v>DBO</v>
      </c>
      <c r="G65" s="25">
        <f>+[1]V443Her!I54</f>
        <v>929</v>
      </c>
      <c r="H65" s="7">
        <f>+[1]V443Her!P54</f>
        <v>3901</v>
      </c>
      <c r="I65" s="7">
        <f>+[1]V443Her!Q54</f>
        <v>7380</v>
      </c>
      <c r="J65" s="2" t="str">
        <f>+[1]V443Her!X54</f>
        <v>asdb_v443her_20180520_915.fit</v>
      </c>
      <c r="K65" s="7">
        <v>6779</v>
      </c>
      <c r="L65" s="11">
        <v>3935</v>
      </c>
      <c r="M65" s="26"/>
    </row>
    <row r="66" spans="2:13" ht="15.75" x14ac:dyDescent="0.25">
      <c r="B66" s="22">
        <f>+[1]V443Her!B55</f>
        <v>43</v>
      </c>
      <c r="C66" s="23">
        <f>+[1]V443Her!C55</f>
        <v>43243</v>
      </c>
      <c r="D66" s="24">
        <f>+[1]V443Her!D55</f>
        <v>0.23282407407407404</v>
      </c>
      <c r="E66" s="22">
        <f>+[1]V443Her!E55</f>
        <v>2458261.7749999999</v>
      </c>
      <c r="F66" s="22" t="str">
        <f>+[1]V443Her!F55</f>
        <v>LES</v>
      </c>
      <c r="G66" s="25">
        <f>+[1]V443Her!I55</f>
        <v>13000</v>
      </c>
      <c r="H66" s="7">
        <f>+[1]V443Her!P55</f>
        <v>4280</v>
      </c>
      <c r="I66" s="7">
        <f>+[1]V443Her!Q55</f>
        <v>7947</v>
      </c>
      <c r="J66" s="2" t="str">
        <f>+[1]V443Her!X55</f>
        <v>asdb_v443her_20180523_233.fit</v>
      </c>
      <c r="K66" s="7">
        <v>6779</v>
      </c>
      <c r="L66" s="11">
        <v>3935</v>
      </c>
      <c r="M66" s="26"/>
    </row>
    <row r="67" spans="2:13" ht="15.75" x14ac:dyDescent="0.25">
      <c r="B67" s="22">
        <f>+[1]V443Her!B56</f>
        <v>44</v>
      </c>
      <c r="C67" s="23">
        <f>+[1]V443Her!C56</f>
        <v>43260</v>
      </c>
      <c r="D67" s="24">
        <f>+[1]V443Her!D56</f>
        <v>0.44341435185185185</v>
      </c>
      <c r="E67" s="22">
        <f>+[1]V443Her!E56</f>
        <v>2458278.9646999999</v>
      </c>
      <c r="F67" s="22" t="str">
        <f>+[1]V443Her!F56</f>
        <v>JRF</v>
      </c>
      <c r="G67" s="25">
        <f>+[1]V443Her!I56</f>
        <v>897</v>
      </c>
      <c r="H67" s="7">
        <f>+[1]V443Her!P56</f>
        <v>3825</v>
      </c>
      <c r="I67" s="7">
        <f>+[1]V443Her!Q56</f>
        <v>7395</v>
      </c>
      <c r="J67" s="2" t="str">
        <f>+[1]V443Her!X56</f>
        <v>asdb_v443her_20180609_443.fit</v>
      </c>
      <c r="K67" s="7">
        <v>6779</v>
      </c>
      <c r="L67" s="11">
        <v>3935</v>
      </c>
      <c r="M67" s="26"/>
    </row>
    <row r="68" spans="2:13" ht="15.75" x14ac:dyDescent="0.25">
      <c r="B68" s="22">
        <f>+[1]V443Her!B57</f>
        <v>45</v>
      </c>
      <c r="C68" s="23">
        <f>+[1]V443Her!C57</f>
        <v>43265</v>
      </c>
      <c r="D68" s="24">
        <f>+[1]V443Her!D57</f>
        <v>0.40106481481481482</v>
      </c>
      <c r="E68" s="22">
        <f>+[1]V443Her!E57</f>
        <v>2458283.9095000001</v>
      </c>
      <c r="F68" s="22" t="str">
        <f>+[1]V443Her!F57</f>
        <v>JRF</v>
      </c>
      <c r="G68" s="25">
        <f>+[1]V443Her!I57</f>
        <v>899</v>
      </c>
      <c r="H68" s="7">
        <f>+[1]V443Her!P57</f>
        <v>3825</v>
      </c>
      <c r="I68" s="7">
        <f>+[1]V443Her!Q57</f>
        <v>7390</v>
      </c>
      <c r="J68" s="2" t="str">
        <f>+[1]V443Her!X57</f>
        <v>asdb_v443her_20180614_401.fit</v>
      </c>
      <c r="K68" s="7">
        <v>6779</v>
      </c>
      <c r="L68" s="11">
        <v>3935</v>
      </c>
      <c r="M68" s="26"/>
    </row>
    <row r="69" spans="2:13" ht="15.75" x14ac:dyDescent="0.25">
      <c r="B69" s="22">
        <f>+[1]V443Her!B58</f>
        <v>46</v>
      </c>
      <c r="C69" s="23">
        <f>+[1]V443Her!C58</f>
        <v>43270</v>
      </c>
      <c r="D69" s="24">
        <f>+[1]V443Her!D58</f>
        <v>0.92003472222222227</v>
      </c>
      <c r="E69" s="22">
        <f>+[1]V443Her!E58</f>
        <v>2458289.4408</v>
      </c>
      <c r="F69" s="22" t="str">
        <f>+[1]V443Her!F58</f>
        <v>CBO</v>
      </c>
      <c r="G69" s="25">
        <f>+[1]V443Her!I58</f>
        <v>509</v>
      </c>
      <c r="H69" s="7">
        <f>+[1]V443Her!P58</f>
        <v>3700</v>
      </c>
      <c r="I69" s="7">
        <f>+[1]V443Her!Q58</f>
        <v>7570</v>
      </c>
      <c r="J69" s="2" t="str">
        <f>+[1]V443Her!X58</f>
        <v>asdb_v443her_20180619_920.fit</v>
      </c>
      <c r="K69" s="7">
        <v>6779</v>
      </c>
      <c r="L69" s="11">
        <v>3935</v>
      </c>
      <c r="M69" s="26"/>
    </row>
    <row r="70" spans="2:13" ht="15.75" x14ac:dyDescent="0.25">
      <c r="B70" s="22">
        <f>+[1]V443Her!B59</f>
        <v>47</v>
      </c>
      <c r="C70" s="23">
        <f>+[1]V443Her!C59</f>
        <v>43296</v>
      </c>
      <c r="D70" s="24">
        <f>+[1]V443Her!D59</f>
        <v>0.33291666666666669</v>
      </c>
      <c r="E70" s="22">
        <f>+[1]V443Her!E59</f>
        <v>2458314.8454</v>
      </c>
      <c r="F70" s="22" t="str">
        <f>+[1]V443Her!F59</f>
        <v>JRF</v>
      </c>
      <c r="G70" s="25">
        <f>+[1]V443Her!I59</f>
        <v>806</v>
      </c>
      <c r="H70" s="7">
        <f>+[1]V443Her!P59</f>
        <v>3890</v>
      </c>
      <c r="I70" s="7">
        <f>+[1]V443Her!Q59</f>
        <v>7395</v>
      </c>
      <c r="J70" s="2" t="str">
        <f>+[1]V443Her!X59</f>
        <v>asdb_v443her_20180715_333.fit</v>
      </c>
      <c r="K70" s="7">
        <v>6779</v>
      </c>
      <c r="L70" s="11">
        <v>3935</v>
      </c>
      <c r="M70" s="26"/>
    </row>
    <row r="71" spans="2:13" ht="15.75" x14ac:dyDescent="0.25">
      <c r="B71" s="22">
        <f>+[1]V443Her!B60</f>
        <v>48</v>
      </c>
      <c r="C71" s="23">
        <f>+[1]V443Her!C60</f>
        <v>43322</v>
      </c>
      <c r="D71" s="24">
        <f>+[1]V443Her!D60</f>
        <v>0.12046296296296295</v>
      </c>
      <c r="E71" s="22">
        <f>+[1]V443Her!E60</f>
        <v>2458340.6343999999</v>
      </c>
      <c r="F71" s="22" t="str">
        <f>+[1]V443Her!F60</f>
        <v>GKA</v>
      </c>
      <c r="G71" s="25">
        <f>+[1]V443Her!I60</f>
        <v>546</v>
      </c>
      <c r="H71" s="7">
        <f>+[1]V443Her!P60</f>
        <v>3731</v>
      </c>
      <c r="I71" s="7">
        <f>+[1]V443Her!Q60</f>
        <v>7371</v>
      </c>
      <c r="J71" s="2" t="str">
        <f>+[1]V443Her!X60</f>
        <v>asdb_v443her_20180810_120.fit</v>
      </c>
      <c r="K71" s="7">
        <v>6779</v>
      </c>
      <c r="L71" s="11">
        <v>3935</v>
      </c>
      <c r="M71" s="26"/>
    </row>
    <row r="72" spans="2:13" ht="15.75" x14ac:dyDescent="0.25">
      <c r="B72" s="22">
        <f>+[1]V443Her!B61</f>
        <v>49</v>
      </c>
      <c r="C72" s="23">
        <f>+[1]V443Her!C61</f>
        <v>43340</v>
      </c>
      <c r="D72" s="24">
        <f>+[1]V443Her!D61</f>
        <v>0.18515046296296298</v>
      </c>
      <c r="E72" s="22">
        <f>+[1]V443Her!E61</f>
        <v>2458358.7220000001</v>
      </c>
      <c r="F72" s="22" t="str">
        <f>+[1]V443Her!F61</f>
        <v>JRF</v>
      </c>
      <c r="G72" s="25">
        <f>+[1]V443Her!I61</f>
        <v>8973</v>
      </c>
      <c r="H72" s="7">
        <f>+[1]V443Her!P61</f>
        <v>6420</v>
      </c>
      <c r="I72" s="7">
        <f>+[1]V443Her!Q61</f>
        <v>6694</v>
      </c>
      <c r="J72" s="2" t="str">
        <f>+[1]V443Her!X61</f>
        <v>asdb_v443her_20180828_185.fit</v>
      </c>
      <c r="K72" s="7">
        <v>6779</v>
      </c>
      <c r="L72" s="11">
        <v>3935</v>
      </c>
      <c r="M72" s="26"/>
    </row>
    <row r="73" spans="2:13" ht="15.75" x14ac:dyDescent="0.25">
      <c r="B73" s="22">
        <f>+[1]V443Her!B62</f>
        <v>50</v>
      </c>
      <c r="C73" s="23">
        <f>+[1]V443Her!C62</f>
        <v>43342</v>
      </c>
      <c r="D73" s="24">
        <f>+[1]V443Her!D62</f>
        <v>0.1812384259259259</v>
      </c>
      <c r="E73" s="22">
        <f>+[1]V443Her!E62</f>
        <v>2458360.7392000002</v>
      </c>
      <c r="F73" s="22" t="str">
        <f>+[1]V443Her!F62</f>
        <v>JRF</v>
      </c>
      <c r="G73" s="25">
        <f>+[1]V443Her!I62</f>
        <v>3224</v>
      </c>
      <c r="H73" s="7">
        <f>+[1]V443Her!P62</f>
        <v>3772</v>
      </c>
      <c r="I73" s="7">
        <f>+[1]V443Her!Q62</f>
        <v>4084</v>
      </c>
      <c r="J73" s="2" t="str">
        <f>+[1]V443Her!X62</f>
        <v>asdb_v443her_20180830_181.fit</v>
      </c>
      <c r="K73" s="7">
        <v>6779</v>
      </c>
      <c r="L73" s="11">
        <v>3935</v>
      </c>
      <c r="M73" s="26"/>
    </row>
    <row r="74" spans="2:13" ht="15.75" x14ac:dyDescent="0.25">
      <c r="B74" s="22">
        <f>+[1]V443Her!B63</f>
        <v>51</v>
      </c>
      <c r="C74" s="23">
        <f>+[1]V443Her!C63</f>
        <v>43343</v>
      </c>
      <c r="D74" s="24">
        <f>+[1]V443Her!D63</f>
        <v>0.18000000000000002</v>
      </c>
      <c r="E74" s="22">
        <f>+[1]V443Her!E63</f>
        <v>2458361.7152</v>
      </c>
      <c r="F74" s="22" t="str">
        <f>+[1]V443Her!F63</f>
        <v>JRF</v>
      </c>
      <c r="G74" s="25">
        <f>+[1]V443Her!I63</f>
        <v>5975</v>
      </c>
      <c r="H74" s="7">
        <f>+[1]V443Her!P63</f>
        <v>4715</v>
      </c>
      <c r="I74" s="7">
        <f>+[1]V443Her!Q63</f>
        <v>5019</v>
      </c>
      <c r="J74" s="2" t="str">
        <f>+[1]V443Her!X63</f>
        <v>asdb_v443her_20180831_180.fit</v>
      </c>
      <c r="K74" s="7">
        <v>6779</v>
      </c>
      <c r="L74" s="11">
        <v>3935</v>
      </c>
      <c r="M74" s="26"/>
    </row>
    <row r="75" spans="2:13" ht="15.75" x14ac:dyDescent="0.25">
      <c r="B75" s="22">
        <f>+[1]V443Her!B64</f>
        <v>52</v>
      </c>
      <c r="C75" s="23">
        <f>+[1]V443Her!C64</f>
        <v>43369</v>
      </c>
      <c r="D75" s="24">
        <f>+[1]V443Her!D64</f>
        <v>0.80740740740740735</v>
      </c>
      <c r="E75" s="22">
        <f>+[1]V443Her!E64</f>
        <v>2458388.3248000001</v>
      </c>
      <c r="F75" s="22" t="str">
        <f>+[1]V443Her!F64</f>
        <v>FCA</v>
      </c>
      <c r="G75" s="25">
        <f>+[1]V443Her!I64</f>
        <v>740</v>
      </c>
      <c r="H75" s="7">
        <f>+[1]V443Her!P64</f>
        <v>3860</v>
      </c>
      <c r="I75" s="7">
        <f>+[1]V443Her!Q64</f>
        <v>7415</v>
      </c>
      <c r="J75" s="2" t="str">
        <f>+[1]V443Her!X64</f>
        <v>asdb_v443her_20180926_807.fit</v>
      </c>
      <c r="K75" s="7">
        <v>6779</v>
      </c>
      <c r="L75" s="11">
        <v>3935</v>
      </c>
      <c r="M75" s="26"/>
    </row>
    <row r="76" spans="2:13" ht="15.75" x14ac:dyDescent="0.25">
      <c r="B76" s="22">
        <f>+[1]V443Her!B65</f>
        <v>53</v>
      </c>
      <c r="C76" s="23">
        <f>+[1]V443Her!C65</f>
        <v>43415</v>
      </c>
      <c r="D76" s="24">
        <f>+[1]V443Her!D65</f>
        <v>0.11973379629629628</v>
      </c>
      <c r="E76" s="22">
        <f>+[1]V443Her!E65</f>
        <v>2458433.6354999999</v>
      </c>
      <c r="F76" s="22" t="str">
        <f>+[1]V443Her!F65</f>
        <v>JRF</v>
      </c>
      <c r="G76" s="25">
        <f>+[1]V443Her!I65</f>
        <v>554</v>
      </c>
      <c r="H76" s="7">
        <f>+[1]V443Her!P65</f>
        <v>3750</v>
      </c>
      <c r="I76" s="7">
        <f>+[1]V443Her!Q65</f>
        <v>7400</v>
      </c>
      <c r="J76" s="2" t="str">
        <f>+[1]V443Her!X65</f>
        <v>asdb_v443her_20181111_120.fit</v>
      </c>
      <c r="K76" s="7">
        <v>6779</v>
      </c>
      <c r="L76" s="11">
        <v>3935</v>
      </c>
      <c r="M76" s="26"/>
    </row>
    <row r="77" spans="2:13" ht="15.75" x14ac:dyDescent="0.25">
      <c r="B77" s="22">
        <f>+[1]V443Her!B66</f>
        <v>54</v>
      </c>
      <c r="C77" s="23">
        <f>+[1]V443Her!C66</f>
        <v>43415</v>
      </c>
      <c r="D77" s="24">
        <f>+[1]V443Her!D66</f>
        <v>0.11973379629629628</v>
      </c>
      <c r="E77" s="22">
        <f>+[1]V443Her!E66</f>
        <v>2458433.6354999999</v>
      </c>
      <c r="F77" s="22" t="str">
        <f>+[1]V443Her!F66</f>
        <v>JRF</v>
      </c>
      <c r="G77" s="25">
        <f>+[1]V443Her!I66</f>
        <v>554</v>
      </c>
      <c r="H77" s="7">
        <f>+[1]V443Her!P66</f>
        <v>3750</v>
      </c>
      <c r="I77" s="7">
        <f>+[1]V443Her!Q66</f>
        <v>7400</v>
      </c>
      <c r="J77" s="2" t="str">
        <f>+[1]V443Her!X66</f>
        <v>asdb_v443her_20181111_120.fit</v>
      </c>
      <c r="K77" s="7">
        <v>6779</v>
      </c>
      <c r="L77" s="11">
        <v>3935</v>
      </c>
      <c r="M77" s="26"/>
    </row>
    <row r="78" spans="2:13" ht="15.75" x14ac:dyDescent="0.25">
      <c r="B78" s="22">
        <f>+[1]V443Her!B67</f>
        <v>55</v>
      </c>
      <c r="C78" s="23">
        <f>+[1]V443Her!C67</f>
        <v>43416</v>
      </c>
      <c r="D78" s="24">
        <f>+[1]V443Her!D67</f>
        <v>0.11052083333333333</v>
      </c>
      <c r="E78" s="22">
        <f>+[1]V443Her!E67</f>
        <v>2458434.6247999999</v>
      </c>
      <c r="F78" s="22" t="str">
        <f>+[1]V443Her!F67</f>
        <v>JRF</v>
      </c>
      <c r="G78" s="25">
        <f>+[1]V443Her!I67</f>
        <v>745</v>
      </c>
      <c r="H78" s="7">
        <f>+[1]V443Her!P67</f>
        <v>6207</v>
      </c>
      <c r="I78" s="7">
        <f>+[1]V443Her!Q67</f>
        <v>9629</v>
      </c>
      <c r="J78" s="2" t="str">
        <f>+[1]V443Her!X67</f>
        <v>asdb_v443her_20181112_111.fit</v>
      </c>
      <c r="K78" s="7">
        <v>6779</v>
      </c>
      <c r="L78" s="11">
        <v>3935</v>
      </c>
      <c r="M78" s="26"/>
    </row>
    <row r="79" spans="2:13" ht="15.75" x14ac:dyDescent="0.25">
      <c r="B79" s="22">
        <f>+[1]V443Her!B68</f>
        <v>56</v>
      </c>
      <c r="C79" s="23">
        <f>+[1]V443Her!C68</f>
        <v>43445</v>
      </c>
      <c r="D79" s="24">
        <f>+[1]V443Her!D68</f>
        <v>0.11052083333333333</v>
      </c>
      <c r="E79" s="22">
        <f>+[1]V443Her!E68</f>
        <v>2458434.6247999999</v>
      </c>
      <c r="F79" s="22" t="str">
        <f>+[1]V443Her!F68</f>
        <v>JRF</v>
      </c>
      <c r="G79" s="25">
        <f>+[1]V443Her!I68</f>
        <v>745</v>
      </c>
      <c r="H79" s="7">
        <f>+[1]V443Her!P68</f>
        <v>6207</v>
      </c>
      <c r="I79" s="7">
        <f>+[1]V443Her!Q68</f>
        <v>9629</v>
      </c>
      <c r="J79" s="2" t="str">
        <f>+[1]V443Her!X68</f>
        <v>asdb_v443her_20181211_111.fit</v>
      </c>
      <c r="K79" s="7">
        <v>6779</v>
      </c>
      <c r="L79" s="11">
        <v>3935</v>
      </c>
      <c r="M79" s="26"/>
    </row>
    <row r="80" spans="2:13" ht="15.75" x14ac:dyDescent="0.25">
      <c r="B80" s="22">
        <f>+[1]V443Her!B69</f>
        <v>57</v>
      </c>
      <c r="C80" s="23">
        <f>+[1]V443Her!C69</f>
        <v>43603</v>
      </c>
      <c r="D80" s="24">
        <f>+[1]V443Her!D69</f>
        <v>0.30988425925925928</v>
      </c>
      <c r="E80" s="22">
        <f>+[1]V443Her!E69</f>
        <v>2458621.8256000001</v>
      </c>
      <c r="F80" s="22" t="str">
        <f>+[1]V443Her!F69</f>
        <v>FAS</v>
      </c>
      <c r="G80" s="25">
        <f>+[1]V443Her!I69</f>
        <v>1048</v>
      </c>
      <c r="H80" s="7">
        <f>+[1]V443Her!P69</f>
        <v>3726</v>
      </c>
      <c r="I80" s="7">
        <f>+[1]V443Her!Q69</f>
        <v>7275</v>
      </c>
      <c r="J80" s="2" t="str">
        <f>+[1]V443Her!X69</f>
        <v>asdb_v443her_20190518_310.fit</v>
      </c>
      <c r="K80" s="7">
        <v>6779</v>
      </c>
      <c r="L80" s="11">
        <v>3935</v>
      </c>
      <c r="M80" s="26"/>
    </row>
    <row r="81" spans="2:14" ht="15.75" x14ac:dyDescent="0.25">
      <c r="B81" s="22">
        <f>+[1]V443Her!B70</f>
        <v>58</v>
      </c>
      <c r="C81" s="23">
        <f>+[1]V443Her!C70</f>
        <v>43617</v>
      </c>
      <c r="D81" s="24">
        <f>+[1]V443Her!D70</f>
        <v>0.97174768518518517</v>
      </c>
      <c r="E81" s="22">
        <f>+[1]V443Her!E70</f>
        <v>2458636.4961000001</v>
      </c>
      <c r="F81" s="22" t="str">
        <f>+[1]V443Her!F70</f>
        <v xml:space="preserve">FMT </v>
      </c>
      <c r="G81" s="25">
        <f>+[1]V443Her!I70</f>
        <v>11000</v>
      </c>
      <c r="H81" s="7">
        <f>+[1]V443Her!P70</f>
        <v>4035</v>
      </c>
      <c r="I81" s="7">
        <f>+[1]V443Her!Q70</f>
        <v>7352</v>
      </c>
      <c r="J81" s="2" t="str">
        <f>+[1]V443Her!X70</f>
        <v>asdb_v443her_20190601_972.fit</v>
      </c>
      <c r="K81" s="7">
        <v>6779</v>
      </c>
      <c r="L81" s="11">
        <v>3935</v>
      </c>
      <c r="M81" s="26"/>
    </row>
    <row r="82" spans="2:14" ht="15.75" x14ac:dyDescent="0.25">
      <c r="B82" s="22">
        <f>+[1]V443Her!B71</f>
        <v>59</v>
      </c>
      <c r="C82" s="23">
        <f>+[1]V443Her!C71</f>
        <v>43648</v>
      </c>
      <c r="D82" s="24">
        <f>+[1]V443Her!D71</f>
        <v>0.88650462962962961</v>
      </c>
      <c r="E82" s="22">
        <f>+[1]V443Her!E71</f>
        <v>2458667.4213</v>
      </c>
      <c r="F82" s="22" t="str">
        <f>+[1]V443Her!F71</f>
        <v>JGF</v>
      </c>
      <c r="G82" s="25">
        <f>+[1]V443Her!I71</f>
        <v>9000</v>
      </c>
      <c r="H82" s="7">
        <f>+[1]V443Her!P71</f>
        <v>3997</v>
      </c>
      <c r="I82" s="7">
        <f>+[1]V443Her!Q71</f>
        <v>8013</v>
      </c>
      <c r="J82" s="2" t="str">
        <f>+[1]V443Her!X71</f>
        <v>asdb_v443her_20190702_887.fit</v>
      </c>
      <c r="K82" s="7">
        <v>6779</v>
      </c>
      <c r="L82" s="11">
        <v>3935</v>
      </c>
      <c r="M82" s="26"/>
    </row>
    <row r="83" spans="2:14" ht="15.75" x14ac:dyDescent="0.25">
      <c r="B83" s="22">
        <f>+[1]V443Her!B72</f>
        <v>60</v>
      </c>
      <c r="C83" s="23">
        <f>+[1]V443Her!C72</f>
        <v>43667</v>
      </c>
      <c r="D83" s="24">
        <f>+[1]V443Her!D72</f>
        <v>0.83197916666666671</v>
      </c>
      <c r="E83" s="22">
        <f>+[1]V443Her!E72</f>
        <v>2458686.3465999998</v>
      </c>
      <c r="F83" s="22" t="str">
        <f>+[1]V443Her!F72</f>
        <v>FRA</v>
      </c>
      <c r="G83" s="25">
        <f>+[1]V443Her!I72</f>
        <v>528</v>
      </c>
      <c r="H83" s="7">
        <f>+[1]V443Her!P72</f>
        <v>3827</v>
      </c>
      <c r="I83" s="7">
        <f>+[1]V443Her!Q72</f>
        <v>7240</v>
      </c>
      <c r="J83" s="2" t="str">
        <f>+[1]V443Her!X72</f>
        <v>asdb_v443her_20190721_832.fit</v>
      </c>
      <c r="K83" s="7">
        <v>6779</v>
      </c>
      <c r="L83" s="11">
        <v>3935</v>
      </c>
      <c r="M83" s="26"/>
    </row>
    <row r="84" spans="2:14" ht="15.75" x14ac:dyDescent="0.25">
      <c r="B84" s="22">
        <f>+[1]V443Her!B73</f>
        <v>61</v>
      </c>
      <c r="C84" s="23">
        <f>+[1]V443Her!C73</f>
        <v>43702</v>
      </c>
      <c r="D84" s="24">
        <f>+[1]V443Her!D73</f>
        <v>4.4027777777777777E-2</v>
      </c>
      <c r="E84" s="22">
        <f>+[1]V443Her!E73</f>
        <v>2458720.608</v>
      </c>
      <c r="F84" s="22" t="str">
        <f>+[1]V443Her!F73</f>
        <v>LES</v>
      </c>
      <c r="G84" s="25">
        <f>+[1]V443Her!I73</f>
        <v>12000</v>
      </c>
      <c r="H84" s="7">
        <f>+[1]V443Her!P73</f>
        <v>4030</v>
      </c>
      <c r="I84" s="7">
        <f>+[1]V443Her!Q73</f>
        <v>7955</v>
      </c>
      <c r="J84" s="2" t="str">
        <f>+[1]V443Her!X73</f>
        <v>asdb_v443her_20190825_044.fit</v>
      </c>
      <c r="K84" s="7">
        <v>6779</v>
      </c>
      <c r="L84" s="11">
        <v>3935</v>
      </c>
      <c r="M84" s="26"/>
    </row>
    <row r="85" spans="2:14" ht="15.75" x14ac:dyDescent="0.25">
      <c r="B85" s="22">
        <f>+[1]V443Her!B74</f>
        <v>62</v>
      </c>
      <c r="C85" s="23">
        <f>+[1]V443Her!C74</f>
        <v>43704</v>
      </c>
      <c r="D85" s="24">
        <f>+[1]V443Her!D74</f>
        <v>0.28696759259259258</v>
      </c>
      <c r="E85" s="22">
        <f>+[1]V443Her!E74</f>
        <v>2458722.8067000001</v>
      </c>
      <c r="F85" s="22" t="str">
        <f>+[1]V443Her!F74</f>
        <v>JRF</v>
      </c>
      <c r="G85" s="25">
        <f>+[1]V443Her!I74</f>
        <v>408</v>
      </c>
      <c r="H85" s="7">
        <f>+[1]V443Her!P74</f>
        <v>3671</v>
      </c>
      <c r="I85" s="7">
        <f>+[1]V443Her!Q74</f>
        <v>7400</v>
      </c>
      <c r="J85" s="2" t="str">
        <f>+[1]V443Her!X74</f>
        <v>asdb_v443her_20190827_287.fit</v>
      </c>
      <c r="K85" s="7">
        <v>6779</v>
      </c>
      <c r="L85" s="11">
        <v>3935</v>
      </c>
      <c r="M85" s="26"/>
    </row>
    <row r="86" spans="2:14" ht="15.75" x14ac:dyDescent="0.25">
      <c r="B86" s="22">
        <f>+[1]V443Her!B75</f>
        <v>63</v>
      </c>
      <c r="C86" s="23">
        <f>+[1]V443Her!C75</f>
        <v>43705</v>
      </c>
      <c r="D86" s="24">
        <f>+[1]V443Her!D75</f>
        <v>0.85988425925925915</v>
      </c>
      <c r="E86" s="22">
        <f>+[1]V443Her!E75</f>
        <v>2458724.3703999999</v>
      </c>
      <c r="F86" s="22" t="str">
        <f>+[1]V443Her!F75</f>
        <v>FCA</v>
      </c>
      <c r="G86" s="25">
        <f>+[1]V443Her!I75</f>
        <v>920</v>
      </c>
      <c r="H86" s="7">
        <f>+[1]V443Her!P75</f>
        <v>3805</v>
      </c>
      <c r="I86" s="7">
        <f>+[1]V443Her!Q75</f>
        <v>7342</v>
      </c>
      <c r="J86" s="2" t="str">
        <f>+[1]V443Her!X75</f>
        <v>asdb_v443her_20190828_860.fit</v>
      </c>
      <c r="K86" s="7">
        <v>6779</v>
      </c>
      <c r="L86" s="11">
        <v>3935</v>
      </c>
      <c r="M86" s="26"/>
    </row>
    <row r="87" spans="2:14" ht="15.75" x14ac:dyDescent="0.25">
      <c r="B87" s="22">
        <f>+[1]V443Her!B76</f>
        <v>64</v>
      </c>
      <c r="C87" s="23">
        <f>+[1]V443Her!C76</f>
        <v>43707</v>
      </c>
      <c r="D87" s="24">
        <f>+[1]V443Her!D76</f>
        <v>0.17980324074074075</v>
      </c>
      <c r="E87" s="22">
        <f>+[1]V443Her!E76</f>
        <v>2458725.6946</v>
      </c>
      <c r="F87" s="22" t="str">
        <f>+[1]V443Her!F76</f>
        <v>JRF</v>
      </c>
      <c r="G87" s="25">
        <f>+[1]V443Her!I76</f>
        <v>996</v>
      </c>
      <c r="H87" s="7">
        <f>+[1]V443Her!P76</f>
        <v>6255</v>
      </c>
      <c r="I87" s="7">
        <f>+[1]V443Her!Q76</f>
        <v>9550</v>
      </c>
      <c r="J87" s="2" t="str">
        <f>+[1]V443Her!X76</f>
        <v>asdb_v443her_20190830_180.fit</v>
      </c>
      <c r="K87" s="7">
        <v>6779</v>
      </c>
      <c r="L87" s="11">
        <v>3935</v>
      </c>
      <c r="M87" s="26"/>
    </row>
    <row r="88" spans="2:14" ht="15.75" x14ac:dyDescent="0.25">
      <c r="B88" s="22">
        <f>+[1]V443Her!B77</f>
        <v>65</v>
      </c>
      <c r="C88" s="23">
        <f>+[1]V443Her!C77</f>
        <v>43756</v>
      </c>
      <c r="D88" s="24">
        <f>+[1]V443Her!D77</f>
        <v>0.1125</v>
      </c>
      <c r="E88" s="22">
        <f>+[1]V443Her!E77</f>
        <v>2458774.6282000002</v>
      </c>
      <c r="F88" s="22" t="str">
        <f>+[1]V443Her!F77</f>
        <v>FAS</v>
      </c>
      <c r="G88" s="25">
        <f>+[1]V443Her!I77</f>
        <v>954</v>
      </c>
      <c r="H88" s="7">
        <f>+[1]V443Her!P77</f>
        <v>3715</v>
      </c>
      <c r="I88" s="7">
        <f>+[1]V443Her!Q77</f>
        <v>7301</v>
      </c>
      <c r="J88" s="2" t="str">
        <f>+[1]V443Her!X77</f>
        <v>asdb_v443her_20191018_113.fit</v>
      </c>
      <c r="K88" s="7">
        <v>6779</v>
      </c>
      <c r="L88" s="11">
        <v>3935</v>
      </c>
      <c r="M88" s="26"/>
    </row>
    <row r="89" spans="2:14" ht="15.75" x14ac:dyDescent="0.25">
      <c r="B89" s="22">
        <f>+[1]V443Her!B78</f>
        <v>66</v>
      </c>
      <c r="C89" s="23">
        <f>+[1]V443Her!C78</f>
        <v>43936</v>
      </c>
      <c r="D89" s="24">
        <f>+[1]V443Her!D78</f>
        <v>7.6134259259259263E-2</v>
      </c>
      <c r="E89" s="22">
        <f>+[1]V443Her!E78</f>
        <v>2458954.6006999998</v>
      </c>
      <c r="F89" s="22" t="str">
        <f>+[1]V443Her!F78</f>
        <v>IBR</v>
      </c>
      <c r="G89" s="25">
        <f>+[1]V443Her!I78</f>
        <v>701</v>
      </c>
      <c r="H89" s="7">
        <f>+[1]V443Her!P78</f>
        <v>3377</v>
      </c>
      <c r="I89" s="7">
        <f>+[1]V443Her!Q78</f>
        <v>5961</v>
      </c>
      <c r="J89" s="2" t="str">
        <f>+[1]V443Her!X78</f>
        <v>asdb_v443her_20200415_076.fit</v>
      </c>
      <c r="K89" s="7">
        <v>6779</v>
      </c>
      <c r="L89" s="11">
        <v>3935</v>
      </c>
      <c r="M89" s="26">
        <f t="shared" ref="M89:M97" si="0">+E89-2450000</f>
        <v>8954.6006999998353</v>
      </c>
      <c r="N89">
        <f t="shared" ref="N89:N97" si="1">+O$22</f>
        <v>11</v>
      </c>
    </row>
    <row r="90" spans="2:14" ht="15.75" x14ac:dyDescent="0.25">
      <c r="B90" s="22">
        <f>+[1]V443Her!B79</f>
        <v>67</v>
      </c>
      <c r="C90" s="23">
        <f>+[1]V443Her!C79</f>
        <v>43937</v>
      </c>
      <c r="D90" s="24">
        <f>+[1]V443Her!D79</f>
        <v>6.5995370370370371E-2</v>
      </c>
      <c r="E90" s="22">
        <f>+[1]V443Her!E79</f>
        <v>2458955.5888</v>
      </c>
      <c r="F90" s="22" t="str">
        <f>+[1]V443Her!F79</f>
        <v>CBO</v>
      </c>
      <c r="G90" s="25">
        <f>+[1]V443Her!I79</f>
        <v>506</v>
      </c>
      <c r="H90" s="7">
        <f>+[1]V443Her!P79</f>
        <v>3700</v>
      </c>
      <c r="I90" s="7">
        <f>+[1]V443Her!Q79</f>
        <v>7565</v>
      </c>
      <c r="J90" s="2" t="str">
        <f>+[1]V443Her!X79</f>
        <v>asdb_v443her_20200416_066.fit</v>
      </c>
      <c r="K90" s="7">
        <v>6779</v>
      </c>
      <c r="L90" s="11">
        <v>3935</v>
      </c>
      <c r="M90" s="26">
        <f t="shared" si="0"/>
        <v>8955.5888000000268</v>
      </c>
      <c r="N90">
        <f t="shared" si="1"/>
        <v>11</v>
      </c>
    </row>
    <row r="91" spans="2:14" ht="15.75" x14ac:dyDescent="0.25">
      <c r="B91" s="22">
        <f>+[1]V443Her!B80</f>
        <v>68</v>
      </c>
      <c r="C91" s="23">
        <f>+[1]V443Her!C80</f>
        <v>43937</v>
      </c>
      <c r="D91" s="24">
        <f>+[1]V443Her!D80</f>
        <v>0.43533564814814812</v>
      </c>
      <c r="E91" s="22">
        <f>+[1]V443Her!E80</f>
        <v>2458955.9624000001</v>
      </c>
      <c r="F91" s="22" t="str">
        <f>+[1]V443Her!F80</f>
        <v>FAS</v>
      </c>
      <c r="G91" s="25">
        <f>+[1]V443Her!I80</f>
        <v>1038</v>
      </c>
      <c r="H91" s="7">
        <f>+[1]V443Her!P80</f>
        <v>3713</v>
      </c>
      <c r="I91" s="7">
        <f>+[1]V443Her!Q80</f>
        <v>7302</v>
      </c>
      <c r="J91" s="2" t="str">
        <f>+[1]V443Her!X80</f>
        <v>asdb_v443her_20200416_435.fit</v>
      </c>
      <c r="K91" s="7">
        <v>6779</v>
      </c>
      <c r="L91" s="11">
        <v>3935</v>
      </c>
      <c r="M91" s="26">
        <f t="shared" si="0"/>
        <v>8955.9624000000767</v>
      </c>
      <c r="N91">
        <f t="shared" si="1"/>
        <v>11</v>
      </c>
    </row>
    <row r="92" spans="2:14" ht="15.75" x14ac:dyDescent="0.25">
      <c r="B92" s="22">
        <f>+[1]V443Her!B81</f>
        <v>69</v>
      </c>
      <c r="C92" s="23">
        <f>+[1]V443Her!C81</f>
        <v>43941</v>
      </c>
      <c r="D92" s="24">
        <f>+[1]V443Her!D81</f>
        <v>0.88495370370370363</v>
      </c>
      <c r="E92" s="22">
        <f>+[1]V443Her!E81</f>
        <v>2458960.4131</v>
      </c>
      <c r="F92" s="22" t="str">
        <f>+[1]V443Her!F81</f>
        <v>PDTM</v>
      </c>
      <c r="G92" s="25">
        <f>+[1]V443Her!I81</f>
        <v>767</v>
      </c>
      <c r="H92" s="7">
        <f>+[1]V443Her!P81</f>
        <v>3850</v>
      </c>
      <c r="I92" s="7">
        <f>+[1]V443Her!Q81</f>
        <v>7590</v>
      </c>
      <c r="J92" s="2" t="str">
        <f>+[1]V443Her!X81</f>
        <v>asdb_v443her_20200420_885.fit</v>
      </c>
      <c r="K92" s="7">
        <v>6779</v>
      </c>
      <c r="L92" s="11">
        <v>3935</v>
      </c>
      <c r="M92" s="26">
        <f t="shared" si="0"/>
        <v>8960.4131000000052</v>
      </c>
      <c r="N92">
        <f t="shared" si="1"/>
        <v>11</v>
      </c>
    </row>
    <row r="93" spans="2:14" ht="15.75" x14ac:dyDescent="0.25">
      <c r="B93" s="22">
        <f>+[1]V443Her!B82</f>
        <v>70</v>
      </c>
      <c r="C93" s="23">
        <f>+[1]V443Her!C82</f>
        <v>43946</v>
      </c>
      <c r="D93" s="24">
        <f>+[1]V443Her!D82</f>
        <v>0.12752314814814816</v>
      </c>
      <c r="E93" s="22">
        <f>+[1]V443Her!E82</f>
        <v>2458964.6387</v>
      </c>
      <c r="F93" s="22" t="str">
        <f>+[1]V443Her!F82</f>
        <v>PCA</v>
      </c>
      <c r="G93" s="25">
        <f>+[1]V443Her!I82</f>
        <v>607</v>
      </c>
      <c r="H93" s="7">
        <f>+[1]V443Her!P82</f>
        <v>3801</v>
      </c>
      <c r="I93" s="7">
        <f>+[1]V443Her!Q82</f>
        <v>7299</v>
      </c>
      <c r="J93" s="2" t="str">
        <f>+[1]V443Her!X82</f>
        <v>asdb_v443her_20200425_128.fit</v>
      </c>
      <c r="K93" s="7">
        <v>6779</v>
      </c>
      <c r="L93" s="11">
        <v>3935</v>
      </c>
      <c r="M93" s="26">
        <f t="shared" si="0"/>
        <v>8964.6387000000104</v>
      </c>
      <c r="N93">
        <f t="shared" si="1"/>
        <v>11</v>
      </c>
    </row>
    <row r="94" spans="2:14" ht="15.75" x14ac:dyDescent="0.25">
      <c r="B94" s="22">
        <f>+[1]V443Her!B83</f>
        <v>71</v>
      </c>
      <c r="C94" s="23">
        <f>+[1]V443Her!C83</f>
        <v>43947</v>
      </c>
      <c r="D94" s="24">
        <f>+[1]V443Her!D83</f>
        <v>9.6435185185185179E-2</v>
      </c>
      <c r="E94" s="22">
        <f>+[1]V443Her!E83</f>
        <v>2458965.6069</v>
      </c>
      <c r="F94" s="22" t="str">
        <f>+[1]V443Her!F83</f>
        <v>IBR</v>
      </c>
      <c r="G94" s="25">
        <f>+[1]V443Her!I83</f>
        <v>610</v>
      </c>
      <c r="H94" s="7">
        <f>+[1]V443Her!P83</f>
        <v>3603</v>
      </c>
      <c r="I94" s="7">
        <f>+[1]V443Her!Q83</f>
        <v>6104</v>
      </c>
      <c r="J94" s="2" t="str">
        <f>+[1]V443Her!X83</f>
        <v>asdb_v443her_20200426_096.fit</v>
      </c>
      <c r="K94" s="7">
        <v>6779</v>
      </c>
      <c r="L94" s="11">
        <v>3935</v>
      </c>
      <c r="M94" s="26">
        <f t="shared" si="0"/>
        <v>8965.6069000000134</v>
      </c>
      <c r="N94">
        <f t="shared" si="1"/>
        <v>11</v>
      </c>
    </row>
    <row r="95" spans="2:14" ht="15.75" x14ac:dyDescent="0.25">
      <c r="B95" s="22">
        <f>+[1]V443Her!B84</f>
        <v>72</v>
      </c>
      <c r="C95" s="23" t="str">
        <f>+[1]V443Her!C84</f>
        <v>06/05/2020</v>
      </c>
      <c r="D95" s="24">
        <f>+[1]V443Her!D84</f>
        <v>0.3125</v>
      </c>
      <c r="E95" s="22">
        <f>+[1]V443Her!E84</f>
        <v>2458975.835</v>
      </c>
      <c r="F95" s="22" t="str">
        <f>+[1]V443Her!F84</f>
        <v>FAS</v>
      </c>
      <c r="G95" s="25">
        <f>+[1]V443Her!I84</f>
        <v>1057</v>
      </c>
      <c r="H95" s="7">
        <f>+[1]V443Her!P84</f>
        <v>3712</v>
      </c>
      <c r="I95" s="7">
        <f>+[1]V443Her!Q84</f>
        <v>7300</v>
      </c>
      <c r="J95" s="2" t="str">
        <f>+[1]V443Her!X84</f>
        <v>asdb_v443her_20200506_312.fit</v>
      </c>
      <c r="K95" s="7">
        <v>6779</v>
      </c>
      <c r="L95" s="11">
        <v>3935</v>
      </c>
      <c r="M95" s="26">
        <f t="shared" si="0"/>
        <v>8975.8349999999627</v>
      </c>
      <c r="N95">
        <f t="shared" si="1"/>
        <v>11</v>
      </c>
    </row>
    <row r="96" spans="2:14" ht="15.75" x14ac:dyDescent="0.25">
      <c r="B96" s="22">
        <f>+[1]V443Her!B85</f>
        <v>73</v>
      </c>
      <c r="C96" s="23">
        <f>+[1]V443Her!C85</f>
        <v>43965</v>
      </c>
      <c r="D96" s="24">
        <f>+[1]V443Her!D85</f>
        <v>0.19672453703703704</v>
      </c>
      <c r="E96" s="22">
        <f>+[1]V443Her!E85</f>
        <v>2458983.7609999999</v>
      </c>
      <c r="F96" s="22" t="str">
        <f>+[1]V443Her!F85</f>
        <v>LES</v>
      </c>
      <c r="G96" s="25">
        <f>+[1]V443Her!I85</f>
        <v>14000</v>
      </c>
      <c r="H96" s="7">
        <f>+[1]V443Her!P85</f>
        <v>4030</v>
      </c>
      <c r="I96" s="7">
        <f>+[1]V443Her!Q85</f>
        <v>7955</v>
      </c>
      <c r="J96" s="2" t="str">
        <f>+[1]V443Her!X85</f>
        <v>asdb_v443her_20200514_197.fit</v>
      </c>
      <c r="K96" s="7">
        <v>6779</v>
      </c>
      <c r="L96" s="11">
        <v>3935</v>
      </c>
      <c r="M96" s="26">
        <f t="shared" si="0"/>
        <v>8983.7609999999404</v>
      </c>
      <c r="N96">
        <f t="shared" si="1"/>
        <v>11</v>
      </c>
    </row>
    <row r="97" spans="2:14" ht="15.75" x14ac:dyDescent="0.25">
      <c r="B97" s="22">
        <f>+[1]V443Her!B86</f>
        <v>74</v>
      </c>
      <c r="C97" s="23" t="str">
        <f>+[1]V443Her!C86</f>
        <v>18/05/2020</v>
      </c>
      <c r="D97" s="24">
        <f>+[1]V443Her!D86</f>
        <v>1.4583333333333332E-2</v>
      </c>
      <c r="E97" s="22">
        <f>+[1]V443Her!E86</f>
        <v>2458987.514</v>
      </c>
      <c r="F97" s="22" t="str">
        <f>+[1]V443Her!F86</f>
        <v>CBO</v>
      </c>
      <c r="G97" s="25">
        <f>+[1]V443Her!I86</f>
        <v>504</v>
      </c>
      <c r="H97" s="7">
        <f>+[1]V443Her!P86</f>
        <v>3700</v>
      </c>
      <c r="I97" s="7">
        <f>+[1]V443Her!Q86</f>
        <v>7565</v>
      </c>
      <c r="J97" s="2" t="str">
        <f>+[1]V443Her!X86</f>
        <v>asdb_v443her_20200518_014.fit</v>
      </c>
      <c r="K97" s="7">
        <v>6779</v>
      </c>
      <c r="L97" s="11">
        <v>3935</v>
      </c>
      <c r="M97" s="26">
        <f t="shared" si="0"/>
        <v>8987.5139999999665</v>
      </c>
      <c r="N97">
        <f t="shared" si="1"/>
        <v>11</v>
      </c>
    </row>
    <row r="98" spans="2:14" ht="15.75" x14ac:dyDescent="0.25">
      <c r="B98" s="22">
        <f>+[1]V443Her!B87</f>
        <v>75</v>
      </c>
      <c r="C98" s="23">
        <f>+[1]V443Her!C87</f>
        <v>43971</v>
      </c>
      <c r="D98" s="24">
        <f>+[1]V443Her!D87</f>
        <v>0.90905092592592596</v>
      </c>
      <c r="E98" s="22">
        <f>+[1]V443Her!E87</f>
        <v>2458990.4308000002</v>
      </c>
      <c r="F98" s="22" t="str">
        <f>+[1]V443Her!F87</f>
        <v>DBO</v>
      </c>
      <c r="G98" s="25">
        <f>+[1]V443Her!I87</f>
        <v>1055</v>
      </c>
      <c r="H98" s="7">
        <f>+[1]V443Her!P87</f>
        <v>3900</v>
      </c>
      <c r="I98" s="7">
        <f>+[1]V443Her!Q87</f>
        <v>7380</v>
      </c>
      <c r="J98" s="2" t="str">
        <f>+[1]V443Her!X87</f>
        <v>asdb_v443her_20200520_909.fit</v>
      </c>
      <c r="K98" s="7">
        <v>6779</v>
      </c>
      <c r="L98" s="11">
        <v>3935</v>
      </c>
      <c r="M98" s="26">
        <f t="shared" ref="M98:M99" si="2">+E98-2450000</f>
        <v>8990.4308000002056</v>
      </c>
      <c r="N98">
        <f t="shared" ref="N98:N99" si="3">+O$22</f>
        <v>11</v>
      </c>
    </row>
    <row r="99" spans="2:14" ht="15.75" x14ac:dyDescent="0.25">
      <c r="B99" s="22">
        <f>+[1]V443Her!B88</f>
        <v>76</v>
      </c>
      <c r="C99" s="23">
        <f>+[1]V443Her!C88</f>
        <v>43977</v>
      </c>
      <c r="D99" s="24">
        <f>+[1]V443Her!D88</f>
        <v>7.1180555555555554E-3</v>
      </c>
      <c r="E99" s="22">
        <f>+[1]V443Her!E88</f>
        <v>2458995.5244999998</v>
      </c>
      <c r="F99" s="22" t="str">
        <f>+[1]V443Her!F88</f>
        <v>IBR</v>
      </c>
      <c r="G99" s="25">
        <f>+[1]V443Her!I88</f>
        <v>551</v>
      </c>
      <c r="H99" s="7">
        <f>+[1]V443Her!P88</f>
        <v>3488</v>
      </c>
      <c r="I99" s="7">
        <f>+[1]V443Her!Q88</f>
        <v>6027</v>
      </c>
      <c r="J99" s="2" t="str">
        <f>+[1]V443Her!X88</f>
        <v>asdb_v443her_20200526_007.fit</v>
      </c>
      <c r="K99" s="7">
        <v>6779</v>
      </c>
      <c r="L99" s="11">
        <v>3935</v>
      </c>
      <c r="M99" s="26">
        <f t="shared" si="2"/>
        <v>8995.5244999998249</v>
      </c>
      <c r="N99">
        <f t="shared" si="3"/>
        <v>11</v>
      </c>
    </row>
    <row r="100" spans="2:14" ht="15.75" x14ac:dyDescent="0.25">
      <c r="B100" s="22">
        <f>+[1]V443Her!B89</f>
        <v>77</v>
      </c>
      <c r="C100" s="23">
        <f>+[1]V443Her!C89</f>
        <v>43983</v>
      </c>
      <c r="D100" s="24">
        <f>+[1]V443Her!D89</f>
        <v>0.86958333333333337</v>
      </c>
      <c r="E100" s="22">
        <f>+[1]V443Her!E89</f>
        <v>2459002.3872000002</v>
      </c>
      <c r="F100" s="22" t="str">
        <f>+[1]V443Her!F89</f>
        <v>PDTM</v>
      </c>
      <c r="G100" s="25">
        <f>+[1]V443Her!I89</f>
        <v>820</v>
      </c>
      <c r="H100" s="7">
        <f>+[1]V443Her!P89</f>
        <v>3900</v>
      </c>
      <c r="I100" s="7">
        <f>+[1]V443Her!Q89</f>
        <v>7590</v>
      </c>
      <c r="J100" s="2" t="str">
        <f>+[1]V443Her!X89</f>
        <v>asdb_v443her_20200601_870.fit</v>
      </c>
      <c r="K100" s="7">
        <v>6779</v>
      </c>
      <c r="L100" s="11">
        <v>3935</v>
      </c>
      <c r="M100" s="26">
        <f t="shared" ref="M100" si="4">+E100-2450000</f>
        <v>9002.3872000002302</v>
      </c>
      <c r="N100">
        <f t="shared" ref="N100" si="5">+O$22</f>
        <v>11</v>
      </c>
    </row>
    <row r="101" spans="2:14" ht="15.75" x14ac:dyDescent="0.25">
      <c r="B101" s="22">
        <f>+[1]V443Her!B90</f>
        <v>78</v>
      </c>
      <c r="C101" s="23" t="str">
        <f>+[1]V443Her!C90</f>
        <v>19/07/2020</v>
      </c>
      <c r="D101" s="24">
        <f>+[1]V443Her!D90</f>
        <v>0.97361111111111109</v>
      </c>
      <c r="E101" s="22">
        <f>+[1]V443Her!E90</f>
        <v>2459050.4730000002</v>
      </c>
      <c r="F101" s="22" t="str">
        <f>+[1]V443Her!F90</f>
        <v>DBO</v>
      </c>
      <c r="G101" s="25">
        <f>+[1]V443Her!I90</f>
        <v>1138</v>
      </c>
      <c r="H101" s="7">
        <f>+[1]V443Her!P90</f>
        <v>3900</v>
      </c>
      <c r="I101" s="7">
        <f>+[1]V443Her!Q90</f>
        <v>7380</v>
      </c>
      <c r="J101" s="2" t="str">
        <f>+[1]V443Her!X90</f>
        <v>asdb_v443her_20200719_973.fit</v>
      </c>
      <c r="K101" s="7">
        <v>6779</v>
      </c>
      <c r="L101" s="11">
        <v>3935</v>
      </c>
      <c r="M101" s="26">
        <f t="shared" ref="M101:M107" si="6">+E101-2450000</f>
        <v>9050.473000000231</v>
      </c>
      <c r="N101">
        <f t="shared" ref="N101:N107" si="7">+O$22</f>
        <v>11</v>
      </c>
    </row>
    <row r="102" spans="2:14" ht="15.75" x14ac:dyDescent="0.25">
      <c r="B102" s="22">
        <f>+[1]V443Her!B91</f>
        <v>79</v>
      </c>
      <c r="C102" s="23" t="str">
        <f>+[1]V443Her!C91</f>
        <v>24/07/2020</v>
      </c>
      <c r="D102" s="24">
        <f>+[1]V443Her!D91</f>
        <v>7.6388888888888895E-2</v>
      </c>
      <c r="E102" s="22">
        <f>+[1]V443Her!E91</f>
        <v>2459054.6338999998</v>
      </c>
      <c r="F102" s="22" t="str">
        <f>+[1]V443Her!F91</f>
        <v>LES</v>
      </c>
      <c r="G102" s="25">
        <f>+[1]V443Her!I91</f>
        <v>14000</v>
      </c>
      <c r="H102" s="7">
        <f>+[1]V443Her!P91</f>
        <v>4030</v>
      </c>
      <c r="I102" s="7">
        <f>+[1]V443Her!Q91</f>
        <v>7955</v>
      </c>
      <c r="J102" s="2" t="str">
        <f>+[1]V443Her!X91</f>
        <v>asdb_v443her_20200724_077.fit</v>
      </c>
      <c r="K102" s="7">
        <v>6779</v>
      </c>
      <c r="L102" s="11">
        <v>3935</v>
      </c>
      <c r="M102" s="26">
        <f t="shared" si="6"/>
        <v>9054.6338999997824</v>
      </c>
      <c r="N102">
        <f t="shared" si="7"/>
        <v>11</v>
      </c>
    </row>
    <row r="103" spans="2:14" ht="15.75" x14ac:dyDescent="0.25">
      <c r="B103" s="22">
        <f>+[1]V443Her!B92</f>
        <v>80</v>
      </c>
      <c r="C103" s="23" t="str">
        <f>+[1]V443Her!C92</f>
        <v>13/07/2020</v>
      </c>
      <c r="D103" s="24">
        <f>+[1]V443Her!D92</f>
        <v>0.95416666666666661</v>
      </c>
      <c r="E103" s="22">
        <f>+[1]V443Her!E92</f>
        <v>2459044.4651000001</v>
      </c>
      <c r="F103" s="22" t="str">
        <f>+[1]V443Her!F92</f>
        <v>PDTM</v>
      </c>
      <c r="G103" s="25">
        <f>+[1]V443Her!I92</f>
        <v>871</v>
      </c>
      <c r="H103" s="7">
        <f>+[1]V443Her!P92</f>
        <v>4000</v>
      </c>
      <c r="I103" s="7">
        <f>+[1]V443Her!Q92</f>
        <v>7400</v>
      </c>
      <c r="J103" s="2" t="str">
        <f>+[1]V443Her!X92</f>
        <v>asdb_v443her_20200713_954.fit</v>
      </c>
      <c r="K103" s="7">
        <v>6779</v>
      </c>
      <c r="L103" s="11">
        <v>3935</v>
      </c>
      <c r="M103" s="26">
        <f t="shared" si="6"/>
        <v>9044.4651000001468</v>
      </c>
      <c r="N103">
        <f t="shared" si="7"/>
        <v>11</v>
      </c>
    </row>
    <row r="104" spans="2:14" ht="15.75" x14ac:dyDescent="0.25">
      <c r="B104" s="22">
        <f>+[1]V443Her!B93</f>
        <v>81</v>
      </c>
      <c r="C104" s="23" t="str">
        <f>+[1]V443Her!C93</f>
        <v>27/07/2020</v>
      </c>
      <c r="D104" s="24">
        <f>+[1]V443Her!D93</f>
        <v>0.86458333333333337</v>
      </c>
      <c r="E104" s="22">
        <f>+[1]V443Her!E93</f>
        <v>2459058.3920999998</v>
      </c>
      <c r="F104" s="22" t="str">
        <f>+[1]V443Her!F93</f>
        <v>JMI</v>
      </c>
      <c r="G104" s="25">
        <f>+[1]V443Her!I93</f>
        <v>1000</v>
      </c>
      <c r="H104" s="7">
        <f>+[1]V443Her!P93</f>
        <v>3850</v>
      </c>
      <c r="I104" s="7">
        <f>+[1]V443Her!Q93</f>
        <v>7500</v>
      </c>
      <c r="J104" s="2" t="str">
        <f>+[1]V443Her!X93</f>
        <v>asdb_v443her_20200727_865.fit</v>
      </c>
      <c r="K104" s="7">
        <v>6779</v>
      </c>
      <c r="L104" s="11">
        <v>3935</v>
      </c>
      <c r="M104" s="26">
        <f t="shared" si="6"/>
        <v>9058.3920999998227</v>
      </c>
      <c r="N104">
        <f t="shared" si="7"/>
        <v>11</v>
      </c>
    </row>
    <row r="105" spans="2:14" ht="15.75" x14ac:dyDescent="0.25">
      <c r="B105" s="22">
        <f>+[1]V443Her!B94</f>
        <v>82</v>
      </c>
      <c r="C105" s="23" t="str">
        <f>+[1]V443Her!C94</f>
        <v>28/07/2020</v>
      </c>
      <c r="D105" s="24">
        <f>+[1]V443Her!D94</f>
        <v>0.24722222222222223</v>
      </c>
      <c r="E105" s="22">
        <f>+[1]V443Her!E94</f>
        <v>2459058.7601999999</v>
      </c>
      <c r="F105" s="22" t="str">
        <f>+[1]V443Her!F94</f>
        <v>FAS</v>
      </c>
      <c r="G105" s="25">
        <f>+[1]V443Her!I94</f>
        <v>1027</v>
      </c>
      <c r="H105" s="7">
        <f>+[1]V443Her!P94</f>
        <v>3720</v>
      </c>
      <c r="I105" s="7">
        <f>+[1]V443Her!Q94</f>
        <v>7306</v>
      </c>
      <c r="J105" s="2" t="str">
        <f>+[1]V443Her!X94</f>
        <v>asdb_v443her_20200728_247.fit</v>
      </c>
      <c r="K105" s="7">
        <v>6779</v>
      </c>
      <c r="L105" s="11">
        <v>3935</v>
      </c>
      <c r="M105" s="26">
        <f t="shared" si="6"/>
        <v>9058.7601999999024</v>
      </c>
      <c r="N105">
        <f t="shared" si="7"/>
        <v>11</v>
      </c>
    </row>
    <row r="106" spans="2:14" ht="15.75" x14ac:dyDescent="0.25">
      <c r="B106" s="22">
        <f>+[1]V443Her!B95</f>
        <v>83</v>
      </c>
      <c r="C106" s="23" t="str">
        <f>+[1]V443Her!C95</f>
        <v>22/08/2020</v>
      </c>
      <c r="D106" s="24">
        <f>+[1]V443Her!D95</f>
        <v>0.88055555555555554</v>
      </c>
      <c r="E106" s="22">
        <f>+[1]V443Her!E95</f>
        <v>2459084.3898999998</v>
      </c>
      <c r="F106" s="22" t="str">
        <f>+[1]V443Her!F95</f>
        <v>FCA</v>
      </c>
      <c r="G106" s="25">
        <f>+[1]V443Her!I95</f>
        <v>1083</v>
      </c>
      <c r="H106" s="7">
        <f>+[1]V443Her!P95</f>
        <v>3836</v>
      </c>
      <c r="I106" s="7">
        <f>+[1]V443Her!Q95</f>
        <v>7370</v>
      </c>
      <c r="J106" s="2" t="str">
        <f>+[1]V443Her!X95</f>
        <v>asdb_v443her_20200822_881.fit</v>
      </c>
      <c r="K106" s="7">
        <v>6779</v>
      </c>
      <c r="L106" s="11">
        <v>3935</v>
      </c>
      <c r="M106" s="26">
        <f t="shared" si="6"/>
        <v>9084.3898999998346</v>
      </c>
      <c r="N106">
        <f t="shared" si="7"/>
        <v>11</v>
      </c>
    </row>
    <row r="107" spans="2:14" ht="15.75" x14ac:dyDescent="0.25">
      <c r="B107" s="22">
        <f>+[1]V443Her!B96</f>
        <v>84</v>
      </c>
      <c r="C107" s="23" t="str">
        <f>+[1]V443Her!C96</f>
        <v>19/09/2020</v>
      </c>
      <c r="D107" s="24">
        <f>+[1]V443Her!D96</f>
        <v>0.91736111111111107</v>
      </c>
      <c r="E107" s="22">
        <f>+[1]V443Her!E96</f>
        <v>2459112.4372999999</v>
      </c>
      <c r="F107" s="22" t="str">
        <f>+[1]V443Her!F96</f>
        <v>DBO</v>
      </c>
      <c r="G107" s="25">
        <f>+[1]V443Her!I96</f>
        <v>1133</v>
      </c>
      <c r="H107" s="7">
        <f>+[1]V443Her!P96</f>
        <v>3900</v>
      </c>
      <c r="I107" s="7">
        <f>+[1]V443Her!Q96</f>
        <v>7380</v>
      </c>
      <c r="J107" s="2" t="str">
        <f>+[1]V443Her!X96</f>
        <v>asdb_v443her_20200919_917.fit</v>
      </c>
      <c r="K107" s="7">
        <v>6779</v>
      </c>
      <c r="L107" s="11">
        <v>3935</v>
      </c>
      <c r="M107" s="26">
        <f t="shared" si="6"/>
        <v>9112.4372999998741</v>
      </c>
      <c r="N107">
        <f t="shared" si="7"/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A1158"/>
  <sheetViews>
    <sheetView tabSelected="1" topLeftCell="A121" workbookViewId="0">
      <selection activeCell="K135" sqref="K135"/>
    </sheetView>
  </sheetViews>
  <sheetFormatPr baseColWidth="10" defaultRowHeight="15" x14ac:dyDescent="0.25"/>
  <cols>
    <col min="1" max="1" width="13.5703125" bestFit="1" customWidth="1"/>
    <col min="2" max="2" width="12" bestFit="1" customWidth="1"/>
    <col min="3" max="3" width="7.5703125" bestFit="1" customWidth="1"/>
    <col min="4" max="4" width="6.5703125" bestFit="1" customWidth="1"/>
    <col min="5" max="5" width="10" bestFit="1" customWidth="1"/>
    <col min="6" max="6" width="6.140625" bestFit="1" customWidth="1"/>
    <col min="7" max="7" width="11.42578125" customWidth="1"/>
  </cols>
  <sheetData>
    <row r="1" spans="1:27" ht="18" customHeight="1" x14ac:dyDescent="0.25">
      <c r="A1" s="1">
        <v>2452039.4879999999</v>
      </c>
      <c r="B1" s="1" t="s">
        <v>790</v>
      </c>
      <c r="C1" s="1">
        <v>11.43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18" customHeight="1" x14ac:dyDescent="0.25">
      <c r="A2" s="1">
        <v>2452046.42</v>
      </c>
      <c r="B2" s="1" t="s">
        <v>115</v>
      </c>
      <c r="C2" s="1">
        <v>11.45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18" customHeight="1" x14ac:dyDescent="0.25">
      <c r="A3" s="1">
        <v>2452053.3870000001</v>
      </c>
      <c r="B3" s="1" t="s">
        <v>791</v>
      </c>
      <c r="C3" s="1">
        <v>11.51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18" customHeight="1" x14ac:dyDescent="0.25">
      <c r="A4" s="1">
        <v>2453491.88295</v>
      </c>
      <c r="B4" s="1" t="s">
        <v>792</v>
      </c>
      <c r="C4" s="1">
        <v>11.282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18" customHeight="1" x14ac:dyDescent="0.25">
      <c r="A5" s="1">
        <v>2453496.8417400001</v>
      </c>
      <c r="B5" s="1" t="s">
        <v>793</v>
      </c>
      <c r="C5" s="1">
        <v>11.288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8" customHeight="1" x14ac:dyDescent="0.25">
      <c r="A6" s="1">
        <v>2453500.9115200001</v>
      </c>
      <c r="B6" s="1" t="s">
        <v>794</v>
      </c>
      <c r="C6" s="1">
        <v>11.337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18" customHeight="1" x14ac:dyDescent="0.25">
      <c r="A7" s="1">
        <v>2453504.8312400002</v>
      </c>
      <c r="B7" s="1" t="s">
        <v>795</v>
      </c>
      <c r="C7" s="1">
        <v>11.388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18" customHeight="1" x14ac:dyDescent="0.25">
      <c r="A8" s="1">
        <v>2453511.2485699998</v>
      </c>
      <c r="B8" s="1" t="s">
        <v>796</v>
      </c>
      <c r="C8" s="1">
        <v>11.404500000000001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ht="18" customHeight="1" x14ac:dyDescent="0.25">
      <c r="A9" s="1">
        <v>2453512.7522300002</v>
      </c>
      <c r="B9" s="1" t="s">
        <v>797</v>
      </c>
      <c r="C9" s="1">
        <v>11.420999999999999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18" customHeight="1" x14ac:dyDescent="0.25">
      <c r="A10" s="1">
        <v>2453522.7119900002</v>
      </c>
      <c r="B10" s="1" t="s">
        <v>798</v>
      </c>
      <c r="C10" s="1">
        <v>11.477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ht="18" customHeight="1" x14ac:dyDescent="0.25">
      <c r="A11" s="1">
        <v>2453524.9456099998</v>
      </c>
      <c r="B11" s="1" t="s">
        <v>799</v>
      </c>
      <c r="C11" s="1">
        <v>11.48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18" customHeight="1" x14ac:dyDescent="0.25">
      <c r="A12" s="1">
        <v>2453534.7465300001</v>
      </c>
      <c r="B12" s="1" t="s">
        <v>800</v>
      </c>
      <c r="C12" s="1">
        <v>11.45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ht="18" customHeight="1" x14ac:dyDescent="0.25">
      <c r="A13" s="1">
        <v>2453536.72156</v>
      </c>
      <c r="B13" s="1" t="s">
        <v>801</v>
      </c>
      <c r="C13" s="1">
        <v>11.452999999999999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ht="18" customHeight="1" x14ac:dyDescent="0.25">
      <c r="A14" s="1">
        <v>2453546.7585</v>
      </c>
      <c r="B14" s="1" t="s">
        <v>802</v>
      </c>
      <c r="C14" s="1">
        <v>11.487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ht="18" customHeight="1" x14ac:dyDescent="0.25">
      <c r="A15" s="1">
        <v>2453549.8317999998</v>
      </c>
      <c r="B15" s="1" t="s">
        <v>803</v>
      </c>
      <c r="C15" s="1">
        <v>11.461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18" customHeight="1" x14ac:dyDescent="0.25">
      <c r="A16" s="1">
        <v>2453556.6966800001</v>
      </c>
      <c r="B16" s="1" t="s">
        <v>804</v>
      </c>
      <c r="C16" s="1">
        <v>11.47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18" customHeight="1" x14ac:dyDescent="0.25">
      <c r="A17" s="1">
        <v>2453956.3881000001</v>
      </c>
      <c r="B17" s="1" t="s">
        <v>805</v>
      </c>
      <c r="C17" s="1">
        <v>11.43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18" customHeight="1" x14ac:dyDescent="0.25">
      <c r="A18" s="1">
        <v>2454145.7171999998</v>
      </c>
      <c r="B18" s="1" t="s">
        <v>148</v>
      </c>
      <c r="C18" s="1">
        <v>11.47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18" customHeight="1" x14ac:dyDescent="0.25">
      <c r="A19" s="1">
        <v>2454148.7086</v>
      </c>
      <c r="B19" s="1" t="s">
        <v>149</v>
      </c>
      <c r="C19" s="1">
        <v>11.47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18" customHeight="1" x14ac:dyDescent="0.25">
      <c r="A20" s="1">
        <v>2454152.7148000002</v>
      </c>
      <c r="B20" s="1" t="s">
        <v>123</v>
      </c>
      <c r="C20" s="1">
        <v>11.48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18" customHeight="1" x14ac:dyDescent="0.25">
      <c r="A21" s="1">
        <v>2454158.7022000002</v>
      </c>
      <c r="B21" s="1" t="s">
        <v>806</v>
      </c>
      <c r="C21" s="1">
        <v>11.48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18" customHeight="1" x14ac:dyDescent="0.25">
      <c r="A22" s="1">
        <v>2454163.6677000001</v>
      </c>
      <c r="B22" s="1" t="s">
        <v>807</v>
      </c>
      <c r="C22" s="1">
        <v>11.47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18" customHeight="1" x14ac:dyDescent="0.25">
      <c r="A23" s="1">
        <v>2454168.6889</v>
      </c>
      <c r="B23" s="1" t="s">
        <v>808</v>
      </c>
      <c r="C23" s="1">
        <v>11.46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18" customHeight="1" x14ac:dyDescent="0.25">
      <c r="A24" s="1">
        <v>2454171.1581999999</v>
      </c>
      <c r="B24" s="1" t="s">
        <v>809</v>
      </c>
      <c r="C24" s="1">
        <v>11.445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8" customHeight="1" x14ac:dyDescent="0.25">
      <c r="A25" s="1">
        <v>2454173.6797500001</v>
      </c>
      <c r="B25" s="1" t="s">
        <v>810</v>
      </c>
      <c r="C25" s="1">
        <v>11.43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8" customHeight="1" x14ac:dyDescent="0.25">
      <c r="A26" s="1">
        <v>2454175.6353000002</v>
      </c>
      <c r="B26" s="1" t="s">
        <v>811</v>
      </c>
      <c r="C26" s="1">
        <v>11.425000000000001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8" customHeight="1" x14ac:dyDescent="0.25">
      <c r="A27" s="1">
        <v>2454185.9416999999</v>
      </c>
      <c r="B27" s="1" t="s">
        <v>812</v>
      </c>
      <c r="C27" s="1">
        <v>11.374000000000001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8" customHeight="1" x14ac:dyDescent="0.25">
      <c r="A28" s="1">
        <v>2454201.64542</v>
      </c>
      <c r="B28" s="1" t="s">
        <v>813</v>
      </c>
      <c r="C28" s="1">
        <v>11.43125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8" customHeight="1" x14ac:dyDescent="0.25">
      <c r="A29" s="1">
        <v>2454209.5758000002</v>
      </c>
      <c r="B29" s="1" t="s">
        <v>814</v>
      </c>
      <c r="C29" s="1">
        <v>11.46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8" customHeight="1" x14ac:dyDescent="0.25">
      <c r="A30" s="1">
        <v>2454211.5913</v>
      </c>
      <c r="B30" s="1" t="s">
        <v>815</v>
      </c>
      <c r="C30" s="1">
        <v>11.46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8" customHeight="1" x14ac:dyDescent="0.25">
      <c r="A31" s="1">
        <v>2454214.5611999999</v>
      </c>
      <c r="B31" s="1" t="s">
        <v>816</v>
      </c>
      <c r="C31" s="1">
        <v>11.455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8" customHeight="1" x14ac:dyDescent="0.25">
      <c r="A32" s="1">
        <v>2454229.5559</v>
      </c>
      <c r="B32" s="1" t="s">
        <v>817</v>
      </c>
      <c r="C32" s="1">
        <v>11.51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8" customHeight="1" x14ac:dyDescent="0.25">
      <c r="A33" s="1">
        <v>2454231.4964000001</v>
      </c>
      <c r="B33" s="1" t="s">
        <v>818</v>
      </c>
      <c r="C33" s="1">
        <v>11.52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8" customHeight="1" x14ac:dyDescent="0.25">
      <c r="A34" s="1">
        <v>2454236.5362999998</v>
      </c>
      <c r="B34" s="1" t="s">
        <v>819</v>
      </c>
      <c r="C34" s="1">
        <v>11.5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8" customHeight="1" x14ac:dyDescent="0.25">
      <c r="A35" s="1">
        <v>2454238.5539000002</v>
      </c>
      <c r="B35" s="1" t="s">
        <v>820</v>
      </c>
      <c r="C35" s="1">
        <v>11.52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8" customHeight="1" x14ac:dyDescent="0.25">
      <c r="A36" s="1">
        <v>2454243.4840000002</v>
      </c>
      <c r="B36" s="1" t="s">
        <v>821</v>
      </c>
      <c r="C36" s="1">
        <v>11.53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18" customHeight="1" x14ac:dyDescent="0.25">
      <c r="A37" s="1">
        <v>2454295.4105000002</v>
      </c>
      <c r="B37" s="1" t="s">
        <v>822</v>
      </c>
      <c r="C37" s="1">
        <v>11.59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18" customHeight="1" x14ac:dyDescent="0.25">
      <c r="A38" s="1">
        <v>2454308.3985000001</v>
      </c>
      <c r="B38" s="1" t="s">
        <v>823</v>
      </c>
      <c r="C38" s="1">
        <v>11.67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18" customHeight="1" x14ac:dyDescent="0.25">
      <c r="A39" s="1">
        <v>2454542.9515999998</v>
      </c>
      <c r="B39" s="1" t="s">
        <v>824</v>
      </c>
      <c r="C39" s="1">
        <v>11.276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18" customHeight="1" x14ac:dyDescent="0.25">
      <c r="A40" s="1">
        <v>2454554.6617000001</v>
      </c>
      <c r="B40" s="1" t="s">
        <v>825</v>
      </c>
      <c r="C40" s="1">
        <v>11.383333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18" customHeight="1" x14ac:dyDescent="0.25">
      <c r="A41" s="1">
        <v>2454569.7603000002</v>
      </c>
      <c r="B41" s="1" t="s">
        <v>826</v>
      </c>
      <c r="C41" s="1">
        <v>11.26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18" customHeight="1" x14ac:dyDescent="0.25">
      <c r="A42" s="1">
        <v>2454734.5222</v>
      </c>
      <c r="B42" s="1" t="s">
        <v>127</v>
      </c>
      <c r="C42" s="1">
        <v>11.195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18" customHeight="1" x14ac:dyDescent="0.25">
      <c r="A43" s="1">
        <v>2454742.5178</v>
      </c>
      <c r="B43" s="1" t="s">
        <v>154</v>
      </c>
      <c r="C43" s="1">
        <v>11.273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18" customHeight="1" x14ac:dyDescent="0.25">
      <c r="A44" s="1">
        <v>2454952.5821000002</v>
      </c>
      <c r="B44" s="1" t="s">
        <v>827</v>
      </c>
      <c r="C44" s="1">
        <v>11.35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18" customHeight="1" x14ac:dyDescent="0.25">
      <c r="A45" s="1">
        <v>2454971.5301999999</v>
      </c>
      <c r="B45" s="1" t="s">
        <v>828</v>
      </c>
      <c r="C45" s="1">
        <v>11.551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18" customHeight="1" x14ac:dyDescent="0.25">
      <c r="A46" s="1">
        <v>2454975.8117999998</v>
      </c>
      <c r="B46" s="1" t="s">
        <v>829</v>
      </c>
      <c r="C46" s="1">
        <v>11.52575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18" customHeight="1" x14ac:dyDescent="0.25">
      <c r="A47" s="1">
        <v>2454977.0159900002</v>
      </c>
      <c r="B47" s="1" t="s">
        <v>830</v>
      </c>
      <c r="C47" s="1">
        <v>11.537000000000001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18" customHeight="1" x14ac:dyDescent="0.25">
      <c r="A48" s="1">
        <v>2454981.5380000002</v>
      </c>
      <c r="B48" s="1" t="s">
        <v>831</v>
      </c>
      <c r="C48" s="1">
        <v>11.507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18" customHeight="1" x14ac:dyDescent="0.25">
      <c r="A49" s="1">
        <v>2454982.5633700001</v>
      </c>
      <c r="B49" s="1" t="s">
        <v>692</v>
      </c>
      <c r="C49" s="1">
        <v>11.464667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18" customHeight="1" x14ac:dyDescent="0.25">
      <c r="A50" s="1">
        <v>2454983.56428</v>
      </c>
      <c r="B50" s="1" t="s">
        <v>832</v>
      </c>
      <c r="C50" s="1">
        <v>11.439333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18" customHeight="1" x14ac:dyDescent="0.25">
      <c r="A51" s="1">
        <v>2455011.4956</v>
      </c>
      <c r="B51" s="1" t="s">
        <v>833</v>
      </c>
      <c r="C51" s="1">
        <v>11.497999999999999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18" customHeight="1" x14ac:dyDescent="0.25">
      <c r="A52" s="1">
        <v>2455296.6061999998</v>
      </c>
      <c r="B52" s="1" t="s">
        <v>160</v>
      </c>
      <c r="C52" s="1">
        <v>11.19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18" customHeight="1" x14ac:dyDescent="0.25">
      <c r="A53" s="1">
        <v>2455304.1085600001</v>
      </c>
      <c r="B53" s="1" t="s">
        <v>834</v>
      </c>
      <c r="C53" s="1">
        <v>11.195499999999999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18" customHeight="1" x14ac:dyDescent="0.25">
      <c r="A54" s="1">
        <v>2455305.6075599999</v>
      </c>
      <c r="B54" s="1" t="s">
        <v>835</v>
      </c>
      <c r="C54" s="1">
        <v>11.21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18" customHeight="1" x14ac:dyDescent="0.25">
      <c r="A55" s="1">
        <v>2455307.1087600002</v>
      </c>
      <c r="B55" s="1" t="s">
        <v>130</v>
      </c>
      <c r="C55" s="1">
        <v>11.2095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18" customHeight="1" x14ac:dyDescent="0.25">
      <c r="A56" s="1">
        <v>2455310.1056400002</v>
      </c>
      <c r="B56" s="1" t="s">
        <v>836</v>
      </c>
      <c r="C56" s="1">
        <v>11.231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18" customHeight="1" x14ac:dyDescent="0.25">
      <c r="A57" s="1">
        <v>2455338.4752000002</v>
      </c>
      <c r="B57" s="1" t="s">
        <v>837</v>
      </c>
      <c r="C57" s="1">
        <v>11.343999999999999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18" customHeight="1" x14ac:dyDescent="0.25">
      <c r="A58" s="1">
        <v>2455406.5460000001</v>
      </c>
      <c r="B58" s="1" t="s">
        <v>838</v>
      </c>
      <c r="C58" s="1">
        <v>11.47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18" customHeight="1" x14ac:dyDescent="0.25">
      <c r="A59" s="1">
        <v>2455408.5455800002</v>
      </c>
      <c r="B59" s="1" t="s">
        <v>839</v>
      </c>
      <c r="C59" s="1">
        <v>11.433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18" customHeight="1" x14ac:dyDescent="0.25">
      <c r="A60" s="1">
        <v>2455412.3870000001</v>
      </c>
      <c r="B60" s="1" t="s">
        <v>840</v>
      </c>
      <c r="C60" s="1">
        <v>11.45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18" customHeight="1" x14ac:dyDescent="0.25">
      <c r="A61" s="1">
        <v>2455429.3283000002</v>
      </c>
      <c r="B61" s="1" t="s">
        <v>131</v>
      </c>
      <c r="C61" s="1">
        <v>11.516999999999999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18" customHeight="1" x14ac:dyDescent="0.25">
      <c r="A62" s="1">
        <v>2455439.4640000002</v>
      </c>
      <c r="B62" s="1" t="s">
        <v>163</v>
      </c>
      <c r="C62" s="1">
        <v>11.64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18" customHeight="1" x14ac:dyDescent="0.25">
      <c r="A63" s="1">
        <v>2455688.5345100001</v>
      </c>
      <c r="B63" s="1" t="s">
        <v>841</v>
      </c>
      <c r="C63" s="1">
        <v>11.458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18" customHeight="1" x14ac:dyDescent="0.25">
      <c r="A64" s="1">
        <v>2455702.5613000002</v>
      </c>
      <c r="B64" s="1" t="s">
        <v>842</v>
      </c>
      <c r="C64" s="1">
        <v>11.391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18" customHeight="1" x14ac:dyDescent="0.25">
      <c r="A65" s="1">
        <v>2455732.5408999999</v>
      </c>
      <c r="B65" s="1" t="s">
        <v>843</v>
      </c>
      <c r="C65" s="1">
        <v>11.388999999999999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18" customHeight="1" x14ac:dyDescent="0.25">
      <c r="A66" s="1">
        <v>2455782.3957000002</v>
      </c>
      <c r="B66" s="1" t="s">
        <v>844</v>
      </c>
      <c r="C66" s="1">
        <v>11.41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25">
      <c r="A67" s="1">
        <v>2455988.6875</v>
      </c>
      <c r="B67" s="1" t="s">
        <v>170</v>
      </c>
      <c r="C67" s="1">
        <v>11.356999999999999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x14ac:dyDescent="0.25">
      <c r="A68" s="1">
        <v>2456001.6647999999</v>
      </c>
      <c r="B68" s="1" t="s">
        <v>845</v>
      </c>
      <c r="C68" s="1">
        <v>11.343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x14ac:dyDescent="0.25">
      <c r="A69" s="1">
        <v>2456060.5095299999</v>
      </c>
      <c r="B69" s="1" t="s">
        <v>846</v>
      </c>
      <c r="C69" s="1">
        <v>11.282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x14ac:dyDescent="0.25">
      <c r="A70" s="1">
        <v>2456066.5190300001</v>
      </c>
      <c r="B70" s="1" t="s">
        <v>847</v>
      </c>
      <c r="C70" s="1">
        <v>11.294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x14ac:dyDescent="0.25">
      <c r="A71" s="1">
        <v>2456077.4471900002</v>
      </c>
      <c r="B71" s="1" t="s">
        <v>848</v>
      </c>
      <c r="C71" s="1">
        <v>11.451000000000001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x14ac:dyDescent="0.25">
      <c r="A72" s="1">
        <v>2456126.4167900002</v>
      </c>
      <c r="B72" s="1" t="s">
        <v>849</v>
      </c>
      <c r="C72" s="1">
        <v>11.481999999999999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x14ac:dyDescent="0.25">
      <c r="A73" s="1">
        <v>2456132.4236099999</v>
      </c>
      <c r="B73" s="1" t="s">
        <v>850</v>
      </c>
      <c r="C73" s="1">
        <v>11.491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x14ac:dyDescent="0.25">
      <c r="A74" s="1">
        <v>2456146.4302099999</v>
      </c>
      <c r="B74" s="1" t="s">
        <v>133</v>
      </c>
      <c r="C74" s="1">
        <v>11.459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x14ac:dyDescent="0.25">
      <c r="A75" s="1">
        <v>2456149.3681200002</v>
      </c>
      <c r="B75" s="1" t="s">
        <v>851</v>
      </c>
      <c r="C75" s="1">
        <v>11.45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>
        <v>2456407.5684000002</v>
      </c>
      <c r="B76" s="1" t="s">
        <v>852</v>
      </c>
      <c r="C76" s="1">
        <v>11.331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>
        <v>2456417.5259400001</v>
      </c>
      <c r="B77" s="1" t="s">
        <v>853</v>
      </c>
      <c r="C77" s="1">
        <v>11.411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>
        <v>2456424.5978199998</v>
      </c>
      <c r="B78" s="1" t="s">
        <v>854</v>
      </c>
      <c r="C78" s="1">
        <v>11.441000000000001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>
        <v>2456439.4878799999</v>
      </c>
      <c r="B79" s="1" t="s">
        <v>855</v>
      </c>
      <c r="C79" s="1">
        <v>11.387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>
        <v>2456444.50789</v>
      </c>
      <c r="B80" s="1" t="s">
        <v>856</v>
      </c>
      <c r="C80" s="1">
        <v>11.388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>
        <v>2456464.6121899998</v>
      </c>
      <c r="B81" s="1" t="s">
        <v>857</v>
      </c>
      <c r="C81" s="1">
        <v>11.375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>
        <v>2456465.6146399998</v>
      </c>
      <c r="B82" s="1" t="s">
        <v>858</v>
      </c>
      <c r="C82" s="1">
        <v>11.387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>
        <v>2456471.4992399998</v>
      </c>
      <c r="B83" s="1" t="s">
        <v>859</v>
      </c>
      <c r="C83" s="1">
        <v>11.334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>
        <v>2456533.3700199998</v>
      </c>
      <c r="B84" s="1" t="s">
        <v>860</v>
      </c>
      <c r="C84" s="1">
        <v>11.349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>
        <v>2456540.3111999999</v>
      </c>
      <c r="B85" s="1" t="s">
        <v>861</v>
      </c>
      <c r="C85" s="1">
        <v>11.375999999999999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>
        <v>2456566.5066399998</v>
      </c>
      <c r="B86" s="1" t="s">
        <v>748</v>
      </c>
      <c r="C86" s="1">
        <v>11.326000000000001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>
        <v>2456802.4443999999</v>
      </c>
      <c r="B87" s="1" t="s">
        <v>862</v>
      </c>
      <c r="C87" s="1">
        <v>11.707000000000001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>
        <v>2456805.5784399998</v>
      </c>
      <c r="B88" s="1" t="s">
        <v>863</v>
      </c>
      <c r="C88" s="1">
        <v>11.693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>
        <v>2456856.4763500001</v>
      </c>
      <c r="B89" s="1" t="s">
        <v>864</v>
      </c>
      <c r="C89" s="1">
        <v>11.507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>
        <v>2457156.8599200002</v>
      </c>
      <c r="B90" s="1" t="s">
        <v>865</v>
      </c>
      <c r="C90" s="1">
        <v>11.375999999999999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>
        <v>2457165.8309499999</v>
      </c>
      <c r="B91" s="1" t="s">
        <v>866</v>
      </c>
      <c r="C91" s="1">
        <v>11.372999999999999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>
        <v>2457200.7313199998</v>
      </c>
      <c r="B92" s="1" t="s">
        <v>867</v>
      </c>
      <c r="C92" s="1">
        <v>11.385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>
        <v>2457235.6425899998</v>
      </c>
      <c r="B93" s="1" t="s">
        <v>868</v>
      </c>
      <c r="C93" s="1">
        <v>11.419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>
        <v>2457270.5467900001</v>
      </c>
      <c r="B94" s="1" t="s">
        <v>869</v>
      </c>
      <c r="C94" s="1">
        <v>11.632999999999999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>
        <v>2457328.3111</v>
      </c>
      <c r="B95" s="1" t="s">
        <v>870</v>
      </c>
      <c r="C95" s="1">
        <v>11.669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>
        <v>2457329.3111</v>
      </c>
      <c r="B96" s="1" t="s">
        <v>6</v>
      </c>
      <c r="C96" s="1">
        <v>11.669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>
        <v>2457825.6638799999</v>
      </c>
      <c r="B97" s="1" t="s">
        <v>875</v>
      </c>
      <c r="C97" s="1">
        <v>11.509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>
        <v>2457842.64701</v>
      </c>
      <c r="B98" s="1" t="s">
        <v>876</v>
      </c>
      <c r="C98" s="1">
        <v>11.526999999999999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>
        <v>2457900.5609400002</v>
      </c>
      <c r="B99" s="1" t="s">
        <v>877</v>
      </c>
      <c r="C99" s="1">
        <v>11.528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>
        <v>2457904.50238</v>
      </c>
      <c r="B100" s="1" t="s">
        <v>878</v>
      </c>
      <c r="C100" s="1">
        <v>11.603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>
        <v>2457947.7022899999</v>
      </c>
      <c r="B101" s="1" t="s">
        <v>879</v>
      </c>
      <c r="C101" s="1">
        <v>11.472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>
        <v>2457949.6936900001</v>
      </c>
      <c r="B102" s="1" t="s">
        <v>880</v>
      </c>
      <c r="C102" s="1">
        <v>11.483000000000001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>
        <v>2457951.68676</v>
      </c>
      <c r="B103" s="1" t="s">
        <v>881</v>
      </c>
      <c r="C103" s="1">
        <v>11.513500000000001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>
        <v>2457953.66328</v>
      </c>
      <c r="B104" s="1" t="s">
        <v>882</v>
      </c>
      <c r="C104" s="1">
        <v>11.49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>
        <v>2457954.7533800001</v>
      </c>
      <c r="B105" s="1" t="s">
        <v>883</v>
      </c>
      <c r="C105" s="1">
        <v>11.516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>
        <v>2457966.7453000001</v>
      </c>
      <c r="B106" s="1" t="s">
        <v>884</v>
      </c>
      <c r="C106" s="1">
        <v>11.464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>
        <v>2457968.7135200002</v>
      </c>
      <c r="B107" s="1" t="s">
        <v>885</v>
      </c>
      <c r="C107" s="1">
        <v>11.456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>
        <v>2457991.5524800001</v>
      </c>
      <c r="B108" s="1" t="s">
        <v>886</v>
      </c>
      <c r="C108" s="1">
        <v>11.558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1">
        <v>2458007.5992000001</v>
      </c>
      <c r="B109" s="1" t="s">
        <v>887</v>
      </c>
      <c r="C109" s="1">
        <v>11.521000000000001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1">
        <v>2458019.5301600001</v>
      </c>
      <c r="B110" s="1" t="s">
        <v>888</v>
      </c>
      <c r="C110" s="1">
        <v>11.49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1">
        <v>2458160.9900799999</v>
      </c>
      <c r="B111" s="1" t="s">
        <v>889</v>
      </c>
      <c r="C111" s="1">
        <v>11.427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1">
        <v>2458179.9164900002</v>
      </c>
      <c r="B112" s="1" t="s">
        <v>890</v>
      </c>
      <c r="C112" s="1">
        <v>11.269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1">
        <v>2458228.9261099999</v>
      </c>
      <c r="B113" s="1" t="s">
        <v>891</v>
      </c>
      <c r="C113" s="1">
        <v>11.255000000000001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1">
        <v>2458242.7605900001</v>
      </c>
      <c r="B114" s="1" t="s">
        <v>892</v>
      </c>
      <c r="C114" s="1">
        <v>11.335000000000001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1">
        <v>2458259.4146599998</v>
      </c>
      <c r="B115" s="1" t="s">
        <v>893</v>
      </c>
      <c r="C115" s="1">
        <v>11.288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">
        <v>2458263.8607299998</v>
      </c>
      <c r="B116" s="1" t="s">
        <v>894</v>
      </c>
      <c r="C116" s="1">
        <v>11.301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">
        <v>2458307.5147799999</v>
      </c>
      <c r="B117" s="1" t="s">
        <v>895</v>
      </c>
      <c r="C117" s="1">
        <v>11.276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">
        <v>2458317.4190199999</v>
      </c>
      <c r="B118" s="1" t="s">
        <v>896</v>
      </c>
      <c r="C118" s="1">
        <v>11.278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">
        <v>2458321.7513700002</v>
      </c>
      <c r="B119" s="1" t="s">
        <v>897</v>
      </c>
      <c r="C119" s="1">
        <v>11.288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1">
        <v>2458325.7432599999</v>
      </c>
      <c r="B120" s="1" t="s">
        <v>898</v>
      </c>
      <c r="C120" s="1">
        <v>11.266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">
        <v>2458328.8707900001</v>
      </c>
      <c r="B121" s="1" t="s">
        <v>899</v>
      </c>
      <c r="C121" s="1">
        <v>11.273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">
        <v>2458330.8920300002</v>
      </c>
      <c r="B122" s="1" t="s">
        <v>900</v>
      </c>
      <c r="C122" s="1">
        <v>11.27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">
        <v>2458336.8246200001</v>
      </c>
      <c r="B123" s="1" t="s">
        <v>901</v>
      </c>
      <c r="C123" s="1">
        <v>11.308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>
        <v>2458359.7609299999</v>
      </c>
      <c r="B124" s="1" t="s">
        <v>902</v>
      </c>
      <c r="C124" s="1">
        <v>11.414999999999999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>
        <v>2458371.73184</v>
      </c>
      <c r="B125" s="1" t="s">
        <v>903</v>
      </c>
      <c r="C125" s="1">
        <v>11.333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>
        <v>2458378.7087699999</v>
      </c>
      <c r="B126" s="1" t="s">
        <v>904</v>
      </c>
      <c r="C126" s="1">
        <v>11.334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>
        <v>2458387.6862699999</v>
      </c>
      <c r="B127" s="1" t="s">
        <v>905</v>
      </c>
      <c r="C127" s="1">
        <v>11.356999999999999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>
        <v>2458499.0765200001</v>
      </c>
      <c r="B128" s="1" t="s">
        <v>906</v>
      </c>
      <c r="C128" s="1">
        <v>11.573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>
        <v>2458531.70988</v>
      </c>
      <c r="B129" s="1" t="s">
        <v>907</v>
      </c>
      <c r="C129" s="1">
        <v>11.519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>
        <v>2458542.6948699998</v>
      </c>
      <c r="B130" s="1" t="s">
        <v>908</v>
      </c>
      <c r="C130" s="1">
        <v>11.515000000000001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>
        <v>2458553.6811899999</v>
      </c>
      <c r="B131" s="1" t="s">
        <v>909</v>
      </c>
      <c r="C131" s="1">
        <v>11.481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>
        <v>2458556.68126</v>
      </c>
      <c r="B132" s="1" t="s">
        <v>910</v>
      </c>
      <c r="C132" s="1">
        <v>11.499000000000001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>
        <v>2458559.6716999998</v>
      </c>
      <c r="B133" s="1" t="s">
        <v>911</v>
      </c>
      <c r="C133" s="1">
        <v>11.522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>
        <v>2458570.6548299999</v>
      </c>
      <c r="B134" s="1" t="s">
        <v>912</v>
      </c>
      <c r="C134" s="1">
        <v>11.542999999999999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>
        <v>2458573.6538200001</v>
      </c>
      <c r="B135" s="1" t="s">
        <v>913</v>
      </c>
      <c r="C135" s="1">
        <v>11.503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>
        <v>2458635.4924099999</v>
      </c>
      <c r="B136" s="1" t="s">
        <v>914</v>
      </c>
      <c r="C136" s="1">
        <v>11.538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>
        <v>2458899.7064399999</v>
      </c>
      <c r="B137" s="1" t="s">
        <v>915</v>
      </c>
      <c r="C137" s="1">
        <v>11.318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>
        <v>2458946.6115700002</v>
      </c>
      <c r="B138" s="1" t="s">
        <v>916</v>
      </c>
      <c r="C138" s="1">
        <v>11.407999999999999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>
        <v>2458950.6464900002</v>
      </c>
      <c r="B139" s="1" t="s">
        <v>917</v>
      </c>
      <c r="C139" s="1">
        <v>11.414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>
        <v>2458990.4426199999</v>
      </c>
      <c r="B140" s="1" t="s">
        <v>918</v>
      </c>
      <c r="C140" s="1">
        <v>11.446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>
        <v>2458991.4861699999</v>
      </c>
      <c r="B141" s="1" t="s">
        <v>919</v>
      </c>
      <c r="C141" s="1">
        <v>11.423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>
        <v>2458994.5282800002</v>
      </c>
      <c r="B142" s="1" t="s">
        <v>920</v>
      </c>
      <c r="C142" s="1">
        <v>11.414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>
        <v>2458997.5071399999</v>
      </c>
      <c r="B143" s="1" t="s">
        <v>921</v>
      </c>
      <c r="C143" s="1">
        <v>11.407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>
        <v>2459001.5495000002</v>
      </c>
      <c r="B144" s="1" t="s">
        <v>922</v>
      </c>
      <c r="C144" s="1">
        <v>11.404999999999999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>
        <v>2459050.5068199998</v>
      </c>
      <c r="B145" s="1" t="s">
        <v>923</v>
      </c>
      <c r="C145" s="1">
        <v>11.516999999999999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>
        <v>2459111.3098300002</v>
      </c>
      <c r="B146" s="1" t="s">
        <v>924</v>
      </c>
      <c r="C146" s="1">
        <v>11.590999999999999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>
        <v>2459112.4179400001</v>
      </c>
      <c r="B147" s="1" t="s">
        <v>925</v>
      </c>
      <c r="C147" s="1">
        <v>11.590999999999999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x14ac:dyDescent="0.25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x14ac:dyDescent="0.25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x14ac:dyDescent="0.25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 x14ac:dyDescent="0.25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 x14ac:dyDescent="0.25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 x14ac:dyDescent="0.25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 x14ac:dyDescent="0.2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 x14ac:dyDescent="0.25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 x14ac:dyDescent="0.25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 x14ac:dyDescent="0.25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 x14ac:dyDescent="0.25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 x14ac:dyDescent="0.25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1:27" x14ac:dyDescent="0.25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1:27" x14ac:dyDescent="0.25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1:27" x14ac:dyDescent="0.2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1:27" x14ac:dyDescent="0.2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1:27" x14ac:dyDescent="0.25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1:27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1:27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1:27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spans="1:27" x14ac:dyDescent="0.25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7" x14ac:dyDescent="0.25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7" x14ac:dyDescent="0.25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x14ac:dyDescent="0.25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x14ac:dyDescent="0.25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x14ac:dyDescent="0.25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x14ac:dyDescent="0.25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x14ac:dyDescent="0.25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x14ac:dyDescent="0.25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x14ac:dyDescent="0.25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x14ac:dyDescent="0.25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x14ac:dyDescent="0.25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x14ac:dyDescent="0.25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x14ac:dyDescent="0.25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x14ac:dyDescent="0.25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x14ac:dyDescent="0.25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x14ac:dyDescent="0.25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 x14ac:dyDescent="0.25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  <row r="1040" spans="1:26" x14ac:dyDescent="0.25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</row>
    <row r="1041" spans="1:26" x14ac:dyDescent="0.25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</row>
    <row r="1042" spans="1:26" x14ac:dyDescent="0.25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</row>
    <row r="1043" spans="1:26" x14ac:dyDescent="0.25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</row>
    <row r="1044" spans="1:26" x14ac:dyDescent="0.25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</row>
    <row r="1045" spans="1:26" x14ac:dyDescent="0.25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</row>
    <row r="1046" spans="1:26" x14ac:dyDescent="0.25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</row>
    <row r="1047" spans="1:26" x14ac:dyDescent="0.25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</row>
    <row r="1048" spans="1:26" x14ac:dyDescent="0.25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</row>
    <row r="1049" spans="1:26" x14ac:dyDescent="0.25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</row>
    <row r="1050" spans="1:26" x14ac:dyDescent="0.25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</row>
    <row r="1051" spans="1:26" x14ac:dyDescent="0.25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</row>
    <row r="1052" spans="1:26" x14ac:dyDescent="0.25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</row>
    <row r="1053" spans="1:26" x14ac:dyDescent="0.25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</row>
    <row r="1054" spans="1:26" x14ac:dyDescent="0.25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</row>
    <row r="1055" spans="1:26" x14ac:dyDescent="0.25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</row>
    <row r="1056" spans="1:26" x14ac:dyDescent="0.25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</row>
    <row r="1057" spans="1:26" x14ac:dyDescent="0.25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</row>
    <row r="1058" spans="1:26" x14ac:dyDescent="0.25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</row>
    <row r="1059" spans="1:26" x14ac:dyDescent="0.25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</row>
    <row r="1060" spans="1:26" x14ac:dyDescent="0.25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</row>
    <row r="1061" spans="1:26" x14ac:dyDescent="0.25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</row>
    <row r="1062" spans="1:26" x14ac:dyDescent="0.25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</row>
    <row r="1063" spans="1:26" x14ac:dyDescent="0.25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</row>
    <row r="1064" spans="1:26" x14ac:dyDescent="0.25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</row>
    <row r="1065" spans="1:26" x14ac:dyDescent="0.25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</row>
    <row r="1066" spans="1:26" x14ac:dyDescent="0.25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</row>
    <row r="1067" spans="1:26" x14ac:dyDescent="0.25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</row>
    <row r="1068" spans="1:26" x14ac:dyDescent="0.25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</row>
    <row r="1069" spans="1:26" x14ac:dyDescent="0.25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</row>
    <row r="1070" spans="1:26" x14ac:dyDescent="0.25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</row>
    <row r="1071" spans="1:26" x14ac:dyDescent="0.25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</row>
    <row r="1072" spans="1:26" x14ac:dyDescent="0.25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</row>
    <row r="1073" spans="1:26" x14ac:dyDescent="0.25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</row>
    <row r="1074" spans="1:26" x14ac:dyDescent="0.25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</row>
    <row r="1075" spans="1:26" x14ac:dyDescent="0.25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</row>
    <row r="1076" spans="1:26" x14ac:dyDescent="0.25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</row>
    <row r="1077" spans="1:26" x14ac:dyDescent="0.25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</row>
    <row r="1078" spans="1:26" x14ac:dyDescent="0.25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</row>
    <row r="1079" spans="1:26" x14ac:dyDescent="0.25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</row>
    <row r="1080" spans="1:26" x14ac:dyDescent="0.25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</row>
    <row r="1081" spans="1:26" x14ac:dyDescent="0.25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</row>
    <row r="1082" spans="1:26" x14ac:dyDescent="0.25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</row>
    <row r="1083" spans="1:26" x14ac:dyDescent="0.25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</row>
    <row r="1084" spans="1:26" x14ac:dyDescent="0.25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</row>
    <row r="1085" spans="1:26" x14ac:dyDescent="0.25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</row>
    <row r="1086" spans="1:26" x14ac:dyDescent="0.25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</row>
    <row r="1087" spans="1:26" x14ac:dyDescent="0.25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</row>
    <row r="1088" spans="1:26" x14ac:dyDescent="0.25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</row>
    <row r="1089" spans="1:26" x14ac:dyDescent="0.25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</row>
    <row r="1090" spans="1:26" x14ac:dyDescent="0.25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</row>
    <row r="1091" spans="1:26" x14ac:dyDescent="0.25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</row>
    <row r="1092" spans="1:26" x14ac:dyDescent="0.25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</row>
    <row r="1093" spans="1:26" x14ac:dyDescent="0.25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</row>
    <row r="1094" spans="1:26" x14ac:dyDescent="0.25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</row>
    <row r="1095" spans="1:26" x14ac:dyDescent="0.25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</row>
    <row r="1096" spans="1:26" x14ac:dyDescent="0.25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</row>
    <row r="1097" spans="1:26" x14ac:dyDescent="0.25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</row>
    <row r="1098" spans="1:26" x14ac:dyDescent="0.25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</row>
    <row r="1099" spans="1:26" x14ac:dyDescent="0.25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</row>
    <row r="1100" spans="1:26" x14ac:dyDescent="0.25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</row>
    <row r="1101" spans="1:26" x14ac:dyDescent="0.25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</row>
    <row r="1102" spans="1:26" x14ac:dyDescent="0.25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</row>
    <row r="1103" spans="1:26" x14ac:dyDescent="0.25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</row>
    <row r="1104" spans="1:26" x14ac:dyDescent="0.25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</row>
    <row r="1105" spans="1:26" x14ac:dyDescent="0.25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</row>
    <row r="1106" spans="1:26" x14ac:dyDescent="0.25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</row>
    <row r="1107" spans="1:26" x14ac:dyDescent="0.25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</row>
    <row r="1108" spans="1:26" x14ac:dyDescent="0.25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</row>
    <row r="1109" spans="1:26" x14ac:dyDescent="0.25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</row>
    <row r="1110" spans="1:26" x14ac:dyDescent="0.25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</row>
    <row r="1111" spans="1:26" x14ac:dyDescent="0.25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</row>
    <row r="1112" spans="1:26" x14ac:dyDescent="0.25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</row>
    <row r="1113" spans="1:26" x14ac:dyDescent="0.25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</row>
    <row r="1114" spans="1:26" x14ac:dyDescent="0.25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</row>
    <row r="1115" spans="1:26" x14ac:dyDescent="0.25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</row>
    <row r="1116" spans="1:26" x14ac:dyDescent="0.25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</row>
    <row r="1117" spans="1:26" x14ac:dyDescent="0.25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</row>
    <row r="1118" spans="1:26" x14ac:dyDescent="0.25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</row>
    <row r="1119" spans="1:26" x14ac:dyDescent="0.25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</row>
    <row r="1120" spans="1:26" x14ac:dyDescent="0.25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</row>
    <row r="1121" spans="1:26" x14ac:dyDescent="0.25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</row>
    <row r="1122" spans="1:26" x14ac:dyDescent="0.25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</row>
    <row r="1123" spans="1:26" x14ac:dyDescent="0.25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</row>
    <row r="1124" spans="1:26" x14ac:dyDescent="0.25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</row>
    <row r="1125" spans="1:26" x14ac:dyDescent="0.25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</row>
    <row r="1126" spans="1:26" x14ac:dyDescent="0.25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</row>
    <row r="1127" spans="1:26" x14ac:dyDescent="0.25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</row>
    <row r="1128" spans="1:26" x14ac:dyDescent="0.25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</row>
    <row r="1129" spans="1:26" x14ac:dyDescent="0.25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</row>
    <row r="1130" spans="1:26" x14ac:dyDescent="0.25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</row>
    <row r="1131" spans="1:26" x14ac:dyDescent="0.25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</row>
    <row r="1132" spans="1:26" x14ac:dyDescent="0.25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</row>
    <row r="1133" spans="1:26" x14ac:dyDescent="0.25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</row>
    <row r="1134" spans="1:26" x14ac:dyDescent="0.25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</row>
    <row r="1135" spans="1:26" x14ac:dyDescent="0.25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</row>
    <row r="1136" spans="1:26" x14ac:dyDescent="0.25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</row>
    <row r="1137" spans="1:26" x14ac:dyDescent="0.25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</row>
    <row r="1138" spans="1:26" x14ac:dyDescent="0.25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</row>
    <row r="1139" spans="1:26" x14ac:dyDescent="0.25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</row>
    <row r="1140" spans="1:26" x14ac:dyDescent="0.25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</row>
    <row r="1141" spans="1:26" x14ac:dyDescent="0.25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</row>
    <row r="1142" spans="1:26" x14ac:dyDescent="0.25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</row>
    <row r="1143" spans="1:26" x14ac:dyDescent="0.25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</row>
    <row r="1144" spans="1:26" x14ac:dyDescent="0.25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</row>
    <row r="1145" spans="1:26" x14ac:dyDescent="0.25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</row>
    <row r="1146" spans="1:26" x14ac:dyDescent="0.25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</row>
    <row r="1147" spans="1:26" x14ac:dyDescent="0.25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</row>
    <row r="1148" spans="1:26" x14ac:dyDescent="0.25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</row>
    <row r="1149" spans="1:26" x14ac:dyDescent="0.25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</row>
    <row r="1150" spans="1:26" x14ac:dyDescent="0.25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</row>
    <row r="1151" spans="1:26" x14ac:dyDescent="0.25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</row>
    <row r="1152" spans="1:26" x14ac:dyDescent="0.25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</row>
    <row r="1153" spans="1:26" x14ac:dyDescent="0.25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</row>
    <row r="1154" spans="1:26" x14ac:dyDescent="0.25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</row>
    <row r="1155" spans="1:26" x14ac:dyDescent="0.25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</row>
    <row r="1156" spans="1:26" x14ac:dyDescent="0.25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</row>
    <row r="1157" spans="1:26" x14ac:dyDescent="0.25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</row>
    <row r="1158" spans="1:26" x14ac:dyDescent="0.25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</row>
  </sheetData>
  <sortState xmlns:xlrd2="http://schemas.microsoft.com/office/spreadsheetml/2017/richdata2" ref="A1:F1307">
    <sortCondition ref="F1:F130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Z489"/>
  <sheetViews>
    <sheetView workbookViewId="0">
      <selection sqref="A1:XFD1048576"/>
    </sheetView>
  </sheetViews>
  <sheetFormatPr baseColWidth="10" defaultRowHeight="15" x14ac:dyDescent="0.25"/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T606"/>
  <sheetViews>
    <sheetView workbookViewId="0">
      <selection activeCell="F12" sqref="F12"/>
    </sheetView>
  </sheetViews>
  <sheetFormatPr baseColWidth="10" defaultColWidth="18.42578125" defaultRowHeight="15" x14ac:dyDescent="0.25"/>
  <sheetData>
    <row r="1" spans="1:20" x14ac:dyDescent="0.25">
      <c r="A1" s="1">
        <v>2454554.6634499999</v>
      </c>
      <c r="B1" s="1" t="s">
        <v>825</v>
      </c>
      <c r="C1" s="1">
        <v>1.06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 t="s">
        <v>871</v>
      </c>
      <c r="S1" s="1"/>
      <c r="T1" s="1"/>
    </row>
    <row r="2" spans="1:20" x14ac:dyDescent="0.25">
      <c r="A2" s="1">
        <v>2454952.5843000002</v>
      </c>
      <c r="B2" s="1" t="s">
        <v>827</v>
      </c>
      <c r="C2" s="1">
        <v>1.1599999999999999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 t="s">
        <v>871</v>
      </c>
      <c r="S2" s="1"/>
      <c r="T2" s="1"/>
    </row>
    <row r="3" spans="1:20" x14ac:dyDescent="0.25">
      <c r="A3" s="1">
        <v>2454971.5323999999</v>
      </c>
      <c r="B3" s="1" t="s">
        <v>828</v>
      </c>
      <c r="C3" s="1">
        <v>1.0669999999999999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 t="s">
        <v>871</v>
      </c>
      <c r="S3" s="1"/>
      <c r="T3" s="1"/>
    </row>
    <row r="4" spans="1:20" x14ac:dyDescent="0.25">
      <c r="A4" s="1">
        <v>2454977.4756999998</v>
      </c>
      <c r="B4" s="1" t="s">
        <v>830</v>
      </c>
      <c r="C4" s="1">
        <v>1.0409999999999999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 t="s">
        <v>871</v>
      </c>
      <c r="S4" s="1"/>
      <c r="T4" s="1"/>
    </row>
    <row r="5" spans="1:20" x14ac:dyDescent="0.25">
      <c r="A5" s="1">
        <v>2454981.4652999998</v>
      </c>
      <c r="B5" s="1" t="s">
        <v>872</v>
      </c>
      <c r="C5" s="1">
        <v>1.139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 t="s">
        <v>871</v>
      </c>
      <c r="S5" s="1"/>
      <c r="T5" s="1"/>
    </row>
    <row r="6" spans="1:20" x14ac:dyDescent="0.25">
      <c r="A6" s="1">
        <v>2455011.4981499999</v>
      </c>
      <c r="B6" s="1" t="s">
        <v>833</v>
      </c>
      <c r="C6" s="1">
        <v>1.181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 t="s">
        <v>871</v>
      </c>
      <c r="S6" s="1"/>
      <c r="T6" s="1"/>
    </row>
    <row r="7" spans="1:20" x14ac:dyDescent="0.25">
      <c r="A7" s="1">
        <v>2455296.6085999999</v>
      </c>
      <c r="B7" s="1" t="s">
        <v>160</v>
      </c>
      <c r="C7" s="1">
        <v>1.0940000000000001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 t="s">
        <v>871</v>
      </c>
      <c r="S7" s="1"/>
      <c r="T7" s="1"/>
    </row>
    <row r="8" spans="1:20" x14ac:dyDescent="0.25">
      <c r="A8" s="1">
        <v>2455338.4776499998</v>
      </c>
      <c r="B8" s="1" t="s">
        <v>837</v>
      </c>
      <c r="C8" s="1">
        <v>1.014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 t="s">
        <v>871</v>
      </c>
      <c r="S8" s="1"/>
      <c r="T8" s="1"/>
    </row>
    <row r="9" spans="1:20" x14ac:dyDescent="0.25">
      <c r="A9" s="1">
        <v>2455412.3894500001</v>
      </c>
      <c r="B9" s="1" t="s">
        <v>840</v>
      </c>
      <c r="C9" s="1">
        <v>1.0409999999999999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 t="s">
        <v>871</v>
      </c>
      <c r="S9" s="1"/>
      <c r="T9" s="1"/>
    </row>
    <row r="10" spans="1:20" x14ac:dyDescent="0.25">
      <c r="A10" s="1">
        <v>2455429.3308000001</v>
      </c>
      <c r="B10" s="1" t="s">
        <v>131</v>
      </c>
      <c r="C10" s="1">
        <v>1.032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 t="s">
        <v>871</v>
      </c>
      <c r="S10" s="1"/>
      <c r="T10" s="1"/>
    </row>
    <row r="11" spans="1:20" x14ac:dyDescent="0.25">
      <c r="A11" s="1">
        <v>2455688.5366699998</v>
      </c>
      <c r="B11" s="1" t="s">
        <v>841</v>
      </c>
      <c r="C11" s="1">
        <v>1.0980000000000001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 t="s">
        <v>871</v>
      </c>
      <c r="S11" s="1"/>
      <c r="T11" s="1"/>
    </row>
    <row r="12" spans="1:20" x14ac:dyDescent="0.25">
      <c r="A12" s="1">
        <v>2455702.5637500002</v>
      </c>
      <c r="B12" s="1" t="s">
        <v>842</v>
      </c>
      <c r="C12" s="1">
        <v>1.1299999999999999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 t="s">
        <v>871</v>
      </c>
      <c r="S12" s="1"/>
      <c r="T12" s="1"/>
    </row>
    <row r="13" spans="1:20" x14ac:dyDescent="0.25">
      <c r="A13" s="1">
        <v>2455732.5432500001</v>
      </c>
      <c r="B13" s="1" t="s">
        <v>843</v>
      </c>
      <c r="C13" s="1">
        <v>1.071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 t="s">
        <v>871</v>
      </c>
      <c r="S13" s="1"/>
      <c r="T13" s="1"/>
    </row>
    <row r="14" spans="1:20" x14ac:dyDescent="0.25">
      <c r="A14" s="1">
        <v>2455782.3981499998</v>
      </c>
      <c r="B14" s="1" t="s">
        <v>844</v>
      </c>
      <c r="C14" s="1">
        <v>1.014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 t="s">
        <v>871</v>
      </c>
      <c r="S14" s="1"/>
      <c r="T14" s="1"/>
    </row>
    <row r="15" spans="1:20" x14ac:dyDescent="0.25">
      <c r="A15" s="1">
        <v>2455988.6900999998</v>
      </c>
      <c r="B15" s="1" t="s">
        <v>170</v>
      </c>
      <c r="C15" s="1">
        <v>1.004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 t="s">
        <v>871</v>
      </c>
      <c r="S15" s="1"/>
      <c r="T15" s="1"/>
    </row>
    <row r="16" spans="1:20" x14ac:dyDescent="0.25">
      <c r="A16" s="1">
        <v>2456001.6674000002</v>
      </c>
      <c r="B16" s="1" t="s">
        <v>845</v>
      </c>
      <c r="C16" s="1">
        <v>1.0429999999999999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 t="s">
        <v>871</v>
      </c>
      <c r="S16" s="1"/>
      <c r="T16" s="1"/>
    </row>
    <row r="17" spans="1:20" x14ac:dyDescent="0.25">
      <c r="A17" s="1">
        <v>2456060.5120600001</v>
      </c>
      <c r="B17" s="1" t="s">
        <v>846</v>
      </c>
      <c r="C17" s="1">
        <v>1.1279999999999999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 t="s">
        <v>871</v>
      </c>
      <c r="S17" s="1"/>
      <c r="T17" s="1"/>
    </row>
    <row r="18" spans="1:20" x14ac:dyDescent="0.25">
      <c r="A18" s="1">
        <v>2456066.5216000001</v>
      </c>
      <c r="B18" s="1" t="s">
        <v>847</v>
      </c>
      <c r="C18" s="1">
        <v>1.107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 t="s">
        <v>871</v>
      </c>
      <c r="S18" s="1"/>
      <c r="T18" s="1"/>
    </row>
    <row r="19" spans="1:20" x14ac:dyDescent="0.25">
      <c r="A19" s="1">
        <v>2456077.4497500001</v>
      </c>
      <c r="B19" s="1" t="s">
        <v>848</v>
      </c>
      <c r="C19" s="1">
        <v>1.0720000000000001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 t="s">
        <v>871</v>
      </c>
      <c r="S19" s="1"/>
      <c r="T19" s="1"/>
    </row>
    <row r="20" spans="1:20" x14ac:dyDescent="0.25">
      <c r="A20" s="1">
        <v>2456126.4193799999</v>
      </c>
      <c r="B20" s="1" t="s">
        <v>849</v>
      </c>
      <c r="C20" s="1">
        <v>1.0980000000000001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 t="s">
        <v>871</v>
      </c>
      <c r="S20" s="1"/>
      <c r="T20" s="1"/>
    </row>
    <row r="21" spans="1:20" x14ac:dyDescent="0.25">
      <c r="A21" s="1">
        <v>2456132.42618</v>
      </c>
      <c r="B21" s="1" t="s">
        <v>850</v>
      </c>
      <c r="C21" s="1">
        <v>1.103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 t="s">
        <v>871</v>
      </c>
      <c r="S21" s="1"/>
      <c r="T21" s="1"/>
    </row>
    <row r="22" spans="1:20" x14ac:dyDescent="0.25">
      <c r="A22" s="1">
        <v>2456146.4328000001</v>
      </c>
      <c r="B22" s="1" t="s">
        <v>133</v>
      </c>
      <c r="C22" s="1">
        <v>1.0740000000000001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 t="s">
        <v>871</v>
      </c>
      <c r="S22" s="1"/>
      <c r="T22" s="1"/>
    </row>
    <row r="23" spans="1:20" x14ac:dyDescent="0.25">
      <c r="A23" s="1">
        <v>2456149.3707300001</v>
      </c>
      <c r="B23" s="1" t="s">
        <v>851</v>
      </c>
      <c r="C23" s="1">
        <v>1.097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 t="s">
        <v>871</v>
      </c>
      <c r="S23" s="1"/>
      <c r="T23" s="1"/>
    </row>
    <row r="24" spans="1:20" x14ac:dyDescent="0.25">
      <c r="A24" s="1">
        <v>2456407.5719599999</v>
      </c>
      <c r="B24" s="1" t="s">
        <v>852</v>
      </c>
      <c r="C24" s="1">
        <v>0.995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 t="s">
        <v>871</v>
      </c>
      <c r="S24" s="1"/>
      <c r="T24" s="1"/>
    </row>
    <row r="25" spans="1:20" x14ac:dyDescent="0.25">
      <c r="A25" s="1">
        <v>2456417.52935</v>
      </c>
      <c r="B25" s="1" t="s">
        <v>853</v>
      </c>
      <c r="C25" s="1">
        <v>0.96399999999999997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 t="s">
        <v>871</v>
      </c>
      <c r="S25" s="1"/>
      <c r="T25" s="1"/>
    </row>
    <row r="26" spans="1:20" x14ac:dyDescent="0.25">
      <c r="A26" s="1">
        <v>2456424.60103</v>
      </c>
      <c r="B26" s="1" t="s">
        <v>854</v>
      </c>
      <c r="C26" s="1">
        <v>0.92700000000000005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 t="s">
        <v>871</v>
      </c>
      <c r="S26" s="1"/>
      <c r="T26" s="1"/>
    </row>
    <row r="27" spans="1:20" x14ac:dyDescent="0.25">
      <c r="A27" s="1">
        <v>2456439.5170200001</v>
      </c>
      <c r="B27" s="1" t="s">
        <v>873</v>
      </c>
      <c r="C27" s="1">
        <v>0.97199999999999998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 t="s">
        <v>871</v>
      </c>
      <c r="S27" s="1"/>
      <c r="T27" s="1"/>
    </row>
    <row r="28" spans="1:20" x14ac:dyDescent="0.25">
      <c r="A28" s="1">
        <v>2456444.5109999999</v>
      </c>
      <c r="B28" s="1" t="s">
        <v>856</v>
      </c>
      <c r="C28" s="1">
        <v>0.91400000000000003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 t="s">
        <v>871</v>
      </c>
      <c r="S28" s="1"/>
      <c r="T28" s="1"/>
    </row>
    <row r="29" spans="1:20" x14ac:dyDescent="0.25">
      <c r="A29" s="1">
        <v>2456471.50238</v>
      </c>
      <c r="B29" s="1" t="s">
        <v>136</v>
      </c>
      <c r="C29" s="1">
        <v>0.94899999999999995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 t="s">
        <v>871</v>
      </c>
      <c r="S29" s="1"/>
      <c r="T29" s="1"/>
    </row>
    <row r="30" spans="1:20" x14ac:dyDescent="0.25">
      <c r="A30" s="1">
        <v>2456540.3143099998</v>
      </c>
      <c r="B30" s="1" t="s">
        <v>861</v>
      </c>
      <c r="C30" s="1">
        <v>0.98899999999999999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 t="s">
        <v>871</v>
      </c>
      <c r="S30" s="1"/>
      <c r="T30" s="1"/>
    </row>
    <row r="31" spans="1:20" x14ac:dyDescent="0.25">
      <c r="A31" s="1">
        <v>2456802.4467199999</v>
      </c>
      <c r="B31" s="1" t="s">
        <v>862</v>
      </c>
      <c r="C31" s="1">
        <v>0.98099999999999998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 t="s">
        <v>871</v>
      </c>
      <c r="S31" s="1"/>
      <c r="T31" s="1"/>
    </row>
    <row r="32" spans="1:20" x14ac:dyDescent="0.25">
      <c r="A32" s="1">
        <v>2456805.5808600001</v>
      </c>
      <c r="B32" s="1" t="s">
        <v>863</v>
      </c>
      <c r="C32" s="1">
        <v>0.98799999999999999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 t="s">
        <v>871</v>
      </c>
      <c r="S32" s="1"/>
      <c r="T32" s="1"/>
    </row>
    <row r="33" spans="1:20" x14ac:dyDescent="0.25">
      <c r="A33" s="1">
        <v>2456856.4783100002</v>
      </c>
      <c r="B33" s="1" t="s">
        <v>864</v>
      </c>
      <c r="C33" s="1">
        <v>1.0620000000000001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 t="s">
        <v>871</v>
      </c>
      <c r="S33" s="1"/>
      <c r="T33" s="1"/>
    </row>
    <row r="34" spans="1:20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6" spans="1:2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</row>
    <row r="37" spans="1:20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</row>
    <row r="38" spans="1:20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</row>
    <row r="39" spans="1:2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</row>
    <row r="40" spans="1:2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</row>
    <row r="41" spans="1:20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</row>
    <row r="42" spans="1:20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</row>
    <row r="43" spans="1:20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</row>
    <row r="44" spans="1:20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</row>
    <row r="45" spans="1:20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  <row r="46" spans="1:20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</row>
    <row r="47" spans="1:20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</row>
    <row r="48" spans="1:20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</row>
    <row r="49" spans="1:2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</row>
    <row r="50" spans="1:20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</row>
    <row r="51" spans="1:20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</row>
    <row r="52" spans="1:20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  <row r="53" spans="1:20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</row>
    <row r="54" spans="1:20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</row>
    <row r="55" spans="1:20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6" spans="1:20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</row>
    <row r="57" spans="1:20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</row>
    <row r="58" spans="1:20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</row>
    <row r="59" spans="1:20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</row>
    <row r="60" spans="1:20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</row>
    <row r="61" spans="1:20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</row>
    <row r="62" spans="1:20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</row>
    <row r="63" spans="1:20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</row>
    <row r="64" spans="1:20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</row>
    <row r="65" spans="1:20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</row>
    <row r="66" spans="1:20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</row>
    <row r="67" spans="1:20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</row>
    <row r="68" spans="1:20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</row>
    <row r="69" spans="1:20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</row>
    <row r="70" spans="1:20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</row>
    <row r="71" spans="1:20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</row>
    <row r="72" spans="1:20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</row>
    <row r="73" spans="1:20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</row>
    <row r="74" spans="1:20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</row>
    <row r="75" spans="1:20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</row>
    <row r="76" spans="1:20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</row>
    <row r="77" spans="1:20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</row>
    <row r="78" spans="1:20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</row>
    <row r="79" spans="1:20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</row>
    <row r="80" spans="1:20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</row>
    <row r="81" spans="1:20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</row>
    <row r="82" spans="1:20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</row>
    <row r="83" spans="1:20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</row>
    <row r="84" spans="1:20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</row>
    <row r="85" spans="1:20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</row>
    <row r="86" spans="1:20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</row>
    <row r="87" spans="1:20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</row>
    <row r="88" spans="1:20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</row>
    <row r="89" spans="1:20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</row>
    <row r="90" spans="1:20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</row>
    <row r="91" spans="1:20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</row>
    <row r="92" spans="1:20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</row>
    <row r="93" spans="1:20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</row>
    <row r="94" spans="1:20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</row>
    <row r="95" spans="1:20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</row>
    <row r="96" spans="1:20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</row>
    <row r="97" spans="1:20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</row>
    <row r="98" spans="1:20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</row>
    <row r="99" spans="1:20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</row>
    <row r="100" spans="1:20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</row>
    <row r="101" spans="1:20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</row>
    <row r="102" spans="1:20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</row>
    <row r="103" spans="1:20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</row>
    <row r="104" spans="1:20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</row>
    <row r="105" spans="1:20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</row>
    <row r="106" spans="1:20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</row>
    <row r="107" spans="1:20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</row>
    <row r="108" spans="1:20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</row>
    <row r="109" spans="1:20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</row>
    <row r="110" spans="1:20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</row>
    <row r="111" spans="1:20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</row>
    <row r="112" spans="1:20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</row>
    <row r="113" spans="1:20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</row>
    <row r="114" spans="1:20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</row>
    <row r="115" spans="1:20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</row>
    <row r="116" spans="1:20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</row>
    <row r="117" spans="1:20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</row>
    <row r="118" spans="1:20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</row>
    <row r="119" spans="1:20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</row>
    <row r="120" spans="1:20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</row>
    <row r="121" spans="1:20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</row>
    <row r="122" spans="1:20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</row>
    <row r="123" spans="1:20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</row>
    <row r="124" spans="1:20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</row>
    <row r="125" spans="1:20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</row>
    <row r="126" spans="1:20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</row>
    <row r="127" spans="1:20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</row>
    <row r="128" spans="1:20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</row>
    <row r="129" spans="1:20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</row>
    <row r="130" spans="1:20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</row>
    <row r="131" spans="1:20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</row>
    <row r="132" spans="1:20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</row>
    <row r="133" spans="1:20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</row>
    <row r="134" spans="1:20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</row>
    <row r="135" spans="1:20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</row>
    <row r="136" spans="1:20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</row>
    <row r="137" spans="1:20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</row>
    <row r="138" spans="1:20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</row>
    <row r="139" spans="1:20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</row>
    <row r="140" spans="1:20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</row>
    <row r="141" spans="1:20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</row>
    <row r="142" spans="1:20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</row>
    <row r="143" spans="1:20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</row>
    <row r="144" spans="1:20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</row>
    <row r="145" spans="1:20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</row>
    <row r="146" spans="1:20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</row>
    <row r="147" spans="1:20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</row>
    <row r="148" spans="1:20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</row>
    <row r="149" spans="1:20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</row>
    <row r="150" spans="1:20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</row>
    <row r="151" spans="1:20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</row>
    <row r="152" spans="1:20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</row>
    <row r="153" spans="1:20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</row>
    <row r="154" spans="1:20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</row>
    <row r="155" spans="1:20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</row>
    <row r="156" spans="1:20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</row>
    <row r="157" spans="1:20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</row>
    <row r="158" spans="1:20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</row>
    <row r="159" spans="1:20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</row>
    <row r="160" spans="1:20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</row>
    <row r="161" spans="1:20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</row>
    <row r="162" spans="1:20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</row>
    <row r="163" spans="1:20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</row>
    <row r="164" spans="1:20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</row>
    <row r="165" spans="1:20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</row>
    <row r="166" spans="1:20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</row>
    <row r="167" spans="1:20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</row>
    <row r="168" spans="1:20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</row>
    <row r="169" spans="1:20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</row>
    <row r="170" spans="1:20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</row>
    <row r="171" spans="1:20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</row>
    <row r="172" spans="1:20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</row>
    <row r="173" spans="1:20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</row>
    <row r="174" spans="1:20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</row>
    <row r="175" spans="1:20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</row>
    <row r="176" spans="1:20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</row>
    <row r="177" spans="1:20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</row>
    <row r="178" spans="1:20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</row>
    <row r="179" spans="1:20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</row>
    <row r="180" spans="1:20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</row>
    <row r="181" spans="1:20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</row>
    <row r="182" spans="1:20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</row>
    <row r="183" spans="1:20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</row>
    <row r="184" spans="1:20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</row>
    <row r="185" spans="1:20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</row>
    <row r="186" spans="1:20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</row>
    <row r="187" spans="1:20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</row>
    <row r="188" spans="1:20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</row>
    <row r="189" spans="1:20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</row>
    <row r="190" spans="1:20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</row>
    <row r="191" spans="1:20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</row>
    <row r="192" spans="1:20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</row>
    <row r="193" spans="1:20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</row>
    <row r="194" spans="1:20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</row>
    <row r="195" spans="1:20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</row>
    <row r="196" spans="1:20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</row>
    <row r="197" spans="1:20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</row>
    <row r="198" spans="1:20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</row>
    <row r="199" spans="1:20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</row>
    <row r="200" spans="1:20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</row>
    <row r="201" spans="1:20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</row>
    <row r="202" spans="1:20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</row>
    <row r="203" spans="1:20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</row>
    <row r="204" spans="1:20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</row>
    <row r="205" spans="1:20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</row>
    <row r="206" spans="1:20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</row>
    <row r="207" spans="1:20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</row>
    <row r="208" spans="1:20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</row>
    <row r="209" spans="1:20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</row>
    <row r="210" spans="1:20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</row>
    <row r="211" spans="1:20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</row>
    <row r="212" spans="1:20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</row>
    <row r="213" spans="1:20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</row>
    <row r="214" spans="1:20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</row>
    <row r="215" spans="1:20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</row>
    <row r="216" spans="1:20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</row>
    <row r="217" spans="1:20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</row>
    <row r="218" spans="1:20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</row>
    <row r="219" spans="1:20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</row>
    <row r="220" spans="1:20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</row>
    <row r="221" spans="1:20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</row>
    <row r="222" spans="1:20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</row>
    <row r="223" spans="1:20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</row>
    <row r="224" spans="1:20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</row>
    <row r="225" spans="1:20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</row>
    <row r="226" spans="1:20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</row>
    <row r="227" spans="1:20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</row>
    <row r="228" spans="1:20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</row>
    <row r="229" spans="1:20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</row>
    <row r="230" spans="1:20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</row>
    <row r="231" spans="1:20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</row>
    <row r="232" spans="1:20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</row>
    <row r="233" spans="1:20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</row>
    <row r="234" spans="1:20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</row>
    <row r="235" spans="1:20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</row>
    <row r="236" spans="1:20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</row>
    <row r="237" spans="1:20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</row>
    <row r="238" spans="1:20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</row>
    <row r="239" spans="1:20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</row>
    <row r="240" spans="1:20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</row>
    <row r="241" spans="1:20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</row>
    <row r="242" spans="1:20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</row>
    <row r="243" spans="1:20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</row>
    <row r="244" spans="1:20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</row>
    <row r="245" spans="1:20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</row>
    <row r="246" spans="1:20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</row>
    <row r="247" spans="1:20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</row>
    <row r="248" spans="1:20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</row>
    <row r="249" spans="1:20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</row>
    <row r="250" spans="1:20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</row>
    <row r="251" spans="1:20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</row>
    <row r="252" spans="1:20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</row>
    <row r="253" spans="1:20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</row>
    <row r="254" spans="1:20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</row>
    <row r="255" spans="1:20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</row>
    <row r="256" spans="1:20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</row>
    <row r="257" spans="1:20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</row>
    <row r="258" spans="1:20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</row>
    <row r="259" spans="1:20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</row>
    <row r="260" spans="1:20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</row>
    <row r="261" spans="1:20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</row>
    <row r="262" spans="1:20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</row>
    <row r="263" spans="1:20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</row>
    <row r="264" spans="1:20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</row>
    <row r="265" spans="1:20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</row>
    <row r="266" spans="1:20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</row>
    <row r="267" spans="1:20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</row>
    <row r="268" spans="1:20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</row>
    <row r="269" spans="1:20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</row>
    <row r="270" spans="1:20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</row>
    <row r="271" spans="1:20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</row>
    <row r="272" spans="1:20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</row>
    <row r="273" spans="1:20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</row>
    <row r="274" spans="1:20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</row>
    <row r="275" spans="1:20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</row>
    <row r="276" spans="1:20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</row>
    <row r="277" spans="1:20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</row>
    <row r="278" spans="1:20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</row>
    <row r="279" spans="1:20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</row>
    <row r="280" spans="1:20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</row>
    <row r="281" spans="1:20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</row>
    <row r="282" spans="1:20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</row>
    <row r="283" spans="1:20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</row>
    <row r="284" spans="1:20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</row>
    <row r="285" spans="1:20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</row>
    <row r="286" spans="1:20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</row>
    <row r="287" spans="1:20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</row>
    <row r="288" spans="1:20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</row>
    <row r="289" spans="1:20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</row>
    <row r="290" spans="1:20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</row>
    <row r="291" spans="1:20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</row>
    <row r="292" spans="1:20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</row>
    <row r="293" spans="1:20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</row>
    <row r="294" spans="1:20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</row>
    <row r="295" spans="1:20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</row>
    <row r="296" spans="1:20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</row>
    <row r="297" spans="1:20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</row>
    <row r="298" spans="1:20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</row>
    <row r="299" spans="1:20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</row>
    <row r="300" spans="1:20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</row>
    <row r="301" spans="1:20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</row>
    <row r="302" spans="1:20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</row>
    <row r="303" spans="1:20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</row>
    <row r="304" spans="1:20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</row>
    <row r="305" spans="1:20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</row>
    <row r="306" spans="1:20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</row>
    <row r="307" spans="1:20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</row>
    <row r="308" spans="1:20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</row>
    <row r="309" spans="1:20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</row>
    <row r="310" spans="1:20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</row>
    <row r="311" spans="1:20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</row>
    <row r="312" spans="1:20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</row>
    <row r="313" spans="1:20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</row>
    <row r="314" spans="1:20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</row>
    <row r="315" spans="1:20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</row>
    <row r="316" spans="1:20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</row>
    <row r="317" spans="1:20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</row>
    <row r="318" spans="1:20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</row>
    <row r="319" spans="1:20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</row>
    <row r="320" spans="1:20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</row>
    <row r="321" spans="1:20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</row>
    <row r="322" spans="1:20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</row>
    <row r="323" spans="1:20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</row>
    <row r="324" spans="1:20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</row>
    <row r="325" spans="1:20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</row>
    <row r="326" spans="1:20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</row>
    <row r="327" spans="1:20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</row>
    <row r="328" spans="1:20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</row>
    <row r="329" spans="1:20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</row>
    <row r="330" spans="1:20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</row>
    <row r="331" spans="1:20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</row>
    <row r="332" spans="1:20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</row>
    <row r="333" spans="1:20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</row>
    <row r="334" spans="1:20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</row>
    <row r="335" spans="1:20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</row>
    <row r="336" spans="1:20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</row>
    <row r="337" spans="1:20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</row>
    <row r="338" spans="1:20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</row>
    <row r="339" spans="1:20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</row>
    <row r="340" spans="1:20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</row>
    <row r="341" spans="1:20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</row>
    <row r="342" spans="1:20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</row>
    <row r="343" spans="1:20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</row>
    <row r="344" spans="1:20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</row>
    <row r="345" spans="1:20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</row>
    <row r="346" spans="1:20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</row>
    <row r="347" spans="1:20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</row>
    <row r="348" spans="1:20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</row>
    <row r="349" spans="1:20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</row>
    <row r="350" spans="1:20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</row>
    <row r="351" spans="1:20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</row>
    <row r="352" spans="1:20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</row>
    <row r="353" spans="1:20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</row>
    <row r="354" spans="1:20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</row>
    <row r="355" spans="1:20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</row>
    <row r="356" spans="1:20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</row>
    <row r="357" spans="1:20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</row>
    <row r="358" spans="1:20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</row>
    <row r="359" spans="1:20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</row>
    <row r="360" spans="1:20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</row>
    <row r="361" spans="1:20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</row>
    <row r="362" spans="1:20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</row>
    <row r="363" spans="1:20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</row>
    <row r="364" spans="1:20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</row>
    <row r="365" spans="1:20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</row>
    <row r="366" spans="1:20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</row>
    <row r="367" spans="1:20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</row>
    <row r="368" spans="1:20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</row>
    <row r="369" spans="1:20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</row>
    <row r="370" spans="1:20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</row>
    <row r="371" spans="1:20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</row>
    <row r="372" spans="1:20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</row>
    <row r="373" spans="1:20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</row>
    <row r="374" spans="1:20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</row>
    <row r="375" spans="1:20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</row>
    <row r="376" spans="1:20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</row>
    <row r="377" spans="1:20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</row>
    <row r="378" spans="1:20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</row>
    <row r="379" spans="1:20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</row>
    <row r="380" spans="1:20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</row>
    <row r="381" spans="1:20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</row>
    <row r="382" spans="1:20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</row>
    <row r="383" spans="1:20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</row>
    <row r="384" spans="1:20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</row>
    <row r="385" spans="1:20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</row>
    <row r="386" spans="1:20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</row>
    <row r="387" spans="1:20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</row>
    <row r="388" spans="1:20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</row>
    <row r="389" spans="1:20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</row>
    <row r="390" spans="1:20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</row>
    <row r="391" spans="1:20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</row>
    <row r="392" spans="1:20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</row>
    <row r="393" spans="1:20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</row>
    <row r="394" spans="1:20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</row>
    <row r="395" spans="1:20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</row>
    <row r="396" spans="1:20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</row>
    <row r="397" spans="1:20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</row>
    <row r="398" spans="1:20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</row>
    <row r="399" spans="1:20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</row>
    <row r="400" spans="1:20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</row>
    <row r="401" spans="1:20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</row>
    <row r="402" spans="1:20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</row>
    <row r="403" spans="1:20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</row>
    <row r="404" spans="1:20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</row>
    <row r="405" spans="1:20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</row>
    <row r="406" spans="1:20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</row>
    <row r="407" spans="1:20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</row>
    <row r="408" spans="1:20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</row>
    <row r="409" spans="1:20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</row>
    <row r="410" spans="1:20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</row>
    <row r="411" spans="1:20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</row>
    <row r="412" spans="1:20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</row>
    <row r="413" spans="1:20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</row>
    <row r="414" spans="1:20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</row>
    <row r="415" spans="1:20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</row>
    <row r="416" spans="1:20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</row>
    <row r="417" spans="1:20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</row>
    <row r="418" spans="1:20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</row>
    <row r="419" spans="1:20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</row>
    <row r="420" spans="1:20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</row>
    <row r="421" spans="1:20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</row>
    <row r="422" spans="1:20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</row>
    <row r="423" spans="1:20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</row>
    <row r="424" spans="1:20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</row>
    <row r="425" spans="1:20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</row>
    <row r="426" spans="1:20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</row>
    <row r="427" spans="1:20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</row>
    <row r="428" spans="1:20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</row>
    <row r="429" spans="1:20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</row>
    <row r="430" spans="1:20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</row>
    <row r="431" spans="1:20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</row>
    <row r="432" spans="1:20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</row>
    <row r="433" spans="1:20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</row>
    <row r="434" spans="1:20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</row>
    <row r="435" spans="1:20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</row>
    <row r="436" spans="1:20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</row>
    <row r="437" spans="1:20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</row>
    <row r="438" spans="1:20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</row>
    <row r="439" spans="1:20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</row>
    <row r="440" spans="1:20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</row>
    <row r="441" spans="1:20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</row>
    <row r="442" spans="1:20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</row>
    <row r="443" spans="1:20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</row>
    <row r="444" spans="1:20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</row>
    <row r="445" spans="1:20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</row>
    <row r="446" spans="1:20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</row>
    <row r="447" spans="1:20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</row>
    <row r="448" spans="1:20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</row>
    <row r="449" spans="1:20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</row>
    <row r="450" spans="1:20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</row>
    <row r="451" spans="1:20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</row>
    <row r="452" spans="1:20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</row>
    <row r="453" spans="1:20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</row>
    <row r="454" spans="1:20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</row>
    <row r="455" spans="1:20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</row>
    <row r="456" spans="1:20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</row>
    <row r="457" spans="1:20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</row>
    <row r="458" spans="1:20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</row>
    <row r="459" spans="1:20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</row>
    <row r="460" spans="1:20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</row>
    <row r="461" spans="1:20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</row>
    <row r="462" spans="1:20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</row>
    <row r="463" spans="1:20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</row>
    <row r="464" spans="1:20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</row>
    <row r="465" spans="1:20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</row>
    <row r="466" spans="1:20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</row>
    <row r="467" spans="1:20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</row>
    <row r="468" spans="1:20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</row>
    <row r="469" spans="1:20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</row>
    <row r="470" spans="1:20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</row>
    <row r="471" spans="1:20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</row>
    <row r="472" spans="1:20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</row>
    <row r="473" spans="1:20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</row>
    <row r="474" spans="1:20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</row>
    <row r="475" spans="1:20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</row>
    <row r="476" spans="1:20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</row>
    <row r="477" spans="1:20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</row>
    <row r="478" spans="1:20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</row>
    <row r="479" spans="1:20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</row>
    <row r="480" spans="1:20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</row>
    <row r="481" spans="1:20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</row>
    <row r="482" spans="1:20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</row>
    <row r="483" spans="1:20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</row>
    <row r="484" spans="1:20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</row>
    <row r="485" spans="1:20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</row>
    <row r="486" spans="1:20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</row>
    <row r="487" spans="1:20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</row>
    <row r="488" spans="1:20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</row>
    <row r="489" spans="1:20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</row>
    <row r="490" spans="1:20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</row>
    <row r="491" spans="1:20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</row>
    <row r="492" spans="1:20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</row>
    <row r="493" spans="1:20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</row>
    <row r="494" spans="1:20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</row>
    <row r="495" spans="1:20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</row>
    <row r="496" spans="1:20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</row>
    <row r="497" spans="1:20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</row>
    <row r="498" spans="1:20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</row>
    <row r="499" spans="1:20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</row>
    <row r="500" spans="1:20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</row>
    <row r="501" spans="1:20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</row>
    <row r="502" spans="1:20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</row>
    <row r="503" spans="1:20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</row>
    <row r="504" spans="1:20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</row>
    <row r="505" spans="1:20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</row>
    <row r="506" spans="1:20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</row>
    <row r="507" spans="1:20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</row>
    <row r="508" spans="1:20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</row>
    <row r="509" spans="1:20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</row>
    <row r="510" spans="1:20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</row>
    <row r="511" spans="1:20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</row>
    <row r="512" spans="1:20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</row>
    <row r="513" spans="1:20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</row>
    <row r="514" spans="1:20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</row>
    <row r="515" spans="1:20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</row>
    <row r="516" spans="1:20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</row>
    <row r="517" spans="1:20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</row>
    <row r="518" spans="1:20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</row>
    <row r="519" spans="1:20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</row>
    <row r="520" spans="1:20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</row>
    <row r="521" spans="1:20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</row>
    <row r="522" spans="1:20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</row>
    <row r="523" spans="1:20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</row>
    <row r="524" spans="1:20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</row>
    <row r="525" spans="1:20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</row>
    <row r="526" spans="1:20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</row>
    <row r="527" spans="1:20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</row>
    <row r="528" spans="1:20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</row>
    <row r="529" spans="1:20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</row>
    <row r="530" spans="1:20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</row>
    <row r="531" spans="1:20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</row>
    <row r="532" spans="1:20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</row>
    <row r="533" spans="1:20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</row>
    <row r="534" spans="1:20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</row>
    <row r="535" spans="1:20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</row>
    <row r="536" spans="1:20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</row>
    <row r="537" spans="1:20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</row>
    <row r="538" spans="1:20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</row>
    <row r="539" spans="1:20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</row>
    <row r="540" spans="1:20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</row>
    <row r="541" spans="1:20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</row>
    <row r="542" spans="1:20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</row>
    <row r="543" spans="1:20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</row>
    <row r="544" spans="1:20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</row>
    <row r="545" spans="1:20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</row>
    <row r="546" spans="1:20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</row>
    <row r="547" spans="1:20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</row>
    <row r="548" spans="1:20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</row>
    <row r="549" spans="1:20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</row>
    <row r="550" spans="1:20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</row>
    <row r="551" spans="1:20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</row>
    <row r="552" spans="1:20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</row>
    <row r="553" spans="1:20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</row>
    <row r="554" spans="1:20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</row>
    <row r="555" spans="1:20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</row>
    <row r="556" spans="1:20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</row>
    <row r="557" spans="1:20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</row>
    <row r="558" spans="1:20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</row>
    <row r="559" spans="1:20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</row>
    <row r="560" spans="1:20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</row>
    <row r="561" spans="1:20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</row>
    <row r="562" spans="1:20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</row>
    <row r="563" spans="1:20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</row>
    <row r="564" spans="1:20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</row>
    <row r="565" spans="1:20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</row>
    <row r="566" spans="1:20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</row>
    <row r="567" spans="1:20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</row>
    <row r="568" spans="1:20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</row>
    <row r="569" spans="1:20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</row>
    <row r="570" spans="1:20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</row>
    <row r="571" spans="1:20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</row>
    <row r="572" spans="1:20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</row>
    <row r="573" spans="1:20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</row>
    <row r="574" spans="1:20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</row>
    <row r="575" spans="1:20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</row>
    <row r="576" spans="1:20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</row>
    <row r="577" spans="1:20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</row>
    <row r="578" spans="1:20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</row>
    <row r="579" spans="1:20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</row>
    <row r="580" spans="1:20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</row>
    <row r="581" spans="1:20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</row>
    <row r="582" spans="1:20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</row>
    <row r="583" spans="1:20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</row>
    <row r="584" spans="1:20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</row>
    <row r="585" spans="1:20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</row>
    <row r="586" spans="1:20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</row>
    <row r="587" spans="1:20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</row>
    <row r="588" spans="1:20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</row>
    <row r="589" spans="1:20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</row>
    <row r="590" spans="1:20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</row>
    <row r="591" spans="1:20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</row>
    <row r="592" spans="1:20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</row>
    <row r="593" spans="1:20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</row>
    <row r="594" spans="1:20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</row>
    <row r="595" spans="1:20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</row>
    <row r="596" spans="1:20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</row>
    <row r="597" spans="1:20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</row>
    <row r="598" spans="1:20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</row>
    <row r="599" spans="1:20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</row>
    <row r="600" spans="1:20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</row>
    <row r="601" spans="1:20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</row>
    <row r="602" spans="1:20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</row>
    <row r="603" spans="1:20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</row>
    <row r="604" spans="1:20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</row>
    <row r="605" spans="1:20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</row>
    <row r="606" spans="1:20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G1986"/>
  <sheetViews>
    <sheetView workbookViewId="0">
      <selection activeCell="E12" sqref="E12"/>
    </sheetView>
  </sheetViews>
  <sheetFormatPr baseColWidth="10" defaultRowHeight="15" x14ac:dyDescent="0.25"/>
  <cols>
    <col min="2" max="2" width="15.28515625" customWidth="1"/>
    <col min="3" max="3" width="15.7109375" customWidth="1"/>
  </cols>
  <sheetData>
    <row r="1" spans="1:7" x14ac:dyDescent="0.25">
      <c r="A1" s="1">
        <v>2440380.7000000002</v>
      </c>
      <c r="B1" s="1" t="s">
        <v>172</v>
      </c>
      <c r="C1" s="1">
        <v>11.5</v>
      </c>
      <c r="D1" s="1">
        <v>0</v>
      </c>
      <c r="E1" s="1"/>
      <c r="G1" t="s">
        <v>142</v>
      </c>
    </row>
    <row r="2" spans="1:7" x14ac:dyDescent="0.25">
      <c r="A2" s="1">
        <v>2440402.6</v>
      </c>
      <c r="B2" s="1" t="s">
        <v>173</v>
      </c>
      <c r="C2" s="1">
        <v>11.3</v>
      </c>
      <c r="D2" s="1">
        <v>0</v>
      </c>
      <c r="E2" s="1"/>
    </row>
    <row r="3" spans="1:7" x14ac:dyDescent="0.25">
      <c r="A3" s="1">
        <v>2440419.7000000002</v>
      </c>
      <c r="B3" s="1" t="s">
        <v>174</v>
      </c>
      <c r="C3" s="1">
        <v>11.6</v>
      </c>
      <c r="D3" s="1">
        <v>0</v>
      </c>
      <c r="E3" s="1"/>
    </row>
    <row r="4" spans="1:7" x14ac:dyDescent="0.25">
      <c r="A4" s="1">
        <v>2440453.6</v>
      </c>
      <c r="B4" s="1" t="s">
        <v>175</v>
      </c>
      <c r="C4" s="1">
        <v>11.6</v>
      </c>
      <c r="D4" s="1">
        <v>0</v>
      </c>
      <c r="E4" s="1"/>
    </row>
    <row r="5" spans="1:7" ht="30" x14ac:dyDescent="0.25">
      <c r="A5" s="1">
        <v>2440486.2666699998</v>
      </c>
      <c r="B5" s="1" t="s">
        <v>176</v>
      </c>
      <c r="C5" s="1">
        <v>11.8</v>
      </c>
      <c r="D5" s="1">
        <v>0</v>
      </c>
      <c r="E5" s="1"/>
    </row>
    <row r="6" spans="1:7" ht="30" x14ac:dyDescent="0.25">
      <c r="A6" s="1">
        <v>2440498.9333299999</v>
      </c>
      <c r="B6" s="1" t="s">
        <v>177</v>
      </c>
      <c r="C6" s="1">
        <v>11.866667</v>
      </c>
      <c r="D6" s="1">
        <v>6.6667000000000004E-2</v>
      </c>
      <c r="E6" s="1"/>
    </row>
    <row r="7" spans="1:7" x14ac:dyDescent="0.25">
      <c r="A7" s="1">
        <v>2440542.5</v>
      </c>
      <c r="B7" s="1" t="s">
        <v>178</v>
      </c>
      <c r="C7" s="1">
        <v>11.8</v>
      </c>
      <c r="D7" s="1">
        <v>0</v>
      </c>
      <c r="E7" s="1"/>
    </row>
    <row r="8" spans="1:7" x14ac:dyDescent="0.25">
      <c r="A8" s="1">
        <v>2440565.5</v>
      </c>
      <c r="B8" s="1" t="s">
        <v>179</v>
      </c>
      <c r="C8" s="1">
        <v>11.9</v>
      </c>
      <c r="D8" s="1">
        <v>0</v>
      </c>
      <c r="E8" s="1"/>
    </row>
    <row r="9" spans="1:7" ht="30" x14ac:dyDescent="0.25">
      <c r="A9" s="1">
        <v>2440745.03333</v>
      </c>
      <c r="B9" s="1" t="s">
        <v>180</v>
      </c>
      <c r="C9" s="1">
        <v>11.4</v>
      </c>
      <c r="D9" s="1">
        <v>5.7735000000000002E-2</v>
      </c>
      <c r="E9" s="1"/>
    </row>
    <row r="10" spans="1:7" x14ac:dyDescent="0.25">
      <c r="A10" s="1">
        <v>2440762.2000000002</v>
      </c>
      <c r="B10" s="1" t="s">
        <v>181</v>
      </c>
      <c r="C10" s="1">
        <v>11.45</v>
      </c>
      <c r="D10" s="1">
        <v>0.15</v>
      </c>
      <c r="E10" s="1"/>
    </row>
    <row r="11" spans="1:7" ht="30" x14ac:dyDescent="0.25">
      <c r="A11" s="1">
        <v>2440780.3333299998</v>
      </c>
      <c r="B11" s="1" t="s">
        <v>182</v>
      </c>
      <c r="C11" s="1">
        <v>11.566667000000001</v>
      </c>
      <c r="D11" s="1">
        <v>6.6667000000000004E-2</v>
      </c>
      <c r="E11" s="1"/>
    </row>
    <row r="12" spans="1:7" x14ac:dyDescent="0.25">
      <c r="A12" s="1">
        <v>2440810.7000000002</v>
      </c>
      <c r="B12" s="1" t="s">
        <v>183</v>
      </c>
      <c r="C12" s="1">
        <v>11.4</v>
      </c>
      <c r="D12" s="1">
        <v>0</v>
      </c>
      <c r="E12" s="1"/>
    </row>
    <row r="13" spans="1:7" x14ac:dyDescent="0.25">
      <c r="A13" s="1">
        <v>2440825.7000000002</v>
      </c>
      <c r="B13" s="1" t="s">
        <v>184</v>
      </c>
      <c r="C13" s="1">
        <v>11.4</v>
      </c>
      <c r="D13" s="1">
        <v>0</v>
      </c>
      <c r="E13" s="1"/>
    </row>
    <row r="14" spans="1:7" x14ac:dyDescent="0.25">
      <c r="A14" s="1">
        <v>2440841.2999999998</v>
      </c>
      <c r="B14" s="1" t="s">
        <v>185</v>
      </c>
      <c r="C14" s="1">
        <v>11.633333</v>
      </c>
      <c r="D14" s="1">
        <v>6.6667000000000004E-2</v>
      </c>
      <c r="E14" s="1"/>
    </row>
    <row r="15" spans="1:7" x14ac:dyDescent="0.25">
      <c r="A15" s="1">
        <v>2440855.6</v>
      </c>
      <c r="B15" s="1" t="s">
        <v>186</v>
      </c>
      <c r="C15" s="1">
        <v>11.45</v>
      </c>
      <c r="D15" s="1">
        <v>2.8868000000000001E-2</v>
      </c>
      <c r="E15" s="1"/>
    </row>
    <row r="16" spans="1:7" ht="30" x14ac:dyDescent="0.25">
      <c r="A16" s="1">
        <v>2440883.5666700001</v>
      </c>
      <c r="B16" s="1" t="s">
        <v>187</v>
      </c>
      <c r="C16" s="1">
        <v>11.5</v>
      </c>
      <c r="D16" s="1">
        <v>0</v>
      </c>
      <c r="E16" s="1"/>
    </row>
    <row r="17" spans="1:5" x14ac:dyDescent="0.25">
      <c r="A17" s="1">
        <v>2440912.5</v>
      </c>
      <c r="B17" s="1" t="s">
        <v>188</v>
      </c>
      <c r="C17" s="1">
        <v>11.3</v>
      </c>
      <c r="D17" s="1">
        <v>0</v>
      </c>
      <c r="E17" s="1"/>
    </row>
    <row r="18" spans="1:5" x14ac:dyDescent="0.25">
      <c r="A18" s="1">
        <v>2441042.2999999998</v>
      </c>
      <c r="B18" s="1" t="s">
        <v>189</v>
      </c>
      <c r="C18" s="1">
        <v>11.55</v>
      </c>
      <c r="D18" s="1">
        <v>0.05</v>
      </c>
      <c r="E18" s="1"/>
    </row>
    <row r="19" spans="1:5" x14ac:dyDescent="0.25">
      <c r="A19" s="1">
        <v>2441063.7000000002</v>
      </c>
      <c r="B19" s="1" t="s">
        <v>190</v>
      </c>
      <c r="C19" s="1">
        <v>11.5</v>
      </c>
      <c r="D19" s="1">
        <v>0</v>
      </c>
      <c r="E19" s="1"/>
    </row>
    <row r="20" spans="1:5" x14ac:dyDescent="0.25">
      <c r="A20" s="1">
        <v>2441092.7000000002</v>
      </c>
      <c r="B20" s="1" t="s">
        <v>191</v>
      </c>
      <c r="C20" s="1">
        <v>11.55</v>
      </c>
      <c r="D20" s="1">
        <v>0.05</v>
      </c>
      <c r="E20" s="1"/>
    </row>
    <row r="21" spans="1:5" x14ac:dyDescent="0.25">
      <c r="A21" s="1">
        <v>2441117.2000000002</v>
      </c>
      <c r="B21" s="1" t="s">
        <v>192</v>
      </c>
      <c r="C21" s="1">
        <v>11.55</v>
      </c>
      <c r="D21" s="1">
        <v>0.05</v>
      </c>
      <c r="E21" s="1"/>
    </row>
    <row r="22" spans="1:5" x14ac:dyDescent="0.25">
      <c r="A22" s="1">
        <v>2441142.9333299999</v>
      </c>
      <c r="B22" s="1" t="s">
        <v>193</v>
      </c>
      <c r="C22" s="1">
        <v>11.433332999999999</v>
      </c>
      <c r="D22" s="1">
        <v>3.3333000000000002E-2</v>
      </c>
      <c r="E22" s="1"/>
    </row>
    <row r="23" spans="1:5" x14ac:dyDescent="0.25">
      <c r="A23" s="1">
        <v>2441164.65</v>
      </c>
      <c r="B23" s="1" t="s">
        <v>194</v>
      </c>
      <c r="C23" s="1">
        <v>11.6</v>
      </c>
      <c r="D23" s="1">
        <v>0.1</v>
      </c>
      <c r="E23" s="1"/>
    </row>
    <row r="24" spans="1:5" x14ac:dyDescent="0.25">
      <c r="A24" s="1">
        <v>2441180.6</v>
      </c>
      <c r="B24" s="1" t="s">
        <v>195</v>
      </c>
      <c r="C24" s="1">
        <v>11.775</v>
      </c>
      <c r="D24" s="1">
        <v>2.5000000000000001E-2</v>
      </c>
      <c r="E24" s="1"/>
    </row>
    <row r="25" spans="1:5" x14ac:dyDescent="0.25">
      <c r="A25" s="1">
        <v>2441215.15</v>
      </c>
      <c r="B25" s="1" t="s">
        <v>196</v>
      </c>
      <c r="C25" s="1">
        <v>11.75</v>
      </c>
      <c r="D25" s="1">
        <v>0.05</v>
      </c>
      <c r="E25" s="1"/>
    </row>
    <row r="26" spans="1:5" x14ac:dyDescent="0.25">
      <c r="A26" s="1">
        <v>2441232.7999999998</v>
      </c>
      <c r="B26" s="1" t="s">
        <v>197</v>
      </c>
      <c r="C26" s="1">
        <v>11.875</v>
      </c>
      <c r="D26" s="1">
        <v>9.4647999999999996E-2</v>
      </c>
      <c r="E26" s="1"/>
    </row>
    <row r="27" spans="1:5" x14ac:dyDescent="0.25">
      <c r="A27" s="1">
        <v>2441247.35</v>
      </c>
      <c r="B27" s="1" t="s">
        <v>198</v>
      </c>
      <c r="C27" s="1">
        <v>11.9</v>
      </c>
      <c r="D27" s="1">
        <v>3.6514999999999999E-2</v>
      </c>
      <c r="E27" s="1"/>
    </row>
    <row r="28" spans="1:5" x14ac:dyDescent="0.25">
      <c r="A28" s="1">
        <v>2441268.25</v>
      </c>
      <c r="B28" s="1" t="s">
        <v>199</v>
      </c>
      <c r="C28" s="1">
        <v>11.824999999999999</v>
      </c>
      <c r="D28" s="1">
        <v>2.5000000000000001E-2</v>
      </c>
      <c r="E28" s="1"/>
    </row>
    <row r="29" spans="1:5" x14ac:dyDescent="0.25">
      <c r="A29" s="1">
        <v>2441294</v>
      </c>
      <c r="B29" s="1" t="s">
        <v>200</v>
      </c>
      <c r="C29" s="1">
        <v>11.85</v>
      </c>
      <c r="D29" s="1">
        <v>0.05</v>
      </c>
      <c r="E29" s="1"/>
    </row>
    <row r="30" spans="1:5" x14ac:dyDescent="0.25">
      <c r="A30" s="1">
        <v>2441337.7000000002</v>
      </c>
      <c r="B30" s="1" t="s">
        <v>201</v>
      </c>
      <c r="C30" s="1">
        <v>11.8</v>
      </c>
      <c r="D30" s="1">
        <v>0</v>
      </c>
      <c r="E30" s="1"/>
    </row>
    <row r="31" spans="1:5" x14ac:dyDescent="0.25">
      <c r="A31" s="1">
        <v>2441392.7000000002</v>
      </c>
      <c r="B31" s="1" t="s">
        <v>202</v>
      </c>
      <c r="C31" s="1">
        <v>11.7</v>
      </c>
      <c r="D31" s="1">
        <v>0</v>
      </c>
      <c r="E31" s="1"/>
    </row>
    <row r="32" spans="1:5" x14ac:dyDescent="0.25">
      <c r="A32" s="1">
        <v>2441416.7000000002</v>
      </c>
      <c r="B32" s="1" t="s">
        <v>203</v>
      </c>
      <c r="C32" s="1">
        <v>11.6</v>
      </c>
      <c r="D32" s="1">
        <v>0</v>
      </c>
      <c r="E32" s="1"/>
    </row>
    <row r="33" spans="1:5" x14ac:dyDescent="0.25">
      <c r="A33" s="1">
        <v>2441429.25</v>
      </c>
      <c r="B33" s="1" t="s">
        <v>204</v>
      </c>
      <c r="C33" s="1">
        <v>11.25</v>
      </c>
      <c r="D33" s="1">
        <v>0.05</v>
      </c>
      <c r="E33" s="1"/>
    </row>
    <row r="34" spans="1:5" x14ac:dyDescent="0.25">
      <c r="A34" s="1">
        <v>2441452.1</v>
      </c>
      <c r="B34" s="1" t="s">
        <v>205</v>
      </c>
      <c r="C34" s="1">
        <v>11.4</v>
      </c>
      <c r="D34" s="1">
        <v>0.1</v>
      </c>
      <c r="E34" s="1"/>
    </row>
    <row r="35" spans="1:5" x14ac:dyDescent="0.25">
      <c r="A35" s="1">
        <v>2441468.2666699998</v>
      </c>
      <c r="B35" s="1" t="s">
        <v>206</v>
      </c>
      <c r="C35" s="1">
        <v>11.4</v>
      </c>
      <c r="D35" s="1">
        <v>0</v>
      </c>
      <c r="E35" s="1"/>
    </row>
    <row r="36" spans="1:5" x14ac:dyDescent="0.25">
      <c r="A36" s="1">
        <v>2441501.0150000001</v>
      </c>
      <c r="B36" s="1" t="s">
        <v>207</v>
      </c>
      <c r="C36" s="1">
        <v>11.4</v>
      </c>
      <c r="D36" s="1">
        <v>0</v>
      </c>
      <c r="E36" s="1"/>
    </row>
    <row r="37" spans="1:5" x14ac:dyDescent="0.25">
      <c r="A37" s="1">
        <v>2441524.15</v>
      </c>
      <c r="B37" s="1" t="s">
        <v>208</v>
      </c>
      <c r="C37" s="1">
        <v>11.5</v>
      </c>
      <c r="D37" s="1">
        <v>0.1</v>
      </c>
      <c r="E37" s="1"/>
    </row>
    <row r="38" spans="1:5" x14ac:dyDescent="0.25">
      <c r="A38" s="1">
        <v>2441551.96667</v>
      </c>
      <c r="B38" s="1" t="s">
        <v>209</v>
      </c>
      <c r="C38" s="1">
        <v>11.433332999999999</v>
      </c>
      <c r="D38" s="1">
        <v>8.8192000000000006E-2</v>
      </c>
      <c r="E38" s="1"/>
    </row>
    <row r="39" spans="1:5" x14ac:dyDescent="0.25">
      <c r="A39" s="1">
        <v>2441570.4166700002</v>
      </c>
      <c r="B39" s="1" t="s">
        <v>210</v>
      </c>
      <c r="C39" s="1">
        <v>11.516667</v>
      </c>
      <c r="D39" s="1">
        <v>6.5405000000000005E-2</v>
      </c>
      <c r="E39" s="1"/>
    </row>
    <row r="40" spans="1:5" x14ac:dyDescent="0.25">
      <c r="A40" s="1">
        <v>2441588.5499999998</v>
      </c>
      <c r="B40" s="1" t="s">
        <v>211</v>
      </c>
      <c r="C40" s="1">
        <v>11.65</v>
      </c>
      <c r="D40" s="1">
        <v>0.05</v>
      </c>
      <c r="E40" s="1"/>
    </row>
    <row r="41" spans="1:5" x14ac:dyDescent="0.25">
      <c r="A41" s="1">
        <v>2441601.5</v>
      </c>
      <c r="B41" s="1" t="s">
        <v>80</v>
      </c>
      <c r="C41" s="1">
        <v>11.4</v>
      </c>
      <c r="D41" s="1">
        <v>0.1</v>
      </c>
      <c r="E41" s="1"/>
    </row>
    <row r="42" spans="1:5" x14ac:dyDescent="0.25">
      <c r="A42" s="1">
        <v>2441621</v>
      </c>
      <c r="B42" s="1" t="s">
        <v>212</v>
      </c>
      <c r="C42" s="1">
        <v>11.5</v>
      </c>
      <c r="D42" s="1">
        <v>0</v>
      </c>
      <c r="E42" s="1"/>
    </row>
    <row r="43" spans="1:5" x14ac:dyDescent="0.25">
      <c r="A43" s="1">
        <v>2441638.1666700002</v>
      </c>
      <c r="B43" s="1" t="s">
        <v>213</v>
      </c>
      <c r="C43" s="1">
        <v>11.466666999999999</v>
      </c>
      <c r="D43" s="1">
        <v>8.8192000000000006E-2</v>
      </c>
      <c r="E43" s="1"/>
    </row>
    <row r="44" spans="1:5" x14ac:dyDescent="0.25">
      <c r="A44" s="1">
        <v>2441842.7000000002</v>
      </c>
      <c r="B44" s="1" t="s">
        <v>214</v>
      </c>
      <c r="C44" s="1">
        <v>12</v>
      </c>
      <c r="D44" s="1">
        <v>0</v>
      </c>
      <c r="E44" s="1"/>
    </row>
    <row r="45" spans="1:5" x14ac:dyDescent="0.25">
      <c r="A45" s="1">
        <v>2441897.65</v>
      </c>
      <c r="B45" s="1" t="s">
        <v>215</v>
      </c>
      <c r="C45" s="1">
        <v>11.65</v>
      </c>
      <c r="D45" s="1">
        <v>0.25</v>
      </c>
      <c r="E45" s="1"/>
    </row>
    <row r="46" spans="1:5" x14ac:dyDescent="0.25">
      <c r="A46" s="1">
        <v>2441915.7000000002</v>
      </c>
      <c r="B46" s="1" t="s">
        <v>216</v>
      </c>
      <c r="C46" s="1">
        <v>11.5</v>
      </c>
      <c r="D46" s="1">
        <v>0</v>
      </c>
      <c r="E46" s="1"/>
    </row>
    <row r="47" spans="1:5" x14ac:dyDescent="0.25">
      <c r="A47" s="1">
        <v>2441932.6</v>
      </c>
      <c r="B47" s="1" t="s">
        <v>217</v>
      </c>
      <c r="C47" s="1">
        <v>11.5</v>
      </c>
      <c r="D47" s="1">
        <v>0</v>
      </c>
      <c r="E47" s="1"/>
    </row>
    <row r="48" spans="1:5" x14ac:dyDescent="0.25">
      <c r="A48" s="1">
        <v>2441979.6</v>
      </c>
      <c r="B48" s="1" t="s">
        <v>218</v>
      </c>
      <c r="C48" s="1">
        <v>11.5</v>
      </c>
      <c r="D48" s="1">
        <v>0</v>
      </c>
      <c r="E48" s="1"/>
    </row>
    <row r="49" spans="1:5" x14ac:dyDescent="0.25">
      <c r="A49" s="1">
        <v>2442175.25</v>
      </c>
      <c r="B49" s="1" t="s">
        <v>219</v>
      </c>
      <c r="C49" s="1">
        <v>11.55</v>
      </c>
      <c r="D49" s="1">
        <v>0.05</v>
      </c>
      <c r="E49" s="1"/>
    </row>
    <row r="50" spans="1:5" x14ac:dyDescent="0.25">
      <c r="A50" s="1">
        <v>2442221.7999999998</v>
      </c>
      <c r="B50" s="1" t="s">
        <v>220</v>
      </c>
      <c r="C50" s="1">
        <v>11.55</v>
      </c>
      <c r="D50" s="1">
        <v>0.05</v>
      </c>
      <c r="E50" s="1"/>
    </row>
    <row r="51" spans="1:5" x14ac:dyDescent="0.25">
      <c r="A51" s="1">
        <v>2442246.1749999998</v>
      </c>
      <c r="B51" s="1" t="s">
        <v>221</v>
      </c>
      <c r="C51" s="1">
        <v>11.525</v>
      </c>
      <c r="D51" s="1">
        <v>2.5000000000000001E-2</v>
      </c>
      <c r="E51" s="1"/>
    </row>
    <row r="52" spans="1:5" x14ac:dyDescent="0.25">
      <c r="A52" s="1">
        <v>2442270.7000000002</v>
      </c>
      <c r="B52" s="1" t="s">
        <v>222</v>
      </c>
      <c r="C52" s="1">
        <v>11.6</v>
      </c>
      <c r="D52" s="1">
        <v>0</v>
      </c>
      <c r="E52" s="1"/>
    </row>
    <row r="53" spans="1:5" x14ac:dyDescent="0.25">
      <c r="A53" s="1">
        <v>2442297.3333299998</v>
      </c>
      <c r="B53" s="1" t="s">
        <v>223</v>
      </c>
      <c r="C53" s="1">
        <v>11.6</v>
      </c>
      <c r="D53" s="1">
        <v>5.7735000000000002E-2</v>
      </c>
      <c r="E53" s="1"/>
    </row>
    <row r="54" spans="1:5" x14ac:dyDescent="0.25">
      <c r="A54" s="1">
        <v>2442337.2333300002</v>
      </c>
      <c r="B54" s="1" t="s">
        <v>224</v>
      </c>
      <c r="C54" s="1">
        <v>11.566667000000001</v>
      </c>
      <c r="D54" s="1">
        <v>3.3333000000000002E-2</v>
      </c>
      <c r="E54" s="1"/>
    </row>
    <row r="55" spans="1:5" x14ac:dyDescent="0.25">
      <c r="A55" s="1">
        <v>2442357.6</v>
      </c>
      <c r="B55" s="1" t="s">
        <v>225</v>
      </c>
      <c r="C55" s="1">
        <v>11.55</v>
      </c>
      <c r="D55" s="1">
        <v>0.05</v>
      </c>
      <c r="E55" s="1"/>
    </row>
    <row r="56" spans="1:5" x14ac:dyDescent="0.25">
      <c r="A56" s="1">
        <v>2442521.9</v>
      </c>
      <c r="B56" s="1" t="s">
        <v>226</v>
      </c>
      <c r="C56" s="1">
        <v>11.5</v>
      </c>
      <c r="D56" s="1">
        <v>0</v>
      </c>
      <c r="E56" s="1"/>
    </row>
    <row r="57" spans="1:5" x14ac:dyDescent="0.25">
      <c r="A57" s="1">
        <v>2442544</v>
      </c>
      <c r="B57" s="1" t="s">
        <v>81</v>
      </c>
      <c r="C57" s="1">
        <v>11.5</v>
      </c>
      <c r="D57" s="1">
        <v>0</v>
      </c>
      <c r="E57" s="1"/>
    </row>
    <row r="58" spans="1:5" x14ac:dyDescent="0.25">
      <c r="A58" s="1">
        <v>2442580.65</v>
      </c>
      <c r="B58" s="1" t="s">
        <v>227</v>
      </c>
      <c r="C58" s="1">
        <v>11.45</v>
      </c>
      <c r="D58" s="1">
        <v>0.05</v>
      </c>
      <c r="E58" s="1"/>
    </row>
    <row r="59" spans="1:5" x14ac:dyDescent="0.25">
      <c r="A59" s="1">
        <v>2442596.96667</v>
      </c>
      <c r="B59" s="1" t="s">
        <v>228</v>
      </c>
      <c r="C59" s="1">
        <v>11.5</v>
      </c>
      <c r="D59" s="1">
        <v>0</v>
      </c>
      <c r="E59" s="1"/>
    </row>
    <row r="60" spans="1:5" x14ac:dyDescent="0.25">
      <c r="A60" s="1">
        <v>2442623.65</v>
      </c>
      <c r="B60" s="1" t="s">
        <v>229</v>
      </c>
      <c r="C60" s="1">
        <v>11.45</v>
      </c>
      <c r="D60" s="1">
        <v>0.05</v>
      </c>
      <c r="E60" s="1"/>
    </row>
    <row r="61" spans="1:5" x14ac:dyDescent="0.25">
      <c r="A61" s="1">
        <v>2442638.96667</v>
      </c>
      <c r="B61" s="1" t="s">
        <v>230</v>
      </c>
      <c r="C61" s="1">
        <v>11.366667</v>
      </c>
      <c r="D61" s="1">
        <v>6.6667000000000004E-2</v>
      </c>
      <c r="E61" s="1"/>
    </row>
    <row r="62" spans="1:5" x14ac:dyDescent="0.25">
      <c r="A62" s="1">
        <v>2442661.15</v>
      </c>
      <c r="B62" s="1" t="s">
        <v>231</v>
      </c>
      <c r="C62" s="1">
        <v>11.3</v>
      </c>
      <c r="D62" s="1">
        <v>0</v>
      </c>
      <c r="E62" s="1"/>
    </row>
    <row r="63" spans="1:5" x14ac:dyDescent="0.25">
      <c r="A63" s="1">
        <v>2442687.65</v>
      </c>
      <c r="B63" s="1" t="s">
        <v>232</v>
      </c>
      <c r="C63" s="1">
        <v>11.5</v>
      </c>
      <c r="D63" s="1">
        <v>0.1</v>
      </c>
      <c r="E63" s="1"/>
    </row>
    <row r="64" spans="1:5" x14ac:dyDescent="0.25">
      <c r="A64" s="1">
        <v>2442709.6</v>
      </c>
      <c r="B64" s="1" t="s">
        <v>233</v>
      </c>
      <c r="C64" s="1">
        <v>11.35</v>
      </c>
      <c r="D64" s="1">
        <v>0.05</v>
      </c>
      <c r="E64" s="1"/>
    </row>
    <row r="65" spans="1:5" x14ac:dyDescent="0.25">
      <c r="A65" s="1">
        <v>2442731.6</v>
      </c>
      <c r="B65" s="1" t="s">
        <v>234</v>
      </c>
      <c r="C65" s="1">
        <v>11.5</v>
      </c>
      <c r="D65" s="1">
        <v>0</v>
      </c>
      <c r="E65" s="1"/>
    </row>
    <row r="66" spans="1:5" x14ac:dyDescent="0.25">
      <c r="A66" s="1">
        <v>2442878.9</v>
      </c>
      <c r="B66" s="1" t="s">
        <v>235</v>
      </c>
      <c r="C66" s="1">
        <v>11.4</v>
      </c>
      <c r="D66" s="1">
        <v>0</v>
      </c>
      <c r="E66" s="1"/>
    </row>
    <row r="67" spans="1:5" x14ac:dyDescent="0.25">
      <c r="A67" s="1">
        <v>2442899.7999999998</v>
      </c>
      <c r="B67" s="1" t="s">
        <v>236</v>
      </c>
      <c r="C67" s="1">
        <v>11.6</v>
      </c>
      <c r="D67" s="1">
        <v>0</v>
      </c>
      <c r="E67" s="1"/>
    </row>
    <row r="68" spans="1:5" x14ac:dyDescent="0.25">
      <c r="A68" s="1">
        <v>2442934.7000000002</v>
      </c>
      <c r="B68" s="1" t="s">
        <v>237</v>
      </c>
      <c r="C68" s="1">
        <v>11.8</v>
      </c>
      <c r="D68" s="1">
        <v>0</v>
      </c>
      <c r="E68" s="1"/>
    </row>
    <row r="69" spans="1:5" x14ac:dyDescent="0.25">
      <c r="A69" s="1">
        <v>2442960.7000000002</v>
      </c>
      <c r="B69" s="1" t="s">
        <v>238</v>
      </c>
      <c r="C69" s="1">
        <v>11.65</v>
      </c>
      <c r="D69" s="1">
        <v>0.05</v>
      </c>
      <c r="E69" s="1"/>
    </row>
    <row r="70" spans="1:5" x14ac:dyDescent="0.25">
      <c r="A70" s="1">
        <v>2442993.2000000002</v>
      </c>
      <c r="B70" s="1" t="s">
        <v>239</v>
      </c>
      <c r="C70" s="1">
        <v>11.45</v>
      </c>
      <c r="D70" s="1">
        <v>0.05</v>
      </c>
      <c r="E70" s="1"/>
    </row>
    <row r="71" spans="1:5" x14ac:dyDescent="0.25">
      <c r="A71" s="1">
        <v>2443021.6</v>
      </c>
      <c r="B71" s="1" t="s">
        <v>240</v>
      </c>
      <c r="C71" s="1">
        <v>11.6</v>
      </c>
      <c r="D71" s="1">
        <v>0</v>
      </c>
      <c r="E71" s="1"/>
    </row>
    <row r="72" spans="1:5" x14ac:dyDescent="0.25">
      <c r="A72" s="1">
        <v>2443037.65</v>
      </c>
      <c r="B72" s="1" t="s">
        <v>241</v>
      </c>
      <c r="C72" s="1">
        <v>11.55</v>
      </c>
      <c r="D72" s="1">
        <v>0.05</v>
      </c>
      <c r="E72" s="1"/>
    </row>
    <row r="73" spans="1:5" x14ac:dyDescent="0.25">
      <c r="A73" s="1">
        <v>2443068.5499999998</v>
      </c>
      <c r="B73" s="1" t="s">
        <v>242</v>
      </c>
      <c r="C73" s="1">
        <v>11.55</v>
      </c>
      <c r="D73" s="1">
        <v>0.05</v>
      </c>
      <c r="E73" s="1"/>
    </row>
    <row r="74" spans="1:5" x14ac:dyDescent="0.25">
      <c r="A74" s="1">
        <v>2443255.85</v>
      </c>
      <c r="B74" s="1" t="s">
        <v>243</v>
      </c>
      <c r="C74" s="1">
        <v>11.45</v>
      </c>
      <c r="D74" s="1">
        <v>0.05</v>
      </c>
      <c r="E74" s="1"/>
    </row>
    <row r="75" spans="1:5" x14ac:dyDescent="0.25">
      <c r="A75" s="1">
        <v>2443284.7999999998</v>
      </c>
      <c r="B75" s="1" t="s">
        <v>244</v>
      </c>
      <c r="C75" s="1">
        <v>11.4</v>
      </c>
      <c r="D75" s="1">
        <v>0</v>
      </c>
      <c r="E75" s="1"/>
    </row>
    <row r="76" spans="1:5" x14ac:dyDescent="0.25">
      <c r="A76" s="1">
        <v>2443308.65</v>
      </c>
      <c r="B76" s="1" t="s">
        <v>245</v>
      </c>
      <c r="C76" s="1">
        <v>11.5</v>
      </c>
      <c r="D76" s="1">
        <v>0.1</v>
      </c>
      <c r="E76" s="1"/>
    </row>
    <row r="77" spans="1:5" x14ac:dyDescent="0.25">
      <c r="A77" s="1">
        <v>2443331.2000000002</v>
      </c>
      <c r="B77" s="1" t="s">
        <v>82</v>
      </c>
      <c r="C77" s="1">
        <v>11.4</v>
      </c>
      <c r="D77" s="1">
        <v>0.1</v>
      </c>
      <c r="E77" s="1"/>
    </row>
    <row r="78" spans="1:5" x14ac:dyDescent="0.25">
      <c r="A78" s="1">
        <v>2443369.2999999998</v>
      </c>
      <c r="B78" s="1" t="s">
        <v>246</v>
      </c>
      <c r="C78" s="1">
        <v>11.466666999999999</v>
      </c>
      <c r="D78" s="1">
        <v>0.120185</v>
      </c>
      <c r="E78" s="1"/>
    </row>
    <row r="79" spans="1:5" x14ac:dyDescent="0.25">
      <c r="A79" s="1">
        <v>2443393.7000000002</v>
      </c>
      <c r="B79" s="1" t="s">
        <v>247</v>
      </c>
      <c r="C79" s="1">
        <v>11.3</v>
      </c>
      <c r="D79" s="1">
        <v>0</v>
      </c>
      <c r="E79" s="1"/>
    </row>
    <row r="80" spans="1:5" x14ac:dyDescent="0.25">
      <c r="A80" s="1">
        <v>2443403.65</v>
      </c>
      <c r="B80" s="1" t="s">
        <v>248</v>
      </c>
      <c r="C80" s="1">
        <v>11.3</v>
      </c>
      <c r="D80" s="1">
        <v>0</v>
      </c>
      <c r="E80" s="1"/>
    </row>
    <row r="81" spans="1:5" x14ac:dyDescent="0.25">
      <c r="A81" s="1">
        <v>2443438.6</v>
      </c>
      <c r="B81" s="1" t="s">
        <v>249</v>
      </c>
      <c r="C81" s="1">
        <v>11.5</v>
      </c>
      <c r="D81" s="1">
        <v>0</v>
      </c>
      <c r="E81" s="1"/>
    </row>
    <row r="82" spans="1:5" x14ac:dyDescent="0.25">
      <c r="A82" s="1">
        <v>2443453.6</v>
      </c>
      <c r="B82" s="1" t="s">
        <v>250</v>
      </c>
      <c r="C82" s="1">
        <v>11.4</v>
      </c>
      <c r="D82" s="1">
        <v>0</v>
      </c>
      <c r="E82" s="1"/>
    </row>
    <row r="83" spans="1:5" x14ac:dyDescent="0.25">
      <c r="A83" s="1">
        <v>2443615.9</v>
      </c>
      <c r="B83" s="1" t="s">
        <v>251</v>
      </c>
      <c r="C83" s="1">
        <v>12</v>
      </c>
      <c r="D83" s="1">
        <v>0</v>
      </c>
      <c r="E83" s="1"/>
    </row>
    <row r="84" spans="1:5" x14ac:dyDescent="0.25">
      <c r="A84" s="1">
        <v>2443632.7000000002</v>
      </c>
      <c r="B84" s="1" t="s">
        <v>252</v>
      </c>
      <c r="C84" s="1">
        <v>11.633333</v>
      </c>
      <c r="D84" s="1">
        <v>8.8192000000000006E-2</v>
      </c>
      <c r="E84" s="1"/>
    </row>
    <row r="85" spans="1:5" x14ac:dyDescent="0.25">
      <c r="A85" s="1">
        <v>2443668.7000000002</v>
      </c>
      <c r="B85" s="1" t="s">
        <v>83</v>
      </c>
      <c r="C85" s="1">
        <v>11.766667</v>
      </c>
      <c r="D85" s="1">
        <v>3.3333000000000002E-2</v>
      </c>
      <c r="E85" s="1"/>
    </row>
    <row r="86" spans="1:5" x14ac:dyDescent="0.25">
      <c r="A86" s="1">
        <v>2443696.2000000002</v>
      </c>
      <c r="B86" s="1" t="s">
        <v>253</v>
      </c>
      <c r="C86" s="1">
        <v>11.55</v>
      </c>
      <c r="D86" s="1">
        <v>0.15</v>
      </c>
      <c r="E86" s="1"/>
    </row>
    <row r="87" spans="1:5" x14ac:dyDescent="0.25">
      <c r="A87" s="1">
        <v>2443720.6</v>
      </c>
      <c r="B87" s="1" t="s">
        <v>254</v>
      </c>
      <c r="C87" s="1">
        <v>11.5</v>
      </c>
      <c r="D87" s="1">
        <v>0</v>
      </c>
      <c r="E87" s="1"/>
    </row>
    <row r="88" spans="1:5" x14ac:dyDescent="0.25">
      <c r="A88" s="1">
        <v>2443736.65</v>
      </c>
      <c r="B88" s="1" t="s">
        <v>255</v>
      </c>
      <c r="C88" s="1">
        <v>11.55</v>
      </c>
      <c r="D88" s="1">
        <v>0.05</v>
      </c>
      <c r="E88" s="1"/>
    </row>
    <row r="89" spans="1:5" x14ac:dyDescent="0.25">
      <c r="A89" s="1">
        <v>2443758.96667</v>
      </c>
      <c r="B89" s="1" t="s">
        <v>256</v>
      </c>
      <c r="C89" s="1">
        <v>11.433332999999999</v>
      </c>
      <c r="D89" s="1">
        <v>6.6667000000000004E-2</v>
      </c>
      <c r="E89" s="1"/>
    </row>
    <row r="90" spans="1:5" x14ac:dyDescent="0.25">
      <c r="A90" s="1">
        <v>2443786.5499999998</v>
      </c>
      <c r="B90" s="1" t="s">
        <v>257</v>
      </c>
      <c r="C90" s="1">
        <v>11.45</v>
      </c>
      <c r="D90" s="1">
        <v>0.05</v>
      </c>
      <c r="E90" s="1"/>
    </row>
    <row r="91" spans="1:5" x14ac:dyDescent="0.25">
      <c r="A91" s="1">
        <v>2443815.21</v>
      </c>
      <c r="B91" s="1" t="s">
        <v>258</v>
      </c>
      <c r="C91" s="1">
        <v>11.366667</v>
      </c>
      <c r="D91" s="1">
        <v>3.3333000000000002E-2</v>
      </c>
      <c r="E91" s="1"/>
    </row>
    <row r="92" spans="1:5" x14ac:dyDescent="0.25">
      <c r="A92" s="1">
        <v>2443991.15</v>
      </c>
      <c r="B92" s="1" t="s">
        <v>259</v>
      </c>
      <c r="C92" s="1">
        <v>11.65</v>
      </c>
      <c r="D92" s="1">
        <v>0.05</v>
      </c>
      <c r="E92" s="1"/>
    </row>
    <row r="93" spans="1:5" x14ac:dyDescent="0.25">
      <c r="A93" s="1">
        <v>2444018.6666700002</v>
      </c>
      <c r="B93" s="1" t="s">
        <v>260</v>
      </c>
      <c r="C93" s="1">
        <v>11.633333</v>
      </c>
      <c r="D93" s="1">
        <v>3.3333000000000002E-2</v>
      </c>
      <c r="E93" s="1"/>
    </row>
    <row r="94" spans="1:5" x14ac:dyDescent="0.25">
      <c r="A94" s="1">
        <v>2444044.6</v>
      </c>
      <c r="B94" s="1" t="s">
        <v>261</v>
      </c>
      <c r="C94" s="1">
        <v>11.65</v>
      </c>
      <c r="D94" s="1">
        <v>0.05</v>
      </c>
      <c r="E94" s="1"/>
    </row>
    <row r="95" spans="1:5" x14ac:dyDescent="0.25">
      <c r="A95" s="1">
        <v>2444079.15</v>
      </c>
      <c r="B95" s="1" t="s">
        <v>262</v>
      </c>
      <c r="C95" s="1">
        <v>11.35</v>
      </c>
      <c r="D95" s="1">
        <v>0.15</v>
      </c>
      <c r="E95" s="1"/>
    </row>
    <row r="96" spans="1:5" x14ac:dyDescent="0.25">
      <c r="A96" s="1">
        <v>2444099.6</v>
      </c>
      <c r="B96" s="1" t="s">
        <v>263</v>
      </c>
      <c r="C96" s="1">
        <v>11.6</v>
      </c>
      <c r="D96" s="1">
        <v>0</v>
      </c>
      <c r="E96" s="1"/>
    </row>
    <row r="97" spans="1:5" x14ac:dyDescent="0.25">
      <c r="A97" s="1">
        <v>2444128.6</v>
      </c>
      <c r="B97" s="1" t="s">
        <v>264</v>
      </c>
      <c r="C97" s="1">
        <v>11.6</v>
      </c>
      <c r="D97" s="1">
        <v>0</v>
      </c>
      <c r="E97" s="1"/>
    </row>
    <row r="98" spans="1:5" x14ac:dyDescent="0.25">
      <c r="A98" s="1">
        <v>2444151.5</v>
      </c>
      <c r="B98" s="1" t="s">
        <v>265</v>
      </c>
      <c r="C98" s="1">
        <v>11.4</v>
      </c>
      <c r="D98" s="1">
        <v>0</v>
      </c>
      <c r="E98" s="1"/>
    </row>
    <row r="99" spans="1:5" x14ac:dyDescent="0.25">
      <c r="A99" s="1">
        <v>2444165.0499999998</v>
      </c>
      <c r="B99" s="1" t="s">
        <v>266</v>
      </c>
      <c r="C99" s="1">
        <v>11.55</v>
      </c>
      <c r="D99" s="1">
        <v>0.05</v>
      </c>
      <c r="E99" s="1"/>
    </row>
    <row r="100" spans="1:5" x14ac:dyDescent="0.25">
      <c r="A100" s="1">
        <v>2444195.6</v>
      </c>
      <c r="B100" s="1" t="s">
        <v>84</v>
      </c>
      <c r="C100" s="1">
        <v>11.75</v>
      </c>
      <c r="D100" s="1">
        <v>0.25</v>
      </c>
      <c r="E100" s="1"/>
    </row>
    <row r="101" spans="1:5" x14ac:dyDescent="0.25">
      <c r="A101" s="1">
        <v>2444374.6</v>
      </c>
      <c r="B101" s="1" t="s">
        <v>267</v>
      </c>
      <c r="C101" s="1">
        <v>11.5</v>
      </c>
      <c r="D101" s="1">
        <v>0</v>
      </c>
      <c r="E101" s="1"/>
    </row>
    <row r="102" spans="1:5" x14ac:dyDescent="0.25">
      <c r="A102" s="1">
        <v>2444396.6</v>
      </c>
      <c r="B102" s="1" t="s">
        <v>268</v>
      </c>
      <c r="C102" s="1">
        <v>11.5</v>
      </c>
      <c r="D102" s="1">
        <v>0</v>
      </c>
      <c r="E102" s="1"/>
    </row>
    <row r="103" spans="1:5" x14ac:dyDescent="0.25">
      <c r="A103" s="1">
        <v>2444434.6</v>
      </c>
      <c r="B103" s="1" t="s">
        <v>269</v>
      </c>
      <c r="C103" s="1">
        <v>11.5</v>
      </c>
      <c r="D103" s="1">
        <v>0</v>
      </c>
      <c r="E103" s="1"/>
    </row>
    <row r="104" spans="1:5" x14ac:dyDescent="0.25">
      <c r="A104" s="1">
        <v>2444458.1</v>
      </c>
      <c r="B104" s="1" t="s">
        <v>270</v>
      </c>
      <c r="C104" s="1">
        <v>11.5</v>
      </c>
      <c r="D104" s="1">
        <v>0</v>
      </c>
      <c r="E104" s="1"/>
    </row>
    <row r="105" spans="1:5" x14ac:dyDescent="0.25">
      <c r="A105" s="1">
        <v>2444490.1</v>
      </c>
      <c r="B105" s="1" t="s">
        <v>271</v>
      </c>
      <c r="C105" s="1">
        <v>11.35</v>
      </c>
      <c r="D105" s="1">
        <v>0.05</v>
      </c>
      <c r="E105" s="1"/>
    </row>
    <row r="106" spans="1:5" x14ac:dyDescent="0.25">
      <c r="A106" s="1">
        <v>2444528.5550000002</v>
      </c>
      <c r="B106" s="1" t="s">
        <v>272</v>
      </c>
      <c r="C106" s="1">
        <v>11.4</v>
      </c>
      <c r="D106" s="1">
        <v>0.1</v>
      </c>
      <c r="E106" s="1"/>
    </row>
    <row r="107" spans="1:5" x14ac:dyDescent="0.25">
      <c r="A107" s="1">
        <v>2444560.5</v>
      </c>
      <c r="B107" s="1" t="s">
        <v>273</v>
      </c>
      <c r="C107" s="1">
        <v>11.4</v>
      </c>
      <c r="D107" s="1">
        <v>0</v>
      </c>
      <c r="E107" s="1"/>
    </row>
    <row r="108" spans="1:5" x14ac:dyDescent="0.25">
      <c r="A108" s="1">
        <v>2444748.6</v>
      </c>
      <c r="B108" s="1" t="s">
        <v>274</v>
      </c>
      <c r="C108" s="1">
        <v>11.7</v>
      </c>
      <c r="D108" s="1">
        <v>0</v>
      </c>
      <c r="E108" s="1"/>
    </row>
    <row r="109" spans="1:5" x14ac:dyDescent="0.25">
      <c r="A109" s="1">
        <v>2444796.6</v>
      </c>
      <c r="B109" s="1" t="s">
        <v>275</v>
      </c>
      <c r="C109" s="1">
        <v>11.8</v>
      </c>
      <c r="D109" s="1">
        <v>0</v>
      </c>
      <c r="E109" s="1"/>
    </row>
    <row r="110" spans="1:5" x14ac:dyDescent="0.25">
      <c r="A110" s="1">
        <v>2444840.3166700001</v>
      </c>
      <c r="B110" s="1" t="s">
        <v>85</v>
      </c>
      <c r="C110" s="1">
        <v>11.983333</v>
      </c>
      <c r="D110" s="1">
        <v>9.8035999999999998E-2</v>
      </c>
      <c r="E110" s="1"/>
    </row>
    <row r="111" spans="1:5" x14ac:dyDescent="0.25">
      <c r="A111" s="1">
        <v>2444853.6749999998</v>
      </c>
      <c r="B111" s="1" t="s">
        <v>86</v>
      </c>
      <c r="C111" s="1">
        <v>12.018750000000001</v>
      </c>
      <c r="D111" s="1">
        <v>3.7879999999999997E-2</v>
      </c>
      <c r="E111" s="1"/>
    </row>
    <row r="112" spans="1:5" x14ac:dyDescent="0.25">
      <c r="A112" s="1">
        <v>2444871.0039400002</v>
      </c>
      <c r="B112" s="1" t="s">
        <v>276</v>
      </c>
      <c r="C112" s="1">
        <v>12.055555999999999</v>
      </c>
      <c r="D112" s="1">
        <v>4.8656999999999999E-2</v>
      </c>
      <c r="E112" s="1"/>
    </row>
    <row r="113" spans="1:5" x14ac:dyDescent="0.25">
      <c r="A113" s="1">
        <v>2444887.5327300001</v>
      </c>
      <c r="B113" s="1" t="s">
        <v>277</v>
      </c>
      <c r="C113" s="1">
        <v>12.093332999999999</v>
      </c>
      <c r="D113" s="1">
        <v>3.5812999999999998E-2</v>
      </c>
      <c r="E113" s="1"/>
    </row>
    <row r="114" spans="1:5" x14ac:dyDescent="0.25">
      <c r="A114" s="1">
        <v>2444901.9555600001</v>
      </c>
      <c r="B114" s="1" t="s">
        <v>278</v>
      </c>
      <c r="C114" s="1">
        <v>12.072222</v>
      </c>
      <c r="D114" s="1">
        <v>3.4113999999999998E-2</v>
      </c>
      <c r="E114" s="1"/>
    </row>
    <row r="115" spans="1:5" x14ac:dyDescent="0.25">
      <c r="A115" s="1">
        <v>2444919.2599999998</v>
      </c>
      <c r="B115" s="1" t="s">
        <v>279</v>
      </c>
      <c r="C115" s="1">
        <v>12.11</v>
      </c>
      <c r="D115" s="1">
        <v>4.3333000000000003E-2</v>
      </c>
      <c r="E115" s="1"/>
    </row>
    <row r="116" spans="1:5" x14ac:dyDescent="0.25">
      <c r="A116" s="1">
        <v>2444931.7749999999</v>
      </c>
      <c r="B116" s="1" t="s">
        <v>280</v>
      </c>
      <c r="C116" s="1">
        <v>12.074999999999999</v>
      </c>
      <c r="D116" s="1">
        <v>2.5000000000000001E-2</v>
      </c>
      <c r="E116" s="1"/>
    </row>
    <row r="117" spans="1:5" x14ac:dyDescent="0.25">
      <c r="A117" s="1">
        <v>2445082.9</v>
      </c>
      <c r="B117" s="1" t="s">
        <v>281</v>
      </c>
      <c r="C117" s="1">
        <v>12</v>
      </c>
      <c r="D117" s="1">
        <v>0</v>
      </c>
      <c r="E117" s="1"/>
    </row>
    <row r="118" spans="1:5" x14ac:dyDescent="0.25">
      <c r="A118" s="1">
        <v>2445104.05333</v>
      </c>
      <c r="B118" s="1" t="s">
        <v>87</v>
      </c>
      <c r="C118" s="1">
        <v>11.933332999999999</v>
      </c>
      <c r="D118" s="1">
        <v>0.120185</v>
      </c>
      <c r="E118" s="1"/>
    </row>
    <row r="119" spans="1:5" x14ac:dyDescent="0.25">
      <c r="A119" s="1">
        <v>2445118.4</v>
      </c>
      <c r="B119" s="1" t="s">
        <v>282</v>
      </c>
      <c r="C119" s="1">
        <v>11.824999999999999</v>
      </c>
      <c r="D119" s="1">
        <v>4.7870999999999997E-2</v>
      </c>
      <c r="E119" s="1"/>
    </row>
    <row r="120" spans="1:5" x14ac:dyDescent="0.25">
      <c r="A120" s="1">
        <v>2445137.6749999998</v>
      </c>
      <c r="B120" s="1" t="s">
        <v>283</v>
      </c>
      <c r="C120" s="1">
        <v>11.7875</v>
      </c>
      <c r="D120" s="1">
        <v>7.4251999999999999E-2</v>
      </c>
      <c r="E120" s="1"/>
    </row>
    <row r="121" spans="1:5" x14ac:dyDescent="0.25">
      <c r="A121" s="1">
        <v>2445154.1666700002</v>
      </c>
      <c r="B121" s="1" t="s">
        <v>284</v>
      </c>
      <c r="C121" s="1">
        <v>11.766667</v>
      </c>
      <c r="D121" s="1">
        <v>0.18559200000000001</v>
      </c>
      <c r="E121" s="1"/>
    </row>
    <row r="122" spans="1:5" x14ac:dyDescent="0.25">
      <c r="A122" s="1">
        <v>2445174.2000000002</v>
      </c>
      <c r="B122" s="1" t="s">
        <v>285</v>
      </c>
      <c r="C122" s="1">
        <v>11.466666999999999</v>
      </c>
      <c r="D122" s="1">
        <v>8.4326999999999999E-2</v>
      </c>
      <c r="E122" s="1"/>
    </row>
    <row r="123" spans="1:5" x14ac:dyDescent="0.25">
      <c r="A123" s="1">
        <v>2445199.6934000002</v>
      </c>
      <c r="B123" s="1" t="s">
        <v>286</v>
      </c>
      <c r="C123" s="1">
        <v>11.89</v>
      </c>
      <c r="D123" s="1">
        <v>3.1447000000000003E-2</v>
      </c>
      <c r="E123" s="1"/>
    </row>
    <row r="124" spans="1:5" x14ac:dyDescent="0.25">
      <c r="A124" s="1">
        <v>2445225.5166699998</v>
      </c>
      <c r="B124" s="1" t="s">
        <v>287</v>
      </c>
      <c r="C124" s="1">
        <v>11.8</v>
      </c>
      <c r="D124" s="1">
        <v>2.5819999999999999E-2</v>
      </c>
      <c r="E124" s="1"/>
    </row>
    <row r="125" spans="1:5" x14ac:dyDescent="0.25">
      <c r="A125" s="1">
        <v>2445238.7333300002</v>
      </c>
      <c r="B125" s="1" t="s">
        <v>288</v>
      </c>
      <c r="C125" s="1">
        <v>11.9</v>
      </c>
      <c r="D125" s="1">
        <v>5.7735000000000002E-2</v>
      </c>
      <c r="E125" s="1"/>
    </row>
    <row r="126" spans="1:5" x14ac:dyDescent="0.25">
      <c r="A126" s="1">
        <v>2445257.67692</v>
      </c>
      <c r="B126" s="1" t="s">
        <v>289</v>
      </c>
      <c r="C126" s="1">
        <v>12.007692</v>
      </c>
      <c r="D126" s="1">
        <v>2.3916E-2</v>
      </c>
      <c r="E126" s="1"/>
    </row>
    <row r="127" spans="1:5" x14ac:dyDescent="0.25">
      <c r="A127" s="1">
        <v>2445269.7250000001</v>
      </c>
      <c r="B127" s="1" t="s">
        <v>290</v>
      </c>
      <c r="C127" s="1">
        <v>12.025</v>
      </c>
      <c r="D127" s="1">
        <v>6.7479999999999998E-2</v>
      </c>
      <c r="E127" s="1"/>
    </row>
    <row r="128" spans="1:5" x14ac:dyDescent="0.25">
      <c r="A128" s="1">
        <v>2445288.14</v>
      </c>
      <c r="B128" s="1" t="s">
        <v>291</v>
      </c>
      <c r="C128" s="1">
        <v>12.02</v>
      </c>
      <c r="D128" s="1">
        <v>4.1633000000000003E-2</v>
      </c>
      <c r="E128" s="1"/>
    </row>
    <row r="129" spans="1:5" x14ac:dyDescent="0.25">
      <c r="A129" s="1">
        <v>2445306.1666700002</v>
      </c>
      <c r="B129" s="1" t="s">
        <v>292</v>
      </c>
      <c r="C129" s="1">
        <v>12.1</v>
      </c>
      <c r="D129" s="1">
        <v>0</v>
      </c>
      <c r="E129" s="1"/>
    </row>
    <row r="130" spans="1:5" x14ac:dyDescent="0.25">
      <c r="A130" s="1">
        <v>2445404.9</v>
      </c>
      <c r="B130" s="1" t="s">
        <v>293</v>
      </c>
      <c r="C130" s="1">
        <v>12.2</v>
      </c>
      <c r="D130" s="1">
        <v>0.1</v>
      </c>
      <c r="E130" s="1"/>
    </row>
    <row r="131" spans="1:5" x14ac:dyDescent="0.25">
      <c r="A131" s="1">
        <v>2445437.9</v>
      </c>
      <c r="B131" s="1" t="s">
        <v>88</v>
      </c>
      <c r="C131" s="1">
        <v>12.1</v>
      </c>
      <c r="D131" s="1">
        <v>0</v>
      </c>
      <c r="E131" s="1"/>
    </row>
    <row r="132" spans="1:5" x14ac:dyDescent="0.25">
      <c r="A132" s="1">
        <v>2445467.4333299999</v>
      </c>
      <c r="B132" s="1" t="s">
        <v>294</v>
      </c>
      <c r="C132" s="1">
        <v>12</v>
      </c>
      <c r="D132" s="1">
        <v>5.7735000000000002E-2</v>
      </c>
      <c r="E132" s="1"/>
    </row>
    <row r="133" spans="1:5" x14ac:dyDescent="0.25">
      <c r="A133" s="1">
        <v>2445491.5</v>
      </c>
      <c r="B133" s="1" t="s">
        <v>295</v>
      </c>
      <c r="C133" s="1">
        <v>11.833333</v>
      </c>
      <c r="D133" s="1">
        <v>8.8192000000000006E-2</v>
      </c>
      <c r="E133" s="1"/>
    </row>
    <row r="134" spans="1:5" x14ac:dyDescent="0.25">
      <c r="A134" s="1">
        <v>2445499.96</v>
      </c>
      <c r="B134" s="1" t="s">
        <v>296</v>
      </c>
      <c r="C134" s="1">
        <v>11.98</v>
      </c>
      <c r="D134" s="1">
        <v>7.3484999999999995E-2</v>
      </c>
      <c r="E134" s="1"/>
    </row>
    <row r="135" spans="1:5" x14ac:dyDescent="0.25">
      <c r="A135" s="1">
        <v>2445523.5809999998</v>
      </c>
      <c r="B135" s="1" t="s">
        <v>297</v>
      </c>
      <c r="C135" s="1">
        <v>11.985714</v>
      </c>
      <c r="D135" s="1">
        <v>3.4007000000000003E-2</v>
      </c>
      <c r="E135" s="1"/>
    </row>
    <row r="136" spans="1:5" x14ac:dyDescent="0.25">
      <c r="A136" s="1">
        <v>2445554.78333</v>
      </c>
      <c r="B136" s="1" t="s">
        <v>298</v>
      </c>
      <c r="C136" s="1">
        <v>12</v>
      </c>
      <c r="D136" s="1">
        <v>5.7735000000000002E-2</v>
      </c>
      <c r="E136" s="1"/>
    </row>
    <row r="137" spans="1:5" x14ac:dyDescent="0.25">
      <c r="A137" s="1">
        <v>2445582.44</v>
      </c>
      <c r="B137" s="1" t="s">
        <v>299</v>
      </c>
      <c r="C137" s="1">
        <v>11.76</v>
      </c>
      <c r="D137" s="1">
        <v>0.04</v>
      </c>
      <c r="E137" s="1"/>
    </row>
    <row r="138" spans="1:5" x14ac:dyDescent="0.25">
      <c r="A138" s="1">
        <v>2445598.42</v>
      </c>
      <c r="B138" s="1" t="s">
        <v>300</v>
      </c>
      <c r="C138" s="1">
        <v>11.78</v>
      </c>
      <c r="D138" s="1">
        <v>3.7416999999999999E-2</v>
      </c>
      <c r="E138" s="1"/>
    </row>
    <row r="139" spans="1:5" x14ac:dyDescent="0.25">
      <c r="A139" s="1">
        <v>2445617.6</v>
      </c>
      <c r="B139" s="1" t="s">
        <v>301</v>
      </c>
      <c r="C139" s="1">
        <v>11.75</v>
      </c>
      <c r="D139" s="1">
        <v>0.15</v>
      </c>
      <c r="E139" s="1"/>
    </row>
    <row r="140" spans="1:5" x14ac:dyDescent="0.25">
      <c r="A140" s="1">
        <v>2445637.42</v>
      </c>
      <c r="B140" s="1" t="s">
        <v>302</v>
      </c>
      <c r="C140" s="1">
        <v>11.7</v>
      </c>
      <c r="D140" s="1">
        <v>4.4720999999999997E-2</v>
      </c>
      <c r="E140" s="1"/>
    </row>
    <row r="141" spans="1:5" x14ac:dyDescent="0.25">
      <c r="A141" s="1">
        <v>2445661.5</v>
      </c>
      <c r="B141" s="1" t="s">
        <v>89</v>
      </c>
      <c r="C141" s="1">
        <v>11.5</v>
      </c>
      <c r="D141" s="1">
        <v>0</v>
      </c>
      <c r="E141" s="1"/>
    </row>
    <row r="142" spans="1:5" x14ac:dyDescent="0.25">
      <c r="A142" s="1">
        <v>2445799.9</v>
      </c>
      <c r="B142" s="1" t="s">
        <v>303</v>
      </c>
      <c r="C142" s="1">
        <v>11.9</v>
      </c>
      <c r="D142" s="1">
        <v>0</v>
      </c>
      <c r="E142" s="1"/>
    </row>
    <row r="143" spans="1:5" x14ac:dyDescent="0.25">
      <c r="A143" s="1">
        <v>2445818.2999999998</v>
      </c>
      <c r="B143" s="1" t="s">
        <v>304</v>
      </c>
      <c r="C143" s="1">
        <v>11.75</v>
      </c>
      <c r="D143" s="1">
        <v>0.05</v>
      </c>
      <c r="E143" s="1"/>
    </row>
    <row r="144" spans="1:5" x14ac:dyDescent="0.25">
      <c r="A144" s="1">
        <v>2445834.0249999999</v>
      </c>
      <c r="B144" s="1" t="s">
        <v>305</v>
      </c>
      <c r="C144" s="1">
        <v>11.824999999999999</v>
      </c>
      <c r="D144" s="1">
        <v>9.4647999999999996E-2</v>
      </c>
      <c r="E144" s="1"/>
    </row>
    <row r="145" spans="1:5" x14ac:dyDescent="0.25">
      <c r="A145" s="1">
        <v>2445848.7000000002</v>
      </c>
      <c r="B145" s="1" t="s">
        <v>306</v>
      </c>
      <c r="C145" s="1">
        <v>12</v>
      </c>
      <c r="D145" s="1">
        <v>5.7735000000000002E-2</v>
      </c>
      <c r="E145" s="1"/>
    </row>
    <row r="146" spans="1:5" x14ac:dyDescent="0.25">
      <c r="A146" s="1">
        <v>2445871.3666699999</v>
      </c>
      <c r="B146" s="1" t="s">
        <v>307</v>
      </c>
      <c r="C146" s="1">
        <v>11.933332999999999</v>
      </c>
      <c r="D146" s="1">
        <v>2.1082E-2</v>
      </c>
      <c r="E146" s="1"/>
    </row>
    <row r="147" spans="1:5" x14ac:dyDescent="0.25">
      <c r="A147" s="1">
        <v>2445887.9750000001</v>
      </c>
      <c r="B147" s="1" t="s">
        <v>308</v>
      </c>
      <c r="C147" s="1">
        <v>11.925000000000001</v>
      </c>
      <c r="D147" s="1">
        <v>7.4999999999999997E-2</v>
      </c>
      <c r="E147" s="1"/>
    </row>
    <row r="148" spans="1:5" x14ac:dyDescent="0.25">
      <c r="A148" s="1">
        <v>2445902.08</v>
      </c>
      <c r="B148" s="1" t="s">
        <v>309</v>
      </c>
      <c r="C148" s="1">
        <v>12.02</v>
      </c>
      <c r="D148" s="1">
        <v>5.8310000000000001E-2</v>
      </c>
      <c r="E148" s="1"/>
    </row>
    <row r="149" spans="1:5" x14ac:dyDescent="0.25">
      <c r="A149" s="1">
        <v>2445917.4</v>
      </c>
      <c r="B149" s="1" t="s">
        <v>310</v>
      </c>
      <c r="C149" s="1">
        <v>12</v>
      </c>
      <c r="D149" s="1">
        <v>0</v>
      </c>
      <c r="E149" s="1"/>
    </row>
    <row r="150" spans="1:5" x14ac:dyDescent="0.25">
      <c r="A150" s="1">
        <v>2445935.3857100001</v>
      </c>
      <c r="B150" s="1" t="s">
        <v>311</v>
      </c>
      <c r="C150" s="1">
        <v>11.857143000000001</v>
      </c>
      <c r="D150" s="1">
        <v>6.4944000000000002E-2</v>
      </c>
      <c r="E150" s="1"/>
    </row>
    <row r="151" spans="1:5" x14ac:dyDescent="0.25">
      <c r="A151" s="1">
        <v>2445951</v>
      </c>
      <c r="B151" s="1" t="s">
        <v>312</v>
      </c>
      <c r="C151" s="1">
        <v>11.9</v>
      </c>
      <c r="D151" s="1">
        <v>5.7735000000000002E-2</v>
      </c>
      <c r="E151" s="1"/>
    </row>
    <row r="152" spans="1:5" x14ac:dyDescent="0.25">
      <c r="A152" s="1">
        <v>2445966.3857100001</v>
      </c>
      <c r="B152" s="1" t="s">
        <v>313</v>
      </c>
      <c r="C152" s="1">
        <v>11.942857</v>
      </c>
      <c r="D152" s="1">
        <v>4.2856999999999999E-2</v>
      </c>
      <c r="E152" s="1"/>
    </row>
    <row r="153" spans="1:5" x14ac:dyDescent="0.25">
      <c r="A153" s="1">
        <v>2445985.1857099999</v>
      </c>
      <c r="B153" s="1" t="s">
        <v>314</v>
      </c>
      <c r="C153" s="1">
        <v>11.914286000000001</v>
      </c>
      <c r="D153" s="1">
        <v>4.5921999999999998E-2</v>
      </c>
      <c r="E153" s="1"/>
    </row>
    <row r="154" spans="1:5" x14ac:dyDescent="0.25">
      <c r="A154" s="1">
        <v>2446004.54</v>
      </c>
      <c r="B154" s="1" t="s">
        <v>315</v>
      </c>
      <c r="C154" s="1">
        <v>11.84</v>
      </c>
      <c r="D154" s="1">
        <v>8.1240000000000007E-2</v>
      </c>
      <c r="E154" s="1"/>
    </row>
    <row r="155" spans="1:5" x14ac:dyDescent="0.25">
      <c r="A155" s="1">
        <v>2446022.9</v>
      </c>
      <c r="B155" s="1" t="s">
        <v>316</v>
      </c>
      <c r="C155" s="1">
        <v>11.9</v>
      </c>
      <c r="D155" s="1">
        <v>0.11547</v>
      </c>
      <c r="E155" s="1"/>
    </row>
    <row r="156" spans="1:5" x14ac:dyDescent="0.25">
      <c r="A156" s="1">
        <v>2446040.6</v>
      </c>
      <c r="B156" s="1" t="s">
        <v>317</v>
      </c>
      <c r="C156" s="1">
        <v>12.15</v>
      </c>
      <c r="D156" s="1">
        <v>0.05</v>
      </c>
      <c r="E156" s="1"/>
    </row>
    <row r="157" spans="1:5" x14ac:dyDescent="0.25">
      <c r="A157" s="1">
        <v>2446082.1</v>
      </c>
      <c r="B157" s="1" t="s">
        <v>318</v>
      </c>
      <c r="C157" s="1">
        <v>11.6</v>
      </c>
      <c r="D157" s="1">
        <v>0</v>
      </c>
      <c r="E157" s="1"/>
    </row>
    <row r="158" spans="1:5" x14ac:dyDescent="0.25">
      <c r="A158" s="1">
        <v>2446119.29067</v>
      </c>
      <c r="B158" s="1" t="s">
        <v>319</v>
      </c>
      <c r="C158" s="1">
        <v>11.9</v>
      </c>
      <c r="D158" s="1">
        <v>0.1</v>
      </c>
      <c r="E158" s="1"/>
    </row>
    <row r="159" spans="1:5" x14ac:dyDescent="0.25">
      <c r="A159" s="1">
        <v>2446147</v>
      </c>
      <c r="B159" s="1" t="s">
        <v>320</v>
      </c>
      <c r="C159" s="1">
        <v>11.9</v>
      </c>
      <c r="D159" s="1">
        <v>0</v>
      </c>
      <c r="E159" s="1"/>
    </row>
    <row r="160" spans="1:5" x14ac:dyDescent="0.25">
      <c r="A160" s="1">
        <v>2446171.7999999998</v>
      </c>
      <c r="B160" s="1" t="s">
        <v>321</v>
      </c>
      <c r="C160" s="1">
        <v>11.9</v>
      </c>
      <c r="D160" s="1">
        <v>0.1</v>
      </c>
      <c r="E160" s="1"/>
    </row>
    <row r="161" spans="1:5" x14ac:dyDescent="0.25">
      <c r="A161" s="1">
        <v>2446192.9474999998</v>
      </c>
      <c r="B161" s="1" t="s">
        <v>322</v>
      </c>
      <c r="C161" s="1">
        <v>11.6</v>
      </c>
      <c r="D161" s="1">
        <v>0.2</v>
      </c>
      <c r="E161" s="1"/>
    </row>
    <row r="162" spans="1:5" x14ac:dyDescent="0.25">
      <c r="A162" s="1">
        <v>2446207.92</v>
      </c>
      <c r="B162" s="1" t="s">
        <v>323</v>
      </c>
      <c r="C162" s="1">
        <v>11.72</v>
      </c>
      <c r="D162" s="1">
        <v>8.6023000000000002E-2</v>
      </c>
      <c r="E162" s="1"/>
    </row>
    <row r="163" spans="1:5" x14ac:dyDescent="0.25">
      <c r="A163" s="1">
        <v>2446230.2012499999</v>
      </c>
      <c r="B163" s="1" t="s">
        <v>324</v>
      </c>
      <c r="C163" s="1">
        <v>11.8125</v>
      </c>
      <c r="D163" s="1">
        <v>7.8916E-2</v>
      </c>
      <c r="E163" s="1"/>
    </row>
    <row r="164" spans="1:5" x14ac:dyDescent="0.25">
      <c r="A164" s="1">
        <v>2446248.25</v>
      </c>
      <c r="B164" s="1" t="s">
        <v>325</v>
      </c>
      <c r="C164" s="1">
        <v>11.525</v>
      </c>
      <c r="D164" s="1">
        <v>0.17499999999999999</v>
      </c>
      <c r="E164" s="1"/>
    </row>
    <row r="165" spans="1:5" x14ac:dyDescent="0.25">
      <c r="A165" s="1">
        <v>2446262.0227800002</v>
      </c>
      <c r="B165" s="1" t="s">
        <v>326</v>
      </c>
      <c r="C165" s="1">
        <v>11.833333</v>
      </c>
      <c r="D165" s="1">
        <v>5.7735000000000002E-2</v>
      </c>
      <c r="E165" s="1"/>
    </row>
    <row r="166" spans="1:5" x14ac:dyDescent="0.25">
      <c r="A166" s="1">
        <v>2446289.0192499999</v>
      </c>
      <c r="B166" s="1" t="s">
        <v>327</v>
      </c>
      <c r="C166" s="1">
        <v>11.691667000000001</v>
      </c>
      <c r="D166" s="1">
        <v>8.7437000000000001E-2</v>
      </c>
      <c r="E166" s="1"/>
    </row>
    <row r="167" spans="1:5" x14ac:dyDescent="0.25">
      <c r="A167" s="1">
        <v>2446301.0883300002</v>
      </c>
      <c r="B167" s="1" t="s">
        <v>328</v>
      </c>
      <c r="C167" s="1">
        <v>11.7</v>
      </c>
      <c r="D167" s="1">
        <v>0.10328</v>
      </c>
      <c r="E167" s="1"/>
    </row>
    <row r="168" spans="1:5" x14ac:dyDescent="0.25">
      <c r="A168" s="1">
        <v>2446321.2149999999</v>
      </c>
      <c r="B168" s="1" t="s">
        <v>329</v>
      </c>
      <c r="C168" s="1">
        <v>11.866667</v>
      </c>
      <c r="D168" s="1">
        <v>4.9440999999999999E-2</v>
      </c>
      <c r="E168" s="1"/>
    </row>
    <row r="169" spans="1:5" x14ac:dyDescent="0.25">
      <c r="A169" s="1">
        <v>2446344.9</v>
      </c>
      <c r="B169" s="1" t="s">
        <v>330</v>
      </c>
      <c r="C169" s="1">
        <v>11.7</v>
      </c>
      <c r="D169" s="1">
        <v>0.1</v>
      </c>
      <c r="E169" s="1"/>
    </row>
    <row r="170" spans="1:5" x14ac:dyDescent="0.25">
      <c r="A170" s="1">
        <v>2446356.2400000002</v>
      </c>
      <c r="B170" s="1" t="s">
        <v>331</v>
      </c>
      <c r="C170" s="1">
        <v>11.7</v>
      </c>
      <c r="D170" s="1">
        <v>0.1</v>
      </c>
      <c r="E170" s="1"/>
    </row>
    <row r="171" spans="1:5" x14ac:dyDescent="0.25">
      <c r="A171" s="1">
        <v>2446472.04</v>
      </c>
      <c r="B171" s="1" t="s">
        <v>332</v>
      </c>
      <c r="C171" s="1">
        <v>11.4</v>
      </c>
      <c r="D171" s="1">
        <v>0</v>
      </c>
      <c r="E171" s="1"/>
    </row>
    <row r="172" spans="1:5" x14ac:dyDescent="0.25">
      <c r="A172" s="1">
        <v>2446507.98</v>
      </c>
      <c r="B172" s="1" t="s">
        <v>333</v>
      </c>
      <c r="C172" s="1">
        <v>11.8</v>
      </c>
      <c r="D172" s="1">
        <v>0</v>
      </c>
      <c r="E172" s="1"/>
    </row>
    <row r="173" spans="1:5" x14ac:dyDescent="0.25">
      <c r="A173" s="1">
        <v>2446541.75</v>
      </c>
      <c r="B173" s="1" t="s">
        <v>334</v>
      </c>
      <c r="C173" s="1">
        <v>11.7</v>
      </c>
      <c r="D173" s="1">
        <v>0.4</v>
      </c>
      <c r="E173" s="1"/>
    </row>
    <row r="174" spans="1:5" x14ac:dyDescent="0.25">
      <c r="A174" s="1">
        <v>2446567.08</v>
      </c>
      <c r="B174" s="1" t="s">
        <v>335</v>
      </c>
      <c r="C174" s="1">
        <v>12.066667000000001</v>
      </c>
      <c r="D174" s="1">
        <v>6.6667000000000004E-2</v>
      </c>
      <c r="E174" s="1"/>
    </row>
    <row r="175" spans="1:5" x14ac:dyDescent="0.25">
      <c r="A175" s="1">
        <v>2446590.6488899998</v>
      </c>
      <c r="B175" s="1" t="s">
        <v>336</v>
      </c>
      <c r="C175" s="1">
        <v>11.966666999999999</v>
      </c>
      <c r="D175" s="1">
        <v>3.7268000000000003E-2</v>
      </c>
      <c r="E175" s="1"/>
    </row>
    <row r="176" spans="1:5" x14ac:dyDescent="0.25">
      <c r="A176" s="1">
        <v>2446613.6222199998</v>
      </c>
      <c r="B176" s="1" t="s">
        <v>337</v>
      </c>
      <c r="C176" s="1">
        <v>12.011111</v>
      </c>
      <c r="D176" s="1">
        <v>1.1110999999999999E-2</v>
      </c>
      <c r="E176" s="1"/>
    </row>
    <row r="177" spans="1:5" x14ac:dyDescent="0.25">
      <c r="A177" s="1">
        <v>2446624.8716699998</v>
      </c>
      <c r="B177" s="1" t="s">
        <v>338</v>
      </c>
      <c r="C177" s="1">
        <v>12.083333</v>
      </c>
      <c r="D177" s="1">
        <v>3.0731999999999999E-2</v>
      </c>
      <c r="E177" s="1"/>
    </row>
    <row r="178" spans="1:5" x14ac:dyDescent="0.25">
      <c r="A178" s="1">
        <v>2446651.6161500001</v>
      </c>
      <c r="B178" s="1" t="s">
        <v>339</v>
      </c>
      <c r="C178" s="1">
        <v>11.984615</v>
      </c>
      <c r="D178" s="1">
        <v>4.3626999999999999E-2</v>
      </c>
      <c r="E178" s="1"/>
    </row>
    <row r="179" spans="1:5" x14ac:dyDescent="0.25">
      <c r="A179" s="1">
        <v>2446664.9424999999</v>
      </c>
      <c r="B179" s="1" t="s">
        <v>340</v>
      </c>
      <c r="C179" s="1">
        <v>12.0375</v>
      </c>
      <c r="D179" s="1">
        <v>2.0156E-2</v>
      </c>
      <c r="E179" s="1"/>
    </row>
    <row r="180" spans="1:5" x14ac:dyDescent="0.25">
      <c r="A180" s="1">
        <v>2446678.09455</v>
      </c>
      <c r="B180" s="1" t="s">
        <v>341</v>
      </c>
      <c r="C180" s="1">
        <v>11.981818000000001</v>
      </c>
      <c r="D180" s="1">
        <v>4.2250999999999997E-2</v>
      </c>
      <c r="E180" s="1"/>
    </row>
    <row r="181" spans="1:5" x14ac:dyDescent="0.25">
      <c r="A181" s="1">
        <v>2446711.5</v>
      </c>
      <c r="B181" s="1" t="s">
        <v>342</v>
      </c>
      <c r="C181" s="1">
        <v>11.7</v>
      </c>
      <c r="D181" s="1">
        <v>0</v>
      </c>
      <c r="E181" s="1"/>
    </row>
    <row r="182" spans="1:5" x14ac:dyDescent="0.25">
      <c r="A182" s="1">
        <v>2446720.2000000002</v>
      </c>
      <c r="B182" s="1" t="s">
        <v>343</v>
      </c>
      <c r="C182" s="1">
        <v>11.883333</v>
      </c>
      <c r="D182" s="1">
        <v>4.0139000000000001E-2</v>
      </c>
      <c r="E182" s="1"/>
    </row>
    <row r="183" spans="1:5" x14ac:dyDescent="0.25">
      <c r="A183" s="1">
        <v>2446736.0833299998</v>
      </c>
      <c r="B183" s="1" t="s">
        <v>344</v>
      </c>
      <c r="C183" s="1">
        <v>11.85</v>
      </c>
      <c r="D183" s="1">
        <v>6.1913999999999997E-2</v>
      </c>
      <c r="E183" s="1"/>
    </row>
    <row r="184" spans="1:5" x14ac:dyDescent="0.25">
      <c r="A184" s="1">
        <v>2446762.6</v>
      </c>
      <c r="B184" s="1" t="s">
        <v>345</v>
      </c>
      <c r="C184" s="1">
        <v>11.775</v>
      </c>
      <c r="D184" s="1">
        <v>4.7870999999999997E-2</v>
      </c>
      <c r="E184" s="1"/>
    </row>
    <row r="185" spans="1:5" x14ac:dyDescent="0.25">
      <c r="A185" s="1">
        <v>2446781.65</v>
      </c>
      <c r="B185" s="1" t="s">
        <v>346</v>
      </c>
      <c r="C185" s="1">
        <v>11.8</v>
      </c>
      <c r="D185" s="1">
        <v>0</v>
      </c>
      <c r="E185" s="1"/>
    </row>
    <row r="186" spans="1:5" x14ac:dyDescent="0.25">
      <c r="A186" s="1">
        <v>2446894.5</v>
      </c>
      <c r="B186" s="1" t="s">
        <v>347</v>
      </c>
      <c r="C186" s="1">
        <v>11.7</v>
      </c>
      <c r="D186" s="1">
        <v>0</v>
      </c>
      <c r="E186" s="1"/>
    </row>
    <row r="187" spans="1:5" x14ac:dyDescent="0.25">
      <c r="A187" s="1">
        <v>2446908.9333299999</v>
      </c>
      <c r="B187" s="1" t="s">
        <v>348</v>
      </c>
      <c r="C187" s="1">
        <v>11.833333</v>
      </c>
      <c r="D187" s="1">
        <v>6.6667000000000004E-2</v>
      </c>
      <c r="E187" s="1"/>
    </row>
    <row r="188" spans="1:5" x14ac:dyDescent="0.25">
      <c r="A188" s="1">
        <v>2446942.65</v>
      </c>
      <c r="B188" s="1" t="s">
        <v>349</v>
      </c>
      <c r="C188" s="1">
        <v>11.9</v>
      </c>
      <c r="D188" s="1">
        <v>0.2</v>
      </c>
      <c r="E188" s="1"/>
    </row>
    <row r="189" spans="1:5" x14ac:dyDescent="0.25">
      <c r="A189" s="1">
        <v>2446958.15</v>
      </c>
      <c r="B189" s="1" t="s">
        <v>350</v>
      </c>
      <c r="C189" s="1">
        <v>12.05</v>
      </c>
      <c r="D189" s="1">
        <v>0.05</v>
      </c>
      <c r="E189" s="1"/>
    </row>
    <row r="190" spans="1:5" x14ac:dyDescent="0.25">
      <c r="A190" s="1">
        <v>2446972.73</v>
      </c>
      <c r="B190" s="1" t="s">
        <v>351</v>
      </c>
      <c r="C190" s="1">
        <v>11.824999999999999</v>
      </c>
      <c r="D190" s="1">
        <v>7.4999999999999997E-2</v>
      </c>
      <c r="E190" s="1"/>
    </row>
    <row r="191" spans="1:5" x14ac:dyDescent="0.25">
      <c r="A191" s="1">
        <v>2446994.145</v>
      </c>
      <c r="B191" s="1" t="s">
        <v>352</v>
      </c>
      <c r="C191" s="1">
        <v>11.95</v>
      </c>
      <c r="D191" s="1">
        <v>0.15</v>
      </c>
      <c r="E191" s="1"/>
    </row>
    <row r="192" spans="1:5" x14ac:dyDescent="0.25">
      <c r="A192" s="1">
        <v>2447006.9633300002</v>
      </c>
      <c r="B192" s="1" t="s">
        <v>353</v>
      </c>
      <c r="C192" s="1">
        <v>11.866667</v>
      </c>
      <c r="D192" s="1">
        <v>6.6667000000000004E-2</v>
      </c>
      <c r="E192" s="1"/>
    </row>
    <row r="193" spans="1:5" x14ac:dyDescent="0.25">
      <c r="A193" s="1">
        <v>2447021.9700000002</v>
      </c>
      <c r="B193" s="1" t="s">
        <v>354</v>
      </c>
      <c r="C193" s="1">
        <v>12.0375</v>
      </c>
      <c r="D193" s="1">
        <v>3.7499999999999999E-2</v>
      </c>
      <c r="E193" s="1"/>
    </row>
    <row r="194" spans="1:5" x14ac:dyDescent="0.25">
      <c r="A194" s="1">
        <v>2447032.9446700001</v>
      </c>
      <c r="B194" s="1" t="s">
        <v>355</v>
      </c>
      <c r="C194" s="1">
        <v>12.026667</v>
      </c>
      <c r="D194" s="1">
        <v>2.6667E-2</v>
      </c>
      <c r="E194" s="1"/>
    </row>
    <row r="195" spans="1:5" x14ac:dyDescent="0.25">
      <c r="A195" s="1">
        <v>2447049.2193800001</v>
      </c>
      <c r="B195" s="1" t="s">
        <v>356</v>
      </c>
      <c r="C195" s="1">
        <v>12.025</v>
      </c>
      <c r="D195" s="1">
        <v>1.4434000000000001E-2</v>
      </c>
      <c r="E195" s="1"/>
    </row>
    <row r="196" spans="1:5" x14ac:dyDescent="0.25">
      <c r="A196" s="1">
        <v>2447063.1170000001</v>
      </c>
      <c r="B196" s="1" t="s">
        <v>357</v>
      </c>
      <c r="C196" s="1">
        <v>11.92</v>
      </c>
      <c r="D196" s="1">
        <v>4.1633000000000003E-2</v>
      </c>
      <c r="E196" s="1"/>
    </row>
    <row r="197" spans="1:5" x14ac:dyDescent="0.25">
      <c r="A197" s="1">
        <v>2447083.3055599998</v>
      </c>
      <c r="B197" s="1" t="s">
        <v>90</v>
      </c>
      <c r="C197" s="1">
        <v>11.933332999999999</v>
      </c>
      <c r="D197" s="1">
        <v>4.4096000000000003E-2</v>
      </c>
      <c r="E197" s="1"/>
    </row>
    <row r="198" spans="1:5" x14ac:dyDescent="0.25">
      <c r="A198" s="1">
        <v>2447113.5</v>
      </c>
      <c r="B198" s="1" t="s">
        <v>91</v>
      </c>
      <c r="C198" s="1">
        <v>11.7</v>
      </c>
      <c r="D198" s="1">
        <v>0</v>
      </c>
      <c r="E198" s="1"/>
    </row>
    <row r="199" spans="1:5" x14ac:dyDescent="0.25">
      <c r="A199" s="1">
        <v>2447266.4</v>
      </c>
      <c r="B199" s="1" t="s">
        <v>358</v>
      </c>
      <c r="C199" s="1">
        <v>11.966666999999999</v>
      </c>
      <c r="D199" s="1">
        <v>3.3333000000000002E-2</v>
      </c>
      <c r="E199" s="1"/>
    </row>
    <row r="200" spans="1:5" x14ac:dyDescent="0.25">
      <c r="A200" s="1">
        <v>2447282.5</v>
      </c>
      <c r="B200" s="1" t="s">
        <v>359</v>
      </c>
      <c r="C200" s="1">
        <v>12.05</v>
      </c>
      <c r="D200" s="1">
        <v>0.15</v>
      </c>
      <c r="E200" s="1"/>
    </row>
    <row r="201" spans="1:5" x14ac:dyDescent="0.25">
      <c r="A201" s="1">
        <v>2447301.4049999998</v>
      </c>
      <c r="B201" s="1" t="s">
        <v>360</v>
      </c>
      <c r="C201" s="1">
        <v>11.9</v>
      </c>
      <c r="D201" s="1">
        <v>0.12909899999999999</v>
      </c>
      <c r="E201" s="1"/>
    </row>
    <row r="202" spans="1:5" x14ac:dyDescent="0.25">
      <c r="A202" s="1">
        <v>2447326.3344399999</v>
      </c>
      <c r="B202" s="1" t="s">
        <v>361</v>
      </c>
      <c r="C202" s="1">
        <v>12.1</v>
      </c>
      <c r="D202" s="1">
        <v>4.7140000000000001E-2</v>
      </c>
      <c r="E202" s="1"/>
    </row>
    <row r="203" spans="1:5" x14ac:dyDescent="0.25">
      <c r="A203" s="1">
        <v>2447349.2085699998</v>
      </c>
      <c r="B203" s="1" t="s">
        <v>362</v>
      </c>
      <c r="C203" s="1">
        <v>11.985714</v>
      </c>
      <c r="D203" s="1">
        <v>3.4007000000000003E-2</v>
      </c>
      <c r="E203" s="1"/>
    </row>
    <row r="204" spans="1:5" x14ac:dyDescent="0.25">
      <c r="A204" s="1">
        <v>2447359.6230000001</v>
      </c>
      <c r="B204" s="1" t="s">
        <v>363</v>
      </c>
      <c r="C204" s="1">
        <v>11.99375</v>
      </c>
      <c r="D204" s="1">
        <v>1.4343E-2</v>
      </c>
      <c r="E204" s="1"/>
    </row>
    <row r="205" spans="1:5" x14ac:dyDescent="0.25">
      <c r="A205" s="1">
        <v>2447377.9321400002</v>
      </c>
      <c r="B205" s="1" t="s">
        <v>92</v>
      </c>
      <c r="C205" s="1">
        <v>11.978571000000001</v>
      </c>
      <c r="D205" s="1">
        <v>2.1429E-2</v>
      </c>
      <c r="E205" s="1"/>
    </row>
    <row r="206" spans="1:5" x14ac:dyDescent="0.25">
      <c r="A206" s="1">
        <v>2447389.07767</v>
      </c>
      <c r="B206" s="1" t="s">
        <v>364</v>
      </c>
      <c r="C206" s="1">
        <v>11.883333</v>
      </c>
      <c r="D206" s="1">
        <v>7.0317000000000005E-2</v>
      </c>
      <c r="E206" s="1"/>
    </row>
    <row r="207" spans="1:5" x14ac:dyDescent="0.25">
      <c r="A207" s="1">
        <v>2447410.04385</v>
      </c>
      <c r="B207" s="1" t="s">
        <v>365</v>
      </c>
      <c r="C207" s="1">
        <v>11.830769</v>
      </c>
      <c r="D207" s="1">
        <v>5.1122000000000001E-2</v>
      </c>
      <c r="E207" s="1"/>
    </row>
    <row r="208" spans="1:5" x14ac:dyDescent="0.25">
      <c r="A208" s="1">
        <v>2447423.9172200002</v>
      </c>
      <c r="B208" s="1" t="s">
        <v>366</v>
      </c>
      <c r="C208" s="1">
        <v>11.955556</v>
      </c>
      <c r="D208" s="1">
        <v>3.1542000000000001E-2</v>
      </c>
      <c r="E208" s="1"/>
    </row>
    <row r="209" spans="1:5" x14ac:dyDescent="0.25">
      <c r="A209" s="1">
        <v>2447442.92</v>
      </c>
      <c r="B209" s="1" t="s">
        <v>367</v>
      </c>
      <c r="C209" s="1">
        <v>11.929411999999999</v>
      </c>
      <c r="D209" s="1">
        <v>3.5110000000000002E-2</v>
      </c>
      <c r="E209" s="1"/>
    </row>
    <row r="210" spans="1:5" x14ac:dyDescent="0.25">
      <c r="A210" s="1">
        <v>2447462.94937</v>
      </c>
      <c r="B210" s="1" t="s">
        <v>368</v>
      </c>
      <c r="C210" s="1">
        <v>11.887499999999999</v>
      </c>
      <c r="D210" s="1">
        <v>5.3130999999999998E-2</v>
      </c>
      <c r="E210" s="1"/>
    </row>
    <row r="211" spans="1:5" x14ac:dyDescent="0.25">
      <c r="A211" s="1">
        <v>2447475.3169999998</v>
      </c>
      <c r="B211" s="1" t="s">
        <v>369</v>
      </c>
      <c r="C211" s="1">
        <v>11.88</v>
      </c>
      <c r="D211" s="1">
        <v>6.4635999999999999E-2</v>
      </c>
      <c r="E211" s="1"/>
    </row>
    <row r="212" spans="1:5" x14ac:dyDescent="0.25">
      <c r="A212" s="1">
        <v>2447493.2749999999</v>
      </c>
      <c r="B212" s="1" t="s">
        <v>93</v>
      </c>
      <c r="C212" s="1">
        <v>11.775</v>
      </c>
      <c r="D212" s="1">
        <v>2.5000000000000001E-2</v>
      </c>
      <c r="E212" s="1"/>
    </row>
    <row r="213" spans="1:5" x14ac:dyDescent="0.25">
      <c r="A213" s="1">
        <v>2447509.53333</v>
      </c>
      <c r="B213" s="1" t="s">
        <v>370</v>
      </c>
      <c r="C213" s="1">
        <v>11.9</v>
      </c>
      <c r="D213" s="1">
        <v>0</v>
      </c>
      <c r="E213" s="1"/>
    </row>
    <row r="214" spans="1:5" x14ac:dyDescent="0.25">
      <c r="A214" s="1">
        <v>2447540.85</v>
      </c>
      <c r="B214" s="1" t="s">
        <v>371</v>
      </c>
      <c r="C214" s="1">
        <v>12</v>
      </c>
      <c r="D214" s="1">
        <v>0</v>
      </c>
      <c r="E214" s="1"/>
    </row>
    <row r="215" spans="1:5" x14ac:dyDescent="0.25">
      <c r="A215" s="1">
        <v>2447624.2000000002</v>
      </c>
      <c r="B215" s="1" t="s">
        <v>372</v>
      </c>
      <c r="C215" s="1">
        <v>12</v>
      </c>
      <c r="D215" s="1">
        <v>0</v>
      </c>
      <c r="E215" s="1"/>
    </row>
    <row r="216" spans="1:5" x14ac:dyDescent="0.25">
      <c r="A216" s="1">
        <v>2447645.5</v>
      </c>
      <c r="B216" s="1" t="s">
        <v>373</v>
      </c>
      <c r="C216" s="1">
        <v>12.066667000000001</v>
      </c>
      <c r="D216" s="1">
        <v>8.8192000000000006E-2</v>
      </c>
      <c r="E216" s="1"/>
    </row>
    <row r="217" spans="1:5" x14ac:dyDescent="0.25">
      <c r="A217" s="1">
        <v>2447672.1</v>
      </c>
      <c r="B217" s="1" t="s">
        <v>94</v>
      </c>
      <c r="C217" s="1">
        <v>12.2</v>
      </c>
      <c r="D217" s="1">
        <v>0</v>
      </c>
      <c r="E217" s="1"/>
    </row>
    <row r="218" spans="1:5" x14ac:dyDescent="0.25">
      <c r="A218" s="1">
        <v>2447686.6667800001</v>
      </c>
      <c r="B218" s="1" t="s">
        <v>374</v>
      </c>
      <c r="C218" s="1">
        <v>11.911111</v>
      </c>
      <c r="D218" s="1">
        <v>5.1220000000000002E-2</v>
      </c>
      <c r="E218" s="1"/>
    </row>
    <row r="219" spans="1:5" x14ac:dyDescent="0.25">
      <c r="A219" s="1">
        <v>2447700.83</v>
      </c>
      <c r="B219" s="1" t="s">
        <v>375</v>
      </c>
      <c r="C219" s="1">
        <v>11.9</v>
      </c>
      <c r="D219" s="1">
        <v>8.9973999999999998E-2</v>
      </c>
      <c r="E219" s="1"/>
    </row>
    <row r="220" spans="1:5" x14ac:dyDescent="0.25">
      <c r="A220" s="1">
        <v>2447714.1911800001</v>
      </c>
      <c r="B220" s="1" t="s">
        <v>376</v>
      </c>
      <c r="C220" s="1">
        <v>12.047059000000001</v>
      </c>
      <c r="D220" s="1">
        <v>2.9850000000000002E-2</v>
      </c>
      <c r="E220" s="1"/>
    </row>
    <row r="221" spans="1:5" x14ac:dyDescent="0.25">
      <c r="A221" s="1">
        <v>2447737.4072500002</v>
      </c>
      <c r="B221" s="1" t="s">
        <v>377</v>
      </c>
      <c r="C221" s="1">
        <v>12.041667</v>
      </c>
      <c r="D221" s="1">
        <v>5.9617999999999997E-2</v>
      </c>
      <c r="E221" s="1"/>
    </row>
    <row r="222" spans="1:5" x14ac:dyDescent="0.25">
      <c r="A222" s="1">
        <v>2447753.9364700001</v>
      </c>
      <c r="B222" s="1" t="s">
        <v>378</v>
      </c>
      <c r="C222" s="1">
        <v>12</v>
      </c>
      <c r="D222" s="1">
        <v>3.7377000000000001E-2</v>
      </c>
      <c r="E222" s="1"/>
    </row>
    <row r="223" spans="1:5" x14ac:dyDescent="0.25">
      <c r="A223" s="1">
        <v>2447767.7312500002</v>
      </c>
      <c r="B223" s="1" t="s">
        <v>379</v>
      </c>
      <c r="C223" s="1">
        <v>11.995832999999999</v>
      </c>
      <c r="D223" s="1">
        <v>2.6565999999999999E-2</v>
      </c>
      <c r="E223" s="1"/>
    </row>
    <row r="224" spans="1:5" x14ac:dyDescent="0.25">
      <c r="A224" s="1">
        <v>2447785.2509099999</v>
      </c>
      <c r="B224" s="1" t="s">
        <v>380</v>
      </c>
      <c r="C224" s="1">
        <v>12.009091</v>
      </c>
      <c r="D224" s="1">
        <v>4.1460999999999998E-2</v>
      </c>
      <c r="E224" s="1"/>
    </row>
    <row r="225" spans="1:5" x14ac:dyDescent="0.25">
      <c r="A225" s="1">
        <v>2447800.0484199999</v>
      </c>
      <c r="B225" s="1" t="s">
        <v>381</v>
      </c>
      <c r="C225" s="1">
        <v>12.084211</v>
      </c>
      <c r="D225" s="1">
        <v>3.0838999999999998E-2</v>
      </c>
      <c r="E225" s="1"/>
    </row>
    <row r="226" spans="1:5" x14ac:dyDescent="0.25">
      <c r="A226" s="1">
        <v>2447822.6518199998</v>
      </c>
      <c r="B226" s="1" t="s">
        <v>382</v>
      </c>
      <c r="C226" s="1">
        <v>11.990909</v>
      </c>
      <c r="D226" s="1">
        <v>4.1460999999999998E-2</v>
      </c>
      <c r="E226" s="1"/>
    </row>
    <row r="227" spans="1:5" x14ac:dyDescent="0.25">
      <c r="A227" s="1">
        <v>2447843.62</v>
      </c>
      <c r="B227" s="1" t="s">
        <v>95</v>
      </c>
      <c r="C227" s="1">
        <v>12.025</v>
      </c>
      <c r="D227" s="1">
        <v>2.5000000000000001E-2</v>
      </c>
      <c r="E227" s="1"/>
    </row>
    <row r="228" spans="1:5" x14ac:dyDescent="0.25">
      <c r="A228" s="1">
        <v>2447859.142</v>
      </c>
      <c r="B228" s="1" t="s">
        <v>383</v>
      </c>
      <c r="C228" s="1">
        <v>12.03</v>
      </c>
      <c r="D228" s="1">
        <v>0.03</v>
      </c>
      <c r="E228" s="1"/>
    </row>
    <row r="229" spans="1:5" x14ac:dyDescent="0.25">
      <c r="A229" s="1">
        <v>2447876.66</v>
      </c>
      <c r="B229" s="1" t="s">
        <v>384</v>
      </c>
      <c r="C229" s="1">
        <v>12.05</v>
      </c>
      <c r="D229" s="1">
        <v>0.05</v>
      </c>
      <c r="E229" s="1"/>
    </row>
    <row r="230" spans="1:5" x14ac:dyDescent="0.25">
      <c r="A230" s="1">
        <v>2447947.48</v>
      </c>
      <c r="B230" s="1" t="s">
        <v>385</v>
      </c>
      <c r="C230" s="1">
        <v>12.1</v>
      </c>
      <c r="D230" s="1">
        <v>0</v>
      </c>
      <c r="E230" s="1"/>
    </row>
    <row r="231" spans="1:5" x14ac:dyDescent="0.25">
      <c r="A231" s="1">
        <v>2447976.16</v>
      </c>
      <c r="B231" s="1" t="s">
        <v>96</v>
      </c>
      <c r="C231" s="1">
        <v>12.05</v>
      </c>
      <c r="D231" s="1">
        <v>0.05</v>
      </c>
      <c r="E231" s="1"/>
    </row>
    <row r="232" spans="1:5" x14ac:dyDescent="0.25">
      <c r="A232" s="1">
        <v>2447987.9300000002</v>
      </c>
      <c r="B232" s="1" t="s">
        <v>386</v>
      </c>
      <c r="C232" s="1">
        <v>12.05</v>
      </c>
      <c r="D232" s="1">
        <v>0.05</v>
      </c>
      <c r="E232" s="1"/>
    </row>
    <row r="233" spans="1:5" x14ac:dyDescent="0.25">
      <c r="A233" s="1">
        <v>2448007.1433299999</v>
      </c>
      <c r="B233" s="1" t="s">
        <v>387</v>
      </c>
      <c r="C233" s="1">
        <v>12.033333000000001</v>
      </c>
      <c r="D233" s="1">
        <v>8.8192000000000006E-2</v>
      </c>
      <c r="E233" s="1"/>
    </row>
    <row r="234" spans="1:5" x14ac:dyDescent="0.25">
      <c r="A234" s="1">
        <v>2448029.75</v>
      </c>
      <c r="B234" s="1" t="s">
        <v>97</v>
      </c>
      <c r="C234" s="1">
        <v>11.8</v>
      </c>
      <c r="D234" s="1">
        <v>0</v>
      </c>
      <c r="E234" s="1"/>
    </row>
    <row r="235" spans="1:5" x14ac:dyDescent="0.25">
      <c r="A235" s="1">
        <v>2448041.7450000001</v>
      </c>
      <c r="B235" s="1" t="s">
        <v>388</v>
      </c>
      <c r="C235" s="1">
        <v>11.925000000000001</v>
      </c>
      <c r="D235" s="1">
        <v>5.2609999999999997E-2</v>
      </c>
      <c r="E235" s="1"/>
    </row>
    <row r="236" spans="1:5" x14ac:dyDescent="0.25">
      <c r="A236" s="1">
        <v>2448061.9188899999</v>
      </c>
      <c r="B236" s="1" t="s">
        <v>389</v>
      </c>
      <c r="C236" s="1">
        <v>12.033333000000001</v>
      </c>
      <c r="D236" s="1">
        <v>4.7140000000000001E-2</v>
      </c>
      <c r="E236" s="1"/>
    </row>
    <row r="237" spans="1:5" x14ac:dyDescent="0.25">
      <c r="A237" s="1">
        <v>2448074.51333</v>
      </c>
      <c r="B237" s="1" t="s">
        <v>390</v>
      </c>
      <c r="C237" s="1">
        <v>11.883333</v>
      </c>
      <c r="D237" s="1">
        <v>0.113774</v>
      </c>
      <c r="E237" s="1"/>
    </row>
    <row r="238" spans="1:5" x14ac:dyDescent="0.25">
      <c r="A238" s="1">
        <v>2448092.2068699999</v>
      </c>
      <c r="B238" s="1" t="s">
        <v>391</v>
      </c>
      <c r="C238" s="1">
        <v>11.793749999999999</v>
      </c>
      <c r="D238" s="1">
        <v>5.6619000000000003E-2</v>
      </c>
      <c r="E238" s="1"/>
    </row>
    <row r="239" spans="1:5" x14ac:dyDescent="0.25">
      <c r="A239" s="1">
        <v>2448106.5844399999</v>
      </c>
      <c r="B239" s="1" t="s">
        <v>98</v>
      </c>
      <c r="C239" s="1">
        <v>11.711111000000001</v>
      </c>
      <c r="D239" s="1">
        <v>7.3493000000000003E-2</v>
      </c>
      <c r="E239" s="1"/>
    </row>
    <row r="240" spans="1:5" x14ac:dyDescent="0.25">
      <c r="A240" s="1">
        <v>2448125.13619</v>
      </c>
      <c r="B240" s="1" t="s">
        <v>392</v>
      </c>
      <c r="C240" s="1">
        <v>11.809524</v>
      </c>
      <c r="D240" s="1">
        <v>4.0181000000000001E-2</v>
      </c>
      <c r="E240" s="1"/>
    </row>
    <row r="241" spans="1:5" x14ac:dyDescent="0.25">
      <c r="A241" s="1">
        <v>2448143.47688</v>
      </c>
      <c r="B241" s="1" t="s">
        <v>393</v>
      </c>
      <c r="C241" s="1">
        <v>11.793749999999999</v>
      </c>
      <c r="D241" s="1">
        <v>4.4223999999999999E-2</v>
      </c>
      <c r="E241" s="1"/>
    </row>
    <row r="242" spans="1:5" x14ac:dyDescent="0.25">
      <c r="A242" s="1">
        <v>2448156.0837500002</v>
      </c>
      <c r="B242" s="1" t="s">
        <v>394</v>
      </c>
      <c r="C242" s="1">
        <v>11.74375</v>
      </c>
      <c r="D242" s="1">
        <v>4.4692000000000003E-2</v>
      </c>
      <c r="E242" s="1"/>
    </row>
    <row r="243" spans="1:5" x14ac:dyDescent="0.25">
      <c r="A243" s="1">
        <v>2448177.585</v>
      </c>
      <c r="B243" s="1" t="s">
        <v>395</v>
      </c>
      <c r="C243" s="1">
        <v>11.75</v>
      </c>
      <c r="D243" s="1">
        <v>6.6855999999999999E-2</v>
      </c>
      <c r="E243" s="1"/>
    </row>
    <row r="244" spans="1:5" x14ac:dyDescent="0.25">
      <c r="A244" s="1">
        <v>2448195.7439999999</v>
      </c>
      <c r="B244" s="1" t="s">
        <v>396</v>
      </c>
      <c r="C244" s="1">
        <v>11.77</v>
      </c>
      <c r="D244" s="1">
        <v>8.1717999999999999E-2</v>
      </c>
      <c r="E244" s="1"/>
    </row>
    <row r="245" spans="1:5" x14ac:dyDescent="0.25">
      <c r="A245" s="1">
        <v>2448214.71</v>
      </c>
      <c r="B245" s="1" t="s">
        <v>397</v>
      </c>
      <c r="C245" s="1">
        <v>11.8</v>
      </c>
      <c r="D245" s="1">
        <v>9.6609E-2</v>
      </c>
      <c r="E245" s="1"/>
    </row>
    <row r="246" spans="1:5" x14ac:dyDescent="0.25">
      <c r="A246" s="1">
        <v>2448233.8066699998</v>
      </c>
      <c r="B246" s="1" t="s">
        <v>398</v>
      </c>
      <c r="C246" s="1">
        <v>11.733333</v>
      </c>
      <c r="D246" s="1">
        <v>9.1894000000000003E-2</v>
      </c>
      <c r="E246" s="1"/>
    </row>
    <row r="247" spans="1:5" x14ac:dyDescent="0.25">
      <c r="A247" s="1">
        <v>2448335.29</v>
      </c>
      <c r="B247" s="1" t="s">
        <v>399</v>
      </c>
      <c r="C247" s="1">
        <v>11.95</v>
      </c>
      <c r="D247" s="1">
        <v>0.25</v>
      </c>
      <c r="E247" s="1"/>
    </row>
    <row r="248" spans="1:5" x14ac:dyDescent="0.25">
      <c r="A248" s="1">
        <v>2448359.4</v>
      </c>
      <c r="B248" s="1" t="s">
        <v>400</v>
      </c>
      <c r="C248" s="1">
        <v>11.866667</v>
      </c>
      <c r="D248" s="1">
        <v>0.120185</v>
      </c>
      <c r="E248" s="1"/>
    </row>
    <row r="249" spans="1:5" x14ac:dyDescent="0.25">
      <c r="A249" s="1">
        <v>2448375.3050000002</v>
      </c>
      <c r="B249" s="1" t="s">
        <v>401</v>
      </c>
      <c r="C249" s="1">
        <v>12.125</v>
      </c>
      <c r="D249" s="1">
        <v>4.7870999999999997E-2</v>
      </c>
      <c r="E249" s="1"/>
    </row>
    <row r="250" spans="1:5" x14ac:dyDescent="0.25">
      <c r="A250" s="1">
        <v>2448394.98</v>
      </c>
      <c r="B250" s="1" t="s">
        <v>402</v>
      </c>
      <c r="C250" s="1">
        <v>12.044444</v>
      </c>
      <c r="D250" s="1">
        <v>4.1201000000000002E-2</v>
      </c>
      <c r="E250" s="1"/>
    </row>
    <row r="251" spans="1:5" x14ac:dyDescent="0.25">
      <c r="A251" s="1">
        <v>2448417.5666700001</v>
      </c>
      <c r="B251" s="1" t="s">
        <v>403</v>
      </c>
      <c r="C251" s="1">
        <v>11.991667</v>
      </c>
      <c r="D251" s="1">
        <v>4.1667000000000003E-2</v>
      </c>
      <c r="E251" s="1"/>
    </row>
    <row r="252" spans="1:5" x14ac:dyDescent="0.25">
      <c r="A252" s="1">
        <v>2448431.4030900002</v>
      </c>
      <c r="B252" s="1" t="s">
        <v>404</v>
      </c>
      <c r="C252" s="1">
        <v>11.984999999999999</v>
      </c>
      <c r="D252" s="1">
        <v>5.2635000000000001E-2</v>
      </c>
      <c r="E252" s="1"/>
    </row>
    <row r="253" spans="1:5" x14ac:dyDescent="0.25">
      <c r="A253" s="1">
        <v>2448448.40068</v>
      </c>
      <c r="B253" s="1" t="s">
        <v>405</v>
      </c>
      <c r="C253" s="1">
        <v>11.984</v>
      </c>
      <c r="D253" s="1">
        <v>3.3295999999999999E-2</v>
      </c>
      <c r="E253" s="1"/>
    </row>
    <row r="254" spans="1:5" x14ac:dyDescent="0.25">
      <c r="A254" s="1">
        <v>2448464.6755499998</v>
      </c>
      <c r="B254" s="1" t="s">
        <v>406</v>
      </c>
      <c r="C254" s="1">
        <v>12.009231</v>
      </c>
      <c r="D254" s="1">
        <v>3.1753000000000003E-2</v>
      </c>
      <c r="E254" s="1"/>
    </row>
    <row r="255" spans="1:5" x14ac:dyDescent="0.25">
      <c r="A255" s="1">
        <v>2448478.80761</v>
      </c>
      <c r="B255" s="1" t="s">
        <v>407</v>
      </c>
      <c r="C255" s="1">
        <v>12.006522</v>
      </c>
      <c r="D255" s="1">
        <v>2.9753000000000002E-2</v>
      </c>
      <c r="E255" s="1"/>
    </row>
    <row r="256" spans="1:5" x14ac:dyDescent="0.25">
      <c r="A256" s="1">
        <v>2448496.0351499999</v>
      </c>
      <c r="B256" s="1" t="s">
        <v>408</v>
      </c>
      <c r="C256" s="1">
        <v>11.972353</v>
      </c>
      <c r="D256" s="1">
        <v>3.0311000000000001E-2</v>
      </c>
      <c r="E256" s="1"/>
    </row>
    <row r="257" spans="1:5" x14ac:dyDescent="0.25">
      <c r="A257" s="1">
        <v>2448510.1023400002</v>
      </c>
      <c r="B257" s="1" t="s">
        <v>409</v>
      </c>
      <c r="C257" s="1">
        <v>11.922000000000001</v>
      </c>
      <c r="D257" s="1">
        <v>3.6817999999999997E-2</v>
      </c>
      <c r="E257" s="1"/>
    </row>
    <row r="258" spans="1:5" x14ac:dyDescent="0.25">
      <c r="A258" s="1">
        <v>2448529.6768</v>
      </c>
      <c r="B258" s="1" t="s">
        <v>410</v>
      </c>
      <c r="C258" s="1">
        <v>11.885</v>
      </c>
      <c r="D258" s="1">
        <v>4.4752E-2</v>
      </c>
      <c r="E258" s="1"/>
    </row>
    <row r="259" spans="1:5" x14ac:dyDescent="0.25">
      <c r="A259" s="1">
        <v>2448542.0072400002</v>
      </c>
      <c r="B259" s="1" t="s">
        <v>411</v>
      </c>
      <c r="C259" s="1">
        <v>11.767143000000001</v>
      </c>
      <c r="D259" s="1">
        <v>2.8811E-2</v>
      </c>
      <c r="E259" s="1"/>
    </row>
    <row r="260" spans="1:5" x14ac:dyDescent="0.25">
      <c r="A260" s="1">
        <v>2448558.7039899998</v>
      </c>
      <c r="B260" s="1" t="s">
        <v>412</v>
      </c>
      <c r="C260" s="1">
        <v>11.8125</v>
      </c>
      <c r="D260" s="1">
        <v>5.2269000000000003E-2</v>
      </c>
      <c r="E260" s="1"/>
    </row>
    <row r="261" spans="1:5" x14ac:dyDescent="0.25">
      <c r="A261" s="1">
        <v>2448579.835</v>
      </c>
      <c r="B261" s="1" t="s">
        <v>413</v>
      </c>
      <c r="C261" s="1">
        <v>12</v>
      </c>
      <c r="D261" s="1">
        <v>0.2</v>
      </c>
      <c r="E261" s="1"/>
    </row>
    <row r="262" spans="1:5" x14ac:dyDescent="0.25">
      <c r="A262" s="1">
        <v>2448595.3866699999</v>
      </c>
      <c r="B262" s="1" t="s">
        <v>414</v>
      </c>
      <c r="C262" s="1">
        <v>11.9</v>
      </c>
      <c r="D262" s="1">
        <v>0</v>
      </c>
      <c r="E262" s="1"/>
    </row>
    <row r="263" spans="1:5" x14ac:dyDescent="0.25">
      <c r="A263" s="1">
        <v>2448619.15</v>
      </c>
      <c r="B263" s="1" t="s">
        <v>415</v>
      </c>
      <c r="C263" s="1">
        <v>12</v>
      </c>
      <c r="D263" s="1">
        <v>0</v>
      </c>
      <c r="E263" s="1"/>
    </row>
    <row r="264" spans="1:5" x14ac:dyDescent="0.25">
      <c r="A264" s="1">
        <v>2448655.9</v>
      </c>
      <c r="B264" s="1" t="s">
        <v>416</v>
      </c>
      <c r="C264" s="1">
        <v>12</v>
      </c>
      <c r="D264" s="1">
        <v>0</v>
      </c>
      <c r="E264" s="1"/>
    </row>
    <row r="265" spans="1:5" x14ac:dyDescent="0.25">
      <c r="A265" s="1">
        <v>2448693.1822000002</v>
      </c>
      <c r="B265" s="1" t="s">
        <v>417</v>
      </c>
      <c r="C265" s="1">
        <v>11.916667</v>
      </c>
      <c r="D265" s="1">
        <v>0.11666700000000001</v>
      </c>
      <c r="E265" s="1"/>
    </row>
    <row r="266" spans="1:5" x14ac:dyDescent="0.25">
      <c r="A266" s="1">
        <v>2448716.9501299998</v>
      </c>
      <c r="B266" s="1" t="s">
        <v>99</v>
      </c>
      <c r="C266" s="1">
        <v>11.756667</v>
      </c>
      <c r="D266" s="1">
        <v>0.25666699999999998</v>
      </c>
      <c r="E266" s="1"/>
    </row>
    <row r="267" spans="1:5" x14ac:dyDescent="0.25">
      <c r="A267" s="1">
        <v>2448723.77733</v>
      </c>
      <c r="B267" s="1" t="s">
        <v>418</v>
      </c>
      <c r="C267" s="1">
        <v>11.955</v>
      </c>
      <c r="D267" s="1">
        <v>0.135493</v>
      </c>
      <c r="E267" s="1"/>
    </row>
    <row r="268" spans="1:5" x14ac:dyDescent="0.25">
      <c r="A268" s="1">
        <v>2448743.94202</v>
      </c>
      <c r="B268" s="1" t="s">
        <v>419</v>
      </c>
      <c r="C268" s="1">
        <v>11.904</v>
      </c>
      <c r="D268" s="1">
        <v>3.9642999999999998E-2</v>
      </c>
      <c r="E268" s="1"/>
    </row>
    <row r="269" spans="1:5" x14ac:dyDescent="0.25">
      <c r="A269" s="1">
        <v>2448758.6338399998</v>
      </c>
      <c r="B269" s="1" t="s">
        <v>420</v>
      </c>
      <c r="C269" s="1">
        <v>11.8775</v>
      </c>
      <c r="D269" s="1">
        <v>3.1039000000000001E-2</v>
      </c>
      <c r="E269" s="1"/>
    </row>
    <row r="270" spans="1:5" x14ac:dyDescent="0.25">
      <c r="A270" s="1">
        <v>2448772.02911</v>
      </c>
      <c r="B270" s="1" t="s">
        <v>100</v>
      </c>
      <c r="C270" s="1">
        <v>11.76</v>
      </c>
      <c r="D270" s="1">
        <v>7.6717999999999995E-2</v>
      </c>
      <c r="E270" s="1"/>
    </row>
    <row r="271" spans="1:5" x14ac:dyDescent="0.25">
      <c r="A271" s="1">
        <v>2448791.2503</v>
      </c>
      <c r="B271" s="1" t="s">
        <v>421</v>
      </c>
      <c r="C271" s="1">
        <v>11.936875000000001</v>
      </c>
      <c r="D271" s="1">
        <v>3.6852000000000003E-2</v>
      </c>
      <c r="E271" s="1"/>
    </row>
    <row r="272" spans="1:5" x14ac:dyDescent="0.25">
      <c r="A272" s="1">
        <v>2448805.7259499999</v>
      </c>
      <c r="B272" s="1" t="s">
        <v>422</v>
      </c>
      <c r="C272" s="1">
        <v>11.868124999999999</v>
      </c>
      <c r="D272" s="1">
        <v>3.5638000000000003E-2</v>
      </c>
      <c r="E272" s="1"/>
    </row>
    <row r="273" spans="1:5" x14ac:dyDescent="0.25">
      <c r="A273" s="1">
        <v>2448824.2075200002</v>
      </c>
      <c r="B273" s="1" t="s">
        <v>423</v>
      </c>
      <c r="C273" s="1">
        <v>11.897143</v>
      </c>
      <c r="D273" s="1">
        <v>4.1432999999999998E-2</v>
      </c>
      <c r="E273" s="1"/>
    </row>
    <row r="274" spans="1:5" x14ac:dyDescent="0.25">
      <c r="A274" s="1">
        <v>2448836.86491</v>
      </c>
      <c r="B274" s="1" t="s">
        <v>424</v>
      </c>
      <c r="C274" s="1">
        <v>11.797857</v>
      </c>
      <c r="D274" s="1">
        <v>3.1895E-2</v>
      </c>
      <c r="E274" s="1"/>
    </row>
    <row r="275" spans="1:5" x14ac:dyDescent="0.25">
      <c r="A275" s="1">
        <v>2448856.6699899998</v>
      </c>
      <c r="B275" s="1" t="s">
        <v>425</v>
      </c>
      <c r="C275" s="1">
        <v>11.930476000000001</v>
      </c>
      <c r="D275" s="1">
        <v>3.3654000000000003E-2</v>
      </c>
      <c r="E275" s="1"/>
    </row>
    <row r="276" spans="1:5" x14ac:dyDescent="0.25">
      <c r="A276" s="1">
        <v>2448869.4205299998</v>
      </c>
      <c r="B276" s="1" t="s">
        <v>426</v>
      </c>
      <c r="C276" s="1">
        <v>11.864545</v>
      </c>
      <c r="D276" s="1">
        <v>3.6346999999999997E-2</v>
      </c>
      <c r="E276" s="1"/>
    </row>
    <row r="277" spans="1:5" x14ac:dyDescent="0.25">
      <c r="A277" s="1">
        <v>2448885.1804300002</v>
      </c>
      <c r="B277" s="1" t="s">
        <v>427</v>
      </c>
      <c r="C277" s="1">
        <v>11.819129999999999</v>
      </c>
      <c r="D277" s="1">
        <v>2.7446999999999999E-2</v>
      </c>
      <c r="E277" s="1"/>
    </row>
    <row r="278" spans="1:5" x14ac:dyDescent="0.25">
      <c r="A278" s="1">
        <v>2448901.2695200001</v>
      </c>
      <c r="B278" s="1" t="s">
        <v>428</v>
      </c>
      <c r="C278" s="1">
        <v>11.762105</v>
      </c>
      <c r="D278" s="1">
        <v>3.7272E-2</v>
      </c>
      <c r="E278" s="1"/>
    </row>
    <row r="279" spans="1:5" x14ac:dyDescent="0.25">
      <c r="A279" s="1">
        <v>2448916.6631399998</v>
      </c>
      <c r="B279" s="1" t="s">
        <v>429</v>
      </c>
      <c r="C279" s="1">
        <v>11.778</v>
      </c>
      <c r="D279" s="1">
        <v>2.7868E-2</v>
      </c>
      <c r="E279" s="1"/>
    </row>
    <row r="280" spans="1:5" x14ac:dyDescent="0.25">
      <c r="A280" s="1">
        <v>2448933.7112199999</v>
      </c>
      <c r="B280" s="1" t="s">
        <v>430</v>
      </c>
      <c r="C280" s="1">
        <v>11.821249999999999</v>
      </c>
      <c r="D280" s="1">
        <v>3.0955E-2</v>
      </c>
      <c r="E280" s="1"/>
    </row>
    <row r="281" spans="1:5" x14ac:dyDescent="0.25">
      <c r="A281" s="1">
        <v>2448947.3344299998</v>
      </c>
      <c r="B281" s="1" t="s">
        <v>431</v>
      </c>
      <c r="C281" s="1">
        <v>11.81</v>
      </c>
      <c r="D281" s="1">
        <v>4.2486999999999997E-2</v>
      </c>
      <c r="E281" s="1"/>
    </row>
    <row r="282" spans="1:5" x14ac:dyDescent="0.25">
      <c r="A282" s="1">
        <v>2448964.5285</v>
      </c>
      <c r="B282" s="1" t="s">
        <v>432</v>
      </c>
      <c r="C282" s="1">
        <v>11.85</v>
      </c>
      <c r="D282" s="1">
        <v>0.15</v>
      </c>
      <c r="E282" s="1"/>
    </row>
    <row r="283" spans="1:5" x14ac:dyDescent="0.25">
      <c r="A283" s="1">
        <v>2448981.4925000002</v>
      </c>
      <c r="B283" s="1" t="s">
        <v>433</v>
      </c>
      <c r="C283" s="1">
        <v>12.025</v>
      </c>
      <c r="D283" s="1">
        <v>8.5390999999999995E-2</v>
      </c>
      <c r="E283" s="1"/>
    </row>
    <row r="284" spans="1:5" x14ac:dyDescent="0.25">
      <c r="A284" s="1">
        <v>2449020.9380000001</v>
      </c>
      <c r="B284" s="1" t="s">
        <v>434</v>
      </c>
      <c r="C284" s="1">
        <v>11.7</v>
      </c>
      <c r="D284" s="1">
        <v>0</v>
      </c>
      <c r="E284" s="1"/>
    </row>
    <row r="285" spans="1:5" x14ac:dyDescent="0.25">
      <c r="A285" s="1">
        <v>2449072.0468100002</v>
      </c>
      <c r="B285" s="1" t="s">
        <v>435</v>
      </c>
      <c r="C285" s="1">
        <v>12.035714</v>
      </c>
      <c r="D285" s="1">
        <v>9.3142000000000003E-2</v>
      </c>
      <c r="E285" s="1"/>
    </row>
    <row r="286" spans="1:5" x14ac:dyDescent="0.25">
      <c r="A286" s="1">
        <v>2449102.6267200001</v>
      </c>
      <c r="B286" s="1" t="s">
        <v>436</v>
      </c>
      <c r="C286" s="1">
        <v>11.976922999999999</v>
      </c>
      <c r="D286" s="1">
        <v>8.3322999999999994E-2</v>
      </c>
      <c r="E286" s="1"/>
    </row>
    <row r="287" spans="1:5" x14ac:dyDescent="0.25">
      <c r="A287" s="1">
        <v>2449119.0606900002</v>
      </c>
      <c r="B287" s="1" t="s">
        <v>437</v>
      </c>
      <c r="C287" s="1">
        <v>11.8125</v>
      </c>
      <c r="D287" s="1">
        <v>4.2132000000000003E-2</v>
      </c>
      <c r="E287" s="1"/>
    </row>
    <row r="288" spans="1:5" x14ac:dyDescent="0.25">
      <c r="A288" s="1">
        <v>2449133.5132499998</v>
      </c>
      <c r="B288" s="1" t="s">
        <v>438</v>
      </c>
      <c r="C288" s="1">
        <v>11.8232</v>
      </c>
      <c r="D288" s="1">
        <v>3.7836000000000002E-2</v>
      </c>
      <c r="E288" s="1"/>
    </row>
    <row r="289" spans="1:5" x14ac:dyDescent="0.25">
      <c r="A289" s="1">
        <v>2449149.9103799998</v>
      </c>
      <c r="B289" s="1" t="s">
        <v>439</v>
      </c>
      <c r="C289" s="1">
        <v>11.852973</v>
      </c>
      <c r="D289" s="1">
        <v>3.5098999999999998E-2</v>
      </c>
      <c r="E289" s="1"/>
    </row>
    <row r="290" spans="1:5" x14ac:dyDescent="0.25">
      <c r="A290" s="1">
        <v>2449164.5547699998</v>
      </c>
      <c r="B290" s="1" t="s">
        <v>440</v>
      </c>
      <c r="C290" s="1">
        <v>11.827999999999999</v>
      </c>
      <c r="D290" s="1">
        <v>2.632E-2</v>
      </c>
      <c r="E290" s="1"/>
    </row>
    <row r="291" spans="1:5" x14ac:dyDescent="0.25">
      <c r="A291" s="1">
        <v>2449180.3128599999</v>
      </c>
      <c r="B291" s="1" t="s">
        <v>441</v>
      </c>
      <c r="C291" s="1">
        <v>11.763076999999999</v>
      </c>
      <c r="D291" s="1">
        <v>3.0110000000000001E-2</v>
      </c>
      <c r="E291" s="1"/>
    </row>
    <row r="292" spans="1:5" x14ac:dyDescent="0.25">
      <c r="A292" s="1">
        <v>2449195.9260300002</v>
      </c>
      <c r="B292" s="1" t="s">
        <v>101</v>
      </c>
      <c r="C292" s="1">
        <v>11.792142999999999</v>
      </c>
      <c r="D292" s="1">
        <v>3.1002999999999999E-2</v>
      </c>
      <c r="E292" s="1"/>
    </row>
    <row r="293" spans="1:5" x14ac:dyDescent="0.25">
      <c r="A293" s="1">
        <v>2449212.4079100001</v>
      </c>
      <c r="B293" s="1" t="s">
        <v>102</v>
      </c>
      <c r="C293" s="1">
        <v>11.814145999999999</v>
      </c>
      <c r="D293" s="1">
        <v>3.7392000000000002E-2</v>
      </c>
      <c r="E293" s="1"/>
    </row>
    <row r="294" spans="1:5" x14ac:dyDescent="0.25">
      <c r="A294" s="1">
        <v>2449226.6325300001</v>
      </c>
      <c r="B294" s="1" t="s">
        <v>442</v>
      </c>
      <c r="C294" s="1">
        <v>11.725161</v>
      </c>
      <c r="D294" s="1">
        <v>3.9468999999999997E-2</v>
      </c>
      <c r="E294" s="1"/>
    </row>
    <row r="295" spans="1:5" x14ac:dyDescent="0.25">
      <c r="A295" s="1">
        <v>2449242.6860699998</v>
      </c>
      <c r="B295" s="1" t="s">
        <v>443</v>
      </c>
      <c r="C295" s="1">
        <v>11.762962999999999</v>
      </c>
      <c r="D295" s="1">
        <v>3.4238999999999999E-2</v>
      </c>
      <c r="E295" s="1"/>
    </row>
    <row r="296" spans="1:5" x14ac:dyDescent="0.25">
      <c r="A296" s="1">
        <v>2449256.40925</v>
      </c>
      <c r="B296" s="1" t="s">
        <v>444</v>
      </c>
      <c r="C296" s="1">
        <v>11.667742000000001</v>
      </c>
      <c r="D296" s="1">
        <v>3.1923E-2</v>
      </c>
      <c r="E296" s="1"/>
    </row>
    <row r="297" spans="1:5" x14ac:dyDescent="0.25">
      <c r="A297" s="1">
        <v>2449272.6469200002</v>
      </c>
      <c r="B297" s="1" t="s">
        <v>445</v>
      </c>
      <c r="C297" s="1">
        <v>11.589696999999999</v>
      </c>
      <c r="D297" s="1">
        <v>3.4423000000000002E-2</v>
      </c>
      <c r="E297" s="1"/>
    </row>
    <row r="298" spans="1:5" x14ac:dyDescent="0.25">
      <c r="A298" s="1">
        <v>2449288.73636</v>
      </c>
      <c r="B298" s="1" t="s">
        <v>446</v>
      </c>
      <c r="C298" s="1">
        <v>11.66</v>
      </c>
      <c r="D298" s="1">
        <v>3.7446E-2</v>
      </c>
      <c r="E298" s="1"/>
    </row>
    <row r="299" spans="1:5" x14ac:dyDescent="0.25">
      <c r="A299" s="1">
        <v>2449305.3561399998</v>
      </c>
      <c r="B299" s="1" t="s">
        <v>447</v>
      </c>
      <c r="C299" s="1">
        <v>11.708696</v>
      </c>
      <c r="D299" s="1">
        <v>3.5515999999999999E-2</v>
      </c>
      <c r="E299" s="1"/>
    </row>
    <row r="300" spans="1:5" x14ac:dyDescent="0.25">
      <c r="A300" s="1">
        <v>2449323.0732900002</v>
      </c>
      <c r="B300" s="1" t="s">
        <v>448</v>
      </c>
      <c r="C300" s="1">
        <v>11.658823999999999</v>
      </c>
      <c r="D300" s="1">
        <v>2.2782E-2</v>
      </c>
      <c r="E300" s="1"/>
    </row>
    <row r="301" spans="1:5" x14ac:dyDescent="0.25">
      <c r="A301" s="1">
        <v>2449338.1085600001</v>
      </c>
      <c r="B301" s="1" t="s">
        <v>449</v>
      </c>
      <c r="C301" s="1">
        <v>11.633333</v>
      </c>
      <c r="D301" s="1">
        <v>2.8868000000000001E-2</v>
      </c>
      <c r="E301" s="1"/>
    </row>
    <row r="302" spans="1:5" x14ac:dyDescent="0.25">
      <c r="A302" s="1">
        <v>2449389.719</v>
      </c>
      <c r="B302" s="1" t="s">
        <v>450</v>
      </c>
      <c r="C302" s="1">
        <v>12.1</v>
      </c>
      <c r="D302" s="1">
        <v>0</v>
      </c>
      <c r="E302" s="1"/>
    </row>
    <row r="303" spans="1:5" x14ac:dyDescent="0.25">
      <c r="A303" s="1">
        <v>2449421.5887500001</v>
      </c>
      <c r="B303" s="1" t="s">
        <v>451</v>
      </c>
      <c r="C303" s="1">
        <v>12.074999999999999</v>
      </c>
      <c r="D303" s="1">
        <v>4.7870999999999997E-2</v>
      </c>
      <c r="E303" s="1"/>
    </row>
    <row r="304" spans="1:5" x14ac:dyDescent="0.25">
      <c r="A304" s="1">
        <v>2449451.8775999998</v>
      </c>
      <c r="B304" s="1" t="s">
        <v>452</v>
      </c>
      <c r="C304" s="1">
        <v>11.98</v>
      </c>
      <c r="D304" s="1">
        <v>0.10198</v>
      </c>
      <c r="E304" s="1"/>
    </row>
    <row r="305" spans="1:5" x14ac:dyDescent="0.25">
      <c r="A305" s="1">
        <v>2449470.5547799999</v>
      </c>
      <c r="B305" s="1" t="s">
        <v>453</v>
      </c>
      <c r="C305" s="1">
        <v>11.96</v>
      </c>
      <c r="D305" s="1">
        <v>5.2068000000000003E-2</v>
      </c>
      <c r="E305" s="1"/>
    </row>
    <row r="306" spans="1:5" x14ac:dyDescent="0.25">
      <c r="A306" s="1">
        <v>2449483.2718099998</v>
      </c>
      <c r="B306" s="1" t="s">
        <v>454</v>
      </c>
      <c r="C306" s="1">
        <v>11.868421</v>
      </c>
      <c r="D306" s="1">
        <v>4.3964999999999997E-2</v>
      </c>
      <c r="E306" s="1"/>
    </row>
    <row r="307" spans="1:5" x14ac:dyDescent="0.25">
      <c r="A307" s="1">
        <v>2449503.9975000001</v>
      </c>
      <c r="B307" s="1" t="s">
        <v>103</v>
      </c>
      <c r="C307" s="1">
        <v>11.911538</v>
      </c>
      <c r="D307" s="1">
        <v>3.2499E-2</v>
      </c>
      <c r="E307" s="1"/>
    </row>
    <row r="308" spans="1:5" x14ac:dyDescent="0.25">
      <c r="A308" s="1">
        <v>2449515.2564300001</v>
      </c>
      <c r="B308" s="1" t="s">
        <v>455</v>
      </c>
      <c r="C308" s="1">
        <v>11.897273</v>
      </c>
      <c r="D308" s="1">
        <v>2.6831000000000001E-2</v>
      </c>
      <c r="E308" s="1"/>
    </row>
    <row r="309" spans="1:5" x14ac:dyDescent="0.25">
      <c r="A309" s="1">
        <v>2449532.0916900001</v>
      </c>
      <c r="B309" s="1" t="s">
        <v>456</v>
      </c>
      <c r="C309" s="1">
        <v>11.92069</v>
      </c>
      <c r="D309" s="1">
        <v>2.8240000000000001E-2</v>
      </c>
      <c r="E309" s="1"/>
    </row>
    <row r="310" spans="1:5" x14ac:dyDescent="0.25">
      <c r="A310" s="1">
        <v>2449545.4339399999</v>
      </c>
      <c r="B310" s="1" t="s">
        <v>457</v>
      </c>
      <c r="C310" s="1">
        <v>11.943725000000001</v>
      </c>
      <c r="D310" s="1">
        <v>2.1045000000000001E-2</v>
      </c>
      <c r="E310" s="1"/>
    </row>
    <row r="311" spans="1:5" x14ac:dyDescent="0.25">
      <c r="A311" s="1">
        <v>2449565.0449399999</v>
      </c>
      <c r="B311" s="1" t="s">
        <v>458</v>
      </c>
      <c r="C311" s="1">
        <v>12.058824</v>
      </c>
      <c r="D311" s="1">
        <v>5.8824000000000001E-2</v>
      </c>
      <c r="E311" s="1"/>
    </row>
    <row r="312" spans="1:5" x14ac:dyDescent="0.25">
      <c r="A312" s="1">
        <v>2449576.20658</v>
      </c>
      <c r="B312" s="1" t="s">
        <v>459</v>
      </c>
      <c r="C312" s="1">
        <v>11.997</v>
      </c>
      <c r="D312" s="1">
        <v>3.2680000000000001E-2</v>
      </c>
      <c r="E312" s="1"/>
    </row>
    <row r="313" spans="1:5" x14ac:dyDescent="0.25">
      <c r="A313" s="1">
        <v>2449593.6283800001</v>
      </c>
      <c r="B313" s="1" t="s">
        <v>460</v>
      </c>
      <c r="C313" s="1">
        <v>11.965517</v>
      </c>
      <c r="D313" s="1">
        <v>4.1898999999999999E-2</v>
      </c>
      <c r="E313" s="1"/>
    </row>
    <row r="314" spans="1:5" x14ac:dyDescent="0.25">
      <c r="A314" s="1">
        <v>2449606.1267200001</v>
      </c>
      <c r="B314" s="1" t="s">
        <v>461</v>
      </c>
      <c r="C314" s="1">
        <v>11.962069</v>
      </c>
      <c r="D314" s="1">
        <v>4.7710000000000002E-2</v>
      </c>
      <c r="E314" s="1"/>
    </row>
    <row r="315" spans="1:5" x14ac:dyDescent="0.25">
      <c r="A315" s="1">
        <v>2449624.1483</v>
      </c>
      <c r="B315" s="1" t="s">
        <v>462</v>
      </c>
      <c r="C315" s="1">
        <v>11.856522</v>
      </c>
      <c r="D315" s="1">
        <v>4.8219999999999999E-2</v>
      </c>
      <c r="E315" s="1"/>
    </row>
    <row r="316" spans="1:5" x14ac:dyDescent="0.25">
      <c r="A316" s="1">
        <v>2449637.0175800002</v>
      </c>
      <c r="B316" s="1" t="s">
        <v>463</v>
      </c>
      <c r="C316" s="1">
        <v>11.765000000000001</v>
      </c>
      <c r="D316" s="1">
        <v>5.4613000000000002E-2</v>
      </c>
      <c r="E316" s="1"/>
    </row>
    <row r="317" spans="1:5" x14ac:dyDescent="0.25">
      <c r="A317" s="1">
        <v>2449654.2429999998</v>
      </c>
      <c r="B317" s="1" t="s">
        <v>464</v>
      </c>
      <c r="C317" s="1">
        <v>11.916667</v>
      </c>
      <c r="D317" s="1">
        <v>6.9448999999999997E-2</v>
      </c>
      <c r="E317" s="1"/>
    </row>
    <row r="318" spans="1:5" x14ac:dyDescent="0.25">
      <c r="A318" s="1">
        <v>2449667.2501400001</v>
      </c>
      <c r="B318" s="1" t="s">
        <v>465</v>
      </c>
      <c r="C318" s="1">
        <v>11.971429000000001</v>
      </c>
      <c r="D318" s="1">
        <v>5.6543999999999997E-2</v>
      </c>
      <c r="E318" s="1"/>
    </row>
    <row r="319" spans="1:5" x14ac:dyDescent="0.25">
      <c r="A319" s="1">
        <v>2449687.8445000001</v>
      </c>
      <c r="B319" s="1" t="s">
        <v>466</v>
      </c>
      <c r="C319" s="1">
        <v>11.925000000000001</v>
      </c>
      <c r="D319" s="1">
        <v>4.9098999999999997E-2</v>
      </c>
      <c r="E319" s="1"/>
    </row>
    <row r="320" spans="1:5" x14ac:dyDescent="0.25">
      <c r="A320" s="1">
        <v>2449716</v>
      </c>
      <c r="B320" s="1" t="s">
        <v>104</v>
      </c>
      <c r="C320" s="1">
        <v>11.9</v>
      </c>
      <c r="D320" s="1">
        <v>0</v>
      </c>
      <c r="E320" s="1"/>
    </row>
    <row r="321" spans="1:5" x14ac:dyDescent="0.25">
      <c r="A321" s="1">
        <v>2449749.5</v>
      </c>
      <c r="B321" s="1" t="s">
        <v>467</v>
      </c>
      <c r="C321" s="1">
        <v>11.8</v>
      </c>
      <c r="D321" s="1">
        <v>0</v>
      </c>
      <c r="E321" s="1"/>
    </row>
    <row r="322" spans="1:5" x14ac:dyDescent="0.25">
      <c r="A322" s="1">
        <v>2449764.6875</v>
      </c>
      <c r="B322" s="1" t="s">
        <v>468</v>
      </c>
      <c r="C322" s="1">
        <v>11.85</v>
      </c>
      <c r="D322" s="1">
        <v>0.05</v>
      </c>
      <c r="E322" s="1"/>
    </row>
    <row r="323" spans="1:5" x14ac:dyDescent="0.25">
      <c r="A323" s="1">
        <v>2449783.2058000001</v>
      </c>
      <c r="B323" s="1" t="s">
        <v>469</v>
      </c>
      <c r="C323" s="1">
        <v>11.88</v>
      </c>
      <c r="D323" s="1">
        <v>0.106771</v>
      </c>
      <c r="E323" s="1"/>
    </row>
    <row r="324" spans="1:5" x14ac:dyDescent="0.25">
      <c r="A324" s="1">
        <v>2449805.5</v>
      </c>
      <c r="B324" s="1" t="s">
        <v>470</v>
      </c>
      <c r="C324" s="1">
        <v>11.9</v>
      </c>
      <c r="D324" s="1">
        <v>0</v>
      </c>
      <c r="E324" s="1"/>
    </row>
    <row r="325" spans="1:5" x14ac:dyDescent="0.25">
      <c r="A325" s="1">
        <v>2449816.5090000001</v>
      </c>
      <c r="B325" s="1" t="s">
        <v>471</v>
      </c>
      <c r="C325" s="1">
        <v>11.966666999999999</v>
      </c>
      <c r="D325" s="1">
        <v>3.3333000000000002E-2</v>
      </c>
      <c r="E325" s="1"/>
    </row>
    <row r="326" spans="1:5" x14ac:dyDescent="0.25">
      <c r="A326" s="1">
        <v>2449839.0033800001</v>
      </c>
      <c r="B326" s="1" t="s">
        <v>472</v>
      </c>
      <c r="C326" s="1">
        <v>11.834286000000001</v>
      </c>
      <c r="D326" s="1">
        <v>5.4768999999999998E-2</v>
      </c>
      <c r="E326" s="1"/>
    </row>
    <row r="327" spans="1:5" x14ac:dyDescent="0.25">
      <c r="A327" s="1">
        <v>2449852.38796</v>
      </c>
      <c r="B327" s="1" t="s">
        <v>473</v>
      </c>
      <c r="C327" s="1">
        <v>11.97</v>
      </c>
      <c r="D327" s="1">
        <v>6.5063999999999997E-2</v>
      </c>
      <c r="E327" s="1"/>
    </row>
    <row r="328" spans="1:5" x14ac:dyDescent="0.25">
      <c r="A328" s="1">
        <v>2449867.7689899998</v>
      </c>
      <c r="B328" s="1" t="s">
        <v>474</v>
      </c>
      <c r="C328" s="1">
        <v>11.84</v>
      </c>
      <c r="D328" s="1">
        <v>3.8633000000000001E-2</v>
      </c>
      <c r="E328" s="1"/>
    </row>
    <row r="329" spans="1:5" x14ac:dyDescent="0.25">
      <c r="A329" s="1">
        <v>2449883.8753200001</v>
      </c>
      <c r="B329" s="1" t="s">
        <v>475</v>
      </c>
      <c r="C329" s="1">
        <v>11.821052999999999</v>
      </c>
      <c r="D329" s="1">
        <v>5.5451E-2</v>
      </c>
      <c r="E329" s="1"/>
    </row>
    <row r="330" spans="1:5" x14ac:dyDescent="0.25">
      <c r="A330" s="1">
        <v>2449899.5718899998</v>
      </c>
      <c r="B330" s="1" t="s">
        <v>476</v>
      </c>
      <c r="C330" s="1">
        <v>11.764865</v>
      </c>
      <c r="D330" s="1">
        <v>3.0377000000000001E-2</v>
      </c>
      <c r="E330" s="1"/>
    </row>
    <row r="331" spans="1:5" x14ac:dyDescent="0.25">
      <c r="A331" s="1">
        <v>2449914.8485400002</v>
      </c>
      <c r="B331" s="1" t="s">
        <v>477</v>
      </c>
      <c r="C331" s="1">
        <v>11.709</v>
      </c>
      <c r="D331" s="1">
        <v>4.6503999999999997E-2</v>
      </c>
      <c r="E331" s="1"/>
    </row>
    <row r="332" spans="1:5" x14ac:dyDescent="0.25">
      <c r="A332" s="1">
        <v>2449929.0743200001</v>
      </c>
      <c r="B332" s="1" t="s">
        <v>478</v>
      </c>
      <c r="C332" s="1">
        <v>11.720769000000001</v>
      </c>
      <c r="D332" s="1">
        <v>2.5878000000000002E-2</v>
      </c>
      <c r="E332" s="1"/>
    </row>
    <row r="333" spans="1:5" x14ac:dyDescent="0.25">
      <c r="A333" s="1">
        <v>2449946.5352699999</v>
      </c>
      <c r="B333" s="1" t="s">
        <v>479</v>
      </c>
      <c r="C333" s="1">
        <v>11.761538</v>
      </c>
      <c r="D333" s="1">
        <v>3.1303999999999998E-2</v>
      </c>
      <c r="E333" s="1"/>
    </row>
    <row r="334" spans="1:5" x14ac:dyDescent="0.25">
      <c r="A334" s="1">
        <v>2449959.3681399999</v>
      </c>
      <c r="B334" s="1" t="s">
        <v>480</v>
      </c>
      <c r="C334" s="1">
        <v>11.726667000000001</v>
      </c>
      <c r="D334" s="1">
        <v>4.3400000000000001E-2</v>
      </c>
      <c r="E334" s="1"/>
    </row>
    <row r="335" spans="1:5" x14ac:dyDescent="0.25">
      <c r="A335" s="1">
        <v>2449977.3437199998</v>
      </c>
      <c r="B335" s="1" t="s">
        <v>481</v>
      </c>
      <c r="C335" s="1">
        <v>11.636364</v>
      </c>
      <c r="D335" s="1">
        <v>4.0315999999999998E-2</v>
      </c>
      <c r="E335" s="1"/>
    </row>
    <row r="336" spans="1:5" x14ac:dyDescent="0.25">
      <c r="A336" s="1">
        <v>2449991.6180400001</v>
      </c>
      <c r="B336" s="1" t="s">
        <v>482</v>
      </c>
      <c r="C336" s="1">
        <v>11.704762000000001</v>
      </c>
      <c r="D336" s="1">
        <v>3.9324999999999999E-2</v>
      </c>
      <c r="E336" s="1"/>
    </row>
    <row r="337" spans="1:5" x14ac:dyDescent="0.25">
      <c r="A337" s="1">
        <v>2450008.7714999998</v>
      </c>
      <c r="B337" s="1" t="s">
        <v>483</v>
      </c>
      <c r="C337" s="1">
        <v>11.7</v>
      </c>
      <c r="D337" s="1">
        <v>2.1527999999999999E-2</v>
      </c>
      <c r="E337" s="1"/>
    </row>
    <row r="338" spans="1:5" x14ac:dyDescent="0.25">
      <c r="A338" s="1">
        <v>2450024.5565800001</v>
      </c>
      <c r="B338" s="1" t="s">
        <v>484</v>
      </c>
      <c r="C338" s="1">
        <v>11.658823999999999</v>
      </c>
      <c r="D338" s="1">
        <v>4.4604999999999999E-2</v>
      </c>
      <c r="E338" s="1"/>
    </row>
    <row r="339" spans="1:5" x14ac:dyDescent="0.25">
      <c r="A339" s="1">
        <v>2450039.2967599998</v>
      </c>
      <c r="B339" s="1" t="s">
        <v>105</v>
      </c>
      <c r="C339" s="1">
        <v>11.642105000000001</v>
      </c>
      <c r="D339" s="1">
        <v>4.2793999999999999E-2</v>
      </c>
      <c r="E339" s="1"/>
    </row>
    <row r="340" spans="1:5" x14ac:dyDescent="0.25">
      <c r="A340" s="1">
        <v>2450054.8379799998</v>
      </c>
      <c r="B340" s="1" t="s">
        <v>485</v>
      </c>
      <c r="C340" s="1">
        <v>11.655556000000001</v>
      </c>
      <c r="D340" s="1">
        <v>3.7679999999999998E-2</v>
      </c>
      <c r="E340" s="1"/>
    </row>
    <row r="341" spans="1:5" x14ac:dyDescent="0.25">
      <c r="A341" s="1">
        <v>2450070.33183</v>
      </c>
      <c r="B341" s="1" t="s">
        <v>486</v>
      </c>
      <c r="C341" s="1">
        <v>11.785714</v>
      </c>
      <c r="D341" s="1">
        <v>2.6082000000000001E-2</v>
      </c>
      <c r="E341" s="1"/>
    </row>
    <row r="342" spans="1:5" x14ac:dyDescent="0.25">
      <c r="A342" s="1">
        <v>2450143.105</v>
      </c>
      <c r="B342" s="1" t="s">
        <v>487</v>
      </c>
      <c r="C342" s="1">
        <v>11.7</v>
      </c>
      <c r="D342" s="1">
        <v>0</v>
      </c>
      <c r="E342" s="1"/>
    </row>
    <row r="343" spans="1:5" x14ac:dyDescent="0.25">
      <c r="A343" s="1">
        <v>2450161.9027999998</v>
      </c>
      <c r="B343" s="1" t="s">
        <v>488</v>
      </c>
      <c r="C343" s="1">
        <v>11.7</v>
      </c>
      <c r="D343" s="1">
        <v>0</v>
      </c>
      <c r="E343" s="1"/>
    </row>
    <row r="344" spans="1:5" x14ac:dyDescent="0.25">
      <c r="A344" s="1">
        <v>2450181.7962600002</v>
      </c>
      <c r="B344" s="1" t="s">
        <v>489</v>
      </c>
      <c r="C344" s="1">
        <v>11.98</v>
      </c>
      <c r="D344" s="1">
        <v>0.111355</v>
      </c>
      <c r="E344" s="1"/>
    </row>
    <row r="345" spans="1:5" x14ac:dyDescent="0.25">
      <c r="A345" s="1">
        <v>2450195.3593299999</v>
      </c>
      <c r="B345" s="1" t="s">
        <v>490</v>
      </c>
      <c r="C345" s="1">
        <v>11.941667000000001</v>
      </c>
      <c r="D345" s="1">
        <v>5.8333000000000003E-2</v>
      </c>
      <c r="E345" s="1"/>
    </row>
    <row r="346" spans="1:5" x14ac:dyDescent="0.25">
      <c r="A346" s="1">
        <v>2450213.8024900001</v>
      </c>
      <c r="B346" s="1" t="s">
        <v>491</v>
      </c>
      <c r="C346" s="1">
        <v>12.035714</v>
      </c>
      <c r="D346" s="1">
        <v>4.7586999999999997E-2</v>
      </c>
      <c r="E346" s="1"/>
    </row>
    <row r="347" spans="1:5" x14ac:dyDescent="0.25">
      <c r="A347" s="1">
        <v>2450229.4047099999</v>
      </c>
      <c r="B347" s="1" t="s">
        <v>492</v>
      </c>
      <c r="C347" s="1">
        <v>11.876189999999999</v>
      </c>
      <c r="D347" s="1">
        <v>4.4134E-2</v>
      </c>
      <c r="E347" s="1"/>
    </row>
    <row r="348" spans="1:5" x14ac:dyDescent="0.25">
      <c r="A348" s="1">
        <v>2450247.6849600002</v>
      </c>
      <c r="B348" s="1" t="s">
        <v>493</v>
      </c>
      <c r="C348" s="1">
        <v>11.974615</v>
      </c>
      <c r="D348" s="1">
        <v>3.3384999999999998E-2</v>
      </c>
      <c r="E348" s="1"/>
    </row>
    <row r="349" spans="1:5" x14ac:dyDescent="0.25">
      <c r="A349" s="1">
        <v>2450264.5467699999</v>
      </c>
      <c r="B349" s="1" t="s">
        <v>494</v>
      </c>
      <c r="C349" s="1">
        <v>12.018750000000001</v>
      </c>
      <c r="D349" s="1">
        <v>3.7879999999999997E-2</v>
      </c>
      <c r="E349" s="1"/>
    </row>
    <row r="350" spans="1:5" x14ac:dyDescent="0.25">
      <c r="A350" s="1">
        <v>2450279.6271299999</v>
      </c>
      <c r="B350" s="1" t="s">
        <v>106</v>
      </c>
      <c r="C350" s="1">
        <v>11.893750000000001</v>
      </c>
      <c r="D350" s="1">
        <v>2.6405999999999999E-2</v>
      </c>
      <c r="E350" s="1"/>
    </row>
    <row r="351" spans="1:5" x14ac:dyDescent="0.25">
      <c r="A351" s="1">
        <v>2450295.7710199999</v>
      </c>
      <c r="B351" s="1" t="s">
        <v>495</v>
      </c>
      <c r="C351" s="1">
        <v>11.937692</v>
      </c>
      <c r="D351" s="1">
        <v>3.5570999999999998E-2</v>
      </c>
      <c r="E351" s="1"/>
    </row>
    <row r="352" spans="1:5" x14ac:dyDescent="0.25">
      <c r="A352" s="1">
        <v>2450310.8512800001</v>
      </c>
      <c r="B352" s="1" t="s">
        <v>496</v>
      </c>
      <c r="C352" s="1">
        <v>11.881667</v>
      </c>
      <c r="D352" s="1">
        <v>2.9621999999999999E-2</v>
      </c>
      <c r="E352" s="1"/>
    </row>
    <row r="353" spans="1:5" x14ac:dyDescent="0.25">
      <c r="A353" s="1">
        <v>2450326.30443</v>
      </c>
      <c r="B353" s="1" t="s">
        <v>497</v>
      </c>
      <c r="C353" s="1">
        <v>11.871428999999999</v>
      </c>
      <c r="D353" s="1">
        <v>5.2861999999999999E-2</v>
      </c>
      <c r="E353" s="1"/>
    </row>
    <row r="354" spans="1:5" x14ac:dyDescent="0.25">
      <c r="A354" s="1">
        <v>2450341.63974</v>
      </c>
      <c r="B354" s="1" t="s">
        <v>498</v>
      </c>
      <c r="C354" s="1">
        <v>11.914211</v>
      </c>
      <c r="D354" s="1">
        <v>2.5492999999999998E-2</v>
      </c>
      <c r="E354" s="1"/>
    </row>
    <row r="355" spans="1:5" x14ac:dyDescent="0.25">
      <c r="A355" s="1">
        <v>2450360.77679</v>
      </c>
      <c r="B355" s="1" t="s">
        <v>499</v>
      </c>
      <c r="C355" s="1">
        <v>11.791499999999999</v>
      </c>
      <c r="D355" s="1">
        <v>4.1404999999999997E-2</v>
      </c>
      <c r="E355" s="1"/>
    </row>
    <row r="356" spans="1:5" x14ac:dyDescent="0.25">
      <c r="A356" s="1">
        <v>2450371.8578499998</v>
      </c>
      <c r="B356" s="1" t="s">
        <v>500</v>
      </c>
      <c r="C356" s="1">
        <v>11.775862</v>
      </c>
      <c r="D356" s="1">
        <v>3.2412999999999997E-2</v>
      </c>
      <c r="E356" s="1"/>
    </row>
    <row r="357" spans="1:5" x14ac:dyDescent="0.25">
      <c r="A357" s="1">
        <v>2450389.9766699998</v>
      </c>
      <c r="B357" s="1" t="s">
        <v>501</v>
      </c>
      <c r="C357" s="1">
        <v>11.775</v>
      </c>
      <c r="D357" s="1">
        <v>5.7898999999999999E-2</v>
      </c>
      <c r="E357" s="1"/>
    </row>
    <row r="358" spans="1:5" x14ac:dyDescent="0.25">
      <c r="A358" s="1">
        <v>2450401.9240600001</v>
      </c>
      <c r="B358" s="1" t="s">
        <v>502</v>
      </c>
      <c r="C358" s="1">
        <v>11.721052999999999</v>
      </c>
      <c r="D358" s="1">
        <v>4.7497999999999999E-2</v>
      </c>
      <c r="E358" s="1"/>
    </row>
    <row r="359" spans="1:5" x14ac:dyDescent="0.25">
      <c r="A359" s="1">
        <v>2450425.3560799998</v>
      </c>
      <c r="B359" s="1" t="s">
        <v>503</v>
      </c>
      <c r="C359" s="1">
        <v>11.7875</v>
      </c>
      <c r="D359" s="1">
        <v>5.8056000000000003E-2</v>
      </c>
      <c r="E359" s="1"/>
    </row>
    <row r="360" spans="1:5" x14ac:dyDescent="0.25">
      <c r="A360" s="1">
        <v>2450445.19997</v>
      </c>
      <c r="B360" s="1" t="s">
        <v>504</v>
      </c>
      <c r="C360" s="1">
        <v>11.833333</v>
      </c>
      <c r="D360" s="1">
        <v>3.3333000000000002E-2</v>
      </c>
      <c r="E360" s="1"/>
    </row>
    <row r="361" spans="1:5" x14ac:dyDescent="0.25">
      <c r="A361" s="1">
        <v>2450458.3509999998</v>
      </c>
      <c r="B361" s="1" t="s">
        <v>505</v>
      </c>
      <c r="C361" s="1">
        <v>11.85</v>
      </c>
      <c r="D361" s="1">
        <v>0.05</v>
      </c>
      <c r="E361" s="1"/>
    </row>
    <row r="362" spans="1:5" x14ac:dyDescent="0.25">
      <c r="A362" s="1">
        <v>2450481.5499999998</v>
      </c>
      <c r="B362" s="1" t="s">
        <v>506</v>
      </c>
      <c r="C362" s="1">
        <v>11.8</v>
      </c>
      <c r="D362" s="1">
        <v>0</v>
      </c>
      <c r="E362" s="1"/>
    </row>
    <row r="363" spans="1:5" x14ac:dyDescent="0.25">
      <c r="A363" s="1">
        <v>2450510.2740000002</v>
      </c>
      <c r="B363" s="1" t="s">
        <v>107</v>
      </c>
      <c r="C363" s="1">
        <v>12</v>
      </c>
      <c r="D363" s="1">
        <v>0.1</v>
      </c>
      <c r="E363" s="1"/>
    </row>
    <row r="364" spans="1:5" x14ac:dyDescent="0.25">
      <c r="A364" s="1">
        <v>2450518.3927500001</v>
      </c>
      <c r="B364" s="1" t="s">
        <v>507</v>
      </c>
      <c r="C364" s="1">
        <v>11.875</v>
      </c>
      <c r="D364" s="1">
        <v>4.7870999999999997E-2</v>
      </c>
      <c r="E364" s="1"/>
    </row>
    <row r="365" spans="1:5" x14ac:dyDescent="0.25">
      <c r="A365" s="1">
        <v>2450540.3876700001</v>
      </c>
      <c r="B365" s="1" t="s">
        <v>508</v>
      </c>
      <c r="C365" s="1">
        <v>11.933332999999999</v>
      </c>
      <c r="D365" s="1">
        <v>4.2164E-2</v>
      </c>
      <c r="E365" s="1"/>
    </row>
    <row r="366" spans="1:5" x14ac:dyDescent="0.25">
      <c r="A366" s="1">
        <v>2450553.5532</v>
      </c>
      <c r="B366" s="1" t="s">
        <v>509</v>
      </c>
      <c r="C366" s="1">
        <v>12.06</v>
      </c>
      <c r="D366" s="1">
        <v>2.4494999999999999E-2</v>
      </c>
      <c r="E366" s="1"/>
    </row>
    <row r="367" spans="1:5" x14ac:dyDescent="0.25">
      <c r="A367" s="1">
        <v>2450572.2825500001</v>
      </c>
      <c r="B367" s="1" t="s">
        <v>510</v>
      </c>
      <c r="C367" s="1">
        <v>11.93</v>
      </c>
      <c r="D367" s="1">
        <v>5.5877000000000003E-2</v>
      </c>
      <c r="E367" s="1"/>
    </row>
    <row r="368" spans="1:5" x14ac:dyDescent="0.25">
      <c r="A368" s="1">
        <v>2450584.8694000002</v>
      </c>
      <c r="B368" s="1" t="s">
        <v>511</v>
      </c>
      <c r="C368" s="1">
        <v>11.99</v>
      </c>
      <c r="D368" s="1">
        <v>4.3333000000000003E-2</v>
      </c>
      <c r="E368" s="1"/>
    </row>
    <row r="369" spans="1:5" x14ac:dyDescent="0.25">
      <c r="A369" s="1">
        <v>2450600.6345199998</v>
      </c>
      <c r="B369" s="1" t="s">
        <v>512</v>
      </c>
      <c r="C369" s="1">
        <v>11.911111</v>
      </c>
      <c r="D369" s="1">
        <v>4.1134999999999998E-2</v>
      </c>
      <c r="E369" s="1"/>
    </row>
    <row r="370" spans="1:5" x14ac:dyDescent="0.25">
      <c r="A370" s="1">
        <v>2450620.1834</v>
      </c>
      <c r="B370" s="1" t="s">
        <v>513</v>
      </c>
      <c r="C370" s="1">
        <v>11.877777999999999</v>
      </c>
      <c r="D370" s="1">
        <v>5.4716000000000001E-2</v>
      </c>
      <c r="E370" s="1"/>
    </row>
    <row r="371" spans="1:5" x14ac:dyDescent="0.25">
      <c r="A371" s="1">
        <v>2450638.2340000002</v>
      </c>
      <c r="B371" s="1" t="s">
        <v>514</v>
      </c>
      <c r="C371" s="1">
        <v>11.871667</v>
      </c>
      <c r="D371" s="1">
        <v>4.6661000000000001E-2</v>
      </c>
      <c r="E371" s="1"/>
    </row>
    <row r="372" spans="1:5" x14ac:dyDescent="0.25">
      <c r="A372" s="1">
        <v>2450652.9985799999</v>
      </c>
      <c r="B372" s="1" t="s">
        <v>515</v>
      </c>
      <c r="C372" s="1">
        <v>11.954762000000001</v>
      </c>
      <c r="D372" s="1">
        <v>4.0364999999999998E-2</v>
      </c>
      <c r="E372" s="1"/>
    </row>
    <row r="373" spans="1:5" x14ac:dyDescent="0.25">
      <c r="A373" s="1">
        <v>2450669.6431499999</v>
      </c>
      <c r="B373" s="1" t="s">
        <v>516</v>
      </c>
      <c r="C373" s="1">
        <v>11.936999999999999</v>
      </c>
      <c r="D373" s="1">
        <v>4.3914000000000002E-2</v>
      </c>
      <c r="E373" s="1"/>
    </row>
    <row r="374" spans="1:5" x14ac:dyDescent="0.25">
      <c r="A374" s="1">
        <v>2450685.56697</v>
      </c>
      <c r="B374" s="1" t="s">
        <v>108</v>
      </c>
      <c r="C374" s="1">
        <v>11.92</v>
      </c>
      <c r="D374" s="1">
        <v>5.3332999999999998E-2</v>
      </c>
      <c r="E374" s="1"/>
    </row>
    <row r="375" spans="1:5" x14ac:dyDescent="0.25">
      <c r="A375" s="1">
        <v>2450700.2734099999</v>
      </c>
      <c r="B375" s="1" t="s">
        <v>517</v>
      </c>
      <c r="C375" s="1">
        <v>12.032353000000001</v>
      </c>
      <c r="D375" s="1">
        <v>3.347E-2</v>
      </c>
      <c r="E375" s="1"/>
    </row>
    <row r="376" spans="1:5" x14ac:dyDescent="0.25">
      <c r="A376" s="1">
        <v>2450718.3722100002</v>
      </c>
      <c r="B376" s="1" t="s">
        <v>518</v>
      </c>
      <c r="C376" s="1">
        <v>11.905263</v>
      </c>
      <c r="D376" s="1">
        <v>3.7830999999999997E-2</v>
      </c>
      <c r="E376" s="1"/>
    </row>
    <row r="377" spans="1:5" x14ac:dyDescent="0.25">
      <c r="A377" s="1">
        <v>2450734.0504600001</v>
      </c>
      <c r="B377" s="1" t="s">
        <v>519</v>
      </c>
      <c r="C377" s="1">
        <v>11.884615</v>
      </c>
      <c r="D377" s="1">
        <v>5.2921999999999997E-2</v>
      </c>
      <c r="E377" s="1"/>
    </row>
    <row r="378" spans="1:5" x14ac:dyDescent="0.25">
      <c r="A378" s="1">
        <v>2450749.5259099999</v>
      </c>
      <c r="B378" s="1" t="s">
        <v>520</v>
      </c>
      <c r="C378" s="1">
        <v>11.88</v>
      </c>
      <c r="D378" s="1">
        <v>4.0825E-2</v>
      </c>
      <c r="E378" s="1"/>
    </row>
    <row r="379" spans="1:5" x14ac:dyDescent="0.25">
      <c r="A379" s="1">
        <v>2450769.0619299999</v>
      </c>
      <c r="B379" s="1" t="s">
        <v>521</v>
      </c>
      <c r="C379" s="1">
        <v>11.958333</v>
      </c>
      <c r="D379" s="1">
        <v>3.7856000000000001E-2</v>
      </c>
      <c r="E379" s="1"/>
    </row>
    <row r="380" spans="1:5" x14ac:dyDescent="0.25">
      <c r="A380" s="1">
        <v>2450783.7423299998</v>
      </c>
      <c r="B380" s="1" t="s">
        <v>522</v>
      </c>
      <c r="C380" s="1">
        <v>12.033333000000001</v>
      </c>
      <c r="D380" s="1">
        <v>3.3333000000000002E-2</v>
      </c>
      <c r="E380" s="1"/>
    </row>
    <row r="381" spans="1:5" x14ac:dyDescent="0.25">
      <c r="A381" s="1">
        <v>2450806.5559999999</v>
      </c>
      <c r="B381" s="1" t="s">
        <v>523</v>
      </c>
      <c r="C381" s="1">
        <v>11.9</v>
      </c>
      <c r="D381" s="1">
        <v>0.1</v>
      </c>
      <c r="E381" s="1"/>
    </row>
    <row r="382" spans="1:5" x14ac:dyDescent="0.25">
      <c r="A382" s="1">
        <v>2450842.5989999999</v>
      </c>
      <c r="B382" s="1" t="s">
        <v>109</v>
      </c>
      <c r="C382" s="1">
        <v>11.9</v>
      </c>
      <c r="D382" s="1">
        <v>0</v>
      </c>
      <c r="E382" s="1"/>
    </row>
    <row r="383" spans="1:5" x14ac:dyDescent="0.25">
      <c r="A383" s="1">
        <v>2450866.6889999998</v>
      </c>
      <c r="B383" s="1" t="s">
        <v>524</v>
      </c>
      <c r="C383" s="1">
        <v>12.2</v>
      </c>
      <c r="D383" s="1">
        <v>0</v>
      </c>
      <c r="E383" s="1"/>
    </row>
    <row r="384" spans="1:5" x14ac:dyDescent="0.25">
      <c r="A384" s="1">
        <v>2450878.6423300002</v>
      </c>
      <c r="B384" s="1" t="s">
        <v>525</v>
      </c>
      <c r="C384" s="1">
        <v>11.9</v>
      </c>
      <c r="D384" s="1">
        <v>5.7735000000000002E-2</v>
      </c>
      <c r="E384" s="1"/>
    </row>
    <row r="385" spans="1:5" x14ac:dyDescent="0.25">
      <c r="A385" s="1">
        <v>2450898.1455000001</v>
      </c>
      <c r="B385" s="1" t="s">
        <v>526</v>
      </c>
      <c r="C385" s="1">
        <v>11.85</v>
      </c>
      <c r="D385" s="1">
        <v>0.15</v>
      </c>
      <c r="E385" s="1"/>
    </row>
    <row r="386" spans="1:5" x14ac:dyDescent="0.25">
      <c r="A386" s="1">
        <v>2450915.87347</v>
      </c>
      <c r="B386" s="1" t="s">
        <v>110</v>
      </c>
      <c r="C386" s="1">
        <v>12</v>
      </c>
      <c r="D386" s="1">
        <v>5.7735000000000002E-2</v>
      </c>
      <c r="E386" s="1"/>
    </row>
    <row r="387" spans="1:5" x14ac:dyDescent="0.25">
      <c r="A387" s="1">
        <v>2450930.9797800002</v>
      </c>
      <c r="B387" s="1" t="s">
        <v>111</v>
      </c>
      <c r="C387" s="1">
        <v>12.06</v>
      </c>
      <c r="D387" s="1">
        <v>0.116619</v>
      </c>
      <c r="E387" s="1"/>
    </row>
    <row r="388" spans="1:5" x14ac:dyDescent="0.25">
      <c r="A388" s="1">
        <v>2450949.3406000002</v>
      </c>
      <c r="B388" s="1" t="s">
        <v>527</v>
      </c>
      <c r="C388" s="1">
        <v>11.98</v>
      </c>
      <c r="D388" s="1">
        <v>7.3484999999999995E-2</v>
      </c>
      <c r="E388" s="1"/>
    </row>
    <row r="389" spans="1:5" x14ac:dyDescent="0.25">
      <c r="A389" s="1">
        <v>2450963.2923300001</v>
      </c>
      <c r="B389" s="1" t="s">
        <v>528</v>
      </c>
      <c r="C389" s="1">
        <v>11.944444000000001</v>
      </c>
      <c r="D389" s="1">
        <v>5.5556000000000001E-2</v>
      </c>
      <c r="E389" s="1"/>
    </row>
    <row r="390" spans="1:5" x14ac:dyDescent="0.25">
      <c r="A390" s="1">
        <v>2450980.6235799999</v>
      </c>
      <c r="B390" s="1" t="s">
        <v>529</v>
      </c>
      <c r="C390" s="1">
        <v>11.9</v>
      </c>
      <c r="D390" s="1">
        <v>6.3960000000000003E-2</v>
      </c>
      <c r="E390" s="1"/>
    </row>
    <row r="391" spans="1:5" x14ac:dyDescent="0.25">
      <c r="A391" s="1">
        <v>2450997.91475</v>
      </c>
      <c r="B391" s="1" t="s">
        <v>530</v>
      </c>
      <c r="C391" s="1">
        <v>11.958333</v>
      </c>
      <c r="D391" s="1">
        <v>6.3314999999999996E-2</v>
      </c>
      <c r="E391" s="1"/>
    </row>
    <row r="392" spans="1:5" x14ac:dyDescent="0.25">
      <c r="A392" s="1">
        <v>2451014.5462799999</v>
      </c>
      <c r="B392" s="1" t="s">
        <v>531</v>
      </c>
      <c r="C392" s="1">
        <v>11.956</v>
      </c>
      <c r="D392" s="1">
        <v>4.0856999999999997E-2</v>
      </c>
      <c r="E392" s="1"/>
    </row>
    <row r="393" spans="1:5" x14ac:dyDescent="0.25">
      <c r="A393" s="1">
        <v>2451032.8462200002</v>
      </c>
      <c r="B393" s="1" t="s">
        <v>532</v>
      </c>
      <c r="C393" s="1">
        <v>11.925000000000001</v>
      </c>
      <c r="D393" s="1">
        <v>5.3619E-2</v>
      </c>
      <c r="E393" s="1"/>
    </row>
    <row r="394" spans="1:5" x14ac:dyDescent="0.25">
      <c r="A394" s="1">
        <v>2451049.1614600001</v>
      </c>
      <c r="B394" s="1" t="s">
        <v>533</v>
      </c>
      <c r="C394" s="1">
        <v>11.887499999999999</v>
      </c>
      <c r="D394" s="1">
        <v>3.0876000000000001E-2</v>
      </c>
      <c r="E394" s="1"/>
    </row>
    <row r="395" spans="1:5" x14ac:dyDescent="0.25">
      <c r="A395" s="1">
        <v>2451065.4970900002</v>
      </c>
      <c r="B395" s="1" t="s">
        <v>534</v>
      </c>
      <c r="C395" s="1">
        <v>11.9375</v>
      </c>
      <c r="D395" s="1">
        <v>6.25E-2</v>
      </c>
      <c r="E395" s="1"/>
    </row>
    <row r="396" spans="1:5" x14ac:dyDescent="0.25">
      <c r="A396" s="1">
        <v>2451080.0790499998</v>
      </c>
      <c r="B396" s="1" t="s">
        <v>535</v>
      </c>
      <c r="C396" s="1">
        <v>11.7</v>
      </c>
      <c r="D396" s="1">
        <v>5.7208000000000002E-2</v>
      </c>
      <c r="E396" s="1"/>
    </row>
    <row r="397" spans="1:5" x14ac:dyDescent="0.25">
      <c r="A397" s="1">
        <v>2451103.2801100002</v>
      </c>
      <c r="B397" s="1" t="s">
        <v>536</v>
      </c>
      <c r="C397" s="1">
        <v>11.871428999999999</v>
      </c>
      <c r="D397" s="1">
        <v>5.6867000000000001E-2</v>
      </c>
      <c r="E397" s="1"/>
    </row>
    <row r="398" spans="1:5" x14ac:dyDescent="0.25">
      <c r="A398" s="1">
        <v>2451116.8012199998</v>
      </c>
      <c r="B398" s="1" t="s">
        <v>537</v>
      </c>
      <c r="C398" s="1">
        <v>11.94</v>
      </c>
      <c r="D398" s="1">
        <v>8.1240000000000007E-2</v>
      </c>
      <c r="E398" s="1"/>
    </row>
    <row r="399" spans="1:5" x14ac:dyDescent="0.25">
      <c r="A399" s="1">
        <v>2451131.4153300002</v>
      </c>
      <c r="B399" s="1" t="s">
        <v>538</v>
      </c>
      <c r="C399" s="1">
        <v>11.933332999999999</v>
      </c>
      <c r="D399" s="1">
        <v>8.8192000000000006E-2</v>
      </c>
      <c r="E399" s="1"/>
    </row>
    <row r="400" spans="1:5" x14ac:dyDescent="0.25">
      <c r="A400" s="1">
        <v>2451161</v>
      </c>
      <c r="B400" s="1" t="s">
        <v>539</v>
      </c>
      <c r="C400" s="1">
        <v>11.6</v>
      </c>
      <c r="D400" s="1">
        <v>0.1</v>
      </c>
      <c r="E400" s="1"/>
    </row>
    <row r="401" spans="1:5" x14ac:dyDescent="0.25">
      <c r="A401" s="1">
        <v>2451209.7999999998</v>
      </c>
      <c r="B401" s="1" t="s">
        <v>540</v>
      </c>
      <c r="C401" s="1">
        <v>11.3</v>
      </c>
      <c r="D401" s="1">
        <v>0</v>
      </c>
      <c r="E401" s="1"/>
    </row>
    <row r="402" spans="1:5" x14ac:dyDescent="0.25">
      <c r="A402" s="1">
        <v>2451232.7000000002</v>
      </c>
      <c r="B402" s="1" t="s">
        <v>541</v>
      </c>
      <c r="C402" s="1">
        <v>11.3</v>
      </c>
      <c r="D402" s="1">
        <v>0</v>
      </c>
      <c r="E402" s="1"/>
    </row>
    <row r="403" spans="1:5" x14ac:dyDescent="0.25">
      <c r="A403" s="1">
        <v>2451251.6189999999</v>
      </c>
      <c r="B403" s="1" t="s">
        <v>542</v>
      </c>
      <c r="C403" s="1">
        <v>12.4</v>
      </c>
      <c r="D403" s="1">
        <v>0</v>
      </c>
      <c r="E403" s="1"/>
    </row>
    <row r="404" spans="1:5" x14ac:dyDescent="0.25">
      <c r="A404" s="1">
        <v>2451277.0835000002</v>
      </c>
      <c r="B404" s="1" t="s">
        <v>543</v>
      </c>
      <c r="C404" s="1">
        <v>11.75</v>
      </c>
      <c r="D404" s="1">
        <v>0.15</v>
      </c>
      <c r="E404" s="1"/>
    </row>
    <row r="405" spans="1:5" x14ac:dyDescent="0.25">
      <c r="A405" s="1">
        <v>2451295.5554999998</v>
      </c>
      <c r="B405" s="1" t="s">
        <v>112</v>
      </c>
      <c r="C405" s="1">
        <v>11.824999999999999</v>
      </c>
      <c r="D405" s="1">
        <v>7.4999999999999997E-2</v>
      </c>
      <c r="E405" s="1"/>
    </row>
    <row r="406" spans="1:5" x14ac:dyDescent="0.25">
      <c r="A406" s="1">
        <v>2451314.1894999999</v>
      </c>
      <c r="B406" s="1" t="s">
        <v>544</v>
      </c>
      <c r="C406" s="1">
        <v>11.95</v>
      </c>
      <c r="D406" s="1">
        <v>2.6726E-2</v>
      </c>
      <c r="E406" s="1"/>
    </row>
    <row r="407" spans="1:5" x14ac:dyDescent="0.25">
      <c r="A407" s="1">
        <v>2451329.7313299999</v>
      </c>
      <c r="B407" s="1" t="s">
        <v>545</v>
      </c>
      <c r="C407" s="1">
        <v>11.922222</v>
      </c>
      <c r="D407" s="1">
        <v>6.1864000000000002E-2</v>
      </c>
      <c r="E407" s="1"/>
    </row>
    <row r="408" spans="1:5" x14ac:dyDescent="0.25">
      <c r="A408" s="1">
        <v>2451345.1396699999</v>
      </c>
      <c r="B408" s="1" t="s">
        <v>546</v>
      </c>
      <c r="C408" s="1">
        <v>12.04</v>
      </c>
      <c r="D408" s="1">
        <v>4.3424999999999998E-2</v>
      </c>
      <c r="E408" s="1"/>
    </row>
    <row r="409" spans="1:5" x14ac:dyDescent="0.25">
      <c r="A409" s="1">
        <v>2451368.50342</v>
      </c>
      <c r="B409" s="1" t="s">
        <v>547</v>
      </c>
      <c r="C409" s="1">
        <v>12.006667</v>
      </c>
      <c r="D409" s="1">
        <v>3.1572999999999997E-2</v>
      </c>
      <c r="E409" s="1"/>
    </row>
    <row r="410" spans="1:5" x14ac:dyDescent="0.25">
      <c r="A410" s="1">
        <v>2451382.0006300001</v>
      </c>
      <c r="B410" s="1" t="s">
        <v>548</v>
      </c>
      <c r="C410" s="1">
        <v>11.94375</v>
      </c>
      <c r="D410" s="1">
        <v>4.3749999999999997E-2</v>
      </c>
      <c r="E410" s="1"/>
    </row>
    <row r="411" spans="1:5" x14ac:dyDescent="0.25">
      <c r="A411" s="1">
        <v>2451399.5117899999</v>
      </c>
      <c r="B411" s="1" t="s">
        <v>549</v>
      </c>
      <c r="C411" s="1">
        <v>11.785</v>
      </c>
      <c r="D411" s="1">
        <v>3.5743999999999998E-2</v>
      </c>
      <c r="E411" s="1"/>
    </row>
    <row r="412" spans="1:5" x14ac:dyDescent="0.25">
      <c r="A412" s="1">
        <v>2451412.5420200001</v>
      </c>
      <c r="B412" s="1" t="s">
        <v>550</v>
      </c>
      <c r="C412" s="1">
        <v>11.833333</v>
      </c>
      <c r="D412" s="1">
        <v>4.6836999999999997E-2</v>
      </c>
      <c r="E412" s="1"/>
    </row>
    <row r="413" spans="1:5" x14ac:dyDescent="0.25">
      <c r="A413" s="1">
        <v>2451429.6211999999</v>
      </c>
      <c r="B413" s="1" t="s">
        <v>551</v>
      </c>
      <c r="C413" s="1">
        <v>11.72963</v>
      </c>
      <c r="D413" s="1">
        <v>3.6128E-2</v>
      </c>
      <c r="E413" s="1"/>
    </row>
    <row r="414" spans="1:5" x14ac:dyDescent="0.25">
      <c r="A414" s="1">
        <v>2451442.3646499999</v>
      </c>
      <c r="B414" s="1" t="s">
        <v>552</v>
      </c>
      <c r="C414" s="1">
        <v>11.8</v>
      </c>
      <c r="D414" s="1">
        <v>4.2986000000000003E-2</v>
      </c>
      <c r="E414" s="1"/>
    </row>
    <row r="415" spans="1:5" x14ac:dyDescent="0.25">
      <c r="A415" s="1">
        <v>2451459.1671000002</v>
      </c>
      <c r="B415" s="1" t="s">
        <v>553</v>
      </c>
      <c r="C415" s="1">
        <v>11.745455</v>
      </c>
      <c r="D415" s="1">
        <v>4.6397000000000001E-2</v>
      </c>
      <c r="E415" s="1"/>
    </row>
    <row r="416" spans="1:5" x14ac:dyDescent="0.25">
      <c r="A416" s="1">
        <v>2451471.97719</v>
      </c>
      <c r="B416" s="1" t="s">
        <v>554</v>
      </c>
      <c r="C416" s="1">
        <v>11.74375</v>
      </c>
      <c r="D416" s="1">
        <v>6.4530000000000004E-2</v>
      </c>
      <c r="E416" s="1"/>
    </row>
    <row r="417" spans="1:5" x14ac:dyDescent="0.25">
      <c r="A417" s="1">
        <v>2451488.2694199998</v>
      </c>
      <c r="B417" s="1" t="s">
        <v>555</v>
      </c>
      <c r="C417" s="1">
        <v>11.85</v>
      </c>
      <c r="D417" s="1">
        <v>7.1879999999999999E-2</v>
      </c>
      <c r="E417" s="1"/>
    </row>
    <row r="418" spans="1:5" x14ac:dyDescent="0.25">
      <c r="A418" s="1">
        <v>2451504.7590000001</v>
      </c>
      <c r="B418" s="1" t="s">
        <v>556</v>
      </c>
      <c r="C418" s="1">
        <v>11.88</v>
      </c>
      <c r="D418" s="1">
        <v>0.124097</v>
      </c>
      <c r="E418" s="1"/>
    </row>
    <row r="419" spans="1:5" x14ac:dyDescent="0.25">
      <c r="A419" s="1">
        <v>2451519.8464000002</v>
      </c>
      <c r="B419" s="1" t="s">
        <v>557</v>
      </c>
      <c r="C419" s="1">
        <v>11.96</v>
      </c>
      <c r="D419" s="1">
        <v>0.04</v>
      </c>
      <c r="E419" s="1"/>
    </row>
    <row r="420" spans="1:5" x14ac:dyDescent="0.25">
      <c r="A420" s="1">
        <v>2451530.5</v>
      </c>
      <c r="B420" s="1" t="s">
        <v>558</v>
      </c>
      <c r="C420" s="1">
        <v>11.9</v>
      </c>
      <c r="D420" s="1">
        <v>0</v>
      </c>
      <c r="E420" s="1"/>
    </row>
    <row r="421" spans="1:5" x14ac:dyDescent="0.25">
      <c r="A421" s="1">
        <v>2451560.7000000002</v>
      </c>
      <c r="B421" s="1" t="s">
        <v>559</v>
      </c>
      <c r="C421" s="1">
        <v>11.8</v>
      </c>
      <c r="D421" s="1">
        <v>0</v>
      </c>
      <c r="E421" s="1"/>
    </row>
    <row r="422" spans="1:5" x14ac:dyDescent="0.25">
      <c r="A422" s="1">
        <v>2451579.4409699999</v>
      </c>
      <c r="B422" s="1" t="s">
        <v>560</v>
      </c>
      <c r="C422" s="1">
        <v>11.766667</v>
      </c>
      <c r="D422" s="1">
        <v>3.3333000000000002E-2</v>
      </c>
      <c r="E422" s="1"/>
    </row>
    <row r="423" spans="1:5" x14ac:dyDescent="0.25">
      <c r="A423" s="1">
        <v>2451611.9288599999</v>
      </c>
      <c r="B423" s="1" t="s">
        <v>561</v>
      </c>
      <c r="C423" s="1">
        <v>11.84</v>
      </c>
      <c r="D423" s="1">
        <v>9.2735999999999999E-2</v>
      </c>
      <c r="E423" s="1"/>
    </row>
    <row r="424" spans="1:5" x14ac:dyDescent="0.25">
      <c r="A424" s="1">
        <v>2451634.57571</v>
      </c>
      <c r="B424" s="1" t="s">
        <v>562</v>
      </c>
      <c r="C424" s="1">
        <v>11.885714</v>
      </c>
      <c r="D424" s="1">
        <v>7.0470000000000005E-2</v>
      </c>
      <c r="E424" s="1"/>
    </row>
    <row r="425" spans="1:5" x14ac:dyDescent="0.25">
      <c r="A425" s="1">
        <v>2451650.9952699998</v>
      </c>
      <c r="B425" s="1" t="s">
        <v>563</v>
      </c>
      <c r="C425" s="1">
        <v>11.6</v>
      </c>
      <c r="D425" s="1">
        <v>0.152753</v>
      </c>
      <c r="E425" s="1"/>
    </row>
    <row r="426" spans="1:5" x14ac:dyDescent="0.25">
      <c r="A426" s="1">
        <v>2451667.1876099999</v>
      </c>
      <c r="B426" s="1" t="s">
        <v>564</v>
      </c>
      <c r="C426" s="1">
        <v>11.73</v>
      </c>
      <c r="D426" s="1">
        <v>9.8938999999999999E-2</v>
      </c>
      <c r="E426" s="1"/>
    </row>
    <row r="427" spans="1:5" x14ac:dyDescent="0.25">
      <c r="A427" s="1">
        <v>2451686.2907699998</v>
      </c>
      <c r="B427" s="1" t="s">
        <v>565</v>
      </c>
      <c r="C427" s="1">
        <v>11.844443999999999</v>
      </c>
      <c r="D427" s="1">
        <v>9.8757999999999999E-2</v>
      </c>
      <c r="E427" s="1"/>
    </row>
    <row r="428" spans="1:5" x14ac:dyDescent="0.25">
      <c r="A428" s="1">
        <v>2451700.1374400002</v>
      </c>
      <c r="B428" s="1" t="s">
        <v>566</v>
      </c>
      <c r="C428" s="1">
        <v>11.7</v>
      </c>
      <c r="D428" s="1">
        <v>7.6795000000000002E-2</v>
      </c>
      <c r="E428" s="1"/>
    </row>
    <row r="429" spans="1:5" x14ac:dyDescent="0.25">
      <c r="A429" s="1">
        <v>2451719.0367800002</v>
      </c>
      <c r="B429" s="1" t="s">
        <v>567</v>
      </c>
      <c r="C429" s="1">
        <v>11.742105</v>
      </c>
      <c r="D429" s="1">
        <v>6.2274999999999997E-2</v>
      </c>
      <c r="E429" s="1"/>
    </row>
    <row r="430" spans="1:5" x14ac:dyDescent="0.25">
      <c r="A430" s="1">
        <v>2451735.4171699998</v>
      </c>
      <c r="B430" s="1" t="s">
        <v>568</v>
      </c>
      <c r="C430" s="1">
        <v>11.82</v>
      </c>
      <c r="D430" s="1">
        <v>7.3160000000000003E-2</v>
      </c>
      <c r="E430" s="1"/>
    </row>
    <row r="431" spans="1:5" x14ac:dyDescent="0.25">
      <c r="A431" s="1">
        <v>2451751.0923299999</v>
      </c>
      <c r="B431" s="1" t="s">
        <v>569</v>
      </c>
      <c r="C431" s="1">
        <v>11.9</v>
      </c>
      <c r="D431" s="1">
        <v>5.4302000000000003E-2</v>
      </c>
      <c r="E431" s="1"/>
    </row>
    <row r="432" spans="1:5" x14ac:dyDescent="0.25">
      <c r="A432" s="1">
        <v>2451765.0261599999</v>
      </c>
      <c r="B432" s="1" t="s">
        <v>570</v>
      </c>
      <c r="C432" s="1">
        <v>11.831250000000001</v>
      </c>
      <c r="D432" s="1">
        <v>4.8920999999999999E-2</v>
      </c>
      <c r="E432" s="1"/>
    </row>
    <row r="433" spans="1:5" x14ac:dyDescent="0.25">
      <c r="A433" s="1">
        <v>2451782.1099</v>
      </c>
      <c r="B433" s="1" t="s">
        <v>571</v>
      </c>
      <c r="C433" s="1">
        <v>11.825806</v>
      </c>
      <c r="D433" s="1">
        <v>3.0041999999999999E-2</v>
      </c>
      <c r="E433" s="1"/>
    </row>
    <row r="434" spans="1:5" x14ac:dyDescent="0.25">
      <c r="A434" s="1">
        <v>2451797.2009100001</v>
      </c>
      <c r="B434" s="1" t="s">
        <v>113</v>
      </c>
      <c r="C434" s="1">
        <v>11.776923</v>
      </c>
      <c r="D434" s="1">
        <v>3.7815000000000001E-2</v>
      </c>
      <c r="E434" s="1"/>
    </row>
    <row r="435" spans="1:5" x14ac:dyDescent="0.25">
      <c r="A435" s="1">
        <v>2451814.1397299999</v>
      </c>
      <c r="B435" s="1" t="s">
        <v>572</v>
      </c>
      <c r="C435" s="1">
        <v>11.72</v>
      </c>
      <c r="D435" s="1">
        <v>3.1288000000000003E-2</v>
      </c>
      <c r="E435" s="1"/>
    </row>
    <row r="436" spans="1:5" x14ac:dyDescent="0.25">
      <c r="A436" s="1">
        <v>2451828.0801400002</v>
      </c>
      <c r="B436" s="1" t="s">
        <v>573</v>
      </c>
      <c r="C436" s="1">
        <v>11.957143</v>
      </c>
      <c r="D436" s="1">
        <v>5.2811999999999998E-2</v>
      </c>
      <c r="E436" s="1"/>
    </row>
    <row r="437" spans="1:5" x14ac:dyDescent="0.25">
      <c r="A437" s="1">
        <v>2451845.19723</v>
      </c>
      <c r="B437" s="1" t="s">
        <v>574</v>
      </c>
      <c r="C437" s="1">
        <v>11.815384999999999</v>
      </c>
      <c r="D437" s="1">
        <v>2.9626E-2</v>
      </c>
      <c r="E437" s="1"/>
    </row>
    <row r="438" spans="1:5" x14ac:dyDescent="0.25">
      <c r="A438" s="1">
        <v>2451859.0085700001</v>
      </c>
      <c r="B438" s="1" t="s">
        <v>575</v>
      </c>
      <c r="C438" s="1">
        <v>11.8</v>
      </c>
      <c r="D438" s="1">
        <v>6.1720999999999998E-2</v>
      </c>
      <c r="E438" s="1"/>
    </row>
    <row r="439" spans="1:5" x14ac:dyDescent="0.25">
      <c r="A439" s="1">
        <v>2451876.0821699998</v>
      </c>
      <c r="B439" s="1" t="s">
        <v>576</v>
      </c>
      <c r="C439" s="1">
        <v>11.95</v>
      </c>
      <c r="D439" s="1">
        <v>0.05</v>
      </c>
      <c r="E439" s="1"/>
    </row>
    <row r="440" spans="1:5" x14ac:dyDescent="0.25">
      <c r="A440" s="1">
        <v>2451897.5</v>
      </c>
      <c r="B440" s="1" t="s">
        <v>114</v>
      </c>
      <c r="C440" s="1">
        <v>11.9</v>
      </c>
      <c r="D440" s="1">
        <v>0</v>
      </c>
      <c r="E440" s="1"/>
    </row>
    <row r="441" spans="1:5" x14ac:dyDescent="0.25">
      <c r="A441" s="1">
        <v>2451922.69</v>
      </c>
      <c r="B441" s="1" t="s">
        <v>577</v>
      </c>
      <c r="C441" s="1">
        <v>11.9</v>
      </c>
      <c r="D441" s="1">
        <v>0</v>
      </c>
      <c r="E441" s="1"/>
    </row>
    <row r="442" spans="1:5" x14ac:dyDescent="0.25">
      <c r="A442" s="1">
        <v>2451963.3741299999</v>
      </c>
      <c r="B442" s="1" t="s">
        <v>578</v>
      </c>
      <c r="C442" s="1">
        <v>11.7</v>
      </c>
      <c r="D442" s="1">
        <v>0</v>
      </c>
      <c r="E442" s="1"/>
    </row>
    <row r="443" spans="1:5" x14ac:dyDescent="0.25">
      <c r="A443" s="1">
        <v>2451980.0787999998</v>
      </c>
      <c r="B443" s="1" t="s">
        <v>579</v>
      </c>
      <c r="C443" s="1">
        <v>11.8</v>
      </c>
      <c r="D443" s="1">
        <v>0</v>
      </c>
      <c r="E443" s="1"/>
    </row>
    <row r="444" spans="1:5" x14ac:dyDescent="0.25">
      <c r="A444" s="1">
        <v>2451996.4667000002</v>
      </c>
      <c r="B444" s="1" t="s">
        <v>580</v>
      </c>
      <c r="C444" s="1">
        <v>11.7</v>
      </c>
      <c r="D444" s="1">
        <v>0</v>
      </c>
      <c r="E444" s="1"/>
    </row>
    <row r="445" spans="1:5" x14ac:dyDescent="0.25">
      <c r="A445" s="1">
        <v>2452020.5998300002</v>
      </c>
      <c r="B445" s="1" t="s">
        <v>581</v>
      </c>
      <c r="C445" s="1">
        <v>11.918182</v>
      </c>
      <c r="D445" s="1">
        <v>6.4410999999999996E-2</v>
      </c>
      <c r="E445" s="1"/>
    </row>
    <row r="446" spans="1:5" x14ac:dyDescent="0.25">
      <c r="A446" s="1">
        <v>2452036.3716600002</v>
      </c>
      <c r="B446" s="1" t="s">
        <v>582</v>
      </c>
      <c r="C446" s="1">
        <v>11.808332999999999</v>
      </c>
      <c r="D446" s="1">
        <v>5.4297999999999999E-2</v>
      </c>
      <c r="E446" s="1"/>
    </row>
    <row r="447" spans="1:5" x14ac:dyDescent="0.25">
      <c r="A447" s="1">
        <v>2452050.8687800001</v>
      </c>
      <c r="B447" s="1" t="s">
        <v>583</v>
      </c>
      <c r="C447" s="1">
        <v>11.856249999999999</v>
      </c>
      <c r="D447" s="1">
        <v>3.6478999999999998E-2</v>
      </c>
      <c r="E447" s="1"/>
    </row>
    <row r="448" spans="1:5" x14ac:dyDescent="0.25">
      <c r="A448" s="1">
        <v>2452067.4635800002</v>
      </c>
      <c r="B448" s="1" t="s">
        <v>584</v>
      </c>
      <c r="C448" s="1">
        <v>11.976922999999999</v>
      </c>
      <c r="D448" s="1">
        <v>3.7815000000000001E-2</v>
      </c>
      <c r="E448" s="1"/>
    </row>
    <row r="449" spans="1:5" x14ac:dyDescent="0.25">
      <c r="A449" s="1">
        <v>2452085.0526899998</v>
      </c>
      <c r="B449" s="1" t="s">
        <v>585</v>
      </c>
      <c r="C449" s="1">
        <v>11.833333</v>
      </c>
      <c r="D449" s="1">
        <v>3.9841000000000001E-2</v>
      </c>
      <c r="E449" s="1"/>
    </row>
    <row r="450" spans="1:5" x14ac:dyDescent="0.25">
      <c r="A450" s="1">
        <v>2452102.1587299998</v>
      </c>
      <c r="B450" s="1" t="s">
        <v>586</v>
      </c>
      <c r="C450" s="1">
        <v>11.873684000000001</v>
      </c>
      <c r="D450" s="1">
        <v>3.0436999999999999E-2</v>
      </c>
      <c r="E450" s="1"/>
    </row>
    <row r="451" spans="1:5" x14ac:dyDescent="0.25">
      <c r="A451" s="1">
        <v>2452115.9300199999</v>
      </c>
      <c r="B451" s="1" t="s">
        <v>587</v>
      </c>
      <c r="C451" s="1">
        <v>11.864286</v>
      </c>
      <c r="D451" s="1">
        <v>3.4140999999999998E-2</v>
      </c>
      <c r="E451" s="1"/>
    </row>
    <row r="452" spans="1:5" x14ac:dyDescent="0.25">
      <c r="A452" s="1">
        <v>2452134.9825900001</v>
      </c>
      <c r="B452" s="1" t="s">
        <v>588</v>
      </c>
      <c r="C452" s="1">
        <v>11.893333</v>
      </c>
      <c r="D452" s="1">
        <v>4.3057999999999999E-2</v>
      </c>
      <c r="E452" s="1"/>
    </row>
    <row r="453" spans="1:5" x14ac:dyDescent="0.25">
      <c r="A453" s="1">
        <v>2452146.8834799998</v>
      </c>
      <c r="B453" s="1" t="s">
        <v>589</v>
      </c>
      <c r="C453" s="1">
        <v>11.831250000000001</v>
      </c>
      <c r="D453" s="1">
        <v>3.2556000000000002E-2</v>
      </c>
      <c r="E453" s="1"/>
    </row>
    <row r="454" spans="1:5" x14ac:dyDescent="0.25">
      <c r="A454" s="1">
        <v>2452165.6998100001</v>
      </c>
      <c r="B454" s="1" t="s">
        <v>590</v>
      </c>
      <c r="C454" s="1">
        <v>11.828571</v>
      </c>
      <c r="D454" s="1">
        <v>3.6956000000000003E-2</v>
      </c>
      <c r="E454" s="1"/>
    </row>
    <row r="455" spans="1:5" x14ac:dyDescent="0.25">
      <c r="A455" s="1">
        <v>2452179.2066000002</v>
      </c>
      <c r="B455" s="1" t="s">
        <v>591</v>
      </c>
      <c r="C455" s="1">
        <v>11.78</v>
      </c>
      <c r="D455" s="1">
        <v>5.8310000000000001E-2</v>
      </c>
      <c r="E455" s="1"/>
    </row>
    <row r="456" spans="1:5" x14ac:dyDescent="0.25">
      <c r="A456" s="1">
        <v>2452194.96991</v>
      </c>
      <c r="B456" s="1" t="s">
        <v>592</v>
      </c>
      <c r="C456" s="1">
        <v>11.777778</v>
      </c>
      <c r="D456" s="1">
        <v>1.4699E-2</v>
      </c>
      <c r="E456" s="1"/>
    </row>
    <row r="457" spans="1:5" x14ac:dyDescent="0.25">
      <c r="A457" s="1">
        <v>2452212.86</v>
      </c>
      <c r="B457" s="1" t="s">
        <v>593</v>
      </c>
      <c r="C457" s="1">
        <v>11.74</v>
      </c>
      <c r="D457" s="1">
        <v>0.06</v>
      </c>
      <c r="E457" s="1"/>
    </row>
    <row r="458" spans="1:5" x14ac:dyDescent="0.25">
      <c r="A458" s="1">
        <v>2452225.4223099998</v>
      </c>
      <c r="B458" s="1" t="s">
        <v>594</v>
      </c>
      <c r="C458" s="1">
        <v>11.86</v>
      </c>
      <c r="D458" s="1">
        <v>0.04</v>
      </c>
      <c r="E458" s="1"/>
    </row>
    <row r="459" spans="1:5" x14ac:dyDescent="0.25">
      <c r="A459" s="1">
        <v>2452250.8333299998</v>
      </c>
      <c r="B459" s="1" t="s">
        <v>595</v>
      </c>
      <c r="C459" s="1">
        <v>11.833333</v>
      </c>
      <c r="D459" s="1">
        <v>3.3333000000000002E-2</v>
      </c>
      <c r="E459" s="1"/>
    </row>
    <row r="460" spans="1:5" x14ac:dyDescent="0.25">
      <c r="A460" s="1">
        <v>2452266.5</v>
      </c>
      <c r="B460" s="1" t="s">
        <v>596</v>
      </c>
      <c r="C460" s="1">
        <v>11.8</v>
      </c>
      <c r="D460" s="1">
        <v>0</v>
      </c>
      <c r="E460" s="1"/>
    </row>
    <row r="461" spans="1:5" x14ac:dyDescent="0.25">
      <c r="A461" s="1">
        <v>2452321.5882000001</v>
      </c>
      <c r="B461" s="1" t="s">
        <v>597</v>
      </c>
      <c r="C461" s="1">
        <v>11.9</v>
      </c>
      <c r="D461" s="1">
        <v>0</v>
      </c>
      <c r="E461" s="1"/>
    </row>
    <row r="462" spans="1:5" x14ac:dyDescent="0.25">
      <c r="A462" s="1">
        <v>2452336.7000000002</v>
      </c>
      <c r="B462" s="1" t="s">
        <v>598</v>
      </c>
      <c r="C462" s="1">
        <v>11.5</v>
      </c>
      <c r="D462" s="1">
        <v>0</v>
      </c>
      <c r="E462" s="1"/>
    </row>
    <row r="463" spans="1:5" x14ac:dyDescent="0.25">
      <c r="A463" s="1">
        <v>2452406.5496</v>
      </c>
      <c r="B463" s="1" t="s">
        <v>599</v>
      </c>
      <c r="C463" s="1">
        <v>11.94</v>
      </c>
      <c r="D463" s="1">
        <v>6.7822999999999994E-2</v>
      </c>
      <c r="E463" s="1"/>
    </row>
    <row r="464" spans="1:5" x14ac:dyDescent="0.25">
      <c r="A464" s="1">
        <v>2452426.0485399999</v>
      </c>
      <c r="B464" s="1" t="s">
        <v>600</v>
      </c>
      <c r="C464" s="1">
        <v>11.86</v>
      </c>
      <c r="D464" s="1">
        <v>0.04</v>
      </c>
      <c r="E464" s="1"/>
    </row>
    <row r="465" spans="1:5" x14ac:dyDescent="0.25">
      <c r="A465" s="1">
        <v>2452441.5395999998</v>
      </c>
      <c r="B465" s="1" t="s">
        <v>601</v>
      </c>
      <c r="C465" s="1">
        <v>11.84</v>
      </c>
      <c r="D465" s="1">
        <v>8.1240000000000007E-2</v>
      </c>
      <c r="E465" s="1"/>
    </row>
    <row r="466" spans="1:5" x14ac:dyDescent="0.25">
      <c r="A466" s="1">
        <v>2452455.4810000001</v>
      </c>
      <c r="B466" s="1" t="s">
        <v>602</v>
      </c>
      <c r="C466" s="1">
        <v>11.96</v>
      </c>
      <c r="D466" s="1">
        <v>0.04</v>
      </c>
      <c r="E466" s="1"/>
    </row>
    <row r="467" spans="1:5" x14ac:dyDescent="0.25">
      <c r="A467" s="1">
        <v>2452468.9619</v>
      </c>
      <c r="B467" s="1" t="s">
        <v>603</v>
      </c>
      <c r="C467" s="1">
        <v>11.9375</v>
      </c>
      <c r="D467" s="1">
        <v>2.7195E-2</v>
      </c>
      <c r="E467" s="1"/>
    </row>
    <row r="468" spans="1:5" x14ac:dyDescent="0.25">
      <c r="A468" s="1">
        <v>2452489.8295900002</v>
      </c>
      <c r="B468" s="1" t="s">
        <v>604</v>
      </c>
      <c r="C468" s="1">
        <v>11.958824</v>
      </c>
      <c r="D468" s="1">
        <v>2.1107000000000001E-2</v>
      </c>
      <c r="E468" s="1"/>
    </row>
    <row r="469" spans="1:5" x14ac:dyDescent="0.25">
      <c r="A469" s="1">
        <v>2452503.75978</v>
      </c>
      <c r="B469" s="1" t="s">
        <v>116</v>
      </c>
      <c r="C469" s="1">
        <v>11.916667</v>
      </c>
      <c r="D469" s="1">
        <v>5.3418E-2</v>
      </c>
      <c r="E469" s="1"/>
    </row>
    <row r="470" spans="1:5" x14ac:dyDescent="0.25">
      <c r="A470" s="1">
        <v>2452522.0918100001</v>
      </c>
      <c r="B470" s="1" t="s">
        <v>605</v>
      </c>
      <c r="C470" s="1">
        <v>11.927273</v>
      </c>
      <c r="D470" s="1">
        <v>4.0655999999999998E-2</v>
      </c>
      <c r="E470" s="1"/>
    </row>
    <row r="471" spans="1:5" x14ac:dyDescent="0.25">
      <c r="A471" s="1">
        <v>2452536.9015000002</v>
      </c>
      <c r="B471" s="1" t="s">
        <v>606</v>
      </c>
      <c r="C471" s="1">
        <v>11.836364</v>
      </c>
      <c r="D471" s="1">
        <v>3.3771000000000002E-2</v>
      </c>
      <c r="E471" s="1"/>
    </row>
    <row r="472" spans="1:5" x14ac:dyDescent="0.25">
      <c r="A472" s="1">
        <v>2452551.9608200002</v>
      </c>
      <c r="B472" s="1" t="s">
        <v>607</v>
      </c>
      <c r="C472" s="1">
        <v>11.86</v>
      </c>
      <c r="D472" s="1">
        <v>4.1173000000000001E-2</v>
      </c>
      <c r="E472" s="1"/>
    </row>
    <row r="473" spans="1:5" x14ac:dyDescent="0.25">
      <c r="A473" s="1">
        <v>2452571.3546000002</v>
      </c>
      <c r="B473" s="1" t="s">
        <v>608</v>
      </c>
      <c r="C473" s="1">
        <v>11.84</v>
      </c>
      <c r="D473" s="1">
        <v>5.0990000000000001E-2</v>
      </c>
      <c r="E473" s="1"/>
    </row>
    <row r="474" spans="1:5" x14ac:dyDescent="0.25">
      <c r="A474" s="1">
        <v>2452587.7316000001</v>
      </c>
      <c r="B474" s="1" t="s">
        <v>609</v>
      </c>
      <c r="C474" s="1">
        <v>11.84</v>
      </c>
      <c r="D474" s="1">
        <v>2.4494999999999999E-2</v>
      </c>
      <c r="E474" s="1"/>
    </row>
    <row r="475" spans="1:5" x14ac:dyDescent="0.25">
      <c r="A475" s="1">
        <v>2452602.4333299999</v>
      </c>
      <c r="B475" s="1" t="s">
        <v>610</v>
      </c>
      <c r="C475" s="1">
        <v>11.833333</v>
      </c>
      <c r="D475" s="1">
        <v>3.3333000000000002E-2</v>
      </c>
      <c r="E475" s="1"/>
    </row>
    <row r="476" spans="1:5" x14ac:dyDescent="0.25">
      <c r="A476" s="1">
        <v>2452616.5</v>
      </c>
      <c r="B476" s="1" t="s">
        <v>611</v>
      </c>
      <c r="C476" s="1">
        <v>11.9</v>
      </c>
      <c r="D476" s="1">
        <v>0</v>
      </c>
      <c r="E476" s="1"/>
    </row>
    <row r="477" spans="1:5" x14ac:dyDescent="0.25">
      <c r="A477" s="1">
        <v>2452707.003</v>
      </c>
      <c r="B477" s="1" t="s">
        <v>117</v>
      </c>
      <c r="C477" s="1">
        <v>11.833333</v>
      </c>
      <c r="D477" s="1">
        <v>8.8192000000000006E-2</v>
      </c>
      <c r="E477" s="1"/>
    </row>
    <row r="478" spans="1:5" x14ac:dyDescent="0.25">
      <c r="A478" s="1">
        <v>2452732.7000000002</v>
      </c>
      <c r="B478" s="1" t="s">
        <v>612</v>
      </c>
      <c r="C478" s="1">
        <v>11.65</v>
      </c>
      <c r="D478" s="1">
        <v>0.05</v>
      </c>
      <c r="E478" s="1"/>
    </row>
    <row r="479" spans="1:5" x14ac:dyDescent="0.25">
      <c r="A479" s="1">
        <v>2452772.42301</v>
      </c>
      <c r="B479" s="1" t="s">
        <v>613</v>
      </c>
      <c r="C479" s="1">
        <v>11.862500000000001</v>
      </c>
      <c r="D479" s="1">
        <v>0.105115</v>
      </c>
      <c r="E479" s="1"/>
    </row>
    <row r="480" spans="1:5" x14ac:dyDescent="0.25">
      <c r="A480" s="1">
        <v>2452788.7015</v>
      </c>
      <c r="B480" s="1" t="s">
        <v>614</v>
      </c>
      <c r="C480" s="1">
        <v>11.816667000000001</v>
      </c>
      <c r="D480" s="1">
        <v>8.7242E-2</v>
      </c>
      <c r="E480" s="1"/>
    </row>
    <row r="481" spans="1:5" x14ac:dyDescent="0.25">
      <c r="A481" s="1">
        <v>2452810.7863799999</v>
      </c>
      <c r="B481" s="1" t="s">
        <v>615</v>
      </c>
      <c r="C481" s="1">
        <v>11.9125</v>
      </c>
      <c r="D481" s="1">
        <v>3.9809999999999998E-2</v>
      </c>
      <c r="E481" s="1"/>
    </row>
    <row r="482" spans="1:5" x14ac:dyDescent="0.25">
      <c r="A482" s="1">
        <v>2452827.7018800001</v>
      </c>
      <c r="B482" s="1" t="s">
        <v>616</v>
      </c>
      <c r="C482" s="1">
        <v>11.925000000000001</v>
      </c>
      <c r="D482" s="1">
        <v>4.9098999999999997E-2</v>
      </c>
      <c r="E482" s="1"/>
    </row>
    <row r="483" spans="1:5" x14ac:dyDescent="0.25">
      <c r="A483" s="1">
        <v>2452840.3436099999</v>
      </c>
      <c r="B483" s="1" t="s">
        <v>118</v>
      </c>
      <c r="C483" s="1">
        <v>11.87</v>
      </c>
      <c r="D483" s="1">
        <v>4.9789E-2</v>
      </c>
      <c r="E483" s="1"/>
    </row>
    <row r="484" spans="1:5" x14ac:dyDescent="0.25">
      <c r="A484" s="1">
        <v>2452853.9709700001</v>
      </c>
      <c r="B484" s="1" t="s">
        <v>617</v>
      </c>
      <c r="C484" s="1">
        <v>11.826667</v>
      </c>
      <c r="D484" s="1">
        <v>4.9248E-2</v>
      </c>
      <c r="E484" s="1"/>
    </row>
    <row r="485" spans="1:5" x14ac:dyDescent="0.25">
      <c r="A485" s="1">
        <v>2452871.65582</v>
      </c>
      <c r="B485" s="1" t="s">
        <v>618</v>
      </c>
      <c r="C485" s="1">
        <v>11.863636</v>
      </c>
      <c r="D485" s="1">
        <v>5.604E-2</v>
      </c>
      <c r="E485" s="1"/>
    </row>
    <row r="486" spans="1:5" x14ac:dyDescent="0.25">
      <c r="A486" s="1">
        <v>2452885.2453299998</v>
      </c>
      <c r="B486" s="1" t="s">
        <v>619</v>
      </c>
      <c r="C486" s="1">
        <v>11.833333</v>
      </c>
      <c r="D486" s="1">
        <v>0.05</v>
      </c>
      <c r="E486" s="1"/>
    </row>
    <row r="487" spans="1:5" x14ac:dyDescent="0.25">
      <c r="A487" s="1">
        <v>2452905.2077000001</v>
      </c>
      <c r="B487" s="1" t="s">
        <v>620</v>
      </c>
      <c r="C487" s="1">
        <v>11.86</v>
      </c>
      <c r="D487" s="1">
        <v>4.761E-2</v>
      </c>
      <c r="E487" s="1"/>
    </row>
    <row r="488" spans="1:5" x14ac:dyDescent="0.25">
      <c r="A488" s="1">
        <v>2452919.1552900001</v>
      </c>
      <c r="B488" s="1" t="s">
        <v>621</v>
      </c>
      <c r="C488" s="1">
        <v>11.9375</v>
      </c>
      <c r="D488" s="1">
        <v>5.6496999999999999E-2</v>
      </c>
      <c r="E488" s="1"/>
    </row>
    <row r="489" spans="1:5" x14ac:dyDescent="0.25">
      <c r="A489" s="1">
        <v>2452934.2303200001</v>
      </c>
      <c r="B489" s="1" t="s">
        <v>622</v>
      </c>
      <c r="C489" s="1">
        <v>11.966666999999999</v>
      </c>
      <c r="D489" s="1">
        <v>5.5777E-2</v>
      </c>
      <c r="E489" s="1"/>
    </row>
    <row r="490" spans="1:5" x14ac:dyDescent="0.25">
      <c r="A490" s="1">
        <v>2452955.0640799999</v>
      </c>
      <c r="B490" s="1" t="s">
        <v>119</v>
      </c>
      <c r="C490" s="1">
        <v>11.975</v>
      </c>
      <c r="D490" s="1">
        <v>6.2914999999999999E-2</v>
      </c>
      <c r="E490" s="1"/>
    </row>
    <row r="491" spans="1:5" x14ac:dyDescent="0.25">
      <c r="A491" s="1">
        <v>2452968.4522199999</v>
      </c>
      <c r="B491" s="1" t="s">
        <v>120</v>
      </c>
      <c r="C491" s="1">
        <v>11.9</v>
      </c>
      <c r="D491" s="1">
        <v>0</v>
      </c>
      <c r="E491" s="1"/>
    </row>
    <row r="492" spans="1:5" x14ac:dyDescent="0.25">
      <c r="A492" s="1">
        <v>2453075.3333299998</v>
      </c>
      <c r="B492" s="1" t="s">
        <v>623</v>
      </c>
      <c r="C492" s="1">
        <v>11.633333</v>
      </c>
      <c r="D492" s="1">
        <v>0.120185</v>
      </c>
      <c r="E492" s="1"/>
    </row>
    <row r="493" spans="1:5" x14ac:dyDescent="0.25">
      <c r="A493" s="1">
        <v>2453100.0935</v>
      </c>
      <c r="B493" s="1" t="s">
        <v>624</v>
      </c>
      <c r="C493" s="1">
        <v>11.9</v>
      </c>
      <c r="D493" s="1">
        <v>0.2</v>
      </c>
      <c r="E493" s="1"/>
    </row>
    <row r="494" spans="1:5" x14ac:dyDescent="0.25">
      <c r="A494" s="1">
        <v>2453119.8052500002</v>
      </c>
      <c r="B494" s="1" t="s">
        <v>625</v>
      </c>
      <c r="C494" s="1">
        <v>11.85</v>
      </c>
      <c r="D494" s="1">
        <v>0.15545600000000001</v>
      </c>
      <c r="E494" s="1"/>
    </row>
    <row r="495" spans="1:5" x14ac:dyDescent="0.25">
      <c r="A495" s="1">
        <v>2453146.5088200001</v>
      </c>
      <c r="B495" s="1" t="s">
        <v>626</v>
      </c>
      <c r="C495" s="1">
        <v>11.938461999999999</v>
      </c>
      <c r="D495" s="1">
        <v>4.1661999999999998E-2</v>
      </c>
      <c r="E495" s="1"/>
    </row>
    <row r="496" spans="1:5" x14ac:dyDescent="0.25">
      <c r="A496" s="1">
        <v>2453162.30314</v>
      </c>
      <c r="B496" s="1" t="s">
        <v>627</v>
      </c>
      <c r="C496" s="1">
        <v>11.737500000000001</v>
      </c>
      <c r="D496" s="1">
        <v>4.1993000000000003E-2</v>
      </c>
      <c r="E496" s="1"/>
    </row>
    <row r="497" spans="1:5" x14ac:dyDescent="0.25">
      <c r="A497" s="1">
        <v>2453178.2349200002</v>
      </c>
      <c r="B497" s="1" t="s">
        <v>628</v>
      </c>
      <c r="C497" s="1">
        <v>11.878571000000001</v>
      </c>
      <c r="D497" s="1">
        <v>3.1759000000000003E-2</v>
      </c>
      <c r="E497" s="1"/>
    </row>
    <row r="498" spans="1:5" x14ac:dyDescent="0.25">
      <c r="A498" s="1">
        <v>2453193.96844</v>
      </c>
      <c r="B498" s="1" t="s">
        <v>629</v>
      </c>
      <c r="C498" s="1">
        <v>11.881818000000001</v>
      </c>
      <c r="D498" s="1">
        <v>2.6348E-2</v>
      </c>
      <c r="E498" s="1"/>
    </row>
    <row r="499" spans="1:5" x14ac:dyDescent="0.25">
      <c r="A499" s="1">
        <v>2453208.1611000001</v>
      </c>
      <c r="B499" s="1" t="s">
        <v>630</v>
      </c>
      <c r="C499" s="1">
        <v>11.85</v>
      </c>
      <c r="D499" s="1">
        <v>2.8868000000000001E-2</v>
      </c>
      <c r="E499" s="1"/>
    </row>
    <row r="500" spans="1:5" x14ac:dyDescent="0.25">
      <c r="A500" s="1">
        <v>2453225.7605699999</v>
      </c>
      <c r="B500" s="1" t="s">
        <v>631</v>
      </c>
      <c r="C500" s="1">
        <v>11.8</v>
      </c>
      <c r="D500" s="1">
        <v>2.3570000000000001E-2</v>
      </c>
      <c r="E500" s="1"/>
    </row>
    <row r="501" spans="1:5" x14ac:dyDescent="0.25">
      <c r="A501" s="1">
        <v>2453238.63136</v>
      </c>
      <c r="B501" s="1" t="s">
        <v>143</v>
      </c>
      <c r="C501" s="1">
        <v>11.828571</v>
      </c>
      <c r="D501" s="1">
        <v>3.5951999999999998E-2</v>
      </c>
      <c r="E501" s="1"/>
    </row>
    <row r="502" spans="1:5" x14ac:dyDescent="0.25">
      <c r="A502" s="1">
        <v>2453255.1837900002</v>
      </c>
      <c r="B502" s="1" t="s">
        <v>632</v>
      </c>
      <c r="C502" s="1">
        <v>11.771428999999999</v>
      </c>
      <c r="D502" s="1">
        <v>2.206E-2</v>
      </c>
      <c r="E502" s="1"/>
    </row>
    <row r="503" spans="1:5" x14ac:dyDescent="0.25">
      <c r="A503" s="1">
        <v>2453270.8542399998</v>
      </c>
      <c r="B503" s="1" t="s">
        <v>633</v>
      </c>
      <c r="C503" s="1">
        <v>11.7</v>
      </c>
      <c r="D503" s="1">
        <v>2.8868000000000001E-2</v>
      </c>
      <c r="E503" s="1"/>
    </row>
    <row r="504" spans="1:5" x14ac:dyDescent="0.25">
      <c r="A504" s="1">
        <v>2453288.53492</v>
      </c>
      <c r="B504" s="1" t="s">
        <v>634</v>
      </c>
      <c r="C504" s="1">
        <v>11.758824000000001</v>
      </c>
      <c r="D504" s="1">
        <v>4.1175999999999997E-2</v>
      </c>
      <c r="E504" s="1"/>
    </row>
    <row r="505" spans="1:5" x14ac:dyDescent="0.25">
      <c r="A505" s="1">
        <v>2453304.8954799999</v>
      </c>
      <c r="B505" s="1" t="s">
        <v>144</v>
      </c>
      <c r="C505" s="1">
        <v>11.75</v>
      </c>
      <c r="D505" s="1">
        <v>6.4549999999999996E-2</v>
      </c>
      <c r="E505" s="1"/>
    </row>
    <row r="506" spans="1:5" x14ac:dyDescent="0.25">
      <c r="A506" s="1">
        <v>2453321.8690599999</v>
      </c>
      <c r="B506" s="1" t="s">
        <v>635</v>
      </c>
      <c r="C506" s="1">
        <v>11.642856999999999</v>
      </c>
      <c r="D506" s="1">
        <v>4.2856999999999999E-2</v>
      </c>
      <c r="E506" s="1"/>
    </row>
    <row r="507" spans="1:5" x14ac:dyDescent="0.25">
      <c r="A507" s="1">
        <v>2453345.8333299998</v>
      </c>
      <c r="B507" s="1" t="s">
        <v>636</v>
      </c>
      <c r="C507" s="1">
        <v>11.6</v>
      </c>
      <c r="D507" s="1">
        <v>0</v>
      </c>
      <c r="E507" s="1"/>
    </row>
    <row r="508" spans="1:5" x14ac:dyDescent="0.25">
      <c r="A508" s="1">
        <v>2453416.7000000002</v>
      </c>
      <c r="B508" s="1" t="s">
        <v>637</v>
      </c>
      <c r="C508" s="1">
        <v>11.4</v>
      </c>
      <c r="D508" s="1">
        <v>0</v>
      </c>
      <c r="E508" s="1"/>
    </row>
    <row r="509" spans="1:5" x14ac:dyDescent="0.25">
      <c r="A509" s="1">
        <v>2453455.3666699999</v>
      </c>
      <c r="B509" s="1" t="s">
        <v>638</v>
      </c>
      <c r="C509" s="1">
        <v>11.2</v>
      </c>
      <c r="D509" s="1">
        <v>5.7735000000000002E-2</v>
      </c>
      <c r="E509" s="1"/>
    </row>
    <row r="510" spans="1:5" x14ac:dyDescent="0.25">
      <c r="A510" s="1">
        <v>2453473.3002499999</v>
      </c>
      <c r="B510" s="1" t="s">
        <v>639</v>
      </c>
      <c r="C510" s="1">
        <v>11.9</v>
      </c>
      <c r="D510" s="1">
        <v>0.10177</v>
      </c>
      <c r="E510" s="1"/>
    </row>
    <row r="511" spans="1:5" x14ac:dyDescent="0.25">
      <c r="A511" s="1">
        <v>2453486.1</v>
      </c>
      <c r="B511" s="1" t="s">
        <v>640</v>
      </c>
      <c r="C511" s="1">
        <v>10.95</v>
      </c>
      <c r="D511" s="1">
        <v>0.05</v>
      </c>
      <c r="E511" s="1"/>
    </row>
    <row r="512" spans="1:5" x14ac:dyDescent="0.25">
      <c r="A512" s="1">
        <v>2453502.1491</v>
      </c>
      <c r="B512" s="1" t="s">
        <v>121</v>
      </c>
      <c r="C512" s="1">
        <v>11.72</v>
      </c>
      <c r="D512" s="1">
        <v>0.100885</v>
      </c>
      <c r="E512" s="1"/>
    </row>
    <row r="513" spans="1:5" x14ac:dyDescent="0.25">
      <c r="A513" s="1">
        <v>2453524.17</v>
      </c>
      <c r="B513" s="1" t="s">
        <v>641</v>
      </c>
      <c r="C513" s="1">
        <v>11.6</v>
      </c>
      <c r="D513" s="1">
        <v>6.7419999999999994E-2</v>
      </c>
      <c r="E513" s="1"/>
    </row>
    <row r="514" spans="1:5" x14ac:dyDescent="0.25">
      <c r="A514" s="1">
        <v>2453541.8505000002</v>
      </c>
      <c r="B514" s="1" t="s">
        <v>642</v>
      </c>
      <c r="C514" s="1">
        <v>11.641667</v>
      </c>
      <c r="D514" s="1">
        <v>4.6803999999999998E-2</v>
      </c>
      <c r="E514" s="1"/>
    </row>
    <row r="515" spans="1:5" x14ac:dyDescent="0.25">
      <c r="A515" s="1">
        <v>2453558.2647299999</v>
      </c>
      <c r="B515" s="1" t="s">
        <v>145</v>
      </c>
      <c r="C515" s="1">
        <v>11.455556</v>
      </c>
      <c r="D515" s="1">
        <v>2.1725999999999999E-2</v>
      </c>
      <c r="E515" s="1"/>
    </row>
    <row r="516" spans="1:5" x14ac:dyDescent="0.25">
      <c r="A516" s="1">
        <v>2453571.9834599998</v>
      </c>
      <c r="B516" s="1" t="s">
        <v>643</v>
      </c>
      <c r="C516" s="1">
        <v>11.507692</v>
      </c>
      <c r="D516" s="1">
        <v>2.3916E-2</v>
      </c>
      <c r="E516" s="1"/>
    </row>
    <row r="517" spans="1:5" x14ac:dyDescent="0.25">
      <c r="A517" s="1">
        <v>2453591.8760000002</v>
      </c>
      <c r="B517" s="1" t="s">
        <v>644</v>
      </c>
      <c r="C517" s="1">
        <v>11.457143</v>
      </c>
      <c r="D517" s="1">
        <v>2.1349E-2</v>
      </c>
      <c r="E517" s="1"/>
    </row>
    <row r="518" spans="1:5" x14ac:dyDescent="0.25">
      <c r="A518" s="1">
        <v>2453608.8834099998</v>
      </c>
      <c r="B518" s="1" t="s">
        <v>645</v>
      </c>
      <c r="C518" s="1">
        <v>11.638889000000001</v>
      </c>
      <c r="D518" s="1">
        <v>0.112354</v>
      </c>
      <c r="E518" s="1"/>
    </row>
    <row r="519" spans="1:5" x14ac:dyDescent="0.25">
      <c r="A519" s="1">
        <v>2453621.6934000002</v>
      </c>
      <c r="B519" s="1" t="s">
        <v>646</v>
      </c>
      <c r="C519" s="1">
        <v>11.453333000000001</v>
      </c>
      <c r="D519" s="1">
        <v>2.2860999999999999E-2</v>
      </c>
      <c r="E519" s="1"/>
    </row>
    <row r="520" spans="1:5" x14ac:dyDescent="0.25">
      <c r="A520" s="1">
        <v>2453639.9687199998</v>
      </c>
      <c r="B520" s="1" t="s">
        <v>647</v>
      </c>
      <c r="C520" s="1">
        <v>11.570968000000001</v>
      </c>
      <c r="D520" s="1">
        <v>2.6717999999999999E-2</v>
      </c>
      <c r="E520" s="1"/>
    </row>
    <row r="521" spans="1:5" x14ac:dyDescent="0.25">
      <c r="A521" s="1">
        <v>2453651.1178899999</v>
      </c>
      <c r="B521" s="1" t="s">
        <v>648</v>
      </c>
      <c r="C521" s="1">
        <v>11.525</v>
      </c>
      <c r="D521" s="1">
        <v>4.5316000000000002E-2</v>
      </c>
      <c r="E521" s="1"/>
    </row>
    <row r="522" spans="1:5" x14ac:dyDescent="0.25">
      <c r="A522" s="1">
        <v>2453670.2159799999</v>
      </c>
      <c r="B522" s="1" t="s">
        <v>146</v>
      </c>
      <c r="C522" s="1">
        <v>11.5</v>
      </c>
      <c r="D522" s="1">
        <v>0</v>
      </c>
      <c r="E522" s="1"/>
    </row>
    <row r="523" spans="1:5" x14ac:dyDescent="0.25">
      <c r="A523" s="1">
        <v>2453682.4968699999</v>
      </c>
      <c r="B523" s="1" t="s">
        <v>649</v>
      </c>
      <c r="C523" s="1">
        <v>11.55</v>
      </c>
      <c r="D523" s="1">
        <v>3.4157E-2</v>
      </c>
      <c r="E523" s="1"/>
    </row>
    <row r="524" spans="1:5" x14ac:dyDescent="0.25">
      <c r="A524" s="1">
        <v>2453695.5602199999</v>
      </c>
      <c r="B524" s="1" t="s">
        <v>650</v>
      </c>
      <c r="C524" s="1">
        <v>11.583333</v>
      </c>
      <c r="D524" s="1">
        <v>4.7725999999999998E-2</v>
      </c>
      <c r="E524" s="1"/>
    </row>
    <row r="525" spans="1:5" x14ac:dyDescent="0.25">
      <c r="A525" s="1">
        <v>2453724.5</v>
      </c>
      <c r="B525" s="1" t="s">
        <v>651</v>
      </c>
      <c r="C525" s="1">
        <v>11.666667</v>
      </c>
      <c r="D525" s="1">
        <v>3.3333000000000002E-2</v>
      </c>
      <c r="E525" s="1"/>
    </row>
    <row r="526" spans="1:5" x14ac:dyDescent="0.25">
      <c r="A526" s="1">
        <v>2453829.7000000002</v>
      </c>
      <c r="B526" s="1" t="s">
        <v>652</v>
      </c>
      <c r="C526" s="1">
        <v>11.7</v>
      </c>
      <c r="D526" s="1">
        <v>0</v>
      </c>
      <c r="E526" s="1"/>
    </row>
    <row r="527" spans="1:5" x14ac:dyDescent="0.25">
      <c r="A527" s="1">
        <v>2453853.8670000001</v>
      </c>
      <c r="B527" s="1" t="s">
        <v>122</v>
      </c>
      <c r="C527" s="1">
        <v>11.533333000000001</v>
      </c>
      <c r="D527" s="1">
        <v>8.8192000000000006E-2</v>
      </c>
      <c r="E527" s="1"/>
    </row>
    <row r="528" spans="1:5" x14ac:dyDescent="0.25">
      <c r="A528" s="1">
        <v>2453865.5063999998</v>
      </c>
      <c r="B528" s="1" t="s">
        <v>653</v>
      </c>
      <c r="C528" s="1">
        <v>11.55</v>
      </c>
      <c r="D528" s="1">
        <v>0.05</v>
      </c>
      <c r="E528" s="1"/>
    </row>
    <row r="529" spans="1:5" x14ac:dyDescent="0.25">
      <c r="A529" s="1">
        <v>2453886.2941100001</v>
      </c>
      <c r="B529" s="1" t="s">
        <v>654</v>
      </c>
      <c r="C529" s="1">
        <v>11.7</v>
      </c>
      <c r="D529" s="1">
        <v>5.0751999999999999E-2</v>
      </c>
      <c r="E529" s="1"/>
    </row>
    <row r="530" spans="1:5" x14ac:dyDescent="0.25">
      <c r="A530" s="1">
        <v>2453906.5502300002</v>
      </c>
      <c r="B530" s="1" t="s">
        <v>655</v>
      </c>
      <c r="C530" s="1">
        <v>11.614286</v>
      </c>
      <c r="D530" s="1">
        <v>8.2890000000000005E-2</v>
      </c>
      <c r="E530" s="1"/>
    </row>
    <row r="531" spans="1:5" x14ac:dyDescent="0.25">
      <c r="A531" s="1">
        <v>2453922.2898400002</v>
      </c>
      <c r="B531" s="1" t="s">
        <v>656</v>
      </c>
      <c r="C531" s="1">
        <v>11.663636</v>
      </c>
      <c r="D531" s="1">
        <v>3.3771000000000002E-2</v>
      </c>
      <c r="E531" s="1"/>
    </row>
    <row r="532" spans="1:5" x14ac:dyDescent="0.25">
      <c r="A532" s="1">
        <v>2453938.5821199999</v>
      </c>
      <c r="B532" s="1" t="s">
        <v>657</v>
      </c>
      <c r="C532" s="1">
        <v>11.584614999999999</v>
      </c>
      <c r="D532" s="1">
        <v>1.9761999999999998E-2</v>
      </c>
      <c r="E532" s="1"/>
    </row>
    <row r="533" spans="1:5" x14ac:dyDescent="0.25">
      <c r="A533" s="1">
        <v>2453952.2435900001</v>
      </c>
      <c r="B533" s="1" t="s">
        <v>658</v>
      </c>
      <c r="C533" s="1">
        <v>11.669231</v>
      </c>
      <c r="D533" s="1">
        <v>1.7485000000000001E-2</v>
      </c>
      <c r="E533" s="1"/>
    </row>
    <row r="534" spans="1:5" x14ac:dyDescent="0.25">
      <c r="A534" s="1">
        <v>2453968.7028100002</v>
      </c>
      <c r="B534" s="1" t="s">
        <v>659</v>
      </c>
      <c r="C534" s="1">
        <v>11.637036999999999</v>
      </c>
      <c r="D534" s="1">
        <v>1.7003999999999998E-2</v>
      </c>
      <c r="E534" s="1"/>
    </row>
    <row r="535" spans="1:5" x14ac:dyDescent="0.25">
      <c r="A535" s="1">
        <v>2453983.6189600001</v>
      </c>
      <c r="B535" s="1" t="s">
        <v>660</v>
      </c>
      <c r="C535" s="1">
        <v>11.707143</v>
      </c>
      <c r="D535" s="1">
        <v>3.8464999999999999E-2</v>
      </c>
      <c r="E535" s="1"/>
    </row>
    <row r="536" spans="1:5" x14ac:dyDescent="0.25">
      <c r="A536" s="1">
        <v>2454001.1658200002</v>
      </c>
      <c r="B536" s="1" t="s">
        <v>661</v>
      </c>
      <c r="C536" s="1">
        <v>11.606667</v>
      </c>
      <c r="D536" s="1">
        <v>2.6667E-2</v>
      </c>
      <c r="E536" s="1"/>
    </row>
    <row r="537" spans="1:5" x14ac:dyDescent="0.25">
      <c r="A537" s="1">
        <v>2454016.9120100001</v>
      </c>
      <c r="B537" s="1" t="s">
        <v>662</v>
      </c>
      <c r="C537" s="1">
        <v>11.593332999999999</v>
      </c>
      <c r="D537" s="1">
        <v>2.8396000000000001E-2</v>
      </c>
      <c r="E537" s="1"/>
    </row>
    <row r="538" spans="1:5" x14ac:dyDescent="0.25">
      <c r="A538" s="1">
        <v>2454037.37836</v>
      </c>
      <c r="B538" s="1" t="s">
        <v>663</v>
      </c>
      <c r="C538" s="1">
        <v>11.545455</v>
      </c>
      <c r="D538" s="1">
        <v>4.1260999999999999E-2</v>
      </c>
      <c r="E538" s="1"/>
    </row>
    <row r="539" spans="1:5" x14ac:dyDescent="0.25">
      <c r="A539" s="1">
        <v>2454052.6970000002</v>
      </c>
      <c r="B539" s="1" t="s">
        <v>664</v>
      </c>
      <c r="C539" s="1">
        <v>11.6</v>
      </c>
      <c r="D539" s="1">
        <v>0</v>
      </c>
      <c r="E539" s="1"/>
    </row>
    <row r="540" spans="1:5" x14ac:dyDescent="0.25">
      <c r="A540" s="1">
        <v>2454071.3645000001</v>
      </c>
      <c r="B540" s="1" t="s">
        <v>147</v>
      </c>
      <c r="C540" s="1">
        <v>11.5</v>
      </c>
      <c r="D540" s="1">
        <v>0</v>
      </c>
      <c r="E540" s="1"/>
    </row>
    <row r="541" spans="1:5" x14ac:dyDescent="0.25">
      <c r="A541" s="1">
        <v>2454082.8689999999</v>
      </c>
      <c r="B541" s="1" t="s">
        <v>665</v>
      </c>
      <c r="C541" s="1">
        <v>11.55</v>
      </c>
      <c r="D541" s="1">
        <v>0.05</v>
      </c>
      <c r="E541" s="1"/>
    </row>
    <row r="542" spans="1:5" x14ac:dyDescent="0.25">
      <c r="A542" s="1">
        <v>2454207.0780000002</v>
      </c>
      <c r="B542" s="1" t="s">
        <v>666</v>
      </c>
      <c r="C542" s="1">
        <v>11.55</v>
      </c>
      <c r="D542" s="1">
        <v>0.05</v>
      </c>
      <c r="E542" s="1"/>
    </row>
    <row r="543" spans="1:5" x14ac:dyDescent="0.25">
      <c r="A543" s="1">
        <v>2454235.2069999999</v>
      </c>
      <c r="B543" s="1" t="s">
        <v>667</v>
      </c>
      <c r="C543" s="1">
        <v>11.566667000000001</v>
      </c>
      <c r="D543" s="1">
        <v>3.3333000000000002E-2</v>
      </c>
      <c r="E543" s="1"/>
    </row>
    <row r="544" spans="1:5" x14ac:dyDescent="0.25">
      <c r="A544" s="1">
        <v>2454252.37543</v>
      </c>
      <c r="B544" s="1" t="s">
        <v>668</v>
      </c>
      <c r="C544" s="1">
        <v>11.585713999999999</v>
      </c>
      <c r="D544" s="1">
        <v>2.6082000000000001E-2</v>
      </c>
      <c r="E544" s="1"/>
    </row>
    <row r="545" spans="1:5" x14ac:dyDescent="0.25">
      <c r="A545" s="1">
        <v>2454265.42093</v>
      </c>
      <c r="B545" s="1" t="s">
        <v>669</v>
      </c>
      <c r="C545" s="1">
        <v>11.574999999999999</v>
      </c>
      <c r="D545" s="1">
        <v>1.6365999999999999E-2</v>
      </c>
      <c r="E545" s="1"/>
    </row>
    <row r="546" spans="1:5" x14ac:dyDescent="0.25">
      <c r="A546" s="1">
        <v>2454280.8933199998</v>
      </c>
      <c r="B546" s="1" t="s">
        <v>670</v>
      </c>
      <c r="C546" s="1">
        <v>11.583333</v>
      </c>
      <c r="D546" s="1">
        <v>3.0731999999999999E-2</v>
      </c>
      <c r="E546" s="1"/>
    </row>
    <row r="547" spans="1:5" x14ac:dyDescent="0.25">
      <c r="A547" s="1">
        <v>2454300.7474199999</v>
      </c>
      <c r="B547" s="1" t="s">
        <v>671</v>
      </c>
      <c r="C547" s="1">
        <v>11.6</v>
      </c>
      <c r="D547" s="1">
        <v>3.3333000000000002E-2</v>
      </c>
      <c r="E547" s="1"/>
    </row>
    <row r="548" spans="1:5" x14ac:dyDescent="0.25">
      <c r="A548" s="1">
        <v>2454317.7795699998</v>
      </c>
      <c r="B548" s="1" t="s">
        <v>124</v>
      </c>
      <c r="C548" s="1">
        <v>11.6</v>
      </c>
      <c r="D548" s="1">
        <v>2.7734999999999999E-2</v>
      </c>
      <c r="E548" s="1"/>
    </row>
    <row r="549" spans="1:5" x14ac:dyDescent="0.25">
      <c r="A549" s="1">
        <v>2454334.8321699998</v>
      </c>
      <c r="B549" s="1" t="s">
        <v>672</v>
      </c>
      <c r="C549" s="1">
        <v>11.7</v>
      </c>
      <c r="D549" s="1">
        <v>5.5777E-2</v>
      </c>
      <c r="E549" s="1"/>
    </row>
    <row r="550" spans="1:5" x14ac:dyDescent="0.25">
      <c r="A550" s="1">
        <v>2454348.6124700001</v>
      </c>
      <c r="B550" s="1" t="s">
        <v>673</v>
      </c>
      <c r="C550" s="1">
        <v>11.74375</v>
      </c>
      <c r="D550" s="1">
        <v>3.0232999999999999E-2</v>
      </c>
      <c r="E550" s="1"/>
    </row>
    <row r="551" spans="1:5" x14ac:dyDescent="0.25">
      <c r="A551" s="1">
        <v>2454361.8146199998</v>
      </c>
      <c r="B551" s="1" t="s">
        <v>674</v>
      </c>
      <c r="C551" s="1">
        <v>11.65</v>
      </c>
      <c r="D551" s="1">
        <v>3.5887000000000002E-2</v>
      </c>
      <c r="E551" s="1"/>
    </row>
    <row r="552" spans="1:5" x14ac:dyDescent="0.25">
      <c r="A552" s="1">
        <v>2454379.8535699998</v>
      </c>
      <c r="B552" s="1" t="s">
        <v>675</v>
      </c>
      <c r="C552" s="1">
        <v>11.766667</v>
      </c>
      <c r="D552" s="1">
        <v>7.2648000000000004E-2</v>
      </c>
      <c r="E552" s="1"/>
    </row>
    <row r="553" spans="1:5" x14ac:dyDescent="0.25">
      <c r="A553" s="1">
        <v>2454395.3362199999</v>
      </c>
      <c r="B553" s="1" t="s">
        <v>150</v>
      </c>
      <c r="C553" s="1">
        <v>11.783333000000001</v>
      </c>
      <c r="D553" s="1">
        <v>5.3418E-2</v>
      </c>
      <c r="E553" s="1"/>
    </row>
    <row r="554" spans="1:5" x14ac:dyDescent="0.25">
      <c r="A554" s="1">
        <v>2454413.07705</v>
      </c>
      <c r="B554" s="1" t="s">
        <v>676</v>
      </c>
      <c r="C554" s="1">
        <v>11.633333</v>
      </c>
      <c r="D554" s="1">
        <v>4.2164E-2</v>
      </c>
      <c r="E554" s="1"/>
    </row>
    <row r="555" spans="1:5" x14ac:dyDescent="0.25">
      <c r="A555" s="1">
        <v>2454502.2000000002</v>
      </c>
      <c r="B555" s="1" t="s">
        <v>151</v>
      </c>
      <c r="C555" s="1">
        <v>11.6</v>
      </c>
      <c r="D555" s="1">
        <v>0</v>
      </c>
      <c r="E555" s="1"/>
    </row>
    <row r="556" spans="1:5" x14ac:dyDescent="0.25">
      <c r="A556" s="1">
        <v>2454513.7000000002</v>
      </c>
      <c r="B556" s="1" t="s">
        <v>152</v>
      </c>
      <c r="C556" s="1">
        <v>11.7</v>
      </c>
      <c r="D556" s="1">
        <v>0</v>
      </c>
      <c r="E556" s="1"/>
    </row>
    <row r="557" spans="1:5" x14ac:dyDescent="0.25">
      <c r="A557" s="1">
        <v>2454537.7000000002</v>
      </c>
      <c r="B557" s="1" t="s">
        <v>677</v>
      </c>
      <c r="C557" s="1">
        <v>11.6</v>
      </c>
      <c r="D557" s="1">
        <v>0</v>
      </c>
      <c r="E557" s="1"/>
    </row>
    <row r="558" spans="1:5" x14ac:dyDescent="0.25">
      <c r="A558" s="1">
        <v>2454574.2749999999</v>
      </c>
      <c r="B558" s="1" t="s">
        <v>678</v>
      </c>
      <c r="C558" s="1">
        <v>11.6</v>
      </c>
      <c r="D558" s="1">
        <v>5.7735000000000002E-2</v>
      </c>
      <c r="E558" s="1"/>
    </row>
    <row r="559" spans="1:5" x14ac:dyDescent="0.25">
      <c r="A559" s="1">
        <v>2454592.4254299998</v>
      </c>
      <c r="B559" s="1" t="s">
        <v>125</v>
      </c>
      <c r="C559" s="1">
        <v>11.614286</v>
      </c>
      <c r="D559" s="1">
        <v>3.4007000000000003E-2</v>
      </c>
      <c r="E559" s="1"/>
    </row>
    <row r="560" spans="1:5" x14ac:dyDescent="0.25">
      <c r="A560" s="1">
        <v>2454613.74089</v>
      </c>
      <c r="B560" s="1" t="s">
        <v>679</v>
      </c>
      <c r="C560" s="1">
        <v>11.442857</v>
      </c>
      <c r="D560" s="1">
        <v>7.8245999999999996E-2</v>
      </c>
      <c r="E560" s="1"/>
    </row>
    <row r="561" spans="1:5" x14ac:dyDescent="0.25">
      <c r="A561" s="1">
        <v>2454629.33555</v>
      </c>
      <c r="B561" s="1" t="s">
        <v>680</v>
      </c>
      <c r="C561" s="1">
        <v>11.545455</v>
      </c>
      <c r="D561" s="1">
        <v>3.8996000000000003E-2</v>
      </c>
      <c r="E561" s="1"/>
    </row>
    <row r="562" spans="1:5" x14ac:dyDescent="0.25">
      <c r="A562" s="1">
        <v>2454647.5044399998</v>
      </c>
      <c r="B562" s="1" t="s">
        <v>153</v>
      </c>
      <c r="C562" s="1">
        <v>11.453333000000001</v>
      </c>
      <c r="D562" s="1">
        <v>3.6340999999999998E-2</v>
      </c>
      <c r="E562" s="1"/>
    </row>
    <row r="563" spans="1:5" x14ac:dyDescent="0.25">
      <c r="A563" s="1">
        <v>2454662.6203600001</v>
      </c>
      <c r="B563" s="1" t="s">
        <v>681</v>
      </c>
      <c r="C563" s="1">
        <v>11.466666999999999</v>
      </c>
      <c r="D563" s="1">
        <v>4.7140000000000001E-2</v>
      </c>
      <c r="E563" s="1"/>
    </row>
    <row r="564" spans="1:5" x14ac:dyDescent="0.25">
      <c r="A564" s="1">
        <v>2454680.2768999999</v>
      </c>
      <c r="B564" s="1" t="s">
        <v>126</v>
      </c>
      <c r="C564" s="1">
        <v>11.42963</v>
      </c>
      <c r="D564" s="1">
        <v>2.7640000000000001E-2</v>
      </c>
      <c r="E564" s="1"/>
    </row>
    <row r="565" spans="1:5" x14ac:dyDescent="0.25">
      <c r="A565" s="1">
        <v>2454694.2392099998</v>
      </c>
      <c r="B565" s="1" t="s">
        <v>682</v>
      </c>
      <c r="C565" s="1">
        <v>11.38</v>
      </c>
      <c r="D565" s="1">
        <v>4.3860999999999997E-2</v>
      </c>
      <c r="E565" s="1"/>
    </row>
    <row r="566" spans="1:5" x14ac:dyDescent="0.25">
      <c r="A566" s="1">
        <v>2454711.10451</v>
      </c>
      <c r="B566" s="1" t="s">
        <v>171</v>
      </c>
      <c r="C566" s="1">
        <v>11.473913</v>
      </c>
      <c r="D566" s="1">
        <v>3.0939000000000001E-2</v>
      </c>
      <c r="E566" s="1"/>
    </row>
    <row r="567" spans="1:5" x14ac:dyDescent="0.25">
      <c r="A567" s="1">
        <v>2454727.0380600002</v>
      </c>
      <c r="B567" s="1" t="s">
        <v>683</v>
      </c>
      <c r="C567" s="1">
        <v>11.277272999999999</v>
      </c>
      <c r="D567" s="1">
        <v>4.6025000000000003E-2</v>
      </c>
      <c r="E567" s="1"/>
    </row>
    <row r="568" spans="1:5" x14ac:dyDescent="0.25">
      <c r="A568" s="1">
        <v>2454740.9594899998</v>
      </c>
      <c r="B568" s="1" t="s">
        <v>684</v>
      </c>
      <c r="C568" s="1">
        <v>11.32</v>
      </c>
      <c r="D568" s="1">
        <v>5.5975999999999998E-2</v>
      </c>
      <c r="E568" s="1"/>
    </row>
    <row r="569" spans="1:5" x14ac:dyDescent="0.25">
      <c r="A569" s="1">
        <v>2454756.49046</v>
      </c>
      <c r="B569" s="1" t="s">
        <v>685</v>
      </c>
      <c r="C569" s="1">
        <v>11.305882</v>
      </c>
      <c r="D569" s="1">
        <v>6.2114000000000003E-2</v>
      </c>
      <c r="E569" s="1"/>
    </row>
    <row r="570" spans="1:5" x14ac:dyDescent="0.25">
      <c r="A570" s="1">
        <v>2454769.0569799999</v>
      </c>
      <c r="B570" s="1" t="s">
        <v>686</v>
      </c>
      <c r="C570" s="1">
        <v>11.366667</v>
      </c>
      <c r="D570" s="1">
        <v>8.8192000000000006E-2</v>
      </c>
      <c r="E570" s="1"/>
    </row>
    <row r="571" spans="1:5" x14ac:dyDescent="0.25">
      <c r="A571" s="1">
        <v>2454796.5</v>
      </c>
      <c r="B571" s="1" t="s">
        <v>687</v>
      </c>
      <c r="C571" s="1">
        <v>11.4</v>
      </c>
      <c r="D571" s="1">
        <v>0</v>
      </c>
      <c r="E571" s="1"/>
    </row>
    <row r="572" spans="1:5" x14ac:dyDescent="0.25">
      <c r="A572" s="1">
        <v>2454850.0225499999</v>
      </c>
      <c r="B572" s="1" t="s">
        <v>128</v>
      </c>
      <c r="C572" s="1">
        <v>11.65</v>
      </c>
      <c r="D572" s="1">
        <v>0.05</v>
      </c>
      <c r="E572" s="1"/>
    </row>
    <row r="573" spans="1:5" x14ac:dyDescent="0.25">
      <c r="A573" s="1">
        <v>2454866.75</v>
      </c>
      <c r="B573" s="1" t="s">
        <v>155</v>
      </c>
      <c r="C573" s="1">
        <v>11.8</v>
      </c>
      <c r="D573" s="1">
        <v>0</v>
      </c>
      <c r="E573" s="1"/>
    </row>
    <row r="574" spans="1:5" x14ac:dyDescent="0.25">
      <c r="A574" s="1">
        <v>2454896.3685300001</v>
      </c>
      <c r="B574" s="1" t="s">
        <v>688</v>
      </c>
      <c r="C574" s="1">
        <v>11.766667</v>
      </c>
      <c r="D574" s="1">
        <v>3.3333000000000002E-2</v>
      </c>
      <c r="E574" s="1"/>
    </row>
    <row r="575" spans="1:5" x14ac:dyDescent="0.25">
      <c r="A575" s="1">
        <v>2454909.6277999999</v>
      </c>
      <c r="B575" s="1" t="s">
        <v>129</v>
      </c>
      <c r="C575" s="1">
        <v>11.7</v>
      </c>
      <c r="D575" s="1">
        <v>0</v>
      </c>
      <c r="E575" s="1"/>
    </row>
    <row r="576" spans="1:5" x14ac:dyDescent="0.25">
      <c r="A576" s="1">
        <v>2454931.2670200001</v>
      </c>
      <c r="B576" s="1" t="s">
        <v>689</v>
      </c>
      <c r="C576" s="1">
        <v>11.883333</v>
      </c>
      <c r="D576" s="1">
        <v>4.0139000000000001E-2</v>
      </c>
      <c r="E576" s="1"/>
    </row>
    <row r="577" spans="1:5" x14ac:dyDescent="0.25">
      <c r="A577" s="1">
        <v>2454947.6588699999</v>
      </c>
      <c r="B577" s="1" t="s">
        <v>690</v>
      </c>
      <c r="C577" s="1">
        <v>11.655556000000001</v>
      </c>
      <c r="D577" s="1">
        <v>2.9397E-2</v>
      </c>
      <c r="E577" s="1"/>
    </row>
    <row r="578" spans="1:5" x14ac:dyDescent="0.25">
      <c r="A578" s="1">
        <v>2454969.6228399999</v>
      </c>
      <c r="B578" s="1" t="s">
        <v>691</v>
      </c>
      <c r="C578" s="1">
        <v>11.6</v>
      </c>
      <c r="D578" s="1">
        <v>3.7553000000000003E-2</v>
      </c>
      <c r="E578" s="1"/>
    </row>
    <row r="579" spans="1:5" x14ac:dyDescent="0.25">
      <c r="A579" s="1">
        <v>2454983.2505600001</v>
      </c>
      <c r="B579" s="1" t="s">
        <v>692</v>
      </c>
      <c r="C579" s="1">
        <v>11.642856999999999</v>
      </c>
      <c r="D579" s="1">
        <v>3.4313000000000003E-2</v>
      </c>
      <c r="E579" s="1"/>
    </row>
    <row r="580" spans="1:5" x14ac:dyDescent="0.25">
      <c r="A580" s="1">
        <v>2455000.3292200002</v>
      </c>
      <c r="B580" s="1" t="s">
        <v>693</v>
      </c>
      <c r="C580" s="1">
        <v>11.58</v>
      </c>
      <c r="D580" s="1">
        <v>2.6754E-2</v>
      </c>
      <c r="E580" s="1"/>
    </row>
    <row r="581" spans="1:5" x14ac:dyDescent="0.25">
      <c r="A581" s="1">
        <v>2455016.9180600001</v>
      </c>
      <c r="B581" s="1" t="s">
        <v>156</v>
      </c>
      <c r="C581" s="1">
        <v>11.547368000000001</v>
      </c>
      <c r="D581" s="1">
        <v>3.2774999999999999E-2</v>
      </c>
      <c r="E581" s="1"/>
    </row>
    <row r="582" spans="1:5" x14ac:dyDescent="0.25">
      <c r="A582" s="1">
        <v>2455031.4326300002</v>
      </c>
      <c r="B582" s="1" t="s">
        <v>694</v>
      </c>
      <c r="C582" s="1">
        <v>11.464706</v>
      </c>
      <c r="D582" s="1">
        <v>2.2294000000000001E-2</v>
      </c>
      <c r="E582" s="1"/>
    </row>
    <row r="583" spans="1:5" x14ac:dyDescent="0.25">
      <c r="A583" s="1">
        <v>2455047.8516699998</v>
      </c>
      <c r="B583" s="1" t="s">
        <v>695</v>
      </c>
      <c r="C583" s="1">
        <v>11.494118</v>
      </c>
      <c r="D583" s="1">
        <v>2.7747000000000001E-2</v>
      </c>
      <c r="E583" s="1"/>
    </row>
    <row r="584" spans="1:5" x14ac:dyDescent="0.25">
      <c r="A584" s="1">
        <v>2455063.5455</v>
      </c>
      <c r="B584" s="1" t="s">
        <v>696</v>
      </c>
      <c r="C584" s="1">
        <v>11.439285999999999</v>
      </c>
      <c r="D584" s="1">
        <v>2.7380999999999999E-2</v>
      </c>
      <c r="E584" s="1"/>
    </row>
    <row r="585" spans="1:5" x14ac:dyDescent="0.25">
      <c r="A585" s="1">
        <v>2455079.0051799999</v>
      </c>
      <c r="B585" s="1" t="s">
        <v>697</v>
      </c>
      <c r="C585" s="1">
        <v>11.468</v>
      </c>
      <c r="D585" s="1">
        <v>2.7519999999999999E-2</v>
      </c>
      <c r="E585" s="1"/>
    </row>
    <row r="586" spans="1:5" x14ac:dyDescent="0.25">
      <c r="A586" s="1">
        <v>2455093.5708599999</v>
      </c>
      <c r="B586" s="1" t="s">
        <v>698</v>
      </c>
      <c r="C586" s="1">
        <v>11.504545</v>
      </c>
      <c r="D586" s="1">
        <v>2.4153999999999998E-2</v>
      </c>
      <c r="E586" s="1"/>
    </row>
    <row r="587" spans="1:5" x14ac:dyDescent="0.25">
      <c r="A587" s="1">
        <v>2455113.9835600001</v>
      </c>
      <c r="B587" s="1" t="s">
        <v>157</v>
      </c>
      <c r="C587" s="1">
        <v>11.45</v>
      </c>
      <c r="D587" s="1">
        <v>2.8868000000000001E-2</v>
      </c>
      <c r="E587" s="1"/>
    </row>
    <row r="588" spans="1:5" x14ac:dyDescent="0.25">
      <c r="A588" s="1">
        <v>2455126.5387599999</v>
      </c>
      <c r="B588" s="1" t="s">
        <v>699</v>
      </c>
      <c r="C588" s="1">
        <v>11.436363999999999</v>
      </c>
      <c r="D588" s="1">
        <v>3.8782999999999998E-2</v>
      </c>
      <c r="E588" s="1"/>
    </row>
    <row r="589" spans="1:5" x14ac:dyDescent="0.25">
      <c r="A589" s="1">
        <v>2455143.0349400002</v>
      </c>
      <c r="B589" s="1" t="s">
        <v>700</v>
      </c>
      <c r="C589" s="1">
        <v>11.47</v>
      </c>
      <c r="D589" s="1">
        <v>2.6034000000000002E-2</v>
      </c>
      <c r="E589" s="1"/>
    </row>
    <row r="590" spans="1:5" x14ac:dyDescent="0.25">
      <c r="A590" s="1">
        <v>2455158.7820600001</v>
      </c>
      <c r="B590" s="1" t="s">
        <v>158</v>
      </c>
      <c r="C590" s="1">
        <v>11.454545</v>
      </c>
      <c r="D590" s="1">
        <v>3.1227999999999999E-2</v>
      </c>
      <c r="E590" s="1"/>
    </row>
    <row r="591" spans="1:5" x14ac:dyDescent="0.25">
      <c r="A591" s="1">
        <v>2455173.4967</v>
      </c>
      <c r="B591" s="1" t="s">
        <v>701</v>
      </c>
      <c r="C591" s="1">
        <v>11.5</v>
      </c>
      <c r="D591" s="1">
        <v>4.0825E-2</v>
      </c>
      <c r="E591" s="1"/>
    </row>
    <row r="592" spans="1:5" x14ac:dyDescent="0.25">
      <c r="A592" s="1">
        <v>2455206.0944300001</v>
      </c>
      <c r="B592" s="1" t="s">
        <v>702</v>
      </c>
      <c r="C592" s="1">
        <v>11.566667000000001</v>
      </c>
      <c r="D592" s="1">
        <v>6.6667000000000004E-2</v>
      </c>
      <c r="E592" s="1"/>
    </row>
    <row r="593" spans="1:5" x14ac:dyDescent="0.25">
      <c r="A593" s="1">
        <v>2455218.7785</v>
      </c>
      <c r="B593" s="1" t="s">
        <v>703</v>
      </c>
      <c r="C593" s="1">
        <v>11.5</v>
      </c>
      <c r="D593" s="1">
        <v>0</v>
      </c>
      <c r="E593" s="1"/>
    </row>
    <row r="594" spans="1:5" x14ac:dyDescent="0.25">
      <c r="A594" s="1">
        <v>2455246.4627800002</v>
      </c>
      <c r="B594" s="1" t="s">
        <v>159</v>
      </c>
      <c r="C594" s="1">
        <v>11.45</v>
      </c>
      <c r="D594" s="1">
        <v>8.6602999999999999E-2</v>
      </c>
      <c r="E594" s="1"/>
    </row>
    <row r="595" spans="1:5" x14ac:dyDescent="0.25">
      <c r="A595" s="1">
        <v>2455260.7149</v>
      </c>
      <c r="B595" s="1" t="s">
        <v>704</v>
      </c>
      <c r="C595" s="1">
        <v>11.65</v>
      </c>
      <c r="D595" s="1">
        <v>0.05</v>
      </c>
      <c r="E595" s="1"/>
    </row>
    <row r="596" spans="1:5" x14ac:dyDescent="0.25">
      <c r="A596" s="1">
        <v>2455278.5823599999</v>
      </c>
      <c r="B596" s="1" t="s">
        <v>705</v>
      </c>
      <c r="C596" s="1">
        <v>11.6</v>
      </c>
      <c r="D596" s="1">
        <v>0</v>
      </c>
      <c r="E596" s="1"/>
    </row>
    <row r="597" spans="1:5" x14ac:dyDescent="0.25">
      <c r="A597" s="1">
        <v>2455301.2092300002</v>
      </c>
      <c r="B597" s="1" t="s">
        <v>706</v>
      </c>
      <c r="C597" s="1">
        <v>11.5</v>
      </c>
      <c r="D597" s="1">
        <v>4.7140000000000001E-2</v>
      </c>
      <c r="E597" s="1"/>
    </row>
    <row r="598" spans="1:5" x14ac:dyDescent="0.25">
      <c r="A598" s="1">
        <v>2455318.8740500002</v>
      </c>
      <c r="B598" s="1" t="s">
        <v>707</v>
      </c>
      <c r="C598" s="1">
        <v>11.425000000000001</v>
      </c>
      <c r="D598" s="1">
        <v>8.5390999999999995E-2</v>
      </c>
      <c r="E598" s="1"/>
    </row>
    <row r="599" spans="1:5" x14ac:dyDescent="0.25">
      <c r="A599" s="1">
        <v>2455334.45273</v>
      </c>
      <c r="B599" s="1" t="s">
        <v>708</v>
      </c>
      <c r="C599" s="1">
        <v>11.44</v>
      </c>
      <c r="D599" s="1">
        <v>4.2687000000000003E-2</v>
      </c>
      <c r="E599" s="1"/>
    </row>
    <row r="600" spans="1:5" x14ac:dyDescent="0.25">
      <c r="A600" s="1">
        <v>2455353.24278</v>
      </c>
      <c r="B600" s="1" t="s">
        <v>161</v>
      </c>
      <c r="C600" s="1">
        <v>11.507692</v>
      </c>
      <c r="D600" s="1">
        <v>2.3916E-2</v>
      </c>
      <c r="E600" s="1"/>
    </row>
    <row r="601" spans="1:5" x14ac:dyDescent="0.25">
      <c r="A601" s="1">
        <v>2455367.53865</v>
      </c>
      <c r="B601" s="1" t="s">
        <v>709</v>
      </c>
      <c r="C601" s="1">
        <v>11.5</v>
      </c>
      <c r="D601" s="1">
        <v>2.5819999999999999E-2</v>
      </c>
      <c r="E601" s="1"/>
    </row>
    <row r="602" spans="1:5" x14ac:dyDescent="0.25">
      <c r="A602" s="1">
        <v>2455385.7361099999</v>
      </c>
      <c r="B602" s="1" t="s">
        <v>162</v>
      </c>
      <c r="C602" s="1">
        <v>11.481249999999999</v>
      </c>
      <c r="D602" s="1">
        <v>3.7879999999999997E-2</v>
      </c>
      <c r="E602" s="1"/>
    </row>
    <row r="603" spans="1:5" x14ac:dyDescent="0.25">
      <c r="A603" s="1">
        <v>2455400.7681399998</v>
      </c>
      <c r="B603" s="1" t="s">
        <v>710</v>
      </c>
      <c r="C603" s="1">
        <v>11.48</v>
      </c>
      <c r="D603" s="1">
        <v>6.4635999999999999E-2</v>
      </c>
      <c r="E603" s="1"/>
    </row>
    <row r="604" spans="1:5" x14ac:dyDescent="0.25">
      <c r="A604" s="1">
        <v>2455419.3683799999</v>
      </c>
      <c r="B604" s="1" t="s">
        <v>711</v>
      </c>
      <c r="C604" s="1">
        <v>11.455</v>
      </c>
      <c r="D604" s="1">
        <v>4.1342999999999998E-2</v>
      </c>
      <c r="E604" s="1"/>
    </row>
    <row r="605" spans="1:5" x14ac:dyDescent="0.25">
      <c r="A605" s="1">
        <v>2455434.6602500002</v>
      </c>
      <c r="B605" s="1" t="s">
        <v>712</v>
      </c>
      <c r="C605" s="1">
        <v>11.525</v>
      </c>
      <c r="D605" s="1">
        <v>4.2861999999999997E-2</v>
      </c>
      <c r="E605" s="1"/>
    </row>
    <row r="606" spans="1:5" x14ac:dyDescent="0.25">
      <c r="A606" s="1">
        <v>2455450.73624</v>
      </c>
      <c r="B606" s="1" t="s">
        <v>164</v>
      </c>
      <c r="C606" s="1">
        <v>11.5</v>
      </c>
      <c r="D606" s="1">
        <v>5.7417000000000003E-2</v>
      </c>
      <c r="E606" s="1"/>
    </row>
    <row r="607" spans="1:5" x14ac:dyDescent="0.25">
      <c r="A607" s="1">
        <v>2455468.1312500001</v>
      </c>
      <c r="B607" s="1" t="s">
        <v>713</v>
      </c>
      <c r="C607" s="1">
        <v>11.485714</v>
      </c>
      <c r="D607" s="1">
        <v>9.3677999999999997E-2</v>
      </c>
      <c r="E607" s="1"/>
    </row>
    <row r="608" spans="1:5" x14ac:dyDescent="0.25">
      <c r="A608" s="1">
        <v>2455480.9583800002</v>
      </c>
      <c r="B608" s="1" t="s">
        <v>165</v>
      </c>
      <c r="C608" s="1">
        <v>11.517647</v>
      </c>
      <c r="D608" s="1">
        <v>4.6364000000000002E-2</v>
      </c>
      <c r="E608" s="1"/>
    </row>
    <row r="609" spans="1:5" x14ac:dyDescent="0.25">
      <c r="A609" s="1">
        <v>2455499.4493499999</v>
      </c>
      <c r="B609" s="1" t="s">
        <v>714</v>
      </c>
      <c r="C609" s="1">
        <v>11.574999999999999</v>
      </c>
      <c r="D609" s="1">
        <v>6.1962000000000003E-2</v>
      </c>
      <c r="E609" s="1"/>
    </row>
    <row r="610" spans="1:5" x14ac:dyDescent="0.25">
      <c r="A610" s="1">
        <v>2455517.38472</v>
      </c>
      <c r="B610" s="1" t="s">
        <v>715</v>
      </c>
      <c r="C610" s="1">
        <v>11.72</v>
      </c>
      <c r="D610" s="1">
        <v>0.111355</v>
      </c>
      <c r="E610" s="1"/>
    </row>
    <row r="611" spans="1:5" x14ac:dyDescent="0.25">
      <c r="A611" s="1">
        <v>2455530.8333299998</v>
      </c>
      <c r="B611" s="1" t="s">
        <v>166</v>
      </c>
      <c r="C611" s="1">
        <v>11.5</v>
      </c>
      <c r="D611" s="1">
        <v>0</v>
      </c>
      <c r="E611" s="1"/>
    </row>
    <row r="612" spans="1:5" x14ac:dyDescent="0.25">
      <c r="A612" s="1">
        <v>2455685.5189999999</v>
      </c>
      <c r="B612" s="1" t="s">
        <v>716</v>
      </c>
      <c r="C612" s="1">
        <v>11.566667000000001</v>
      </c>
      <c r="D612" s="1">
        <v>3.3333000000000002E-2</v>
      </c>
      <c r="E612" s="1"/>
    </row>
    <row r="613" spans="1:5" x14ac:dyDescent="0.25">
      <c r="A613" s="1">
        <v>2455712.0042500002</v>
      </c>
      <c r="B613" s="1" t="s">
        <v>717</v>
      </c>
      <c r="C613" s="1">
        <v>11.463635999999999</v>
      </c>
      <c r="D613" s="1">
        <v>3.6364E-2</v>
      </c>
      <c r="E613" s="1"/>
    </row>
    <row r="614" spans="1:5" x14ac:dyDescent="0.25">
      <c r="A614" s="1">
        <v>2455725.9452499999</v>
      </c>
      <c r="B614" s="1" t="s">
        <v>718</v>
      </c>
      <c r="C614" s="1">
        <v>11.4</v>
      </c>
      <c r="D614" s="1">
        <v>0.1</v>
      </c>
      <c r="E614" s="1"/>
    </row>
    <row r="615" spans="1:5" x14ac:dyDescent="0.25">
      <c r="A615" s="1">
        <v>2455741.76884</v>
      </c>
      <c r="B615" s="1" t="s">
        <v>719</v>
      </c>
      <c r="C615" s="1">
        <v>11.45</v>
      </c>
      <c r="D615" s="1">
        <v>5.6272999999999997E-2</v>
      </c>
      <c r="E615" s="1"/>
    </row>
    <row r="616" spans="1:5" x14ac:dyDescent="0.25">
      <c r="A616" s="1">
        <v>2455759.6770299999</v>
      </c>
      <c r="B616" s="1" t="s">
        <v>720</v>
      </c>
      <c r="C616" s="1">
        <v>11.454545</v>
      </c>
      <c r="D616" s="1">
        <v>2.4729999999999999E-2</v>
      </c>
      <c r="E616" s="1"/>
    </row>
    <row r="617" spans="1:5" x14ac:dyDescent="0.25">
      <c r="A617" s="1">
        <v>2455774.2778500002</v>
      </c>
      <c r="B617" s="1" t="s">
        <v>167</v>
      </c>
      <c r="C617" s="1">
        <v>11.52</v>
      </c>
      <c r="D617" s="1">
        <v>3.1168000000000001E-2</v>
      </c>
      <c r="E617" s="1"/>
    </row>
    <row r="618" spans="1:5" x14ac:dyDescent="0.25">
      <c r="A618" s="1">
        <v>2455790.7190999999</v>
      </c>
      <c r="B618" s="1" t="s">
        <v>721</v>
      </c>
      <c r="C618" s="1">
        <v>11.457143</v>
      </c>
      <c r="D618" s="1">
        <v>2.2436999999999999E-2</v>
      </c>
      <c r="E618" s="1"/>
    </row>
    <row r="619" spans="1:5" x14ac:dyDescent="0.25">
      <c r="A619" s="1">
        <v>2455803.3382299999</v>
      </c>
      <c r="B619" s="1" t="s">
        <v>722</v>
      </c>
      <c r="C619" s="1">
        <v>11.404999999999999</v>
      </c>
      <c r="D619" s="1">
        <v>3.0327E-2</v>
      </c>
      <c r="E619" s="1"/>
    </row>
    <row r="620" spans="1:5" x14ac:dyDescent="0.25">
      <c r="A620" s="1">
        <v>2455824.7905100002</v>
      </c>
      <c r="B620" s="1" t="s">
        <v>132</v>
      </c>
      <c r="C620" s="1">
        <v>11.304762</v>
      </c>
      <c r="D620" s="1">
        <v>4.6535E-2</v>
      </c>
      <c r="E620" s="1"/>
    </row>
    <row r="621" spans="1:5" x14ac:dyDescent="0.25">
      <c r="A621" s="1">
        <v>2455837.7419799999</v>
      </c>
      <c r="B621" s="1" t="s">
        <v>723</v>
      </c>
      <c r="C621" s="1">
        <v>11.345454999999999</v>
      </c>
      <c r="D621" s="1">
        <v>4.9292999999999997E-2</v>
      </c>
      <c r="E621" s="1"/>
    </row>
    <row r="622" spans="1:5" x14ac:dyDescent="0.25">
      <c r="A622" s="1">
        <v>2455855.7178000002</v>
      </c>
      <c r="B622" s="1" t="s">
        <v>168</v>
      </c>
      <c r="C622" s="1">
        <v>11.44</v>
      </c>
      <c r="D622" s="1">
        <v>4.9889000000000003E-2</v>
      </c>
      <c r="E622" s="1"/>
    </row>
    <row r="623" spans="1:5" x14ac:dyDescent="0.25">
      <c r="A623" s="1">
        <v>2455870.5911400001</v>
      </c>
      <c r="B623" s="1" t="s">
        <v>169</v>
      </c>
      <c r="C623" s="1">
        <v>11.328571</v>
      </c>
      <c r="D623" s="1">
        <v>4.7379999999999999E-2</v>
      </c>
      <c r="E623" s="1"/>
    </row>
    <row r="624" spans="1:5" x14ac:dyDescent="0.25">
      <c r="A624" s="1">
        <v>2455889.0077999998</v>
      </c>
      <c r="B624" s="1" t="s">
        <v>724</v>
      </c>
      <c r="C624" s="1">
        <v>11.26</v>
      </c>
      <c r="D624" s="1">
        <v>2.4494999999999999E-2</v>
      </c>
      <c r="E624" s="1"/>
    </row>
    <row r="625" spans="1:5" x14ac:dyDescent="0.25">
      <c r="A625" s="1">
        <v>2455907</v>
      </c>
      <c r="B625" s="1" t="s">
        <v>725</v>
      </c>
      <c r="C625" s="1">
        <v>11.25</v>
      </c>
      <c r="D625" s="1">
        <v>0.05</v>
      </c>
      <c r="E625" s="1"/>
    </row>
    <row r="626" spans="1:5" x14ac:dyDescent="0.25">
      <c r="A626" s="1">
        <v>2456035.1580500002</v>
      </c>
      <c r="B626" s="1" t="s">
        <v>726</v>
      </c>
      <c r="C626" s="1">
        <v>11.35</v>
      </c>
      <c r="D626" s="1">
        <v>0.05</v>
      </c>
      <c r="E626" s="1"/>
    </row>
    <row r="627" spans="1:5" x14ac:dyDescent="0.25">
      <c r="A627" s="1">
        <v>2456065.0172000001</v>
      </c>
      <c r="B627" s="1" t="s">
        <v>727</v>
      </c>
      <c r="C627" s="1">
        <v>11.554544999999999</v>
      </c>
      <c r="D627" s="1">
        <v>3.4014999999999997E-2</v>
      </c>
      <c r="E627" s="1"/>
    </row>
    <row r="628" spans="1:5" x14ac:dyDescent="0.25">
      <c r="A628" s="1">
        <v>2456078.9249499999</v>
      </c>
      <c r="B628" s="1" t="s">
        <v>728</v>
      </c>
      <c r="C628" s="1">
        <v>11.483333</v>
      </c>
      <c r="D628" s="1">
        <v>7.9231999999999997E-2</v>
      </c>
      <c r="E628" s="1"/>
    </row>
    <row r="629" spans="1:5" x14ac:dyDescent="0.25">
      <c r="A629" s="1">
        <v>2456098.3678600001</v>
      </c>
      <c r="B629" s="1" t="s">
        <v>729</v>
      </c>
      <c r="C629" s="1">
        <v>11.566667000000001</v>
      </c>
      <c r="D629" s="1">
        <v>5.2705000000000002E-2</v>
      </c>
      <c r="E629" s="1"/>
    </row>
    <row r="630" spans="1:5" x14ac:dyDescent="0.25">
      <c r="A630" s="1">
        <v>2456116.1959199999</v>
      </c>
      <c r="B630" s="1" t="s">
        <v>730</v>
      </c>
      <c r="C630" s="1">
        <v>11.536364000000001</v>
      </c>
      <c r="D630" s="1">
        <v>5.4393999999999998E-2</v>
      </c>
      <c r="E630" s="1"/>
    </row>
    <row r="631" spans="1:5" x14ac:dyDescent="0.25">
      <c r="A631" s="1">
        <v>2456128.5184900002</v>
      </c>
      <c r="B631" s="1" t="s">
        <v>731</v>
      </c>
      <c r="C631" s="1">
        <v>11.55</v>
      </c>
      <c r="D631" s="1">
        <v>5.7075000000000001E-2</v>
      </c>
      <c r="E631" s="1"/>
    </row>
    <row r="632" spans="1:5" x14ac:dyDescent="0.25">
      <c r="A632" s="1">
        <v>2456144.8901300002</v>
      </c>
      <c r="B632" s="1" t="s">
        <v>732</v>
      </c>
      <c r="C632" s="1">
        <v>11.377273000000001</v>
      </c>
      <c r="D632" s="1">
        <v>2.2727000000000001E-2</v>
      </c>
      <c r="E632" s="1"/>
    </row>
    <row r="633" spans="1:5" x14ac:dyDescent="0.25">
      <c r="A633" s="1">
        <v>2456159.4401600002</v>
      </c>
      <c r="B633" s="1" t="s">
        <v>134</v>
      </c>
      <c r="C633" s="1">
        <v>11.469564999999999</v>
      </c>
      <c r="D633" s="1">
        <v>3.5804999999999997E-2</v>
      </c>
      <c r="E633" s="1"/>
    </row>
    <row r="634" spans="1:5" x14ac:dyDescent="0.25">
      <c r="A634" s="1">
        <v>2456178.6313700001</v>
      </c>
      <c r="B634" s="1" t="s">
        <v>733</v>
      </c>
      <c r="C634" s="1">
        <v>11.458333</v>
      </c>
      <c r="D634" s="1">
        <v>3.0643E-2</v>
      </c>
      <c r="E634" s="1"/>
    </row>
    <row r="635" spans="1:5" x14ac:dyDescent="0.25">
      <c r="A635" s="1">
        <v>2456191.9964200002</v>
      </c>
      <c r="B635" s="1" t="s">
        <v>734</v>
      </c>
      <c r="C635" s="1">
        <v>11.387499999999999</v>
      </c>
      <c r="D635" s="1">
        <v>2.6452E-2</v>
      </c>
      <c r="E635" s="1"/>
    </row>
    <row r="636" spans="1:5" x14ac:dyDescent="0.25">
      <c r="A636" s="1">
        <v>2456207.8432399998</v>
      </c>
      <c r="B636" s="1" t="s">
        <v>735</v>
      </c>
      <c r="C636" s="1">
        <v>11.46</v>
      </c>
      <c r="D636" s="1">
        <v>5.7570000000000003E-2</v>
      </c>
      <c r="E636" s="1"/>
    </row>
    <row r="637" spans="1:5" x14ac:dyDescent="0.25">
      <c r="A637" s="1">
        <v>2456219.2416900001</v>
      </c>
      <c r="B637" s="1" t="s">
        <v>736</v>
      </c>
      <c r="C637" s="1">
        <v>11.488889</v>
      </c>
      <c r="D637" s="1">
        <v>5.8793999999999999E-2</v>
      </c>
      <c r="E637" s="1"/>
    </row>
    <row r="638" spans="1:5" x14ac:dyDescent="0.25">
      <c r="A638" s="1">
        <v>2456244.9128200002</v>
      </c>
      <c r="B638" s="1" t="s">
        <v>737</v>
      </c>
      <c r="C638" s="1">
        <v>11.454545</v>
      </c>
      <c r="D638" s="1">
        <v>2.0729999999999998E-2</v>
      </c>
      <c r="E638" s="1"/>
    </row>
    <row r="639" spans="1:5" x14ac:dyDescent="0.25">
      <c r="A639" s="1">
        <v>2456257.2634999999</v>
      </c>
      <c r="B639" s="1" t="s">
        <v>738</v>
      </c>
      <c r="C639" s="1">
        <v>11.516667</v>
      </c>
      <c r="D639" s="1">
        <v>4.0139000000000001E-2</v>
      </c>
      <c r="E639" s="1"/>
    </row>
    <row r="640" spans="1:5" x14ac:dyDescent="0.25">
      <c r="A640" s="1">
        <v>2456275.1666700002</v>
      </c>
      <c r="B640" s="1" t="s">
        <v>135</v>
      </c>
      <c r="C640" s="1">
        <v>11.433332999999999</v>
      </c>
      <c r="D640" s="1">
        <v>3.3333000000000002E-2</v>
      </c>
      <c r="E640" s="1"/>
    </row>
    <row r="641" spans="1:5" x14ac:dyDescent="0.25">
      <c r="A641" s="1">
        <v>2456398.2949999999</v>
      </c>
      <c r="B641" s="1" t="s">
        <v>739</v>
      </c>
      <c r="C641" s="1">
        <v>11.46</v>
      </c>
      <c r="D641" s="1">
        <v>0.04</v>
      </c>
      <c r="E641" s="1"/>
    </row>
    <row r="642" spans="1:5" x14ac:dyDescent="0.25">
      <c r="A642" s="1">
        <v>2456414.3080600002</v>
      </c>
      <c r="B642" s="1" t="s">
        <v>740</v>
      </c>
      <c r="C642" s="1">
        <v>11.364706</v>
      </c>
      <c r="D642" s="1">
        <v>1.1946999999999999E-2</v>
      </c>
      <c r="E642" s="1"/>
    </row>
    <row r="643" spans="1:5" x14ac:dyDescent="0.25">
      <c r="A643" s="1">
        <v>2456431.5281400001</v>
      </c>
      <c r="B643" s="1" t="s">
        <v>741</v>
      </c>
      <c r="C643" s="1">
        <v>11.39</v>
      </c>
      <c r="D643" s="1">
        <v>3.7858999999999997E-2</v>
      </c>
      <c r="E643" s="1"/>
    </row>
    <row r="644" spans="1:5" x14ac:dyDescent="0.25">
      <c r="A644" s="1">
        <v>2456453.11742</v>
      </c>
      <c r="B644" s="1" t="s">
        <v>742</v>
      </c>
      <c r="C644" s="1">
        <v>11.452940999999999</v>
      </c>
      <c r="D644" s="1">
        <v>2.4431000000000001E-2</v>
      </c>
      <c r="E644" s="1"/>
    </row>
    <row r="645" spans="1:5" x14ac:dyDescent="0.25">
      <c r="A645" s="1">
        <v>2456472.9942800002</v>
      </c>
      <c r="B645" s="1" t="s">
        <v>743</v>
      </c>
      <c r="C645" s="1">
        <v>11.442105</v>
      </c>
      <c r="D645" s="1">
        <v>2.4560999999999999E-2</v>
      </c>
      <c r="E645" s="1"/>
    </row>
    <row r="646" spans="1:5" x14ac:dyDescent="0.25">
      <c r="A646" s="1">
        <v>2456484.7133599999</v>
      </c>
      <c r="B646" s="1" t="s">
        <v>137</v>
      </c>
      <c r="C646" s="1">
        <v>11.403846</v>
      </c>
      <c r="D646" s="1">
        <v>2.4483000000000001E-2</v>
      </c>
      <c r="E646" s="1"/>
    </row>
    <row r="647" spans="1:5" x14ac:dyDescent="0.25">
      <c r="A647" s="1">
        <v>2456507.58751</v>
      </c>
      <c r="B647" s="1" t="s">
        <v>744</v>
      </c>
      <c r="C647" s="1">
        <v>11.431578999999999</v>
      </c>
      <c r="D647" s="1">
        <v>1.9269999999999999E-2</v>
      </c>
      <c r="E647" s="1"/>
    </row>
    <row r="648" spans="1:5" x14ac:dyDescent="0.25">
      <c r="A648" s="1">
        <v>2456519.1484599998</v>
      </c>
      <c r="B648" s="1" t="s">
        <v>745</v>
      </c>
      <c r="C648" s="1">
        <v>11.392593</v>
      </c>
      <c r="D648" s="1">
        <v>2.0621E-2</v>
      </c>
      <c r="E648" s="1"/>
    </row>
    <row r="649" spans="1:5" x14ac:dyDescent="0.25">
      <c r="A649" s="1">
        <v>2456536.0170700001</v>
      </c>
      <c r="B649" s="1" t="s">
        <v>746</v>
      </c>
      <c r="C649" s="1">
        <v>11.415789</v>
      </c>
      <c r="D649" s="1">
        <v>1.6233999999999998E-2</v>
      </c>
      <c r="E649" s="1"/>
    </row>
    <row r="650" spans="1:5" x14ac:dyDescent="0.25">
      <c r="A650" s="1">
        <v>2456552.7229900002</v>
      </c>
      <c r="B650" s="1" t="s">
        <v>747</v>
      </c>
      <c r="C650" s="1">
        <v>11.41</v>
      </c>
      <c r="D650" s="1">
        <v>2.5026E-2</v>
      </c>
      <c r="E650" s="1"/>
    </row>
    <row r="651" spans="1:5" x14ac:dyDescent="0.25">
      <c r="A651" s="1">
        <v>2456567.01609</v>
      </c>
      <c r="B651" s="1" t="s">
        <v>748</v>
      </c>
      <c r="C651" s="1">
        <v>11.365385</v>
      </c>
      <c r="D651" s="1">
        <v>2.2148000000000001E-2</v>
      </c>
      <c r="E651" s="1"/>
    </row>
    <row r="652" spans="1:5" x14ac:dyDescent="0.25">
      <c r="A652" s="1">
        <v>2456579.0024600001</v>
      </c>
      <c r="B652" s="1" t="s">
        <v>749</v>
      </c>
      <c r="C652" s="1">
        <v>11.409091</v>
      </c>
      <c r="D652" s="1">
        <v>3.6815000000000001E-2</v>
      </c>
      <c r="E652" s="1"/>
    </row>
    <row r="653" spans="1:5" x14ac:dyDescent="0.25">
      <c r="A653" s="1">
        <v>2456596.9138799999</v>
      </c>
      <c r="B653" s="1" t="s">
        <v>138</v>
      </c>
      <c r="C653" s="1">
        <v>11.358333</v>
      </c>
      <c r="D653" s="1">
        <v>2.8757999999999999E-2</v>
      </c>
      <c r="E653" s="1"/>
    </row>
    <row r="654" spans="1:5" x14ac:dyDescent="0.25">
      <c r="A654" s="1">
        <v>2456612.5897499998</v>
      </c>
      <c r="B654" s="1" t="s">
        <v>750</v>
      </c>
      <c r="C654" s="1">
        <v>11.35</v>
      </c>
      <c r="D654" s="1">
        <v>2.8868000000000001E-2</v>
      </c>
      <c r="E654" s="1"/>
    </row>
    <row r="655" spans="1:5" x14ac:dyDescent="0.25">
      <c r="A655" s="1">
        <v>2456740.6850000001</v>
      </c>
      <c r="B655" s="1" t="s">
        <v>751</v>
      </c>
      <c r="C655" s="1">
        <v>11.6</v>
      </c>
      <c r="D655" s="1">
        <v>0</v>
      </c>
      <c r="E655" s="1"/>
    </row>
    <row r="656" spans="1:5" x14ac:dyDescent="0.25">
      <c r="A656" s="1">
        <v>2456759.98544</v>
      </c>
      <c r="B656" s="1" t="s">
        <v>752</v>
      </c>
      <c r="C656" s="1">
        <v>11.56</v>
      </c>
      <c r="D656" s="1">
        <v>6.7822999999999994E-2</v>
      </c>
      <c r="E656" s="1"/>
    </row>
    <row r="657" spans="1:5" x14ac:dyDescent="0.25">
      <c r="A657" s="1">
        <v>2456781.0032000002</v>
      </c>
      <c r="B657" s="1" t="s">
        <v>753</v>
      </c>
      <c r="C657" s="1">
        <v>11.55</v>
      </c>
      <c r="D657" s="1">
        <v>2.8868000000000001E-2</v>
      </c>
      <c r="E657" s="1"/>
    </row>
    <row r="658" spans="1:5" x14ac:dyDescent="0.25">
      <c r="A658" s="1">
        <v>2456797.1855700002</v>
      </c>
      <c r="B658" s="1" t="s">
        <v>4</v>
      </c>
      <c r="C658" s="1">
        <v>11.677778</v>
      </c>
      <c r="D658" s="1">
        <v>2.7778000000000001E-2</v>
      </c>
      <c r="E658" s="1"/>
    </row>
    <row r="659" spans="1:5" x14ac:dyDescent="0.25">
      <c r="A659" s="1">
        <v>2456815.4652300002</v>
      </c>
      <c r="B659" s="1" t="s">
        <v>754</v>
      </c>
      <c r="C659" s="1">
        <v>11.564285999999999</v>
      </c>
      <c r="D659" s="1">
        <v>3.2492E-2</v>
      </c>
      <c r="E659" s="1"/>
    </row>
    <row r="660" spans="1:5" x14ac:dyDescent="0.25">
      <c r="A660" s="1">
        <v>2456831.3750999998</v>
      </c>
      <c r="B660" s="1" t="s">
        <v>755</v>
      </c>
      <c r="C660" s="1">
        <v>11.691667000000001</v>
      </c>
      <c r="D660" s="1">
        <v>3.9807000000000002E-2</v>
      </c>
      <c r="E660" s="1"/>
    </row>
    <row r="661" spans="1:5" x14ac:dyDescent="0.25">
      <c r="A661" s="1">
        <v>2456848.23055</v>
      </c>
      <c r="B661" s="1" t="s">
        <v>756</v>
      </c>
      <c r="C661" s="1">
        <v>11.6</v>
      </c>
      <c r="D661" s="1">
        <v>4.1223000000000003E-2</v>
      </c>
      <c r="E661" s="1"/>
    </row>
    <row r="662" spans="1:5" x14ac:dyDescent="0.25">
      <c r="A662" s="1">
        <v>2456862.7563399998</v>
      </c>
      <c r="B662" s="1" t="s">
        <v>757</v>
      </c>
      <c r="C662" s="1">
        <v>11.535135</v>
      </c>
      <c r="D662" s="1">
        <v>2.4265999999999999E-2</v>
      </c>
      <c r="E662" s="1"/>
    </row>
    <row r="663" spans="1:5" x14ac:dyDescent="0.25">
      <c r="A663" s="1">
        <v>2456881.8062700001</v>
      </c>
      <c r="B663" s="1" t="s">
        <v>758</v>
      </c>
      <c r="C663" s="1">
        <v>11.529412000000001</v>
      </c>
      <c r="D663" s="1">
        <v>3.6142000000000001E-2</v>
      </c>
      <c r="E663" s="1"/>
    </row>
    <row r="664" spans="1:5" x14ac:dyDescent="0.25">
      <c r="A664" s="1">
        <v>2456894.8763100002</v>
      </c>
      <c r="B664" s="1" t="s">
        <v>5</v>
      </c>
      <c r="C664" s="1">
        <v>11.465217000000001</v>
      </c>
      <c r="D664" s="1">
        <v>1.7642999999999999E-2</v>
      </c>
      <c r="E664" s="1"/>
    </row>
    <row r="665" spans="1:5" x14ac:dyDescent="0.25">
      <c r="A665" s="1">
        <v>2456910.5298199998</v>
      </c>
      <c r="B665" s="1" t="s">
        <v>759</v>
      </c>
      <c r="C665" s="1">
        <v>11.379167000000001</v>
      </c>
      <c r="D665" s="1">
        <v>2.4802999999999999E-2</v>
      </c>
      <c r="E665" s="1"/>
    </row>
    <row r="666" spans="1:5" x14ac:dyDescent="0.25">
      <c r="A666" s="1">
        <v>2456924.7106400002</v>
      </c>
      <c r="B666" s="1" t="s">
        <v>760</v>
      </c>
      <c r="C666" s="1">
        <v>11.454545</v>
      </c>
      <c r="D666" s="1">
        <v>3.4014999999999997E-2</v>
      </c>
      <c r="E666" s="1"/>
    </row>
    <row r="667" spans="1:5" x14ac:dyDescent="0.25">
      <c r="A667" s="1">
        <v>2456940.5490000001</v>
      </c>
      <c r="B667" s="1" t="s">
        <v>3</v>
      </c>
      <c r="C667" s="1">
        <v>11.365</v>
      </c>
      <c r="D667" s="1">
        <v>2.8354000000000001E-2</v>
      </c>
      <c r="E667" s="1"/>
    </row>
    <row r="668" spans="1:5" x14ac:dyDescent="0.25">
      <c r="A668" s="1">
        <v>2456953.4747299999</v>
      </c>
      <c r="B668" s="1" t="s">
        <v>761</v>
      </c>
      <c r="C668" s="1">
        <v>11.370588</v>
      </c>
      <c r="D668" s="1">
        <v>3.0636E-2</v>
      </c>
      <c r="E668" s="1"/>
    </row>
    <row r="669" spans="1:5" x14ac:dyDescent="0.25">
      <c r="A669" s="1">
        <v>2456970.6807400002</v>
      </c>
      <c r="B669" s="1" t="s">
        <v>762</v>
      </c>
      <c r="C669" s="1">
        <v>11.49</v>
      </c>
      <c r="D669" s="1">
        <v>2.7688999999999998E-2</v>
      </c>
      <c r="E669" s="1"/>
    </row>
    <row r="670" spans="1:5" x14ac:dyDescent="0.25">
      <c r="A670" s="1">
        <v>2456984.2659999998</v>
      </c>
      <c r="B670" s="1" t="s">
        <v>763</v>
      </c>
      <c r="C670" s="1">
        <v>11.7</v>
      </c>
      <c r="D670" s="1">
        <v>0</v>
      </c>
      <c r="E670" s="1"/>
    </row>
    <row r="671" spans="1:5" x14ac:dyDescent="0.25">
      <c r="A671" s="1">
        <v>2457095.6771</v>
      </c>
      <c r="B671" s="1" t="s">
        <v>764</v>
      </c>
      <c r="C671" s="1">
        <v>11.4</v>
      </c>
      <c r="D671" s="1">
        <v>0</v>
      </c>
      <c r="E671" s="1"/>
    </row>
    <row r="672" spans="1:5" x14ac:dyDescent="0.25">
      <c r="A672" s="1">
        <v>2457143.2102999999</v>
      </c>
      <c r="B672" s="1" t="s">
        <v>0</v>
      </c>
      <c r="C672" s="1">
        <v>11.566667000000001</v>
      </c>
      <c r="D672" s="1">
        <v>3.3333000000000002E-2</v>
      </c>
      <c r="E672" s="1"/>
    </row>
    <row r="673" spans="1:5" x14ac:dyDescent="0.25">
      <c r="A673" s="1">
        <v>2457163.14787</v>
      </c>
      <c r="B673" s="1" t="s">
        <v>1</v>
      </c>
      <c r="C673" s="1">
        <v>11.589473999999999</v>
      </c>
      <c r="D673" s="1">
        <v>3.1432000000000002E-2</v>
      </c>
      <c r="E673" s="1"/>
    </row>
    <row r="674" spans="1:5" x14ac:dyDescent="0.25">
      <c r="A674" s="1">
        <v>2457179.5667599998</v>
      </c>
      <c r="B674" s="1" t="s">
        <v>765</v>
      </c>
      <c r="C674" s="1">
        <v>11.521428999999999</v>
      </c>
      <c r="D674" s="1">
        <v>2.9978999999999999E-2</v>
      </c>
      <c r="E674" s="1"/>
    </row>
    <row r="675" spans="1:5" x14ac:dyDescent="0.25">
      <c r="A675" s="1">
        <v>2457193.14555</v>
      </c>
      <c r="B675" s="1" t="s">
        <v>2</v>
      </c>
      <c r="C675" s="1">
        <v>11.483333</v>
      </c>
      <c r="D675" s="1">
        <v>2.4587999999999999E-2</v>
      </c>
      <c r="E675" s="1"/>
    </row>
    <row r="676" spans="1:5" x14ac:dyDescent="0.25">
      <c r="A676" s="1">
        <v>2457211.7963999999</v>
      </c>
      <c r="B676" s="1" t="s">
        <v>766</v>
      </c>
      <c r="C676" s="1">
        <v>11.490475999999999</v>
      </c>
      <c r="D676" s="1">
        <v>2.4788999999999999E-2</v>
      </c>
      <c r="E676" s="1"/>
    </row>
    <row r="677" spans="1:5" x14ac:dyDescent="0.25">
      <c r="A677" s="1">
        <v>2457224.2688500001</v>
      </c>
      <c r="B677" s="1" t="s">
        <v>767</v>
      </c>
      <c r="C677" s="1">
        <v>11.489474</v>
      </c>
      <c r="D677" s="1">
        <v>1.6919E-2</v>
      </c>
      <c r="E677" s="1"/>
    </row>
    <row r="678" spans="1:5" x14ac:dyDescent="0.25">
      <c r="A678" s="1">
        <v>2457242.49798</v>
      </c>
      <c r="B678" s="1" t="s">
        <v>768</v>
      </c>
      <c r="C678" s="1">
        <v>11.475</v>
      </c>
      <c r="D678" s="1">
        <v>2.1068E-2</v>
      </c>
      <c r="E678" s="1"/>
    </row>
    <row r="679" spans="1:5" x14ac:dyDescent="0.25">
      <c r="A679" s="1">
        <v>2457256.1880899998</v>
      </c>
      <c r="B679" s="1" t="s">
        <v>769</v>
      </c>
      <c r="C679" s="1">
        <v>11.55</v>
      </c>
      <c r="D679" s="1">
        <v>3.2732999999999998E-2</v>
      </c>
      <c r="E679" s="1"/>
    </row>
    <row r="680" spans="1:5" x14ac:dyDescent="0.25">
      <c r="A680" s="1">
        <v>2457275.24425</v>
      </c>
      <c r="B680" s="1" t="s">
        <v>770</v>
      </c>
      <c r="C680" s="1">
        <v>11.5375</v>
      </c>
      <c r="D680" s="1">
        <v>2.7459999999999998E-2</v>
      </c>
      <c r="E680" s="1"/>
    </row>
    <row r="681" spans="1:5" x14ac:dyDescent="0.25">
      <c r="A681" s="1">
        <v>2457290.2673599999</v>
      </c>
      <c r="B681" s="1" t="s">
        <v>771</v>
      </c>
      <c r="C681" s="1">
        <v>11.578946999999999</v>
      </c>
      <c r="D681" s="1">
        <v>2.1052999999999999E-2</v>
      </c>
      <c r="E681" s="1"/>
    </row>
    <row r="682" spans="1:5" x14ac:dyDescent="0.25">
      <c r="A682" s="1">
        <v>2457307.51902</v>
      </c>
      <c r="B682" s="1" t="s">
        <v>772</v>
      </c>
      <c r="C682" s="1">
        <v>11.542857</v>
      </c>
      <c r="D682" s="1">
        <v>1.8848E-2</v>
      </c>
      <c r="E682" s="1"/>
    </row>
    <row r="683" spans="1:5" x14ac:dyDescent="0.25">
      <c r="A683" s="1">
        <v>2457322.20585</v>
      </c>
      <c r="B683" s="1" t="s">
        <v>773</v>
      </c>
      <c r="C683" s="1">
        <v>11.504761999999999</v>
      </c>
      <c r="D683" s="1">
        <v>2.009E-2</v>
      </c>
      <c r="E683" s="1"/>
    </row>
    <row r="684" spans="1:5" x14ac:dyDescent="0.25">
      <c r="A684" s="1">
        <v>2457336.0282200002</v>
      </c>
      <c r="B684" s="1" t="s">
        <v>774</v>
      </c>
      <c r="C684" s="1">
        <v>11.563636000000001</v>
      </c>
      <c r="D684" s="1">
        <v>5.4393999999999998E-2</v>
      </c>
      <c r="E684" s="1"/>
    </row>
    <row r="685" spans="1:5" x14ac:dyDescent="0.25">
      <c r="A685" s="1">
        <v>2457356.2449400001</v>
      </c>
      <c r="B685" s="1" t="s">
        <v>775</v>
      </c>
      <c r="C685" s="1">
        <v>11.442857</v>
      </c>
      <c r="D685" s="1">
        <v>2.9738000000000001E-2</v>
      </c>
      <c r="E685" s="1"/>
    </row>
    <row r="686" spans="1:5" x14ac:dyDescent="0.25">
      <c r="A686" s="1">
        <v>2457367.3684</v>
      </c>
      <c r="B686" s="1" t="s">
        <v>776</v>
      </c>
      <c r="C686" s="1">
        <v>11.45</v>
      </c>
      <c r="D686" s="1">
        <v>0.05</v>
      </c>
      <c r="E686" s="1"/>
    </row>
    <row r="687" spans="1:5" x14ac:dyDescent="0.25">
      <c r="A687" s="1">
        <v>2457462.1387700001</v>
      </c>
      <c r="B687" s="1" t="s">
        <v>777</v>
      </c>
      <c r="C687" s="1">
        <v>11.566667000000001</v>
      </c>
      <c r="D687" s="1">
        <v>2.1082E-2</v>
      </c>
      <c r="E687" s="1"/>
    </row>
    <row r="688" spans="1:5" x14ac:dyDescent="0.25">
      <c r="A688" s="1">
        <v>2457505.2285199999</v>
      </c>
      <c r="B688" s="1" t="s">
        <v>778</v>
      </c>
      <c r="C688" s="1">
        <v>11.544444</v>
      </c>
      <c r="D688" s="1">
        <v>2.4216000000000001E-2</v>
      </c>
      <c r="E688" s="1"/>
    </row>
    <row r="689" spans="1:5" x14ac:dyDescent="0.25">
      <c r="A689" s="1">
        <v>2457518.2323799999</v>
      </c>
      <c r="B689" s="1" t="s">
        <v>779</v>
      </c>
      <c r="C689" s="1">
        <v>11.65</v>
      </c>
      <c r="D689" s="1">
        <v>5.6695000000000002E-2</v>
      </c>
      <c r="E689" s="1"/>
    </row>
    <row r="690" spans="1:5" x14ac:dyDescent="0.25">
      <c r="A690" s="1">
        <v>2457541.7086299998</v>
      </c>
      <c r="B690" s="1" t="s">
        <v>780</v>
      </c>
      <c r="C690" s="1">
        <v>11.566667000000001</v>
      </c>
      <c r="D690" s="1">
        <v>3.4733E-2</v>
      </c>
      <c r="E690" s="1"/>
    </row>
    <row r="691" spans="1:5" x14ac:dyDescent="0.25">
      <c r="A691" s="1">
        <v>2457552.9383200002</v>
      </c>
      <c r="B691" s="1" t="s">
        <v>781</v>
      </c>
      <c r="C691" s="1">
        <v>11.333333</v>
      </c>
      <c r="D691" s="1">
        <v>4.9440999999999999E-2</v>
      </c>
      <c r="E691" s="1"/>
    </row>
    <row r="692" spans="1:5" x14ac:dyDescent="0.25">
      <c r="A692" s="1">
        <v>2457572.3152600001</v>
      </c>
      <c r="B692" s="1" t="s">
        <v>782</v>
      </c>
      <c r="C692" s="1">
        <v>11.485714</v>
      </c>
      <c r="D692" s="1">
        <v>3.4007000000000003E-2</v>
      </c>
      <c r="E692" s="1"/>
    </row>
    <row r="693" spans="1:5" x14ac:dyDescent="0.25">
      <c r="A693" s="1">
        <v>2457588.5366600002</v>
      </c>
      <c r="B693" s="1" t="s">
        <v>783</v>
      </c>
      <c r="C693" s="1">
        <v>11.475</v>
      </c>
      <c r="D693" s="1">
        <v>3.8188E-2</v>
      </c>
      <c r="E693" s="1"/>
    </row>
    <row r="694" spans="1:5" x14ac:dyDescent="0.25">
      <c r="A694" s="1">
        <v>2457604.46441</v>
      </c>
      <c r="B694" s="1" t="s">
        <v>8</v>
      </c>
      <c r="C694" s="1">
        <v>11.428000000000001</v>
      </c>
      <c r="D694" s="1">
        <v>2.9166000000000001E-2</v>
      </c>
      <c r="E694" s="1"/>
    </row>
    <row r="695" spans="1:5" x14ac:dyDescent="0.25">
      <c r="A695" s="1">
        <v>2457622.6222799998</v>
      </c>
      <c r="B695" s="1" t="s">
        <v>784</v>
      </c>
      <c r="C695" s="1">
        <v>11.44375</v>
      </c>
      <c r="D695" s="1">
        <v>3.6478999999999998E-2</v>
      </c>
      <c r="E695" s="1"/>
    </row>
    <row r="696" spans="1:5" x14ac:dyDescent="0.25">
      <c r="A696" s="1">
        <v>2457635.3106300002</v>
      </c>
      <c r="B696" s="1" t="s">
        <v>785</v>
      </c>
      <c r="C696" s="1">
        <v>11.4</v>
      </c>
      <c r="D696" s="1">
        <v>2.8452000000000002E-2</v>
      </c>
      <c r="E696" s="1"/>
    </row>
    <row r="697" spans="1:5" x14ac:dyDescent="0.25">
      <c r="A697" s="1">
        <v>2457654.1613500002</v>
      </c>
      <c r="B697" s="1" t="s">
        <v>786</v>
      </c>
      <c r="C697" s="1">
        <v>11.35</v>
      </c>
      <c r="D697" s="1">
        <v>5.2174999999999999E-2</v>
      </c>
      <c r="E697" s="1"/>
    </row>
    <row r="698" spans="1:5" x14ac:dyDescent="0.25">
      <c r="A698" s="1">
        <v>2457667.2607200001</v>
      </c>
      <c r="B698" s="1" t="s">
        <v>787</v>
      </c>
      <c r="C698" s="1">
        <v>11.307143</v>
      </c>
      <c r="D698" s="1">
        <v>1.2685E-2</v>
      </c>
      <c r="E698" s="1"/>
    </row>
    <row r="699" spans="1:5" x14ac:dyDescent="0.25">
      <c r="A699" s="1">
        <v>2457684.7782899998</v>
      </c>
      <c r="B699" s="1" t="s">
        <v>788</v>
      </c>
      <c r="C699" s="1">
        <v>11.308332999999999</v>
      </c>
      <c r="D699" s="1">
        <v>8.3330000000000001E-3</v>
      </c>
      <c r="E699" s="1"/>
    </row>
    <row r="700" spans="1:5" x14ac:dyDescent="0.25">
      <c r="A700" s="1">
        <v>2457697.3197599999</v>
      </c>
      <c r="B700" s="1" t="s">
        <v>139</v>
      </c>
      <c r="C700" s="1">
        <v>11.285714</v>
      </c>
      <c r="D700" s="1">
        <v>1.4286E-2</v>
      </c>
      <c r="E700" s="1"/>
    </row>
    <row r="701" spans="1:5" x14ac:dyDescent="0.25">
      <c r="A701" s="1">
        <v>2457710.5</v>
      </c>
      <c r="B701" s="1" t="s">
        <v>789</v>
      </c>
      <c r="C701" s="1">
        <v>11.3</v>
      </c>
      <c r="D701" s="1">
        <v>5.7735000000000002E-2</v>
      </c>
      <c r="E701" s="1"/>
    </row>
    <row r="702" spans="1:5" x14ac:dyDescent="0.25">
      <c r="A702" s="1"/>
      <c r="B702" s="1"/>
      <c r="C702" s="1"/>
      <c r="D702" s="1"/>
      <c r="E702" s="1"/>
    </row>
    <row r="703" spans="1:5" x14ac:dyDescent="0.25">
      <c r="A703" s="1"/>
      <c r="B703" s="1"/>
      <c r="C703" s="1"/>
      <c r="D703" s="1"/>
      <c r="E703" s="1"/>
    </row>
    <row r="704" spans="1:5" x14ac:dyDescent="0.25">
      <c r="A704" s="1"/>
      <c r="B704" s="1"/>
      <c r="C704" s="1"/>
      <c r="D704" s="1"/>
      <c r="E704" s="1"/>
    </row>
    <row r="705" spans="1:5" x14ac:dyDescent="0.25">
      <c r="A705" s="1"/>
      <c r="B705" s="1"/>
      <c r="C705" s="1"/>
      <c r="D705" s="1"/>
      <c r="E705" s="1"/>
    </row>
    <row r="706" spans="1:5" x14ac:dyDescent="0.25">
      <c r="A706" s="1"/>
      <c r="B706" s="1"/>
      <c r="C706" s="1"/>
      <c r="D706" s="1"/>
      <c r="E706" s="1"/>
    </row>
    <row r="707" spans="1:5" x14ac:dyDescent="0.25">
      <c r="A707" s="1"/>
      <c r="B707" s="1"/>
      <c r="C707" s="1"/>
      <c r="D707" s="1"/>
      <c r="E707" s="1"/>
    </row>
    <row r="708" spans="1:5" x14ac:dyDescent="0.25">
      <c r="A708" s="1"/>
      <c r="B708" s="1"/>
      <c r="C708" s="1"/>
      <c r="D708" s="1"/>
      <c r="E708" s="1"/>
    </row>
    <row r="709" spans="1:5" x14ac:dyDescent="0.25">
      <c r="A709" s="1"/>
      <c r="B709" s="1"/>
      <c r="C709" s="1"/>
      <c r="D709" s="1"/>
      <c r="E709" s="1"/>
    </row>
    <row r="710" spans="1:5" x14ac:dyDescent="0.25">
      <c r="A710" s="1"/>
      <c r="B710" s="1"/>
      <c r="C710" s="1"/>
      <c r="D710" s="1"/>
      <c r="E710" s="1"/>
    </row>
    <row r="711" spans="1:5" x14ac:dyDescent="0.25">
      <c r="A711" s="1"/>
      <c r="B711" s="1"/>
      <c r="C711" s="1"/>
      <c r="D711" s="1"/>
      <c r="E711" s="1"/>
    </row>
    <row r="712" spans="1:5" x14ac:dyDescent="0.25">
      <c r="A712" s="1"/>
      <c r="B712" s="1"/>
      <c r="C712" s="1"/>
      <c r="D712" s="1"/>
      <c r="E712" s="1"/>
    </row>
    <row r="713" spans="1:5" x14ac:dyDescent="0.25">
      <c r="A713" s="1"/>
      <c r="B713" s="1"/>
      <c r="C713" s="1"/>
      <c r="D713" s="1"/>
      <c r="E713" s="1"/>
    </row>
    <row r="714" spans="1:5" x14ac:dyDescent="0.25">
      <c r="A714" s="1"/>
      <c r="B714" s="1"/>
      <c r="C714" s="1"/>
      <c r="D714" s="1"/>
      <c r="E714" s="1"/>
    </row>
    <row r="715" spans="1:5" x14ac:dyDescent="0.25">
      <c r="A715" s="1"/>
      <c r="B715" s="1"/>
      <c r="C715" s="1"/>
      <c r="D715" s="1"/>
      <c r="E715" s="1"/>
    </row>
    <row r="716" spans="1:5" x14ac:dyDescent="0.25">
      <c r="A716" s="1"/>
      <c r="B716" s="1"/>
      <c r="C716" s="1"/>
      <c r="D716" s="1"/>
      <c r="E716" s="1"/>
    </row>
    <row r="717" spans="1:5" x14ac:dyDescent="0.25">
      <c r="A717" s="1"/>
      <c r="B717" s="1"/>
      <c r="C717" s="1"/>
      <c r="D717" s="1"/>
      <c r="E717" s="1"/>
    </row>
    <row r="718" spans="1:5" x14ac:dyDescent="0.25">
      <c r="A718" s="1"/>
      <c r="B718" s="1"/>
      <c r="C718" s="1"/>
      <c r="D718" s="1"/>
      <c r="E718" s="1"/>
    </row>
    <row r="719" spans="1:5" x14ac:dyDescent="0.25">
      <c r="A719" s="1"/>
      <c r="B719" s="1"/>
      <c r="C719" s="1"/>
      <c r="D719" s="1"/>
      <c r="E719" s="1"/>
    </row>
    <row r="720" spans="1:5" x14ac:dyDescent="0.25">
      <c r="A720" s="1"/>
      <c r="B720" s="1"/>
      <c r="C720" s="1"/>
      <c r="D720" s="1"/>
      <c r="E720" s="1"/>
    </row>
    <row r="721" spans="1:5" x14ac:dyDescent="0.25">
      <c r="A721" s="1"/>
      <c r="B721" s="1"/>
      <c r="C721" s="1"/>
      <c r="D721" s="1"/>
      <c r="E721" s="1"/>
    </row>
    <row r="722" spans="1:5" x14ac:dyDescent="0.25">
      <c r="A722" s="1"/>
      <c r="B722" s="1"/>
      <c r="C722" s="1"/>
      <c r="D722" s="1"/>
      <c r="E722" s="1"/>
    </row>
    <row r="723" spans="1:5" x14ac:dyDescent="0.25">
      <c r="A723" s="1"/>
      <c r="B723" s="1"/>
      <c r="C723" s="1"/>
      <c r="D723" s="1"/>
      <c r="E723" s="1"/>
    </row>
    <row r="724" spans="1:5" x14ac:dyDescent="0.25">
      <c r="A724" s="1"/>
      <c r="B724" s="1"/>
      <c r="C724" s="1"/>
      <c r="D724" s="1"/>
      <c r="E724" s="1"/>
    </row>
    <row r="725" spans="1:5" x14ac:dyDescent="0.25">
      <c r="A725" s="1"/>
      <c r="B725" s="1"/>
      <c r="C725" s="1"/>
      <c r="D725" s="1"/>
      <c r="E725" s="1"/>
    </row>
    <row r="726" spans="1:5" x14ac:dyDescent="0.25">
      <c r="A726" s="1"/>
      <c r="B726" s="1"/>
      <c r="C726" s="1"/>
      <c r="D726" s="1"/>
      <c r="E726" s="1"/>
    </row>
    <row r="727" spans="1:5" x14ac:dyDescent="0.25">
      <c r="A727" s="1"/>
      <c r="B727" s="1"/>
      <c r="C727" s="1"/>
      <c r="D727" s="1"/>
      <c r="E727" s="1"/>
    </row>
    <row r="728" spans="1:5" x14ac:dyDescent="0.25">
      <c r="A728" s="1"/>
      <c r="B728" s="1"/>
      <c r="C728" s="1"/>
      <c r="D728" s="1"/>
      <c r="E728" s="1"/>
    </row>
    <row r="729" spans="1:5" x14ac:dyDescent="0.25">
      <c r="A729" s="1"/>
      <c r="B729" s="1"/>
      <c r="C729" s="1"/>
      <c r="D729" s="1"/>
      <c r="E729" s="1"/>
    </row>
    <row r="730" spans="1:5" x14ac:dyDescent="0.25">
      <c r="A730" s="1"/>
      <c r="B730" s="1"/>
      <c r="C730" s="1"/>
      <c r="D730" s="1"/>
      <c r="E730" s="1"/>
    </row>
    <row r="731" spans="1:5" x14ac:dyDescent="0.25">
      <c r="A731" s="1"/>
      <c r="B731" s="1"/>
      <c r="C731" s="1"/>
      <c r="D731" s="1"/>
      <c r="E731" s="1"/>
    </row>
    <row r="732" spans="1:5" x14ac:dyDescent="0.25">
      <c r="A732" s="1"/>
      <c r="B732" s="1"/>
      <c r="C732" s="1"/>
      <c r="D732" s="1"/>
      <c r="E732" s="1"/>
    </row>
    <row r="733" spans="1:5" x14ac:dyDescent="0.25">
      <c r="A733" s="1"/>
      <c r="B733" s="1"/>
      <c r="C733" s="1"/>
      <c r="D733" s="1"/>
      <c r="E733" s="1"/>
    </row>
    <row r="734" spans="1:5" x14ac:dyDescent="0.25">
      <c r="A734" s="1"/>
      <c r="B734" s="1"/>
      <c r="C734" s="1"/>
      <c r="D734" s="1"/>
      <c r="E734" s="1"/>
    </row>
    <row r="735" spans="1:5" x14ac:dyDescent="0.25">
      <c r="A735" s="1"/>
      <c r="B735" s="1"/>
      <c r="C735" s="1"/>
      <c r="D735" s="1"/>
      <c r="E735" s="1"/>
    </row>
    <row r="736" spans="1:5" x14ac:dyDescent="0.25">
      <c r="A736" s="1"/>
      <c r="B736" s="1"/>
      <c r="C736" s="1"/>
      <c r="D736" s="1"/>
      <c r="E736" s="1"/>
    </row>
    <row r="737" spans="1:5" x14ac:dyDescent="0.25">
      <c r="A737" s="1"/>
      <c r="B737" s="1"/>
      <c r="C737" s="1"/>
      <c r="D737" s="1"/>
      <c r="E737" s="1"/>
    </row>
    <row r="738" spans="1:5" x14ac:dyDescent="0.25">
      <c r="A738" s="1"/>
      <c r="B738" s="1"/>
      <c r="C738" s="1"/>
      <c r="D738" s="1"/>
      <c r="E738" s="1"/>
    </row>
    <row r="739" spans="1:5" x14ac:dyDescent="0.25">
      <c r="A739" s="1"/>
      <c r="B739" s="1"/>
      <c r="C739" s="1"/>
      <c r="D739" s="1"/>
      <c r="E739" s="1"/>
    </row>
    <row r="740" spans="1:5" x14ac:dyDescent="0.25">
      <c r="A740" s="1"/>
      <c r="B740" s="1"/>
      <c r="C740" s="1"/>
      <c r="D740" s="1"/>
      <c r="E740" s="1"/>
    </row>
    <row r="741" spans="1:5" x14ac:dyDescent="0.25">
      <c r="A741" s="1"/>
      <c r="B741" s="1"/>
      <c r="C741" s="1"/>
      <c r="D741" s="1"/>
      <c r="E741" s="1"/>
    </row>
    <row r="742" spans="1:5" x14ac:dyDescent="0.25">
      <c r="A742" s="1"/>
      <c r="B742" s="1"/>
      <c r="C742" s="1"/>
      <c r="D742" s="1"/>
      <c r="E742" s="1"/>
    </row>
    <row r="743" spans="1:5" x14ac:dyDescent="0.25">
      <c r="A743" s="1"/>
      <c r="B743" s="1"/>
      <c r="C743" s="1"/>
      <c r="D743" s="1"/>
      <c r="E743" s="1"/>
    </row>
    <row r="744" spans="1:5" x14ac:dyDescent="0.25">
      <c r="A744" s="1"/>
      <c r="B744" s="1"/>
      <c r="C744" s="1"/>
      <c r="D744" s="1"/>
      <c r="E744" s="1"/>
    </row>
    <row r="745" spans="1:5" x14ac:dyDescent="0.25">
      <c r="A745" s="1"/>
      <c r="B745" s="1"/>
      <c r="C745" s="1"/>
      <c r="D745" s="1"/>
      <c r="E745" s="1"/>
    </row>
    <row r="746" spans="1:5" x14ac:dyDescent="0.25">
      <c r="A746" s="1"/>
      <c r="B746" s="1"/>
      <c r="C746" s="1"/>
      <c r="D746" s="1"/>
      <c r="E746" s="1"/>
    </row>
    <row r="747" spans="1:5" x14ac:dyDescent="0.25">
      <c r="A747" s="1"/>
      <c r="B747" s="1"/>
      <c r="C747" s="1"/>
      <c r="D747" s="1"/>
      <c r="E747" s="1"/>
    </row>
    <row r="748" spans="1:5" x14ac:dyDescent="0.25">
      <c r="A748" s="1"/>
      <c r="B748" s="1"/>
      <c r="C748" s="1"/>
      <c r="D748" s="1"/>
      <c r="E748" s="1"/>
    </row>
    <row r="749" spans="1:5" x14ac:dyDescent="0.25">
      <c r="A749" s="1"/>
      <c r="B749" s="1"/>
      <c r="C749" s="1"/>
      <c r="D749" s="1"/>
      <c r="E749" s="1"/>
    </row>
    <row r="750" spans="1:5" x14ac:dyDescent="0.25">
      <c r="A750" s="1"/>
      <c r="B750" s="1"/>
      <c r="C750" s="1"/>
      <c r="D750" s="1"/>
      <c r="E750" s="1"/>
    </row>
    <row r="751" spans="1:5" x14ac:dyDescent="0.25">
      <c r="A751" s="1"/>
      <c r="B751" s="1"/>
      <c r="C751" s="1"/>
      <c r="D751" s="1"/>
      <c r="E751" s="1"/>
    </row>
    <row r="752" spans="1:5" x14ac:dyDescent="0.25">
      <c r="A752" s="1"/>
      <c r="B752" s="1"/>
      <c r="C752" s="1"/>
      <c r="D752" s="1"/>
      <c r="E752" s="1"/>
    </row>
    <row r="753" spans="1:5" x14ac:dyDescent="0.25">
      <c r="A753" s="1"/>
      <c r="B753" s="1"/>
      <c r="C753" s="1"/>
      <c r="D753" s="1"/>
      <c r="E753" s="1"/>
    </row>
    <row r="754" spans="1:5" x14ac:dyDescent="0.25">
      <c r="A754" s="1"/>
      <c r="B754" s="1"/>
      <c r="C754" s="1"/>
      <c r="D754" s="1"/>
      <c r="E754" s="1"/>
    </row>
    <row r="755" spans="1:5" x14ac:dyDescent="0.25">
      <c r="A755" s="1"/>
      <c r="B755" s="1"/>
      <c r="C755" s="1"/>
      <c r="D755" s="1"/>
      <c r="E755" s="1"/>
    </row>
    <row r="756" spans="1:5" x14ac:dyDescent="0.25">
      <c r="A756" s="1"/>
      <c r="B756" s="1"/>
      <c r="C756" s="1"/>
      <c r="D756" s="1"/>
      <c r="E756" s="1"/>
    </row>
    <row r="757" spans="1:5" x14ac:dyDescent="0.25">
      <c r="A757" s="1"/>
      <c r="B757" s="1"/>
      <c r="C757" s="1"/>
      <c r="D757" s="1"/>
      <c r="E757" s="1"/>
    </row>
    <row r="758" spans="1:5" x14ac:dyDescent="0.25">
      <c r="A758" s="1"/>
      <c r="B758" s="1"/>
      <c r="C758" s="1"/>
      <c r="D758" s="1"/>
      <c r="E758" s="1"/>
    </row>
    <row r="759" spans="1:5" x14ac:dyDescent="0.25">
      <c r="A759" s="1"/>
      <c r="B759" s="1"/>
      <c r="C759" s="1"/>
      <c r="D759" s="1"/>
      <c r="E759" s="1"/>
    </row>
    <row r="760" spans="1:5" x14ac:dyDescent="0.25">
      <c r="A760" s="1"/>
      <c r="B760" s="1"/>
      <c r="C760" s="1"/>
      <c r="D760" s="1"/>
      <c r="E760" s="1"/>
    </row>
    <row r="761" spans="1:5" x14ac:dyDescent="0.25">
      <c r="A761" s="1"/>
      <c r="B761" s="1"/>
      <c r="C761" s="1"/>
      <c r="D761" s="1"/>
      <c r="E761" s="1"/>
    </row>
    <row r="762" spans="1:5" x14ac:dyDescent="0.25">
      <c r="A762" s="1"/>
      <c r="B762" s="1"/>
      <c r="C762" s="1"/>
      <c r="D762" s="1"/>
      <c r="E762" s="1"/>
    </row>
    <row r="763" spans="1:5" x14ac:dyDescent="0.25">
      <c r="A763" s="1"/>
      <c r="B763" s="1"/>
      <c r="C763" s="1"/>
      <c r="D763" s="1"/>
      <c r="E763" s="1"/>
    </row>
    <row r="764" spans="1:5" x14ac:dyDescent="0.25">
      <c r="A764" s="1"/>
      <c r="B764" s="1"/>
      <c r="C764" s="1"/>
      <c r="D764" s="1"/>
      <c r="E764" s="1"/>
    </row>
    <row r="765" spans="1:5" x14ac:dyDescent="0.25">
      <c r="A765" s="1"/>
      <c r="B765" s="1"/>
      <c r="C765" s="1"/>
      <c r="D765" s="1"/>
      <c r="E765" s="1"/>
    </row>
    <row r="766" spans="1:5" x14ac:dyDescent="0.25">
      <c r="A766" s="1"/>
      <c r="B766" s="1"/>
      <c r="C766" s="1"/>
      <c r="D766" s="1"/>
      <c r="E766" s="1"/>
    </row>
    <row r="767" spans="1:5" x14ac:dyDescent="0.25">
      <c r="A767" s="1"/>
      <c r="B767" s="1"/>
      <c r="C767" s="1"/>
      <c r="D767" s="1"/>
      <c r="E767" s="1"/>
    </row>
    <row r="768" spans="1:5" x14ac:dyDescent="0.25">
      <c r="A768" s="1"/>
      <c r="B768" s="1"/>
      <c r="C768" s="1"/>
      <c r="D768" s="1"/>
      <c r="E768" s="1"/>
    </row>
    <row r="769" spans="1:5" x14ac:dyDescent="0.25">
      <c r="A769" s="1"/>
      <c r="B769" s="1"/>
      <c r="C769" s="1"/>
      <c r="D769" s="1"/>
      <c r="E769" s="1"/>
    </row>
    <row r="770" spans="1:5" x14ac:dyDescent="0.25">
      <c r="A770" s="1"/>
      <c r="B770" s="1"/>
      <c r="C770" s="1"/>
      <c r="D770" s="1"/>
      <c r="E770" s="1"/>
    </row>
    <row r="771" spans="1:5" x14ac:dyDescent="0.25">
      <c r="A771" s="1"/>
      <c r="B771" s="1"/>
      <c r="C771" s="1"/>
      <c r="D771" s="1"/>
      <c r="E771" s="1"/>
    </row>
    <row r="772" spans="1:5" x14ac:dyDescent="0.25">
      <c r="A772" s="1"/>
      <c r="B772" s="1"/>
      <c r="C772" s="1"/>
      <c r="D772" s="1"/>
      <c r="E772" s="1"/>
    </row>
    <row r="773" spans="1:5" x14ac:dyDescent="0.25">
      <c r="A773" s="1"/>
      <c r="B773" s="1"/>
      <c r="C773" s="1"/>
      <c r="D773" s="1"/>
      <c r="E773" s="1"/>
    </row>
    <row r="774" spans="1:5" x14ac:dyDescent="0.25">
      <c r="A774" s="1"/>
      <c r="B774" s="1"/>
      <c r="C774" s="1"/>
      <c r="D774" s="1"/>
      <c r="E774" s="1"/>
    </row>
    <row r="775" spans="1:5" x14ac:dyDescent="0.25">
      <c r="A775" s="1"/>
      <c r="B775" s="1"/>
      <c r="C775" s="1"/>
      <c r="D775" s="1"/>
      <c r="E775" s="1"/>
    </row>
    <row r="776" spans="1:5" x14ac:dyDescent="0.25">
      <c r="A776" s="1"/>
      <c r="B776" s="1"/>
      <c r="C776" s="1"/>
      <c r="D776" s="1"/>
      <c r="E776" s="1"/>
    </row>
    <row r="777" spans="1:5" x14ac:dyDescent="0.25">
      <c r="A777" s="1"/>
      <c r="B777" s="1"/>
      <c r="C777" s="1"/>
      <c r="D777" s="1"/>
      <c r="E777" s="1"/>
    </row>
    <row r="778" spans="1:5" x14ac:dyDescent="0.25">
      <c r="A778" s="1"/>
      <c r="B778" s="1"/>
      <c r="C778" s="1"/>
      <c r="D778" s="1"/>
      <c r="E778" s="1"/>
    </row>
    <row r="779" spans="1:5" x14ac:dyDescent="0.25">
      <c r="A779" s="1"/>
      <c r="B779" s="1"/>
      <c r="C779" s="1"/>
      <c r="D779" s="1"/>
      <c r="E779" s="1"/>
    </row>
    <row r="780" spans="1:5" x14ac:dyDescent="0.25">
      <c r="A780" s="1"/>
      <c r="B780" s="1"/>
      <c r="C780" s="1"/>
      <c r="D780" s="1"/>
      <c r="E780" s="1"/>
    </row>
    <row r="781" spans="1:5" x14ac:dyDescent="0.25">
      <c r="A781" s="1"/>
      <c r="B781" s="1"/>
      <c r="C781" s="1"/>
      <c r="D781" s="1"/>
      <c r="E781" s="1"/>
    </row>
    <row r="782" spans="1:5" x14ac:dyDescent="0.25">
      <c r="A782" s="1"/>
      <c r="B782" s="1"/>
      <c r="C782" s="1"/>
      <c r="D782" s="1"/>
      <c r="E782" s="1"/>
    </row>
    <row r="783" spans="1:5" x14ac:dyDescent="0.25">
      <c r="A783" s="1"/>
      <c r="B783" s="1"/>
      <c r="C783" s="1"/>
      <c r="D783" s="1"/>
      <c r="E783" s="1"/>
    </row>
    <row r="784" spans="1:5" x14ac:dyDescent="0.25">
      <c r="A784" s="1"/>
      <c r="B784" s="1"/>
      <c r="C784" s="1"/>
      <c r="D784" s="1"/>
      <c r="E784" s="1"/>
    </row>
    <row r="785" spans="1:5" x14ac:dyDescent="0.25">
      <c r="A785" s="1"/>
      <c r="B785" s="1"/>
      <c r="C785" s="1"/>
      <c r="D785" s="1"/>
      <c r="E785" s="1"/>
    </row>
    <row r="786" spans="1:5" x14ac:dyDescent="0.25">
      <c r="A786" s="1"/>
      <c r="B786" s="1"/>
      <c r="C786" s="1"/>
      <c r="D786" s="1"/>
      <c r="E786" s="1"/>
    </row>
    <row r="787" spans="1:5" x14ac:dyDescent="0.25">
      <c r="A787" s="1"/>
      <c r="B787" s="1"/>
      <c r="C787" s="1"/>
      <c r="D787" s="1"/>
      <c r="E787" s="1"/>
    </row>
    <row r="788" spans="1:5" x14ac:dyDescent="0.25">
      <c r="A788" s="1"/>
      <c r="B788" s="1"/>
      <c r="C788" s="1"/>
      <c r="D788" s="1"/>
      <c r="E788" s="1"/>
    </row>
    <row r="789" spans="1:5" x14ac:dyDescent="0.25">
      <c r="A789" s="1"/>
      <c r="B789" s="1"/>
      <c r="C789" s="1"/>
      <c r="D789" s="1"/>
      <c r="E789" s="1"/>
    </row>
    <row r="790" spans="1:5" x14ac:dyDescent="0.25">
      <c r="A790" s="1"/>
      <c r="B790" s="1"/>
      <c r="C790" s="1"/>
      <c r="D790" s="1"/>
      <c r="E790" s="1"/>
    </row>
    <row r="791" spans="1:5" x14ac:dyDescent="0.25">
      <c r="A791" s="1"/>
      <c r="B791" s="1"/>
      <c r="C791" s="1"/>
      <c r="D791" s="1"/>
      <c r="E791" s="1"/>
    </row>
    <row r="792" spans="1:5" x14ac:dyDescent="0.25">
      <c r="A792" s="1"/>
      <c r="B792" s="1"/>
      <c r="C792" s="1"/>
      <c r="D792" s="1"/>
      <c r="E792" s="1"/>
    </row>
    <row r="793" spans="1:5" x14ac:dyDescent="0.25">
      <c r="A793" s="1"/>
      <c r="B793" s="1"/>
      <c r="C793" s="1"/>
      <c r="D793" s="1"/>
      <c r="E793" s="1"/>
    </row>
    <row r="794" spans="1:5" x14ac:dyDescent="0.25">
      <c r="A794" s="1"/>
      <c r="B794" s="1"/>
      <c r="C794" s="1"/>
      <c r="D794" s="1"/>
      <c r="E794" s="1"/>
    </row>
    <row r="795" spans="1:5" x14ac:dyDescent="0.25">
      <c r="A795" s="1"/>
      <c r="B795" s="1"/>
      <c r="C795" s="1"/>
      <c r="D795" s="1"/>
      <c r="E795" s="1"/>
    </row>
    <row r="796" spans="1:5" x14ac:dyDescent="0.25">
      <c r="A796" s="1"/>
      <c r="B796" s="1"/>
      <c r="C796" s="1"/>
      <c r="D796" s="1"/>
      <c r="E796" s="1"/>
    </row>
    <row r="797" spans="1:5" x14ac:dyDescent="0.25">
      <c r="A797" s="1"/>
      <c r="B797" s="1"/>
      <c r="C797" s="1"/>
      <c r="D797" s="1"/>
      <c r="E797" s="1"/>
    </row>
    <row r="798" spans="1:5" x14ac:dyDescent="0.25">
      <c r="A798" s="1"/>
      <c r="B798" s="1"/>
      <c r="C798" s="1"/>
      <c r="D798" s="1"/>
      <c r="E798" s="1"/>
    </row>
    <row r="799" spans="1:5" x14ac:dyDescent="0.25">
      <c r="A799" s="1"/>
      <c r="B799" s="1"/>
      <c r="C799" s="1"/>
      <c r="D799" s="1"/>
      <c r="E799" s="1"/>
    </row>
    <row r="800" spans="1:5" x14ac:dyDescent="0.25">
      <c r="A800" s="1"/>
      <c r="B800" s="1"/>
      <c r="C800" s="1"/>
      <c r="D800" s="1"/>
      <c r="E800" s="1"/>
    </row>
    <row r="801" spans="1:5" x14ac:dyDescent="0.25">
      <c r="A801" s="1"/>
      <c r="B801" s="1"/>
      <c r="C801" s="1"/>
      <c r="D801" s="1"/>
      <c r="E801" s="1"/>
    </row>
    <row r="802" spans="1:5" x14ac:dyDescent="0.25">
      <c r="A802" s="1"/>
      <c r="B802" s="1"/>
      <c r="C802" s="1"/>
      <c r="D802" s="1"/>
      <c r="E802" s="1"/>
    </row>
    <row r="803" spans="1:5" x14ac:dyDescent="0.25">
      <c r="A803" s="1"/>
      <c r="B803" s="1"/>
      <c r="C803" s="1"/>
      <c r="D803" s="1"/>
      <c r="E803" s="1"/>
    </row>
    <row r="804" spans="1:5" x14ac:dyDescent="0.25">
      <c r="A804" s="1"/>
      <c r="B804" s="1"/>
      <c r="C804" s="1"/>
      <c r="D804" s="1"/>
      <c r="E804" s="1"/>
    </row>
    <row r="805" spans="1:5" x14ac:dyDescent="0.25">
      <c r="A805" s="1"/>
      <c r="B805" s="1"/>
      <c r="C805" s="1"/>
      <c r="D805" s="1"/>
      <c r="E805" s="1"/>
    </row>
    <row r="806" spans="1:5" x14ac:dyDescent="0.25">
      <c r="A806" s="1"/>
      <c r="B806" s="1"/>
      <c r="C806" s="1"/>
      <c r="D806" s="1"/>
      <c r="E806" s="1"/>
    </row>
    <row r="807" spans="1:5" x14ac:dyDescent="0.25">
      <c r="A807" s="1"/>
      <c r="B807" s="1"/>
      <c r="C807" s="1"/>
      <c r="D807" s="1"/>
      <c r="E807" s="1"/>
    </row>
    <row r="808" spans="1:5" x14ac:dyDescent="0.25">
      <c r="A808" s="1"/>
      <c r="B808" s="1"/>
      <c r="C808" s="1"/>
      <c r="D808" s="1"/>
      <c r="E808" s="1"/>
    </row>
    <row r="809" spans="1:5" x14ac:dyDescent="0.25">
      <c r="A809" s="1"/>
      <c r="B809" s="1"/>
      <c r="C809" s="1"/>
      <c r="D809" s="1"/>
      <c r="E809" s="1"/>
    </row>
    <row r="810" spans="1:5" x14ac:dyDescent="0.25">
      <c r="A810" s="1"/>
      <c r="B810" s="1"/>
      <c r="C810" s="1"/>
      <c r="D810" s="1"/>
      <c r="E810" s="1"/>
    </row>
    <row r="811" spans="1:5" x14ac:dyDescent="0.25">
      <c r="A811" s="1"/>
      <c r="B811" s="1"/>
      <c r="C811" s="1"/>
      <c r="D811" s="1"/>
      <c r="E811" s="1"/>
    </row>
    <row r="812" spans="1:5" x14ac:dyDescent="0.25">
      <c r="A812" s="1"/>
      <c r="B812" s="1"/>
      <c r="C812" s="1"/>
      <c r="D812" s="1"/>
      <c r="E812" s="1"/>
    </row>
    <row r="813" spans="1:5" x14ac:dyDescent="0.25">
      <c r="A813" s="1"/>
      <c r="B813" s="1"/>
      <c r="C813" s="1"/>
      <c r="D813" s="1"/>
      <c r="E813" s="1"/>
    </row>
    <row r="814" spans="1:5" x14ac:dyDescent="0.25">
      <c r="A814" s="1"/>
      <c r="B814" s="1"/>
      <c r="C814" s="1"/>
      <c r="D814" s="1"/>
      <c r="E814" s="1"/>
    </row>
    <row r="815" spans="1:5" x14ac:dyDescent="0.25">
      <c r="A815" s="1"/>
      <c r="B815" s="1"/>
      <c r="C815" s="1"/>
      <c r="D815" s="1"/>
      <c r="E815" s="1"/>
    </row>
    <row r="816" spans="1:5" x14ac:dyDescent="0.25">
      <c r="A816" s="1"/>
      <c r="B816" s="1"/>
      <c r="C816" s="1"/>
      <c r="D816" s="1"/>
      <c r="E816" s="1"/>
    </row>
    <row r="817" spans="1:5" x14ac:dyDescent="0.25">
      <c r="A817" s="1"/>
      <c r="B817" s="1"/>
      <c r="C817" s="1"/>
      <c r="D817" s="1"/>
      <c r="E817" s="1"/>
    </row>
    <row r="818" spans="1:5" x14ac:dyDescent="0.25">
      <c r="A818" s="1"/>
      <c r="B818" s="1"/>
      <c r="C818" s="1"/>
      <c r="D818" s="1"/>
      <c r="E818" s="1"/>
    </row>
    <row r="819" spans="1:5" x14ac:dyDescent="0.25">
      <c r="A819" s="1"/>
      <c r="B819" s="1"/>
      <c r="C819" s="1"/>
      <c r="D819" s="1"/>
      <c r="E819" s="1"/>
    </row>
    <row r="820" spans="1:5" x14ac:dyDescent="0.25">
      <c r="A820" s="1"/>
      <c r="B820" s="1"/>
      <c r="C820" s="1"/>
      <c r="D820" s="1"/>
      <c r="E820" s="1"/>
    </row>
    <row r="821" spans="1:5" x14ac:dyDescent="0.25">
      <c r="A821" s="1"/>
      <c r="B821" s="1"/>
      <c r="C821" s="1"/>
      <c r="D821" s="1"/>
      <c r="E821" s="1"/>
    </row>
    <row r="822" spans="1:5" x14ac:dyDescent="0.25">
      <c r="A822" s="1"/>
      <c r="B822" s="1"/>
      <c r="C822" s="1"/>
      <c r="D822" s="1"/>
      <c r="E822" s="1"/>
    </row>
    <row r="823" spans="1:5" x14ac:dyDescent="0.25">
      <c r="A823" s="1"/>
      <c r="B823" s="1"/>
      <c r="C823" s="1"/>
      <c r="D823" s="1"/>
      <c r="E823" s="1"/>
    </row>
    <row r="824" spans="1:5" x14ac:dyDescent="0.25">
      <c r="A824" s="1"/>
      <c r="B824" s="1"/>
      <c r="C824" s="1"/>
      <c r="D824" s="1"/>
      <c r="E824" s="1"/>
    </row>
    <row r="825" spans="1:5" x14ac:dyDescent="0.25">
      <c r="A825" s="1"/>
      <c r="B825" s="1"/>
      <c r="C825" s="1"/>
      <c r="D825" s="1"/>
      <c r="E825" s="1"/>
    </row>
    <row r="826" spans="1:5" x14ac:dyDescent="0.25">
      <c r="A826" s="1"/>
      <c r="B826" s="1"/>
      <c r="C826" s="1"/>
      <c r="D826" s="1"/>
      <c r="E826" s="1"/>
    </row>
    <row r="827" spans="1:5" x14ac:dyDescent="0.25">
      <c r="A827" s="1"/>
      <c r="B827" s="1"/>
      <c r="C827" s="1"/>
      <c r="D827" s="1"/>
      <c r="E827" s="1"/>
    </row>
    <row r="828" spans="1:5" x14ac:dyDescent="0.25">
      <c r="A828" s="1"/>
      <c r="B828" s="1"/>
      <c r="C828" s="1"/>
      <c r="D828" s="1"/>
      <c r="E828" s="1"/>
    </row>
    <row r="829" spans="1:5" x14ac:dyDescent="0.25">
      <c r="A829" s="1"/>
      <c r="B829" s="1"/>
      <c r="C829" s="1"/>
      <c r="D829" s="1"/>
      <c r="E829" s="1"/>
    </row>
    <row r="830" spans="1:5" x14ac:dyDescent="0.25">
      <c r="A830" s="1"/>
      <c r="B830" s="1"/>
      <c r="C830" s="1"/>
      <c r="D830" s="1"/>
      <c r="E830" s="1"/>
    </row>
    <row r="831" spans="1:5" x14ac:dyDescent="0.25">
      <c r="A831" s="1"/>
      <c r="B831" s="1"/>
      <c r="C831" s="1"/>
      <c r="D831" s="1"/>
      <c r="E831" s="1"/>
    </row>
    <row r="832" spans="1:5" x14ac:dyDescent="0.25">
      <c r="A832" s="1"/>
      <c r="B832" s="1"/>
      <c r="C832" s="1"/>
      <c r="D832" s="1"/>
      <c r="E832" s="1"/>
    </row>
    <row r="833" spans="1:5" x14ac:dyDescent="0.25">
      <c r="A833" s="1"/>
      <c r="B833" s="1"/>
      <c r="C833" s="1"/>
      <c r="D833" s="1"/>
      <c r="E833" s="1"/>
    </row>
    <row r="834" spans="1:5" x14ac:dyDescent="0.25">
      <c r="A834" s="1"/>
      <c r="B834" s="1"/>
      <c r="C834" s="1"/>
      <c r="D834" s="1"/>
      <c r="E834" s="1"/>
    </row>
    <row r="835" spans="1:5" x14ac:dyDescent="0.25">
      <c r="A835" s="1"/>
      <c r="B835" s="1"/>
      <c r="C835" s="1"/>
      <c r="D835" s="1"/>
      <c r="E835" s="1"/>
    </row>
    <row r="836" spans="1:5" x14ac:dyDescent="0.25">
      <c r="A836" s="1"/>
      <c r="B836" s="1"/>
      <c r="C836" s="1"/>
      <c r="D836" s="1"/>
      <c r="E836" s="1"/>
    </row>
    <row r="837" spans="1:5" x14ac:dyDescent="0.25">
      <c r="A837" s="1"/>
      <c r="B837" s="1"/>
      <c r="C837" s="1"/>
      <c r="D837" s="1"/>
      <c r="E837" s="1"/>
    </row>
    <row r="838" spans="1:5" x14ac:dyDescent="0.25">
      <c r="A838" s="1"/>
      <c r="B838" s="1"/>
      <c r="C838" s="1"/>
      <c r="D838" s="1"/>
      <c r="E838" s="1"/>
    </row>
    <row r="839" spans="1:5" x14ac:dyDescent="0.25">
      <c r="A839" s="1"/>
      <c r="B839" s="1"/>
      <c r="C839" s="1"/>
      <c r="D839" s="1"/>
      <c r="E839" s="1"/>
    </row>
    <row r="840" spans="1:5" x14ac:dyDescent="0.25">
      <c r="A840" s="1"/>
      <c r="B840" s="1"/>
      <c r="C840" s="1"/>
      <c r="D840" s="1"/>
      <c r="E840" s="1"/>
    </row>
    <row r="841" spans="1:5" x14ac:dyDescent="0.25">
      <c r="A841" s="1"/>
      <c r="B841" s="1"/>
      <c r="C841" s="1"/>
      <c r="D841" s="1"/>
      <c r="E841" s="1"/>
    </row>
    <row r="842" spans="1:5" x14ac:dyDescent="0.25">
      <c r="A842" s="1"/>
      <c r="B842" s="1"/>
      <c r="C842" s="1"/>
      <c r="D842" s="1"/>
      <c r="E842" s="1"/>
    </row>
    <row r="843" spans="1:5" x14ac:dyDescent="0.25">
      <c r="A843" s="1"/>
      <c r="B843" s="1"/>
      <c r="C843" s="1"/>
      <c r="D843" s="1"/>
      <c r="E843" s="1"/>
    </row>
    <row r="844" spans="1:5" x14ac:dyDescent="0.25">
      <c r="A844" s="1"/>
      <c r="B844" s="1"/>
      <c r="C844" s="1"/>
      <c r="D844" s="1"/>
      <c r="E844" s="1"/>
    </row>
    <row r="845" spans="1:5" x14ac:dyDescent="0.25">
      <c r="A845" s="1"/>
      <c r="B845" s="1"/>
      <c r="C845" s="1"/>
      <c r="D845" s="1"/>
      <c r="E845" s="1"/>
    </row>
    <row r="846" spans="1:5" x14ac:dyDescent="0.25">
      <c r="A846" s="1"/>
      <c r="B846" s="1"/>
      <c r="C846" s="1"/>
      <c r="D846" s="1"/>
      <c r="E846" s="1"/>
    </row>
    <row r="847" spans="1:5" x14ac:dyDescent="0.25">
      <c r="A847" s="1"/>
      <c r="B847" s="1"/>
      <c r="C847" s="1"/>
      <c r="D847" s="1"/>
      <c r="E847" s="1"/>
    </row>
    <row r="848" spans="1:5" x14ac:dyDescent="0.25">
      <c r="A848" s="1"/>
      <c r="B848" s="1"/>
      <c r="C848" s="1"/>
      <c r="D848" s="1"/>
      <c r="E848" s="1"/>
    </row>
    <row r="849" spans="1:5" x14ac:dyDescent="0.25">
      <c r="A849" s="1"/>
      <c r="B849" s="1"/>
      <c r="C849" s="1"/>
      <c r="D849" s="1"/>
      <c r="E849" s="1"/>
    </row>
    <row r="850" spans="1:5" x14ac:dyDescent="0.25">
      <c r="A850" s="1"/>
      <c r="B850" s="1"/>
      <c r="C850" s="1"/>
      <c r="D850" s="1"/>
      <c r="E850" s="1"/>
    </row>
    <row r="851" spans="1:5" x14ac:dyDescent="0.25">
      <c r="A851" s="1"/>
      <c r="B851" s="1"/>
      <c r="C851" s="1"/>
      <c r="D851" s="1"/>
      <c r="E851" s="1"/>
    </row>
    <row r="852" spans="1:5" x14ac:dyDescent="0.25">
      <c r="A852" s="1"/>
      <c r="B852" s="1"/>
      <c r="C852" s="1"/>
      <c r="D852" s="1"/>
      <c r="E852" s="1"/>
    </row>
    <row r="853" spans="1:5" x14ac:dyDescent="0.25">
      <c r="A853" s="1"/>
      <c r="B853" s="1"/>
      <c r="C853" s="1"/>
      <c r="D853" s="1"/>
      <c r="E853" s="1"/>
    </row>
    <row r="854" spans="1:5" x14ac:dyDescent="0.25">
      <c r="A854" s="1"/>
      <c r="B854" s="1"/>
      <c r="C854" s="1"/>
      <c r="D854" s="1"/>
      <c r="E854" s="1"/>
    </row>
    <row r="855" spans="1:5" x14ac:dyDescent="0.25">
      <c r="A855" s="1"/>
      <c r="B855" s="1"/>
      <c r="C855" s="1"/>
      <c r="D855" s="1"/>
      <c r="E855" s="1"/>
    </row>
    <row r="856" spans="1:5" x14ac:dyDescent="0.25">
      <c r="A856" s="1"/>
      <c r="B856" s="1"/>
      <c r="C856" s="1"/>
      <c r="D856" s="1"/>
      <c r="E856" s="1"/>
    </row>
    <row r="857" spans="1:5" x14ac:dyDescent="0.25">
      <c r="A857" s="1"/>
      <c r="B857" s="1"/>
      <c r="C857" s="1"/>
      <c r="D857" s="1"/>
      <c r="E857" s="1"/>
    </row>
    <row r="858" spans="1:5" x14ac:dyDescent="0.25">
      <c r="A858" s="1"/>
      <c r="B858" s="1"/>
      <c r="C858" s="1"/>
      <c r="D858" s="1"/>
      <c r="E858" s="1"/>
    </row>
    <row r="859" spans="1:5" x14ac:dyDescent="0.25">
      <c r="A859" s="1"/>
      <c r="B859" s="1"/>
      <c r="C859" s="1"/>
      <c r="D859" s="1"/>
      <c r="E859" s="1"/>
    </row>
    <row r="860" spans="1:5" x14ac:dyDescent="0.25">
      <c r="A860" s="1"/>
      <c r="B860" s="1"/>
      <c r="C860" s="1"/>
      <c r="D860" s="1"/>
      <c r="E860" s="1"/>
    </row>
    <row r="861" spans="1:5" x14ac:dyDescent="0.25">
      <c r="A861" s="1"/>
      <c r="B861" s="1"/>
      <c r="C861" s="1"/>
      <c r="D861" s="1"/>
      <c r="E861" s="1"/>
    </row>
    <row r="862" spans="1:5" x14ac:dyDescent="0.25">
      <c r="A862" s="1"/>
      <c r="B862" s="1"/>
      <c r="C862" s="1"/>
      <c r="D862" s="1"/>
      <c r="E862" s="1"/>
    </row>
    <row r="863" spans="1:5" x14ac:dyDescent="0.25">
      <c r="A863" s="1"/>
      <c r="B863" s="1"/>
      <c r="C863" s="1"/>
      <c r="D863" s="1"/>
      <c r="E863" s="1"/>
    </row>
    <row r="864" spans="1:5" x14ac:dyDescent="0.25">
      <c r="A864" s="1"/>
      <c r="B864" s="1"/>
      <c r="C864" s="1"/>
      <c r="D864" s="1"/>
      <c r="E864" s="1"/>
    </row>
    <row r="865" spans="1:5" x14ac:dyDescent="0.25">
      <c r="A865" s="1"/>
      <c r="B865" s="1"/>
      <c r="C865" s="1"/>
      <c r="D865" s="1"/>
      <c r="E865" s="1"/>
    </row>
    <row r="866" spans="1:5" x14ac:dyDescent="0.25">
      <c r="A866" s="1"/>
      <c r="B866" s="1"/>
      <c r="C866" s="1"/>
      <c r="D866" s="1"/>
      <c r="E866" s="1"/>
    </row>
    <row r="867" spans="1:5" x14ac:dyDescent="0.25">
      <c r="A867" s="1"/>
      <c r="B867" s="1"/>
      <c r="C867" s="1"/>
      <c r="D867" s="1"/>
      <c r="E867" s="1"/>
    </row>
    <row r="868" spans="1:5" x14ac:dyDescent="0.25">
      <c r="A868" s="1"/>
      <c r="B868" s="1"/>
      <c r="C868" s="1"/>
      <c r="D868" s="1"/>
      <c r="E868" s="1"/>
    </row>
    <row r="869" spans="1:5" x14ac:dyDescent="0.25">
      <c r="A869" s="1"/>
      <c r="B869" s="1"/>
      <c r="C869" s="1"/>
      <c r="D869" s="1"/>
      <c r="E869" s="1"/>
    </row>
    <row r="870" spans="1:5" x14ac:dyDescent="0.25">
      <c r="A870" s="1"/>
      <c r="B870" s="1"/>
      <c r="C870" s="1"/>
      <c r="D870" s="1"/>
      <c r="E870" s="1"/>
    </row>
    <row r="871" spans="1:5" x14ac:dyDescent="0.25">
      <c r="A871" s="1"/>
      <c r="B871" s="1"/>
      <c r="C871" s="1"/>
      <c r="D871" s="1"/>
      <c r="E871" s="1"/>
    </row>
    <row r="872" spans="1:5" x14ac:dyDescent="0.25">
      <c r="A872" s="1"/>
      <c r="B872" s="1"/>
      <c r="C872" s="1"/>
      <c r="D872" s="1"/>
      <c r="E872" s="1"/>
    </row>
    <row r="873" spans="1:5" x14ac:dyDescent="0.25">
      <c r="A873" s="1"/>
      <c r="B873" s="1"/>
      <c r="C873" s="1"/>
      <c r="D873" s="1"/>
      <c r="E873" s="1"/>
    </row>
    <row r="874" spans="1:5" x14ac:dyDescent="0.25">
      <c r="A874" s="1"/>
      <c r="B874" s="1"/>
      <c r="C874" s="1"/>
      <c r="D874" s="1"/>
      <c r="E874" s="1"/>
    </row>
    <row r="875" spans="1:5" x14ac:dyDescent="0.25">
      <c r="A875" s="1"/>
      <c r="B875" s="1"/>
      <c r="C875" s="1"/>
      <c r="D875" s="1"/>
      <c r="E875" s="1"/>
    </row>
    <row r="876" spans="1:5" x14ac:dyDescent="0.25">
      <c r="A876" s="1"/>
      <c r="B876" s="1"/>
      <c r="C876" s="1"/>
      <c r="D876" s="1"/>
      <c r="E876" s="1"/>
    </row>
    <row r="877" spans="1:5" x14ac:dyDescent="0.25">
      <c r="A877" s="1"/>
      <c r="B877" s="1"/>
      <c r="C877" s="1"/>
      <c r="D877" s="1"/>
      <c r="E877" s="1"/>
    </row>
    <row r="878" spans="1:5" x14ac:dyDescent="0.25">
      <c r="A878" s="1"/>
      <c r="B878" s="1"/>
      <c r="C878" s="1"/>
      <c r="D878" s="1"/>
      <c r="E878" s="1"/>
    </row>
    <row r="879" spans="1:5" x14ac:dyDescent="0.25">
      <c r="A879" s="1"/>
      <c r="B879" s="1"/>
      <c r="C879" s="1"/>
      <c r="D879" s="1"/>
      <c r="E879" s="1"/>
    </row>
    <row r="880" spans="1:5" x14ac:dyDescent="0.25">
      <c r="A880" s="1"/>
      <c r="B880" s="1"/>
      <c r="C880" s="1"/>
      <c r="D880" s="1"/>
      <c r="E880" s="1"/>
    </row>
    <row r="881" spans="1:5" x14ac:dyDescent="0.25">
      <c r="A881" s="1"/>
      <c r="B881" s="1"/>
      <c r="C881" s="1"/>
      <c r="D881" s="1"/>
      <c r="E881" s="1"/>
    </row>
    <row r="882" spans="1:5" x14ac:dyDescent="0.25">
      <c r="A882" s="1"/>
      <c r="B882" s="1"/>
      <c r="C882" s="1"/>
      <c r="D882" s="1"/>
      <c r="E882" s="1"/>
    </row>
    <row r="883" spans="1:5" x14ac:dyDescent="0.25">
      <c r="A883" s="1"/>
      <c r="B883" s="1"/>
      <c r="C883" s="1"/>
      <c r="D883" s="1"/>
      <c r="E883" s="1"/>
    </row>
    <row r="884" spans="1:5" x14ac:dyDescent="0.25">
      <c r="A884" s="1"/>
      <c r="B884" s="1"/>
      <c r="C884" s="1"/>
      <c r="D884" s="1"/>
      <c r="E884" s="1"/>
    </row>
    <row r="885" spans="1:5" x14ac:dyDescent="0.25">
      <c r="A885" s="1"/>
      <c r="B885" s="1"/>
      <c r="C885" s="1"/>
      <c r="D885" s="1"/>
      <c r="E885" s="1"/>
    </row>
    <row r="886" spans="1:5" x14ac:dyDescent="0.25">
      <c r="A886" s="1"/>
      <c r="B886" s="1"/>
      <c r="C886" s="1"/>
      <c r="D886" s="1"/>
      <c r="E886" s="1"/>
    </row>
    <row r="887" spans="1:5" x14ac:dyDescent="0.25">
      <c r="A887" s="1"/>
      <c r="B887" s="1"/>
      <c r="C887" s="1"/>
      <c r="D887" s="1"/>
      <c r="E887" s="1"/>
    </row>
    <row r="888" spans="1:5" x14ac:dyDescent="0.25">
      <c r="A888" s="1"/>
      <c r="B888" s="1"/>
      <c r="C888" s="1"/>
      <c r="D888" s="1"/>
      <c r="E888" s="1"/>
    </row>
    <row r="889" spans="1:5" x14ac:dyDescent="0.25">
      <c r="A889" s="1"/>
      <c r="B889" s="1"/>
      <c r="C889" s="1"/>
      <c r="D889" s="1"/>
      <c r="E889" s="1"/>
    </row>
    <row r="890" spans="1:5" x14ac:dyDescent="0.25">
      <c r="A890" s="1"/>
      <c r="B890" s="1"/>
      <c r="C890" s="1"/>
      <c r="D890" s="1"/>
      <c r="E890" s="1"/>
    </row>
    <row r="891" spans="1:5" x14ac:dyDescent="0.25">
      <c r="A891" s="1"/>
      <c r="B891" s="1"/>
      <c r="C891" s="1"/>
      <c r="D891" s="1"/>
      <c r="E891" s="1"/>
    </row>
    <row r="892" spans="1:5" x14ac:dyDescent="0.25">
      <c r="A892" s="1"/>
      <c r="B892" s="1"/>
      <c r="C892" s="1"/>
      <c r="D892" s="1"/>
      <c r="E892" s="1"/>
    </row>
    <row r="893" spans="1:5" x14ac:dyDescent="0.25">
      <c r="A893" s="1"/>
      <c r="B893" s="1"/>
      <c r="C893" s="1"/>
      <c r="D893" s="1"/>
      <c r="E893" s="1"/>
    </row>
    <row r="894" spans="1:5" x14ac:dyDescent="0.25">
      <c r="A894" s="1"/>
      <c r="B894" s="1"/>
      <c r="C894" s="1"/>
      <c r="D894" s="1"/>
      <c r="E894" s="1"/>
    </row>
    <row r="895" spans="1:5" x14ac:dyDescent="0.25">
      <c r="A895" s="1"/>
      <c r="B895" s="1"/>
      <c r="C895" s="1"/>
      <c r="D895" s="1"/>
      <c r="E895" s="1"/>
    </row>
    <row r="896" spans="1:5" x14ac:dyDescent="0.25">
      <c r="A896" s="1"/>
      <c r="B896" s="1"/>
      <c r="C896" s="1"/>
      <c r="D896" s="1"/>
      <c r="E896" s="1"/>
    </row>
    <row r="897" spans="1:5" x14ac:dyDescent="0.25">
      <c r="A897" s="1"/>
      <c r="B897" s="1"/>
      <c r="C897" s="1"/>
      <c r="D897" s="1"/>
      <c r="E897" s="1"/>
    </row>
    <row r="898" spans="1:5" x14ac:dyDescent="0.25">
      <c r="A898" s="1"/>
      <c r="B898" s="1"/>
      <c r="C898" s="1"/>
      <c r="D898" s="1"/>
      <c r="E898" s="1"/>
    </row>
    <row r="899" spans="1:5" x14ac:dyDescent="0.25">
      <c r="A899" s="1"/>
      <c r="B899" s="1"/>
      <c r="C899" s="1"/>
      <c r="D899" s="1"/>
      <c r="E899" s="1"/>
    </row>
    <row r="900" spans="1:5" x14ac:dyDescent="0.25">
      <c r="A900" s="1"/>
      <c r="B900" s="1"/>
      <c r="C900" s="1"/>
      <c r="D900" s="1"/>
      <c r="E900" s="1"/>
    </row>
    <row r="901" spans="1:5" x14ac:dyDescent="0.25">
      <c r="A901" s="1"/>
      <c r="B901" s="1"/>
      <c r="C901" s="1"/>
      <c r="D901" s="1"/>
      <c r="E901" s="1"/>
    </row>
    <row r="902" spans="1:5" x14ac:dyDescent="0.25">
      <c r="A902" s="1"/>
      <c r="B902" s="1"/>
      <c r="C902" s="1"/>
      <c r="D902" s="1"/>
      <c r="E902" s="1"/>
    </row>
    <row r="903" spans="1:5" x14ac:dyDescent="0.25">
      <c r="A903" s="1"/>
      <c r="B903" s="1"/>
      <c r="C903" s="1"/>
      <c r="D903" s="1"/>
      <c r="E903" s="1"/>
    </row>
    <row r="904" spans="1:5" x14ac:dyDescent="0.25">
      <c r="A904" s="1"/>
      <c r="B904" s="1"/>
      <c r="C904" s="1"/>
      <c r="D904" s="1"/>
      <c r="E904" s="1"/>
    </row>
    <row r="905" spans="1:5" x14ac:dyDescent="0.25">
      <c r="A905" s="1"/>
      <c r="B905" s="1"/>
      <c r="C905" s="1"/>
      <c r="D905" s="1"/>
      <c r="E905" s="1"/>
    </row>
    <row r="906" spans="1:5" x14ac:dyDescent="0.25">
      <c r="A906" s="1"/>
      <c r="B906" s="1"/>
      <c r="C906" s="1"/>
      <c r="D906" s="1"/>
      <c r="E906" s="1"/>
    </row>
    <row r="907" spans="1:5" x14ac:dyDescent="0.25">
      <c r="A907" s="1"/>
      <c r="B907" s="1"/>
      <c r="C907" s="1"/>
      <c r="D907" s="1"/>
      <c r="E907" s="1"/>
    </row>
    <row r="908" spans="1:5" x14ac:dyDescent="0.25">
      <c r="A908" s="1"/>
      <c r="B908" s="1"/>
      <c r="C908" s="1"/>
      <c r="D908" s="1"/>
      <c r="E908" s="1"/>
    </row>
    <row r="909" spans="1:5" x14ac:dyDescent="0.25">
      <c r="A909" s="1"/>
      <c r="B909" s="1"/>
      <c r="C909" s="1"/>
      <c r="D909" s="1"/>
      <c r="E909" s="1"/>
    </row>
    <row r="910" spans="1:5" x14ac:dyDescent="0.25">
      <c r="A910" s="1"/>
      <c r="B910" s="1"/>
      <c r="C910" s="1"/>
      <c r="D910" s="1"/>
      <c r="E910" s="1"/>
    </row>
    <row r="911" spans="1:5" x14ac:dyDescent="0.25">
      <c r="A911" s="1"/>
      <c r="B911" s="1"/>
      <c r="C911" s="1"/>
      <c r="D911" s="1"/>
      <c r="E911" s="1"/>
    </row>
    <row r="912" spans="1:5" x14ac:dyDescent="0.25">
      <c r="A912" s="1"/>
      <c r="B912" s="1"/>
      <c r="C912" s="1"/>
      <c r="D912" s="1"/>
      <c r="E912" s="1"/>
    </row>
    <row r="913" spans="1:5" x14ac:dyDescent="0.25">
      <c r="A913" s="1"/>
      <c r="B913" s="1"/>
      <c r="C913" s="1"/>
      <c r="D913" s="1"/>
      <c r="E913" s="1"/>
    </row>
    <row r="914" spans="1:5" x14ac:dyDescent="0.25">
      <c r="A914" s="1"/>
      <c r="B914" s="1"/>
      <c r="C914" s="1"/>
      <c r="D914" s="1"/>
      <c r="E914" s="1"/>
    </row>
    <row r="915" spans="1:5" x14ac:dyDescent="0.25">
      <c r="A915" s="1"/>
      <c r="B915" s="1"/>
      <c r="C915" s="1"/>
      <c r="D915" s="1"/>
      <c r="E915" s="1"/>
    </row>
    <row r="916" spans="1:5" x14ac:dyDescent="0.25">
      <c r="A916" s="1"/>
      <c r="B916" s="1"/>
      <c r="C916" s="1"/>
      <c r="D916" s="1"/>
      <c r="E916" s="1"/>
    </row>
    <row r="917" spans="1:5" x14ac:dyDescent="0.25">
      <c r="A917" s="1"/>
      <c r="B917" s="1"/>
      <c r="C917" s="1"/>
      <c r="D917" s="1"/>
      <c r="E917" s="1"/>
    </row>
    <row r="918" spans="1:5" x14ac:dyDescent="0.25">
      <c r="A918" s="1"/>
      <c r="B918" s="1"/>
      <c r="C918" s="1"/>
      <c r="D918" s="1"/>
      <c r="E918" s="1"/>
    </row>
    <row r="919" spans="1:5" x14ac:dyDescent="0.25">
      <c r="A919" s="1"/>
      <c r="B919" s="1"/>
      <c r="C919" s="1"/>
      <c r="D919" s="1"/>
      <c r="E919" s="1"/>
    </row>
    <row r="920" spans="1:5" x14ac:dyDescent="0.25">
      <c r="A920" s="1"/>
      <c r="B920" s="1"/>
      <c r="C920" s="1"/>
      <c r="D920" s="1"/>
      <c r="E920" s="1"/>
    </row>
    <row r="921" spans="1:5" x14ac:dyDescent="0.25">
      <c r="A921" s="1"/>
      <c r="B921" s="1"/>
      <c r="C921" s="1"/>
      <c r="D921" s="1"/>
      <c r="E921" s="1"/>
    </row>
    <row r="922" spans="1:5" x14ac:dyDescent="0.25">
      <c r="A922" s="1"/>
      <c r="B922" s="1"/>
      <c r="C922" s="1"/>
      <c r="D922" s="1"/>
      <c r="E922" s="1"/>
    </row>
    <row r="923" spans="1:5" x14ac:dyDescent="0.25">
      <c r="A923" s="1"/>
      <c r="B923" s="1"/>
      <c r="C923" s="1"/>
      <c r="D923" s="1"/>
      <c r="E923" s="1"/>
    </row>
    <row r="924" spans="1:5" x14ac:dyDescent="0.25">
      <c r="A924" s="1"/>
      <c r="B924" s="1"/>
      <c r="C924" s="1"/>
      <c r="D924" s="1"/>
      <c r="E924" s="1"/>
    </row>
    <row r="925" spans="1:5" x14ac:dyDescent="0.25">
      <c r="A925" s="1"/>
      <c r="B925" s="1"/>
      <c r="C925" s="1"/>
      <c r="D925" s="1"/>
      <c r="E925" s="1"/>
    </row>
    <row r="926" spans="1:5" x14ac:dyDescent="0.25">
      <c r="A926" s="1"/>
      <c r="B926" s="1"/>
      <c r="C926" s="1"/>
      <c r="D926" s="1"/>
      <c r="E926" s="1"/>
    </row>
    <row r="927" spans="1:5" x14ac:dyDescent="0.25">
      <c r="A927" s="1"/>
      <c r="B927" s="1"/>
      <c r="C927" s="1"/>
      <c r="D927" s="1"/>
      <c r="E927" s="1"/>
    </row>
    <row r="928" spans="1:5" x14ac:dyDescent="0.25">
      <c r="A928" s="1"/>
      <c r="B928" s="1"/>
      <c r="C928" s="1"/>
      <c r="D928" s="1"/>
      <c r="E928" s="1"/>
    </row>
    <row r="929" spans="1:5" x14ac:dyDescent="0.25">
      <c r="A929" s="1"/>
      <c r="B929" s="1"/>
      <c r="C929" s="1"/>
      <c r="D929" s="1"/>
      <c r="E929" s="1"/>
    </row>
    <row r="930" spans="1:5" x14ac:dyDescent="0.25">
      <c r="A930" s="1"/>
      <c r="B930" s="1"/>
      <c r="C930" s="1"/>
      <c r="D930" s="1"/>
      <c r="E930" s="1"/>
    </row>
    <row r="931" spans="1:5" x14ac:dyDescent="0.25">
      <c r="A931" s="1"/>
      <c r="B931" s="1"/>
      <c r="C931" s="1"/>
      <c r="D931" s="1"/>
      <c r="E931" s="1"/>
    </row>
    <row r="932" spans="1:5" x14ac:dyDescent="0.25">
      <c r="A932" s="1"/>
      <c r="B932" s="1"/>
      <c r="C932" s="1"/>
      <c r="D932" s="1"/>
      <c r="E932" s="1"/>
    </row>
    <row r="933" spans="1:5" x14ac:dyDescent="0.25">
      <c r="A933" s="1"/>
      <c r="B933" s="1"/>
      <c r="C933" s="1"/>
      <c r="D933" s="1"/>
      <c r="E933" s="1"/>
    </row>
    <row r="934" spans="1:5" x14ac:dyDescent="0.25">
      <c r="A934" s="1"/>
      <c r="B934" s="1"/>
      <c r="C934" s="1"/>
      <c r="D934" s="1"/>
      <c r="E934" s="1"/>
    </row>
    <row r="935" spans="1:5" x14ac:dyDescent="0.25">
      <c r="A935" s="1"/>
      <c r="B935" s="1"/>
      <c r="C935" s="1"/>
      <c r="D935" s="1"/>
      <c r="E935" s="1"/>
    </row>
    <row r="936" spans="1:5" x14ac:dyDescent="0.25">
      <c r="A936" s="1"/>
      <c r="B936" s="1"/>
      <c r="C936" s="1"/>
      <c r="D936" s="1"/>
      <c r="E936" s="1"/>
    </row>
    <row r="937" spans="1:5" x14ac:dyDescent="0.25">
      <c r="A937" s="1"/>
      <c r="B937" s="1"/>
      <c r="C937" s="1"/>
      <c r="D937" s="1"/>
      <c r="E937" s="1"/>
    </row>
    <row r="938" spans="1:5" x14ac:dyDescent="0.25">
      <c r="A938" s="1"/>
      <c r="B938" s="1"/>
      <c r="C938" s="1"/>
      <c r="D938" s="1"/>
      <c r="E938" s="1"/>
    </row>
    <row r="939" spans="1:5" x14ac:dyDescent="0.25">
      <c r="A939" s="1"/>
      <c r="B939" s="1"/>
      <c r="C939" s="1"/>
      <c r="D939" s="1"/>
      <c r="E939" s="1"/>
    </row>
    <row r="940" spans="1:5" x14ac:dyDescent="0.25">
      <c r="A940" s="1"/>
      <c r="B940" s="1"/>
      <c r="C940" s="1"/>
      <c r="D940" s="1"/>
      <c r="E940" s="1"/>
    </row>
    <row r="941" spans="1:5" x14ac:dyDescent="0.25">
      <c r="A941" s="1"/>
      <c r="B941" s="1"/>
      <c r="C941" s="1"/>
      <c r="D941" s="1"/>
      <c r="E941" s="1"/>
    </row>
    <row r="942" spans="1:5" x14ac:dyDescent="0.25">
      <c r="A942" s="1"/>
      <c r="B942" s="1"/>
      <c r="C942" s="1"/>
      <c r="D942" s="1"/>
      <c r="E942" s="1"/>
    </row>
    <row r="943" spans="1:5" x14ac:dyDescent="0.25">
      <c r="A943" s="1"/>
      <c r="B943" s="1"/>
      <c r="C943" s="1"/>
      <c r="D943" s="1"/>
      <c r="E943" s="1"/>
    </row>
    <row r="944" spans="1:5" x14ac:dyDescent="0.25">
      <c r="A944" s="1"/>
      <c r="B944" s="1"/>
      <c r="C944" s="1"/>
      <c r="D944" s="1"/>
      <c r="E944" s="1"/>
    </row>
    <row r="945" spans="1:5" x14ac:dyDescent="0.25">
      <c r="A945" s="1"/>
      <c r="B945" s="1"/>
      <c r="C945" s="1"/>
      <c r="D945" s="1"/>
      <c r="E945" s="1"/>
    </row>
    <row r="946" spans="1:5" x14ac:dyDescent="0.25">
      <c r="A946" s="1"/>
      <c r="B946" s="1"/>
      <c r="C946" s="1"/>
      <c r="D946" s="1"/>
      <c r="E946" s="1"/>
    </row>
    <row r="947" spans="1:5" x14ac:dyDescent="0.25">
      <c r="A947" s="1"/>
      <c r="B947" s="1"/>
      <c r="C947" s="1"/>
      <c r="D947" s="1"/>
      <c r="E947" s="1"/>
    </row>
    <row r="948" spans="1:5" x14ac:dyDescent="0.25">
      <c r="A948" s="1"/>
      <c r="B948" s="1"/>
      <c r="C948" s="1"/>
      <c r="D948" s="1"/>
      <c r="E948" s="1"/>
    </row>
    <row r="949" spans="1:5" x14ac:dyDescent="0.25">
      <c r="A949" s="1"/>
      <c r="B949" s="1"/>
      <c r="C949" s="1"/>
      <c r="D949" s="1"/>
      <c r="E949" s="1"/>
    </row>
    <row r="950" spans="1:5" x14ac:dyDescent="0.25">
      <c r="A950" s="1"/>
      <c r="B950" s="1"/>
      <c r="C950" s="1"/>
      <c r="D950" s="1"/>
      <c r="E950" s="1"/>
    </row>
    <row r="951" spans="1:5" x14ac:dyDescent="0.25">
      <c r="A951" s="1"/>
      <c r="B951" s="1"/>
      <c r="C951" s="1"/>
      <c r="D951" s="1"/>
      <c r="E951" s="1"/>
    </row>
    <row r="952" spans="1:5" x14ac:dyDescent="0.25">
      <c r="A952" s="1"/>
      <c r="B952" s="1"/>
      <c r="C952" s="1"/>
      <c r="D952" s="1"/>
      <c r="E952" s="1"/>
    </row>
    <row r="953" spans="1:5" x14ac:dyDescent="0.25">
      <c r="A953" s="1"/>
      <c r="B953" s="1"/>
      <c r="C953" s="1"/>
      <c r="D953" s="1"/>
      <c r="E953" s="1"/>
    </row>
    <row r="954" spans="1:5" x14ac:dyDescent="0.25">
      <c r="A954" s="1"/>
      <c r="B954" s="1"/>
      <c r="C954" s="1"/>
      <c r="D954" s="1"/>
      <c r="E954" s="1"/>
    </row>
    <row r="955" spans="1:5" x14ac:dyDescent="0.25">
      <c r="A955" s="1"/>
      <c r="B955" s="1"/>
      <c r="C955" s="1"/>
      <c r="D955" s="1"/>
      <c r="E955" s="1"/>
    </row>
    <row r="956" spans="1:5" x14ac:dyDescent="0.25">
      <c r="A956" s="1"/>
      <c r="B956" s="1"/>
      <c r="C956" s="1"/>
      <c r="D956" s="1"/>
      <c r="E956" s="1"/>
    </row>
    <row r="957" spans="1:5" x14ac:dyDescent="0.25">
      <c r="A957" s="1"/>
      <c r="B957" s="1"/>
      <c r="C957" s="1"/>
      <c r="D957" s="1"/>
      <c r="E957" s="1"/>
    </row>
    <row r="958" spans="1:5" x14ac:dyDescent="0.25">
      <c r="A958" s="1"/>
      <c r="B958" s="1"/>
      <c r="C958" s="1"/>
      <c r="D958" s="1"/>
      <c r="E958" s="1"/>
    </row>
    <row r="959" spans="1:5" x14ac:dyDescent="0.25">
      <c r="A959" s="1"/>
      <c r="B959" s="1"/>
      <c r="C959" s="1"/>
      <c r="D959" s="1"/>
      <c r="E959" s="1"/>
    </row>
    <row r="960" spans="1:5" x14ac:dyDescent="0.25">
      <c r="A960" s="1"/>
      <c r="B960" s="1"/>
      <c r="C960" s="1"/>
      <c r="D960" s="1"/>
      <c r="E960" s="1"/>
    </row>
    <row r="961" spans="1:5" x14ac:dyDescent="0.25">
      <c r="A961" s="1"/>
      <c r="B961" s="1"/>
      <c r="C961" s="1"/>
      <c r="D961" s="1"/>
      <c r="E961" s="1"/>
    </row>
    <row r="962" spans="1:5" x14ac:dyDescent="0.25">
      <c r="A962" s="1"/>
      <c r="B962" s="1"/>
      <c r="C962" s="1"/>
      <c r="D962" s="1"/>
      <c r="E962" s="1"/>
    </row>
    <row r="963" spans="1:5" x14ac:dyDescent="0.25">
      <c r="A963" s="1"/>
      <c r="B963" s="1"/>
      <c r="C963" s="1"/>
      <c r="D963" s="1"/>
      <c r="E963" s="1"/>
    </row>
    <row r="964" spans="1:5" x14ac:dyDescent="0.25">
      <c r="A964" s="1"/>
      <c r="B964" s="1"/>
      <c r="C964" s="1"/>
      <c r="D964" s="1"/>
      <c r="E964" s="1"/>
    </row>
    <row r="965" spans="1:5" x14ac:dyDescent="0.25">
      <c r="A965" s="1"/>
      <c r="B965" s="1"/>
      <c r="C965" s="1"/>
      <c r="D965" s="1"/>
      <c r="E965" s="1"/>
    </row>
    <row r="966" spans="1:5" x14ac:dyDescent="0.25">
      <c r="A966" s="1"/>
      <c r="B966" s="1"/>
      <c r="C966" s="1"/>
      <c r="D966" s="1"/>
      <c r="E966" s="1"/>
    </row>
    <row r="967" spans="1:5" x14ac:dyDescent="0.25">
      <c r="A967" s="1"/>
      <c r="B967" s="1"/>
      <c r="C967" s="1"/>
      <c r="D967" s="1"/>
      <c r="E967" s="1"/>
    </row>
    <row r="968" spans="1:5" x14ac:dyDescent="0.25">
      <c r="A968" s="1"/>
      <c r="B968" s="1"/>
      <c r="C968" s="1"/>
      <c r="D968" s="1"/>
      <c r="E968" s="1"/>
    </row>
    <row r="969" spans="1:5" x14ac:dyDescent="0.25">
      <c r="A969" s="1"/>
      <c r="B969" s="1"/>
      <c r="C969" s="1"/>
      <c r="D969" s="1"/>
      <c r="E969" s="1"/>
    </row>
    <row r="970" spans="1:5" x14ac:dyDescent="0.25">
      <c r="A970" s="1"/>
      <c r="B970" s="1"/>
      <c r="C970" s="1"/>
      <c r="D970" s="1"/>
      <c r="E970" s="1"/>
    </row>
    <row r="971" spans="1:5" x14ac:dyDescent="0.25">
      <c r="A971" s="1"/>
      <c r="B971" s="1"/>
      <c r="C971" s="1"/>
      <c r="D971" s="1"/>
      <c r="E971" s="1"/>
    </row>
    <row r="972" spans="1:5" x14ac:dyDescent="0.25">
      <c r="A972" s="1"/>
      <c r="B972" s="1"/>
      <c r="C972" s="1"/>
      <c r="D972" s="1"/>
      <c r="E972" s="1"/>
    </row>
    <row r="973" spans="1:5" x14ac:dyDescent="0.25">
      <c r="A973" s="1"/>
      <c r="B973" s="1"/>
      <c r="C973" s="1"/>
      <c r="D973" s="1"/>
      <c r="E973" s="1"/>
    </row>
    <row r="974" spans="1:5" x14ac:dyDescent="0.25">
      <c r="A974" s="1"/>
      <c r="B974" s="1"/>
      <c r="C974" s="1"/>
      <c r="D974" s="1"/>
      <c r="E974" s="1"/>
    </row>
    <row r="975" spans="1:5" x14ac:dyDescent="0.25">
      <c r="A975" s="1"/>
      <c r="B975" s="1"/>
      <c r="C975" s="1"/>
      <c r="D975" s="1"/>
      <c r="E975" s="1"/>
    </row>
    <row r="976" spans="1:5" x14ac:dyDescent="0.25">
      <c r="A976" s="1"/>
      <c r="B976" s="1"/>
      <c r="C976" s="1"/>
      <c r="D976" s="1"/>
      <c r="E976" s="1"/>
    </row>
    <row r="977" spans="1:5" x14ac:dyDescent="0.25">
      <c r="A977" s="1"/>
      <c r="B977" s="1"/>
      <c r="C977" s="1"/>
      <c r="D977" s="1"/>
      <c r="E977" s="1"/>
    </row>
    <row r="978" spans="1:5" x14ac:dyDescent="0.25">
      <c r="A978" s="1"/>
      <c r="B978" s="1"/>
      <c r="C978" s="1"/>
      <c r="D978" s="1"/>
      <c r="E978" s="1"/>
    </row>
    <row r="979" spans="1:5" x14ac:dyDescent="0.25">
      <c r="A979" s="1"/>
      <c r="B979" s="1"/>
      <c r="C979" s="1"/>
      <c r="D979" s="1"/>
      <c r="E979" s="1"/>
    </row>
    <row r="980" spans="1:5" x14ac:dyDescent="0.25">
      <c r="A980" s="1"/>
      <c r="B980" s="1"/>
      <c r="C980" s="1"/>
      <c r="D980" s="1"/>
      <c r="E980" s="1"/>
    </row>
    <row r="981" spans="1:5" x14ac:dyDescent="0.25">
      <c r="A981" s="1"/>
      <c r="B981" s="1"/>
      <c r="C981" s="1"/>
      <c r="D981" s="1"/>
      <c r="E981" s="1"/>
    </row>
    <row r="982" spans="1:5" x14ac:dyDescent="0.25">
      <c r="A982" s="1"/>
      <c r="B982" s="1"/>
      <c r="C982" s="1"/>
      <c r="D982" s="1"/>
      <c r="E982" s="1"/>
    </row>
    <row r="983" spans="1:5" x14ac:dyDescent="0.25">
      <c r="A983" s="1"/>
      <c r="B983" s="1"/>
      <c r="C983" s="1"/>
      <c r="D983" s="1"/>
      <c r="E983" s="1"/>
    </row>
    <row r="984" spans="1:5" x14ac:dyDescent="0.25">
      <c r="A984" s="1"/>
      <c r="B984" s="1"/>
      <c r="C984" s="1"/>
      <c r="D984" s="1"/>
      <c r="E984" s="1"/>
    </row>
    <row r="985" spans="1:5" x14ac:dyDescent="0.25">
      <c r="A985" s="1"/>
      <c r="B985" s="1"/>
      <c r="C985" s="1"/>
      <c r="D985" s="1"/>
      <c r="E985" s="1"/>
    </row>
    <row r="986" spans="1:5" x14ac:dyDescent="0.25">
      <c r="A986" s="1"/>
      <c r="B986" s="1"/>
      <c r="C986" s="1"/>
      <c r="D986" s="1"/>
      <c r="E986" s="1"/>
    </row>
    <row r="987" spans="1:5" x14ac:dyDescent="0.25">
      <c r="A987" s="1"/>
      <c r="B987" s="1"/>
      <c r="C987" s="1"/>
      <c r="D987" s="1"/>
      <c r="E987" s="1"/>
    </row>
    <row r="988" spans="1:5" x14ac:dyDescent="0.25">
      <c r="A988" s="1"/>
      <c r="B988" s="1"/>
      <c r="C988" s="1"/>
      <c r="D988" s="1"/>
      <c r="E988" s="1"/>
    </row>
    <row r="989" spans="1:5" x14ac:dyDescent="0.25">
      <c r="A989" s="1"/>
      <c r="B989" s="1"/>
      <c r="C989" s="1"/>
      <c r="D989" s="1"/>
      <c r="E989" s="1"/>
    </row>
    <row r="990" spans="1:5" x14ac:dyDescent="0.25">
      <c r="A990" s="1"/>
      <c r="B990" s="1"/>
      <c r="C990" s="1"/>
      <c r="D990" s="1"/>
      <c r="E990" s="1"/>
    </row>
    <row r="991" spans="1:5" x14ac:dyDescent="0.25">
      <c r="A991" s="1"/>
      <c r="B991" s="1"/>
      <c r="C991" s="1"/>
      <c r="D991" s="1"/>
      <c r="E991" s="1"/>
    </row>
    <row r="992" spans="1:5" x14ac:dyDescent="0.25">
      <c r="A992" s="1"/>
      <c r="B992" s="1"/>
      <c r="C992" s="1"/>
      <c r="D992" s="1"/>
      <c r="E992" s="1"/>
    </row>
    <row r="993" spans="1:5" x14ac:dyDescent="0.25">
      <c r="A993" s="1"/>
      <c r="B993" s="1"/>
      <c r="C993" s="1"/>
      <c r="D993" s="1"/>
      <c r="E993" s="1"/>
    </row>
    <row r="994" spans="1:5" x14ac:dyDescent="0.25">
      <c r="A994" s="1"/>
      <c r="B994" s="1"/>
      <c r="C994" s="1"/>
      <c r="D994" s="1"/>
      <c r="E994" s="1"/>
    </row>
    <row r="995" spans="1:5" x14ac:dyDescent="0.25">
      <c r="A995" s="1"/>
      <c r="B995" s="1"/>
      <c r="C995" s="1"/>
      <c r="D995" s="1"/>
      <c r="E995" s="1"/>
    </row>
    <row r="996" spans="1:5" x14ac:dyDescent="0.25">
      <c r="A996" s="1"/>
      <c r="B996" s="1"/>
      <c r="C996" s="1"/>
      <c r="D996" s="1"/>
      <c r="E996" s="1"/>
    </row>
    <row r="997" spans="1:5" x14ac:dyDescent="0.25">
      <c r="A997" s="1"/>
      <c r="B997" s="1"/>
      <c r="C997" s="1"/>
      <c r="D997" s="1"/>
      <c r="E997" s="1"/>
    </row>
    <row r="998" spans="1:5" x14ac:dyDescent="0.25">
      <c r="A998" s="1"/>
      <c r="B998" s="1"/>
      <c r="C998" s="1"/>
      <c r="D998" s="1"/>
      <c r="E998" s="1"/>
    </row>
    <row r="999" spans="1:5" x14ac:dyDescent="0.25">
      <c r="A999" s="1"/>
      <c r="B999" s="1"/>
      <c r="C999" s="1"/>
      <c r="D999" s="1"/>
      <c r="E999" s="1"/>
    </row>
    <row r="1000" spans="1:5" x14ac:dyDescent="0.25">
      <c r="A1000" s="1"/>
      <c r="B1000" s="1"/>
      <c r="C1000" s="1"/>
      <c r="D1000" s="1"/>
      <c r="E1000" s="1"/>
    </row>
    <row r="1001" spans="1:5" x14ac:dyDescent="0.25">
      <c r="A1001" s="1"/>
      <c r="B1001" s="1"/>
      <c r="C1001" s="1"/>
      <c r="D1001" s="1"/>
      <c r="E1001" s="1"/>
    </row>
    <row r="1002" spans="1:5" x14ac:dyDescent="0.25">
      <c r="A1002" s="1"/>
      <c r="B1002" s="1"/>
      <c r="C1002" s="1"/>
      <c r="D1002" s="1"/>
      <c r="E1002" s="1"/>
    </row>
    <row r="1003" spans="1:5" x14ac:dyDescent="0.25">
      <c r="A1003" s="1"/>
      <c r="B1003" s="1"/>
      <c r="C1003" s="1"/>
      <c r="D1003" s="1"/>
      <c r="E1003" s="1"/>
    </row>
    <row r="1004" spans="1:5" x14ac:dyDescent="0.25">
      <c r="A1004" s="1"/>
      <c r="B1004" s="1"/>
      <c r="C1004" s="1"/>
      <c r="D1004" s="1"/>
      <c r="E1004" s="1"/>
    </row>
    <row r="1005" spans="1:5" x14ac:dyDescent="0.25">
      <c r="A1005" s="1"/>
      <c r="B1005" s="1"/>
      <c r="C1005" s="1"/>
      <c r="D1005" s="1"/>
      <c r="E1005" s="1"/>
    </row>
    <row r="1006" spans="1:5" x14ac:dyDescent="0.25">
      <c r="A1006" s="1"/>
      <c r="B1006" s="1"/>
      <c r="C1006" s="1"/>
      <c r="D1006" s="1"/>
      <c r="E1006" s="1"/>
    </row>
    <row r="1007" spans="1:5" x14ac:dyDescent="0.25">
      <c r="A1007" s="1"/>
      <c r="B1007" s="1"/>
      <c r="C1007" s="1"/>
      <c r="D1007" s="1"/>
      <c r="E1007" s="1"/>
    </row>
    <row r="1008" spans="1:5" x14ac:dyDescent="0.25">
      <c r="A1008" s="1"/>
      <c r="B1008" s="1"/>
      <c r="C1008" s="1"/>
      <c r="D1008" s="1"/>
      <c r="E1008" s="1"/>
    </row>
    <row r="1009" spans="1:5" x14ac:dyDescent="0.25">
      <c r="A1009" s="1"/>
      <c r="B1009" s="1"/>
      <c r="C1009" s="1"/>
      <c r="D1009" s="1"/>
      <c r="E1009" s="1"/>
    </row>
    <row r="1010" spans="1:5" x14ac:dyDescent="0.25">
      <c r="A1010" s="1"/>
      <c r="B1010" s="1"/>
      <c r="C1010" s="1"/>
      <c r="D1010" s="1"/>
      <c r="E1010" s="1"/>
    </row>
    <row r="1011" spans="1:5" x14ac:dyDescent="0.25">
      <c r="A1011" s="1"/>
      <c r="B1011" s="1"/>
      <c r="C1011" s="1"/>
      <c r="D1011" s="1"/>
      <c r="E1011" s="1"/>
    </row>
    <row r="1012" spans="1:5" x14ac:dyDescent="0.25">
      <c r="A1012" s="1"/>
      <c r="B1012" s="1"/>
      <c r="C1012" s="1"/>
      <c r="D1012" s="1"/>
      <c r="E1012" s="1"/>
    </row>
    <row r="1013" spans="1:5" x14ac:dyDescent="0.25">
      <c r="A1013" s="1"/>
      <c r="B1013" s="1"/>
      <c r="C1013" s="1"/>
      <c r="D1013" s="1"/>
      <c r="E1013" s="1"/>
    </row>
    <row r="1014" spans="1:5" x14ac:dyDescent="0.25">
      <c r="A1014" s="1"/>
      <c r="B1014" s="1"/>
      <c r="C1014" s="1"/>
      <c r="D1014" s="1"/>
      <c r="E1014" s="1"/>
    </row>
    <row r="1015" spans="1:5" x14ac:dyDescent="0.25">
      <c r="A1015" s="1"/>
      <c r="B1015" s="1"/>
      <c r="C1015" s="1"/>
      <c r="D1015" s="1"/>
      <c r="E1015" s="1"/>
    </row>
    <row r="1016" spans="1:5" x14ac:dyDescent="0.25">
      <c r="A1016" s="1"/>
      <c r="B1016" s="1"/>
      <c r="C1016" s="1"/>
      <c r="D1016" s="1"/>
      <c r="E1016" s="1"/>
    </row>
    <row r="1017" spans="1:5" x14ac:dyDescent="0.25">
      <c r="A1017" s="1"/>
      <c r="B1017" s="1"/>
      <c r="C1017" s="1"/>
      <c r="D1017" s="1"/>
      <c r="E1017" s="1"/>
    </row>
    <row r="1018" spans="1:5" x14ac:dyDescent="0.25">
      <c r="A1018" s="1"/>
      <c r="B1018" s="1"/>
      <c r="C1018" s="1"/>
      <c r="D1018" s="1"/>
      <c r="E1018" s="1"/>
    </row>
    <row r="1019" spans="1:5" x14ac:dyDescent="0.25">
      <c r="A1019" s="1"/>
      <c r="B1019" s="1"/>
      <c r="C1019" s="1"/>
      <c r="D1019" s="1"/>
      <c r="E1019" s="1"/>
    </row>
    <row r="1020" spans="1:5" x14ac:dyDescent="0.25">
      <c r="A1020" s="1"/>
      <c r="B1020" s="1"/>
      <c r="C1020" s="1"/>
      <c r="D1020" s="1"/>
      <c r="E1020" s="1"/>
    </row>
    <row r="1021" spans="1:5" x14ac:dyDescent="0.25">
      <c r="A1021" s="1"/>
      <c r="B1021" s="1"/>
      <c r="C1021" s="1"/>
      <c r="D1021" s="1"/>
      <c r="E1021" s="1"/>
    </row>
    <row r="1022" spans="1:5" x14ac:dyDescent="0.25">
      <c r="A1022" s="1"/>
      <c r="B1022" s="1"/>
      <c r="C1022" s="1"/>
      <c r="D1022" s="1"/>
      <c r="E1022" s="1"/>
    </row>
    <row r="1023" spans="1:5" x14ac:dyDescent="0.25">
      <c r="A1023" s="1"/>
      <c r="B1023" s="1"/>
      <c r="C1023" s="1"/>
      <c r="D1023" s="1"/>
      <c r="E1023" s="1"/>
    </row>
    <row r="1024" spans="1:5" x14ac:dyDescent="0.25">
      <c r="A1024" s="1"/>
      <c r="B1024" s="1"/>
      <c r="C1024" s="1"/>
      <c r="D1024" s="1"/>
      <c r="E1024" s="1"/>
    </row>
    <row r="1025" spans="1:5" x14ac:dyDescent="0.25">
      <c r="A1025" s="1"/>
      <c r="B1025" s="1"/>
      <c r="C1025" s="1"/>
      <c r="D1025" s="1"/>
      <c r="E1025" s="1"/>
    </row>
    <row r="1026" spans="1:5" x14ac:dyDescent="0.25">
      <c r="A1026" s="1"/>
      <c r="B1026" s="1"/>
      <c r="C1026" s="1"/>
      <c r="D1026" s="1"/>
      <c r="E1026" s="1"/>
    </row>
    <row r="1027" spans="1:5" x14ac:dyDescent="0.25">
      <c r="A1027" s="1"/>
      <c r="B1027" s="1"/>
      <c r="C1027" s="1"/>
      <c r="D1027" s="1"/>
      <c r="E1027" s="1"/>
    </row>
    <row r="1028" spans="1:5" x14ac:dyDescent="0.25">
      <c r="A1028" s="1"/>
      <c r="B1028" s="1"/>
      <c r="C1028" s="1"/>
      <c r="D1028" s="1"/>
      <c r="E1028" s="1"/>
    </row>
    <row r="1029" spans="1:5" x14ac:dyDescent="0.25">
      <c r="A1029" s="1"/>
      <c r="B1029" s="1"/>
      <c r="C1029" s="1"/>
      <c r="D1029" s="1"/>
      <c r="E1029" s="1"/>
    </row>
    <row r="1030" spans="1:5" x14ac:dyDescent="0.25">
      <c r="A1030" s="1"/>
      <c r="B1030" s="1"/>
      <c r="C1030" s="1"/>
      <c r="D1030" s="1"/>
      <c r="E1030" s="1"/>
    </row>
    <row r="1031" spans="1:5" x14ac:dyDescent="0.25">
      <c r="A1031" s="1"/>
      <c r="B1031" s="1"/>
      <c r="C1031" s="1"/>
      <c r="D1031" s="1"/>
      <c r="E1031" s="1"/>
    </row>
    <row r="1032" spans="1:5" x14ac:dyDescent="0.25">
      <c r="A1032" s="1"/>
      <c r="B1032" s="1"/>
      <c r="C1032" s="1"/>
      <c r="D1032" s="1"/>
      <c r="E1032" s="1"/>
    </row>
    <row r="1033" spans="1:5" x14ac:dyDescent="0.25">
      <c r="A1033" s="1"/>
      <c r="B1033" s="1"/>
      <c r="C1033" s="1"/>
      <c r="D1033" s="1"/>
      <c r="E1033" s="1"/>
    </row>
    <row r="1034" spans="1:5" x14ac:dyDescent="0.25">
      <c r="A1034" s="1"/>
      <c r="B1034" s="1"/>
      <c r="C1034" s="1"/>
      <c r="D1034" s="1"/>
      <c r="E1034" s="1"/>
    </row>
    <row r="1035" spans="1:5" x14ac:dyDescent="0.25">
      <c r="A1035" s="1"/>
      <c r="B1035" s="1"/>
      <c r="C1035" s="1"/>
      <c r="D1035" s="1"/>
      <c r="E1035" s="1"/>
    </row>
    <row r="1036" spans="1:5" x14ac:dyDescent="0.25">
      <c r="A1036" s="1"/>
      <c r="B1036" s="1"/>
      <c r="C1036" s="1"/>
      <c r="D1036" s="1"/>
      <c r="E1036" s="1"/>
    </row>
    <row r="1037" spans="1:5" x14ac:dyDescent="0.25">
      <c r="A1037" s="1"/>
      <c r="B1037" s="1"/>
      <c r="C1037" s="1"/>
      <c r="D1037" s="1"/>
      <c r="E1037" s="1"/>
    </row>
    <row r="1038" spans="1:5" x14ac:dyDescent="0.25">
      <c r="A1038" s="1"/>
      <c r="B1038" s="1"/>
      <c r="C1038" s="1"/>
      <c r="D1038" s="1"/>
      <c r="E1038" s="1"/>
    </row>
    <row r="1039" spans="1:5" x14ac:dyDescent="0.25">
      <c r="A1039" s="1"/>
      <c r="B1039" s="1"/>
      <c r="C1039" s="1"/>
      <c r="D1039" s="1"/>
      <c r="E1039" s="1"/>
    </row>
    <row r="1040" spans="1:5" x14ac:dyDescent="0.25">
      <c r="A1040" s="1"/>
      <c r="B1040" s="1"/>
      <c r="C1040" s="1"/>
      <c r="D1040" s="1"/>
      <c r="E1040" s="1"/>
    </row>
    <row r="1041" spans="1:5" x14ac:dyDescent="0.25">
      <c r="A1041" s="1"/>
      <c r="B1041" s="1"/>
      <c r="C1041" s="1"/>
      <c r="D1041" s="1"/>
      <c r="E1041" s="1"/>
    </row>
    <row r="1042" spans="1:5" x14ac:dyDescent="0.25">
      <c r="A1042" s="1"/>
      <c r="B1042" s="1"/>
      <c r="C1042" s="1"/>
      <c r="D1042" s="1"/>
      <c r="E1042" s="1"/>
    </row>
    <row r="1043" spans="1:5" x14ac:dyDescent="0.25">
      <c r="A1043" s="1"/>
      <c r="B1043" s="1"/>
      <c r="C1043" s="1"/>
      <c r="D1043" s="1"/>
      <c r="E1043" s="1"/>
    </row>
    <row r="1044" spans="1:5" x14ac:dyDescent="0.25">
      <c r="A1044" s="1"/>
      <c r="B1044" s="1"/>
      <c r="C1044" s="1"/>
      <c r="D1044" s="1"/>
      <c r="E1044" s="1"/>
    </row>
    <row r="1045" spans="1:5" x14ac:dyDescent="0.25">
      <c r="A1045" s="1"/>
      <c r="B1045" s="1"/>
      <c r="C1045" s="1"/>
      <c r="D1045" s="1"/>
      <c r="E1045" s="1"/>
    </row>
    <row r="1046" spans="1:5" x14ac:dyDescent="0.25">
      <c r="A1046" s="1"/>
      <c r="B1046" s="1"/>
      <c r="C1046" s="1"/>
      <c r="D1046" s="1"/>
      <c r="E1046" s="1"/>
    </row>
    <row r="1047" spans="1:5" x14ac:dyDescent="0.25">
      <c r="A1047" s="1"/>
      <c r="B1047" s="1"/>
      <c r="C1047" s="1"/>
      <c r="D1047" s="1"/>
      <c r="E1047" s="1"/>
    </row>
    <row r="1048" spans="1:5" x14ac:dyDescent="0.25">
      <c r="A1048" s="1"/>
      <c r="B1048" s="1"/>
      <c r="C1048" s="1"/>
      <c r="D1048" s="1"/>
      <c r="E1048" s="1"/>
    </row>
    <row r="1049" spans="1:5" x14ac:dyDescent="0.25">
      <c r="A1049" s="1"/>
      <c r="B1049" s="1"/>
      <c r="C1049" s="1"/>
      <c r="D1049" s="1"/>
      <c r="E1049" s="1"/>
    </row>
    <row r="1050" spans="1:5" x14ac:dyDescent="0.25">
      <c r="A1050" s="1"/>
      <c r="B1050" s="1"/>
      <c r="C1050" s="1"/>
      <c r="D1050" s="1"/>
      <c r="E1050" s="1"/>
    </row>
    <row r="1051" spans="1:5" x14ac:dyDescent="0.25">
      <c r="A1051" s="1"/>
      <c r="B1051" s="1"/>
      <c r="C1051" s="1"/>
      <c r="D1051" s="1"/>
      <c r="E1051" s="1"/>
    </row>
    <row r="1052" spans="1:5" x14ac:dyDescent="0.25">
      <c r="A1052" s="1"/>
      <c r="B1052" s="1"/>
      <c r="C1052" s="1"/>
      <c r="D1052" s="1"/>
      <c r="E1052" s="1"/>
    </row>
    <row r="1053" spans="1:5" x14ac:dyDescent="0.25">
      <c r="A1053" s="1"/>
      <c r="B1053" s="1"/>
      <c r="C1053" s="1"/>
      <c r="D1053" s="1"/>
      <c r="E1053" s="1"/>
    </row>
    <row r="1054" spans="1:5" x14ac:dyDescent="0.25">
      <c r="A1054" s="1"/>
      <c r="B1054" s="1"/>
      <c r="C1054" s="1"/>
      <c r="D1054" s="1"/>
      <c r="E1054" s="1"/>
    </row>
    <row r="1055" spans="1:5" x14ac:dyDescent="0.25">
      <c r="A1055" s="1"/>
      <c r="B1055" s="1"/>
      <c r="C1055" s="1"/>
      <c r="D1055" s="1"/>
      <c r="E1055" s="1"/>
    </row>
    <row r="1056" spans="1:5" x14ac:dyDescent="0.25">
      <c r="A1056" s="1"/>
      <c r="B1056" s="1"/>
      <c r="C1056" s="1"/>
      <c r="D1056" s="1"/>
      <c r="E1056" s="1"/>
    </row>
    <row r="1057" spans="1:5" x14ac:dyDescent="0.25">
      <c r="A1057" s="1"/>
      <c r="B1057" s="1"/>
      <c r="C1057" s="1"/>
      <c r="D1057" s="1"/>
      <c r="E1057" s="1"/>
    </row>
    <row r="1058" spans="1:5" x14ac:dyDescent="0.25">
      <c r="A1058" s="1"/>
      <c r="B1058" s="1"/>
      <c r="C1058" s="1"/>
      <c r="D1058" s="1"/>
      <c r="E1058" s="1"/>
    </row>
    <row r="1059" spans="1:5" x14ac:dyDescent="0.25">
      <c r="A1059" s="1"/>
      <c r="B1059" s="1"/>
      <c r="C1059" s="1"/>
      <c r="D1059" s="1"/>
      <c r="E1059" s="1"/>
    </row>
    <row r="1060" spans="1:5" x14ac:dyDescent="0.25">
      <c r="A1060" s="1"/>
      <c r="B1060" s="1"/>
      <c r="C1060" s="1"/>
      <c r="D1060" s="1"/>
      <c r="E1060" s="1"/>
    </row>
    <row r="1061" spans="1:5" x14ac:dyDescent="0.25">
      <c r="A1061" s="1"/>
      <c r="B1061" s="1"/>
      <c r="C1061" s="1"/>
      <c r="D1061" s="1"/>
      <c r="E1061" s="1"/>
    </row>
    <row r="1062" spans="1:5" x14ac:dyDescent="0.25">
      <c r="A1062" s="1"/>
      <c r="B1062" s="1"/>
      <c r="C1062" s="1"/>
      <c r="D1062" s="1"/>
      <c r="E1062" s="1"/>
    </row>
    <row r="1063" spans="1:5" x14ac:dyDescent="0.25">
      <c r="A1063" s="1"/>
      <c r="B1063" s="1"/>
      <c r="C1063" s="1"/>
      <c r="D1063" s="1"/>
      <c r="E1063" s="1"/>
    </row>
    <row r="1064" spans="1:5" x14ac:dyDescent="0.25">
      <c r="A1064" s="1"/>
      <c r="B1064" s="1"/>
      <c r="C1064" s="1"/>
      <c r="D1064" s="1"/>
      <c r="E1064" s="1"/>
    </row>
    <row r="1065" spans="1:5" x14ac:dyDescent="0.25">
      <c r="A1065" s="1"/>
      <c r="B1065" s="1"/>
      <c r="C1065" s="1"/>
      <c r="D1065" s="1"/>
      <c r="E1065" s="1"/>
    </row>
    <row r="1066" spans="1:5" x14ac:dyDescent="0.25">
      <c r="A1066" s="1"/>
      <c r="B1066" s="1"/>
      <c r="C1066" s="1"/>
      <c r="D1066" s="1"/>
      <c r="E1066" s="1"/>
    </row>
    <row r="1067" spans="1:5" x14ac:dyDescent="0.25">
      <c r="A1067" s="1"/>
      <c r="B1067" s="1"/>
      <c r="C1067" s="1"/>
      <c r="D1067" s="1"/>
      <c r="E1067" s="1"/>
    </row>
    <row r="1068" spans="1:5" x14ac:dyDescent="0.25">
      <c r="A1068" s="1"/>
      <c r="B1068" s="1"/>
      <c r="C1068" s="1"/>
      <c r="D1068" s="1"/>
      <c r="E1068" s="1"/>
    </row>
    <row r="1069" spans="1:5" x14ac:dyDescent="0.25">
      <c r="A1069" s="1"/>
      <c r="B1069" s="1"/>
      <c r="C1069" s="1"/>
      <c r="D1069" s="1"/>
      <c r="E1069" s="1"/>
    </row>
    <row r="1070" spans="1:5" x14ac:dyDescent="0.25">
      <c r="A1070" s="1"/>
      <c r="B1070" s="1"/>
      <c r="C1070" s="1"/>
      <c r="D1070" s="1"/>
      <c r="E1070" s="1"/>
    </row>
    <row r="1071" spans="1:5" x14ac:dyDescent="0.25">
      <c r="A1071" s="1"/>
      <c r="B1071" s="1"/>
      <c r="C1071" s="1"/>
      <c r="D1071" s="1"/>
      <c r="E1071" s="1"/>
    </row>
    <row r="1072" spans="1:5" x14ac:dyDescent="0.25">
      <c r="A1072" s="1"/>
      <c r="B1072" s="1"/>
      <c r="C1072" s="1"/>
      <c r="D1072" s="1"/>
      <c r="E1072" s="1"/>
    </row>
    <row r="1073" spans="1:5" x14ac:dyDescent="0.25">
      <c r="A1073" s="1"/>
      <c r="B1073" s="1"/>
      <c r="C1073" s="1"/>
      <c r="D1073" s="1"/>
      <c r="E1073" s="1"/>
    </row>
    <row r="1074" spans="1:5" x14ac:dyDescent="0.25">
      <c r="A1074" s="1"/>
      <c r="B1074" s="1"/>
      <c r="C1074" s="1"/>
      <c r="D1074" s="1"/>
      <c r="E1074" s="1"/>
    </row>
    <row r="1075" spans="1:5" x14ac:dyDescent="0.25">
      <c r="A1075" s="1"/>
      <c r="B1075" s="1"/>
      <c r="C1075" s="1"/>
      <c r="D1075" s="1"/>
      <c r="E1075" s="1"/>
    </row>
    <row r="1076" spans="1:5" x14ac:dyDescent="0.25">
      <c r="A1076" s="1"/>
      <c r="B1076" s="1"/>
      <c r="C1076" s="1"/>
      <c r="D1076" s="1"/>
      <c r="E1076" s="1"/>
    </row>
    <row r="1077" spans="1:5" x14ac:dyDescent="0.25">
      <c r="A1077" s="1"/>
      <c r="B1077" s="1"/>
      <c r="C1077" s="1"/>
      <c r="D1077" s="1"/>
      <c r="E1077" s="1"/>
    </row>
    <row r="1078" spans="1:5" x14ac:dyDescent="0.25">
      <c r="A1078" s="1"/>
      <c r="B1078" s="1"/>
      <c r="C1078" s="1"/>
      <c r="D1078" s="1"/>
      <c r="E1078" s="1"/>
    </row>
    <row r="1079" spans="1:5" x14ac:dyDescent="0.25">
      <c r="A1079" s="1"/>
      <c r="B1079" s="1"/>
      <c r="C1079" s="1"/>
      <c r="D1079" s="1"/>
      <c r="E1079" s="1"/>
    </row>
    <row r="1080" spans="1:5" x14ac:dyDescent="0.25">
      <c r="A1080" s="1"/>
      <c r="B1080" s="1"/>
      <c r="C1080" s="1"/>
      <c r="D1080" s="1"/>
      <c r="E1080" s="1"/>
    </row>
    <row r="1081" spans="1:5" x14ac:dyDescent="0.25">
      <c r="A1081" s="1"/>
      <c r="B1081" s="1"/>
      <c r="C1081" s="1"/>
      <c r="D1081" s="1"/>
      <c r="E1081" s="1"/>
    </row>
    <row r="1082" spans="1:5" x14ac:dyDescent="0.25">
      <c r="A1082" s="1"/>
      <c r="B1082" s="1"/>
      <c r="C1082" s="1"/>
      <c r="D1082" s="1"/>
      <c r="E1082" s="1"/>
    </row>
    <row r="1083" spans="1:5" x14ac:dyDescent="0.25">
      <c r="A1083" s="1"/>
      <c r="B1083" s="1"/>
      <c r="C1083" s="1"/>
      <c r="D1083" s="1"/>
      <c r="E1083" s="1"/>
    </row>
    <row r="1084" spans="1:5" x14ac:dyDescent="0.25">
      <c r="A1084" s="1"/>
      <c r="B1084" s="1"/>
      <c r="C1084" s="1"/>
      <c r="D1084" s="1"/>
      <c r="E1084" s="1"/>
    </row>
    <row r="1085" spans="1:5" x14ac:dyDescent="0.25">
      <c r="A1085" s="1"/>
      <c r="B1085" s="1"/>
      <c r="C1085" s="1"/>
      <c r="D1085" s="1"/>
      <c r="E1085" s="1"/>
    </row>
    <row r="1086" spans="1:5" x14ac:dyDescent="0.25">
      <c r="A1086" s="1"/>
      <c r="B1086" s="1"/>
      <c r="C1086" s="1"/>
      <c r="D1086" s="1"/>
      <c r="E1086" s="1"/>
    </row>
    <row r="1087" spans="1:5" x14ac:dyDescent="0.25">
      <c r="A1087" s="1"/>
      <c r="B1087" s="1"/>
      <c r="C1087" s="1"/>
      <c r="D1087" s="1"/>
      <c r="E1087" s="1"/>
    </row>
    <row r="1088" spans="1:5" x14ac:dyDescent="0.25">
      <c r="A1088" s="1"/>
      <c r="B1088" s="1"/>
      <c r="C1088" s="1"/>
      <c r="D1088" s="1"/>
      <c r="E1088" s="1"/>
    </row>
    <row r="1089" spans="1:5" x14ac:dyDescent="0.25">
      <c r="A1089" s="1"/>
      <c r="B1089" s="1"/>
      <c r="C1089" s="1"/>
      <c r="D1089" s="1"/>
      <c r="E1089" s="1"/>
    </row>
    <row r="1090" spans="1:5" x14ac:dyDescent="0.25">
      <c r="A1090" s="1"/>
      <c r="B1090" s="1"/>
      <c r="C1090" s="1"/>
      <c r="D1090" s="1"/>
      <c r="E1090" s="1"/>
    </row>
    <row r="1091" spans="1:5" x14ac:dyDescent="0.25">
      <c r="A1091" s="1"/>
      <c r="B1091" s="1"/>
      <c r="C1091" s="1"/>
      <c r="D1091" s="1"/>
      <c r="E1091" s="1"/>
    </row>
    <row r="1092" spans="1:5" x14ac:dyDescent="0.25">
      <c r="A1092" s="1"/>
      <c r="B1092" s="1"/>
      <c r="C1092" s="1"/>
      <c r="D1092" s="1"/>
      <c r="E1092" s="1"/>
    </row>
    <row r="1093" spans="1:5" x14ac:dyDescent="0.25">
      <c r="A1093" s="1"/>
      <c r="B1093" s="1"/>
      <c r="C1093" s="1"/>
      <c r="D1093" s="1"/>
      <c r="E1093" s="1"/>
    </row>
    <row r="1094" spans="1:5" x14ac:dyDescent="0.25">
      <c r="A1094" s="1"/>
      <c r="B1094" s="1"/>
      <c r="C1094" s="1"/>
      <c r="D1094" s="1"/>
      <c r="E1094" s="1"/>
    </row>
    <row r="1095" spans="1:5" x14ac:dyDescent="0.25">
      <c r="A1095" s="1"/>
      <c r="B1095" s="1"/>
      <c r="C1095" s="1"/>
      <c r="D1095" s="1"/>
      <c r="E1095" s="1"/>
    </row>
    <row r="1096" spans="1:5" x14ac:dyDescent="0.25">
      <c r="A1096" s="1"/>
      <c r="B1096" s="1"/>
      <c r="C1096" s="1"/>
      <c r="D1096" s="1"/>
      <c r="E1096" s="1"/>
    </row>
    <row r="1097" spans="1:5" x14ac:dyDescent="0.25">
      <c r="A1097" s="1"/>
      <c r="B1097" s="1"/>
      <c r="C1097" s="1"/>
      <c r="D1097" s="1"/>
      <c r="E1097" s="1"/>
    </row>
    <row r="1098" spans="1:5" x14ac:dyDescent="0.25">
      <c r="A1098" s="1"/>
      <c r="B1098" s="1"/>
      <c r="C1098" s="1"/>
      <c r="D1098" s="1"/>
      <c r="E1098" s="1"/>
    </row>
    <row r="1099" spans="1:5" x14ac:dyDescent="0.25">
      <c r="A1099" s="1"/>
      <c r="B1099" s="1"/>
      <c r="C1099" s="1"/>
      <c r="D1099" s="1"/>
      <c r="E1099" s="1"/>
    </row>
    <row r="1100" spans="1:5" x14ac:dyDescent="0.25">
      <c r="A1100" s="1"/>
      <c r="B1100" s="1"/>
      <c r="C1100" s="1"/>
      <c r="D1100" s="1"/>
      <c r="E1100" s="1"/>
    </row>
    <row r="1101" spans="1:5" x14ac:dyDescent="0.25">
      <c r="A1101" s="1"/>
      <c r="B1101" s="1"/>
      <c r="C1101" s="1"/>
      <c r="D1101" s="1"/>
      <c r="E1101" s="1"/>
    </row>
    <row r="1102" spans="1:5" x14ac:dyDescent="0.25">
      <c r="A1102" s="1"/>
      <c r="B1102" s="1"/>
      <c r="C1102" s="1"/>
      <c r="D1102" s="1"/>
      <c r="E1102" s="1"/>
    </row>
    <row r="1103" spans="1:5" x14ac:dyDescent="0.25">
      <c r="A1103" s="1"/>
      <c r="B1103" s="1"/>
      <c r="C1103" s="1"/>
      <c r="D1103" s="1"/>
      <c r="E1103" s="1"/>
    </row>
    <row r="1104" spans="1:5" x14ac:dyDescent="0.25">
      <c r="A1104" s="1"/>
      <c r="B1104" s="1"/>
      <c r="C1104" s="1"/>
      <c r="D1104" s="1"/>
      <c r="E1104" s="1"/>
    </row>
    <row r="1105" spans="1:5" x14ac:dyDescent="0.25">
      <c r="A1105" s="1"/>
      <c r="B1105" s="1"/>
      <c r="C1105" s="1"/>
      <c r="D1105" s="1"/>
      <c r="E1105" s="1"/>
    </row>
    <row r="1106" spans="1:5" x14ac:dyDescent="0.25">
      <c r="A1106" s="1"/>
      <c r="B1106" s="1"/>
      <c r="C1106" s="1"/>
      <c r="D1106" s="1"/>
      <c r="E1106" s="1"/>
    </row>
    <row r="1107" spans="1:5" x14ac:dyDescent="0.25">
      <c r="A1107" s="1"/>
      <c r="B1107" s="1"/>
      <c r="C1107" s="1"/>
      <c r="D1107" s="1"/>
      <c r="E1107" s="1"/>
    </row>
    <row r="1108" spans="1:5" x14ac:dyDescent="0.25">
      <c r="A1108" s="1"/>
      <c r="B1108" s="1"/>
      <c r="C1108" s="1"/>
      <c r="D1108" s="1"/>
      <c r="E1108" s="1"/>
    </row>
    <row r="1109" spans="1:5" x14ac:dyDescent="0.25">
      <c r="A1109" s="1"/>
      <c r="B1109" s="1"/>
      <c r="C1109" s="1"/>
      <c r="D1109" s="1"/>
      <c r="E1109" s="1"/>
    </row>
    <row r="1110" spans="1:5" x14ac:dyDescent="0.25">
      <c r="A1110" s="1"/>
      <c r="B1110" s="1"/>
      <c r="C1110" s="1"/>
      <c r="D1110" s="1"/>
      <c r="E1110" s="1"/>
    </row>
    <row r="1111" spans="1:5" x14ac:dyDescent="0.25">
      <c r="A1111" s="1"/>
      <c r="B1111" s="1"/>
      <c r="C1111" s="1"/>
      <c r="D1111" s="1"/>
      <c r="E1111" s="1"/>
    </row>
    <row r="1112" spans="1:5" x14ac:dyDescent="0.25">
      <c r="A1112" s="1"/>
      <c r="B1112" s="1"/>
      <c r="C1112" s="1"/>
      <c r="D1112" s="1"/>
      <c r="E1112" s="1"/>
    </row>
    <row r="1113" spans="1:5" x14ac:dyDescent="0.25">
      <c r="A1113" s="1"/>
      <c r="B1113" s="1"/>
      <c r="C1113" s="1"/>
      <c r="D1113" s="1"/>
      <c r="E1113" s="1"/>
    </row>
    <row r="1114" spans="1:5" x14ac:dyDescent="0.25">
      <c r="A1114" s="1"/>
      <c r="B1114" s="1"/>
      <c r="C1114" s="1"/>
      <c r="D1114" s="1"/>
      <c r="E1114" s="1"/>
    </row>
    <row r="1115" spans="1:5" x14ac:dyDescent="0.25">
      <c r="A1115" s="1"/>
      <c r="B1115" s="1"/>
      <c r="C1115" s="1"/>
      <c r="D1115" s="1"/>
      <c r="E1115" s="1"/>
    </row>
    <row r="1116" spans="1:5" x14ac:dyDescent="0.25">
      <c r="A1116" s="1"/>
      <c r="B1116" s="1"/>
      <c r="C1116" s="1"/>
      <c r="D1116" s="1"/>
      <c r="E1116" s="1"/>
    </row>
    <row r="1117" spans="1:5" x14ac:dyDescent="0.25">
      <c r="A1117" s="1"/>
      <c r="B1117" s="1"/>
      <c r="C1117" s="1"/>
      <c r="D1117" s="1"/>
      <c r="E1117" s="1"/>
    </row>
    <row r="1118" spans="1:5" x14ac:dyDescent="0.25">
      <c r="A1118" s="1"/>
      <c r="B1118" s="1"/>
      <c r="C1118" s="1"/>
      <c r="D1118" s="1"/>
      <c r="E1118" s="1"/>
    </row>
    <row r="1119" spans="1:5" x14ac:dyDescent="0.25">
      <c r="A1119" s="1"/>
      <c r="B1119" s="1"/>
      <c r="C1119" s="1"/>
      <c r="D1119" s="1"/>
      <c r="E1119" s="1"/>
    </row>
    <row r="1120" spans="1:5" x14ac:dyDescent="0.25">
      <c r="A1120" s="1"/>
      <c r="B1120" s="1"/>
      <c r="C1120" s="1"/>
      <c r="D1120" s="1"/>
      <c r="E1120" s="1"/>
    </row>
    <row r="1121" spans="1:5" x14ac:dyDescent="0.25">
      <c r="A1121" s="1"/>
      <c r="B1121" s="1"/>
      <c r="C1121" s="1"/>
      <c r="D1121" s="1"/>
      <c r="E1121" s="1"/>
    </row>
    <row r="1122" spans="1:5" x14ac:dyDescent="0.25">
      <c r="A1122" s="1"/>
      <c r="B1122" s="1"/>
      <c r="C1122" s="1"/>
      <c r="D1122" s="1"/>
      <c r="E1122" s="1"/>
    </row>
    <row r="1123" spans="1:5" x14ac:dyDescent="0.25">
      <c r="A1123" s="1"/>
      <c r="B1123" s="1"/>
      <c r="C1123" s="1"/>
      <c r="D1123" s="1"/>
      <c r="E1123" s="1"/>
    </row>
    <row r="1124" spans="1:5" x14ac:dyDescent="0.25">
      <c r="A1124" s="1"/>
      <c r="B1124" s="1"/>
      <c r="C1124" s="1"/>
      <c r="D1124" s="1"/>
      <c r="E1124" s="1"/>
    </row>
    <row r="1125" spans="1:5" x14ac:dyDescent="0.25">
      <c r="A1125" s="1"/>
      <c r="B1125" s="1"/>
      <c r="C1125" s="1"/>
      <c r="D1125" s="1"/>
      <c r="E1125" s="1"/>
    </row>
    <row r="1126" spans="1:5" x14ac:dyDescent="0.25">
      <c r="A1126" s="1"/>
      <c r="B1126" s="1"/>
      <c r="C1126" s="1"/>
      <c r="D1126" s="1"/>
      <c r="E1126" s="1"/>
    </row>
    <row r="1127" spans="1:5" x14ac:dyDescent="0.25">
      <c r="A1127" s="1"/>
      <c r="B1127" s="1"/>
      <c r="C1127" s="1"/>
      <c r="D1127" s="1"/>
      <c r="E1127" s="1"/>
    </row>
    <row r="1128" spans="1:5" x14ac:dyDescent="0.25">
      <c r="A1128" s="1"/>
      <c r="B1128" s="1"/>
      <c r="C1128" s="1"/>
      <c r="D1128" s="1"/>
      <c r="E1128" s="1"/>
    </row>
    <row r="1129" spans="1:5" x14ac:dyDescent="0.25">
      <c r="A1129" s="1"/>
      <c r="B1129" s="1"/>
      <c r="C1129" s="1"/>
      <c r="D1129" s="1"/>
      <c r="E1129" s="1"/>
    </row>
    <row r="1130" spans="1:5" x14ac:dyDescent="0.25">
      <c r="A1130" s="1"/>
      <c r="B1130" s="1"/>
      <c r="C1130" s="1"/>
      <c r="D1130" s="1"/>
      <c r="E1130" s="1"/>
    </row>
    <row r="1131" spans="1:5" x14ac:dyDescent="0.25">
      <c r="A1131" s="1"/>
      <c r="B1131" s="1"/>
      <c r="C1131" s="1"/>
      <c r="D1131" s="1"/>
      <c r="E1131" s="1"/>
    </row>
    <row r="1132" spans="1:5" x14ac:dyDescent="0.25">
      <c r="A1132" s="1"/>
      <c r="B1132" s="1"/>
      <c r="C1132" s="1"/>
      <c r="D1132" s="1"/>
      <c r="E1132" s="1"/>
    </row>
    <row r="1133" spans="1:5" x14ac:dyDescent="0.25">
      <c r="A1133" s="1"/>
      <c r="B1133" s="1"/>
      <c r="C1133" s="1"/>
      <c r="D1133" s="1"/>
      <c r="E1133" s="1"/>
    </row>
    <row r="1134" spans="1:5" x14ac:dyDescent="0.25">
      <c r="A1134" s="1"/>
      <c r="B1134" s="1"/>
      <c r="C1134" s="1"/>
      <c r="D1134" s="1"/>
      <c r="E1134" s="1"/>
    </row>
    <row r="1135" spans="1:5" x14ac:dyDescent="0.25">
      <c r="A1135" s="1"/>
      <c r="B1135" s="1"/>
      <c r="C1135" s="1"/>
      <c r="D1135" s="1"/>
      <c r="E1135" s="1"/>
    </row>
    <row r="1136" spans="1:5" x14ac:dyDescent="0.25">
      <c r="A1136" s="1"/>
      <c r="B1136" s="1"/>
      <c r="C1136" s="1"/>
      <c r="D1136" s="1"/>
      <c r="E1136" s="1"/>
    </row>
    <row r="1137" spans="1:5" x14ac:dyDescent="0.25">
      <c r="A1137" s="1"/>
      <c r="B1137" s="1"/>
      <c r="C1137" s="1"/>
      <c r="D1137" s="1"/>
      <c r="E1137" s="1"/>
    </row>
    <row r="1138" spans="1:5" x14ac:dyDescent="0.25">
      <c r="A1138" s="1"/>
      <c r="B1138" s="1"/>
      <c r="C1138" s="1"/>
      <c r="D1138" s="1"/>
      <c r="E1138" s="1"/>
    </row>
    <row r="1139" spans="1:5" x14ac:dyDescent="0.25">
      <c r="A1139" s="1"/>
      <c r="B1139" s="1"/>
      <c r="C1139" s="1"/>
      <c r="D1139" s="1"/>
      <c r="E1139" s="1"/>
    </row>
    <row r="1140" spans="1:5" x14ac:dyDescent="0.25">
      <c r="A1140" s="1"/>
      <c r="B1140" s="1"/>
      <c r="C1140" s="1"/>
      <c r="D1140" s="1"/>
      <c r="E1140" s="1"/>
    </row>
    <row r="1141" spans="1:5" x14ac:dyDescent="0.25">
      <c r="A1141" s="1"/>
      <c r="B1141" s="1"/>
      <c r="C1141" s="1"/>
      <c r="D1141" s="1"/>
      <c r="E1141" s="1"/>
    </row>
    <row r="1142" spans="1:5" x14ac:dyDescent="0.25">
      <c r="A1142" s="1"/>
      <c r="B1142" s="1"/>
      <c r="C1142" s="1"/>
      <c r="D1142" s="1"/>
      <c r="E1142" s="1"/>
    </row>
    <row r="1143" spans="1:5" x14ac:dyDescent="0.25">
      <c r="A1143" s="1"/>
      <c r="B1143" s="1"/>
      <c r="C1143" s="1"/>
      <c r="D1143" s="1"/>
      <c r="E1143" s="1"/>
    </row>
    <row r="1144" spans="1:5" x14ac:dyDescent="0.25">
      <c r="A1144" s="1"/>
      <c r="B1144" s="1"/>
      <c r="C1144" s="1"/>
      <c r="D1144" s="1"/>
      <c r="E1144" s="1"/>
    </row>
    <row r="1145" spans="1:5" x14ac:dyDescent="0.25">
      <c r="A1145" s="1"/>
      <c r="B1145" s="1"/>
      <c r="C1145" s="1"/>
      <c r="D1145" s="1"/>
      <c r="E1145" s="1"/>
    </row>
    <row r="1146" spans="1:5" x14ac:dyDescent="0.25">
      <c r="A1146" s="1"/>
      <c r="B1146" s="1"/>
      <c r="C1146" s="1"/>
      <c r="D1146" s="1"/>
      <c r="E1146" s="1"/>
    </row>
    <row r="1147" spans="1:5" x14ac:dyDescent="0.25">
      <c r="A1147" s="1"/>
      <c r="B1147" s="1"/>
      <c r="C1147" s="1"/>
      <c r="D1147" s="1"/>
      <c r="E1147" s="1"/>
    </row>
    <row r="1148" spans="1:5" x14ac:dyDescent="0.25">
      <c r="A1148" s="1"/>
      <c r="B1148" s="1"/>
      <c r="C1148" s="1"/>
      <c r="D1148" s="1"/>
      <c r="E1148" s="1"/>
    </row>
    <row r="1149" spans="1:5" x14ac:dyDescent="0.25">
      <c r="A1149" s="1"/>
      <c r="B1149" s="1"/>
      <c r="C1149" s="1"/>
      <c r="D1149" s="1"/>
      <c r="E1149" s="1"/>
    </row>
    <row r="1150" spans="1:5" x14ac:dyDescent="0.25">
      <c r="A1150" s="1"/>
      <c r="B1150" s="1"/>
      <c r="C1150" s="1"/>
      <c r="D1150" s="1"/>
      <c r="E1150" s="1"/>
    </row>
    <row r="1151" spans="1:5" x14ac:dyDescent="0.25">
      <c r="A1151" s="1"/>
      <c r="B1151" s="1"/>
      <c r="C1151" s="1"/>
      <c r="D1151" s="1"/>
      <c r="E1151" s="1"/>
    </row>
    <row r="1152" spans="1:5" x14ac:dyDescent="0.25">
      <c r="A1152" s="1"/>
      <c r="B1152" s="1"/>
      <c r="C1152" s="1"/>
      <c r="D1152" s="1"/>
      <c r="E1152" s="1"/>
    </row>
    <row r="1153" spans="1:5" x14ac:dyDescent="0.25">
      <c r="A1153" s="1"/>
      <c r="B1153" s="1"/>
      <c r="C1153" s="1"/>
      <c r="D1153" s="1"/>
      <c r="E1153" s="1"/>
    </row>
    <row r="1154" spans="1:5" x14ac:dyDescent="0.25">
      <c r="A1154" s="1"/>
      <c r="B1154" s="1"/>
      <c r="C1154" s="1"/>
      <c r="D1154" s="1"/>
      <c r="E1154" s="1"/>
    </row>
    <row r="1155" spans="1:5" x14ac:dyDescent="0.25">
      <c r="A1155" s="1"/>
      <c r="B1155" s="1"/>
      <c r="C1155" s="1"/>
      <c r="D1155" s="1"/>
      <c r="E1155" s="1"/>
    </row>
    <row r="1156" spans="1:5" x14ac:dyDescent="0.25">
      <c r="A1156" s="1"/>
      <c r="B1156" s="1"/>
      <c r="C1156" s="1"/>
      <c r="D1156" s="1"/>
      <c r="E1156" s="1"/>
    </row>
    <row r="1157" spans="1:5" x14ac:dyDescent="0.25">
      <c r="A1157" s="1"/>
      <c r="B1157" s="1"/>
      <c r="C1157" s="1"/>
      <c r="D1157" s="1"/>
      <c r="E1157" s="1"/>
    </row>
    <row r="1158" spans="1:5" x14ac:dyDescent="0.25">
      <c r="A1158" s="1"/>
      <c r="B1158" s="1"/>
      <c r="C1158" s="1"/>
      <c r="D1158" s="1"/>
      <c r="E1158" s="1"/>
    </row>
    <row r="1159" spans="1:5" x14ac:dyDescent="0.25">
      <c r="A1159" s="1"/>
      <c r="B1159" s="1"/>
      <c r="C1159" s="1"/>
      <c r="D1159" s="1"/>
      <c r="E1159" s="1"/>
    </row>
    <row r="1160" spans="1:5" x14ac:dyDescent="0.25">
      <c r="A1160" s="1"/>
      <c r="B1160" s="1"/>
      <c r="C1160" s="1"/>
      <c r="D1160" s="1"/>
      <c r="E1160" s="1"/>
    </row>
    <row r="1161" spans="1:5" x14ac:dyDescent="0.25">
      <c r="A1161" s="1"/>
      <c r="B1161" s="1"/>
      <c r="C1161" s="1"/>
      <c r="D1161" s="1"/>
      <c r="E1161" s="1"/>
    </row>
    <row r="1162" spans="1:5" x14ac:dyDescent="0.25">
      <c r="A1162" s="1"/>
      <c r="B1162" s="1"/>
      <c r="C1162" s="1"/>
      <c r="D1162" s="1"/>
      <c r="E1162" s="1"/>
    </row>
    <row r="1163" spans="1:5" x14ac:dyDescent="0.25">
      <c r="A1163" s="1"/>
      <c r="B1163" s="1"/>
      <c r="C1163" s="1"/>
      <c r="D1163" s="1"/>
      <c r="E1163" s="1"/>
    </row>
    <row r="1164" spans="1:5" x14ac:dyDescent="0.25">
      <c r="A1164" s="1"/>
      <c r="B1164" s="1"/>
      <c r="C1164" s="1"/>
      <c r="D1164" s="1"/>
      <c r="E1164" s="1"/>
    </row>
    <row r="1165" spans="1:5" x14ac:dyDescent="0.25">
      <c r="A1165" s="1"/>
      <c r="B1165" s="1"/>
      <c r="C1165" s="1"/>
      <c r="D1165" s="1"/>
      <c r="E1165" s="1"/>
    </row>
    <row r="1166" spans="1:5" x14ac:dyDescent="0.25">
      <c r="A1166" s="1"/>
      <c r="B1166" s="1"/>
      <c r="C1166" s="1"/>
      <c r="D1166" s="1"/>
      <c r="E1166" s="1"/>
    </row>
    <row r="1167" spans="1:5" x14ac:dyDescent="0.25">
      <c r="A1167" s="1"/>
      <c r="B1167" s="1"/>
      <c r="C1167" s="1"/>
      <c r="D1167" s="1"/>
      <c r="E1167" s="1"/>
    </row>
    <row r="1168" spans="1:5" x14ac:dyDescent="0.25">
      <c r="A1168" s="1"/>
      <c r="B1168" s="1"/>
      <c r="C1168" s="1"/>
      <c r="D1168" s="1"/>
      <c r="E1168" s="1"/>
    </row>
    <row r="1169" spans="1:5" x14ac:dyDescent="0.25">
      <c r="A1169" s="1"/>
      <c r="B1169" s="1"/>
      <c r="C1169" s="1"/>
      <c r="D1169" s="1"/>
      <c r="E1169" s="1"/>
    </row>
    <row r="1170" spans="1:5" x14ac:dyDescent="0.25">
      <c r="A1170" s="1"/>
      <c r="B1170" s="1"/>
      <c r="C1170" s="1"/>
      <c r="D1170" s="1"/>
      <c r="E1170" s="1"/>
    </row>
    <row r="1171" spans="1:5" x14ac:dyDescent="0.25">
      <c r="A1171" s="1"/>
      <c r="B1171" s="1"/>
      <c r="C1171" s="1"/>
      <c r="D1171" s="1"/>
      <c r="E1171" s="1"/>
    </row>
    <row r="1172" spans="1:5" x14ac:dyDescent="0.25">
      <c r="A1172" s="1"/>
      <c r="B1172" s="1"/>
      <c r="C1172" s="1"/>
      <c r="D1172" s="1"/>
      <c r="E1172" s="1"/>
    </row>
    <row r="1173" spans="1:5" x14ac:dyDescent="0.25">
      <c r="A1173" s="1"/>
      <c r="B1173" s="1"/>
      <c r="C1173" s="1"/>
      <c r="D1173" s="1"/>
      <c r="E1173" s="1"/>
    </row>
    <row r="1174" spans="1:5" x14ac:dyDescent="0.25">
      <c r="A1174" s="1"/>
      <c r="B1174" s="1"/>
      <c r="C1174" s="1"/>
      <c r="D1174" s="1"/>
      <c r="E1174" s="1"/>
    </row>
    <row r="1175" spans="1:5" x14ac:dyDescent="0.25">
      <c r="A1175" s="1"/>
      <c r="B1175" s="1"/>
      <c r="C1175" s="1"/>
      <c r="D1175" s="1"/>
      <c r="E1175" s="1"/>
    </row>
    <row r="1176" spans="1:5" x14ac:dyDescent="0.25">
      <c r="A1176" s="1"/>
      <c r="B1176" s="1"/>
      <c r="C1176" s="1"/>
      <c r="D1176" s="1"/>
      <c r="E1176" s="1"/>
    </row>
    <row r="1177" spans="1:5" x14ac:dyDescent="0.25">
      <c r="A1177" s="1"/>
      <c r="B1177" s="1"/>
      <c r="C1177" s="1"/>
      <c r="D1177" s="1"/>
      <c r="E1177" s="1"/>
    </row>
    <row r="1178" spans="1:5" x14ac:dyDescent="0.25">
      <c r="A1178" s="1"/>
      <c r="B1178" s="1"/>
      <c r="C1178" s="1"/>
      <c r="D1178" s="1"/>
      <c r="E1178" s="1"/>
    </row>
    <row r="1179" spans="1:5" x14ac:dyDescent="0.25">
      <c r="A1179" s="1"/>
      <c r="B1179" s="1"/>
      <c r="C1179" s="1"/>
      <c r="D1179" s="1"/>
      <c r="E1179" s="1"/>
    </row>
    <row r="1180" spans="1:5" x14ac:dyDescent="0.25">
      <c r="A1180" s="1"/>
      <c r="B1180" s="1"/>
      <c r="C1180" s="1"/>
      <c r="D1180" s="1"/>
      <c r="E1180" s="1"/>
    </row>
    <row r="1181" spans="1:5" x14ac:dyDescent="0.25">
      <c r="A1181" s="1"/>
      <c r="B1181" s="1"/>
      <c r="C1181" s="1"/>
      <c r="D1181" s="1"/>
      <c r="E1181" s="1"/>
    </row>
    <row r="1182" spans="1:5" x14ac:dyDescent="0.25">
      <c r="A1182" s="1"/>
      <c r="B1182" s="1"/>
      <c r="C1182" s="1"/>
      <c r="D1182" s="1"/>
      <c r="E1182" s="1"/>
    </row>
    <row r="1183" spans="1:5" x14ac:dyDescent="0.25">
      <c r="A1183" s="1"/>
      <c r="B1183" s="1"/>
      <c r="C1183" s="1"/>
      <c r="D1183" s="1"/>
      <c r="E1183" s="1"/>
    </row>
    <row r="1184" spans="1:5" x14ac:dyDescent="0.25">
      <c r="A1184" s="1"/>
      <c r="B1184" s="1"/>
      <c r="C1184" s="1"/>
      <c r="D1184" s="1"/>
      <c r="E1184" s="1"/>
    </row>
    <row r="1185" spans="1:5" x14ac:dyDescent="0.25">
      <c r="A1185" s="1"/>
      <c r="B1185" s="1"/>
      <c r="C1185" s="1"/>
      <c r="D1185" s="1"/>
      <c r="E1185" s="1"/>
    </row>
    <row r="1186" spans="1:5" x14ac:dyDescent="0.25">
      <c r="A1186" s="1"/>
      <c r="B1186" s="1"/>
      <c r="C1186" s="1"/>
      <c r="D1186" s="1"/>
      <c r="E1186" s="1"/>
    </row>
    <row r="1187" spans="1:5" x14ac:dyDescent="0.25">
      <c r="A1187" s="1"/>
      <c r="B1187" s="1"/>
      <c r="C1187" s="1"/>
      <c r="D1187" s="1"/>
      <c r="E1187" s="1"/>
    </row>
    <row r="1188" spans="1:5" x14ac:dyDescent="0.25">
      <c r="A1188" s="1"/>
      <c r="B1188" s="1"/>
      <c r="C1188" s="1"/>
      <c r="D1188" s="1"/>
      <c r="E1188" s="1"/>
    </row>
    <row r="1189" spans="1:5" x14ac:dyDescent="0.25">
      <c r="A1189" s="1"/>
      <c r="B1189" s="1"/>
      <c r="C1189" s="1"/>
      <c r="D1189" s="1"/>
      <c r="E1189" s="1"/>
    </row>
    <row r="1190" spans="1:5" x14ac:dyDescent="0.25">
      <c r="A1190" s="1"/>
      <c r="B1190" s="1"/>
      <c r="C1190" s="1"/>
      <c r="D1190" s="1"/>
      <c r="E1190" s="1"/>
    </row>
    <row r="1191" spans="1:5" x14ac:dyDescent="0.25">
      <c r="A1191" s="1"/>
      <c r="B1191" s="1"/>
      <c r="C1191" s="1"/>
      <c r="D1191" s="1"/>
      <c r="E1191" s="1"/>
    </row>
    <row r="1192" spans="1:5" x14ac:dyDescent="0.25">
      <c r="A1192" s="1"/>
      <c r="B1192" s="1"/>
      <c r="C1192" s="1"/>
      <c r="D1192" s="1"/>
      <c r="E1192" s="1"/>
    </row>
    <row r="1193" spans="1:5" x14ac:dyDescent="0.25">
      <c r="A1193" s="1"/>
      <c r="B1193" s="1"/>
      <c r="C1193" s="1"/>
      <c r="D1193" s="1"/>
      <c r="E1193" s="1"/>
    </row>
    <row r="1194" spans="1:5" x14ac:dyDescent="0.25">
      <c r="A1194" s="1"/>
      <c r="B1194" s="1"/>
      <c r="C1194" s="1"/>
      <c r="D1194" s="1"/>
      <c r="E1194" s="1"/>
    </row>
    <row r="1195" spans="1:5" x14ac:dyDescent="0.25">
      <c r="A1195" s="1"/>
      <c r="B1195" s="1"/>
      <c r="C1195" s="1"/>
      <c r="D1195" s="1"/>
      <c r="E1195" s="1"/>
    </row>
    <row r="1196" spans="1:5" x14ac:dyDescent="0.25">
      <c r="A1196" s="1"/>
      <c r="B1196" s="1"/>
      <c r="C1196" s="1"/>
      <c r="D1196" s="1"/>
      <c r="E1196" s="1"/>
    </row>
    <row r="1197" spans="1:5" x14ac:dyDescent="0.25">
      <c r="A1197" s="1"/>
      <c r="B1197" s="1"/>
      <c r="C1197" s="1"/>
      <c r="D1197" s="1"/>
      <c r="E1197" s="1"/>
    </row>
    <row r="1198" spans="1:5" x14ac:dyDescent="0.25">
      <c r="A1198" s="1"/>
      <c r="B1198" s="1"/>
      <c r="C1198" s="1"/>
      <c r="D1198" s="1"/>
      <c r="E1198" s="1"/>
    </row>
    <row r="1199" spans="1:5" x14ac:dyDescent="0.25">
      <c r="A1199" s="1"/>
      <c r="B1199" s="1"/>
      <c r="C1199" s="1"/>
      <c r="D1199" s="1"/>
      <c r="E1199" s="1"/>
    </row>
    <row r="1200" spans="1:5" x14ac:dyDescent="0.25">
      <c r="A1200" s="1"/>
      <c r="B1200" s="1"/>
      <c r="C1200" s="1"/>
      <c r="D1200" s="1"/>
      <c r="E1200" s="1"/>
    </row>
    <row r="1201" spans="1:5" x14ac:dyDescent="0.25">
      <c r="A1201" s="1"/>
      <c r="B1201" s="1"/>
      <c r="C1201" s="1"/>
      <c r="D1201" s="1"/>
      <c r="E1201" s="1"/>
    </row>
    <row r="1202" spans="1:5" x14ac:dyDescent="0.25">
      <c r="A1202" s="1"/>
      <c r="B1202" s="1"/>
      <c r="C1202" s="1"/>
      <c r="D1202" s="1"/>
      <c r="E1202" s="1"/>
    </row>
    <row r="1203" spans="1:5" x14ac:dyDescent="0.25">
      <c r="A1203" s="1"/>
      <c r="B1203" s="1"/>
      <c r="C1203" s="1"/>
      <c r="D1203" s="1"/>
      <c r="E1203" s="1"/>
    </row>
    <row r="1204" spans="1:5" x14ac:dyDescent="0.25">
      <c r="A1204" s="1"/>
      <c r="B1204" s="1"/>
      <c r="C1204" s="1"/>
      <c r="D1204" s="1"/>
      <c r="E1204" s="1"/>
    </row>
    <row r="1205" spans="1:5" x14ac:dyDescent="0.25">
      <c r="A1205" s="1"/>
      <c r="B1205" s="1"/>
      <c r="C1205" s="1"/>
      <c r="D1205" s="1"/>
      <c r="E1205" s="1"/>
    </row>
    <row r="1206" spans="1:5" x14ac:dyDescent="0.25">
      <c r="A1206" s="1"/>
      <c r="B1206" s="1"/>
      <c r="C1206" s="1"/>
      <c r="D1206" s="1"/>
      <c r="E1206" s="1"/>
    </row>
    <row r="1207" spans="1:5" x14ac:dyDescent="0.25">
      <c r="A1207" s="1"/>
      <c r="B1207" s="1"/>
      <c r="C1207" s="1"/>
      <c r="D1207" s="1"/>
      <c r="E1207" s="1"/>
    </row>
    <row r="1208" spans="1:5" x14ac:dyDescent="0.25">
      <c r="A1208" s="1"/>
      <c r="B1208" s="1"/>
      <c r="C1208" s="1"/>
      <c r="D1208" s="1"/>
      <c r="E1208" s="1"/>
    </row>
    <row r="1209" spans="1:5" x14ac:dyDescent="0.25">
      <c r="A1209" s="1"/>
      <c r="B1209" s="1"/>
      <c r="C1209" s="1"/>
      <c r="D1209" s="1"/>
      <c r="E1209" s="1"/>
    </row>
    <row r="1210" spans="1:5" x14ac:dyDescent="0.25">
      <c r="A1210" s="1"/>
      <c r="B1210" s="1"/>
      <c r="C1210" s="1"/>
      <c r="D1210" s="1"/>
      <c r="E1210" s="1"/>
    </row>
    <row r="1211" spans="1:5" x14ac:dyDescent="0.25">
      <c r="A1211" s="1"/>
      <c r="B1211" s="1"/>
      <c r="C1211" s="1"/>
      <c r="D1211" s="1"/>
      <c r="E1211" s="1"/>
    </row>
    <row r="1212" spans="1:5" x14ac:dyDescent="0.25">
      <c r="A1212" s="1"/>
      <c r="B1212" s="1"/>
      <c r="C1212" s="1"/>
      <c r="D1212" s="1"/>
      <c r="E1212" s="1"/>
    </row>
    <row r="1213" spans="1:5" x14ac:dyDescent="0.25">
      <c r="A1213" s="1"/>
      <c r="B1213" s="1"/>
      <c r="C1213" s="1"/>
      <c r="D1213" s="1"/>
      <c r="E1213" s="1"/>
    </row>
    <row r="1214" spans="1:5" x14ac:dyDescent="0.25">
      <c r="A1214" s="1"/>
      <c r="B1214" s="1"/>
      <c r="C1214" s="1"/>
      <c r="D1214" s="1"/>
      <c r="E1214" s="1"/>
    </row>
    <row r="1215" spans="1:5" x14ac:dyDescent="0.25">
      <c r="A1215" s="1"/>
      <c r="B1215" s="1"/>
      <c r="C1215" s="1"/>
      <c r="D1215" s="1"/>
      <c r="E1215" s="1"/>
    </row>
    <row r="1216" spans="1:5" x14ac:dyDescent="0.25">
      <c r="A1216" s="1"/>
      <c r="B1216" s="1"/>
      <c r="C1216" s="1"/>
      <c r="D1216" s="1"/>
      <c r="E1216" s="1"/>
    </row>
    <row r="1217" spans="1:5" x14ac:dyDescent="0.25">
      <c r="A1217" s="1"/>
      <c r="B1217" s="1"/>
      <c r="C1217" s="1"/>
      <c r="D1217" s="1"/>
      <c r="E1217" s="1"/>
    </row>
    <row r="1218" spans="1:5" x14ac:dyDescent="0.25">
      <c r="A1218" s="1"/>
      <c r="B1218" s="1"/>
      <c r="C1218" s="1"/>
      <c r="D1218" s="1"/>
      <c r="E1218" s="1"/>
    </row>
    <row r="1219" spans="1:5" x14ac:dyDescent="0.25">
      <c r="A1219" s="1"/>
      <c r="B1219" s="1"/>
      <c r="C1219" s="1"/>
      <c r="D1219" s="1"/>
      <c r="E1219" s="1"/>
    </row>
    <row r="1220" spans="1:5" x14ac:dyDescent="0.25">
      <c r="A1220" s="1"/>
      <c r="B1220" s="1"/>
      <c r="C1220" s="1"/>
      <c r="D1220" s="1"/>
      <c r="E1220" s="1"/>
    </row>
    <row r="1221" spans="1:5" x14ac:dyDescent="0.25">
      <c r="A1221" s="1"/>
      <c r="B1221" s="1"/>
      <c r="C1221" s="1"/>
      <c r="D1221" s="1"/>
      <c r="E1221" s="1"/>
    </row>
    <row r="1222" spans="1:5" x14ac:dyDescent="0.25">
      <c r="A1222" s="1"/>
      <c r="B1222" s="1"/>
      <c r="C1222" s="1"/>
      <c r="D1222" s="1"/>
      <c r="E1222" s="1"/>
    </row>
    <row r="1223" spans="1:5" x14ac:dyDescent="0.25">
      <c r="A1223" s="1"/>
      <c r="B1223" s="1"/>
      <c r="C1223" s="1"/>
      <c r="D1223" s="1"/>
      <c r="E1223" s="1"/>
    </row>
    <row r="1224" spans="1:5" x14ac:dyDescent="0.25">
      <c r="A1224" s="1"/>
      <c r="B1224" s="1"/>
      <c r="C1224" s="1"/>
      <c r="D1224" s="1"/>
      <c r="E1224" s="1"/>
    </row>
    <row r="1225" spans="1:5" x14ac:dyDescent="0.25">
      <c r="A1225" s="1"/>
      <c r="B1225" s="1"/>
      <c r="C1225" s="1"/>
      <c r="D1225" s="1"/>
      <c r="E1225" s="1"/>
    </row>
    <row r="1226" spans="1:5" x14ac:dyDescent="0.25">
      <c r="A1226" s="1"/>
      <c r="B1226" s="1"/>
      <c r="C1226" s="1"/>
      <c r="D1226" s="1"/>
      <c r="E1226" s="1"/>
    </row>
    <row r="1227" spans="1:5" x14ac:dyDescent="0.25">
      <c r="A1227" s="1"/>
      <c r="B1227" s="1"/>
      <c r="C1227" s="1"/>
      <c r="D1227" s="1"/>
      <c r="E1227" s="1"/>
    </row>
    <row r="1228" spans="1:5" x14ac:dyDescent="0.25">
      <c r="A1228" s="1"/>
      <c r="B1228" s="1"/>
      <c r="C1228" s="1"/>
      <c r="D1228" s="1"/>
      <c r="E1228" s="1"/>
    </row>
    <row r="1229" spans="1:5" x14ac:dyDescent="0.25">
      <c r="A1229" s="1"/>
      <c r="B1229" s="1"/>
      <c r="C1229" s="1"/>
      <c r="D1229" s="1"/>
      <c r="E1229" s="1"/>
    </row>
    <row r="1230" spans="1:5" x14ac:dyDescent="0.25">
      <c r="A1230" s="1"/>
      <c r="B1230" s="1"/>
      <c r="C1230" s="1"/>
      <c r="D1230" s="1"/>
      <c r="E1230" s="1"/>
    </row>
    <row r="1231" spans="1:5" x14ac:dyDescent="0.25">
      <c r="A1231" s="1"/>
      <c r="B1231" s="1"/>
      <c r="C1231" s="1"/>
      <c r="D1231" s="1"/>
      <c r="E1231" s="1"/>
    </row>
    <row r="1232" spans="1:5" x14ac:dyDescent="0.25">
      <c r="A1232" s="1"/>
      <c r="B1232" s="1"/>
      <c r="C1232" s="1"/>
      <c r="D1232" s="1"/>
      <c r="E1232" s="1"/>
    </row>
    <row r="1233" spans="1:5" x14ac:dyDescent="0.25">
      <c r="A1233" s="1"/>
      <c r="B1233" s="1"/>
      <c r="C1233" s="1"/>
      <c r="D1233" s="1"/>
      <c r="E1233" s="1"/>
    </row>
    <row r="1234" spans="1:5" x14ac:dyDescent="0.25">
      <c r="A1234" s="1"/>
      <c r="B1234" s="1"/>
      <c r="C1234" s="1"/>
      <c r="D1234" s="1"/>
      <c r="E1234" s="1"/>
    </row>
    <row r="1235" spans="1:5" x14ac:dyDescent="0.25">
      <c r="A1235" s="1"/>
      <c r="B1235" s="1"/>
      <c r="C1235" s="1"/>
      <c r="D1235" s="1"/>
      <c r="E1235" s="1"/>
    </row>
    <row r="1236" spans="1:5" x14ac:dyDescent="0.25">
      <c r="A1236" s="1"/>
      <c r="B1236" s="1"/>
      <c r="C1236" s="1"/>
      <c r="D1236" s="1"/>
      <c r="E1236" s="1"/>
    </row>
    <row r="1237" spans="1:5" x14ac:dyDescent="0.25">
      <c r="A1237" s="1"/>
      <c r="B1237" s="1"/>
      <c r="C1237" s="1"/>
      <c r="D1237" s="1"/>
      <c r="E1237" s="1"/>
    </row>
    <row r="1238" spans="1:5" x14ac:dyDescent="0.25">
      <c r="A1238" s="1"/>
      <c r="B1238" s="1"/>
      <c r="C1238" s="1"/>
      <c r="D1238" s="1"/>
      <c r="E1238" s="1"/>
    </row>
    <row r="1239" spans="1:5" x14ac:dyDescent="0.25">
      <c r="A1239" s="1"/>
      <c r="B1239" s="1"/>
      <c r="C1239" s="1"/>
      <c r="D1239" s="1"/>
      <c r="E1239" s="1"/>
    </row>
    <row r="1240" spans="1:5" x14ac:dyDescent="0.25">
      <c r="A1240" s="1"/>
      <c r="B1240" s="1"/>
      <c r="C1240" s="1"/>
      <c r="D1240" s="1"/>
      <c r="E1240" s="1"/>
    </row>
    <row r="1241" spans="1:5" x14ac:dyDescent="0.25">
      <c r="A1241" s="1"/>
      <c r="B1241" s="1"/>
      <c r="C1241" s="1"/>
      <c r="D1241" s="1"/>
      <c r="E1241" s="1"/>
    </row>
    <row r="1242" spans="1:5" x14ac:dyDescent="0.25">
      <c r="A1242" s="1"/>
      <c r="B1242" s="1"/>
      <c r="C1242" s="1"/>
      <c r="D1242" s="1"/>
      <c r="E1242" s="1"/>
    </row>
    <row r="1243" spans="1:5" x14ac:dyDescent="0.25">
      <c r="A1243" s="1"/>
      <c r="B1243" s="1"/>
      <c r="C1243" s="1"/>
      <c r="D1243" s="1"/>
      <c r="E1243" s="1"/>
    </row>
    <row r="1244" spans="1:5" x14ac:dyDescent="0.25">
      <c r="A1244" s="1"/>
      <c r="B1244" s="1"/>
      <c r="C1244" s="1"/>
      <c r="D1244" s="1"/>
      <c r="E1244" s="1"/>
    </row>
    <row r="1245" spans="1:5" x14ac:dyDescent="0.25">
      <c r="A1245" s="1"/>
      <c r="B1245" s="1"/>
      <c r="C1245" s="1"/>
      <c r="D1245" s="1"/>
      <c r="E1245" s="1"/>
    </row>
    <row r="1246" spans="1:5" x14ac:dyDescent="0.25">
      <c r="A1246" s="1"/>
      <c r="B1246" s="1"/>
      <c r="C1246" s="1"/>
      <c r="D1246" s="1"/>
      <c r="E1246" s="1"/>
    </row>
    <row r="1247" spans="1:5" x14ac:dyDescent="0.25">
      <c r="A1247" s="1"/>
      <c r="B1247" s="1"/>
      <c r="C1247" s="1"/>
      <c r="D1247" s="1"/>
      <c r="E1247" s="1"/>
    </row>
    <row r="1248" spans="1:5" x14ac:dyDescent="0.25">
      <c r="A1248" s="1"/>
      <c r="B1248" s="1"/>
      <c r="C1248" s="1"/>
      <c r="D1248" s="1"/>
      <c r="E1248" s="1"/>
    </row>
    <row r="1249" spans="1:5" x14ac:dyDescent="0.25">
      <c r="A1249" s="1"/>
      <c r="B1249" s="1"/>
      <c r="C1249" s="1"/>
      <c r="D1249" s="1"/>
      <c r="E1249" s="1"/>
    </row>
    <row r="1250" spans="1:5" x14ac:dyDescent="0.25">
      <c r="A1250" s="1"/>
      <c r="B1250" s="1"/>
      <c r="C1250" s="1"/>
      <c r="D1250" s="1"/>
      <c r="E1250" s="1"/>
    </row>
    <row r="1251" spans="1:5" x14ac:dyDescent="0.25">
      <c r="A1251" s="1"/>
      <c r="B1251" s="1"/>
      <c r="C1251" s="1"/>
      <c r="D1251" s="1"/>
      <c r="E1251" s="1"/>
    </row>
    <row r="1252" spans="1:5" x14ac:dyDescent="0.25">
      <c r="A1252" s="1"/>
      <c r="B1252" s="1"/>
      <c r="C1252" s="1"/>
      <c r="D1252" s="1"/>
      <c r="E1252" s="1"/>
    </row>
    <row r="1253" spans="1:5" x14ac:dyDescent="0.25">
      <c r="A1253" s="1"/>
      <c r="B1253" s="1"/>
      <c r="C1253" s="1"/>
      <c r="D1253" s="1"/>
      <c r="E1253" s="1"/>
    </row>
    <row r="1254" spans="1:5" x14ac:dyDescent="0.25">
      <c r="A1254" s="1"/>
      <c r="B1254" s="1"/>
      <c r="C1254" s="1"/>
      <c r="D1254" s="1"/>
      <c r="E1254" s="1"/>
    </row>
    <row r="1255" spans="1:5" x14ac:dyDescent="0.25">
      <c r="A1255" s="1"/>
      <c r="B1255" s="1"/>
      <c r="C1255" s="1"/>
      <c r="D1255" s="1"/>
      <c r="E1255" s="1"/>
    </row>
    <row r="1256" spans="1:5" x14ac:dyDescent="0.25">
      <c r="A1256" s="1"/>
      <c r="B1256" s="1"/>
      <c r="C1256" s="1"/>
      <c r="D1256" s="1"/>
      <c r="E1256" s="1"/>
    </row>
    <row r="1257" spans="1:5" x14ac:dyDescent="0.25">
      <c r="A1257" s="1"/>
      <c r="B1257" s="1"/>
      <c r="C1257" s="1"/>
      <c r="D1257" s="1"/>
      <c r="E1257" s="1"/>
    </row>
    <row r="1258" spans="1:5" x14ac:dyDescent="0.25">
      <c r="A1258" s="1"/>
      <c r="B1258" s="1"/>
      <c r="C1258" s="1"/>
      <c r="D1258" s="1"/>
      <c r="E1258" s="1"/>
    </row>
    <row r="1259" spans="1:5" x14ac:dyDescent="0.25">
      <c r="A1259" s="1"/>
      <c r="B1259" s="1"/>
      <c r="C1259" s="1"/>
      <c r="D1259" s="1"/>
      <c r="E1259" s="1"/>
    </row>
    <row r="1260" spans="1:5" x14ac:dyDescent="0.25">
      <c r="A1260" s="1"/>
      <c r="B1260" s="1"/>
      <c r="C1260" s="1"/>
      <c r="D1260" s="1"/>
      <c r="E1260" s="1"/>
    </row>
    <row r="1261" spans="1:5" x14ac:dyDescent="0.25">
      <c r="A1261" s="1"/>
      <c r="B1261" s="1"/>
      <c r="C1261" s="1"/>
      <c r="D1261" s="1"/>
      <c r="E1261" s="1"/>
    </row>
    <row r="1262" spans="1:5" x14ac:dyDescent="0.25">
      <c r="A1262" s="1"/>
      <c r="B1262" s="1"/>
      <c r="C1262" s="1"/>
      <c r="D1262" s="1"/>
      <c r="E1262" s="1"/>
    </row>
    <row r="1263" spans="1:5" x14ac:dyDescent="0.25">
      <c r="A1263" s="1"/>
      <c r="B1263" s="1"/>
      <c r="C1263" s="1"/>
      <c r="D1263" s="1"/>
      <c r="E1263" s="1"/>
    </row>
    <row r="1264" spans="1:5" x14ac:dyDescent="0.25">
      <c r="A1264" s="1"/>
      <c r="B1264" s="1"/>
      <c r="C1264" s="1"/>
      <c r="D1264" s="1"/>
      <c r="E1264" s="1"/>
    </row>
    <row r="1265" spans="1:5" x14ac:dyDescent="0.25">
      <c r="A1265" s="1"/>
      <c r="B1265" s="1"/>
      <c r="C1265" s="1"/>
      <c r="D1265" s="1"/>
      <c r="E1265" s="1"/>
    </row>
    <row r="1266" spans="1:5" x14ac:dyDescent="0.25">
      <c r="A1266" s="1"/>
      <c r="B1266" s="1"/>
      <c r="C1266" s="1"/>
      <c r="D1266" s="1"/>
      <c r="E1266" s="1"/>
    </row>
    <row r="1267" spans="1:5" x14ac:dyDescent="0.25">
      <c r="A1267" s="1"/>
      <c r="B1267" s="1"/>
      <c r="C1267" s="1"/>
      <c r="D1267" s="1"/>
      <c r="E1267" s="1"/>
    </row>
    <row r="1268" spans="1:5" x14ac:dyDescent="0.25">
      <c r="A1268" s="1"/>
      <c r="B1268" s="1"/>
      <c r="C1268" s="1"/>
      <c r="D1268" s="1"/>
      <c r="E1268" s="1"/>
    </row>
    <row r="1269" spans="1:5" x14ac:dyDescent="0.25">
      <c r="A1269" s="1"/>
      <c r="B1269" s="1"/>
      <c r="C1269" s="1"/>
      <c r="D1269" s="1"/>
      <c r="E1269" s="1"/>
    </row>
    <row r="1270" spans="1:5" x14ac:dyDescent="0.25">
      <c r="A1270" s="1"/>
      <c r="B1270" s="1"/>
      <c r="C1270" s="1"/>
      <c r="D1270" s="1"/>
      <c r="E1270" s="1"/>
    </row>
    <row r="1271" spans="1:5" x14ac:dyDescent="0.25">
      <c r="A1271" s="1"/>
      <c r="B1271" s="1"/>
      <c r="C1271" s="1"/>
      <c r="D1271" s="1"/>
      <c r="E1271" s="1"/>
    </row>
    <row r="1272" spans="1:5" x14ac:dyDescent="0.25">
      <c r="A1272" s="1"/>
      <c r="B1272" s="1"/>
      <c r="C1272" s="1"/>
      <c r="D1272" s="1"/>
      <c r="E1272" s="1"/>
    </row>
    <row r="1273" spans="1:5" x14ac:dyDescent="0.25">
      <c r="A1273" s="1"/>
      <c r="B1273" s="1"/>
      <c r="C1273" s="1"/>
      <c r="D1273" s="1"/>
      <c r="E1273" s="1"/>
    </row>
    <row r="1274" spans="1:5" x14ac:dyDescent="0.25">
      <c r="A1274" s="1"/>
      <c r="B1274" s="1"/>
      <c r="C1274" s="1"/>
      <c r="D1274" s="1"/>
      <c r="E1274" s="1"/>
    </row>
    <row r="1275" spans="1:5" x14ac:dyDescent="0.25">
      <c r="A1275" s="1"/>
      <c r="B1275" s="1"/>
      <c r="C1275" s="1"/>
      <c r="D1275" s="1"/>
      <c r="E1275" s="1"/>
    </row>
    <row r="1276" spans="1:5" x14ac:dyDescent="0.25">
      <c r="A1276" s="1"/>
      <c r="B1276" s="1"/>
      <c r="C1276" s="1"/>
      <c r="D1276" s="1"/>
      <c r="E1276" s="1"/>
    </row>
    <row r="1277" spans="1:5" x14ac:dyDescent="0.25">
      <c r="A1277" s="1"/>
      <c r="B1277" s="1"/>
      <c r="C1277" s="1"/>
      <c r="D1277" s="1"/>
      <c r="E1277" s="1"/>
    </row>
    <row r="1278" spans="1:5" x14ac:dyDescent="0.25">
      <c r="A1278" s="1"/>
      <c r="B1278" s="1"/>
      <c r="C1278" s="1"/>
      <c r="D1278" s="1"/>
      <c r="E1278" s="1"/>
    </row>
    <row r="1279" spans="1:5" x14ac:dyDescent="0.25">
      <c r="A1279" s="1"/>
      <c r="B1279" s="1"/>
      <c r="C1279" s="1"/>
      <c r="D1279" s="1"/>
      <c r="E1279" s="1"/>
    </row>
    <row r="1280" spans="1:5" x14ac:dyDescent="0.25">
      <c r="A1280" s="1"/>
      <c r="B1280" s="1"/>
      <c r="C1280" s="1"/>
      <c r="D1280" s="1"/>
      <c r="E1280" s="1"/>
    </row>
    <row r="1281" spans="1:5" x14ac:dyDescent="0.25">
      <c r="A1281" s="1"/>
      <c r="B1281" s="1"/>
      <c r="C1281" s="1"/>
      <c r="D1281" s="1"/>
      <c r="E1281" s="1"/>
    </row>
    <row r="1282" spans="1:5" x14ac:dyDescent="0.25">
      <c r="A1282" s="1"/>
      <c r="B1282" s="1"/>
      <c r="C1282" s="1"/>
      <c r="D1282" s="1"/>
      <c r="E1282" s="1"/>
    </row>
    <row r="1283" spans="1:5" x14ac:dyDescent="0.25">
      <c r="A1283" s="1"/>
      <c r="B1283" s="1"/>
      <c r="C1283" s="1"/>
      <c r="D1283" s="1"/>
      <c r="E1283" s="1"/>
    </row>
    <row r="1284" spans="1:5" x14ac:dyDescent="0.25">
      <c r="A1284" s="1"/>
      <c r="B1284" s="1"/>
      <c r="C1284" s="1"/>
      <c r="D1284" s="1"/>
      <c r="E1284" s="1"/>
    </row>
    <row r="1285" spans="1:5" x14ac:dyDescent="0.25">
      <c r="A1285" s="1"/>
      <c r="B1285" s="1"/>
      <c r="C1285" s="1"/>
      <c r="D1285" s="1"/>
      <c r="E1285" s="1"/>
    </row>
    <row r="1286" spans="1:5" x14ac:dyDescent="0.25">
      <c r="A1286" s="1"/>
      <c r="B1286" s="1"/>
      <c r="C1286" s="1"/>
      <c r="D1286" s="1"/>
      <c r="E1286" s="1"/>
    </row>
    <row r="1287" spans="1:5" x14ac:dyDescent="0.25">
      <c r="A1287" s="1"/>
      <c r="B1287" s="1"/>
      <c r="C1287" s="1"/>
      <c r="D1287" s="1"/>
      <c r="E1287" s="1"/>
    </row>
    <row r="1288" spans="1:5" x14ac:dyDescent="0.25">
      <c r="A1288" s="1"/>
      <c r="B1288" s="1"/>
      <c r="C1288" s="1"/>
      <c r="D1288" s="1"/>
      <c r="E1288" s="1"/>
    </row>
    <row r="1289" spans="1:5" x14ac:dyDescent="0.25">
      <c r="A1289" s="1"/>
      <c r="B1289" s="1"/>
      <c r="C1289" s="1"/>
      <c r="D1289" s="1"/>
      <c r="E1289" s="1"/>
    </row>
    <row r="1290" spans="1:5" x14ac:dyDescent="0.25">
      <c r="A1290" s="1"/>
      <c r="B1290" s="1"/>
      <c r="C1290" s="1"/>
      <c r="D1290" s="1"/>
      <c r="E1290" s="1"/>
    </row>
    <row r="1291" spans="1:5" x14ac:dyDescent="0.25">
      <c r="A1291" s="1"/>
      <c r="B1291" s="1"/>
      <c r="C1291" s="1"/>
      <c r="D1291" s="1"/>
      <c r="E1291" s="1"/>
    </row>
    <row r="1292" spans="1:5" x14ac:dyDescent="0.25">
      <c r="A1292" s="1"/>
      <c r="B1292" s="1"/>
      <c r="C1292" s="1"/>
      <c r="D1292" s="1"/>
      <c r="E1292" s="1"/>
    </row>
    <row r="1293" spans="1:5" x14ac:dyDescent="0.25">
      <c r="A1293" s="1"/>
      <c r="B1293" s="1"/>
      <c r="C1293" s="1"/>
      <c r="D1293" s="1"/>
      <c r="E1293" s="1"/>
    </row>
    <row r="1294" spans="1:5" x14ac:dyDescent="0.25">
      <c r="A1294" s="1"/>
      <c r="B1294" s="1"/>
      <c r="C1294" s="1"/>
      <c r="D1294" s="1"/>
      <c r="E1294" s="1"/>
    </row>
    <row r="1295" spans="1:5" x14ac:dyDescent="0.25">
      <c r="A1295" s="1"/>
      <c r="B1295" s="1"/>
      <c r="C1295" s="1"/>
      <c r="D1295" s="1"/>
      <c r="E1295" s="1"/>
    </row>
    <row r="1296" spans="1:5" x14ac:dyDescent="0.25">
      <c r="A1296" s="1"/>
      <c r="B1296" s="1"/>
      <c r="C1296" s="1"/>
      <c r="D1296" s="1"/>
      <c r="E1296" s="1"/>
    </row>
    <row r="1297" spans="1:5" x14ac:dyDescent="0.25">
      <c r="A1297" s="1"/>
      <c r="B1297" s="1"/>
      <c r="C1297" s="1"/>
      <c r="D1297" s="1"/>
      <c r="E1297" s="1"/>
    </row>
    <row r="1298" spans="1:5" x14ac:dyDescent="0.25">
      <c r="A1298" s="1"/>
      <c r="B1298" s="1"/>
      <c r="C1298" s="1"/>
      <c r="D1298" s="1"/>
      <c r="E1298" s="1"/>
    </row>
    <row r="1299" spans="1:5" x14ac:dyDescent="0.25">
      <c r="A1299" s="1"/>
      <c r="B1299" s="1"/>
      <c r="C1299" s="1"/>
      <c r="D1299" s="1"/>
      <c r="E1299" s="1"/>
    </row>
    <row r="1300" spans="1:5" x14ac:dyDescent="0.25">
      <c r="A1300" s="1"/>
      <c r="B1300" s="1"/>
      <c r="C1300" s="1"/>
      <c r="D1300" s="1"/>
      <c r="E1300" s="1"/>
    </row>
    <row r="1301" spans="1:5" x14ac:dyDescent="0.25">
      <c r="A1301" s="1"/>
      <c r="B1301" s="1"/>
      <c r="C1301" s="1"/>
      <c r="D1301" s="1"/>
      <c r="E1301" s="1"/>
    </row>
    <row r="1302" spans="1:5" x14ac:dyDescent="0.25">
      <c r="A1302" s="1"/>
      <c r="B1302" s="1"/>
      <c r="C1302" s="1"/>
      <c r="D1302" s="1"/>
      <c r="E1302" s="1"/>
    </row>
    <row r="1303" spans="1:5" x14ac:dyDescent="0.25">
      <c r="A1303" s="1"/>
      <c r="B1303" s="1"/>
      <c r="C1303" s="1"/>
      <c r="D1303" s="1"/>
      <c r="E1303" s="1"/>
    </row>
    <row r="1304" spans="1:5" x14ac:dyDescent="0.25">
      <c r="A1304" s="1"/>
      <c r="B1304" s="1"/>
      <c r="C1304" s="1"/>
      <c r="D1304" s="1"/>
      <c r="E1304" s="1"/>
    </row>
    <row r="1305" spans="1:5" x14ac:dyDescent="0.25">
      <c r="A1305" s="1"/>
      <c r="B1305" s="1"/>
      <c r="C1305" s="1"/>
      <c r="D1305" s="1"/>
      <c r="E1305" s="1"/>
    </row>
    <row r="1306" spans="1:5" x14ac:dyDescent="0.25">
      <c r="A1306" s="1"/>
      <c r="B1306" s="1"/>
      <c r="C1306" s="1"/>
      <c r="D1306" s="1"/>
      <c r="E1306" s="1"/>
    </row>
    <row r="1307" spans="1:5" x14ac:dyDescent="0.25">
      <c r="A1307" s="1"/>
      <c r="B1307" s="1"/>
      <c r="C1307" s="1"/>
      <c r="D1307" s="1"/>
      <c r="E1307" s="1"/>
    </row>
    <row r="1308" spans="1:5" x14ac:dyDescent="0.25">
      <c r="A1308" s="1"/>
      <c r="B1308" s="1"/>
      <c r="C1308" s="1"/>
      <c r="D1308" s="1"/>
      <c r="E1308" s="1"/>
    </row>
    <row r="1309" spans="1:5" x14ac:dyDescent="0.25">
      <c r="A1309" s="1"/>
      <c r="B1309" s="1"/>
      <c r="C1309" s="1"/>
      <c r="D1309" s="1"/>
      <c r="E1309" s="1"/>
    </row>
    <row r="1310" spans="1:5" x14ac:dyDescent="0.25">
      <c r="A1310" s="1"/>
      <c r="B1310" s="1"/>
      <c r="C1310" s="1"/>
      <c r="D1310" s="1"/>
      <c r="E1310" s="1"/>
    </row>
    <row r="1311" spans="1:5" x14ac:dyDescent="0.25">
      <c r="A1311" s="1"/>
      <c r="B1311" s="1"/>
      <c r="C1311" s="1"/>
      <c r="D1311" s="1"/>
      <c r="E1311" s="1"/>
    </row>
    <row r="1312" spans="1:5" x14ac:dyDescent="0.25">
      <c r="A1312" s="1"/>
      <c r="B1312" s="1"/>
      <c r="C1312" s="1"/>
      <c r="D1312" s="1"/>
      <c r="E1312" s="1"/>
    </row>
    <row r="1313" spans="1:5" x14ac:dyDescent="0.25">
      <c r="A1313" s="1"/>
      <c r="B1313" s="1"/>
      <c r="C1313" s="1"/>
      <c r="D1313" s="1"/>
      <c r="E1313" s="1"/>
    </row>
    <row r="1314" spans="1:5" x14ac:dyDescent="0.25">
      <c r="A1314" s="1"/>
      <c r="B1314" s="1"/>
      <c r="C1314" s="1"/>
      <c r="D1314" s="1"/>
      <c r="E1314" s="1"/>
    </row>
    <row r="1315" spans="1:5" x14ac:dyDescent="0.25">
      <c r="A1315" s="1"/>
      <c r="B1315" s="1"/>
      <c r="C1315" s="1"/>
      <c r="D1315" s="1"/>
      <c r="E1315" s="1"/>
    </row>
    <row r="1316" spans="1:5" x14ac:dyDescent="0.25">
      <c r="A1316" s="1"/>
      <c r="B1316" s="1"/>
      <c r="C1316" s="1"/>
      <c r="D1316" s="1"/>
      <c r="E1316" s="1"/>
    </row>
    <row r="1317" spans="1:5" x14ac:dyDescent="0.25">
      <c r="A1317" s="1"/>
      <c r="B1317" s="1"/>
      <c r="C1317" s="1"/>
      <c r="D1317" s="1"/>
      <c r="E1317" s="1"/>
    </row>
    <row r="1318" spans="1:5" x14ac:dyDescent="0.25">
      <c r="A1318" s="1"/>
      <c r="B1318" s="1"/>
      <c r="C1318" s="1"/>
      <c r="D1318" s="1"/>
      <c r="E1318" s="1"/>
    </row>
    <row r="1319" spans="1:5" x14ac:dyDescent="0.25">
      <c r="A1319" s="1"/>
      <c r="B1319" s="1"/>
      <c r="C1319" s="1"/>
      <c r="D1319" s="1"/>
      <c r="E1319" s="1"/>
    </row>
    <row r="1320" spans="1:5" x14ac:dyDescent="0.25">
      <c r="A1320" s="1"/>
      <c r="B1320" s="1"/>
      <c r="C1320" s="1"/>
      <c r="D1320" s="1"/>
      <c r="E1320" s="1"/>
    </row>
    <row r="1321" spans="1:5" x14ac:dyDescent="0.25">
      <c r="A1321" s="1"/>
      <c r="B1321" s="1"/>
      <c r="C1321" s="1"/>
      <c r="D1321" s="1"/>
      <c r="E1321" s="1"/>
    </row>
    <row r="1322" spans="1:5" x14ac:dyDescent="0.25">
      <c r="A1322" s="1"/>
      <c r="B1322" s="1"/>
      <c r="C1322" s="1"/>
      <c r="D1322" s="1"/>
      <c r="E1322" s="1"/>
    </row>
    <row r="1323" spans="1:5" x14ac:dyDescent="0.25">
      <c r="A1323" s="1"/>
      <c r="B1323" s="1"/>
      <c r="C1323" s="1"/>
      <c r="D1323" s="1"/>
      <c r="E1323" s="1"/>
    </row>
    <row r="1324" spans="1:5" x14ac:dyDescent="0.25">
      <c r="A1324" s="1"/>
      <c r="B1324" s="1"/>
      <c r="C1324" s="1"/>
      <c r="D1324" s="1"/>
      <c r="E1324" s="1"/>
    </row>
    <row r="1325" spans="1:5" x14ac:dyDescent="0.25">
      <c r="A1325" s="1"/>
      <c r="B1325" s="1"/>
      <c r="C1325" s="1"/>
      <c r="D1325" s="1"/>
      <c r="E1325" s="1"/>
    </row>
    <row r="1326" spans="1:5" x14ac:dyDescent="0.25">
      <c r="A1326" s="1"/>
      <c r="B1326" s="1"/>
      <c r="C1326" s="1"/>
      <c r="D1326" s="1"/>
      <c r="E1326" s="1"/>
    </row>
    <row r="1327" spans="1:5" x14ac:dyDescent="0.25">
      <c r="A1327" s="1"/>
      <c r="B1327" s="1"/>
      <c r="C1327" s="1"/>
      <c r="D1327" s="1"/>
      <c r="E1327" s="1"/>
    </row>
    <row r="1328" spans="1:5" x14ac:dyDescent="0.25">
      <c r="A1328" s="1"/>
      <c r="B1328" s="1"/>
      <c r="C1328" s="1"/>
      <c r="D1328" s="1"/>
      <c r="E1328" s="1"/>
    </row>
    <row r="1329" spans="1:5" x14ac:dyDescent="0.25">
      <c r="A1329" s="1"/>
      <c r="B1329" s="1"/>
      <c r="C1329" s="1"/>
      <c r="D1329" s="1"/>
      <c r="E1329" s="1"/>
    </row>
    <row r="1330" spans="1:5" x14ac:dyDescent="0.25">
      <c r="A1330" s="1"/>
      <c r="B1330" s="1"/>
      <c r="C1330" s="1"/>
      <c r="D1330" s="1"/>
      <c r="E1330" s="1"/>
    </row>
    <row r="1331" spans="1:5" x14ac:dyDescent="0.25">
      <c r="A1331" s="1"/>
      <c r="B1331" s="1"/>
      <c r="C1331" s="1"/>
      <c r="D1331" s="1"/>
      <c r="E1331" s="1"/>
    </row>
    <row r="1332" spans="1:5" x14ac:dyDescent="0.25">
      <c r="A1332" s="1"/>
      <c r="B1332" s="1"/>
      <c r="C1332" s="1"/>
      <c r="D1332" s="1"/>
      <c r="E1332" s="1"/>
    </row>
    <row r="1333" spans="1:5" x14ac:dyDescent="0.25">
      <c r="A1333" s="1"/>
      <c r="B1333" s="1"/>
      <c r="C1333" s="1"/>
      <c r="D1333" s="1"/>
      <c r="E1333" s="1"/>
    </row>
    <row r="1334" spans="1:5" x14ac:dyDescent="0.25">
      <c r="A1334" s="1"/>
      <c r="B1334" s="1"/>
      <c r="C1334" s="1"/>
      <c r="D1334" s="1"/>
      <c r="E1334" s="1"/>
    </row>
    <row r="1335" spans="1:5" x14ac:dyDescent="0.25">
      <c r="A1335" s="1"/>
      <c r="B1335" s="1"/>
      <c r="C1335" s="1"/>
      <c r="D1335" s="1"/>
      <c r="E1335" s="1"/>
    </row>
    <row r="1336" spans="1:5" x14ac:dyDescent="0.25">
      <c r="A1336" s="1"/>
      <c r="B1336" s="1"/>
      <c r="C1336" s="1"/>
      <c r="D1336" s="1"/>
      <c r="E1336" s="1"/>
    </row>
    <row r="1337" spans="1:5" x14ac:dyDescent="0.25">
      <c r="A1337" s="1"/>
      <c r="B1337" s="1"/>
      <c r="C1337" s="1"/>
      <c r="D1337" s="1"/>
      <c r="E1337" s="1"/>
    </row>
    <row r="1338" spans="1:5" x14ac:dyDescent="0.25">
      <c r="A1338" s="1"/>
      <c r="B1338" s="1"/>
      <c r="C1338" s="1"/>
      <c r="D1338" s="1"/>
      <c r="E1338" s="1"/>
    </row>
    <row r="1339" spans="1:5" x14ac:dyDescent="0.25">
      <c r="A1339" s="1"/>
      <c r="B1339" s="1"/>
      <c r="C1339" s="1"/>
      <c r="D1339" s="1"/>
      <c r="E1339" s="1"/>
    </row>
    <row r="1340" spans="1:5" x14ac:dyDescent="0.25">
      <c r="A1340" s="1"/>
      <c r="B1340" s="1"/>
      <c r="C1340" s="1"/>
      <c r="D1340" s="1"/>
      <c r="E1340" s="1"/>
    </row>
    <row r="1341" spans="1:5" x14ac:dyDescent="0.25">
      <c r="A1341" s="1"/>
      <c r="B1341" s="1"/>
      <c r="C1341" s="1"/>
      <c r="D1341" s="1"/>
      <c r="E1341" s="1"/>
    </row>
    <row r="1342" spans="1:5" x14ac:dyDescent="0.25">
      <c r="A1342" s="1"/>
      <c r="B1342" s="1"/>
      <c r="C1342" s="1"/>
      <c r="D1342" s="1"/>
      <c r="E1342" s="1"/>
    </row>
    <row r="1343" spans="1:5" x14ac:dyDescent="0.25">
      <c r="A1343" s="1"/>
      <c r="B1343" s="1"/>
      <c r="C1343" s="1"/>
      <c r="D1343" s="1"/>
      <c r="E1343" s="1"/>
    </row>
    <row r="1344" spans="1:5" x14ac:dyDescent="0.25">
      <c r="A1344" s="1"/>
      <c r="B1344" s="1"/>
      <c r="C1344" s="1"/>
      <c r="D1344" s="1"/>
      <c r="E1344" s="1"/>
    </row>
    <row r="1345" spans="1:5" x14ac:dyDescent="0.25">
      <c r="A1345" s="1"/>
      <c r="B1345" s="1"/>
      <c r="C1345" s="1"/>
      <c r="D1345" s="1"/>
      <c r="E1345" s="1"/>
    </row>
    <row r="1346" spans="1:5" x14ac:dyDescent="0.25">
      <c r="A1346" s="1"/>
      <c r="B1346" s="1"/>
      <c r="C1346" s="1"/>
      <c r="D1346" s="1"/>
      <c r="E1346" s="1"/>
    </row>
    <row r="1347" spans="1:5" x14ac:dyDescent="0.25">
      <c r="A1347" s="1"/>
      <c r="B1347" s="1"/>
      <c r="C1347" s="1"/>
      <c r="D1347" s="1"/>
      <c r="E1347" s="1"/>
    </row>
    <row r="1348" spans="1:5" x14ac:dyDescent="0.25">
      <c r="A1348" s="1"/>
      <c r="B1348" s="1"/>
      <c r="C1348" s="1"/>
      <c r="D1348" s="1"/>
      <c r="E1348" s="1"/>
    </row>
    <row r="1349" spans="1:5" x14ac:dyDescent="0.25">
      <c r="A1349" s="1"/>
      <c r="B1349" s="1"/>
      <c r="C1349" s="1"/>
      <c r="D1349" s="1"/>
      <c r="E1349" s="1"/>
    </row>
    <row r="1350" spans="1:5" x14ac:dyDescent="0.25">
      <c r="A1350" s="1"/>
      <c r="B1350" s="1"/>
      <c r="C1350" s="1"/>
      <c r="D1350" s="1"/>
      <c r="E1350" s="1"/>
    </row>
    <row r="1351" spans="1:5" x14ac:dyDescent="0.25">
      <c r="A1351" s="1"/>
      <c r="B1351" s="1"/>
      <c r="C1351" s="1"/>
      <c r="D1351" s="1"/>
      <c r="E1351" s="1"/>
    </row>
    <row r="1352" spans="1:5" x14ac:dyDescent="0.25">
      <c r="A1352" s="1"/>
      <c r="B1352" s="1"/>
      <c r="C1352" s="1"/>
      <c r="D1352" s="1"/>
      <c r="E1352" s="1"/>
    </row>
    <row r="1353" spans="1:5" x14ac:dyDescent="0.25">
      <c r="A1353" s="1"/>
      <c r="B1353" s="1"/>
      <c r="C1353" s="1"/>
      <c r="D1353" s="1"/>
      <c r="E1353" s="1"/>
    </row>
    <row r="1354" spans="1:5" x14ac:dyDescent="0.25">
      <c r="A1354" s="1"/>
      <c r="B1354" s="1"/>
      <c r="C1354" s="1"/>
      <c r="D1354" s="1"/>
      <c r="E1354" s="1"/>
    </row>
    <row r="1355" spans="1:5" x14ac:dyDescent="0.25">
      <c r="A1355" s="1"/>
      <c r="B1355" s="1"/>
      <c r="C1355" s="1"/>
      <c r="D1355" s="1"/>
      <c r="E1355" s="1"/>
    </row>
    <row r="1356" spans="1:5" x14ac:dyDescent="0.25">
      <c r="A1356" s="1"/>
      <c r="B1356" s="1"/>
      <c r="C1356" s="1"/>
      <c r="D1356" s="1"/>
      <c r="E1356" s="1"/>
    </row>
    <row r="1357" spans="1:5" x14ac:dyDescent="0.25">
      <c r="A1357" s="1"/>
      <c r="B1357" s="1"/>
      <c r="C1357" s="1"/>
      <c r="D1357" s="1"/>
      <c r="E1357" s="1"/>
    </row>
    <row r="1358" spans="1:5" x14ac:dyDescent="0.25">
      <c r="A1358" s="1"/>
      <c r="B1358" s="1"/>
      <c r="C1358" s="1"/>
      <c r="D1358" s="1"/>
      <c r="E1358" s="1"/>
    </row>
    <row r="1359" spans="1:5" x14ac:dyDescent="0.25">
      <c r="A1359" s="1"/>
      <c r="B1359" s="1"/>
      <c r="C1359" s="1"/>
      <c r="D1359" s="1"/>
      <c r="E1359" s="1"/>
    </row>
    <row r="1360" spans="1:5" x14ac:dyDescent="0.25">
      <c r="A1360" s="1"/>
      <c r="B1360" s="1"/>
      <c r="C1360" s="1"/>
      <c r="D1360" s="1"/>
      <c r="E1360" s="1"/>
    </row>
    <row r="1361" spans="1:5" x14ac:dyDescent="0.25">
      <c r="A1361" s="1"/>
      <c r="B1361" s="1"/>
      <c r="C1361" s="1"/>
      <c r="D1361" s="1"/>
      <c r="E1361" s="1"/>
    </row>
    <row r="1362" spans="1:5" x14ac:dyDescent="0.25">
      <c r="A1362" s="1"/>
      <c r="B1362" s="1"/>
      <c r="C1362" s="1"/>
      <c r="D1362" s="1"/>
      <c r="E1362" s="1"/>
    </row>
    <row r="1363" spans="1:5" x14ac:dyDescent="0.25">
      <c r="A1363" s="1"/>
      <c r="B1363" s="1"/>
      <c r="C1363" s="1"/>
      <c r="D1363" s="1"/>
      <c r="E1363" s="1"/>
    </row>
    <row r="1364" spans="1:5" x14ac:dyDescent="0.25">
      <c r="A1364" s="1"/>
      <c r="B1364" s="1"/>
      <c r="C1364" s="1"/>
      <c r="D1364" s="1"/>
      <c r="E1364" s="1"/>
    </row>
    <row r="1365" spans="1:5" x14ac:dyDescent="0.25">
      <c r="A1365" s="1"/>
      <c r="B1365" s="1"/>
      <c r="C1365" s="1"/>
      <c r="D1365" s="1"/>
      <c r="E1365" s="1"/>
    </row>
    <row r="1366" spans="1:5" x14ac:dyDescent="0.25">
      <c r="A1366" s="1"/>
      <c r="B1366" s="1"/>
      <c r="C1366" s="1"/>
      <c r="D1366" s="1"/>
      <c r="E1366" s="1"/>
    </row>
    <row r="1367" spans="1:5" x14ac:dyDescent="0.25">
      <c r="A1367" s="1"/>
      <c r="B1367" s="1"/>
      <c r="C1367" s="1"/>
      <c r="D1367" s="1"/>
      <c r="E1367" s="1"/>
    </row>
    <row r="1368" spans="1:5" x14ac:dyDescent="0.25">
      <c r="A1368" s="1"/>
      <c r="B1368" s="1"/>
      <c r="C1368" s="1"/>
      <c r="D1368" s="1"/>
      <c r="E1368" s="1"/>
    </row>
    <row r="1369" spans="1:5" x14ac:dyDescent="0.25">
      <c r="A1369" s="1"/>
      <c r="B1369" s="1"/>
      <c r="C1369" s="1"/>
      <c r="D1369" s="1"/>
      <c r="E1369" s="1"/>
    </row>
    <row r="1370" spans="1:5" x14ac:dyDescent="0.25">
      <c r="A1370" s="1"/>
      <c r="B1370" s="1"/>
      <c r="C1370" s="1"/>
      <c r="D1370" s="1"/>
      <c r="E1370" s="1"/>
    </row>
    <row r="1371" spans="1:5" x14ac:dyDescent="0.25">
      <c r="A1371" s="1"/>
      <c r="B1371" s="1"/>
      <c r="C1371" s="1"/>
      <c r="D1371" s="1"/>
      <c r="E1371" s="1"/>
    </row>
    <row r="1372" spans="1:5" x14ac:dyDescent="0.25">
      <c r="A1372" s="1"/>
      <c r="B1372" s="1"/>
      <c r="C1372" s="1"/>
      <c r="D1372" s="1"/>
      <c r="E1372" s="1"/>
    </row>
    <row r="1373" spans="1:5" x14ac:dyDescent="0.25">
      <c r="A1373" s="1"/>
      <c r="B1373" s="1"/>
      <c r="C1373" s="1"/>
      <c r="D1373" s="1"/>
      <c r="E1373" s="1"/>
    </row>
    <row r="1374" spans="1:5" x14ac:dyDescent="0.25">
      <c r="A1374" s="1"/>
      <c r="B1374" s="1"/>
      <c r="C1374" s="1"/>
      <c r="D1374" s="1"/>
      <c r="E1374" s="1"/>
    </row>
    <row r="1375" spans="1:5" x14ac:dyDescent="0.25">
      <c r="A1375" s="1"/>
      <c r="B1375" s="1"/>
      <c r="C1375" s="1"/>
      <c r="D1375" s="1"/>
      <c r="E1375" s="1"/>
    </row>
    <row r="1376" spans="1:5" x14ac:dyDescent="0.25">
      <c r="A1376" s="1"/>
      <c r="B1376" s="1"/>
      <c r="C1376" s="1"/>
      <c r="D1376" s="1"/>
      <c r="E1376" s="1"/>
    </row>
    <row r="1377" spans="1:5" x14ac:dyDescent="0.25">
      <c r="A1377" s="1"/>
      <c r="B1377" s="1"/>
      <c r="C1377" s="1"/>
      <c r="D1377" s="1"/>
      <c r="E1377" s="1"/>
    </row>
    <row r="1378" spans="1:5" x14ac:dyDescent="0.25">
      <c r="A1378" s="1"/>
      <c r="B1378" s="1"/>
      <c r="C1378" s="1"/>
      <c r="D1378" s="1"/>
      <c r="E1378" s="1"/>
    </row>
    <row r="1379" spans="1:5" x14ac:dyDescent="0.25">
      <c r="A1379" s="1"/>
      <c r="B1379" s="1"/>
      <c r="C1379" s="1"/>
      <c r="D1379" s="1"/>
      <c r="E1379" s="1"/>
    </row>
    <row r="1380" spans="1:5" x14ac:dyDescent="0.25">
      <c r="A1380" s="1"/>
      <c r="B1380" s="1"/>
      <c r="C1380" s="1"/>
      <c r="D1380" s="1"/>
      <c r="E1380" s="1"/>
    </row>
    <row r="1381" spans="1:5" x14ac:dyDescent="0.25">
      <c r="A1381" s="1"/>
      <c r="B1381" s="1"/>
      <c r="C1381" s="1"/>
      <c r="D1381" s="1"/>
      <c r="E1381" s="1"/>
    </row>
    <row r="1382" spans="1:5" x14ac:dyDescent="0.25">
      <c r="A1382" s="1"/>
      <c r="B1382" s="1"/>
      <c r="C1382" s="1"/>
      <c r="D1382" s="1"/>
      <c r="E1382" s="1"/>
    </row>
    <row r="1383" spans="1:5" x14ac:dyDescent="0.25">
      <c r="A1383" s="1"/>
      <c r="B1383" s="1"/>
      <c r="C1383" s="1"/>
      <c r="D1383" s="1"/>
      <c r="E1383" s="1"/>
    </row>
    <row r="1384" spans="1:5" x14ac:dyDescent="0.25">
      <c r="A1384" s="1"/>
      <c r="B1384" s="1"/>
      <c r="C1384" s="1"/>
      <c r="D1384" s="1"/>
      <c r="E1384" s="1"/>
    </row>
    <row r="1385" spans="1:5" x14ac:dyDescent="0.25">
      <c r="A1385" s="1"/>
      <c r="B1385" s="1"/>
      <c r="C1385" s="1"/>
      <c r="D1385" s="1"/>
      <c r="E1385" s="1"/>
    </row>
    <row r="1386" spans="1:5" x14ac:dyDescent="0.25">
      <c r="A1386" s="1"/>
      <c r="B1386" s="1"/>
      <c r="C1386" s="1"/>
      <c r="D1386" s="1"/>
      <c r="E1386" s="1"/>
    </row>
    <row r="1387" spans="1:5" x14ac:dyDescent="0.25">
      <c r="A1387" s="1"/>
      <c r="B1387" s="1"/>
      <c r="C1387" s="1"/>
      <c r="D1387" s="1"/>
      <c r="E1387" s="1"/>
    </row>
    <row r="1388" spans="1:5" x14ac:dyDescent="0.25">
      <c r="A1388" s="1"/>
      <c r="B1388" s="1"/>
      <c r="C1388" s="1"/>
      <c r="D1388" s="1"/>
      <c r="E1388" s="1"/>
    </row>
    <row r="1389" spans="1:5" x14ac:dyDescent="0.25">
      <c r="A1389" s="1"/>
      <c r="B1389" s="1"/>
      <c r="C1389" s="1"/>
      <c r="D1389" s="1"/>
      <c r="E1389" s="1"/>
    </row>
    <row r="1390" spans="1:5" x14ac:dyDescent="0.25">
      <c r="A1390" s="1"/>
      <c r="B1390" s="1"/>
      <c r="C1390" s="1"/>
      <c r="D1390" s="1"/>
      <c r="E1390" s="1"/>
    </row>
    <row r="1391" spans="1:5" x14ac:dyDescent="0.25">
      <c r="A1391" s="1"/>
      <c r="B1391" s="1"/>
      <c r="C1391" s="1"/>
      <c r="D1391" s="1"/>
      <c r="E1391" s="1"/>
    </row>
    <row r="1392" spans="1:5" x14ac:dyDescent="0.25">
      <c r="A1392" s="1"/>
      <c r="B1392" s="1"/>
      <c r="C1392" s="1"/>
      <c r="D1392" s="1"/>
      <c r="E1392" s="1"/>
    </row>
    <row r="1393" spans="1:5" x14ac:dyDescent="0.25">
      <c r="A1393" s="1"/>
      <c r="B1393" s="1"/>
      <c r="C1393" s="1"/>
      <c r="D1393" s="1"/>
      <c r="E1393" s="1"/>
    </row>
    <row r="1394" spans="1:5" x14ac:dyDescent="0.25">
      <c r="A1394" s="1"/>
      <c r="B1394" s="1"/>
      <c r="C1394" s="1"/>
      <c r="D1394" s="1"/>
      <c r="E1394" s="1"/>
    </row>
    <row r="1395" spans="1:5" x14ac:dyDescent="0.25">
      <c r="A1395" s="1"/>
      <c r="B1395" s="1"/>
      <c r="C1395" s="1"/>
      <c r="D1395" s="1"/>
      <c r="E1395" s="1"/>
    </row>
    <row r="1396" spans="1:5" x14ac:dyDescent="0.25">
      <c r="A1396" s="1"/>
      <c r="B1396" s="1"/>
      <c r="C1396" s="1"/>
      <c r="D1396" s="1"/>
      <c r="E1396" s="1"/>
    </row>
    <row r="1397" spans="1:5" x14ac:dyDescent="0.25">
      <c r="A1397" s="1"/>
      <c r="B1397" s="1"/>
      <c r="C1397" s="1"/>
      <c r="D1397" s="1"/>
      <c r="E1397" s="1"/>
    </row>
    <row r="1398" spans="1:5" x14ac:dyDescent="0.25">
      <c r="A1398" s="1"/>
      <c r="B1398" s="1"/>
      <c r="C1398" s="1"/>
      <c r="D1398" s="1"/>
      <c r="E1398" s="1"/>
    </row>
    <row r="1399" spans="1:5" x14ac:dyDescent="0.25">
      <c r="A1399" s="1"/>
      <c r="B1399" s="1"/>
      <c r="C1399" s="1"/>
      <c r="D1399" s="1"/>
      <c r="E1399" s="1"/>
    </row>
    <row r="1400" spans="1:5" x14ac:dyDescent="0.25">
      <c r="A1400" s="1"/>
      <c r="B1400" s="1"/>
      <c r="C1400" s="1"/>
      <c r="D1400" s="1"/>
      <c r="E1400" s="1"/>
    </row>
    <row r="1401" spans="1:5" x14ac:dyDescent="0.25">
      <c r="A1401" s="1"/>
      <c r="B1401" s="1"/>
      <c r="C1401" s="1"/>
      <c r="D1401" s="1"/>
      <c r="E1401" s="1"/>
    </row>
    <row r="1402" spans="1:5" x14ac:dyDescent="0.25">
      <c r="A1402" s="1"/>
      <c r="B1402" s="1"/>
      <c r="C1402" s="1"/>
      <c r="D1402" s="1"/>
      <c r="E1402" s="1"/>
    </row>
    <row r="1403" spans="1:5" x14ac:dyDescent="0.25">
      <c r="A1403" s="1"/>
      <c r="B1403" s="1"/>
      <c r="C1403" s="1"/>
      <c r="D1403" s="1"/>
      <c r="E1403" s="1"/>
    </row>
    <row r="1404" spans="1:5" x14ac:dyDescent="0.25">
      <c r="A1404" s="1"/>
      <c r="B1404" s="1"/>
      <c r="C1404" s="1"/>
      <c r="D1404" s="1"/>
      <c r="E1404" s="1"/>
    </row>
    <row r="1405" spans="1:5" x14ac:dyDescent="0.25">
      <c r="A1405" s="1"/>
      <c r="B1405" s="1"/>
      <c r="C1405" s="1"/>
      <c r="D1405" s="1"/>
      <c r="E1405" s="1"/>
    </row>
    <row r="1406" spans="1:5" x14ac:dyDescent="0.25">
      <c r="A1406" s="1"/>
      <c r="B1406" s="1"/>
      <c r="C1406" s="1"/>
      <c r="D1406" s="1"/>
      <c r="E1406" s="1"/>
    </row>
    <row r="1407" spans="1:5" x14ac:dyDescent="0.25">
      <c r="A1407" s="1"/>
      <c r="B1407" s="1"/>
      <c r="C1407" s="1"/>
      <c r="D1407" s="1"/>
      <c r="E1407" s="1"/>
    </row>
    <row r="1408" spans="1:5" x14ac:dyDescent="0.25">
      <c r="A1408" s="1"/>
      <c r="B1408" s="1"/>
      <c r="C1408" s="1"/>
      <c r="D1408" s="1"/>
      <c r="E1408" s="1"/>
    </row>
    <row r="1409" spans="1:5" x14ac:dyDescent="0.25">
      <c r="A1409" s="1"/>
      <c r="B1409" s="1"/>
      <c r="C1409" s="1"/>
      <c r="D1409" s="1"/>
      <c r="E1409" s="1"/>
    </row>
    <row r="1410" spans="1:5" x14ac:dyDescent="0.25">
      <c r="A1410" s="1"/>
      <c r="B1410" s="1"/>
      <c r="C1410" s="1"/>
      <c r="D1410" s="1"/>
      <c r="E1410" s="1"/>
    </row>
    <row r="1411" spans="1:5" x14ac:dyDescent="0.25">
      <c r="A1411" s="1"/>
      <c r="B1411" s="1"/>
      <c r="C1411" s="1"/>
      <c r="D1411" s="1"/>
      <c r="E1411" s="1"/>
    </row>
    <row r="1412" spans="1:5" x14ac:dyDescent="0.25">
      <c r="A1412" s="1"/>
      <c r="B1412" s="1"/>
      <c r="C1412" s="1"/>
      <c r="D1412" s="1"/>
      <c r="E1412" s="1"/>
    </row>
    <row r="1413" spans="1:5" x14ac:dyDescent="0.25">
      <c r="A1413" s="1"/>
      <c r="B1413" s="1"/>
      <c r="C1413" s="1"/>
      <c r="D1413" s="1"/>
      <c r="E1413" s="1"/>
    </row>
    <row r="1414" spans="1:5" x14ac:dyDescent="0.25">
      <c r="A1414" s="1"/>
      <c r="B1414" s="1"/>
      <c r="C1414" s="1"/>
      <c r="D1414" s="1"/>
      <c r="E1414" s="1"/>
    </row>
    <row r="1415" spans="1:5" x14ac:dyDescent="0.25">
      <c r="A1415" s="1"/>
      <c r="B1415" s="1"/>
      <c r="C1415" s="1"/>
      <c r="D1415" s="1"/>
      <c r="E1415" s="1"/>
    </row>
    <row r="1416" spans="1:5" x14ac:dyDescent="0.25">
      <c r="A1416" s="1"/>
      <c r="B1416" s="1"/>
      <c r="C1416" s="1"/>
      <c r="D1416" s="1"/>
      <c r="E1416" s="1"/>
    </row>
    <row r="1417" spans="1:5" x14ac:dyDescent="0.25">
      <c r="A1417" s="1"/>
      <c r="B1417" s="1"/>
      <c r="C1417" s="1"/>
      <c r="D1417" s="1"/>
      <c r="E1417" s="1"/>
    </row>
    <row r="1418" spans="1:5" x14ac:dyDescent="0.25">
      <c r="A1418" s="1"/>
      <c r="B1418" s="1"/>
      <c r="C1418" s="1"/>
      <c r="D1418" s="1"/>
      <c r="E1418" s="1"/>
    </row>
    <row r="1419" spans="1:5" x14ac:dyDescent="0.25">
      <c r="A1419" s="1"/>
      <c r="B1419" s="1"/>
      <c r="C1419" s="1"/>
      <c r="D1419" s="1"/>
      <c r="E1419" s="1"/>
    </row>
    <row r="1420" spans="1:5" x14ac:dyDescent="0.25">
      <c r="A1420" s="1"/>
      <c r="B1420" s="1"/>
      <c r="C1420" s="1"/>
      <c r="D1420" s="1"/>
      <c r="E1420" s="1"/>
    </row>
    <row r="1421" spans="1:5" x14ac:dyDescent="0.25">
      <c r="A1421" s="1"/>
      <c r="B1421" s="1"/>
      <c r="C1421" s="1"/>
      <c r="D1421" s="1"/>
      <c r="E1421" s="1"/>
    </row>
    <row r="1422" spans="1:5" x14ac:dyDescent="0.25">
      <c r="A1422" s="1"/>
      <c r="B1422" s="1"/>
      <c r="C1422" s="1"/>
      <c r="D1422" s="1"/>
      <c r="E1422" s="1"/>
    </row>
    <row r="1423" spans="1:5" x14ac:dyDescent="0.25">
      <c r="A1423" s="1"/>
      <c r="B1423" s="1"/>
      <c r="C1423" s="1"/>
      <c r="D1423" s="1"/>
      <c r="E1423" s="1"/>
    </row>
    <row r="1424" spans="1:5" x14ac:dyDescent="0.25">
      <c r="A1424" s="1"/>
      <c r="B1424" s="1"/>
      <c r="C1424" s="1"/>
      <c r="D1424" s="1"/>
      <c r="E1424" s="1"/>
    </row>
    <row r="1425" spans="1:5" x14ac:dyDescent="0.25">
      <c r="A1425" s="1"/>
      <c r="B1425" s="1"/>
      <c r="C1425" s="1"/>
      <c r="D1425" s="1"/>
      <c r="E1425" s="1"/>
    </row>
    <row r="1426" spans="1:5" x14ac:dyDescent="0.25">
      <c r="A1426" s="1"/>
      <c r="B1426" s="1"/>
      <c r="C1426" s="1"/>
      <c r="D1426" s="1"/>
      <c r="E1426" s="1"/>
    </row>
    <row r="1427" spans="1:5" x14ac:dyDescent="0.25">
      <c r="A1427" s="1"/>
      <c r="B1427" s="1"/>
      <c r="C1427" s="1"/>
      <c r="D1427" s="1"/>
      <c r="E1427" s="1"/>
    </row>
    <row r="1428" spans="1:5" x14ac:dyDescent="0.25">
      <c r="A1428" s="1"/>
      <c r="B1428" s="1"/>
      <c r="C1428" s="1"/>
      <c r="D1428" s="1"/>
      <c r="E1428" s="1"/>
    </row>
    <row r="1429" spans="1:5" x14ac:dyDescent="0.25">
      <c r="A1429" s="1"/>
      <c r="B1429" s="1"/>
      <c r="C1429" s="1"/>
      <c r="D1429" s="1"/>
      <c r="E1429" s="1"/>
    </row>
    <row r="1430" spans="1:5" x14ac:dyDescent="0.25">
      <c r="A1430" s="1"/>
      <c r="B1430" s="1"/>
      <c r="C1430" s="1"/>
      <c r="D1430" s="1"/>
      <c r="E1430" s="1"/>
    </row>
    <row r="1431" spans="1:5" x14ac:dyDescent="0.25">
      <c r="A1431" s="1"/>
      <c r="B1431" s="1"/>
      <c r="C1431" s="1"/>
      <c r="D1431" s="1"/>
      <c r="E1431" s="1"/>
    </row>
    <row r="1432" spans="1:5" x14ac:dyDescent="0.25">
      <c r="A1432" s="1"/>
      <c r="B1432" s="1"/>
      <c r="C1432" s="1"/>
      <c r="D1432" s="1"/>
      <c r="E1432" s="1"/>
    </row>
    <row r="1433" spans="1:5" x14ac:dyDescent="0.25">
      <c r="A1433" s="1"/>
      <c r="B1433" s="1"/>
      <c r="C1433" s="1"/>
      <c r="D1433" s="1"/>
      <c r="E1433" s="1"/>
    </row>
    <row r="1434" spans="1:5" x14ac:dyDescent="0.25">
      <c r="A1434" s="1"/>
      <c r="B1434" s="1"/>
      <c r="C1434" s="1"/>
      <c r="D1434" s="1"/>
      <c r="E1434" s="1"/>
    </row>
    <row r="1435" spans="1:5" x14ac:dyDescent="0.25">
      <c r="A1435" s="1"/>
      <c r="B1435" s="1"/>
      <c r="C1435" s="1"/>
      <c r="D1435" s="1"/>
      <c r="E1435" s="1"/>
    </row>
    <row r="1436" spans="1:5" x14ac:dyDescent="0.25">
      <c r="A1436" s="1"/>
      <c r="B1436" s="1"/>
      <c r="C1436" s="1"/>
      <c r="D1436" s="1"/>
      <c r="E1436" s="1"/>
    </row>
    <row r="1437" spans="1:5" x14ac:dyDescent="0.25">
      <c r="A1437" s="1"/>
      <c r="B1437" s="1"/>
      <c r="C1437" s="1"/>
      <c r="D1437" s="1"/>
      <c r="E1437" s="1"/>
    </row>
    <row r="1438" spans="1:5" x14ac:dyDescent="0.25">
      <c r="A1438" s="1"/>
      <c r="B1438" s="1"/>
      <c r="C1438" s="1"/>
      <c r="D1438" s="1"/>
      <c r="E1438" s="1"/>
    </row>
    <row r="1439" spans="1:5" x14ac:dyDescent="0.25">
      <c r="A1439" s="1"/>
      <c r="B1439" s="1"/>
      <c r="C1439" s="1"/>
      <c r="D1439" s="1"/>
      <c r="E1439" s="1"/>
    </row>
    <row r="1440" spans="1:5" x14ac:dyDescent="0.25">
      <c r="A1440" s="1"/>
      <c r="B1440" s="1"/>
      <c r="C1440" s="1"/>
      <c r="D1440" s="1"/>
      <c r="E1440" s="1"/>
    </row>
    <row r="1441" spans="1:5" x14ac:dyDescent="0.25">
      <c r="A1441" s="1"/>
      <c r="B1441" s="1"/>
      <c r="C1441" s="1"/>
      <c r="D1441" s="1"/>
      <c r="E1441" s="1"/>
    </row>
    <row r="1442" spans="1:5" x14ac:dyDescent="0.25">
      <c r="A1442" s="1"/>
      <c r="B1442" s="1"/>
      <c r="C1442" s="1"/>
      <c r="D1442" s="1"/>
      <c r="E1442" s="1"/>
    </row>
    <row r="1443" spans="1:5" x14ac:dyDescent="0.25">
      <c r="A1443" s="1"/>
      <c r="B1443" s="1"/>
      <c r="C1443" s="1"/>
      <c r="D1443" s="1"/>
      <c r="E1443" s="1"/>
    </row>
    <row r="1444" spans="1:5" x14ac:dyDescent="0.25">
      <c r="A1444" s="1"/>
      <c r="B1444" s="1"/>
      <c r="C1444" s="1"/>
      <c r="D1444" s="1"/>
      <c r="E1444" s="1"/>
    </row>
    <row r="1445" spans="1:5" x14ac:dyDescent="0.25">
      <c r="A1445" s="1"/>
      <c r="B1445" s="1"/>
      <c r="C1445" s="1"/>
      <c r="D1445" s="1"/>
      <c r="E1445" s="1"/>
    </row>
    <row r="1446" spans="1:5" x14ac:dyDescent="0.25">
      <c r="A1446" s="1"/>
      <c r="B1446" s="1"/>
      <c r="C1446" s="1"/>
      <c r="D1446" s="1"/>
      <c r="E1446" s="1"/>
    </row>
    <row r="1447" spans="1:5" x14ac:dyDescent="0.25">
      <c r="A1447" s="1"/>
      <c r="B1447" s="1"/>
      <c r="C1447" s="1"/>
      <c r="D1447" s="1"/>
      <c r="E1447" s="1"/>
    </row>
    <row r="1448" spans="1:5" x14ac:dyDescent="0.25">
      <c r="A1448" s="1"/>
      <c r="B1448" s="1"/>
      <c r="C1448" s="1"/>
      <c r="D1448" s="1"/>
      <c r="E1448" s="1"/>
    </row>
    <row r="1449" spans="1:5" x14ac:dyDescent="0.25">
      <c r="A1449" s="1"/>
      <c r="B1449" s="1"/>
      <c r="C1449" s="1"/>
      <c r="D1449" s="1"/>
      <c r="E1449" s="1"/>
    </row>
    <row r="1450" spans="1:5" x14ac:dyDescent="0.25">
      <c r="A1450" s="1"/>
      <c r="B1450" s="1"/>
      <c r="C1450" s="1"/>
      <c r="D1450" s="1"/>
      <c r="E1450" s="1"/>
    </row>
    <row r="1451" spans="1:5" x14ac:dyDescent="0.25">
      <c r="A1451" s="1"/>
      <c r="B1451" s="1"/>
      <c r="C1451" s="1"/>
      <c r="D1451" s="1"/>
      <c r="E1451" s="1"/>
    </row>
    <row r="1452" spans="1:5" x14ac:dyDescent="0.25">
      <c r="A1452" s="1"/>
      <c r="B1452" s="1"/>
      <c r="C1452" s="1"/>
      <c r="D1452" s="1"/>
      <c r="E1452" s="1"/>
    </row>
    <row r="1453" spans="1:5" x14ac:dyDescent="0.25">
      <c r="A1453" s="1"/>
      <c r="B1453" s="1"/>
      <c r="C1453" s="1"/>
      <c r="D1453" s="1"/>
      <c r="E1453" s="1"/>
    </row>
    <row r="1454" spans="1:5" x14ac:dyDescent="0.25">
      <c r="A1454" s="1"/>
      <c r="B1454" s="1"/>
      <c r="C1454" s="1"/>
      <c r="D1454" s="1"/>
      <c r="E1454" s="1"/>
    </row>
    <row r="1455" spans="1:5" x14ac:dyDescent="0.25">
      <c r="A1455" s="1"/>
      <c r="B1455" s="1"/>
      <c r="C1455" s="1"/>
      <c r="D1455" s="1"/>
      <c r="E1455" s="1"/>
    </row>
    <row r="1456" spans="1:5" x14ac:dyDescent="0.25">
      <c r="A1456" s="1"/>
      <c r="B1456" s="1"/>
      <c r="C1456" s="1"/>
      <c r="D1456" s="1"/>
      <c r="E1456" s="1"/>
    </row>
    <row r="1457" spans="1:5" x14ac:dyDescent="0.25">
      <c r="A1457" s="1"/>
      <c r="B1457" s="1"/>
      <c r="C1457" s="1"/>
      <c r="D1457" s="1"/>
      <c r="E1457" s="1"/>
    </row>
    <row r="1458" spans="1:5" x14ac:dyDescent="0.25">
      <c r="A1458" s="1"/>
      <c r="B1458" s="1"/>
      <c r="C1458" s="1"/>
      <c r="D1458" s="1"/>
      <c r="E1458" s="1"/>
    </row>
    <row r="1459" spans="1:5" x14ac:dyDescent="0.25">
      <c r="A1459" s="1"/>
      <c r="B1459" s="1"/>
      <c r="C1459" s="1"/>
      <c r="D1459" s="1"/>
      <c r="E1459" s="1"/>
    </row>
    <row r="1460" spans="1:5" x14ac:dyDescent="0.25">
      <c r="A1460" s="1"/>
      <c r="B1460" s="1"/>
      <c r="C1460" s="1"/>
      <c r="D1460" s="1"/>
      <c r="E1460" s="1"/>
    </row>
    <row r="1461" spans="1:5" x14ac:dyDescent="0.25">
      <c r="A1461" s="1"/>
      <c r="B1461" s="1"/>
      <c r="C1461" s="1"/>
      <c r="D1461" s="1"/>
      <c r="E1461" s="1"/>
    </row>
    <row r="1462" spans="1:5" x14ac:dyDescent="0.25">
      <c r="A1462" s="1"/>
      <c r="B1462" s="1"/>
      <c r="C1462" s="1"/>
      <c r="D1462" s="1"/>
      <c r="E1462" s="1"/>
    </row>
    <row r="1463" spans="1:5" x14ac:dyDescent="0.25">
      <c r="A1463" s="1"/>
      <c r="B1463" s="1"/>
      <c r="C1463" s="1"/>
      <c r="D1463" s="1"/>
      <c r="E1463" s="1"/>
    </row>
    <row r="1464" spans="1:5" x14ac:dyDescent="0.25">
      <c r="A1464" s="1"/>
      <c r="B1464" s="1"/>
      <c r="C1464" s="1"/>
      <c r="D1464" s="1"/>
      <c r="E1464" s="1"/>
    </row>
    <row r="1465" spans="1:5" x14ac:dyDescent="0.25">
      <c r="A1465" s="1"/>
      <c r="B1465" s="1"/>
      <c r="C1465" s="1"/>
      <c r="D1465" s="1"/>
      <c r="E1465" s="1"/>
    </row>
    <row r="1466" spans="1:5" x14ac:dyDescent="0.25">
      <c r="A1466" s="1"/>
      <c r="B1466" s="1"/>
      <c r="C1466" s="1"/>
      <c r="D1466" s="1"/>
      <c r="E1466" s="1"/>
    </row>
    <row r="1467" spans="1:5" x14ac:dyDescent="0.25">
      <c r="A1467" s="1"/>
      <c r="B1467" s="1"/>
      <c r="C1467" s="1"/>
      <c r="D1467" s="1"/>
      <c r="E1467" s="1"/>
    </row>
    <row r="1468" spans="1:5" x14ac:dyDescent="0.25">
      <c r="A1468" s="1"/>
      <c r="B1468" s="1"/>
      <c r="C1468" s="1"/>
      <c r="D1468" s="1"/>
      <c r="E1468" s="1"/>
    </row>
    <row r="1469" spans="1:5" x14ac:dyDescent="0.25">
      <c r="A1469" s="1"/>
      <c r="B1469" s="1"/>
      <c r="C1469" s="1"/>
      <c r="D1469" s="1"/>
      <c r="E1469" s="1"/>
    </row>
    <row r="1470" spans="1:5" x14ac:dyDescent="0.25">
      <c r="A1470" s="1"/>
      <c r="B1470" s="1"/>
      <c r="C1470" s="1"/>
      <c r="D1470" s="1"/>
      <c r="E1470" s="1"/>
    </row>
    <row r="1471" spans="1:5" x14ac:dyDescent="0.25">
      <c r="A1471" s="1"/>
      <c r="B1471" s="1"/>
      <c r="C1471" s="1"/>
      <c r="D1471" s="1"/>
      <c r="E1471" s="1"/>
    </row>
    <row r="1472" spans="1:5" x14ac:dyDescent="0.25">
      <c r="A1472" s="1"/>
      <c r="B1472" s="1"/>
      <c r="C1472" s="1"/>
      <c r="D1472" s="1"/>
      <c r="E1472" s="1"/>
    </row>
    <row r="1473" spans="1:5" x14ac:dyDescent="0.25">
      <c r="A1473" s="1"/>
      <c r="B1473" s="1"/>
      <c r="C1473" s="1"/>
      <c r="D1473" s="1"/>
      <c r="E1473" s="1"/>
    </row>
    <row r="1474" spans="1:5" x14ac:dyDescent="0.25">
      <c r="A1474" s="1"/>
      <c r="B1474" s="1"/>
      <c r="C1474" s="1"/>
      <c r="D1474" s="1"/>
      <c r="E1474" s="1"/>
    </row>
    <row r="1475" spans="1:5" x14ac:dyDescent="0.25">
      <c r="A1475" s="1"/>
      <c r="B1475" s="1"/>
      <c r="C1475" s="1"/>
      <c r="D1475" s="1"/>
      <c r="E1475" s="1"/>
    </row>
    <row r="1476" spans="1:5" x14ac:dyDescent="0.25">
      <c r="A1476" s="1"/>
      <c r="B1476" s="1"/>
      <c r="C1476" s="1"/>
      <c r="D1476" s="1"/>
      <c r="E1476" s="1"/>
    </row>
    <row r="1477" spans="1:5" x14ac:dyDescent="0.25">
      <c r="A1477" s="1"/>
      <c r="B1477" s="1"/>
      <c r="C1477" s="1"/>
      <c r="D1477" s="1"/>
      <c r="E1477" s="1"/>
    </row>
    <row r="1478" spans="1:5" x14ac:dyDescent="0.25">
      <c r="A1478" s="1"/>
      <c r="B1478" s="1"/>
      <c r="C1478" s="1"/>
      <c r="D1478" s="1"/>
      <c r="E1478" s="1"/>
    </row>
    <row r="1479" spans="1:5" x14ac:dyDescent="0.25">
      <c r="A1479" s="1"/>
      <c r="B1479" s="1"/>
      <c r="C1479" s="1"/>
      <c r="D1479" s="1"/>
      <c r="E1479" s="1"/>
    </row>
    <row r="1480" spans="1:5" x14ac:dyDescent="0.25">
      <c r="A1480" s="1"/>
      <c r="B1480" s="1"/>
      <c r="C1480" s="1"/>
      <c r="D1480" s="1"/>
      <c r="E1480" s="1"/>
    </row>
    <row r="1481" spans="1:5" x14ac:dyDescent="0.25">
      <c r="A1481" s="1"/>
      <c r="B1481" s="1"/>
      <c r="C1481" s="1"/>
      <c r="D1481" s="1"/>
      <c r="E1481" s="1"/>
    </row>
    <row r="1482" spans="1:5" x14ac:dyDescent="0.25">
      <c r="A1482" s="1"/>
      <c r="B1482" s="1"/>
      <c r="C1482" s="1"/>
      <c r="D1482" s="1"/>
      <c r="E1482" s="1"/>
    </row>
    <row r="1483" spans="1:5" x14ac:dyDescent="0.25">
      <c r="A1483" s="1"/>
      <c r="B1483" s="1"/>
      <c r="C1483" s="1"/>
      <c r="D1483" s="1"/>
      <c r="E1483" s="1"/>
    </row>
    <row r="1484" spans="1:5" x14ac:dyDescent="0.25">
      <c r="A1484" s="1"/>
      <c r="B1484" s="1"/>
      <c r="C1484" s="1"/>
      <c r="D1484" s="1"/>
      <c r="E1484" s="1"/>
    </row>
    <row r="1485" spans="1:5" x14ac:dyDescent="0.25">
      <c r="A1485" s="1"/>
      <c r="B1485" s="1"/>
      <c r="C1485" s="1"/>
      <c r="D1485" s="1"/>
      <c r="E1485" s="1"/>
    </row>
    <row r="1486" spans="1:5" x14ac:dyDescent="0.25">
      <c r="A1486" s="1"/>
      <c r="B1486" s="1"/>
      <c r="C1486" s="1"/>
      <c r="D1486" s="1"/>
      <c r="E1486" s="1"/>
    </row>
    <row r="1487" spans="1:5" x14ac:dyDescent="0.25">
      <c r="A1487" s="1"/>
      <c r="B1487" s="1"/>
      <c r="C1487" s="1"/>
      <c r="D1487" s="1"/>
      <c r="E1487" s="1"/>
    </row>
    <row r="1488" spans="1:5" x14ac:dyDescent="0.25">
      <c r="A1488" s="1"/>
      <c r="B1488" s="1"/>
      <c r="C1488" s="1"/>
      <c r="D1488" s="1"/>
      <c r="E1488" s="1"/>
    </row>
    <row r="1489" spans="1:5" x14ac:dyDescent="0.25">
      <c r="A1489" s="1"/>
      <c r="B1489" s="1"/>
      <c r="C1489" s="1"/>
      <c r="D1489" s="1"/>
      <c r="E1489" s="1"/>
    </row>
    <row r="1490" spans="1:5" x14ac:dyDescent="0.25">
      <c r="A1490" s="1"/>
      <c r="B1490" s="1"/>
      <c r="C1490" s="1"/>
      <c r="D1490" s="1"/>
      <c r="E1490" s="1"/>
    </row>
    <row r="1491" spans="1:5" x14ac:dyDescent="0.25">
      <c r="A1491" s="1"/>
      <c r="B1491" s="1"/>
      <c r="C1491" s="1"/>
      <c r="D1491" s="1"/>
      <c r="E1491" s="1"/>
    </row>
    <row r="1492" spans="1:5" x14ac:dyDescent="0.25">
      <c r="A1492" s="1"/>
      <c r="B1492" s="1"/>
      <c r="C1492" s="1"/>
      <c r="D1492" s="1"/>
      <c r="E1492" s="1"/>
    </row>
    <row r="1493" spans="1:5" x14ac:dyDescent="0.25">
      <c r="A1493" s="1"/>
      <c r="B1493" s="1"/>
      <c r="C1493" s="1"/>
      <c r="D1493" s="1"/>
      <c r="E1493" s="1"/>
    </row>
    <row r="1494" spans="1:5" x14ac:dyDescent="0.25">
      <c r="A1494" s="1"/>
      <c r="B1494" s="1"/>
      <c r="C1494" s="1"/>
      <c r="D1494" s="1"/>
      <c r="E1494" s="1"/>
    </row>
    <row r="1495" spans="1:5" x14ac:dyDescent="0.25">
      <c r="A1495" s="1"/>
      <c r="B1495" s="1"/>
      <c r="C1495" s="1"/>
      <c r="D1495" s="1"/>
      <c r="E1495" s="1"/>
    </row>
    <row r="1496" spans="1:5" x14ac:dyDescent="0.25">
      <c r="A1496" s="1"/>
      <c r="B1496" s="1"/>
      <c r="C1496" s="1"/>
      <c r="D1496" s="1"/>
      <c r="E1496" s="1"/>
    </row>
    <row r="1497" spans="1:5" x14ac:dyDescent="0.25">
      <c r="A1497" s="1"/>
      <c r="B1497" s="1"/>
      <c r="C1497" s="1"/>
      <c r="D1497" s="1"/>
      <c r="E1497" s="1"/>
    </row>
    <row r="1498" spans="1:5" x14ac:dyDescent="0.25">
      <c r="A1498" s="1"/>
      <c r="B1498" s="1"/>
      <c r="C1498" s="1"/>
      <c r="D1498" s="1"/>
      <c r="E1498" s="1"/>
    </row>
    <row r="1499" spans="1:5" x14ac:dyDescent="0.25">
      <c r="A1499" s="1"/>
      <c r="B1499" s="1"/>
      <c r="C1499" s="1"/>
      <c r="D1499" s="1"/>
      <c r="E1499" s="1"/>
    </row>
    <row r="1500" spans="1:5" x14ac:dyDescent="0.25">
      <c r="A1500" s="1"/>
      <c r="B1500" s="1"/>
      <c r="C1500" s="1"/>
      <c r="D1500" s="1"/>
      <c r="E1500" s="1"/>
    </row>
    <row r="1501" spans="1:5" x14ac:dyDescent="0.25">
      <c r="A1501" s="1"/>
      <c r="B1501" s="1"/>
      <c r="C1501" s="1"/>
      <c r="D1501" s="1"/>
      <c r="E1501" s="1"/>
    </row>
    <row r="1502" spans="1:5" x14ac:dyDescent="0.25">
      <c r="A1502" s="1"/>
      <c r="B1502" s="1"/>
      <c r="C1502" s="1"/>
      <c r="D1502" s="1"/>
      <c r="E1502" s="1"/>
    </row>
    <row r="1503" spans="1:5" x14ac:dyDescent="0.25">
      <c r="A1503" s="1"/>
      <c r="B1503" s="1"/>
      <c r="C1503" s="1"/>
      <c r="D1503" s="1"/>
      <c r="E1503" s="1"/>
    </row>
    <row r="1504" spans="1:5" x14ac:dyDescent="0.25">
      <c r="A1504" s="1"/>
      <c r="B1504" s="1"/>
      <c r="C1504" s="1"/>
      <c r="D1504" s="1"/>
      <c r="E1504" s="1"/>
    </row>
    <row r="1505" spans="1:5" x14ac:dyDescent="0.25">
      <c r="A1505" s="1"/>
      <c r="B1505" s="1"/>
      <c r="C1505" s="1"/>
      <c r="D1505" s="1"/>
      <c r="E1505" s="1"/>
    </row>
    <row r="1506" spans="1:5" x14ac:dyDescent="0.25">
      <c r="A1506" s="1"/>
      <c r="B1506" s="1"/>
      <c r="C1506" s="1"/>
      <c r="D1506" s="1"/>
      <c r="E1506" s="1"/>
    </row>
    <row r="1507" spans="1:5" x14ac:dyDescent="0.25">
      <c r="A1507" s="1"/>
      <c r="B1507" s="1"/>
      <c r="C1507" s="1"/>
      <c r="D1507" s="1"/>
      <c r="E1507" s="1"/>
    </row>
    <row r="1508" spans="1:5" x14ac:dyDescent="0.25">
      <c r="A1508" s="1"/>
      <c r="B1508" s="1"/>
      <c r="C1508" s="1"/>
      <c r="D1508" s="1"/>
      <c r="E1508" s="1"/>
    </row>
    <row r="1509" spans="1:5" x14ac:dyDescent="0.25">
      <c r="A1509" s="1"/>
      <c r="B1509" s="1"/>
      <c r="C1509" s="1"/>
      <c r="D1509" s="1"/>
      <c r="E1509" s="1"/>
    </row>
    <row r="1510" spans="1:5" x14ac:dyDescent="0.25">
      <c r="A1510" s="1"/>
      <c r="B1510" s="1"/>
      <c r="C1510" s="1"/>
      <c r="D1510" s="1"/>
      <c r="E1510" s="1"/>
    </row>
    <row r="1511" spans="1:5" x14ac:dyDescent="0.25">
      <c r="A1511" s="1"/>
      <c r="B1511" s="1"/>
      <c r="C1511" s="1"/>
      <c r="D1511" s="1"/>
      <c r="E1511" s="1"/>
    </row>
    <row r="1512" spans="1:5" x14ac:dyDescent="0.25">
      <c r="A1512" s="1"/>
      <c r="B1512" s="1"/>
      <c r="C1512" s="1"/>
      <c r="D1512" s="1"/>
      <c r="E1512" s="1"/>
    </row>
    <row r="1513" spans="1:5" x14ac:dyDescent="0.25">
      <c r="A1513" s="1"/>
      <c r="B1513" s="1"/>
      <c r="C1513" s="1"/>
      <c r="D1513" s="1"/>
      <c r="E1513" s="1"/>
    </row>
    <row r="1514" spans="1:5" x14ac:dyDescent="0.25">
      <c r="A1514" s="1"/>
      <c r="B1514" s="1"/>
      <c r="C1514" s="1"/>
      <c r="D1514" s="1"/>
      <c r="E1514" s="1"/>
    </row>
    <row r="1515" spans="1:5" x14ac:dyDescent="0.25">
      <c r="A1515" s="1"/>
      <c r="B1515" s="1"/>
      <c r="C1515" s="1"/>
      <c r="D1515" s="1"/>
      <c r="E1515" s="1"/>
    </row>
    <row r="1516" spans="1:5" x14ac:dyDescent="0.25">
      <c r="A1516" s="1"/>
      <c r="B1516" s="1"/>
      <c r="C1516" s="1"/>
      <c r="D1516" s="1"/>
      <c r="E1516" s="1"/>
    </row>
    <row r="1517" spans="1:5" x14ac:dyDescent="0.25">
      <c r="A1517" s="1"/>
      <c r="B1517" s="1"/>
      <c r="C1517" s="1"/>
      <c r="D1517" s="1"/>
      <c r="E1517" s="1"/>
    </row>
    <row r="1518" spans="1:5" x14ac:dyDescent="0.25">
      <c r="A1518" s="1"/>
      <c r="B1518" s="1"/>
      <c r="C1518" s="1"/>
      <c r="D1518" s="1"/>
      <c r="E1518" s="1"/>
    </row>
    <row r="1519" spans="1:5" x14ac:dyDescent="0.25">
      <c r="A1519" s="1"/>
      <c r="B1519" s="1"/>
      <c r="C1519" s="1"/>
      <c r="D1519" s="1"/>
      <c r="E1519" s="1"/>
    </row>
    <row r="1520" spans="1:5" x14ac:dyDescent="0.25">
      <c r="A1520" s="1"/>
      <c r="B1520" s="1"/>
      <c r="C1520" s="1"/>
      <c r="D1520" s="1"/>
      <c r="E1520" s="1"/>
    </row>
    <row r="1521" spans="1:5" x14ac:dyDescent="0.25">
      <c r="A1521" s="1"/>
      <c r="B1521" s="1"/>
      <c r="C1521" s="1"/>
      <c r="D1521" s="1"/>
      <c r="E1521" s="1"/>
    </row>
    <row r="1522" spans="1:5" x14ac:dyDescent="0.25">
      <c r="A1522" s="1"/>
      <c r="B1522" s="1"/>
      <c r="C1522" s="1"/>
      <c r="D1522" s="1"/>
      <c r="E1522" s="1"/>
    </row>
    <row r="1523" spans="1:5" x14ac:dyDescent="0.25">
      <c r="A1523" s="1"/>
      <c r="B1523" s="1"/>
      <c r="C1523" s="1"/>
      <c r="D1523" s="1"/>
      <c r="E1523" s="1"/>
    </row>
    <row r="1524" spans="1:5" x14ac:dyDescent="0.25">
      <c r="A1524" s="1"/>
      <c r="B1524" s="1"/>
      <c r="C1524" s="1"/>
      <c r="D1524" s="1"/>
      <c r="E1524" s="1"/>
    </row>
    <row r="1525" spans="1:5" x14ac:dyDescent="0.25">
      <c r="A1525" s="1"/>
      <c r="B1525" s="1"/>
      <c r="C1525" s="1"/>
      <c r="D1525" s="1"/>
      <c r="E1525" s="1"/>
    </row>
    <row r="1526" spans="1:5" x14ac:dyDescent="0.25">
      <c r="A1526" s="1"/>
      <c r="B1526" s="1"/>
      <c r="C1526" s="1"/>
      <c r="D1526" s="1"/>
      <c r="E1526" s="1"/>
    </row>
    <row r="1527" spans="1:5" x14ac:dyDescent="0.25">
      <c r="A1527" s="1"/>
      <c r="B1527" s="1"/>
      <c r="C1527" s="1"/>
      <c r="D1527" s="1"/>
      <c r="E1527" s="1"/>
    </row>
    <row r="1528" spans="1:5" x14ac:dyDescent="0.25">
      <c r="A1528" s="1"/>
      <c r="B1528" s="1"/>
      <c r="C1528" s="1"/>
      <c r="D1528" s="1"/>
      <c r="E1528" s="1"/>
    </row>
    <row r="1529" spans="1:5" x14ac:dyDescent="0.25">
      <c r="A1529" s="1"/>
      <c r="B1529" s="1"/>
      <c r="C1529" s="1"/>
      <c r="D1529" s="1"/>
      <c r="E1529" s="1"/>
    </row>
    <row r="1530" spans="1:5" x14ac:dyDescent="0.25">
      <c r="A1530" s="1"/>
      <c r="B1530" s="1"/>
      <c r="C1530" s="1"/>
      <c r="D1530" s="1"/>
      <c r="E1530" s="1"/>
    </row>
    <row r="1531" spans="1:5" x14ac:dyDescent="0.25">
      <c r="A1531" s="1"/>
      <c r="B1531" s="1"/>
      <c r="C1531" s="1"/>
      <c r="D1531" s="1"/>
      <c r="E1531" s="1"/>
    </row>
    <row r="1532" spans="1:5" x14ac:dyDescent="0.25">
      <c r="A1532" s="1"/>
      <c r="B1532" s="1"/>
      <c r="C1532" s="1"/>
      <c r="D1532" s="1"/>
      <c r="E1532" s="1"/>
    </row>
    <row r="1533" spans="1:5" x14ac:dyDescent="0.25">
      <c r="A1533" s="1"/>
      <c r="B1533" s="1"/>
      <c r="C1533" s="1"/>
      <c r="D1533" s="1"/>
      <c r="E1533" s="1"/>
    </row>
    <row r="1534" spans="1:5" x14ac:dyDescent="0.25">
      <c r="A1534" s="1"/>
      <c r="B1534" s="1"/>
      <c r="C1534" s="1"/>
      <c r="D1534" s="1"/>
      <c r="E1534" s="1"/>
    </row>
    <row r="1535" spans="1:5" x14ac:dyDescent="0.25">
      <c r="A1535" s="1"/>
      <c r="B1535" s="1"/>
      <c r="C1535" s="1"/>
      <c r="D1535" s="1"/>
      <c r="E1535" s="1"/>
    </row>
    <row r="1536" spans="1:5" x14ac:dyDescent="0.25">
      <c r="A1536" s="1"/>
      <c r="B1536" s="1"/>
      <c r="C1536" s="1"/>
      <c r="D1536" s="1"/>
      <c r="E1536" s="1"/>
    </row>
    <row r="1537" spans="1:5" x14ac:dyDescent="0.25">
      <c r="A1537" s="1"/>
      <c r="B1537" s="1"/>
      <c r="C1537" s="1"/>
      <c r="D1537" s="1"/>
      <c r="E1537" s="1"/>
    </row>
    <row r="1538" spans="1:5" x14ac:dyDescent="0.25">
      <c r="A1538" s="1"/>
      <c r="B1538" s="1"/>
      <c r="C1538" s="1"/>
      <c r="D1538" s="1"/>
      <c r="E1538" s="1"/>
    </row>
    <row r="1539" spans="1:5" x14ac:dyDescent="0.25">
      <c r="A1539" s="1"/>
      <c r="B1539" s="1"/>
      <c r="C1539" s="1"/>
      <c r="D1539" s="1"/>
      <c r="E1539" s="1"/>
    </row>
    <row r="1540" spans="1:5" x14ac:dyDescent="0.25">
      <c r="A1540" s="1"/>
      <c r="B1540" s="1"/>
      <c r="C1540" s="1"/>
      <c r="D1540" s="1"/>
      <c r="E1540" s="1"/>
    </row>
    <row r="1541" spans="1:5" x14ac:dyDescent="0.25">
      <c r="A1541" s="1"/>
      <c r="B1541" s="1"/>
      <c r="C1541" s="1"/>
      <c r="D1541" s="1"/>
      <c r="E1541" s="1"/>
    </row>
    <row r="1542" spans="1:5" x14ac:dyDescent="0.25">
      <c r="A1542" s="1"/>
      <c r="B1542" s="1"/>
      <c r="C1542" s="1"/>
      <c r="D1542" s="1"/>
      <c r="E1542" s="1"/>
    </row>
    <row r="1543" spans="1:5" x14ac:dyDescent="0.25">
      <c r="A1543" s="1"/>
      <c r="B1543" s="1"/>
      <c r="C1543" s="1"/>
      <c r="D1543" s="1"/>
      <c r="E1543" s="1"/>
    </row>
    <row r="1544" spans="1:5" x14ac:dyDescent="0.25">
      <c r="A1544" s="1"/>
      <c r="B1544" s="1"/>
      <c r="C1544" s="1"/>
      <c r="D1544" s="1"/>
      <c r="E1544" s="1"/>
    </row>
    <row r="1545" spans="1:5" x14ac:dyDescent="0.25">
      <c r="A1545" s="1"/>
      <c r="B1545" s="1"/>
      <c r="C1545" s="1"/>
      <c r="D1545" s="1"/>
      <c r="E1545" s="1"/>
    </row>
    <row r="1546" spans="1:5" x14ac:dyDescent="0.25">
      <c r="A1546" s="1"/>
      <c r="B1546" s="1"/>
      <c r="C1546" s="1"/>
      <c r="D1546" s="1"/>
      <c r="E1546" s="1"/>
    </row>
    <row r="1547" spans="1:5" x14ac:dyDescent="0.25">
      <c r="A1547" s="1"/>
      <c r="B1547" s="1"/>
      <c r="C1547" s="1"/>
      <c r="D1547" s="1"/>
      <c r="E1547" s="1"/>
    </row>
    <row r="1548" spans="1:5" x14ac:dyDescent="0.25">
      <c r="A1548" s="1"/>
      <c r="B1548" s="1"/>
      <c r="C1548" s="1"/>
      <c r="D1548" s="1"/>
      <c r="E1548" s="1"/>
    </row>
    <row r="1549" spans="1:5" x14ac:dyDescent="0.25">
      <c r="A1549" s="1"/>
      <c r="B1549" s="1"/>
      <c r="C1549" s="1"/>
      <c r="D1549" s="1"/>
      <c r="E1549" s="1"/>
    </row>
    <row r="1550" spans="1:5" x14ac:dyDescent="0.25">
      <c r="A1550" s="1"/>
      <c r="B1550" s="1"/>
      <c r="C1550" s="1"/>
      <c r="D1550" s="1"/>
      <c r="E1550" s="1"/>
    </row>
    <row r="1551" spans="1:5" x14ac:dyDescent="0.25">
      <c r="A1551" s="1"/>
      <c r="B1551" s="1"/>
      <c r="C1551" s="1"/>
      <c r="D1551" s="1"/>
      <c r="E1551" s="1"/>
    </row>
    <row r="1552" spans="1:5" x14ac:dyDescent="0.25">
      <c r="A1552" s="1"/>
      <c r="B1552" s="1"/>
      <c r="C1552" s="1"/>
      <c r="D1552" s="1"/>
      <c r="E1552" s="1"/>
    </row>
    <row r="1553" spans="1:5" x14ac:dyDescent="0.25">
      <c r="A1553" s="1"/>
      <c r="B1553" s="1"/>
      <c r="C1553" s="1"/>
      <c r="D1553" s="1"/>
      <c r="E1553" s="1"/>
    </row>
    <row r="1554" spans="1:5" x14ac:dyDescent="0.25">
      <c r="A1554" s="1"/>
      <c r="B1554" s="1"/>
      <c r="C1554" s="1"/>
      <c r="D1554" s="1"/>
      <c r="E1554" s="1"/>
    </row>
    <row r="1555" spans="1:5" x14ac:dyDescent="0.25">
      <c r="A1555" s="1"/>
      <c r="B1555" s="1"/>
      <c r="C1555" s="1"/>
      <c r="D1555" s="1"/>
      <c r="E1555" s="1"/>
    </row>
    <row r="1556" spans="1:5" x14ac:dyDescent="0.25">
      <c r="A1556" s="1"/>
      <c r="B1556" s="1"/>
      <c r="C1556" s="1"/>
      <c r="D1556" s="1"/>
      <c r="E1556" s="1"/>
    </row>
    <row r="1557" spans="1:5" x14ac:dyDescent="0.25">
      <c r="A1557" s="1"/>
      <c r="B1557" s="1"/>
      <c r="C1557" s="1"/>
      <c r="D1557" s="1"/>
      <c r="E1557" s="1"/>
    </row>
    <row r="1558" spans="1:5" x14ac:dyDescent="0.25">
      <c r="A1558" s="1"/>
      <c r="B1558" s="1"/>
      <c r="C1558" s="1"/>
      <c r="D1558" s="1"/>
      <c r="E1558" s="1"/>
    </row>
    <row r="1559" spans="1:5" x14ac:dyDescent="0.25">
      <c r="A1559" s="1"/>
      <c r="B1559" s="1"/>
      <c r="C1559" s="1"/>
      <c r="D1559" s="1"/>
      <c r="E1559" s="1"/>
    </row>
    <row r="1560" spans="1:5" x14ac:dyDescent="0.25">
      <c r="A1560" s="1"/>
      <c r="B1560" s="1"/>
      <c r="C1560" s="1"/>
      <c r="D1560" s="1"/>
      <c r="E1560" s="1"/>
    </row>
    <row r="1561" spans="1:5" x14ac:dyDescent="0.25">
      <c r="A1561" s="1"/>
      <c r="B1561" s="1"/>
      <c r="C1561" s="1"/>
      <c r="D1561" s="1"/>
      <c r="E1561" s="1"/>
    </row>
    <row r="1562" spans="1:5" x14ac:dyDescent="0.25">
      <c r="A1562" s="1"/>
      <c r="B1562" s="1"/>
      <c r="C1562" s="1"/>
      <c r="D1562" s="1"/>
      <c r="E1562" s="1"/>
    </row>
    <row r="1563" spans="1:5" x14ac:dyDescent="0.25">
      <c r="A1563" s="1"/>
      <c r="B1563" s="1"/>
      <c r="C1563" s="1"/>
      <c r="D1563" s="1"/>
      <c r="E1563" s="1"/>
    </row>
    <row r="1564" spans="1:5" x14ac:dyDescent="0.25">
      <c r="A1564" s="1"/>
      <c r="B1564" s="1"/>
      <c r="C1564" s="1"/>
      <c r="D1564" s="1"/>
      <c r="E1564" s="1"/>
    </row>
    <row r="1565" spans="1:5" x14ac:dyDescent="0.25">
      <c r="A1565" s="1"/>
      <c r="B1565" s="1"/>
      <c r="C1565" s="1"/>
      <c r="D1565" s="1"/>
      <c r="E1565" s="1"/>
    </row>
    <row r="1566" spans="1:5" x14ac:dyDescent="0.25">
      <c r="A1566" s="1"/>
      <c r="B1566" s="1"/>
      <c r="C1566" s="1"/>
      <c r="D1566" s="1"/>
      <c r="E1566" s="1"/>
    </row>
    <row r="1567" spans="1:5" x14ac:dyDescent="0.25">
      <c r="A1567" s="1"/>
      <c r="B1567" s="1"/>
      <c r="C1567" s="1"/>
      <c r="D1567" s="1"/>
      <c r="E1567" s="1"/>
    </row>
    <row r="1568" spans="1:5" x14ac:dyDescent="0.25">
      <c r="A1568" s="1"/>
      <c r="B1568" s="1"/>
      <c r="C1568" s="1"/>
      <c r="D1568" s="1"/>
      <c r="E1568" s="1"/>
    </row>
    <row r="1569" spans="1:5" x14ac:dyDescent="0.25">
      <c r="A1569" s="1"/>
      <c r="B1569" s="1"/>
      <c r="C1569" s="1"/>
      <c r="D1569" s="1"/>
      <c r="E1569" s="1"/>
    </row>
    <row r="1570" spans="1:5" x14ac:dyDescent="0.25">
      <c r="A1570" s="1"/>
      <c r="B1570" s="1"/>
      <c r="C1570" s="1"/>
      <c r="D1570" s="1"/>
      <c r="E1570" s="1"/>
    </row>
    <row r="1571" spans="1:5" x14ac:dyDescent="0.25">
      <c r="A1571" s="1"/>
      <c r="B1571" s="1"/>
      <c r="C1571" s="1"/>
      <c r="D1571" s="1"/>
      <c r="E1571" s="1"/>
    </row>
    <row r="1572" spans="1:5" x14ac:dyDescent="0.25">
      <c r="A1572" s="1"/>
      <c r="B1572" s="1"/>
      <c r="C1572" s="1"/>
      <c r="D1572" s="1"/>
      <c r="E1572" s="1"/>
    </row>
    <row r="1573" spans="1:5" x14ac:dyDescent="0.25">
      <c r="A1573" s="1"/>
      <c r="B1573" s="1"/>
      <c r="C1573" s="1"/>
      <c r="D1573" s="1"/>
      <c r="E1573" s="1"/>
    </row>
    <row r="1574" spans="1:5" x14ac:dyDescent="0.25">
      <c r="A1574" s="1"/>
      <c r="B1574" s="1"/>
      <c r="C1574" s="1"/>
      <c r="D1574" s="1"/>
      <c r="E1574" s="1"/>
    </row>
    <row r="1575" spans="1:5" x14ac:dyDescent="0.25">
      <c r="A1575" s="1"/>
      <c r="B1575" s="1"/>
      <c r="C1575" s="1"/>
      <c r="D1575" s="1"/>
      <c r="E1575" s="1"/>
    </row>
    <row r="1576" spans="1:5" x14ac:dyDescent="0.25">
      <c r="A1576" s="1"/>
      <c r="B1576" s="1"/>
      <c r="C1576" s="1"/>
      <c r="D1576" s="1"/>
      <c r="E1576" s="1"/>
    </row>
    <row r="1577" spans="1:5" x14ac:dyDescent="0.25">
      <c r="A1577" s="1"/>
      <c r="B1577" s="1"/>
      <c r="C1577" s="1"/>
      <c r="D1577" s="1"/>
      <c r="E1577" s="1"/>
    </row>
    <row r="1578" spans="1:5" x14ac:dyDescent="0.25">
      <c r="A1578" s="1"/>
      <c r="B1578" s="1"/>
      <c r="C1578" s="1"/>
      <c r="D1578" s="1"/>
      <c r="E1578" s="1"/>
    </row>
    <row r="1579" spans="1:5" x14ac:dyDescent="0.25">
      <c r="A1579" s="1"/>
      <c r="B1579" s="1"/>
      <c r="C1579" s="1"/>
      <c r="D1579" s="1"/>
      <c r="E1579" s="1"/>
    </row>
    <row r="1580" spans="1:5" x14ac:dyDescent="0.25">
      <c r="A1580" s="1"/>
      <c r="B1580" s="1"/>
      <c r="C1580" s="1"/>
      <c r="D1580" s="1"/>
      <c r="E1580" s="1"/>
    </row>
    <row r="1581" spans="1:5" x14ac:dyDescent="0.25">
      <c r="A1581" s="1"/>
      <c r="B1581" s="1"/>
      <c r="C1581" s="1"/>
      <c r="D1581" s="1"/>
      <c r="E1581" s="1"/>
    </row>
    <row r="1582" spans="1:5" x14ac:dyDescent="0.25">
      <c r="A1582" s="1"/>
      <c r="B1582" s="1"/>
      <c r="C1582" s="1"/>
      <c r="D1582" s="1"/>
      <c r="E1582" s="1"/>
    </row>
    <row r="1583" spans="1:5" x14ac:dyDescent="0.25">
      <c r="A1583" s="1"/>
      <c r="B1583" s="1"/>
      <c r="C1583" s="1"/>
      <c r="D1583" s="1"/>
      <c r="E1583" s="1"/>
    </row>
    <row r="1584" spans="1:5" x14ac:dyDescent="0.25">
      <c r="A1584" s="1"/>
      <c r="B1584" s="1"/>
      <c r="C1584" s="1"/>
      <c r="D1584" s="1"/>
      <c r="E1584" s="1"/>
    </row>
    <row r="1585" spans="1:5" x14ac:dyDescent="0.25">
      <c r="A1585" s="1"/>
      <c r="B1585" s="1"/>
      <c r="C1585" s="1"/>
      <c r="D1585" s="1"/>
      <c r="E1585" s="1"/>
    </row>
    <row r="1586" spans="1:5" x14ac:dyDescent="0.25">
      <c r="A1586" s="1"/>
      <c r="B1586" s="1"/>
      <c r="C1586" s="1"/>
      <c r="D1586" s="1"/>
      <c r="E1586" s="1"/>
    </row>
    <row r="1587" spans="1:5" x14ac:dyDescent="0.25">
      <c r="A1587" s="1"/>
      <c r="B1587" s="1"/>
      <c r="C1587" s="1"/>
      <c r="D1587" s="1"/>
      <c r="E1587" s="1"/>
    </row>
    <row r="1588" spans="1:5" x14ac:dyDescent="0.25">
      <c r="A1588" s="1"/>
      <c r="B1588" s="1"/>
      <c r="C1588" s="1"/>
      <c r="D1588" s="1"/>
      <c r="E1588" s="1"/>
    </row>
    <row r="1589" spans="1:5" x14ac:dyDescent="0.25">
      <c r="A1589" s="1"/>
      <c r="B1589" s="1"/>
      <c r="C1589" s="1"/>
      <c r="D1589" s="1"/>
      <c r="E1589" s="1"/>
    </row>
    <row r="1590" spans="1:5" x14ac:dyDescent="0.25">
      <c r="A1590" s="1"/>
      <c r="B1590" s="1"/>
      <c r="C1590" s="1"/>
      <c r="D1590" s="1"/>
      <c r="E1590" s="1"/>
    </row>
    <row r="1591" spans="1:5" x14ac:dyDescent="0.25">
      <c r="A1591" s="1"/>
      <c r="B1591" s="1"/>
      <c r="C1591" s="1"/>
      <c r="D1591" s="1"/>
      <c r="E1591" s="1"/>
    </row>
    <row r="1592" spans="1:5" x14ac:dyDescent="0.25">
      <c r="A1592" s="1"/>
      <c r="B1592" s="1"/>
      <c r="C1592" s="1"/>
      <c r="D1592" s="1"/>
      <c r="E1592" s="1"/>
    </row>
    <row r="1593" spans="1:5" x14ac:dyDescent="0.25">
      <c r="A1593" s="1"/>
      <c r="B1593" s="1"/>
      <c r="C1593" s="1"/>
      <c r="D1593" s="1"/>
      <c r="E1593" s="1"/>
    </row>
    <row r="1594" spans="1:5" x14ac:dyDescent="0.25">
      <c r="A1594" s="1"/>
      <c r="B1594" s="1"/>
      <c r="C1594" s="1"/>
      <c r="D1594" s="1"/>
      <c r="E1594" s="1"/>
    </row>
    <row r="1595" spans="1:5" x14ac:dyDescent="0.25">
      <c r="A1595" s="1"/>
      <c r="B1595" s="1"/>
      <c r="C1595" s="1"/>
      <c r="D1595" s="1"/>
      <c r="E1595" s="1"/>
    </row>
    <row r="1596" spans="1:5" x14ac:dyDescent="0.25">
      <c r="A1596" s="1"/>
      <c r="B1596" s="1"/>
      <c r="C1596" s="1"/>
      <c r="D1596" s="1"/>
      <c r="E1596" s="1"/>
    </row>
    <row r="1597" spans="1:5" x14ac:dyDescent="0.25">
      <c r="A1597" s="1"/>
      <c r="B1597" s="1"/>
      <c r="C1597" s="1"/>
      <c r="D1597" s="1"/>
      <c r="E1597" s="1"/>
    </row>
    <row r="1598" spans="1:5" x14ac:dyDescent="0.25">
      <c r="A1598" s="1"/>
      <c r="B1598" s="1"/>
      <c r="C1598" s="1"/>
      <c r="D1598" s="1"/>
      <c r="E1598" s="1"/>
    </row>
    <row r="1599" spans="1:5" x14ac:dyDescent="0.25">
      <c r="A1599" s="1"/>
      <c r="B1599" s="1"/>
      <c r="C1599" s="1"/>
      <c r="D1599" s="1"/>
      <c r="E1599" s="1"/>
    </row>
    <row r="1600" spans="1:5" x14ac:dyDescent="0.25">
      <c r="A1600" s="1"/>
      <c r="B1600" s="1"/>
      <c r="C1600" s="1"/>
      <c r="D1600" s="1"/>
      <c r="E1600" s="1"/>
    </row>
    <row r="1601" spans="1:5" x14ac:dyDescent="0.25">
      <c r="A1601" s="1"/>
      <c r="B1601" s="1"/>
      <c r="C1601" s="1"/>
      <c r="D1601" s="1"/>
      <c r="E1601" s="1"/>
    </row>
    <row r="1602" spans="1:5" x14ac:dyDescent="0.25">
      <c r="A1602" s="1"/>
      <c r="B1602" s="1"/>
      <c r="C1602" s="1"/>
      <c r="D1602" s="1"/>
      <c r="E1602" s="1"/>
    </row>
    <row r="1603" spans="1:5" x14ac:dyDescent="0.25">
      <c r="A1603" s="1"/>
      <c r="B1603" s="1"/>
      <c r="C1603" s="1"/>
      <c r="D1603" s="1"/>
      <c r="E1603" s="1"/>
    </row>
    <row r="1604" spans="1:5" x14ac:dyDescent="0.25">
      <c r="A1604" s="1"/>
      <c r="B1604" s="1"/>
      <c r="C1604" s="1"/>
      <c r="D1604" s="1"/>
      <c r="E1604" s="1"/>
    </row>
    <row r="1605" spans="1:5" x14ac:dyDescent="0.25">
      <c r="A1605" s="1"/>
      <c r="B1605" s="1"/>
      <c r="C1605" s="1"/>
      <c r="D1605" s="1"/>
      <c r="E1605" s="1"/>
    </row>
    <row r="1606" spans="1:5" x14ac:dyDescent="0.25">
      <c r="A1606" s="1"/>
      <c r="B1606" s="1"/>
      <c r="C1606" s="1"/>
      <c r="D1606" s="1"/>
      <c r="E1606" s="1"/>
    </row>
    <row r="1607" spans="1:5" x14ac:dyDescent="0.25">
      <c r="A1607" s="1"/>
      <c r="B1607" s="1"/>
      <c r="C1607" s="1"/>
      <c r="D1607" s="1"/>
      <c r="E1607" s="1"/>
    </row>
    <row r="1608" spans="1:5" x14ac:dyDescent="0.25">
      <c r="A1608" s="1"/>
      <c r="B1608" s="1"/>
      <c r="C1608" s="1"/>
      <c r="D1608" s="1"/>
      <c r="E1608" s="1"/>
    </row>
    <row r="1609" spans="1:5" x14ac:dyDescent="0.25">
      <c r="A1609" s="1"/>
      <c r="B1609" s="1"/>
      <c r="C1609" s="1"/>
      <c r="D1609" s="1"/>
      <c r="E1609" s="1"/>
    </row>
    <row r="1610" spans="1:5" x14ac:dyDescent="0.25">
      <c r="A1610" s="1"/>
      <c r="B1610" s="1"/>
      <c r="C1610" s="1"/>
      <c r="D1610" s="1"/>
      <c r="E1610" s="1"/>
    </row>
    <row r="1611" spans="1:5" x14ac:dyDescent="0.25">
      <c r="A1611" s="1"/>
      <c r="B1611" s="1"/>
      <c r="C1611" s="1"/>
      <c r="D1611" s="1"/>
      <c r="E1611" s="1"/>
    </row>
    <row r="1612" spans="1:5" x14ac:dyDescent="0.25">
      <c r="A1612" s="1"/>
      <c r="B1612" s="1"/>
      <c r="C1612" s="1"/>
      <c r="D1612" s="1"/>
      <c r="E1612" s="1"/>
    </row>
    <row r="1613" spans="1:5" x14ac:dyDescent="0.25">
      <c r="A1613" s="1"/>
      <c r="B1613" s="1"/>
      <c r="C1613" s="1"/>
      <c r="D1613" s="1"/>
      <c r="E1613" s="1"/>
    </row>
    <row r="1614" spans="1:5" x14ac:dyDescent="0.25">
      <c r="A1614" s="1"/>
      <c r="B1614" s="1"/>
      <c r="C1614" s="1"/>
      <c r="D1614" s="1"/>
      <c r="E1614" s="1"/>
    </row>
    <row r="1615" spans="1:5" x14ac:dyDescent="0.25">
      <c r="A1615" s="1"/>
      <c r="B1615" s="1"/>
      <c r="C1615" s="1"/>
      <c r="D1615" s="1"/>
      <c r="E1615" s="1"/>
    </row>
    <row r="1616" spans="1:5" x14ac:dyDescent="0.25">
      <c r="A1616" s="1"/>
      <c r="B1616" s="1"/>
      <c r="C1616" s="1"/>
      <c r="D1616" s="1"/>
      <c r="E1616" s="1"/>
    </row>
    <row r="1617" spans="1:5" x14ac:dyDescent="0.25">
      <c r="A1617" s="1"/>
      <c r="B1617" s="1"/>
      <c r="C1617" s="1"/>
      <c r="D1617" s="1"/>
      <c r="E1617" s="1"/>
    </row>
    <row r="1618" spans="1:5" x14ac:dyDescent="0.25">
      <c r="A1618" s="1"/>
      <c r="B1618" s="1"/>
      <c r="C1618" s="1"/>
      <c r="D1618" s="1"/>
      <c r="E1618" s="1"/>
    </row>
    <row r="1619" spans="1:5" x14ac:dyDescent="0.25">
      <c r="A1619" s="1"/>
      <c r="B1619" s="1"/>
      <c r="C1619" s="1"/>
      <c r="D1619" s="1"/>
      <c r="E1619" s="1"/>
    </row>
    <row r="1620" spans="1:5" x14ac:dyDescent="0.25">
      <c r="A1620" s="1"/>
      <c r="B1620" s="1"/>
      <c r="C1620" s="1"/>
      <c r="D1620" s="1"/>
      <c r="E1620" s="1"/>
    </row>
    <row r="1621" spans="1:5" x14ac:dyDescent="0.25">
      <c r="A1621" s="1"/>
      <c r="B1621" s="1"/>
      <c r="C1621" s="1"/>
      <c r="D1621" s="1"/>
      <c r="E1621" s="1"/>
    </row>
    <row r="1622" spans="1:5" x14ac:dyDescent="0.25">
      <c r="A1622" s="1"/>
      <c r="B1622" s="1"/>
      <c r="C1622" s="1"/>
      <c r="D1622" s="1"/>
      <c r="E1622" s="1"/>
    </row>
    <row r="1623" spans="1:5" x14ac:dyDescent="0.25">
      <c r="A1623" s="1"/>
      <c r="B1623" s="1"/>
      <c r="C1623" s="1"/>
      <c r="D1623" s="1"/>
      <c r="E1623" s="1"/>
    </row>
    <row r="1624" spans="1:5" x14ac:dyDescent="0.25">
      <c r="A1624" s="1"/>
      <c r="B1624" s="1"/>
      <c r="C1624" s="1"/>
      <c r="D1624" s="1"/>
      <c r="E1624" s="1"/>
    </row>
    <row r="1625" spans="1:5" x14ac:dyDescent="0.25">
      <c r="A1625" s="1"/>
      <c r="B1625" s="1"/>
      <c r="C1625" s="1"/>
      <c r="D1625" s="1"/>
      <c r="E1625" s="1"/>
    </row>
    <row r="1626" spans="1:5" x14ac:dyDescent="0.25">
      <c r="A1626" s="1"/>
      <c r="B1626" s="1"/>
      <c r="C1626" s="1"/>
      <c r="D1626" s="1"/>
      <c r="E1626" s="1"/>
    </row>
    <row r="1627" spans="1:5" x14ac:dyDescent="0.25">
      <c r="A1627" s="1"/>
      <c r="B1627" s="1"/>
      <c r="C1627" s="1"/>
      <c r="D1627" s="1"/>
      <c r="E1627" s="1"/>
    </row>
    <row r="1628" spans="1:5" x14ac:dyDescent="0.25">
      <c r="A1628" s="1"/>
      <c r="B1628" s="1"/>
      <c r="C1628" s="1"/>
      <c r="D1628" s="1"/>
      <c r="E1628" s="1"/>
    </row>
    <row r="1629" spans="1:5" x14ac:dyDescent="0.25">
      <c r="A1629" s="1"/>
      <c r="B1629" s="1"/>
      <c r="C1629" s="1"/>
      <c r="D1629" s="1"/>
      <c r="E1629" s="1"/>
    </row>
    <row r="1630" spans="1:5" x14ac:dyDescent="0.25">
      <c r="A1630" s="1"/>
      <c r="B1630" s="1"/>
      <c r="C1630" s="1"/>
      <c r="D1630" s="1"/>
      <c r="E1630" s="1"/>
    </row>
    <row r="1631" spans="1:5" x14ac:dyDescent="0.25">
      <c r="A1631" s="1"/>
      <c r="B1631" s="1"/>
      <c r="C1631" s="1"/>
      <c r="D1631" s="1"/>
      <c r="E1631" s="1"/>
    </row>
    <row r="1632" spans="1:5" x14ac:dyDescent="0.25">
      <c r="A1632" s="1"/>
      <c r="B1632" s="1"/>
      <c r="C1632" s="1"/>
      <c r="D1632" s="1"/>
      <c r="E1632" s="1"/>
    </row>
    <row r="1633" spans="1:5" x14ac:dyDescent="0.25">
      <c r="A1633" s="1"/>
      <c r="B1633" s="1"/>
      <c r="C1633" s="1"/>
      <c r="D1633" s="1"/>
      <c r="E1633" s="1"/>
    </row>
    <row r="1634" spans="1:5" x14ac:dyDescent="0.25">
      <c r="A1634" s="1"/>
      <c r="B1634" s="1"/>
      <c r="C1634" s="1"/>
      <c r="D1634" s="1"/>
      <c r="E1634" s="1"/>
    </row>
    <row r="1635" spans="1:5" x14ac:dyDescent="0.25">
      <c r="A1635" s="1"/>
      <c r="B1635" s="1"/>
      <c r="C1635" s="1"/>
      <c r="D1635" s="1"/>
      <c r="E1635" s="1"/>
    </row>
    <row r="1636" spans="1:5" x14ac:dyDescent="0.25">
      <c r="A1636" s="1"/>
      <c r="B1636" s="1"/>
      <c r="C1636" s="1"/>
      <c r="D1636" s="1"/>
      <c r="E1636" s="1"/>
    </row>
    <row r="1637" spans="1:5" x14ac:dyDescent="0.25">
      <c r="A1637" s="1"/>
      <c r="B1637" s="1"/>
      <c r="C1637" s="1"/>
      <c r="D1637" s="1"/>
      <c r="E1637" s="1"/>
    </row>
    <row r="1638" spans="1:5" x14ac:dyDescent="0.25">
      <c r="A1638" s="1"/>
      <c r="B1638" s="1"/>
      <c r="C1638" s="1"/>
      <c r="D1638" s="1"/>
      <c r="E1638" s="1"/>
    </row>
    <row r="1639" spans="1:5" x14ac:dyDescent="0.25">
      <c r="A1639" s="1"/>
      <c r="B1639" s="1"/>
      <c r="C1639" s="1"/>
      <c r="D1639" s="1"/>
      <c r="E1639" s="1"/>
    </row>
    <row r="1640" spans="1:5" x14ac:dyDescent="0.25">
      <c r="A1640" s="1"/>
      <c r="B1640" s="1"/>
      <c r="C1640" s="1"/>
      <c r="D1640" s="1"/>
      <c r="E1640" s="1"/>
    </row>
    <row r="1641" spans="1:5" x14ac:dyDescent="0.25">
      <c r="A1641" s="1"/>
      <c r="B1641" s="1"/>
      <c r="C1641" s="1"/>
      <c r="D1641" s="1"/>
      <c r="E1641" s="1"/>
    </row>
    <row r="1642" spans="1:5" x14ac:dyDescent="0.25">
      <c r="A1642" s="1"/>
      <c r="B1642" s="1"/>
      <c r="C1642" s="1"/>
      <c r="D1642" s="1"/>
      <c r="E1642" s="1"/>
    </row>
    <row r="1643" spans="1:5" x14ac:dyDescent="0.25">
      <c r="A1643" s="1"/>
      <c r="B1643" s="1"/>
      <c r="C1643" s="1"/>
      <c r="D1643" s="1"/>
      <c r="E1643" s="1"/>
    </row>
    <row r="1644" spans="1:5" x14ac:dyDescent="0.25">
      <c r="A1644" s="1"/>
      <c r="B1644" s="1"/>
      <c r="C1644" s="1"/>
      <c r="D1644" s="1"/>
      <c r="E1644" s="1"/>
    </row>
    <row r="1645" spans="1:5" x14ac:dyDescent="0.25">
      <c r="A1645" s="1"/>
      <c r="B1645" s="1"/>
      <c r="C1645" s="1"/>
      <c r="D1645" s="1"/>
      <c r="E1645" s="1"/>
    </row>
    <row r="1646" spans="1:5" x14ac:dyDescent="0.25">
      <c r="A1646" s="1"/>
      <c r="B1646" s="1"/>
      <c r="C1646" s="1"/>
      <c r="D1646" s="1"/>
      <c r="E1646" s="1"/>
    </row>
    <row r="1647" spans="1:5" x14ac:dyDescent="0.25">
      <c r="A1647" s="1"/>
      <c r="B1647" s="1"/>
      <c r="C1647" s="1"/>
      <c r="D1647" s="1"/>
      <c r="E1647" s="1"/>
    </row>
    <row r="1648" spans="1:5" x14ac:dyDescent="0.25">
      <c r="A1648" s="1"/>
      <c r="B1648" s="1"/>
      <c r="C1648" s="1"/>
      <c r="D1648" s="1"/>
      <c r="E1648" s="1"/>
    </row>
    <row r="1649" spans="1:5" x14ac:dyDescent="0.25">
      <c r="A1649" s="1"/>
      <c r="B1649" s="1"/>
      <c r="C1649" s="1"/>
      <c r="D1649" s="1"/>
      <c r="E1649" s="1"/>
    </row>
    <row r="1650" spans="1:5" x14ac:dyDescent="0.25">
      <c r="A1650" s="1"/>
      <c r="B1650" s="1"/>
      <c r="C1650" s="1"/>
      <c r="D1650" s="1"/>
      <c r="E1650" s="1"/>
    </row>
    <row r="1651" spans="1:5" x14ac:dyDescent="0.25">
      <c r="A1651" s="1"/>
      <c r="B1651" s="1"/>
      <c r="C1651" s="1"/>
      <c r="D1651" s="1"/>
      <c r="E1651" s="1"/>
    </row>
    <row r="1652" spans="1:5" x14ac:dyDescent="0.25">
      <c r="A1652" s="1"/>
      <c r="B1652" s="1"/>
      <c r="C1652" s="1"/>
      <c r="D1652" s="1"/>
      <c r="E1652" s="1"/>
    </row>
    <row r="1653" spans="1:5" x14ac:dyDescent="0.25">
      <c r="A1653" s="1"/>
      <c r="B1653" s="1"/>
      <c r="C1653" s="1"/>
      <c r="D1653" s="1"/>
      <c r="E1653" s="1"/>
    </row>
    <row r="1654" spans="1:5" x14ac:dyDescent="0.25">
      <c r="A1654" s="1"/>
      <c r="B1654" s="1"/>
      <c r="C1654" s="1"/>
      <c r="D1654" s="1"/>
      <c r="E1654" s="1"/>
    </row>
    <row r="1655" spans="1:5" x14ac:dyDescent="0.25">
      <c r="A1655" s="1"/>
      <c r="B1655" s="1"/>
      <c r="C1655" s="1"/>
      <c r="D1655" s="1"/>
      <c r="E1655" s="1"/>
    </row>
    <row r="1656" spans="1:5" x14ac:dyDescent="0.25">
      <c r="A1656" s="1"/>
      <c r="B1656" s="1"/>
      <c r="C1656" s="1"/>
      <c r="D1656" s="1"/>
      <c r="E1656" s="1"/>
    </row>
    <row r="1657" spans="1:5" x14ac:dyDescent="0.25">
      <c r="A1657" s="1"/>
      <c r="B1657" s="1"/>
      <c r="C1657" s="1"/>
      <c r="D1657" s="1"/>
      <c r="E1657" s="1"/>
    </row>
    <row r="1658" spans="1:5" x14ac:dyDescent="0.25">
      <c r="A1658" s="1"/>
      <c r="B1658" s="1"/>
      <c r="C1658" s="1"/>
      <c r="D1658" s="1"/>
      <c r="E1658" s="1"/>
    </row>
    <row r="1659" spans="1:5" x14ac:dyDescent="0.25">
      <c r="A1659" s="1"/>
      <c r="B1659" s="1"/>
      <c r="C1659" s="1"/>
      <c r="D1659" s="1"/>
      <c r="E1659" s="1"/>
    </row>
    <row r="1660" spans="1:5" x14ac:dyDescent="0.25">
      <c r="A1660" s="1"/>
      <c r="B1660" s="1"/>
      <c r="C1660" s="1"/>
      <c r="D1660" s="1"/>
      <c r="E1660" s="1"/>
    </row>
    <row r="1661" spans="1:5" x14ac:dyDescent="0.25">
      <c r="A1661" s="1"/>
      <c r="B1661" s="1"/>
      <c r="C1661" s="1"/>
      <c r="D1661" s="1"/>
      <c r="E1661" s="1"/>
    </row>
    <row r="1662" spans="1:5" x14ac:dyDescent="0.25">
      <c r="A1662" s="1"/>
      <c r="B1662" s="1"/>
      <c r="C1662" s="1"/>
      <c r="D1662" s="1"/>
      <c r="E1662" s="1"/>
    </row>
    <row r="1663" spans="1:5" x14ac:dyDescent="0.25">
      <c r="A1663" s="1"/>
      <c r="B1663" s="1"/>
      <c r="C1663" s="1"/>
      <c r="D1663" s="1"/>
      <c r="E1663" s="1"/>
    </row>
    <row r="1664" spans="1:5" x14ac:dyDescent="0.25">
      <c r="A1664" s="1"/>
      <c r="B1664" s="1"/>
      <c r="C1664" s="1"/>
      <c r="D1664" s="1"/>
      <c r="E1664" s="1"/>
    </row>
    <row r="1665" spans="1:5" x14ac:dyDescent="0.25">
      <c r="A1665" s="1"/>
      <c r="B1665" s="1"/>
      <c r="C1665" s="1"/>
      <c r="D1665" s="1"/>
      <c r="E1665" s="1"/>
    </row>
    <row r="1666" spans="1:5" x14ac:dyDescent="0.25">
      <c r="A1666" s="1"/>
      <c r="B1666" s="1"/>
      <c r="C1666" s="1"/>
      <c r="D1666" s="1"/>
      <c r="E1666" s="1"/>
    </row>
    <row r="1667" spans="1:5" x14ac:dyDescent="0.25">
      <c r="A1667" s="1"/>
      <c r="B1667" s="1"/>
      <c r="C1667" s="1"/>
      <c r="D1667" s="1"/>
      <c r="E1667" s="1"/>
    </row>
    <row r="1668" spans="1:5" x14ac:dyDescent="0.25">
      <c r="A1668" s="1"/>
      <c r="B1668" s="1"/>
      <c r="C1668" s="1"/>
      <c r="D1668" s="1"/>
      <c r="E1668" s="1"/>
    </row>
    <row r="1669" spans="1:5" x14ac:dyDescent="0.25">
      <c r="A1669" s="1"/>
      <c r="B1669" s="1"/>
      <c r="C1669" s="1"/>
      <c r="D1669" s="1"/>
      <c r="E1669" s="1"/>
    </row>
    <row r="1670" spans="1:5" x14ac:dyDescent="0.25">
      <c r="A1670" s="1"/>
      <c r="B1670" s="1"/>
      <c r="C1670" s="1"/>
      <c r="D1670" s="1"/>
      <c r="E1670" s="1"/>
    </row>
    <row r="1671" spans="1:5" x14ac:dyDescent="0.25">
      <c r="A1671" s="1"/>
      <c r="B1671" s="1"/>
      <c r="C1671" s="1"/>
      <c r="D1671" s="1"/>
      <c r="E1671" s="1"/>
    </row>
    <row r="1672" spans="1:5" x14ac:dyDescent="0.25">
      <c r="A1672" s="1"/>
      <c r="B1672" s="1"/>
      <c r="C1672" s="1"/>
      <c r="D1672" s="1"/>
      <c r="E1672" s="1"/>
    </row>
    <row r="1673" spans="1:5" x14ac:dyDescent="0.25">
      <c r="A1673" s="1"/>
      <c r="B1673" s="1"/>
      <c r="C1673" s="1"/>
      <c r="D1673" s="1"/>
      <c r="E1673" s="1"/>
    </row>
    <row r="1674" spans="1:5" x14ac:dyDescent="0.25">
      <c r="A1674" s="1"/>
      <c r="B1674" s="1"/>
      <c r="C1674" s="1"/>
      <c r="D1674" s="1"/>
      <c r="E1674" s="1"/>
    </row>
    <row r="1675" spans="1:5" x14ac:dyDescent="0.25">
      <c r="A1675" s="1"/>
      <c r="B1675" s="1"/>
      <c r="C1675" s="1"/>
      <c r="D1675" s="1"/>
      <c r="E1675" s="1"/>
    </row>
    <row r="1676" spans="1:5" x14ac:dyDescent="0.25">
      <c r="A1676" s="1"/>
      <c r="B1676" s="1"/>
      <c r="C1676" s="1"/>
      <c r="D1676" s="1"/>
      <c r="E1676" s="1"/>
    </row>
    <row r="1677" spans="1:5" x14ac:dyDescent="0.25">
      <c r="A1677" s="1"/>
      <c r="B1677" s="1"/>
      <c r="C1677" s="1"/>
      <c r="D1677" s="1"/>
      <c r="E1677" s="1"/>
    </row>
    <row r="1678" spans="1:5" x14ac:dyDescent="0.25">
      <c r="A1678" s="1"/>
      <c r="B1678" s="1"/>
      <c r="C1678" s="1"/>
      <c r="D1678" s="1"/>
      <c r="E1678" s="1"/>
    </row>
    <row r="1679" spans="1:5" x14ac:dyDescent="0.25">
      <c r="A1679" s="1"/>
      <c r="B1679" s="1"/>
      <c r="C1679" s="1"/>
      <c r="D1679" s="1"/>
      <c r="E1679" s="1"/>
    </row>
    <row r="1680" spans="1:5" x14ac:dyDescent="0.25">
      <c r="A1680" s="1"/>
      <c r="B1680" s="1"/>
      <c r="C1680" s="1"/>
      <c r="D1680" s="1"/>
      <c r="E1680" s="1"/>
    </row>
    <row r="1681" spans="1:5" x14ac:dyDescent="0.25">
      <c r="A1681" s="1"/>
      <c r="B1681" s="1"/>
      <c r="C1681" s="1"/>
      <c r="D1681" s="1"/>
      <c r="E1681" s="1"/>
    </row>
    <row r="1682" spans="1:5" x14ac:dyDescent="0.25">
      <c r="A1682" s="1"/>
      <c r="B1682" s="1"/>
      <c r="C1682" s="1"/>
      <c r="D1682" s="1"/>
      <c r="E1682" s="1"/>
    </row>
    <row r="1683" spans="1:5" x14ac:dyDescent="0.25">
      <c r="A1683" s="1"/>
      <c r="B1683" s="1"/>
      <c r="C1683" s="1"/>
      <c r="D1683" s="1"/>
      <c r="E1683" s="1"/>
    </row>
    <row r="1684" spans="1:5" x14ac:dyDescent="0.25">
      <c r="A1684" s="1"/>
      <c r="B1684" s="1"/>
      <c r="C1684" s="1"/>
      <c r="D1684" s="1"/>
      <c r="E1684" s="1"/>
    </row>
    <row r="1685" spans="1:5" x14ac:dyDescent="0.25">
      <c r="A1685" s="1"/>
      <c r="B1685" s="1"/>
      <c r="C1685" s="1"/>
      <c r="D1685" s="1"/>
      <c r="E1685" s="1"/>
    </row>
    <row r="1686" spans="1:5" x14ac:dyDescent="0.25">
      <c r="A1686" s="1"/>
      <c r="B1686" s="1"/>
      <c r="C1686" s="1"/>
      <c r="D1686" s="1"/>
      <c r="E1686" s="1"/>
    </row>
    <row r="1687" spans="1:5" x14ac:dyDescent="0.25">
      <c r="A1687" s="1"/>
      <c r="B1687" s="1"/>
      <c r="C1687" s="1"/>
      <c r="D1687" s="1"/>
      <c r="E1687" s="1"/>
    </row>
    <row r="1688" spans="1:5" x14ac:dyDescent="0.25">
      <c r="A1688" s="1"/>
      <c r="B1688" s="1"/>
      <c r="C1688" s="1"/>
      <c r="D1688" s="1"/>
      <c r="E1688" s="1"/>
    </row>
    <row r="1689" spans="1:5" x14ac:dyDescent="0.25">
      <c r="A1689" s="1"/>
      <c r="B1689" s="1"/>
      <c r="C1689" s="1"/>
      <c r="D1689" s="1"/>
      <c r="E1689" s="1"/>
    </row>
    <row r="1690" spans="1:5" x14ac:dyDescent="0.25">
      <c r="A1690" s="1"/>
      <c r="B1690" s="1"/>
      <c r="C1690" s="1"/>
      <c r="D1690" s="1"/>
      <c r="E1690" s="1"/>
    </row>
    <row r="1691" spans="1:5" x14ac:dyDescent="0.25">
      <c r="A1691" s="1"/>
      <c r="B1691" s="1"/>
      <c r="C1691" s="1"/>
      <c r="D1691" s="1"/>
      <c r="E1691" s="1"/>
    </row>
    <row r="1692" spans="1:5" x14ac:dyDescent="0.25">
      <c r="A1692" s="1"/>
      <c r="B1692" s="1"/>
      <c r="C1692" s="1"/>
      <c r="D1692" s="1"/>
      <c r="E1692" s="1"/>
    </row>
    <row r="1693" spans="1:5" x14ac:dyDescent="0.25">
      <c r="A1693" s="1"/>
      <c r="B1693" s="1"/>
      <c r="C1693" s="1"/>
      <c r="D1693" s="1"/>
      <c r="E1693" s="1"/>
    </row>
    <row r="1694" spans="1:5" x14ac:dyDescent="0.25">
      <c r="A1694" s="1"/>
      <c r="B1694" s="1"/>
      <c r="C1694" s="1"/>
      <c r="D1694" s="1"/>
      <c r="E1694" s="1"/>
    </row>
    <row r="1695" spans="1:5" x14ac:dyDescent="0.25">
      <c r="A1695" s="1"/>
      <c r="B1695" s="1"/>
      <c r="C1695" s="1"/>
      <c r="D1695" s="1"/>
      <c r="E1695" s="1"/>
    </row>
    <row r="1696" spans="1:5" x14ac:dyDescent="0.25">
      <c r="A1696" s="1"/>
      <c r="B1696" s="1"/>
      <c r="C1696" s="1"/>
      <c r="D1696" s="1"/>
      <c r="E1696" s="1"/>
    </row>
    <row r="1697" spans="1:5" x14ac:dyDescent="0.25">
      <c r="A1697" s="1"/>
      <c r="B1697" s="1"/>
      <c r="C1697" s="1"/>
      <c r="D1697" s="1"/>
      <c r="E1697" s="1"/>
    </row>
    <row r="1698" spans="1:5" x14ac:dyDescent="0.25">
      <c r="A1698" s="1"/>
      <c r="B1698" s="1"/>
      <c r="C1698" s="1"/>
      <c r="D1698" s="1"/>
      <c r="E1698" s="1"/>
    </row>
    <row r="1699" spans="1:5" x14ac:dyDescent="0.25">
      <c r="A1699" s="1"/>
      <c r="B1699" s="1"/>
      <c r="C1699" s="1"/>
      <c r="D1699" s="1"/>
      <c r="E1699" s="1"/>
    </row>
    <row r="1700" spans="1:5" x14ac:dyDescent="0.25">
      <c r="A1700" s="1"/>
      <c r="B1700" s="1"/>
      <c r="C1700" s="1"/>
      <c r="D1700" s="1"/>
      <c r="E1700" s="1"/>
    </row>
    <row r="1701" spans="1:5" x14ac:dyDescent="0.25">
      <c r="A1701" s="1"/>
      <c r="B1701" s="1"/>
      <c r="C1701" s="1"/>
      <c r="D1701" s="1"/>
      <c r="E1701" s="1"/>
    </row>
    <row r="1702" spans="1:5" x14ac:dyDescent="0.25">
      <c r="A1702" s="1"/>
      <c r="B1702" s="1"/>
      <c r="C1702" s="1"/>
      <c r="D1702" s="1"/>
      <c r="E1702" s="1"/>
    </row>
    <row r="1703" spans="1:5" x14ac:dyDescent="0.25">
      <c r="A1703" s="1"/>
      <c r="B1703" s="1"/>
      <c r="C1703" s="1"/>
      <c r="D1703" s="1"/>
      <c r="E1703" s="1"/>
    </row>
    <row r="1704" spans="1:5" x14ac:dyDescent="0.25">
      <c r="A1704" s="1"/>
      <c r="B1704" s="1"/>
      <c r="C1704" s="1"/>
      <c r="D1704" s="1"/>
      <c r="E1704" s="1"/>
    </row>
    <row r="1705" spans="1:5" x14ac:dyDescent="0.25">
      <c r="A1705" s="1"/>
      <c r="B1705" s="1"/>
      <c r="C1705" s="1"/>
      <c r="D1705" s="1"/>
      <c r="E1705" s="1"/>
    </row>
    <row r="1706" spans="1:5" x14ac:dyDescent="0.25">
      <c r="A1706" s="1"/>
      <c r="B1706" s="1"/>
      <c r="C1706" s="1"/>
      <c r="D1706" s="1"/>
      <c r="E1706" s="1"/>
    </row>
    <row r="1707" spans="1:5" x14ac:dyDescent="0.25">
      <c r="A1707" s="1"/>
      <c r="B1707" s="1"/>
      <c r="C1707" s="1"/>
      <c r="D1707" s="1"/>
      <c r="E1707" s="1"/>
    </row>
    <row r="1708" spans="1:5" x14ac:dyDescent="0.25">
      <c r="A1708" s="1"/>
      <c r="B1708" s="1"/>
      <c r="C1708" s="1"/>
      <c r="D1708" s="1"/>
      <c r="E1708" s="1"/>
    </row>
    <row r="1709" spans="1:5" x14ac:dyDescent="0.25">
      <c r="A1709" s="1"/>
      <c r="B1709" s="1"/>
      <c r="C1709" s="1"/>
      <c r="D1709" s="1"/>
      <c r="E1709" s="1"/>
    </row>
    <row r="1710" spans="1:5" x14ac:dyDescent="0.25">
      <c r="A1710" s="1"/>
      <c r="B1710" s="1"/>
      <c r="C1710" s="1"/>
      <c r="D1710" s="1"/>
      <c r="E1710" s="1"/>
    </row>
    <row r="1711" spans="1:5" x14ac:dyDescent="0.25">
      <c r="A1711" s="1"/>
      <c r="B1711" s="1"/>
      <c r="C1711" s="1"/>
      <c r="D1711" s="1"/>
      <c r="E1711" s="1"/>
    </row>
    <row r="1712" spans="1:5" x14ac:dyDescent="0.25">
      <c r="A1712" s="1"/>
      <c r="B1712" s="1"/>
      <c r="C1712" s="1"/>
      <c r="D1712" s="1"/>
      <c r="E1712" s="1"/>
    </row>
    <row r="1713" spans="1:5" x14ac:dyDescent="0.25">
      <c r="A1713" s="1"/>
      <c r="B1713" s="1"/>
      <c r="C1713" s="1"/>
      <c r="D1713" s="1"/>
      <c r="E1713" s="1"/>
    </row>
    <row r="1714" spans="1:5" x14ac:dyDescent="0.25">
      <c r="A1714" s="1"/>
      <c r="B1714" s="1"/>
      <c r="C1714" s="1"/>
      <c r="D1714" s="1"/>
      <c r="E1714" s="1"/>
    </row>
    <row r="1715" spans="1:5" x14ac:dyDescent="0.25">
      <c r="A1715" s="1"/>
      <c r="B1715" s="1"/>
      <c r="C1715" s="1"/>
      <c r="D1715" s="1"/>
      <c r="E1715" s="1"/>
    </row>
    <row r="1716" spans="1:5" x14ac:dyDescent="0.25">
      <c r="A1716" s="1"/>
      <c r="B1716" s="1"/>
      <c r="C1716" s="1"/>
      <c r="D1716" s="1"/>
      <c r="E1716" s="1"/>
    </row>
    <row r="1717" spans="1:5" x14ac:dyDescent="0.25">
      <c r="A1717" s="1"/>
      <c r="B1717" s="1"/>
      <c r="C1717" s="1"/>
      <c r="D1717" s="1"/>
      <c r="E1717" s="1"/>
    </row>
    <row r="1718" spans="1:5" x14ac:dyDescent="0.25">
      <c r="A1718" s="1"/>
      <c r="B1718" s="1"/>
      <c r="C1718" s="1"/>
      <c r="D1718" s="1"/>
      <c r="E1718" s="1"/>
    </row>
    <row r="1719" spans="1:5" x14ac:dyDescent="0.25">
      <c r="A1719" s="1"/>
      <c r="B1719" s="1"/>
      <c r="C1719" s="1"/>
      <c r="D1719" s="1"/>
      <c r="E1719" s="1"/>
    </row>
    <row r="1720" spans="1:5" x14ac:dyDescent="0.25">
      <c r="A1720" s="1"/>
      <c r="B1720" s="1"/>
      <c r="C1720" s="1"/>
      <c r="D1720" s="1"/>
      <c r="E1720" s="1"/>
    </row>
    <row r="1721" spans="1:5" x14ac:dyDescent="0.25">
      <c r="A1721" s="1"/>
      <c r="B1721" s="1"/>
      <c r="C1721" s="1"/>
      <c r="D1721" s="1"/>
      <c r="E1721" s="1"/>
    </row>
    <row r="1722" spans="1:5" x14ac:dyDescent="0.25">
      <c r="A1722" s="1"/>
      <c r="B1722" s="1"/>
      <c r="C1722" s="1"/>
      <c r="D1722" s="1"/>
      <c r="E1722" s="1"/>
    </row>
    <row r="1723" spans="1:5" x14ac:dyDescent="0.25">
      <c r="A1723" s="1"/>
      <c r="B1723" s="1"/>
      <c r="C1723" s="1"/>
      <c r="D1723" s="1"/>
      <c r="E1723" s="1"/>
    </row>
    <row r="1724" spans="1:5" x14ac:dyDescent="0.25">
      <c r="A1724" s="1"/>
      <c r="B1724" s="1"/>
      <c r="C1724" s="1"/>
      <c r="D1724" s="1"/>
      <c r="E1724" s="1"/>
    </row>
    <row r="1725" spans="1:5" x14ac:dyDescent="0.25">
      <c r="A1725" s="1"/>
      <c r="B1725" s="1"/>
      <c r="C1725" s="1"/>
      <c r="D1725" s="1"/>
      <c r="E1725" s="1"/>
    </row>
    <row r="1726" spans="1:5" x14ac:dyDescent="0.25">
      <c r="A1726" s="1"/>
      <c r="B1726" s="1"/>
      <c r="C1726" s="1"/>
      <c r="D1726" s="1"/>
      <c r="E1726" s="1"/>
    </row>
    <row r="1727" spans="1:5" x14ac:dyDescent="0.25">
      <c r="A1727" s="1"/>
      <c r="B1727" s="1"/>
      <c r="C1727" s="1"/>
      <c r="D1727" s="1"/>
      <c r="E1727" s="1"/>
    </row>
    <row r="1728" spans="1:5" x14ac:dyDescent="0.25">
      <c r="A1728" s="1"/>
      <c r="B1728" s="1"/>
      <c r="C1728" s="1"/>
      <c r="D1728" s="1"/>
      <c r="E1728" s="1"/>
    </row>
    <row r="1729" spans="1:5" x14ac:dyDescent="0.25">
      <c r="A1729" s="1"/>
      <c r="B1729" s="1"/>
      <c r="C1729" s="1"/>
      <c r="D1729" s="1"/>
      <c r="E1729" s="1"/>
    </row>
    <row r="1730" spans="1:5" x14ac:dyDescent="0.25">
      <c r="A1730" s="1"/>
      <c r="B1730" s="1"/>
      <c r="C1730" s="1"/>
      <c r="D1730" s="1"/>
      <c r="E1730" s="1"/>
    </row>
    <row r="1731" spans="1:5" x14ac:dyDescent="0.25">
      <c r="A1731" s="1"/>
      <c r="B1731" s="1"/>
      <c r="C1731" s="1"/>
      <c r="D1731" s="1"/>
      <c r="E1731" s="1"/>
    </row>
    <row r="1732" spans="1:5" x14ac:dyDescent="0.25">
      <c r="A1732" s="1"/>
      <c r="B1732" s="1"/>
      <c r="C1732" s="1"/>
      <c r="D1732" s="1"/>
      <c r="E1732" s="1"/>
    </row>
    <row r="1733" spans="1:5" x14ac:dyDescent="0.25">
      <c r="A1733" s="1"/>
      <c r="B1733" s="1"/>
      <c r="C1733" s="1"/>
      <c r="D1733" s="1"/>
      <c r="E1733" s="1"/>
    </row>
    <row r="1734" spans="1:5" x14ac:dyDescent="0.25">
      <c r="A1734" s="1"/>
      <c r="B1734" s="1"/>
      <c r="C1734" s="1"/>
      <c r="D1734" s="1"/>
      <c r="E1734" s="1"/>
    </row>
    <row r="1735" spans="1:5" x14ac:dyDescent="0.25">
      <c r="A1735" s="1"/>
      <c r="B1735" s="1"/>
      <c r="C1735" s="1"/>
      <c r="D1735" s="1"/>
      <c r="E1735" s="1"/>
    </row>
    <row r="1736" spans="1:5" x14ac:dyDescent="0.25">
      <c r="A1736" s="1"/>
      <c r="B1736" s="1"/>
      <c r="C1736" s="1"/>
      <c r="D1736" s="1"/>
      <c r="E1736" s="1"/>
    </row>
    <row r="1737" spans="1:5" x14ac:dyDescent="0.25">
      <c r="A1737" s="1"/>
      <c r="B1737" s="1"/>
      <c r="C1737" s="1"/>
      <c r="D1737" s="1"/>
      <c r="E1737" s="1"/>
    </row>
    <row r="1738" spans="1:5" x14ac:dyDescent="0.25">
      <c r="A1738" s="1"/>
      <c r="B1738" s="1"/>
      <c r="C1738" s="1"/>
      <c r="D1738" s="1"/>
      <c r="E1738" s="1"/>
    </row>
    <row r="1739" spans="1:5" x14ac:dyDescent="0.25">
      <c r="A1739" s="1"/>
      <c r="B1739" s="1"/>
      <c r="C1739" s="1"/>
      <c r="D1739" s="1"/>
      <c r="E1739" s="1"/>
    </row>
    <row r="1740" spans="1:5" x14ac:dyDescent="0.25">
      <c r="A1740" s="1"/>
      <c r="B1740" s="1"/>
      <c r="C1740" s="1"/>
      <c r="D1740" s="1"/>
      <c r="E1740" s="1"/>
    </row>
    <row r="1741" spans="1:5" x14ac:dyDescent="0.25">
      <c r="A1741" s="1"/>
      <c r="B1741" s="1"/>
      <c r="C1741" s="1"/>
      <c r="D1741" s="1"/>
      <c r="E1741" s="1"/>
    </row>
    <row r="1742" spans="1:5" x14ac:dyDescent="0.25">
      <c r="A1742" s="1"/>
      <c r="B1742" s="1"/>
      <c r="C1742" s="1"/>
      <c r="D1742" s="1"/>
      <c r="E1742" s="1"/>
    </row>
    <row r="1743" spans="1:5" x14ac:dyDescent="0.25">
      <c r="A1743" s="1"/>
      <c r="B1743" s="1"/>
      <c r="C1743" s="1"/>
      <c r="D1743" s="1"/>
      <c r="E1743" s="1"/>
    </row>
    <row r="1744" spans="1:5" x14ac:dyDescent="0.25">
      <c r="A1744" s="1"/>
      <c r="B1744" s="1"/>
      <c r="C1744" s="1"/>
      <c r="D1744" s="1"/>
      <c r="E1744" s="1"/>
    </row>
    <row r="1745" spans="1:5" x14ac:dyDescent="0.25">
      <c r="A1745" s="1"/>
      <c r="B1745" s="1"/>
      <c r="C1745" s="1"/>
      <c r="D1745" s="1"/>
      <c r="E1745" s="1"/>
    </row>
    <row r="1746" spans="1:5" x14ac:dyDescent="0.25">
      <c r="A1746" s="1"/>
      <c r="B1746" s="1"/>
      <c r="C1746" s="1"/>
      <c r="D1746" s="1"/>
      <c r="E1746" s="1"/>
    </row>
    <row r="1747" spans="1:5" x14ac:dyDescent="0.25">
      <c r="A1747" s="1"/>
      <c r="B1747" s="1"/>
      <c r="C1747" s="1"/>
      <c r="D1747" s="1"/>
      <c r="E1747" s="1"/>
    </row>
    <row r="1748" spans="1:5" x14ac:dyDescent="0.25">
      <c r="A1748" s="1"/>
      <c r="B1748" s="1"/>
      <c r="C1748" s="1"/>
      <c r="D1748" s="1"/>
      <c r="E1748" s="1"/>
    </row>
    <row r="1749" spans="1:5" x14ac:dyDescent="0.25">
      <c r="A1749" s="1"/>
      <c r="B1749" s="1"/>
      <c r="C1749" s="1"/>
      <c r="D1749" s="1"/>
      <c r="E1749" s="1"/>
    </row>
    <row r="1750" spans="1:5" x14ac:dyDescent="0.25">
      <c r="A1750" s="1"/>
      <c r="B1750" s="1"/>
      <c r="C1750" s="1"/>
      <c r="D1750" s="1"/>
      <c r="E1750" s="1"/>
    </row>
    <row r="1751" spans="1:5" x14ac:dyDescent="0.25">
      <c r="A1751" s="1"/>
      <c r="B1751" s="1"/>
      <c r="C1751" s="1"/>
      <c r="D1751" s="1"/>
      <c r="E1751" s="1"/>
    </row>
    <row r="1752" spans="1:5" x14ac:dyDescent="0.25">
      <c r="A1752" s="1"/>
      <c r="B1752" s="1"/>
      <c r="C1752" s="1"/>
      <c r="D1752" s="1"/>
      <c r="E1752" s="1"/>
    </row>
    <row r="1753" spans="1:5" x14ac:dyDescent="0.25">
      <c r="A1753" s="1"/>
      <c r="B1753" s="1"/>
      <c r="C1753" s="1"/>
      <c r="D1753" s="1"/>
      <c r="E1753" s="1"/>
    </row>
    <row r="1754" spans="1:5" x14ac:dyDescent="0.25">
      <c r="A1754" s="1"/>
      <c r="B1754" s="1"/>
      <c r="C1754" s="1"/>
      <c r="D1754" s="1"/>
      <c r="E1754" s="1"/>
    </row>
    <row r="1755" spans="1:5" x14ac:dyDescent="0.25">
      <c r="A1755" s="1"/>
      <c r="B1755" s="1"/>
      <c r="C1755" s="1"/>
      <c r="D1755" s="1"/>
      <c r="E1755" s="1"/>
    </row>
    <row r="1756" spans="1:5" x14ac:dyDescent="0.25">
      <c r="A1756" s="1"/>
      <c r="B1756" s="1"/>
      <c r="C1756" s="1"/>
      <c r="D1756" s="1"/>
      <c r="E1756" s="1"/>
    </row>
    <row r="1757" spans="1:5" x14ac:dyDescent="0.25">
      <c r="A1757" s="1"/>
      <c r="B1757" s="1"/>
      <c r="C1757" s="1"/>
      <c r="D1757" s="1"/>
      <c r="E1757" s="1"/>
    </row>
    <row r="1758" spans="1:5" x14ac:dyDescent="0.25">
      <c r="A1758" s="1"/>
      <c r="B1758" s="1"/>
      <c r="C1758" s="1"/>
      <c r="D1758" s="1"/>
      <c r="E1758" s="1"/>
    </row>
    <row r="1759" spans="1:5" x14ac:dyDescent="0.25">
      <c r="A1759" s="1"/>
      <c r="B1759" s="1"/>
      <c r="C1759" s="1"/>
      <c r="D1759" s="1"/>
      <c r="E1759" s="1"/>
    </row>
    <row r="1760" spans="1:5" x14ac:dyDescent="0.25">
      <c r="A1760" s="1"/>
      <c r="B1760" s="1"/>
      <c r="C1760" s="1"/>
      <c r="D1760" s="1"/>
      <c r="E1760" s="1"/>
    </row>
    <row r="1761" spans="1:5" x14ac:dyDescent="0.25">
      <c r="A1761" s="1"/>
      <c r="B1761" s="1"/>
      <c r="C1761" s="1"/>
      <c r="D1761" s="1"/>
      <c r="E1761" s="1"/>
    </row>
    <row r="1762" spans="1:5" x14ac:dyDescent="0.25">
      <c r="A1762" s="1"/>
      <c r="B1762" s="1"/>
      <c r="C1762" s="1"/>
      <c r="D1762" s="1"/>
      <c r="E1762" s="1"/>
    </row>
    <row r="1763" spans="1:5" x14ac:dyDescent="0.25">
      <c r="A1763" s="1"/>
      <c r="B1763" s="1"/>
      <c r="C1763" s="1"/>
      <c r="D1763" s="1"/>
      <c r="E1763" s="1"/>
    </row>
    <row r="1764" spans="1:5" x14ac:dyDescent="0.25">
      <c r="A1764" s="1"/>
      <c r="B1764" s="1"/>
      <c r="C1764" s="1"/>
      <c r="D1764" s="1"/>
      <c r="E1764" s="1"/>
    </row>
    <row r="1765" spans="1:5" x14ac:dyDescent="0.25">
      <c r="A1765" s="1"/>
      <c r="B1765" s="1"/>
      <c r="C1765" s="1"/>
      <c r="D1765" s="1"/>
      <c r="E1765" s="1"/>
    </row>
    <row r="1766" spans="1:5" x14ac:dyDescent="0.25">
      <c r="A1766" s="1"/>
      <c r="B1766" s="1"/>
      <c r="C1766" s="1"/>
      <c r="D1766" s="1"/>
      <c r="E1766" s="1"/>
    </row>
    <row r="1767" spans="1:5" x14ac:dyDescent="0.25">
      <c r="A1767" s="1"/>
      <c r="B1767" s="1"/>
      <c r="C1767" s="1"/>
      <c r="D1767" s="1"/>
      <c r="E1767" s="1"/>
    </row>
    <row r="1768" spans="1:5" x14ac:dyDescent="0.25">
      <c r="A1768" s="1"/>
      <c r="B1768" s="1"/>
      <c r="C1768" s="1"/>
      <c r="D1768" s="1"/>
      <c r="E1768" s="1"/>
    </row>
    <row r="1769" spans="1:5" x14ac:dyDescent="0.25">
      <c r="A1769" s="1"/>
      <c r="B1769" s="1"/>
      <c r="C1769" s="1"/>
      <c r="D1769" s="1"/>
      <c r="E1769" s="1"/>
    </row>
    <row r="1770" spans="1:5" x14ac:dyDescent="0.25">
      <c r="A1770" s="1"/>
      <c r="B1770" s="1"/>
      <c r="C1770" s="1"/>
      <c r="D1770" s="1"/>
      <c r="E1770" s="1"/>
    </row>
    <row r="1771" spans="1:5" x14ac:dyDescent="0.25">
      <c r="A1771" s="1"/>
      <c r="B1771" s="1"/>
      <c r="C1771" s="1"/>
      <c r="D1771" s="1"/>
      <c r="E1771" s="1"/>
    </row>
    <row r="1772" spans="1:5" x14ac:dyDescent="0.25">
      <c r="A1772" s="1"/>
      <c r="B1772" s="1"/>
      <c r="C1772" s="1"/>
      <c r="D1772" s="1"/>
      <c r="E1772" s="1"/>
    </row>
    <row r="1773" spans="1:5" x14ac:dyDescent="0.25">
      <c r="A1773" s="1"/>
      <c r="B1773" s="1"/>
      <c r="C1773" s="1"/>
      <c r="D1773" s="1"/>
      <c r="E1773" s="1"/>
    </row>
    <row r="1774" spans="1:5" x14ac:dyDescent="0.25">
      <c r="A1774" s="1"/>
      <c r="B1774" s="1"/>
      <c r="C1774" s="1"/>
      <c r="D1774" s="1"/>
      <c r="E1774" s="1"/>
    </row>
    <row r="1775" spans="1:5" x14ac:dyDescent="0.25">
      <c r="A1775" s="1"/>
      <c r="B1775" s="1"/>
      <c r="C1775" s="1"/>
      <c r="D1775" s="1"/>
      <c r="E1775" s="1"/>
    </row>
    <row r="1776" spans="1:5" x14ac:dyDescent="0.25">
      <c r="A1776" s="1"/>
      <c r="B1776" s="1"/>
      <c r="C1776" s="1"/>
      <c r="D1776" s="1"/>
      <c r="E1776" s="1"/>
    </row>
    <row r="1777" spans="1:5" x14ac:dyDescent="0.25">
      <c r="A1777" s="1"/>
      <c r="B1777" s="1"/>
      <c r="C1777" s="1"/>
      <c r="D1777" s="1"/>
      <c r="E1777" s="1"/>
    </row>
    <row r="1778" spans="1:5" x14ac:dyDescent="0.25">
      <c r="A1778" s="1"/>
      <c r="B1778" s="1"/>
      <c r="C1778" s="1"/>
      <c r="D1778" s="1"/>
      <c r="E1778" s="1"/>
    </row>
    <row r="1779" spans="1:5" x14ac:dyDescent="0.25">
      <c r="A1779" s="1"/>
      <c r="B1779" s="1"/>
      <c r="C1779" s="1"/>
      <c r="D1779" s="1"/>
      <c r="E1779" s="1"/>
    </row>
    <row r="1780" spans="1:5" x14ac:dyDescent="0.25">
      <c r="A1780" s="1"/>
      <c r="B1780" s="1"/>
      <c r="C1780" s="1"/>
      <c r="D1780" s="1"/>
      <c r="E1780" s="1"/>
    </row>
    <row r="1781" spans="1:5" x14ac:dyDescent="0.25">
      <c r="A1781" s="1"/>
      <c r="B1781" s="1"/>
      <c r="C1781" s="1"/>
      <c r="D1781" s="1"/>
      <c r="E1781" s="1"/>
    </row>
    <row r="1782" spans="1:5" x14ac:dyDescent="0.25">
      <c r="A1782" s="1"/>
      <c r="B1782" s="1"/>
      <c r="C1782" s="1"/>
      <c r="D1782" s="1"/>
      <c r="E1782" s="1"/>
    </row>
    <row r="1783" spans="1:5" x14ac:dyDescent="0.25">
      <c r="A1783" s="1"/>
      <c r="B1783" s="1"/>
      <c r="C1783" s="1"/>
      <c r="D1783" s="1"/>
      <c r="E1783" s="1"/>
    </row>
    <row r="1784" spans="1:5" x14ac:dyDescent="0.25">
      <c r="A1784" s="1"/>
      <c r="B1784" s="1"/>
      <c r="C1784" s="1"/>
      <c r="D1784" s="1"/>
      <c r="E1784" s="1"/>
    </row>
    <row r="1785" spans="1:5" x14ac:dyDescent="0.25">
      <c r="A1785" s="1"/>
      <c r="B1785" s="1"/>
      <c r="C1785" s="1"/>
      <c r="D1785" s="1"/>
      <c r="E1785" s="1"/>
    </row>
    <row r="1786" spans="1:5" x14ac:dyDescent="0.25">
      <c r="A1786" s="1"/>
      <c r="B1786" s="1"/>
      <c r="C1786" s="1"/>
      <c r="D1786" s="1"/>
      <c r="E1786" s="1"/>
    </row>
    <row r="1787" spans="1:5" x14ac:dyDescent="0.25">
      <c r="A1787" s="1"/>
      <c r="B1787" s="1"/>
      <c r="C1787" s="1"/>
      <c r="D1787" s="1"/>
      <c r="E1787" s="1"/>
    </row>
    <row r="1788" spans="1:5" x14ac:dyDescent="0.25">
      <c r="A1788" s="1"/>
      <c r="B1788" s="1"/>
      <c r="C1788" s="1"/>
      <c r="D1788" s="1"/>
      <c r="E1788" s="1"/>
    </row>
    <row r="1789" spans="1:5" x14ac:dyDescent="0.25">
      <c r="A1789" s="1"/>
      <c r="B1789" s="1"/>
      <c r="C1789" s="1"/>
      <c r="D1789" s="1"/>
      <c r="E1789" s="1"/>
    </row>
    <row r="1790" spans="1:5" x14ac:dyDescent="0.25">
      <c r="A1790" s="1"/>
      <c r="B1790" s="1"/>
      <c r="C1790" s="1"/>
      <c r="D1790" s="1"/>
      <c r="E1790" s="1"/>
    </row>
    <row r="1791" spans="1:5" x14ac:dyDescent="0.25">
      <c r="A1791" s="1"/>
      <c r="B1791" s="1"/>
      <c r="C1791" s="1"/>
      <c r="D1791" s="1"/>
      <c r="E1791" s="1"/>
    </row>
    <row r="1792" spans="1:5" x14ac:dyDescent="0.25">
      <c r="A1792" s="1"/>
      <c r="B1792" s="1"/>
      <c r="C1792" s="1"/>
      <c r="D1792" s="1"/>
      <c r="E1792" s="1"/>
    </row>
    <row r="1793" spans="1:5" x14ac:dyDescent="0.25">
      <c r="A1793" s="1"/>
      <c r="B1793" s="1"/>
      <c r="C1793" s="1"/>
      <c r="D1793" s="1"/>
      <c r="E1793" s="1"/>
    </row>
    <row r="1794" spans="1:5" x14ac:dyDescent="0.25">
      <c r="A1794" s="1"/>
      <c r="B1794" s="1"/>
      <c r="C1794" s="1"/>
      <c r="D1794" s="1"/>
      <c r="E1794" s="1"/>
    </row>
    <row r="1795" spans="1:5" x14ac:dyDescent="0.25">
      <c r="A1795" s="1"/>
      <c r="B1795" s="1"/>
      <c r="C1795" s="1"/>
      <c r="D1795" s="1"/>
      <c r="E1795" s="1"/>
    </row>
    <row r="1796" spans="1:5" x14ac:dyDescent="0.25">
      <c r="A1796" s="1"/>
      <c r="B1796" s="1"/>
      <c r="C1796" s="1"/>
      <c r="D1796" s="1"/>
      <c r="E1796" s="1"/>
    </row>
    <row r="1797" spans="1:5" x14ac:dyDescent="0.25">
      <c r="A1797" s="1"/>
      <c r="B1797" s="1"/>
      <c r="C1797" s="1"/>
      <c r="D1797" s="1"/>
      <c r="E1797" s="1"/>
    </row>
    <row r="1798" spans="1:5" x14ac:dyDescent="0.25">
      <c r="A1798" s="1"/>
      <c r="B1798" s="1"/>
      <c r="C1798" s="1"/>
      <c r="D1798" s="1"/>
      <c r="E1798" s="1"/>
    </row>
    <row r="1799" spans="1:5" x14ac:dyDescent="0.25">
      <c r="A1799" s="1"/>
      <c r="B1799" s="1"/>
      <c r="C1799" s="1"/>
      <c r="D1799" s="1"/>
      <c r="E1799" s="1"/>
    </row>
    <row r="1800" spans="1:5" x14ac:dyDescent="0.25">
      <c r="A1800" s="1"/>
      <c r="B1800" s="1"/>
      <c r="C1800" s="1"/>
      <c r="D1800" s="1"/>
      <c r="E1800" s="1"/>
    </row>
    <row r="1801" spans="1:5" x14ac:dyDescent="0.25">
      <c r="A1801" s="1"/>
      <c r="B1801" s="1"/>
      <c r="C1801" s="1"/>
      <c r="D1801" s="1"/>
      <c r="E1801" s="1"/>
    </row>
    <row r="1802" spans="1:5" x14ac:dyDescent="0.25">
      <c r="A1802" s="1"/>
      <c r="B1802" s="1"/>
      <c r="C1802" s="1"/>
      <c r="D1802" s="1"/>
      <c r="E1802" s="1"/>
    </row>
    <row r="1803" spans="1:5" x14ac:dyDescent="0.25">
      <c r="A1803" s="1"/>
      <c r="B1803" s="1"/>
      <c r="C1803" s="1"/>
      <c r="D1803" s="1"/>
      <c r="E1803" s="1"/>
    </row>
    <row r="1804" spans="1:5" x14ac:dyDescent="0.25">
      <c r="A1804" s="1"/>
      <c r="B1804" s="1"/>
      <c r="C1804" s="1"/>
      <c r="D1804" s="1"/>
      <c r="E1804" s="1"/>
    </row>
    <row r="1805" spans="1:5" x14ac:dyDescent="0.25">
      <c r="A1805" s="1"/>
      <c r="B1805" s="1"/>
      <c r="C1805" s="1"/>
      <c r="D1805" s="1"/>
      <c r="E1805" s="1"/>
    </row>
    <row r="1806" spans="1:5" x14ac:dyDescent="0.25">
      <c r="A1806" s="1"/>
      <c r="B1806" s="1"/>
      <c r="C1806" s="1"/>
      <c r="D1806" s="1"/>
      <c r="E1806" s="1"/>
    </row>
    <row r="1807" spans="1:5" x14ac:dyDescent="0.25">
      <c r="A1807" s="1"/>
      <c r="B1807" s="1"/>
      <c r="C1807" s="1"/>
      <c r="D1807" s="1"/>
      <c r="E1807" s="1"/>
    </row>
    <row r="1808" spans="1:5" x14ac:dyDescent="0.25">
      <c r="A1808" s="1"/>
      <c r="B1808" s="1"/>
      <c r="C1808" s="1"/>
      <c r="D1808" s="1"/>
      <c r="E1808" s="1"/>
    </row>
    <row r="1809" spans="1:5" x14ac:dyDescent="0.25">
      <c r="A1809" s="1"/>
      <c r="B1809" s="1"/>
      <c r="C1809" s="1"/>
      <c r="D1809" s="1"/>
      <c r="E1809" s="1"/>
    </row>
    <row r="1810" spans="1:5" x14ac:dyDescent="0.25">
      <c r="A1810" s="1"/>
      <c r="B1810" s="1"/>
      <c r="C1810" s="1"/>
      <c r="D1810" s="1"/>
      <c r="E1810" s="1"/>
    </row>
    <row r="1811" spans="1:5" x14ac:dyDescent="0.25">
      <c r="A1811" s="1"/>
      <c r="B1811" s="1"/>
      <c r="C1811" s="1"/>
      <c r="D1811" s="1"/>
      <c r="E1811" s="1"/>
    </row>
    <row r="1812" spans="1:5" x14ac:dyDescent="0.25">
      <c r="A1812" s="1"/>
      <c r="B1812" s="1"/>
      <c r="C1812" s="1"/>
      <c r="D1812" s="1"/>
      <c r="E1812" s="1"/>
    </row>
    <row r="1813" spans="1:5" x14ac:dyDescent="0.25">
      <c r="A1813" s="1"/>
      <c r="B1813" s="1"/>
      <c r="C1813" s="1"/>
      <c r="D1813" s="1"/>
      <c r="E1813" s="1"/>
    </row>
    <row r="1814" spans="1:5" x14ac:dyDescent="0.25">
      <c r="A1814" s="1"/>
      <c r="B1814" s="1"/>
      <c r="C1814" s="1"/>
      <c r="D1814" s="1"/>
      <c r="E1814" s="1"/>
    </row>
    <row r="1815" spans="1:5" x14ac:dyDescent="0.25">
      <c r="A1815" s="1"/>
      <c r="B1815" s="1"/>
      <c r="C1815" s="1"/>
      <c r="D1815" s="1"/>
      <c r="E1815" s="1"/>
    </row>
    <row r="1816" spans="1:5" x14ac:dyDescent="0.25">
      <c r="A1816" s="1"/>
      <c r="B1816" s="1"/>
      <c r="C1816" s="1"/>
      <c r="D1816" s="1"/>
      <c r="E1816" s="1"/>
    </row>
    <row r="1817" spans="1:5" x14ac:dyDescent="0.25">
      <c r="A1817" s="1"/>
      <c r="B1817" s="1"/>
      <c r="C1817" s="1"/>
      <c r="D1817" s="1"/>
      <c r="E1817" s="1"/>
    </row>
    <row r="1818" spans="1:5" x14ac:dyDescent="0.25">
      <c r="A1818" s="1"/>
      <c r="B1818" s="1"/>
      <c r="C1818" s="1"/>
      <c r="D1818" s="1"/>
      <c r="E1818" s="1"/>
    </row>
    <row r="1819" spans="1:5" x14ac:dyDescent="0.25">
      <c r="A1819" s="1"/>
      <c r="B1819" s="1"/>
      <c r="C1819" s="1"/>
      <c r="D1819" s="1"/>
      <c r="E1819" s="1"/>
    </row>
    <row r="1820" spans="1:5" x14ac:dyDescent="0.25">
      <c r="A1820" s="1"/>
      <c r="B1820" s="1"/>
      <c r="C1820" s="1"/>
      <c r="D1820" s="1"/>
      <c r="E1820" s="1"/>
    </row>
    <row r="1821" spans="1:5" x14ac:dyDescent="0.25">
      <c r="A1821" s="1"/>
      <c r="B1821" s="1"/>
      <c r="C1821" s="1"/>
      <c r="D1821" s="1"/>
      <c r="E1821" s="1"/>
    </row>
    <row r="1822" spans="1:5" x14ac:dyDescent="0.25">
      <c r="A1822" s="1"/>
      <c r="B1822" s="1"/>
      <c r="C1822" s="1"/>
      <c r="D1822" s="1"/>
      <c r="E1822" s="1"/>
    </row>
    <row r="1823" spans="1:5" x14ac:dyDescent="0.25">
      <c r="A1823" s="1"/>
      <c r="B1823" s="1"/>
      <c r="C1823" s="1"/>
      <c r="D1823" s="1"/>
      <c r="E1823" s="1"/>
    </row>
    <row r="1824" spans="1:5" x14ac:dyDescent="0.25">
      <c r="A1824" s="1"/>
      <c r="B1824" s="1"/>
      <c r="C1824" s="1"/>
      <c r="D1824" s="1"/>
      <c r="E1824" s="1"/>
    </row>
    <row r="1825" spans="1:5" x14ac:dyDescent="0.25">
      <c r="A1825" s="1"/>
      <c r="B1825" s="1"/>
      <c r="C1825" s="1"/>
      <c r="D1825" s="1"/>
      <c r="E1825" s="1"/>
    </row>
    <row r="1826" spans="1:5" x14ac:dyDescent="0.25">
      <c r="A1826" s="1"/>
      <c r="B1826" s="1"/>
      <c r="C1826" s="1"/>
      <c r="D1826" s="1"/>
      <c r="E1826" s="1"/>
    </row>
    <row r="1827" spans="1:5" x14ac:dyDescent="0.25">
      <c r="A1827" s="1"/>
      <c r="B1827" s="1"/>
      <c r="C1827" s="1"/>
      <c r="D1827" s="1"/>
      <c r="E1827" s="1"/>
    </row>
    <row r="1828" spans="1:5" x14ac:dyDescent="0.25">
      <c r="A1828" s="1"/>
      <c r="B1828" s="1"/>
      <c r="C1828" s="1"/>
      <c r="D1828" s="1"/>
      <c r="E1828" s="1"/>
    </row>
    <row r="1829" spans="1:5" x14ac:dyDescent="0.25">
      <c r="A1829" s="1"/>
      <c r="B1829" s="1"/>
      <c r="C1829" s="1"/>
      <c r="D1829" s="1"/>
      <c r="E1829" s="1"/>
    </row>
    <row r="1830" spans="1:5" x14ac:dyDescent="0.25">
      <c r="A1830" s="1"/>
      <c r="B1830" s="1"/>
      <c r="C1830" s="1"/>
      <c r="D1830" s="1"/>
      <c r="E1830" s="1"/>
    </row>
    <row r="1831" spans="1:5" x14ac:dyDescent="0.25">
      <c r="A1831" s="1"/>
      <c r="B1831" s="1"/>
      <c r="C1831" s="1"/>
      <c r="D1831" s="1"/>
      <c r="E1831" s="1"/>
    </row>
    <row r="1832" spans="1:5" x14ac:dyDescent="0.25">
      <c r="A1832" s="1"/>
      <c r="B1832" s="1"/>
      <c r="C1832" s="1"/>
      <c r="D1832" s="1"/>
      <c r="E1832" s="1"/>
    </row>
    <row r="1833" spans="1:5" x14ac:dyDescent="0.25">
      <c r="A1833" s="1"/>
      <c r="B1833" s="1"/>
      <c r="C1833" s="1"/>
      <c r="D1833" s="1"/>
      <c r="E1833" s="1"/>
    </row>
    <row r="1834" spans="1:5" x14ac:dyDescent="0.25">
      <c r="A1834" s="1"/>
      <c r="B1834" s="1"/>
      <c r="C1834" s="1"/>
      <c r="D1834" s="1"/>
      <c r="E1834" s="1"/>
    </row>
    <row r="1835" spans="1:5" x14ac:dyDescent="0.25">
      <c r="A1835" s="1"/>
      <c r="B1835" s="1"/>
      <c r="C1835" s="1"/>
      <c r="D1835" s="1"/>
      <c r="E1835" s="1"/>
    </row>
    <row r="1836" spans="1:5" x14ac:dyDescent="0.25">
      <c r="A1836" s="1"/>
      <c r="B1836" s="1"/>
      <c r="C1836" s="1"/>
      <c r="D1836" s="1"/>
      <c r="E1836" s="1"/>
    </row>
    <row r="1837" spans="1:5" x14ac:dyDescent="0.25">
      <c r="A1837" s="1"/>
      <c r="B1837" s="1"/>
      <c r="C1837" s="1"/>
      <c r="D1837" s="1"/>
      <c r="E1837" s="1"/>
    </row>
    <row r="1838" spans="1:5" x14ac:dyDescent="0.25">
      <c r="A1838" s="1"/>
      <c r="B1838" s="1"/>
      <c r="C1838" s="1"/>
      <c r="D1838" s="1"/>
      <c r="E1838" s="1"/>
    </row>
    <row r="1839" spans="1:5" x14ac:dyDescent="0.25">
      <c r="A1839" s="1"/>
      <c r="B1839" s="1"/>
      <c r="C1839" s="1"/>
      <c r="D1839" s="1"/>
      <c r="E1839" s="1"/>
    </row>
    <row r="1840" spans="1:5" x14ac:dyDescent="0.25">
      <c r="A1840" s="1"/>
      <c r="B1840" s="1"/>
      <c r="C1840" s="1"/>
      <c r="D1840" s="1"/>
      <c r="E1840" s="1"/>
    </row>
    <row r="1841" spans="1:5" x14ac:dyDescent="0.25">
      <c r="A1841" s="1"/>
      <c r="B1841" s="1"/>
      <c r="C1841" s="1"/>
      <c r="D1841" s="1"/>
      <c r="E1841" s="1"/>
    </row>
    <row r="1842" spans="1:5" x14ac:dyDescent="0.25">
      <c r="A1842" s="1"/>
      <c r="B1842" s="1"/>
      <c r="C1842" s="1"/>
      <c r="D1842" s="1"/>
      <c r="E1842" s="1"/>
    </row>
    <row r="1843" spans="1:5" x14ac:dyDescent="0.25">
      <c r="A1843" s="1"/>
      <c r="B1843" s="1"/>
      <c r="C1843" s="1"/>
      <c r="D1843" s="1"/>
      <c r="E1843" s="1"/>
    </row>
    <row r="1844" spans="1:5" x14ac:dyDescent="0.25">
      <c r="A1844" s="1"/>
      <c r="B1844" s="1"/>
      <c r="C1844" s="1"/>
      <c r="D1844" s="1"/>
      <c r="E1844" s="1"/>
    </row>
    <row r="1845" spans="1:5" x14ac:dyDescent="0.25">
      <c r="A1845" s="1"/>
      <c r="B1845" s="1"/>
      <c r="C1845" s="1"/>
      <c r="D1845" s="1"/>
      <c r="E1845" s="1"/>
    </row>
    <row r="1846" spans="1:5" x14ac:dyDescent="0.25">
      <c r="A1846" s="1"/>
      <c r="B1846" s="1"/>
      <c r="C1846" s="1"/>
      <c r="D1846" s="1"/>
      <c r="E1846" s="1"/>
    </row>
    <row r="1847" spans="1:5" x14ac:dyDescent="0.25">
      <c r="A1847" s="1"/>
      <c r="B1847" s="1"/>
      <c r="C1847" s="1"/>
      <c r="D1847" s="1"/>
      <c r="E1847" s="1"/>
    </row>
    <row r="1848" spans="1:5" x14ac:dyDescent="0.25">
      <c r="A1848" s="1"/>
      <c r="B1848" s="1"/>
      <c r="C1848" s="1"/>
      <c r="D1848" s="1"/>
      <c r="E1848" s="1"/>
    </row>
    <row r="1849" spans="1:5" x14ac:dyDescent="0.25">
      <c r="A1849" s="1"/>
      <c r="B1849" s="1"/>
      <c r="C1849" s="1"/>
      <c r="D1849" s="1"/>
      <c r="E1849" s="1"/>
    </row>
    <row r="1850" spans="1:5" x14ac:dyDescent="0.25">
      <c r="A1850" s="1"/>
      <c r="B1850" s="1"/>
      <c r="C1850" s="1"/>
      <c r="D1850" s="1"/>
      <c r="E1850" s="1"/>
    </row>
    <row r="1851" spans="1:5" x14ac:dyDescent="0.25">
      <c r="A1851" s="1"/>
      <c r="B1851" s="1"/>
      <c r="C1851" s="1"/>
      <c r="D1851" s="1"/>
      <c r="E1851" s="1"/>
    </row>
    <row r="1852" spans="1:5" x14ac:dyDescent="0.25">
      <c r="A1852" s="1"/>
      <c r="B1852" s="1"/>
      <c r="C1852" s="1"/>
      <c r="D1852" s="1"/>
      <c r="E1852" s="1"/>
    </row>
    <row r="1853" spans="1:5" x14ac:dyDescent="0.25">
      <c r="A1853" s="1"/>
      <c r="B1853" s="1"/>
      <c r="C1853" s="1"/>
      <c r="D1853" s="1"/>
      <c r="E1853" s="1"/>
    </row>
    <row r="1854" spans="1:5" x14ac:dyDescent="0.25">
      <c r="A1854" s="1"/>
      <c r="B1854" s="1"/>
      <c r="C1854" s="1"/>
      <c r="D1854" s="1"/>
      <c r="E1854" s="1"/>
    </row>
    <row r="1855" spans="1:5" x14ac:dyDescent="0.25">
      <c r="A1855" s="1"/>
      <c r="B1855" s="1"/>
      <c r="C1855" s="1"/>
      <c r="D1855" s="1"/>
      <c r="E1855" s="1"/>
    </row>
    <row r="1856" spans="1:5" x14ac:dyDescent="0.25">
      <c r="A1856" s="1"/>
      <c r="B1856" s="1"/>
      <c r="C1856" s="1"/>
      <c r="D1856" s="1"/>
      <c r="E1856" s="1"/>
    </row>
    <row r="1857" spans="1:5" x14ac:dyDescent="0.25">
      <c r="A1857" s="1"/>
      <c r="B1857" s="1"/>
      <c r="C1857" s="1"/>
      <c r="D1857" s="1"/>
      <c r="E1857" s="1"/>
    </row>
    <row r="1858" spans="1:5" x14ac:dyDescent="0.25">
      <c r="A1858" s="1"/>
      <c r="B1858" s="1"/>
      <c r="C1858" s="1"/>
      <c r="D1858" s="1"/>
      <c r="E1858" s="1"/>
    </row>
    <row r="1859" spans="1:5" x14ac:dyDescent="0.25">
      <c r="A1859" s="1"/>
      <c r="B1859" s="1"/>
      <c r="C1859" s="1"/>
      <c r="D1859" s="1"/>
      <c r="E1859" s="1"/>
    </row>
    <row r="1860" spans="1:5" x14ac:dyDescent="0.25">
      <c r="A1860" s="1"/>
      <c r="B1860" s="1"/>
      <c r="C1860" s="1"/>
      <c r="D1860" s="1"/>
      <c r="E1860" s="1"/>
    </row>
    <row r="1861" spans="1:5" x14ac:dyDescent="0.25">
      <c r="A1861" s="1"/>
      <c r="B1861" s="1"/>
      <c r="C1861" s="1"/>
      <c r="D1861" s="1"/>
      <c r="E1861" s="1"/>
    </row>
    <row r="1862" spans="1:5" x14ac:dyDescent="0.25">
      <c r="A1862" s="1"/>
      <c r="B1862" s="1"/>
      <c r="C1862" s="1"/>
      <c r="D1862" s="1"/>
      <c r="E1862" s="1"/>
    </row>
    <row r="1863" spans="1:5" x14ac:dyDescent="0.25">
      <c r="A1863" s="1"/>
      <c r="B1863" s="1"/>
      <c r="C1863" s="1"/>
      <c r="D1863" s="1"/>
      <c r="E1863" s="1"/>
    </row>
    <row r="1864" spans="1:5" x14ac:dyDescent="0.25">
      <c r="A1864" s="1"/>
      <c r="B1864" s="1"/>
      <c r="C1864" s="1"/>
      <c r="D1864" s="1"/>
      <c r="E1864" s="1"/>
    </row>
    <row r="1865" spans="1:5" x14ac:dyDescent="0.25">
      <c r="A1865" s="1"/>
      <c r="B1865" s="1"/>
      <c r="C1865" s="1"/>
      <c r="D1865" s="1"/>
      <c r="E1865" s="1"/>
    </row>
    <row r="1866" spans="1:5" x14ac:dyDescent="0.25">
      <c r="A1866" s="1"/>
      <c r="B1866" s="1"/>
      <c r="C1866" s="1"/>
      <c r="D1866" s="1"/>
      <c r="E1866" s="1"/>
    </row>
    <row r="1867" spans="1:5" x14ac:dyDescent="0.25">
      <c r="A1867" s="1"/>
      <c r="B1867" s="1"/>
      <c r="C1867" s="1"/>
      <c r="D1867" s="1"/>
      <c r="E1867" s="1"/>
    </row>
    <row r="1868" spans="1:5" x14ac:dyDescent="0.25">
      <c r="A1868" s="1"/>
      <c r="B1868" s="1"/>
      <c r="C1868" s="1"/>
      <c r="D1868" s="1"/>
      <c r="E1868" s="1"/>
    </row>
    <row r="1869" spans="1:5" x14ac:dyDescent="0.25">
      <c r="A1869" s="1"/>
      <c r="B1869" s="1"/>
      <c r="C1869" s="1"/>
      <c r="D1869" s="1"/>
      <c r="E1869" s="1"/>
    </row>
    <row r="1870" spans="1:5" x14ac:dyDescent="0.25">
      <c r="A1870" s="1"/>
      <c r="B1870" s="1"/>
      <c r="C1870" s="1"/>
      <c r="D1870" s="1"/>
      <c r="E1870" s="1"/>
    </row>
    <row r="1871" spans="1:5" x14ac:dyDescent="0.25">
      <c r="A1871" s="1"/>
      <c r="B1871" s="1"/>
      <c r="C1871" s="1"/>
      <c r="D1871" s="1"/>
      <c r="E1871" s="1"/>
    </row>
    <row r="1872" spans="1:5" x14ac:dyDescent="0.25">
      <c r="A1872" s="1"/>
      <c r="B1872" s="1"/>
      <c r="C1872" s="1"/>
      <c r="D1872" s="1"/>
      <c r="E1872" s="1"/>
    </row>
    <row r="1873" spans="1:5" x14ac:dyDescent="0.25">
      <c r="A1873" s="1"/>
      <c r="B1873" s="1"/>
      <c r="C1873" s="1"/>
      <c r="D1873" s="1"/>
      <c r="E1873" s="1"/>
    </row>
    <row r="1874" spans="1:5" x14ac:dyDescent="0.25">
      <c r="A1874" s="1"/>
      <c r="B1874" s="1"/>
      <c r="C1874" s="1"/>
      <c r="D1874" s="1"/>
      <c r="E1874" s="1"/>
    </row>
    <row r="1875" spans="1:5" x14ac:dyDescent="0.25">
      <c r="A1875" s="1"/>
      <c r="B1875" s="1"/>
      <c r="C1875" s="1"/>
      <c r="D1875" s="1"/>
      <c r="E1875" s="1"/>
    </row>
    <row r="1876" spans="1:5" x14ac:dyDescent="0.25">
      <c r="A1876" s="1"/>
      <c r="B1876" s="1"/>
      <c r="C1876" s="1"/>
      <c r="D1876" s="1"/>
      <c r="E1876" s="1"/>
    </row>
    <row r="1877" spans="1:5" x14ac:dyDescent="0.25">
      <c r="A1877" s="1"/>
      <c r="B1877" s="1"/>
      <c r="C1877" s="1"/>
      <c r="D1877" s="1"/>
      <c r="E1877" s="1"/>
    </row>
    <row r="1878" spans="1:5" x14ac:dyDescent="0.25">
      <c r="A1878" s="1"/>
      <c r="B1878" s="1"/>
      <c r="C1878" s="1"/>
      <c r="D1878" s="1"/>
      <c r="E1878" s="1"/>
    </row>
    <row r="1879" spans="1:5" x14ac:dyDescent="0.25">
      <c r="A1879" s="1"/>
      <c r="B1879" s="1"/>
      <c r="C1879" s="1"/>
      <c r="D1879" s="1"/>
      <c r="E1879" s="1"/>
    </row>
    <row r="1880" spans="1:5" x14ac:dyDescent="0.25">
      <c r="A1880" s="1"/>
      <c r="B1880" s="1"/>
      <c r="C1880" s="1"/>
      <c r="D1880" s="1"/>
      <c r="E1880" s="1"/>
    </row>
    <row r="1881" spans="1:5" x14ac:dyDescent="0.25">
      <c r="A1881" s="1"/>
      <c r="B1881" s="1"/>
      <c r="C1881" s="1"/>
      <c r="D1881" s="1"/>
      <c r="E1881" s="1"/>
    </row>
    <row r="1882" spans="1:5" x14ac:dyDescent="0.25">
      <c r="A1882" s="1"/>
      <c r="B1882" s="1"/>
      <c r="C1882" s="1"/>
      <c r="D1882" s="1"/>
      <c r="E1882" s="1"/>
    </row>
    <row r="1883" spans="1:5" x14ac:dyDescent="0.25">
      <c r="A1883" s="1"/>
      <c r="B1883" s="1"/>
      <c r="C1883" s="1"/>
      <c r="D1883" s="1"/>
      <c r="E1883" s="1"/>
    </row>
    <row r="1884" spans="1:5" x14ac:dyDescent="0.25">
      <c r="A1884" s="1"/>
      <c r="B1884" s="1"/>
      <c r="C1884" s="1"/>
      <c r="D1884" s="1"/>
      <c r="E1884" s="1"/>
    </row>
    <row r="1885" spans="1:5" x14ac:dyDescent="0.25">
      <c r="A1885" s="1"/>
      <c r="B1885" s="1"/>
      <c r="C1885" s="1"/>
      <c r="D1885" s="1"/>
      <c r="E1885" s="1"/>
    </row>
    <row r="1886" spans="1:5" x14ac:dyDescent="0.25">
      <c r="A1886" s="1"/>
      <c r="B1886" s="1"/>
      <c r="C1886" s="1"/>
      <c r="D1886" s="1"/>
      <c r="E1886" s="1"/>
    </row>
    <row r="1887" spans="1:5" x14ac:dyDescent="0.25">
      <c r="A1887" s="1"/>
      <c r="B1887" s="1"/>
      <c r="C1887" s="1"/>
      <c r="D1887" s="1"/>
      <c r="E1887" s="1"/>
    </row>
    <row r="1888" spans="1:5" x14ac:dyDescent="0.25">
      <c r="A1888" s="1"/>
      <c r="B1888" s="1"/>
      <c r="C1888" s="1"/>
      <c r="D1888" s="1"/>
      <c r="E1888" s="1"/>
    </row>
    <row r="1889" spans="1:5" x14ac:dyDescent="0.25">
      <c r="A1889" s="1"/>
      <c r="B1889" s="1"/>
      <c r="C1889" s="1"/>
      <c r="D1889" s="1"/>
      <c r="E1889" s="1"/>
    </row>
    <row r="1890" spans="1:5" x14ac:dyDescent="0.25">
      <c r="A1890" s="1"/>
      <c r="B1890" s="1"/>
      <c r="C1890" s="1"/>
      <c r="D1890" s="1"/>
      <c r="E1890" s="1"/>
    </row>
    <row r="1891" spans="1:5" x14ac:dyDescent="0.25">
      <c r="A1891" s="1"/>
      <c r="B1891" s="1"/>
      <c r="C1891" s="1"/>
      <c r="D1891" s="1"/>
      <c r="E1891" s="1"/>
    </row>
    <row r="1892" spans="1:5" x14ac:dyDescent="0.25">
      <c r="A1892" s="1"/>
      <c r="B1892" s="1"/>
      <c r="C1892" s="1"/>
      <c r="D1892" s="1"/>
      <c r="E1892" s="1"/>
    </row>
    <row r="1893" spans="1:5" x14ac:dyDescent="0.25">
      <c r="A1893" s="1"/>
      <c r="B1893" s="1"/>
      <c r="C1893" s="1"/>
      <c r="D1893" s="1"/>
      <c r="E1893" s="1"/>
    </row>
    <row r="1894" spans="1:5" x14ac:dyDescent="0.25">
      <c r="A1894" s="1"/>
      <c r="B1894" s="1"/>
      <c r="C1894" s="1"/>
      <c r="D1894" s="1"/>
      <c r="E1894" s="1"/>
    </row>
    <row r="1895" spans="1:5" x14ac:dyDescent="0.25">
      <c r="A1895" s="1"/>
      <c r="B1895" s="1"/>
      <c r="C1895" s="1"/>
      <c r="D1895" s="1"/>
      <c r="E1895" s="1"/>
    </row>
    <row r="1896" spans="1:5" x14ac:dyDescent="0.25">
      <c r="A1896" s="1"/>
      <c r="B1896" s="1"/>
      <c r="C1896" s="1"/>
      <c r="D1896" s="1"/>
      <c r="E1896" s="1"/>
    </row>
    <row r="1897" spans="1:5" x14ac:dyDescent="0.25">
      <c r="A1897" s="1"/>
      <c r="B1897" s="1"/>
      <c r="C1897" s="1"/>
      <c r="D1897" s="1"/>
      <c r="E1897" s="1"/>
    </row>
    <row r="1898" spans="1:5" x14ac:dyDescent="0.25">
      <c r="A1898" s="1"/>
      <c r="B1898" s="1"/>
      <c r="C1898" s="1"/>
      <c r="D1898" s="1"/>
      <c r="E1898" s="1"/>
    </row>
    <row r="1899" spans="1:5" x14ac:dyDescent="0.25">
      <c r="A1899" s="1"/>
      <c r="B1899" s="1"/>
      <c r="C1899" s="1"/>
      <c r="D1899" s="1"/>
      <c r="E1899" s="1"/>
    </row>
    <row r="1900" spans="1:5" x14ac:dyDescent="0.25">
      <c r="A1900" s="1"/>
      <c r="B1900" s="1"/>
      <c r="C1900" s="1"/>
      <c r="D1900" s="1"/>
      <c r="E1900" s="1"/>
    </row>
    <row r="1901" spans="1:5" x14ac:dyDescent="0.25">
      <c r="A1901" s="1"/>
      <c r="B1901" s="1"/>
      <c r="C1901" s="1"/>
      <c r="D1901" s="1"/>
      <c r="E1901" s="1"/>
    </row>
    <row r="1902" spans="1:5" x14ac:dyDescent="0.25">
      <c r="A1902" s="1"/>
      <c r="B1902" s="1"/>
      <c r="C1902" s="1"/>
      <c r="D1902" s="1"/>
      <c r="E1902" s="1"/>
    </row>
    <row r="1903" spans="1:5" x14ac:dyDescent="0.25">
      <c r="A1903" s="1"/>
      <c r="B1903" s="1"/>
      <c r="C1903" s="1"/>
      <c r="D1903" s="1"/>
      <c r="E1903" s="1"/>
    </row>
    <row r="1904" spans="1:5" x14ac:dyDescent="0.25">
      <c r="A1904" s="1"/>
      <c r="B1904" s="1"/>
      <c r="C1904" s="1"/>
      <c r="D1904" s="1"/>
      <c r="E1904" s="1"/>
    </row>
    <row r="1905" spans="1:5" x14ac:dyDescent="0.25">
      <c r="A1905" s="1"/>
      <c r="B1905" s="1"/>
      <c r="C1905" s="1"/>
      <c r="D1905" s="1"/>
      <c r="E1905" s="1"/>
    </row>
    <row r="1906" spans="1:5" x14ac:dyDescent="0.25">
      <c r="A1906" s="1"/>
      <c r="B1906" s="1"/>
      <c r="C1906" s="1"/>
      <c r="D1906" s="1"/>
      <c r="E1906" s="1"/>
    </row>
    <row r="1907" spans="1:5" x14ac:dyDescent="0.25">
      <c r="A1907" s="1"/>
      <c r="B1907" s="1"/>
      <c r="C1907" s="1"/>
      <c r="D1907" s="1"/>
      <c r="E1907" s="1"/>
    </row>
    <row r="1908" spans="1:5" x14ac:dyDescent="0.25">
      <c r="A1908" s="1"/>
      <c r="B1908" s="1"/>
      <c r="C1908" s="1"/>
      <c r="D1908" s="1"/>
      <c r="E1908" s="1"/>
    </row>
    <row r="1909" spans="1:5" x14ac:dyDescent="0.25">
      <c r="A1909" s="1"/>
      <c r="B1909" s="1"/>
      <c r="C1909" s="1"/>
      <c r="D1909" s="1"/>
      <c r="E1909" s="1"/>
    </row>
    <row r="1910" spans="1:5" x14ac:dyDescent="0.25">
      <c r="A1910" s="1"/>
      <c r="B1910" s="1"/>
      <c r="C1910" s="1"/>
      <c r="D1910" s="1"/>
      <c r="E1910" s="1"/>
    </row>
    <row r="1911" spans="1:5" x14ac:dyDescent="0.25">
      <c r="A1911" s="1"/>
      <c r="B1911" s="1"/>
      <c r="C1911" s="1"/>
      <c r="D1911" s="1"/>
      <c r="E1911" s="1"/>
    </row>
    <row r="1912" spans="1:5" x14ac:dyDescent="0.25">
      <c r="A1912" s="1"/>
      <c r="B1912" s="1"/>
      <c r="C1912" s="1"/>
      <c r="D1912" s="1"/>
      <c r="E1912" s="1"/>
    </row>
    <row r="1913" spans="1:5" x14ac:dyDescent="0.25">
      <c r="A1913" s="1"/>
      <c r="B1913" s="1"/>
      <c r="C1913" s="1"/>
      <c r="D1913" s="1"/>
      <c r="E1913" s="1"/>
    </row>
    <row r="1914" spans="1:5" x14ac:dyDescent="0.25">
      <c r="A1914" s="1"/>
      <c r="B1914" s="1"/>
      <c r="C1914" s="1"/>
      <c r="D1914" s="1"/>
      <c r="E1914" s="1"/>
    </row>
    <row r="1915" spans="1:5" x14ac:dyDescent="0.25">
      <c r="A1915" s="1"/>
      <c r="B1915" s="1"/>
      <c r="C1915" s="1"/>
      <c r="D1915" s="1"/>
      <c r="E1915" s="1"/>
    </row>
    <row r="1916" spans="1:5" x14ac:dyDescent="0.25">
      <c r="A1916" s="1"/>
      <c r="B1916" s="1"/>
      <c r="C1916" s="1"/>
      <c r="D1916" s="1"/>
      <c r="E1916" s="1"/>
    </row>
    <row r="1917" spans="1:5" x14ac:dyDescent="0.25">
      <c r="A1917" s="1"/>
      <c r="B1917" s="1"/>
      <c r="C1917" s="1"/>
      <c r="D1917" s="1"/>
      <c r="E1917" s="1"/>
    </row>
    <row r="1918" spans="1:5" x14ac:dyDescent="0.25">
      <c r="A1918" s="1"/>
      <c r="B1918" s="1"/>
      <c r="C1918" s="1"/>
      <c r="D1918" s="1"/>
      <c r="E1918" s="1"/>
    </row>
    <row r="1919" spans="1:5" x14ac:dyDescent="0.25">
      <c r="A1919" s="1"/>
      <c r="B1919" s="1"/>
      <c r="C1919" s="1"/>
      <c r="D1919" s="1"/>
      <c r="E1919" s="1"/>
    </row>
    <row r="1920" spans="1:5" x14ac:dyDescent="0.25">
      <c r="A1920" s="1"/>
      <c r="B1920" s="1"/>
      <c r="C1920" s="1"/>
      <c r="D1920" s="1"/>
      <c r="E1920" s="1"/>
    </row>
    <row r="1921" spans="1:5" x14ac:dyDescent="0.25">
      <c r="A1921" s="1"/>
      <c r="B1921" s="1"/>
      <c r="C1921" s="1"/>
      <c r="D1921" s="1"/>
      <c r="E1921" s="1"/>
    </row>
    <row r="1922" spans="1:5" x14ac:dyDescent="0.25">
      <c r="A1922" s="1"/>
      <c r="B1922" s="1"/>
      <c r="C1922" s="1"/>
      <c r="D1922" s="1"/>
      <c r="E1922" s="1"/>
    </row>
    <row r="1923" spans="1:5" x14ac:dyDescent="0.25">
      <c r="A1923" s="1"/>
      <c r="B1923" s="1"/>
      <c r="C1923" s="1"/>
      <c r="D1923" s="1"/>
      <c r="E1923" s="1"/>
    </row>
    <row r="1924" spans="1:5" x14ac:dyDescent="0.25">
      <c r="A1924" s="1"/>
      <c r="B1924" s="1"/>
      <c r="C1924" s="1"/>
      <c r="D1924" s="1"/>
      <c r="E1924" s="1"/>
    </row>
    <row r="1925" spans="1:5" x14ac:dyDescent="0.25">
      <c r="A1925" s="1"/>
      <c r="B1925" s="1"/>
      <c r="C1925" s="1"/>
      <c r="D1925" s="1"/>
      <c r="E1925" s="1"/>
    </row>
    <row r="1926" spans="1:5" x14ac:dyDescent="0.25">
      <c r="A1926" s="1"/>
      <c r="B1926" s="1"/>
      <c r="C1926" s="1"/>
      <c r="D1926" s="1"/>
      <c r="E1926" s="1"/>
    </row>
    <row r="1927" spans="1:5" x14ac:dyDescent="0.25">
      <c r="A1927" s="1"/>
      <c r="B1927" s="1"/>
      <c r="C1927" s="1"/>
      <c r="D1927" s="1"/>
      <c r="E1927" s="1"/>
    </row>
    <row r="1928" spans="1:5" x14ac:dyDescent="0.25">
      <c r="A1928" s="1"/>
      <c r="B1928" s="1"/>
      <c r="C1928" s="1"/>
      <c r="D1928" s="1"/>
      <c r="E1928" s="1"/>
    </row>
    <row r="1929" spans="1:5" x14ac:dyDescent="0.25">
      <c r="A1929" s="1"/>
      <c r="B1929" s="1"/>
      <c r="C1929" s="1"/>
      <c r="D1929" s="1"/>
      <c r="E1929" s="1"/>
    </row>
    <row r="1930" spans="1:5" x14ac:dyDescent="0.25">
      <c r="A1930" s="1"/>
      <c r="B1930" s="1"/>
      <c r="C1930" s="1"/>
      <c r="D1930" s="1"/>
      <c r="E1930" s="1"/>
    </row>
    <row r="1931" spans="1:5" x14ac:dyDescent="0.25">
      <c r="A1931" s="1"/>
      <c r="B1931" s="1"/>
      <c r="C1931" s="1"/>
      <c r="D1931" s="1"/>
      <c r="E1931" s="1"/>
    </row>
    <row r="1932" spans="1:5" x14ac:dyDescent="0.25">
      <c r="A1932" s="1"/>
      <c r="B1932" s="1"/>
      <c r="C1932" s="1"/>
      <c r="D1932" s="1"/>
      <c r="E1932" s="1"/>
    </row>
    <row r="1933" spans="1:5" x14ac:dyDescent="0.25">
      <c r="A1933" s="1"/>
      <c r="B1933" s="1"/>
      <c r="C1933" s="1"/>
      <c r="D1933" s="1"/>
      <c r="E1933" s="1"/>
    </row>
    <row r="1934" spans="1:5" x14ac:dyDescent="0.25">
      <c r="A1934" s="1"/>
      <c r="B1934" s="1"/>
      <c r="C1934" s="1"/>
      <c r="D1934" s="1"/>
      <c r="E1934" s="1"/>
    </row>
    <row r="1935" spans="1:5" x14ac:dyDescent="0.25">
      <c r="A1935" s="1"/>
      <c r="B1935" s="1"/>
      <c r="C1935" s="1"/>
      <c r="D1935" s="1"/>
      <c r="E1935" s="1"/>
    </row>
    <row r="1936" spans="1:5" x14ac:dyDescent="0.25">
      <c r="A1936" s="1"/>
      <c r="B1936" s="1"/>
      <c r="C1936" s="1"/>
      <c r="D1936" s="1"/>
      <c r="E1936" s="1"/>
    </row>
    <row r="1937" spans="1:5" x14ac:dyDescent="0.25">
      <c r="A1937" s="1"/>
      <c r="B1937" s="1"/>
      <c r="C1937" s="1"/>
      <c r="D1937" s="1"/>
      <c r="E1937" s="1"/>
    </row>
    <row r="1938" spans="1:5" x14ac:dyDescent="0.25">
      <c r="A1938" s="1"/>
      <c r="B1938" s="1"/>
      <c r="C1938" s="1"/>
      <c r="D1938" s="1"/>
      <c r="E1938" s="1"/>
    </row>
    <row r="1939" spans="1:5" x14ac:dyDescent="0.25">
      <c r="A1939" s="1"/>
      <c r="B1939" s="1"/>
      <c r="C1939" s="1"/>
      <c r="D1939" s="1"/>
      <c r="E1939" s="1"/>
    </row>
    <row r="1940" spans="1:5" x14ac:dyDescent="0.25">
      <c r="A1940" s="1"/>
      <c r="B1940" s="1"/>
      <c r="C1940" s="1"/>
      <c r="D1940" s="1"/>
      <c r="E1940" s="1"/>
    </row>
    <row r="1941" spans="1:5" x14ac:dyDescent="0.25">
      <c r="A1941" s="1"/>
      <c r="B1941" s="1"/>
      <c r="C1941" s="1"/>
      <c r="D1941" s="1"/>
      <c r="E1941" s="1"/>
    </row>
    <row r="1942" spans="1:5" x14ac:dyDescent="0.25">
      <c r="A1942" s="1"/>
      <c r="B1942" s="1"/>
      <c r="C1942" s="1"/>
      <c r="D1942" s="1"/>
      <c r="E1942" s="1"/>
    </row>
    <row r="1943" spans="1:5" x14ac:dyDescent="0.25">
      <c r="A1943" s="1"/>
      <c r="B1943" s="1"/>
      <c r="C1943" s="1"/>
      <c r="D1943" s="1"/>
      <c r="E1943" s="1"/>
    </row>
    <row r="1944" spans="1:5" x14ac:dyDescent="0.25">
      <c r="A1944" s="1"/>
      <c r="B1944" s="1"/>
      <c r="C1944" s="1"/>
      <c r="D1944" s="1"/>
      <c r="E1944" s="1"/>
    </row>
    <row r="1945" spans="1:5" x14ac:dyDescent="0.25">
      <c r="A1945" s="1"/>
      <c r="B1945" s="1"/>
      <c r="C1945" s="1"/>
      <c r="D1945" s="1"/>
      <c r="E1945" s="1"/>
    </row>
    <row r="1946" spans="1:5" x14ac:dyDescent="0.25">
      <c r="A1946" s="1"/>
      <c r="B1946" s="1"/>
      <c r="C1946" s="1"/>
      <c r="D1946" s="1"/>
      <c r="E1946" s="1"/>
    </row>
    <row r="1947" spans="1:5" x14ac:dyDescent="0.25">
      <c r="A1947" s="1"/>
      <c r="B1947" s="1"/>
      <c r="C1947" s="1"/>
      <c r="D1947" s="1"/>
      <c r="E1947" s="1"/>
    </row>
    <row r="1948" spans="1:5" x14ac:dyDescent="0.25">
      <c r="A1948" s="1"/>
      <c r="B1948" s="1"/>
      <c r="C1948" s="1"/>
      <c r="D1948" s="1"/>
      <c r="E1948" s="1"/>
    </row>
    <row r="1949" spans="1:5" x14ac:dyDescent="0.25">
      <c r="A1949" s="1"/>
      <c r="B1949" s="1"/>
      <c r="C1949" s="1"/>
      <c r="D1949" s="1"/>
      <c r="E1949" s="1"/>
    </row>
    <row r="1950" spans="1:5" x14ac:dyDescent="0.25">
      <c r="A1950" s="1"/>
      <c r="B1950" s="1"/>
      <c r="C1950" s="1"/>
      <c r="D1950" s="1"/>
      <c r="E1950" s="1"/>
    </row>
    <row r="1951" spans="1:5" x14ac:dyDescent="0.25">
      <c r="A1951" s="1"/>
      <c r="B1951" s="1"/>
      <c r="C1951" s="1"/>
      <c r="D1951" s="1"/>
      <c r="E1951" s="1"/>
    </row>
    <row r="1952" spans="1:5" x14ac:dyDescent="0.25">
      <c r="A1952" s="1"/>
      <c r="B1952" s="1"/>
      <c r="C1952" s="1"/>
      <c r="D1952" s="1"/>
      <c r="E1952" s="1"/>
    </row>
    <row r="1953" spans="1:5" x14ac:dyDescent="0.25">
      <c r="A1953" s="1"/>
      <c r="B1953" s="1"/>
      <c r="C1953" s="1"/>
      <c r="D1953" s="1"/>
      <c r="E1953" s="1"/>
    </row>
    <row r="1954" spans="1:5" x14ac:dyDescent="0.25">
      <c r="A1954" s="1"/>
      <c r="B1954" s="1"/>
      <c r="C1954" s="1"/>
      <c r="D1954" s="1"/>
      <c r="E1954" s="1"/>
    </row>
    <row r="1955" spans="1:5" x14ac:dyDescent="0.25">
      <c r="A1955" s="1"/>
      <c r="B1955" s="1"/>
      <c r="C1955" s="1"/>
      <c r="D1955" s="1"/>
      <c r="E1955" s="1"/>
    </row>
    <row r="1956" spans="1:5" x14ac:dyDescent="0.25">
      <c r="A1956" s="1"/>
      <c r="B1956" s="1"/>
      <c r="C1956" s="1"/>
      <c r="D1956" s="1"/>
      <c r="E1956" s="1"/>
    </row>
    <row r="1957" spans="1:5" x14ac:dyDescent="0.25">
      <c r="A1957" s="1"/>
      <c r="B1957" s="1"/>
      <c r="C1957" s="1"/>
      <c r="D1957" s="1"/>
      <c r="E1957" s="1"/>
    </row>
    <row r="1958" spans="1:5" x14ac:dyDescent="0.25">
      <c r="A1958" s="1"/>
      <c r="B1958" s="1"/>
      <c r="C1958" s="1"/>
      <c r="D1958" s="1"/>
      <c r="E1958" s="1"/>
    </row>
    <row r="1959" spans="1:5" x14ac:dyDescent="0.25">
      <c r="A1959" s="1"/>
      <c r="B1959" s="1"/>
      <c r="C1959" s="1"/>
      <c r="D1959" s="1"/>
      <c r="E1959" s="1"/>
    </row>
    <row r="1960" spans="1:5" x14ac:dyDescent="0.25">
      <c r="A1960" s="1"/>
      <c r="B1960" s="1"/>
      <c r="C1960" s="1"/>
      <c r="D1960" s="1"/>
      <c r="E1960" s="1"/>
    </row>
    <row r="1961" spans="1:5" x14ac:dyDescent="0.25">
      <c r="A1961" s="1"/>
      <c r="B1961" s="1"/>
      <c r="C1961" s="1"/>
      <c r="D1961" s="1"/>
      <c r="E1961" s="1"/>
    </row>
    <row r="1962" spans="1:5" x14ac:dyDescent="0.25">
      <c r="A1962" s="1"/>
      <c r="B1962" s="1"/>
      <c r="C1962" s="1"/>
      <c r="D1962" s="1"/>
      <c r="E1962" s="1"/>
    </row>
    <row r="1963" spans="1:5" x14ac:dyDescent="0.25">
      <c r="A1963" s="1"/>
      <c r="B1963" s="1"/>
      <c r="C1963" s="1"/>
      <c r="D1963" s="1"/>
      <c r="E1963" s="1"/>
    </row>
    <row r="1964" spans="1:5" x14ac:dyDescent="0.25">
      <c r="A1964" s="1"/>
      <c r="B1964" s="1"/>
      <c r="C1964" s="1"/>
      <c r="D1964" s="1"/>
      <c r="E1964" s="1"/>
    </row>
    <row r="1965" spans="1:5" x14ac:dyDescent="0.25">
      <c r="A1965" s="1"/>
      <c r="B1965" s="1"/>
      <c r="C1965" s="1"/>
      <c r="D1965" s="1"/>
      <c r="E1965" s="1"/>
    </row>
    <row r="1966" spans="1:5" x14ac:dyDescent="0.25">
      <c r="A1966" s="1"/>
      <c r="B1966" s="1"/>
      <c r="C1966" s="1"/>
      <c r="D1966" s="1"/>
      <c r="E1966" s="1"/>
    </row>
    <row r="1967" spans="1:5" x14ac:dyDescent="0.25">
      <c r="A1967" s="1"/>
      <c r="B1967" s="1"/>
      <c r="C1967" s="1"/>
      <c r="D1967" s="1"/>
      <c r="E1967" s="1"/>
    </row>
    <row r="1968" spans="1:5" x14ac:dyDescent="0.25">
      <c r="A1968" s="1"/>
      <c r="B1968" s="1"/>
      <c r="C1968" s="1"/>
      <c r="D1968" s="1"/>
      <c r="E1968" s="1"/>
    </row>
    <row r="1969" spans="1:5" x14ac:dyDescent="0.25">
      <c r="A1969" s="1"/>
      <c r="B1969" s="1"/>
      <c r="C1969" s="1"/>
      <c r="D1969" s="1"/>
      <c r="E1969" s="1"/>
    </row>
    <row r="1970" spans="1:5" x14ac:dyDescent="0.25">
      <c r="A1970" s="1"/>
      <c r="B1970" s="1"/>
      <c r="C1970" s="1"/>
      <c r="D1970" s="1"/>
      <c r="E1970" s="1"/>
    </row>
    <row r="1971" spans="1:5" x14ac:dyDescent="0.25">
      <c r="A1971" s="1"/>
      <c r="B1971" s="1"/>
      <c r="C1971" s="1"/>
      <c r="D1971" s="1"/>
      <c r="E1971" s="1"/>
    </row>
    <row r="1972" spans="1:5" x14ac:dyDescent="0.25">
      <c r="A1972" s="1"/>
      <c r="B1972" s="1"/>
      <c r="C1972" s="1"/>
      <c r="D1972" s="1"/>
      <c r="E1972" s="1"/>
    </row>
    <row r="1973" spans="1:5" x14ac:dyDescent="0.25">
      <c r="A1973" s="1"/>
      <c r="B1973" s="1"/>
      <c r="C1973" s="1"/>
      <c r="D1973" s="1"/>
      <c r="E1973" s="1"/>
    </row>
    <row r="1974" spans="1:5" x14ac:dyDescent="0.25">
      <c r="A1974" s="1"/>
      <c r="B1974" s="1"/>
      <c r="C1974" s="1"/>
      <c r="D1974" s="1"/>
      <c r="E1974" s="1"/>
    </row>
    <row r="1975" spans="1:5" x14ac:dyDescent="0.25">
      <c r="A1975" s="1"/>
      <c r="B1975" s="1"/>
      <c r="C1975" s="1"/>
      <c r="D1975" s="1"/>
      <c r="E1975" s="1"/>
    </row>
    <row r="1976" spans="1:5" x14ac:dyDescent="0.25">
      <c r="A1976" s="1"/>
      <c r="B1976" s="1"/>
      <c r="C1976" s="1"/>
      <c r="D1976" s="1"/>
      <c r="E1976" s="1"/>
    </row>
    <row r="1977" spans="1:5" x14ac:dyDescent="0.25">
      <c r="A1977" s="1"/>
      <c r="B1977" s="1"/>
      <c r="C1977" s="1"/>
      <c r="D1977" s="1"/>
      <c r="E1977" s="1"/>
    </row>
    <row r="1978" spans="1:5" x14ac:dyDescent="0.25">
      <c r="A1978" s="1"/>
      <c r="B1978" s="1"/>
      <c r="C1978" s="1"/>
      <c r="D1978" s="1"/>
      <c r="E1978" s="1"/>
    </row>
    <row r="1979" spans="1:5" x14ac:dyDescent="0.25">
      <c r="A1979" s="1"/>
      <c r="B1979" s="1"/>
      <c r="C1979" s="1"/>
      <c r="D1979" s="1"/>
      <c r="E1979" s="1"/>
    </row>
    <row r="1980" spans="1:5" x14ac:dyDescent="0.25">
      <c r="A1980" s="1"/>
      <c r="B1980" s="1"/>
      <c r="C1980" s="1"/>
      <c r="D1980" s="1"/>
      <c r="E1980" s="1"/>
    </row>
    <row r="1981" spans="1:5" x14ac:dyDescent="0.25">
      <c r="A1981" s="1"/>
      <c r="B1981" s="1"/>
      <c r="C1981" s="1"/>
      <c r="D1981" s="1"/>
      <c r="E1981" s="1"/>
    </row>
    <row r="1982" spans="1:5" x14ac:dyDescent="0.25">
      <c r="A1982" s="1"/>
      <c r="B1982" s="1"/>
      <c r="C1982" s="1"/>
      <c r="D1982" s="1"/>
      <c r="E1982" s="1"/>
    </row>
    <row r="1983" spans="1:5" x14ac:dyDescent="0.25">
      <c r="A1983" s="1"/>
      <c r="B1983" s="1"/>
      <c r="C1983" s="1"/>
      <c r="D1983" s="1"/>
      <c r="E1983" s="1"/>
    </row>
    <row r="1984" spans="1:5" x14ac:dyDescent="0.25">
      <c r="A1984" s="1"/>
      <c r="B1984" s="1"/>
      <c r="C1984" s="1"/>
      <c r="D1984" s="1"/>
      <c r="E1984" s="1"/>
    </row>
    <row r="1985" spans="1:5" x14ac:dyDescent="0.25">
      <c r="A1985" s="1"/>
      <c r="B1985" s="1"/>
      <c r="C1985" s="1"/>
      <c r="D1985" s="1"/>
      <c r="E1985" s="1"/>
    </row>
    <row r="1986" spans="1:5" x14ac:dyDescent="0.25">
      <c r="A1986" s="1"/>
      <c r="B1986" s="1"/>
      <c r="C1986" s="1"/>
      <c r="D1986" s="1"/>
      <c r="E1986" s="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"/>
  <dimension ref="B1:P38"/>
  <sheetViews>
    <sheetView showGridLines="0" workbookViewId="0">
      <selection activeCell="J13" sqref="J13"/>
    </sheetView>
  </sheetViews>
  <sheetFormatPr baseColWidth="10" defaultRowHeight="15" x14ac:dyDescent="0.25"/>
  <cols>
    <col min="3" max="3" width="11.85546875" bestFit="1" customWidth="1"/>
    <col min="5" max="5" width="7.5703125" bestFit="1" customWidth="1"/>
    <col min="7" max="7" width="14" customWidth="1"/>
  </cols>
  <sheetData>
    <row r="1" spans="2:16" x14ac:dyDescent="0.25">
      <c r="P1" t="s">
        <v>9</v>
      </c>
    </row>
    <row r="2" spans="2:16" x14ac:dyDescent="0.25">
      <c r="P2" t="s">
        <v>10</v>
      </c>
    </row>
    <row r="3" spans="2:16" x14ac:dyDescent="0.25">
      <c r="C3" s="14"/>
      <c r="D3" s="14" t="s">
        <v>11</v>
      </c>
      <c r="E3" s="14" t="s">
        <v>7</v>
      </c>
      <c r="F3" s="14"/>
      <c r="G3" s="14"/>
      <c r="H3" s="14"/>
      <c r="I3" s="14"/>
      <c r="J3" s="14"/>
      <c r="K3" s="14"/>
      <c r="L3" s="14"/>
      <c r="P3" t="s">
        <v>12</v>
      </c>
    </row>
    <row r="4" spans="2:16" x14ac:dyDescent="0.25">
      <c r="C4" s="14"/>
      <c r="D4" s="14" t="s">
        <v>13</v>
      </c>
      <c r="E4" s="14" t="str">
        <f>CONCATENATE("D:\SymbioticStudies\" &amp; E5&amp;F3)</f>
        <v>D:\SymbioticStudies\ZAnd</v>
      </c>
      <c r="F4" s="14"/>
      <c r="G4" s="14"/>
      <c r="H4" s="14" t="str">
        <f>+CONCATENATE("D:\SITEWEB\SymbioticStars\Studies\" &amp; E5)</f>
        <v>D:\SITEWEB\SymbioticStars\Studies\ZAnd</v>
      </c>
      <c r="I4" s="14"/>
      <c r="J4" s="14"/>
      <c r="K4" s="14"/>
      <c r="L4" s="14"/>
      <c r="P4" t="s">
        <v>14</v>
      </c>
    </row>
    <row r="5" spans="2:16" x14ac:dyDescent="0.25">
      <c r="C5" s="14"/>
      <c r="D5" s="14" t="s">
        <v>15</v>
      </c>
      <c r="E5" s="14" t="str">
        <f>+SUBSTITUTE(E3," ","")</f>
        <v>ZAnd</v>
      </c>
      <c r="F5" s="14"/>
      <c r="G5" s="14"/>
      <c r="H5" s="14"/>
      <c r="I5" s="14"/>
      <c r="J5" s="14"/>
      <c r="K5" s="14"/>
      <c r="L5" s="14"/>
      <c r="P5" t="s">
        <v>16</v>
      </c>
    </row>
    <row r="6" spans="2:16" x14ac:dyDescent="0.25">
      <c r="P6" t="s">
        <v>17</v>
      </c>
    </row>
    <row r="7" spans="2:16" x14ac:dyDescent="0.25">
      <c r="C7" s="15" t="s">
        <v>18</v>
      </c>
      <c r="D7" s="15">
        <v>759</v>
      </c>
      <c r="F7" s="14" t="s">
        <v>19</v>
      </c>
      <c r="G7" s="14">
        <f>+VLOOKUP($J$9,$B$16:$G$37,5)</f>
        <v>10</v>
      </c>
      <c r="H7" s="14"/>
      <c r="P7" t="s">
        <v>20</v>
      </c>
    </row>
    <row r="8" spans="2:16" x14ac:dyDescent="0.25">
      <c r="C8" s="15" t="s">
        <v>21</v>
      </c>
      <c r="D8" s="15">
        <v>2450260.2000000002</v>
      </c>
      <c r="F8" s="14" t="s">
        <v>22</v>
      </c>
      <c r="G8" s="14">
        <v>500</v>
      </c>
      <c r="H8" s="14" t="s">
        <v>23</v>
      </c>
      <c r="P8" t="s">
        <v>24</v>
      </c>
    </row>
    <row r="9" spans="2:16" x14ac:dyDescent="0.25">
      <c r="C9" s="15" t="s">
        <v>25</v>
      </c>
      <c r="D9" s="15">
        <v>-0.59</v>
      </c>
      <c r="F9" s="14" t="s">
        <v>26</v>
      </c>
      <c r="G9" s="14">
        <f>+G8/2</f>
        <v>250</v>
      </c>
      <c r="H9" s="14"/>
      <c r="J9">
        <v>1</v>
      </c>
      <c r="P9" t="s">
        <v>27</v>
      </c>
    </row>
    <row r="10" spans="2:16" x14ac:dyDescent="0.25">
      <c r="F10" s="14" t="s">
        <v>28</v>
      </c>
      <c r="G10" s="14">
        <f>+VLOOKUP($J$9,$B$16:$G$37,6)</f>
        <v>3</v>
      </c>
      <c r="H10" s="14"/>
      <c r="P10" t="s">
        <v>29</v>
      </c>
    </row>
    <row r="11" spans="2:16" x14ac:dyDescent="0.25">
      <c r="C11" s="14" t="s">
        <v>30</v>
      </c>
      <c r="D11" s="14">
        <v>250</v>
      </c>
      <c r="F11" s="14" t="s">
        <v>31</v>
      </c>
      <c r="G11" s="14"/>
      <c r="H11" s="14"/>
      <c r="P11" t="s">
        <v>32</v>
      </c>
    </row>
    <row r="12" spans="2:16" x14ac:dyDescent="0.25">
      <c r="C12" s="14" t="s">
        <v>33</v>
      </c>
      <c r="D12" s="14">
        <v>450</v>
      </c>
      <c r="F12" s="14" t="s">
        <v>34</v>
      </c>
      <c r="G12" s="14">
        <f>+VLOOKUP($J$9,$B$16:$H$37,7)</f>
        <v>150</v>
      </c>
      <c r="H12" s="14"/>
      <c r="P12" t="s">
        <v>35</v>
      </c>
    </row>
    <row r="13" spans="2:16" x14ac:dyDescent="0.25">
      <c r="C13" s="14" t="s">
        <v>36</v>
      </c>
      <c r="D13" s="16" t="str">
        <f>+VLOOKUP([2]Feuil1!A1,[2]Feuil1!A3:B6,2)</f>
        <v>b</v>
      </c>
      <c r="F13" s="14" t="s">
        <v>37</v>
      </c>
      <c r="G13" s="17">
        <f>+VLOOKUP($J$9,$B$16:$H$37,4)</f>
        <v>6562.82</v>
      </c>
      <c r="H13" s="14"/>
      <c r="P13" t="s">
        <v>38</v>
      </c>
    </row>
    <row r="14" spans="2:16" x14ac:dyDescent="0.25">
      <c r="F14" s="14" t="s">
        <v>39</v>
      </c>
      <c r="G14" s="18" t="str">
        <f>+VLOOKUP($J$9,$B$16:$H$37,2)</f>
        <v>Ha 6563</v>
      </c>
      <c r="H14" s="14"/>
      <c r="P14" t="s">
        <v>40</v>
      </c>
    </row>
    <row r="15" spans="2:16" x14ac:dyDescent="0.25">
      <c r="F15" s="19" t="s">
        <v>19</v>
      </c>
      <c r="G15" s="19" t="s">
        <v>28</v>
      </c>
      <c r="H15" s="19"/>
      <c r="P15" t="s">
        <v>41</v>
      </c>
    </row>
    <row r="16" spans="2:16" x14ac:dyDescent="0.25">
      <c r="B16" s="20">
        <v>1</v>
      </c>
      <c r="C16" s="20" t="str">
        <f>+CONCATENATE(D16 &amp; " " &amp; ROUND( E16,0))</f>
        <v>Ha 6563</v>
      </c>
      <c r="D16" t="s">
        <v>42</v>
      </c>
      <c r="E16">
        <v>6562.82</v>
      </c>
      <c r="F16" s="19">
        <v>10</v>
      </c>
      <c r="G16" s="19">
        <v>3</v>
      </c>
      <c r="H16" s="19">
        <v>150</v>
      </c>
      <c r="P16" t="s">
        <v>43</v>
      </c>
    </row>
    <row r="17" spans="2:16" x14ac:dyDescent="0.25">
      <c r="B17" s="20">
        <v>2</v>
      </c>
      <c r="C17" s="20" t="str">
        <f t="shared" ref="C17:C34" si="0">+CONCATENATE(D17 &amp; " " &amp; ROUND( E17,0))</f>
        <v>Hb 4861</v>
      </c>
      <c r="D17" t="s">
        <v>44</v>
      </c>
      <c r="E17">
        <v>4861.34</v>
      </c>
      <c r="F17" s="19">
        <v>10</v>
      </c>
      <c r="G17" s="19">
        <v>3</v>
      </c>
      <c r="H17" s="19">
        <v>130</v>
      </c>
      <c r="P17" t="s">
        <v>45</v>
      </c>
    </row>
    <row r="18" spans="2:16" x14ac:dyDescent="0.25">
      <c r="B18">
        <v>3</v>
      </c>
      <c r="C18" t="str">
        <f t="shared" si="0"/>
        <v>Hg 4340</v>
      </c>
      <c r="D18" t="s">
        <v>46</v>
      </c>
      <c r="E18">
        <v>4340</v>
      </c>
      <c r="F18" s="19">
        <v>1</v>
      </c>
      <c r="G18" s="19">
        <v>3</v>
      </c>
      <c r="H18" s="19">
        <v>25</v>
      </c>
      <c r="P18" t="s">
        <v>47</v>
      </c>
    </row>
    <row r="19" spans="2:16" x14ac:dyDescent="0.25">
      <c r="B19">
        <v>4</v>
      </c>
      <c r="C19" t="str">
        <f t="shared" si="0"/>
        <v>[OI] 6300</v>
      </c>
      <c r="D19" t="s">
        <v>48</v>
      </c>
      <c r="E19">
        <v>6300.32</v>
      </c>
      <c r="F19" s="19">
        <v>1</v>
      </c>
      <c r="G19" s="19">
        <v>0.5</v>
      </c>
      <c r="H19" s="19">
        <v>22</v>
      </c>
      <c r="P19" t="s">
        <v>49</v>
      </c>
    </row>
    <row r="20" spans="2:16" x14ac:dyDescent="0.25">
      <c r="B20">
        <v>5</v>
      </c>
      <c r="C20" t="str">
        <f t="shared" si="0"/>
        <v>[OI] 6363</v>
      </c>
      <c r="D20" t="s">
        <v>48</v>
      </c>
      <c r="E20">
        <v>6363</v>
      </c>
      <c r="F20" s="19"/>
      <c r="G20" s="19"/>
      <c r="H20" s="19"/>
      <c r="P20" t="s">
        <v>50</v>
      </c>
    </row>
    <row r="21" spans="2:16" x14ac:dyDescent="0.25">
      <c r="B21">
        <v>6</v>
      </c>
      <c r="C21" t="str">
        <f>+CONCATENATE(D21 &amp; " " &amp; ROUND( E21,0))</f>
        <v>He I 5016</v>
      </c>
      <c r="D21" t="s">
        <v>51</v>
      </c>
      <c r="E21">
        <v>5015.68</v>
      </c>
      <c r="F21" s="19">
        <v>1</v>
      </c>
      <c r="G21" s="19">
        <v>0.5</v>
      </c>
      <c r="H21" s="19">
        <v>25</v>
      </c>
      <c r="P21" t="s">
        <v>52</v>
      </c>
    </row>
    <row r="22" spans="2:16" x14ac:dyDescent="0.25">
      <c r="B22" s="20">
        <v>7</v>
      </c>
      <c r="C22" s="20" t="str">
        <f t="shared" si="0"/>
        <v>He I 5876</v>
      </c>
      <c r="D22" t="s">
        <v>51</v>
      </c>
      <c r="E22">
        <v>5875.65</v>
      </c>
      <c r="F22" s="19">
        <v>2</v>
      </c>
      <c r="G22" s="19">
        <v>0.5</v>
      </c>
      <c r="H22" s="19">
        <v>28</v>
      </c>
      <c r="P22" t="s">
        <v>53</v>
      </c>
    </row>
    <row r="23" spans="2:16" x14ac:dyDescent="0.25">
      <c r="B23">
        <v>8</v>
      </c>
      <c r="C23" t="str">
        <f t="shared" si="0"/>
        <v>He I 6678</v>
      </c>
      <c r="D23" t="s">
        <v>51</v>
      </c>
      <c r="E23">
        <v>6678.15</v>
      </c>
      <c r="F23" s="19">
        <v>1</v>
      </c>
      <c r="G23" s="19">
        <v>0.5</v>
      </c>
      <c r="H23" s="19">
        <v>15</v>
      </c>
      <c r="P23" t="s">
        <v>54</v>
      </c>
    </row>
    <row r="24" spans="2:16" x14ac:dyDescent="0.25">
      <c r="B24">
        <v>9</v>
      </c>
      <c r="C24" t="str">
        <f t="shared" si="0"/>
        <v>He I 7065</v>
      </c>
      <c r="D24" t="s">
        <v>51</v>
      </c>
      <c r="E24">
        <v>7065</v>
      </c>
      <c r="F24" s="19"/>
      <c r="G24" s="19"/>
      <c r="H24" s="19"/>
      <c r="P24" t="s">
        <v>55</v>
      </c>
    </row>
    <row r="25" spans="2:16" x14ac:dyDescent="0.25">
      <c r="B25">
        <v>10</v>
      </c>
      <c r="C25" t="str">
        <f t="shared" si="0"/>
        <v>He II 4686</v>
      </c>
      <c r="D25" t="s">
        <v>56</v>
      </c>
      <c r="E25">
        <v>4685.68</v>
      </c>
      <c r="F25" s="19">
        <v>10</v>
      </c>
      <c r="G25" s="19">
        <v>3</v>
      </c>
      <c r="H25" s="19">
        <v>130</v>
      </c>
      <c r="P25" t="s">
        <v>57</v>
      </c>
    </row>
    <row r="26" spans="2:16" x14ac:dyDescent="0.25">
      <c r="B26">
        <v>11</v>
      </c>
      <c r="C26" t="str">
        <f t="shared" si="0"/>
        <v>[O III] 5007</v>
      </c>
      <c r="D26" t="s">
        <v>58</v>
      </c>
      <c r="E26">
        <v>5006.84</v>
      </c>
      <c r="F26" s="19">
        <v>1</v>
      </c>
      <c r="G26" s="19">
        <v>0.5</v>
      </c>
      <c r="H26" s="19">
        <v>20</v>
      </c>
      <c r="P26" t="s">
        <v>59</v>
      </c>
    </row>
    <row r="27" spans="2:16" x14ac:dyDescent="0.25">
      <c r="B27">
        <v>12</v>
      </c>
      <c r="C27" t="str">
        <f t="shared" si="0"/>
        <v>[O III] 4959</v>
      </c>
      <c r="D27" t="s">
        <v>58</v>
      </c>
      <c r="E27">
        <v>4959</v>
      </c>
      <c r="F27" s="19"/>
      <c r="G27" s="19"/>
      <c r="H27" s="19"/>
      <c r="P27" t="s">
        <v>60</v>
      </c>
    </row>
    <row r="28" spans="2:16" x14ac:dyDescent="0.25">
      <c r="B28">
        <v>13</v>
      </c>
      <c r="C28" t="str">
        <f t="shared" si="0"/>
        <v>[O III] 4363</v>
      </c>
      <c r="D28" t="s">
        <v>58</v>
      </c>
      <c r="E28">
        <v>4363</v>
      </c>
      <c r="F28" s="19">
        <v>1</v>
      </c>
      <c r="G28" s="19">
        <v>0.5</v>
      </c>
      <c r="H28" s="19">
        <v>20</v>
      </c>
      <c r="P28" t="s">
        <v>61</v>
      </c>
    </row>
    <row r="29" spans="2:16" x14ac:dyDescent="0.25">
      <c r="B29">
        <v>14</v>
      </c>
      <c r="C29" t="str">
        <f t="shared" si="0"/>
        <v>Fe II 4924</v>
      </c>
      <c r="D29" t="s">
        <v>62</v>
      </c>
      <c r="E29">
        <v>4923.92</v>
      </c>
      <c r="F29" s="19">
        <v>1</v>
      </c>
      <c r="G29" s="19">
        <v>1</v>
      </c>
      <c r="H29" s="19">
        <v>25</v>
      </c>
      <c r="P29" t="s">
        <v>63</v>
      </c>
    </row>
    <row r="30" spans="2:16" x14ac:dyDescent="0.25">
      <c r="B30">
        <v>15</v>
      </c>
      <c r="C30" t="str">
        <f t="shared" si="0"/>
        <v>Fe II 5018</v>
      </c>
      <c r="D30" t="s">
        <v>62</v>
      </c>
      <c r="E30">
        <v>5018.43</v>
      </c>
      <c r="F30" s="19">
        <v>2</v>
      </c>
      <c r="G30" s="19">
        <v>1</v>
      </c>
      <c r="H30" s="19">
        <v>40</v>
      </c>
      <c r="P30" t="s">
        <v>64</v>
      </c>
    </row>
    <row r="31" spans="2:16" x14ac:dyDescent="0.25">
      <c r="B31">
        <v>16</v>
      </c>
      <c r="C31" t="s">
        <v>140</v>
      </c>
      <c r="D31" t="s">
        <v>141</v>
      </c>
      <c r="E31" s="21">
        <v>5889.95</v>
      </c>
      <c r="F31" s="19">
        <v>0.1</v>
      </c>
      <c r="G31" s="19">
        <v>1</v>
      </c>
      <c r="H31" s="19">
        <v>2</v>
      </c>
      <c r="P31" t="s">
        <v>66</v>
      </c>
    </row>
    <row r="32" spans="2:16" x14ac:dyDescent="0.25">
      <c r="B32">
        <v>17</v>
      </c>
      <c r="C32" t="s">
        <v>65</v>
      </c>
      <c r="F32" s="19"/>
      <c r="G32" s="19"/>
      <c r="H32" s="19"/>
      <c r="P32" t="s">
        <v>67</v>
      </c>
    </row>
    <row r="33" spans="2:16" x14ac:dyDescent="0.25">
      <c r="B33">
        <v>18</v>
      </c>
      <c r="C33" t="str">
        <f t="shared" si="0"/>
        <v>[Fe VII] 6087</v>
      </c>
      <c r="D33" t="s">
        <v>68</v>
      </c>
      <c r="E33">
        <v>6087</v>
      </c>
      <c r="F33" s="19">
        <v>2</v>
      </c>
      <c r="G33" s="19">
        <v>0.5</v>
      </c>
      <c r="H33" s="19">
        <v>30</v>
      </c>
      <c r="P33" t="s">
        <v>69</v>
      </c>
    </row>
    <row r="34" spans="2:16" x14ac:dyDescent="0.25">
      <c r="B34">
        <v>19</v>
      </c>
      <c r="C34" t="str">
        <f t="shared" si="0"/>
        <v>[Fe VII] 5721</v>
      </c>
      <c r="D34" t="s">
        <v>68</v>
      </c>
      <c r="E34">
        <v>5721</v>
      </c>
      <c r="F34" s="19">
        <v>2</v>
      </c>
      <c r="G34" s="19">
        <v>1</v>
      </c>
      <c r="H34" s="19">
        <v>40</v>
      </c>
      <c r="P34" t="s">
        <v>70</v>
      </c>
    </row>
    <row r="35" spans="2:16" x14ac:dyDescent="0.25">
      <c r="B35">
        <v>20</v>
      </c>
      <c r="C35" t="s">
        <v>65</v>
      </c>
      <c r="D35" t="s">
        <v>68</v>
      </c>
      <c r="P35" t="s">
        <v>71</v>
      </c>
    </row>
    <row r="36" spans="2:16" x14ac:dyDescent="0.25">
      <c r="B36">
        <v>21</v>
      </c>
      <c r="C36" t="s">
        <v>72</v>
      </c>
      <c r="D36" t="s">
        <v>72</v>
      </c>
      <c r="E36">
        <v>6830</v>
      </c>
      <c r="F36" s="19">
        <v>2</v>
      </c>
      <c r="G36" s="19">
        <v>1</v>
      </c>
      <c r="H36" s="19">
        <v>20</v>
      </c>
      <c r="P36" t="s">
        <v>73</v>
      </c>
    </row>
    <row r="37" spans="2:16" x14ac:dyDescent="0.25">
      <c r="B37">
        <v>22</v>
      </c>
      <c r="C37" t="s">
        <v>65</v>
      </c>
      <c r="D37" t="s">
        <v>72</v>
      </c>
      <c r="P37" t="s">
        <v>74</v>
      </c>
    </row>
    <row r="38" spans="2:16" x14ac:dyDescent="0.25">
      <c r="P38" t="s">
        <v>75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3]!m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457200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3]!m">
                <anchor moveWithCells="1" sizeWithCells="1">
                  <from>
                    <xdr:col>10</xdr:col>
                    <xdr:colOff>552450</xdr:colOff>
                    <xdr:row>5</xdr:row>
                    <xdr:rowOff>180975</xdr:rowOff>
                  </from>
                  <to>
                    <xdr:col>11</xdr:col>
                    <xdr:colOff>476250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3</xdr:col>
                    <xdr:colOff>104775</xdr:colOff>
                    <xdr:row>12</xdr:row>
                    <xdr:rowOff>9525</xdr:rowOff>
                  </from>
                  <to>
                    <xdr:col>3</xdr:col>
                    <xdr:colOff>638175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/>
  <dimension ref="A1:B6"/>
  <sheetViews>
    <sheetView workbookViewId="0">
      <selection activeCell="D26" sqref="D26"/>
    </sheetView>
  </sheetViews>
  <sheetFormatPr baseColWidth="10" defaultRowHeight="15" x14ac:dyDescent="0.25"/>
  <sheetData>
    <row r="1" spans="1:2" x14ac:dyDescent="0.25">
      <c r="A1">
        <v>3</v>
      </c>
    </row>
    <row r="3" spans="1:2" x14ac:dyDescent="0.25">
      <c r="A3">
        <v>1</v>
      </c>
      <c r="B3" t="s">
        <v>76</v>
      </c>
    </row>
    <row r="4" spans="1:2" x14ac:dyDescent="0.25">
      <c r="A4">
        <v>2</v>
      </c>
      <c r="B4" t="s">
        <v>77</v>
      </c>
    </row>
    <row r="5" spans="1:2" x14ac:dyDescent="0.25">
      <c r="A5">
        <v>3</v>
      </c>
      <c r="B5" t="s">
        <v>78</v>
      </c>
    </row>
    <row r="6" spans="1:2" x14ac:dyDescent="0.25">
      <c r="A6">
        <v>4</v>
      </c>
      <c r="B6" t="s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Index</vt:lpstr>
      <vt:lpstr>V</vt:lpstr>
      <vt:lpstr>B</vt:lpstr>
      <vt:lpstr>B-V</vt:lpstr>
      <vt:lpstr>Vis_Hist</vt:lpstr>
      <vt:lpstr>M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2015-04-04T15:31:14Z</dcterms:created>
  <dcterms:modified xsi:type="dcterms:W3CDTF">2020-11-26T16:05:13Z</dcterms:modified>
</cp:coreProperties>
</file>