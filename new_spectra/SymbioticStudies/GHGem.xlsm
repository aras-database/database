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E6BF134B-CC21-4115-B6F5-6775A428FD01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Feuil1" sheetId="3" r:id="rId2"/>
    <sheet name="V" sheetId="1" r:id="rId3"/>
    <sheet name="Vis" sheetId="7" r:id="rId4"/>
    <sheet name="B-V" sheetId="8" r:id="rId5"/>
    <sheet name="B" sheetId="4" r:id="rId6"/>
    <sheet name="M" sheetId="6" r:id="rId7"/>
  </sheets>
  <externalReferences>
    <externalReference r:id="rId8"/>
    <externalReference r:id="rId9"/>
    <externalReference r:id="rId10"/>
    <externalReference r:id="rId11"/>
  </externalReferences>
  <definedNames>
    <definedName name="Date0">[1]SySt_Orb!$Q$30</definedName>
    <definedName name="JD0">[1]SySt_Orb!$Q$29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5" i="2" l="1"/>
  <c r="N26" i="2"/>
  <c r="N27" i="2"/>
  <c r="N28" i="2"/>
  <c r="N29" i="2"/>
  <c r="N30" i="2"/>
  <c r="N31" i="2"/>
  <c r="N32" i="2"/>
  <c r="N24" i="2"/>
  <c r="M25" i="2"/>
  <c r="M26" i="2"/>
  <c r="M27" i="2"/>
  <c r="M28" i="2"/>
  <c r="M29" i="2"/>
  <c r="M30" i="2"/>
  <c r="M31" i="2"/>
  <c r="M32" i="2"/>
  <c r="M24" i="2"/>
  <c r="B25" i="2"/>
  <c r="C25" i="2"/>
  <c r="D25" i="2"/>
  <c r="E25" i="2"/>
  <c r="F25" i="2"/>
  <c r="G25" i="2"/>
  <c r="H25" i="2"/>
  <c r="I25" i="2"/>
  <c r="J25" i="2"/>
  <c r="K25" i="2"/>
  <c r="L25" i="2"/>
  <c r="B26" i="2"/>
  <c r="C26" i="2"/>
  <c r="D26" i="2"/>
  <c r="E26" i="2"/>
  <c r="F26" i="2"/>
  <c r="G26" i="2"/>
  <c r="H26" i="2"/>
  <c r="I26" i="2"/>
  <c r="J26" i="2"/>
  <c r="K26" i="2"/>
  <c r="L26" i="2"/>
  <c r="B27" i="2"/>
  <c r="C27" i="2"/>
  <c r="D27" i="2"/>
  <c r="E27" i="2"/>
  <c r="F27" i="2"/>
  <c r="G27" i="2"/>
  <c r="H27" i="2"/>
  <c r="I27" i="2"/>
  <c r="J27" i="2"/>
  <c r="K27" i="2"/>
  <c r="L27" i="2"/>
  <c r="B28" i="2"/>
  <c r="C28" i="2"/>
  <c r="D28" i="2"/>
  <c r="E28" i="2"/>
  <c r="F28" i="2"/>
  <c r="G28" i="2"/>
  <c r="H28" i="2"/>
  <c r="I28" i="2"/>
  <c r="J28" i="2"/>
  <c r="K28" i="2"/>
  <c r="L28" i="2"/>
  <c r="B29" i="2"/>
  <c r="C29" i="2"/>
  <c r="D29" i="2"/>
  <c r="E29" i="2"/>
  <c r="F29" i="2"/>
  <c r="G29" i="2"/>
  <c r="H29" i="2"/>
  <c r="I29" i="2"/>
  <c r="J29" i="2"/>
  <c r="K29" i="2"/>
  <c r="L29" i="2"/>
  <c r="B30" i="2"/>
  <c r="C30" i="2"/>
  <c r="D30" i="2"/>
  <c r="E30" i="2"/>
  <c r="F30" i="2"/>
  <c r="G30" i="2"/>
  <c r="H30" i="2"/>
  <c r="I30" i="2"/>
  <c r="J30" i="2"/>
  <c r="K30" i="2"/>
  <c r="L30" i="2"/>
  <c r="B31" i="2"/>
  <c r="C31" i="2"/>
  <c r="D31" i="2"/>
  <c r="E31" i="2"/>
  <c r="F31" i="2"/>
  <c r="G31" i="2"/>
  <c r="H31" i="2"/>
  <c r="I31" i="2"/>
  <c r="J31" i="2"/>
  <c r="K31" i="2"/>
  <c r="L31" i="2"/>
  <c r="B32" i="2"/>
  <c r="C32" i="2"/>
  <c r="D32" i="2"/>
  <c r="E32" i="2"/>
  <c r="F32" i="2"/>
  <c r="G32" i="2"/>
  <c r="H32" i="2"/>
  <c r="I32" i="2"/>
  <c r="J32" i="2"/>
  <c r="K32" i="2"/>
  <c r="L32" i="2"/>
  <c r="L24" i="2"/>
  <c r="I24" i="2"/>
  <c r="H24" i="2"/>
  <c r="G24" i="2"/>
  <c r="F24" i="2"/>
  <c r="E24" i="2"/>
  <c r="D24" i="2"/>
  <c r="C24" i="2"/>
  <c r="B24" i="2"/>
  <c r="J24" i="2" l="1"/>
  <c r="K24" i="2"/>
  <c r="C31" i="6" l="1"/>
  <c r="D13" i="6" l="1"/>
  <c r="C34" i="6" l="1"/>
  <c r="C33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G14" i="6" s="1"/>
  <c r="G13" i="6"/>
  <c r="G12" i="6"/>
  <c r="G10" i="6"/>
  <c r="G9" i="6"/>
  <c r="G7" i="6"/>
  <c r="E5" i="6"/>
  <c r="H4" i="6" l="1"/>
  <c r="E4" i="6"/>
  <c r="J17" i="2" l="1"/>
</calcChain>
</file>

<file path=xl/sharedStrings.xml><?xml version="1.0" encoding="utf-8"?>
<sst xmlns="http://schemas.openxmlformats.org/spreadsheetml/2006/main" count="1903" uniqueCount="831">
  <si>
    <t>2015 APR 18</t>
  </si>
  <si>
    <t>date</t>
  </si>
  <si>
    <t>Johnson B</t>
  </si>
  <si>
    <t>BPO</t>
  </si>
  <si>
    <t>2014 DEC 26</t>
  </si>
  <si>
    <t>HQA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</si>
  <si>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</si>
  <si>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</si>
  <si>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</si>
  <si>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</si>
  <si>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</si>
  <si>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</si>
  <si>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</si>
  <si>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SBL</t>
  </si>
  <si>
    <t>2015 APR 12</t>
  </si>
  <si>
    <t>2015 MAY 21</t>
  </si>
  <si>
    <t>BDG</t>
  </si>
  <si>
    <t>2015 MAY 24</t>
  </si>
  <si>
    <t>2015 JUN 14</t>
  </si>
  <si>
    <t>2015 JUN 22</t>
  </si>
  <si>
    <t>2015 APR 16</t>
  </si>
  <si>
    <t>2015 MAY 23</t>
  </si>
  <si>
    <t>2015 JUN 7</t>
  </si>
  <si>
    <t>2015 JUL 22</t>
  </si>
  <si>
    <t>2015 SEP 25</t>
  </si>
  <si>
    <t>2015 MAY 14</t>
  </si>
  <si>
    <t>2015 MAY 15</t>
  </si>
  <si>
    <t>2015 JUN 24</t>
  </si>
  <si>
    <t>2015 JUN 25</t>
  </si>
  <si>
    <t>2015 JUN 26</t>
  </si>
  <si>
    <t>2015 JUN 27</t>
  </si>
  <si>
    <t>2015 JUN 28</t>
  </si>
  <si>
    <t>2015 JUN 29</t>
  </si>
  <si>
    <t>2015 JUN 30</t>
  </si>
  <si>
    <t>2015 JUL 1</t>
  </si>
  <si>
    <t>2015 JUL 2</t>
  </si>
  <si>
    <t>2015 JUL 3</t>
  </si>
  <si>
    <t>2015 JUL 5</t>
  </si>
  <si>
    <t>2015 JUL 7</t>
  </si>
  <si>
    <t>2015 JUL 8</t>
  </si>
  <si>
    <t>2015 JUL 9</t>
  </si>
  <si>
    <t>2015 JUL 11</t>
  </si>
  <si>
    <t>2015 JUL 12</t>
  </si>
  <si>
    <t>2015 JUL 14</t>
  </si>
  <si>
    <t>2015 JUL 15</t>
  </si>
  <si>
    <t>2015 JUL 17</t>
  </si>
  <si>
    <t>2015 JUL 18</t>
  </si>
  <si>
    <t>2015 JUL 20</t>
  </si>
  <si>
    <t>2015 JUL 23</t>
  </si>
  <si>
    <t>2015 JUL 26</t>
  </si>
  <si>
    <t>2015 JUL 28</t>
  </si>
  <si>
    <t>2015 JUL 30</t>
  </si>
  <si>
    <t>2015 JUL 31</t>
  </si>
  <si>
    <t>2015 AUG 2</t>
  </si>
  <si>
    <t>2015 AUG 3</t>
  </si>
  <si>
    <t>2015 AUG 4</t>
  </si>
  <si>
    <t>2015 AUG 5</t>
  </si>
  <si>
    <t>2015 AUG 6</t>
  </si>
  <si>
    <t>2015 AUG 10</t>
  </si>
  <si>
    <t>2015 AUG 12</t>
  </si>
  <si>
    <t>2015 AUG 13</t>
  </si>
  <si>
    <t>2015 AUG 14</t>
  </si>
  <si>
    <t>2015 AUG 15</t>
  </si>
  <si>
    <t>2015 AUG 16</t>
  </si>
  <si>
    <t>2015 AUG 17</t>
  </si>
  <si>
    <t>2015 AUG 18</t>
  </si>
  <si>
    <t>2015 AUG 20</t>
  </si>
  <si>
    <t>2015 AUG 28</t>
  </si>
  <si>
    <t>2015 AUG 30</t>
  </si>
  <si>
    <t>2015 AUG 31</t>
  </si>
  <si>
    <t>2015 SEP 5</t>
  </si>
  <si>
    <t>2015 SEP 6</t>
  </si>
  <si>
    <t>2015 SEP 7</t>
  </si>
  <si>
    <t>2015 SEP 10</t>
  </si>
  <si>
    <t>2015 SEP 14</t>
  </si>
  <si>
    <t>2015 SEP 15</t>
  </si>
  <si>
    <t>2015 SEP 16</t>
  </si>
  <si>
    <t>2015 SEP 17</t>
  </si>
  <si>
    <t>2015 SEP 19</t>
  </si>
  <si>
    <t>2015 SEP 20</t>
  </si>
  <si>
    <t>2015 SEP 21</t>
  </si>
  <si>
    <t>2015 SEP 22</t>
  </si>
  <si>
    <t>2015 OCT 1</t>
  </si>
  <si>
    <t>2015 OCT 6</t>
  </si>
  <si>
    <t>2015 OCT 7</t>
  </si>
  <si>
    <t>2015 OCT 8</t>
  </si>
  <si>
    <t>2015 OCT 9</t>
  </si>
  <si>
    <t>2015 OCT 10</t>
  </si>
  <si>
    <t>2015 OCT 11</t>
  </si>
  <si>
    <t>GKA</t>
  </si>
  <si>
    <t>2013 NOV 8</t>
  </si>
  <si>
    <t>CTIA</t>
  </si>
  <si>
    <t>2013 NOV 15</t>
  </si>
  <si>
    <t>2013 NOV 17</t>
  </si>
  <si>
    <t>2013 NOV 19</t>
  </si>
  <si>
    <t>2013 NOV 20</t>
  </si>
  <si>
    <t>2013 NOV 21</t>
  </si>
  <si>
    <t>2013 DEC 18</t>
  </si>
  <si>
    <t>2014 JAN 30</t>
  </si>
  <si>
    <t>2014 APR 17</t>
  </si>
  <si>
    <t>2014 AUG 27</t>
  </si>
  <si>
    <t>2014 AUG 28</t>
  </si>
  <si>
    <t>2014 AUG 29</t>
  </si>
  <si>
    <t>2014 SEP 2</t>
  </si>
  <si>
    <t>2014 SEP 4</t>
  </si>
  <si>
    <t>2014 SEP 13</t>
  </si>
  <si>
    <t>2014 SEP 14</t>
  </si>
  <si>
    <t>2014 SEP 18</t>
  </si>
  <si>
    <t>2014 SEP 20</t>
  </si>
  <si>
    <t>2014 SEP 23</t>
  </si>
  <si>
    <t>2014 SEP 24</t>
  </si>
  <si>
    <t>2014 SEP 27</t>
  </si>
  <si>
    <t>2014 SEP 28</t>
  </si>
  <si>
    <t>2014 SEP 29</t>
  </si>
  <si>
    <t>2014 OCT 6</t>
  </si>
  <si>
    <t>2014 OCT 7</t>
  </si>
  <si>
    <t>2014 OCT 9</t>
  </si>
  <si>
    <t>2014 OCT 10</t>
  </si>
  <si>
    <t>2014 OCT 13</t>
  </si>
  <si>
    <t>2014 OCT 15</t>
  </si>
  <si>
    <t>2014 OCT 18</t>
  </si>
  <si>
    <t>2014 OCT 27</t>
  </si>
  <si>
    <t>2014 DEC 14</t>
  </si>
  <si>
    <t>2014 DEC 15</t>
  </si>
  <si>
    <t>OCN</t>
  </si>
  <si>
    <t>PGD</t>
  </si>
  <si>
    <t>SFRA</t>
  </si>
  <si>
    <t>AHM</t>
  </si>
  <si>
    <t>SJGA</t>
  </si>
  <si>
    <t>BPAD</t>
  </si>
  <si>
    <t>TIA</t>
  </si>
  <si>
    <t>2015 SEP 12</t>
  </si>
  <si>
    <t>2015 SEP 24</t>
  </si>
  <si>
    <t>2015 SEP 26</t>
  </si>
  <si>
    <t>2015 SEP 27</t>
  </si>
  <si>
    <t>2015 OCT 12</t>
  </si>
  <si>
    <t>2015 OCT 13</t>
  </si>
  <si>
    <t>2015 OCT 14</t>
  </si>
  <si>
    <t>2015 OCT 15</t>
  </si>
  <si>
    <t>2015 OCT 17</t>
  </si>
  <si>
    <t>2015 OCT 18</t>
  </si>
  <si>
    <t>2015 OCT 19</t>
  </si>
  <si>
    <t>2015 OCT 20</t>
  </si>
  <si>
    <t>2015 OCT 25</t>
  </si>
  <si>
    <t>2015 OCT 26</t>
  </si>
  <si>
    <t>2015 SEP 28</t>
  </si>
  <si>
    <t>2016 APR 28</t>
  </si>
  <si>
    <t>AG Peg</t>
  </si>
  <si>
    <t>NA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</si>
  <si>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</si>
  <si>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</si>
  <si>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</si>
  <si>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</si>
  <si>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</si>
  <si>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</si>
  <si>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</si>
  <si>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</si>
  <si>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</si>
  <si>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</si>
  <si>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</si>
  <si>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</si>
  <si>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</si>
  <si>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</si>
  <si>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</si>
  <si>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</si>
  <si>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</si>
  <si>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</si>
  <si>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</si>
  <si>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</si>
  <si>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</si>
  <si>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</si>
  <si>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</si>
  <si>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</si>
  <si>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</si>
  <si>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</si>
  <si>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</si>
  <si>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</si>
  <si>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</si>
  <si>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</si>
  <si>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</si>
  <si>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</si>
  <si>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</si>
  <si>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</si>
  <si>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</si>
  <si>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</si>
  <si>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</si>
  <si>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</si>
  <si>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</si>
  <si>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</si>
  <si>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</si>
  <si>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</si>
  <si>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</si>
  <si>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</si>
  <si>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</si>
  <si>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</si>
  <si>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</si>
  <si>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</si>
  <si>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</si>
  <si>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</si>
  <si>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</si>
  <si>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</si>
  <si>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</si>
  <si>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</si>
  <si>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</si>
  <si>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</si>
  <si>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</si>
  <si>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</si>
  <si>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</si>
  <si>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</si>
  <si>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</si>
  <si>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</si>
  <si>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</si>
  <si>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</si>
  <si>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</si>
  <si>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</si>
  <si>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\2016</t>
  </si>
  <si>
    <t>NaI D</t>
  </si>
  <si>
    <t>1990 AUG 20</t>
  </si>
  <si>
    <t>1992 MAY 1</t>
  </si>
  <si>
    <t>1993 JUN 10</t>
  </si>
  <si>
    <t>1997 MAR 15</t>
  </si>
  <si>
    <t>1997 OCT 1</t>
  </si>
  <si>
    <t>1998 JAN 17</t>
  </si>
  <si>
    <t>1998 MAR 3</t>
  </si>
  <si>
    <t>1999 JAN 30</t>
  </si>
  <si>
    <t>2000 NOV 23</t>
  </si>
  <si>
    <t>2002 OCT 6</t>
  </si>
  <si>
    <t>2003 APR 12</t>
  </si>
  <si>
    <t>2005 JAN 11</t>
  </si>
  <si>
    <t>2005 MAR 27</t>
  </si>
  <si>
    <t>2006 JAN 24</t>
  </si>
  <si>
    <t>2007 NOV 5</t>
  </si>
  <si>
    <t>2008 JAN 26</t>
  </si>
  <si>
    <t>2009 APR 20</t>
  </si>
  <si>
    <t>2009 OCT 27</t>
  </si>
  <si>
    <t>2010 FEB 12</t>
  </si>
  <si>
    <t>2010 MAR 10</t>
  </si>
  <si>
    <t>2012 JAN 29</t>
  </si>
  <si>
    <t>2012 MAR 26</t>
  </si>
  <si>
    <t>2012 OCT 21</t>
  </si>
  <si>
    <t>2013 JAN 7</t>
  </si>
  <si>
    <t>2013 DEC 31</t>
  </si>
  <si>
    <t>2016 DEC 27</t>
  </si>
  <si>
    <t>2009 OCT 24</t>
  </si>
  <si>
    <t>2012 OCT 23</t>
  </si>
  <si>
    <t>2012 NOV 7</t>
  </si>
  <si>
    <t>1982 NOV 24</t>
  </si>
  <si>
    <t>1983 JAN 15</t>
  </si>
  <si>
    <t>1983 FEB 14</t>
  </si>
  <si>
    <t>1983 MAR 10</t>
  </si>
  <si>
    <t>1983 MAY 12</t>
  </si>
  <si>
    <t>1983 OCT 17</t>
  </si>
  <si>
    <t>1984 JAN 30</t>
  </si>
  <si>
    <t>1984 FEB 16</t>
  </si>
  <si>
    <t>1984 MAR 14</t>
  </si>
  <si>
    <t>1984 DEC 26</t>
  </si>
  <si>
    <t>1985 JAN 17</t>
  </si>
  <si>
    <t>1985 FEB 12</t>
  </si>
  <si>
    <t>1985 MAR 24</t>
  </si>
  <si>
    <t>1985 APR 17</t>
  </si>
  <si>
    <t>1985 OCT 17</t>
  </si>
  <si>
    <t>1985 DEC 18</t>
  </si>
  <si>
    <t>1986 MAR 4</t>
  </si>
  <si>
    <t>1986 APR 1</t>
  </si>
  <si>
    <t>1986 DEC 22</t>
  </si>
  <si>
    <t>1987 FEB 23</t>
  </si>
  <si>
    <t>1987 MAR 20</t>
  </si>
  <si>
    <t>1987 APR 24</t>
  </si>
  <si>
    <t>1987 SEP 26</t>
  </si>
  <si>
    <t>1988 JAN 12</t>
  </si>
  <si>
    <t>1988 JAN 22</t>
  </si>
  <si>
    <t>1988 FEB 22</t>
  </si>
  <si>
    <t>1988 MAR 11</t>
  </si>
  <si>
    <t>1988 APR 8</t>
  </si>
  <si>
    <t>1988 MAY 2</t>
  </si>
  <si>
    <t>1988 OCT 14</t>
  </si>
  <si>
    <t>1988 OCT 30</t>
  </si>
  <si>
    <t>1988 NOV 15</t>
  </si>
  <si>
    <t>1988 DEC 10</t>
  </si>
  <si>
    <t>1989 JAN 2</t>
  </si>
  <si>
    <t>1989 JAN 16</t>
  </si>
  <si>
    <t>1989 FEB 8</t>
  </si>
  <si>
    <t>1989 MAR 4</t>
  </si>
  <si>
    <t>1989 APR 1</t>
  </si>
  <si>
    <t>1989 MAY 7</t>
  </si>
  <si>
    <t>1989 SEP 10</t>
  </si>
  <si>
    <t>1989 OCT 6</t>
  </si>
  <si>
    <t>1989 OCT 28</t>
  </si>
  <si>
    <t>1989 DEC 1</t>
  </si>
  <si>
    <t>1989 DEC 18</t>
  </si>
  <si>
    <t>1990 FEB 5</t>
  </si>
  <si>
    <t>1990 FEB 21</t>
  </si>
  <si>
    <t>1990 MAR 17</t>
  </si>
  <si>
    <t>1990 APR 10</t>
  </si>
  <si>
    <t>1990 SEP 11</t>
  </si>
  <si>
    <t>1990 SEP 22</t>
  </si>
  <si>
    <t>1990 OCT 21</t>
  </si>
  <si>
    <t>1990 NOV 18</t>
  </si>
  <si>
    <t>1990 DEC 15</t>
  </si>
  <si>
    <t>1991 JAN 6</t>
  </si>
  <si>
    <t>1991 JAN 28</t>
  </si>
  <si>
    <t>1991 FEB 15</t>
  </si>
  <si>
    <t>1991 MAR 17</t>
  </si>
  <si>
    <t>1991 APR 5</t>
  </si>
  <si>
    <t>1991 APR 19</t>
  </si>
  <si>
    <t>1991 MAY 8</t>
  </si>
  <si>
    <t>1991 AUG 29</t>
  </si>
  <si>
    <t>1991 OCT 9</t>
  </si>
  <si>
    <t>1991 NOV 6</t>
  </si>
  <si>
    <t>1991 DEC 6</t>
  </si>
  <si>
    <t>1991 DEC 20</t>
  </si>
  <si>
    <t>1992 JAN 9</t>
  </si>
  <si>
    <t>1992 JAN 30</t>
  </si>
  <si>
    <t>1992 FEB 12</t>
  </si>
  <si>
    <t>1992 MAR 3</t>
  </si>
  <si>
    <t>1992 MAR 29</t>
  </si>
  <si>
    <t>1992 MAY 21</t>
  </si>
  <si>
    <t>1992 AUG 19</t>
  </si>
  <si>
    <t>1992 SEP 7</t>
  </si>
  <si>
    <t>1992 SEP 27</t>
  </si>
  <si>
    <t>1992 NOV 4</t>
  </si>
  <si>
    <t>1992 NOV 24</t>
  </si>
  <si>
    <t>1992 DEC 19</t>
  </si>
  <si>
    <t>1993 JAN 5</t>
  </si>
  <si>
    <t>1993 JAN 22</t>
  </si>
  <si>
    <t>1993 FEB 7</t>
  </si>
  <si>
    <t>1993 FEB 23</t>
  </si>
  <si>
    <t>1993 MAR 16</t>
  </si>
  <si>
    <t>1993 APR 2</t>
  </si>
  <si>
    <t>1993 APR 21</t>
  </si>
  <si>
    <t>1993 MAY 18</t>
  </si>
  <si>
    <t>1993 AUG 21</t>
  </si>
  <si>
    <t>1993 SEP 6</t>
  </si>
  <si>
    <t>1993 OCT 7</t>
  </si>
  <si>
    <t>1993 NOV 19</t>
  </si>
  <si>
    <t>1993 DEC 12</t>
  </si>
  <si>
    <t>1993 DEC 25</t>
  </si>
  <si>
    <t>1994 JAN 13</t>
  </si>
  <si>
    <t>1994 FEB 7</t>
  </si>
  <si>
    <t>1994 MAR 3</t>
  </si>
  <si>
    <t>1994 MAR 12</t>
  </si>
  <si>
    <t>1994 APR 3</t>
  </si>
  <si>
    <t>1994 MAY 2</t>
  </si>
  <si>
    <t>1994 MAY 20</t>
  </si>
  <si>
    <t>1994 AUG 13</t>
  </si>
  <si>
    <t>1994 AUG 30</t>
  </si>
  <si>
    <t>1994 SEP 27</t>
  </si>
  <si>
    <t>1994 OCT 12</t>
  </si>
  <si>
    <t>1994 NOV 2</t>
  </si>
  <si>
    <t>1994 NOV 28</t>
  </si>
  <si>
    <t>1994 DEC 7</t>
  </si>
  <si>
    <t>1994 DEC 30</t>
  </si>
  <si>
    <t>1995 JAN 11</t>
  </si>
  <si>
    <t>1995 JAN 30</t>
  </si>
  <si>
    <t>1995 FEB 15</t>
  </si>
  <si>
    <t>1995 MAR 3</t>
  </si>
  <si>
    <t>1995 MAR 19</t>
  </si>
  <si>
    <t>1995 APR 3</t>
  </si>
  <si>
    <t>1995 APR 30</t>
  </si>
  <si>
    <t>1995 MAY 18</t>
  </si>
  <si>
    <t>1995 JUN 5</t>
  </si>
  <si>
    <t>1995 AUG 24</t>
  </si>
  <si>
    <t>1995 SEP 15</t>
  </si>
  <si>
    <t>1995 OCT 7</t>
  </si>
  <si>
    <t>1995 OCT 21</t>
  </si>
  <si>
    <t>1995 NOV 5</t>
  </si>
  <si>
    <t>1995 NOV 21</t>
  </si>
  <si>
    <t>1995 DEC 10</t>
  </si>
  <si>
    <t>1995 DEC 24</t>
  </si>
  <si>
    <t>1996 JAN 17</t>
  </si>
  <si>
    <t>1996 JAN 31</t>
  </si>
  <si>
    <t>1996 FEB 18</t>
  </si>
  <si>
    <t>1996 MAR 6</t>
  </si>
  <si>
    <t>1996 MAR 23</t>
  </si>
  <si>
    <t>1996 APR 13</t>
  </si>
  <si>
    <t>1996 MAY 11</t>
  </si>
  <si>
    <t>1996 JUN 7</t>
  </si>
  <si>
    <t>1996 AUG 18</t>
  </si>
  <si>
    <t>1996 SEP 10</t>
  </si>
  <si>
    <t>1996 SEP 21</t>
  </si>
  <si>
    <t>1996 OCT 11</t>
  </si>
  <si>
    <t>1996 OCT 27</t>
  </si>
  <si>
    <t>1996 NOV 13</t>
  </si>
  <si>
    <t>1996 DEC 7</t>
  </si>
  <si>
    <t>1996 DEC 26</t>
  </si>
  <si>
    <t>1997 JAN 8</t>
  </si>
  <si>
    <t>1997 JAN 26</t>
  </si>
  <si>
    <t>1997 FEB 8</t>
  </si>
  <si>
    <t>1997 MAR 4</t>
  </si>
  <si>
    <t>1997 APR 3</t>
  </si>
  <si>
    <t>1997 APR 23</t>
  </si>
  <si>
    <t>1997 MAY 9</t>
  </si>
  <si>
    <t>1997 JUN 1</t>
  </si>
  <si>
    <t>1997 AUG 6</t>
  </si>
  <si>
    <t>1997 AUG 22</t>
  </si>
  <si>
    <t>1997 SEP 10</t>
  </si>
  <si>
    <t>1997 OCT 20</t>
  </si>
  <si>
    <t>1997 NOV 2</t>
  </si>
  <si>
    <t>1997 NOV 26</t>
  </si>
  <si>
    <t>1997 DEC 11</t>
  </si>
  <si>
    <t>1997 DEC 30</t>
  </si>
  <si>
    <t>1998 JAN 31</t>
  </si>
  <si>
    <t>1998 FEB 19</t>
  </si>
  <si>
    <t>1998 MAR 21</t>
  </si>
  <si>
    <t>1998 APR 5</t>
  </si>
  <si>
    <t>1998 APR 20</t>
  </si>
  <si>
    <t>1998 MAY 18</t>
  </si>
  <si>
    <t>1998 AUG 25</t>
  </si>
  <si>
    <t>1998 SEP 16</t>
  </si>
  <si>
    <t>1998 OCT 1</t>
  </si>
  <si>
    <t>1998 OCT 18</t>
  </si>
  <si>
    <t>1998 NOV 4</t>
  </si>
  <si>
    <t>1998 NOV 21</t>
  </si>
  <si>
    <t>1998 DEC 14</t>
  </si>
  <si>
    <t>1998 DEC 30</t>
  </si>
  <si>
    <t>1999 JAN 15</t>
  </si>
  <si>
    <t>1999 FEB 15</t>
  </si>
  <si>
    <t>1999 MAR 5</t>
  </si>
  <si>
    <t>1999 MAR 16</t>
  </si>
  <si>
    <t>1999 APR 7</t>
  </si>
  <si>
    <t>1999 APR 19</t>
  </si>
  <si>
    <t>1999 MAY 8</t>
  </si>
  <si>
    <t>1999 JUN 3</t>
  </si>
  <si>
    <t>1999 AUG 18</t>
  </si>
  <si>
    <t>1999 SEP 6</t>
  </si>
  <si>
    <t>1999 SEP 21</t>
  </si>
  <si>
    <t>1999 OCT 9</t>
  </si>
  <si>
    <t>1999 NOV 11</t>
  </si>
  <si>
    <t>1999 NOV 22</t>
  </si>
  <si>
    <t>1999 DEC 13</t>
  </si>
  <si>
    <t>2000 JAN 4</t>
  </si>
  <si>
    <t>2000 JAN 15</t>
  </si>
  <si>
    <t>2000 FEB 3</t>
  </si>
  <si>
    <t>2000 FEB 14</t>
  </si>
  <si>
    <t>2000 MAR 2</t>
  </si>
  <si>
    <t>2000 MAR 19</t>
  </si>
  <si>
    <t>2000 APR 2</t>
  </si>
  <si>
    <t>2000 APR 25</t>
  </si>
  <si>
    <t>2000 MAY 15</t>
  </si>
  <si>
    <t>2000 AUG 17</t>
  </si>
  <si>
    <t>2000 SEP 8</t>
  </si>
  <si>
    <t>2000 SEP 24</t>
  </si>
  <si>
    <t>2000 OCT 15</t>
  </si>
  <si>
    <t>2000 NOV 1</t>
  </si>
  <si>
    <t>2000 DEC 5</t>
  </si>
  <si>
    <t>2000 DEC 24</t>
  </si>
  <si>
    <t>2001 JAN 9</t>
  </si>
  <si>
    <t>2001 JAN 24</t>
  </si>
  <si>
    <t>2001 FEB 12</t>
  </si>
  <si>
    <t>2001 FEB 25</t>
  </si>
  <si>
    <t>2001 MAR 13</t>
  </si>
  <si>
    <t>2001 MAR 29</t>
  </si>
  <si>
    <t>2001 APR 13</t>
  </si>
  <si>
    <t>2001 MAY 12</t>
  </si>
  <si>
    <t>2001 SEP 12</t>
  </si>
  <si>
    <t>2001 SEP 28</t>
  </si>
  <si>
    <t>2001 OCT 17</t>
  </si>
  <si>
    <t>2001 NOV 25</t>
  </si>
  <si>
    <t>2001 DEC 19</t>
  </si>
  <si>
    <t>2002 JAN 10</t>
  </si>
  <si>
    <t>2002 JAN 18</t>
  </si>
  <si>
    <t>2002 FEB 9</t>
  </si>
  <si>
    <t>2002 FEB 25</t>
  </si>
  <si>
    <t>2002 MAR 11</t>
  </si>
  <si>
    <t>2002 MAR 28</t>
  </si>
  <si>
    <t>2002 APR 12</t>
  </si>
  <si>
    <t>2002 MAY 1</t>
  </si>
  <si>
    <t>2002 MAY 12</t>
  </si>
  <si>
    <t>2002 MAY 31</t>
  </si>
  <si>
    <t>2002 AUG 22</t>
  </si>
  <si>
    <t>2002 SEP 10</t>
  </si>
  <si>
    <t>2002 OCT 31</t>
  </si>
  <si>
    <t>2002 DEC 4</t>
  </si>
  <si>
    <t>2002 DEC 25</t>
  </si>
  <si>
    <t>2003 JAN 8</t>
  </si>
  <si>
    <t>2003 JAN 27</t>
  </si>
  <si>
    <t>2003 FEB 14</t>
  </si>
  <si>
    <t>2003 FEB 28</t>
  </si>
  <si>
    <t>2003 MAR 16</t>
  </si>
  <si>
    <t>2003 MAR 31</t>
  </si>
  <si>
    <t>2003 MAY 2</t>
  </si>
  <si>
    <t>2003 SEP 26</t>
  </si>
  <si>
    <t>2003 OCT 22</t>
  </si>
  <si>
    <t>2003 NOV 6</t>
  </si>
  <si>
    <t>2003 NOV 28</t>
  </si>
  <si>
    <t>2003 DEC 17</t>
  </si>
  <si>
    <t>2004 JAN 8</t>
  </si>
  <si>
    <t>2004 JAN 22</t>
  </si>
  <si>
    <t>2004 FEB 13</t>
  </si>
  <si>
    <t>2004 FEB 25</t>
  </si>
  <si>
    <t>2004 MAR 15</t>
  </si>
  <si>
    <t>2004 MAR 27</t>
  </si>
  <si>
    <t>2004 APR 13</t>
  </si>
  <si>
    <t>2004 MAY 18</t>
  </si>
  <si>
    <t>2004 AUG 23</t>
  </si>
  <si>
    <t>2004 SEP 25</t>
  </si>
  <si>
    <t>2004 OCT 16</t>
  </si>
  <si>
    <t>2004 NOV 18</t>
  </si>
  <si>
    <t>2004 DEC 10</t>
  </si>
  <si>
    <t>2004 DEC 25</t>
  </si>
  <si>
    <t>2005 JAN 29</t>
  </si>
  <si>
    <t>2005 FEB 19</t>
  </si>
  <si>
    <t>2005 MAR 5</t>
  </si>
  <si>
    <t>2005 APR 10</t>
  </si>
  <si>
    <t>2005 MAY 9</t>
  </si>
  <si>
    <t>2005 JUN 1</t>
  </si>
  <si>
    <t>2005 AUG 21</t>
  </si>
  <si>
    <t>2005 SEP 7</t>
  </si>
  <si>
    <t>2005 SEP 22</t>
  </si>
  <si>
    <t>2005 OCT 8</t>
  </si>
  <si>
    <t>2005 OCT 31</t>
  </si>
  <si>
    <t>2005 NOV 14</t>
  </si>
  <si>
    <t>2005 NOV 29</t>
  </si>
  <si>
    <t>2005 DEC 29</t>
  </si>
  <si>
    <t>2006 JAN 20</t>
  </si>
  <si>
    <t>2006 FEB 9</t>
  </si>
  <si>
    <t>2006 FEB 25</t>
  </si>
  <si>
    <t>2006 MAR 5</t>
  </si>
  <si>
    <t>2006 MAR 31</t>
  </si>
  <si>
    <t>2006 MAY 1</t>
  </si>
  <si>
    <t>2006 MAY 18</t>
  </si>
  <si>
    <t>2006 AUG 26</t>
  </si>
  <si>
    <t>2006 SEP 22</t>
  </si>
  <si>
    <t>2006 OCT 14</t>
  </si>
  <si>
    <t>2006 NOV 1</t>
  </si>
  <si>
    <t>2006 NOV 22</t>
  </si>
  <si>
    <t>2006 DEC 14</t>
  </si>
  <si>
    <t>2007 JAN 21</t>
  </si>
  <si>
    <t>2007 FEB 9</t>
  </si>
  <si>
    <t>2007 MAR 9</t>
  </si>
  <si>
    <t>2007 MAR 21</t>
  </si>
  <si>
    <t>2007 APR 10</t>
  </si>
  <si>
    <t>2007 AUG 20</t>
  </si>
  <si>
    <t>2007 SEP 13</t>
  </si>
  <si>
    <t>2007 OCT 13</t>
  </si>
  <si>
    <t>2007 DEC 9</t>
  </si>
  <si>
    <t>2008 JAN 4</t>
  </si>
  <si>
    <t>2008 JAN 14</t>
  </si>
  <si>
    <t>2008 FEB 4</t>
  </si>
  <si>
    <t>2008 FEB 19</t>
  </si>
  <si>
    <t>2008 MAR 6</t>
  </si>
  <si>
    <t>2008 MAR 22</t>
  </si>
  <si>
    <t>2008 APR 8</t>
  </si>
  <si>
    <t>2008 APR 25</t>
  </si>
  <si>
    <t>2008 MAY 14</t>
  </si>
  <si>
    <t>2008 MAY 22</t>
  </si>
  <si>
    <t>2008 OCT 9</t>
  </si>
  <si>
    <t>2008 NOV 2</t>
  </si>
  <si>
    <t>2008 DEC 5</t>
  </si>
  <si>
    <t>2008 DEC 25</t>
  </si>
  <si>
    <t>2009 JAN 9</t>
  </si>
  <si>
    <t>2009 JAN 24</t>
  </si>
  <si>
    <t>2009 FEB 10</t>
  </si>
  <si>
    <t>2009 FEB 28</t>
  </si>
  <si>
    <t>2009 MAR 17</t>
  </si>
  <si>
    <t>2009 MAR 31</t>
  </si>
  <si>
    <t>2009 APR 30</t>
  </si>
  <si>
    <t>2009 MAY 20</t>
  </si>
  <si>
    <t>2009 SEP 16</t>
  </si>
  <si>
    <t>2009 OCT 7</t>
  </si>
  <si>
    <t>2009 NOV 13</t>
  </si>
  <si>
    <t>2009 DEC 2</t>
  </si>
  <si>
    <t>2009 DEC 22</t>
  </si>
  <si>
    <t>2010 JAN 7</t>
  </si>
  <si>
    <t>2010 JAN 22</t>
  </si>
  <si>
    <t>2010 FEB 8</t>
  </si>
  <si>
    <t>2010 FEB 25</t>
  </si>
  <si>
    <t>2010 MAR 11</t>
  </si>
  <si>
    <t>2010 MAR 22</t>
  </si>
  <si>
    <t>2010 APR 12</t>
  </si>
  <si>
    <t>2010 APR 27</t>
  </si>
  <si>
    <t>2010 MAY 11</t>
  </si>
  <si>
    <t>2010 MAY 27</t>
  </si>
  <si>
    <t>2010 OCT 10</t>
  </si>
  <si>
    <t>2010 OCT 27</t>
  </si>
  <si>
    <t>2010 NOV 17</t>
  </si>
  <si>
    <t>2010 NOV 29</t>
  </si>
  <si>
    <t>2011 JAN 14</t>
  </si>
  <si>
    <t>2011 FEB 2</t>
  </si>
  <si>
    <t>2011 FEB 15</t>
  </si>
  <si>
    <t>2011 MAR 5</t>
  </si>
  <si>
    <t>2011 MAR 22</t>
  </si>
  <si>
    <t>2011 APR 7</t>
  </si>
  <si>
    <t>2011 APR 20</t>
  </si>
  <si>
    <t>2011 MAY 6</t>
  </si>
  <si>
    <t>2011 MAY 25</t>
  </si>
  <si>
    <t>2011 JUN 2</t>
  </si>
  <si>
    <t>2012 JAN 12</t>
  </si>
  <si>
    <t>2012 FEB 16</t>
  </si>
  <si>
    <t>2012 MAR 4</t>
  </si>
  <si>
    <t>2012 MAR 23</t>
  </si>
  <si>
    <t>2012 APR 4</t>
  </si>
  <si>
    <t>2012 APR 26</t>
  </si>
  <si>
    <t>2012 MAY 14</t>
  </si>
  <si>
    <t>2012 NOV 17</t>
  </si>
  <si>
    <t>2012 DEC 6</t>
  </si>
  <si>
    <t>2013 JAN 14</t>
  </si>
  <si>
    <t>2013 FEB 5</t>
  </si>
  <si>
    <t>2013 FEB 24</t>
  </si>
  <si>
    <t>2013 MAR 12</t>
  </si>
  <si>
    <t>2013 APR 1</t>
  </si>
  <si>
    <t>2013 APR 19</t>
  </si>
  <si>
    <t>2013 MAY 15</t>
  </si>
  <si>
    <t>2013 DEC 29</t>
  </si>
  <si>
    <t>2014 JAN 16</t>
  </si>
  <si>
    <t>2014 JAN 27</t>
  </si>
  <si>
    <t>2014 FEB 14</t>
  </si>
  <si>
    <t>2014 MAR 3</t>
  </si>
  <si>
    <t>2014 MAR 21</t>
  </si>
  <si>
    <t>2014 APR 6</t>
  </si>
  <si>
    <t>2014 APR 27</t>
  </si>
  <si>
    <t>2014 MAY 6</t>
  </si>
  <si>
    <t>2014 MAY 24</t>
  </si>
  <si>
    <t>2014 OCT 19</t>
  </si>
  <si>
    <t>2015 JAN 4</t>
  </si>
  <si>
    <t>2015 JAN 16</t>
  </si>
  <si>
    <t>2015 FEB 13</t>
  </si>
  <si>
    <t>2015 MAR 1</t>
  </si>
  <si>
    <t>2015 MAR 16</t>
  </si>
  <si>
    <t>2015 MAR 29</t>
  </si>
  <si>
    <t>2015 MAY 4</t>
  </si>
  <si>
    <t>2015 DEC 26</t>
  </si>
  <si>
    <t>2016 JAN 13</t>
  </si>
  <si>
    <t>2016 FEB 9</t>
  </si>
  <si>
    <t>2016 FEB 17</t>
  </si>
  <si>
    <t>2016 MAR 8</t>
  </si>
  <si>
    <t>2016 MAR 21</t>
  </si>
  <si>
    <t>2016 APR 3</t>
  </si>
  <si>
    <t>2005 FEB 9</t>
  </si>
  <si>
    <t>2005 DEC 8</t>
  </si>
  <si>
    <t>2005 DEC 10</t>
  </si>
  <si>
    <t>2005 DEC 18</t>
  </si>
  <si>
    <t>2006 JAN 3</t>
  </si>
  <si>
    <t>2006 JAN 7</t>
  </si>
  <si>
    <t>2006 JAN 18</t>
  </si>
  <si>
    <t>2006 FEB 2</t>
  </si>
  <si>
    <t>2006 FEB 5</t>
  </si>
  <si>
    <t>2006 FEB 10</t>
  </si>
  <si>
    <t>2006 FEB 17</t>
  </si>
  <si>
    <t>2006 MAR 2</t>
  </si>
  <si>
    <t>2006 MAR 11</t>
  </si>
  <si>
    <t>2006 MAR 29</t>
  </si>
  <si>
    <t>2007 DEC 27</t>
  </si>
  <si>
    <t>2007 DEC 31</t>
  </si>
  <si>
    <t>2008 JAN 22</t>
  </si>
  <si>
    <t>2008 FEB 5</t>
  </si>
  <si>
    <t>2008 FEB 7</t>
  </si>
  <si>
    <t>2008 NOV 27</t>
  </si>
  <si>
    <t>2008 DEC 20</t>
  </si>
  <si>
    <t>2008 DEC 24</t>
  </si>
  <si>
    <t>2008 DEC 27</t>
  </si>
  <si>
    <t>2009 JAN 5</t>
  </si>
  <si>
    <t>2009 JAN 29</t>
  </si>
  <si>
    <t>2009 FEB 8</t>
  </si>
  <si>
    <t>2009 FEB 11</t>
  </si>
  <si>
    <t>2009 FEB 13</t>
  </si>
  <si>
    <t>2009 FEB 21</t>
  </si>
  <si>
    <t>2009 FEB 23</t>
  </si>
  <si>
    <t>2009 MAR 7</t>
  </si>
  <si>
    <t>2009 MAR 13</t>
  </si>
  <si>
    <t>2009 MAR 21</t>
  </si>
  <si>
    <t>2009 MAR 25</t>
  </si>
  <si>
    <t>2009 OCT 14</t>
  </si>
  <si>
    <t>2009 NOV 12</t>
  </si>
  <si>
    <t>2009 DEC 18</t>
  </si>
  <si>
    <t>2009 DEC 26</t>
  </si>
  <si>
    <t>2010 JAN 2</t>
  </si>
  <si>
    <t>2010 JAN 16</t>
  </si>
  <si>
    <t>2010 JAN 23</t>
  </si>
  <si>
    <t>2010 JAN 30</t>
  </si>
  <si>
    <t>2010 FEB 7</t>
  </si>
  <si>
    <t>2010 FEB 20</t>
  </si>
  <si>
    <t>2010 FEB 22</t>
  </si>
  <si>
    <t>2010 FEB 26</t>
  </si>
  <si>
    <t>2010 MAR 6</t>
  </si>
  <si>
    <t>2010 APR 2</t>
  </si>
  <si>
    <t>2010 DEC 9</t>
  </si>
  <si>
    <t>2011 JAN 25</t>
  </si>
  <si>
    <t>2011 FEB 18</t>
  </si>
  <si>
    <t>2011 MAR 20</t>
  </si>
  <si>
    <t>2011 NOV 15</t>
  </si>
  <si>
    <t>2011 NOV 18</t>
  </si>
  <si>
    <t>2011 NOV 25</t>
  </si>
  <si>
    <t>2011 DEC 23</t>
  </si>
  <si>
    <t>2012 FEB 14</t>
  </si>
  <si>
    <t>2012 FEB 21</t>
  </si>
  <si>
    <t>2012 FEB 25</t>
  </si>
  <si>
    <t>2012 FEB 29</t>
  </si>
  <si>
    <t>2012 MAR 9</t>
  </si>
  <si>
    <t>2012 MAR 11</t>
  </si>
  <si>
    <t>2012 MAR 13</t>
  </si>
  <si>
    <t>2012 MAR 15</t>
  </si>
  <si>
    <t>2012 MAR 22</t>
  </si>
  <si>
    <t>2012 MAR 24</t>
  </si>
  <si>
    <t>2012 MAR 28</t>
  </si>
  <si>
    <t>2012 NOV 21</t>
  </si>
  <si>
    <t>2012 DEC 3</t>
  </si>
  <si>
    <t>2012 DEC 11</t>
  </si>
  <si>
    <t>2012 DEC 29</t>
  </si>
  <si>
    <t>2013 JAN 5</t>
  </si>
  <si>
    <t>2013 JAN 29</t>
  </si>
  <si>
    <t>2013 FEB 13</t>
  </si>
  <si>
    <t>2013 FEB 15</t>
  </si>
  <si>
    <t>2013 FEB 28</t>
  </si>
  <si>
    <t>2013 MAR 15</t>
  </si>
  <si>
    <t>2013 APR 3</t>
  </si>
  <si>
    <t>2013 DEC 7</t>
  </si>
  <si>
    <t>2013 DEC 13</t>
  </si>
  <si>
    <t>2014 FEB 23</t>
  </si>
  <si>
    <t>2014 FEB 24</t>
  </si>
  <si>
    <t>2014 MAR 7</t>
  </si>
  <si>
    <t>2014 MAR 30</t>
  </si>
  <si>
    <t>2016 FEB 10</t>
  </si>
  <si>
    <t>2016 APR 5</t>
  </si>
  <si>
    <t>2016 DEC 24</t>
  </si>
  <si>
    <t>2017 JAN 1</t>
  </si>
  <si>
    <t>2017 JAN 3</t>
  </si>
  <si>
    <t>2017 JAN 7</t>
  </si>
  <si>
    <t>2017 JAN 9</t>
  </si>
  <si>
    <t>2017 JAN 20</t>
  </si>
  <si>
    <t>2017 JAN 23</t>
  </si>
  <si>
    <t>2017 JAN 26</t>
  </si>
  <si>
    <t>B-V</t>
  </si>
  <si>
    <t>2005 DEC 21</t>
  </si>
  <si>
    <t>2005 DEC 30</t>
  </si>
  <si>
    <t>2006 JAN 9</t>
  </si>
  <si>
    <t>2006 FEB 1</t>
  </si>
  <si>
    <t>2007 DEC 20</t>
  </si>
  <si>
    <t>2008 NOV 23</t>
  </si>
  <si>
    <t>2008 DEC 7</t>
  </si>
  <si>
    <t>2010 MAR 16</t>
  </si>
  <si>
    <t>2011 DEC 27</t>
  </si>
  <si>
    <t>Johnson V</t>
  </si>
  <si>
    <t>GCO</t>
  </si>
  <si>
    <t>2017 DEC 24</t>
  </si>
  <si>
    <t>2017 DEC 28</t>
  </si>
  <si>
    <t>2018 JAN 13</t>
  </si>
  <si>
    <t>2018 JAN 22</t>
  </si>
  <si>
    <t>2018 JAN 27</t>
  </si>
  <si>
    <t>2018 FEB 10</t>
  </si>
  <si>
    <t>2018 FEB 11</t>
  </si>
  <si>
    <t>SRIC</t>
  </si>
  <si>
    <t>2018 FEB 14</t>
  </si>
  <si>
    <t>2018 FEB 16</t>
  </si>
  <si>
    <t>2018 APR 10</t>
  </si>
  <si>
    <t>2018 APR 14</t>
  </si>
  <si>
    <t>2018 APR 21</t>
  </si>
  <si>
    <t>2018 DEC 30</t>
  </si>
  <si>
    <t>2019 JAN 2</t>
  </si>
  <si>
    <t>2019 JAN 8</t>
  </si>
  <si>
    <t>2019 JAN 11</t>
  </si>
  <si>
    <t>2019 JAN 13</t>
  </si>
  <si>
    <t>2019 JAN 14</t>
  </si>
  <si>
    <t>2019 JAN 24</t>
  </si>
  <si>
    <t>2019 JAN 28</t>
  </si>
  <si>
    <t>2019 JAN 29</t>
  </si>
  <si>
    <t>2019 FEB 4</t>
  </si>
  <si>
    <t>2019 FEB 6</t>
  </si>
  <si>
    <t>2019 FEB 11</t>
  </si>
  <si>
    <t>2019 FEB 13</t>
  </si>
  <si>
    <t>2019 FEB 15</t>
  </si>
  <si>
    <t>2019 FEB 17</t>
  </si>
  <si>
    <t>2019 FEB 20</t>
  </si>
  <si>
    <t>2019 FEB 22</t>
  </si>
  <si>
    <t>2019 FEB 23</t>
  </si>
  <si>
    <t>2019 FEB 24</t>
  </si>
  <si>
    <t>2019 FEB 27</t>
  </si>
  <si>
    <t>2019 MAR 1</t>
  </si>
  <si>
    <t>2019 MAR 5</t>
  </si>
  <si>
    <t>2019 MAR 9</t>
  </si>
  <si>
    <t>2019 MAR 11</t>
  </si>
  <si>
    <t>2019 MAR 12</t>
  </si>
  <si>
    <t>2019 MAR 13</t>
  </si>
  <si>
    <t>2019 MAR 30</t>
  </si>
  <si>
    <t>2019 APR 15</t>
  </si>
  <si>
    <t>2017 MAY 3</t>
  </si>
  <si>
    <t>DKS</t>
  </si>
  <si>
    <t>GH GEM</t>
  </si>
  <si>
    <t>2017 MAY 9</t>
  </si>
  <si>
    <t>2017 SEP 25</t>
  </si>
  <si>
    <t>2017 SEP 27</t>
  </si>
  <si>
    <t>2017 OCT 12</t>
  </si>
  <si>
    <t>2017 OCT 15</t>
  </si>
  <si>
    <t>2017 OCT 25</t>
  </si>
  <si>
    <t>2017 OCT 27</t>
  </si>
  <si>
    <t>2017 NOV 17</t>
  </si>
  <si>
    <t>2017 NOV 29</t>
  </si>
  <si>
    <t>2017 DEC 2</t>
  </si>
  <si>
    <t>2017 DEC 8</t>
  </si>
  <si>
    <t>2017 DEC 13</t>
  </si>
  <si>
    <t>2017 DEC 15</t>
  </si>
  <si>
    <t>2017 DEC 23</t>
  </si>
  <si>
    <t>2017 DEC 30</t>
  </si>
  <si>
    <t>2018 JAN 14</t>
  </si>
  <si>
    <t>2018 JAN 16</t>
  </si>
  <si>
    <t>2018 JAN 17</t>
  </si>
  <si>
    <t>2018 FEB 4</t>
  </si>
  <si>
    <t>2018 FEB 20</t>
  </si>
  <si>
    <t>2018 FEB 22</t>
  </si>
  <si>
    <t>2018 FEB 25</t>
  </si>
  <si>
    <t>2018 MAR 2</t>
  </si>
  <si>
    <t>2018 MAR 25</t>
  </si>
  <si>
    <t>2018 APR 8</t>
  </si>
  <si>
    <t>2018 APR 9</t>
  </si>
  <si>
    <t>visuel</t>
  </si>
  <si>
    <t>BOZ</t>
  </si>
  <si>
    <t>2018 APR 15</t>
  </si>
  <si>
    <t>2018 APR 29</t>
  </si>
  <si>
    <t>2018 SEP 24</t>
  </si>
  <si>
    <t>2018 OCT 14</t>
  </si>
  <si>
    <t>2018 OCT 16</t>
  </si>
  <si>
    <t>2018 NOV 16</t>
  </si>
  <si>
    <t>2018 DEC 10</t>
  </si>
  <si>
    <t>POX</t>
  </si>
  <si>
    <t>2018 DEC 25</t>
  </si>
  <si>
    <t>2018 DEC 28</t>
  </si>
  <si>
    <t>2019 JAN 1</t>
  </si>
  <si>
    <t>2019 JAN 3</t>
  </si>
  <si>
    <t>2019 JAN 5</t>
  </si>
  <si>
    <t>2019 JAN 7</t>
  </si>
  <si>
    <t>2019 JAN 12</t>
  </si>
  <si>
    <t>2019 JAN 15</t>
  </si>
  <si>
    <t>2019 JAN 17</t>
  </si>
  <si>
    <t>2019 FEB 7</t>
  </si>
  <si>
    <t>CJE</t>
  </si>
  <si>
    <t>2019 FEB 12</t>
  </si>
  <si>
    <t>RRIA</t>
  </si>
  <si>
    <t>2019 MAR 16</t>
  </si>
  <si>
    <t>2019 MAR 22</t>
  </si>
  <si>
    <t>2019 APR 17</t>
  </si>
  <si>
    <t>GH 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</si>
</sst>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71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ill="1"/>
    <xf numFmtId="1" fontId="0" fillId="2" borderId="1" xfId="0" applyNumberForma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5" borderId="0" xfId="0" applyFill="1"/>
    <xf numFmtId="14" fontId="0" fillId="0" borderId="0" xfId="0" applyNumberFormat="1"/>
    <xf numFmtId="14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71" fontId="0" fillId="6" borderId="1" xfId="0" applyNumberFormat="1" applyFill="1" applyBorder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GH Gem</c:v>
            </c:pt>
          </c:strCache>
        </c:strRef>
      </c:tx>
      <c:layout>
        <c:manualLayout>
          <c:xMode val="edge"/>
          <c:yMode val="edge"/>
          <c:x val="0.10269280032051629"/>
          <c:y val="9.420522969388187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V!$A$1:$A$100</c:f>
              <c:numCache>
                <c:formatCode>General</c:formatCode>
                <c:ptCount val="100"/>
                <c:pt idx="0">
                  <c:v>2457876.5398300001</c:v>
                </c:pt>
                <c:pt idx="1">
                  <c:v>2457882.5427399999</c:v>
                </c:pt>
                <c:pt idx="2">
                  <c:v>2458021.9332400002</c:v>
                </c:pt>
                <c:pt idx="3">
                  <c:v>2458024.0235100002</c:v>
                </c:pt>
                <c:pt idx="4">
                  <c:v>2458038.9111100002</c:v>
                </c:pt>
                <c:pt idx="5">
                  <c:v>2458041.7850600001</c:v>
                </c:pt>
                <c:pt idx="6">
                  <c:v>2458051.7591200001</c:v>
                </c:pt>
                <c:pt idx="7">
                  <c:v>2458053.9428900001</c:v>
                </c:pt>
                <c:pt idx="8">
                  <c:v>2458074.9239500002</c:v>
                </c:pt>
                <c:pt idx="9">
                  <c:v>2458086.8791999999</c:v>
                </c:pt>
                <c:pt idx="10">
                  <c:v>2458089.9661900001</c:v>
                </c:pt>
                <c:pt idx="11">
                  <c:v>2458096.4983399999</c:v>
                </c:pt>
                <c:pt idx="12">
                  <c:v>2458100.9726100001</c:v>
                </c:pt>
                <c:pt idx="13">
                  <c:v>2458103.4257399999</c:v>
                </c:pt>
                <c:pt idx="14">
                  <c:v>2458111.4873500001</c:v>
                </c:pt>
                <c:pt idx="15">
                  <c:v>2458111.6467900001</c:v>
                </c:pt>
                <c:pt idx="16">
                  <c:v>2458112.4034699998</c:v>
                </c:pt>
                <c:pt idx="17">
                  <c:v>2458116.4276200002</c:v>
                </c:pt>
                <c:pt idx="18">
                  <c:v>2458118.3827</c:v>
                </c:pt>
                <c:pt idx="19">
                  <c:v>2458132.3525200002</c:v>
                </c:pt>
                <c:pt idx="20">
                  <c:v>2458132.7030000002</c:v>
                </c:pt>
                <c:pt idx="21">
                  <c:v>2458134.7945900001</c:v>
                </c:pt>
                <c:pt idx="22">
                  <c:v>2458135.6357200001</c:v>
                </c:pt>
                <c:pt idx="23">
                  <c:v>2458141.3713799999</c:v>
                </c:pt>
                <c:pt idx="24">
                  <c:v>2458146.3134599999</c:v>
                </c:pt>
                <c:pt idx="25">
                  <c:v>2458154.3055599998</c:v>
                </c:pt>
                <c:pt idx="26">
                  <c:v>2458160.2868599999</c:v>
                </c:pt>
                <c:pt idx="27">
                  <c:v>2458160.7222600002</c:v>
                </c:pt>
                <c:pt idx="28">
                  <c:v>2458164.2609000001</c:v>
                </c:pt>
                <c:pt idx="29">
                  <c:v>2458165.7074000002</c:v>
                </c:pt>
                <c:pt idx="30">
                  <c:v>2458165.7698599999</c:v>
                </c:pt>
                <c:pt idx="31">
                  <c:v>2458169.71948</c:v>
                </c:pt>
                <c:pt idx="32">
                  <c:v>2458171.70242</c:v>
                </c:pt>
                <c:pt idx="33">
                  <c:v>2458174.5332800001</c:v>
                </c:pt>
                <c:pt idx="34">
                  <c:v>2458179.67001</c:v>
                </c:pt>
                <c:pt idx="35">
                  <c:v>2458202.6782200001</c:v>
                </c:pt>
                <c:pt idx="36">
                  <c:v>2458217.2701400002</c:v>
                </c:pt>
                <c:pt idx="37">
                  <c:v>2458218.267</c:v>
                </c:pt>
                <c:pt idx="38">
                  <c:v>2458218.6450800002</c:v>
                </c:pt>
                <c:pt idx="39">
                  <c:v>2458222.6491</c:v>
                </c:pt>
                <c:pt idx="40">
                  <c:v>2458223.5554999998</c:v>
                </c:pt>
                <c:pt idx="41">
                  <c:v>2458229.6563300001</c:v>
                </c:pt>
                <c:pt idx="42">
                  <c:v>2458237.5375299999</c:v>
                </c:pt>
                <c:pt idx="43">
                  <c:v>2458385.9319099998</c:v>
                </c:pt>
                <c:pt idx="44">
                  <c:v>2458405.9007299999</c:v>
                </c:pt>
                <c:pt idx="45">
                  <c:v>2458407.8870000001</c:v>
                </c:pt>
                <c:pt idx="46">
                  <c:v>2458439.4736100002</c:v>
                </c:pt>
                <c:pt idx="47">
                  <c:v>2458462.5035000001</c:v>
                </c:pt>
                <c:pt idx="48">
                  <c:v>2458478.4010200002</c:v>
                </c:pt>
                <c:pt idx="49">
                  <c:v>2458481.4799899999</c:v>
                </c:pt>
                <c:pt idx="50">
                  <c:v>2458483.38846</c:v>
                </c:pt>
                <c:pt idx="51">
                  <c:v>2458484.8117200001</c:v>
                </c:pt>
                <c:pt idx="52">
                  <c:v>2458485.5758000002</c:v>
                </c:pt>
                <c:pt idx="53">
                  <c:v>2458487.4817599999</c:v>
                </c:pt>
                <c:pt idx="54">
                  <c:v>2458489.4769100002</c:v>
                </c:pt>
                <c:pt idx="55">
                  <c:v>2458491.4725899999</c:v>
                </c:pt>
                <c:pt idx="56">
                  <c:v>2458491.8163899998</c:v>
                </c:pt>
                <c:pt idx="57">
                  <c:v>2458494.8014699998</c:v>
                </c:pt>
                <c:pt idx="58">
                  <c:v>2458496.4652</c:v>
                </c:pt>
                <c:pt idx="59">
                  <c:v>2458496.5975000001</c:v>
                </c:pt>
                <c:pt idx="60">
                  <c:v>2458498.4532499998</c:v>
                </c:pt>
                <c:pt idx="61">
                  <c:v>2458498.9775800002</c:v>
                </c:pt>
                <c:pt idx="62">
                  <c:v>2458500.6772400001</c:v>
                </c:pt>
                <c:pt idx="63">
                  <c:v>2458508.4532099999</c:v>
                </c:pt>
                <c:pt idx="64">
                  <c:v>2458512.4174000002</c:v>
                </c:pt>
                <c:pt idx="65">
                  <c:v>2458512.8239699998</c:v>
                </c:pt>
                <c:pt idx="66">
                  <c:v>2458512.89567</c:v>
                </c:pt>
                <c:pt idx="67">
                  <c:v>2458519.4068499999</c:v>
                </c:pt>
                <c:pt idx="68">
                  <c:v>2458521.3896599999</c:v>
                </c:pt>
                <c:pt idx="69">
                  <c:v>2458522.2902799998</c:v>
                </c:pt>
                <c:pt idx="70">
                  <c:v>2458522.3930000002</c:v>
                </c:pt>
                <c:pt idx="71">
                  <c:v>2458526.3856799998</c:v>
                </c:pt>
                <c:pt idx="72">
                  <c:v>2458526.6368399998</c:v>
                </c:pt>
                <c:pt idx="73">
                  <c:v>2458528.3709</c:v>
                </c:pt>
                <c:pt idx="74">
                  <c:v>2458530.36735</c:v>
                </c:pt>
                <c:pt idx="75">
                  <c:v>2458532.3629700001</c:v>
                </c:pt>
                <c:pt idx="76">
                  <c:v>2458535.36045</c:v>
                </c:pt>
                <c:pt idx="77">
                  <c:v>2458537.3602399998</c:v>
                </c:pt>
                <c:pt idx="78">
                  <c:v>2458538.3243100001</c:v>
                </c:pt>
                <c:pt idx="79">
                  <c:v>2458539.3405900002</c:v>
                </c:pt>
                <c:pt idx="80">
                  <c:v>2458542.3243100001</c:v>
                </c:pt>
                <c:pt idx="81">
                  <c:v>2458542.3323400002</c:v>
                </c:pt>
                <c:pt idx="82">
                  <c:v>2458544.3363199998</c:v>
                </c:pt>
                <c:pt idx="83">
                  <c:v>2458548.3824499999</c:v>
                </c:pt>
                <c:pt idx="84">
                  <c:v>2458552.3710099999</c:v>
                </c:pt>
                <c:pt idx="85">
                  <c:v>2458554.3054999998</c:v>
                </c:pt>
                <c:pt idx="86">
                  <c:v>2458555.2944399999</c:v>
                </c:pt>
                <c:pt idx="87">
                  <c:v>2458555.5290000001</c:v>
                </c:pt>
                <c:pt idx="88">
                  <c:v>2458556.3016400002</c:v>
                </c:pt>
                <c:pt idx="89">
                  <c:v>2458558.60188</c:v>
                </c:pt>
                <c:pt idx="90">
                  <c:v>2458559.28749</c:v>
                </c:pt>
                <c:pt idx="91">
                  <c:v>2458564.6581799998</c:v>
                </c:pt>
                <c:pt idx="92">
                  <c:v>2458573.2590299998</c:v>
                </c:pt>
                <c:pt idx="93">
                  <c:v>2458589.3013900002</c:v>
                </c:pt>
                <c:pt idx="94">
                  <c:v>2458590.5936599998</c:v>
                </c:pt>
              </c:numCache>
            </c:numRef>
          </c:xVal>
          <c:yVal>
            <c:numRef>
              <c:f>V!$C$1:$C$100</c:f>
              <c:numCache>
                <c:formatCode>General</c:formatCode>
                <c:ptCount val="100"/>
                <c:pt idx="0">
                  <c:v>13.067</c:v>
                </c:pt>
                <c:pt idx="1">
                  <c:v>12.958</c:v>
                </c:pt>
                <c:pt idx="2">
                  <c:v>12.701000000000001</c:v>
                </c:pt>
                <c:pt idx="3">
                  <c:v>12.817</c:v>
                </c:pt>
                <c:pt idx="4">
                  <c:v>13.459</c:v>
                </c:pt>
                <c:pt idx="5">
                  <c:v>12.65</c:v>
                </c:pt>
                <c:pt idx="6">
                  <c:v>12.419</c:v>
                </c:pt>
                <c:pt idx="7">
                  <c:v>12.638</c:v>
                </c:pt>
                <c:pt idx="8">
                  <c:v>12.823</c:v>
                </c:pt>
                <c:pt idx="9">
                  <c:v>12.885</c:v>
                </c:pt>
                <c:pt idx="10">
                  <c:v>13.137</c:v>
                </c:pt>
                <c:pt idx="11">
                  <c:v>12.903</c:v>
                </c:pt>
                <c:pt idx="12">
                  <c:v>12.765000000000001</c:v>
                </c:pt>
                <c:pt idx="13">
                  <c:v>12.657</c:v>
                </c:pt>
                <c:pt idx="14">
                  <c:v>12.702</c:v>
                </c:pt>
                <c:pt idx="15">
                  <c:v>12.670999999999999</c:v>
                </c:pt>
                <c:pt idx="16">
                  <c:v>12.73</c:v>
                </c:pt>
                <c:pt idx="17">
                  <c:v>12.734999999999999</c:v>
                </c:pt>
                <c:pt idx="18">
                  <c:v>12.718</c:v>
                </c:pt>
                <c:pt idx="19">
                  <c:v>12.872999999999999</c:v>
                </c:pt>
                <c:pt idx="20">
                  <c:v>12.92</c:v>
                </c:pt>
                <c:pt idx="21">
                  <c:v>12.999000000000001</c:v>
                </c:pt>
                <c:pt idx="22">
                  <c:v>13.082000000000001</c:v>
                </c:pt>
                <c:pt idx="23">
                  <c:v>13.19</c:v>
                </c:pt>
                <c:pt idx="24">
                  <c:v>13.541</c:v>
                </c:pt>
                <c:pt idx="25">
                  <c:v>13.5</c:v>
                </c:pt>
                <c:pt idx="26">
                  <c:v>13.757</c:v>
                </c:pt>
                <c:pt idx="27">
                  <c:v>13.772</c:v>
                </c:pt>
                <c:pt idx="28">
                  <c:v>13.664</c:v>
                </c:pt>
                <c:pt idx="29">
                  <c:v>13.77</c:v>
                </c:pt>
                <c:pt idx="30">
                  <c:v>13.73</c:v>
                </c:pt>
                <c:pt idx="31">
                  <c:v>13.798</c:v>
                </c:pt>
                <c:pt idx="32">
                  <c:v>13.837</c:v>
                </c:pt>
                <c:pt idx="33">
                  <c:v>13.252000000000001</c:v>
                </c:pt>
                <c:pt idx="34">
                  <c:v>12.824</c:v>
                </c:pt>
                <c:pt idx="35">
                  <c:v>12.702999999999999</c:v>
                </c:pt>
                <c:pt idx="36">
                  <c:v>13.26</c:v>
                </c:pt>
                <c:pt idx="37">
                  <c:v>13.2</c:v>
                </c:pt>
                <c:pt idx="38">
                  <c:v>13.176</c:v>
                </c:pt>
                <c:pt idx="39">
                  <c:v>13.077</c:v>
                </c:pt>
                <c:pt idx="40">
                  <c:v>13.036</c:v>
                </c:pt>
                <c:pt idx="41">
                  <c:v>13.196999999999999</c:v>
                </c:pt>
                <c:pt idx="42">
                  <c:v>13.576000000000001</c:v>
                </c:pt>
                <c:pt idx="43">
                  <c:v>12.49</c:v>
                </c:pt>
                <c:pt idx="44">
                  <c:v>12.525</c:v>
                </c:pt>
                <c:pt idx="45">
                  <c:v>12.558999999999999</c:v>
                </c:pt>
                <c:pt idx="46">
                  <c:v>13.07</c:v>
                </c:pt>
                <c:pt idx="47">
                  <c:v>12.7</c:v>
                </c:pt>
                <c:pt idx="48">
                  <c:v>12.621</c:v>
                </c:pt>
                <c:pt idx="49">
                  <c:v>12.724</c:v>
                </c:pt>
                <c:pt idx="50">
                  <c:v>12.677</c:v>
                </c:pt>
                <c:pt idx="51">
                  <c:v>13.173</c:v>
                </c:pt>
                <c:pt idx="52">
                  <c:v>13.603</c:v>
                </c:pt>
                <c:pt idx="53">
                  <c:v>13.814</c:v>
                </c:pt>
                <c:pt idx="54">
                  <c:v>13.173999999999999</c:v>
                </c:pt>
                <c:pt idx="55">
                  <c:v>12.853</c:v>
                </c:pt>
                <c:pt idx="56">
                  <c:v>12.843</c:v>
                </c:pt>
                <c:pt idx="57">
                  <c:v>12.711</c:v>
                </c:pt>
                <c:pt idx="58">
                  <c:v>12.726000000000001</c:v>
                </c:pt>
                <c:pt idx="59">
                  <c:v>12.733000000000001</c:v>
                </c:pt>
                <c:pt idx="60">
                  <c:v>12.705</c:v>
                </c:pt>
                <c:pt idx="61">
                  <c:v>12.617000000000001</c:v>
                </c:pt>
                <c:pt idx="62">
                  <c:v>12.685</c:v>
                </c:pt>
                <c:pt idx="63">
                  <c:v>12.898</c:v>
                </c:pt>
                <c:pt idx="64">
                  <c:v>12.6</c:v>
                </c:pt>
                <c:pt idx="65">
                  <c:v>12.667999999999999</c:v>
                </c:pt>
                <c:pt idx="66">
                  <c:v>12.622</c:v>
                </c:pt>
                <c:pt idx="67">
                  <c:v>12.419</c:v>
                </c:pt>
                <c:pt idx="68">
                  <c:v>12.472</c:v>
                </c:pt>
                <c:pt idx="69">
                  <c:v>12.42</c:v>
                </c:pt>
                <c:pt idx="70">
                  <c:v>13.1</c:v>
                </c:pt>
                <c:pt idx="71">
                  <c:v>12.526</c:v>
                </c:pt>
                <c:pt idx="72">
                  <c:v>12.494</c:v>
                </c:pt>
                <c:pt idx="73">
                  <c:v>12.37</c:v>
                </c:pt>
                <c:pt idx="74">
                  <c:v>12.347</c:v>
                </c:pt>
                <c:pt idx="75">
                  <c:v>12.307</c:v>
                </c:pt>
                <c:pt idx="76">
                  <c:v>12.301</c:v>
                </c:pt>
                <c:pt idx="77">
                  <c:v>12.340999999999999</c:v>
                </c:pt>
                <c:pt idx="78">
                  <c:v>12.31</c:v>
                </c:pt>
                <c:pt idx="79">
                  <c:v>12.242000000000001</c:v>
                </c:pt>
                <c:pt idx="80">
                  <c:v>12.3</c:v>
                </c:pt>
                <c:pt idx="81">
                  <c:v>12.302</c:v>
                </c:pt>
                <c:pt idx="82">
                  <c:v>12.39</c:v>
                </c:pt>
                <c:pt idx="83">
                  <c:v>12.334</c:v>
                </c:pt>
                <c:pt idx="84">
                  <c:v>12.321999999999999</c:v>
                </c:pt>
                <c:pt idx="85">
                  <c:v>12.297000000000001</c:v>
                </c:pt>
                <c:pt idx="86">
                  <c:v>12.29</c:v>
                </c:pt>
                <c:pt idx="87">
                  <c:v>12.4</c:v>
                </c:pt>
                <c:pt idx="88">
                  <c:v>12.315</c:v>
                </c:pt>
                <c:pt idx="89">
                  <c:v>12.404999999999999</c:v>
                </c:pt>
                <c:pt idx="90">
                  <c:v>12.377000000000001</c:v>
                </c:pt>
                <c:pt idx="91">
                  <c:v>12.435</c:v>
                </c:pt>
                <c:pt idx="92">
                  <c:v>12.59</c:v>
                </c:pt>
                <c:pt idx="93">
                  <c:v>13.08</c:v>
                </c:pt>
                <c:pt idx="94">
                  <c:v>13.372999999999999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3-4F9C-B4C9-20D8F312D67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Index!$M$24:$M$100</c:f>
              <c:numCache>
                <c:formatCode>0</c:formatCode>
                <c:ptCount val="77"/>
                <c:pt idx="0">
                  <c:v>2457458.4167999998</c:v>
                </c:pt>
                <c:pt idx="1">
                  <c:v>2457459.4056000002</c:v>
                </c:pt>
                <c:pt idx="2">
                  <c:v>2457477.3901</c:v>
                </c:pt>
                <c:pt idx="3">
                  <c:v>2457761.3961</c:v>
                </c:pt>
                <c:pt idx="4">
                  <c:v>2457805.4172</c:v>
                </c:pt>
                <c:pt idx="5">
                  <c:v>2458020.9427999998</c:v>
                </c:pt>
                <c:pt idx="6">
                  <c:v>2458102.7662</c:v>
                </c:pt>
                <c:pt idx="7">
                  <c:v>2458523.7075</c:v>
                </c:pt>
                <c:pt idx="8">
                  <c:v>2458530.3684999999</c:v>
                </c:pt>
              </c:numCache>
            </c:numRef>
          </c:xVal>
          <c:yVal>
            <c:numRef>
              <c:f>Index!$N$24:$N$100</c:f>
              <c:numCache>
                <c:formatCode>General</c:formatCode>
                <c:ptCount val="7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3-4F9C-B4C9-20D8F312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2568"/>
        <c:axId val="514192960"/>
      </c:scatterChart>
      <c:valAx>
        <c:axId val="514192568"/>
        <c:scaling>
          <c:orientation val="minMax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960"/>
        <c:crosses val="max"/>
        <c:crossBetween val="midCat"/>
        <c:majorUnit val="365"/>
      </c:valAx>
      <c:valAx>
        <c:axId val="514192960"/>
        <c:scaling>
          <c:orientation val="maxMin"/>
          <c:min val="12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5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GH Gem</c:v>
            </c:pt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V!$A$1:$A$54</c:f>
              <c:numCache>
                <c:formatCode>General</c:formatCode>
                <c:ptCount val="54"/>
                <c:pt idx="0">
                  <c:v>2457876.5398300001</c:v>
                </c:pt>
                <c:pt idx="1">
                  <c:v>2457882.5427399999</c:v>
                </c:pt>
                <c:pt idx="2">
                  <c:v>2458021.9332400002</c:v>
                </c:pt>
                <c:pt idx="3">
                  <c:v>2458024.0235100002</c:v>
                </c:pt>
                <c:pt idx="4">
                  <c:v>2458038.9111100002</c:v>
                </c:pt>
                <c:pt idx="5">
                  <c:v>2458041.7850600001</c:v>
                </c:pt>
                <c:pt idx="6">
                  <c:v>2458051.7591200001</c:v>
                </c:pt>
                <c:pt idx="7">
                  <c:v>2458053.9428900001</c:v>
                </c:pt>
                <c:pt idx="8">
                  <c:v>2458074.9239500002</c:v>
                </c:pt>
                <c:pt idx="9">
                  <c:v>2458086.8791999999</c:v>
                </c:pt>
                <c:pt idx="10">
                  <c:v>2458089.9661900001</c:v>
                </c:pt>
                <c:pt idx="11">
                  <c:v>2458096.4983399999</c:v>
                </c:pt>
                <c:pt idx="12">
                  <c:v>2458100.9726100001</c:v>
                </c:pt>
                <c:pt idx="13">
                  <c:v>2458103.4257399999</c:v>
                </c:pt>
                <c:pt idx="14">
                  <c:v>2458111.4873500001</c:v>
                </c:pt>
                <c:pt idx="15">
                  <c:v>2458111.6467900001</c:v>
                </c:pt>
                <c:pt idx="16">
                  <c:v>2458112.4034699998</c:v>
                </c:pt>
                <c:pt idx="17">
                  <c:v>2458116.4276200002</c:v>
                </c:pt>
                <c:pt idx="18">
                  <c:v>2458118.3827</c:v>
                </c:pt>
                <c:pt idx="19">
                  <c:v>2458132.3525200002</c:v>
                </c:pt>
                <c:pt idx="20">
                  <c:v>2458132.7030000002</c:v>
                </c:pt>
                <c:pt idx="21">
                  <c:v>2458134.7945900001</c:v>
                </c:pt>
                <c:pt idx="22">
                  <c:v>2458135.6357200001</c:v>
                </c:pt>
                <c:pt idx="23">
                  <c:v>2458141.3713799999</c:v>
                </c:pt>
                <c:pt idx="24">
                  <c:v>2458146.3134599999</c:v>
                </c:pt>
                <c:pt idx="25">
                  <c:v>2458154.3055599998</c:v>
                </c:pt>
                <c:pt idx="26">
                  <c:v>2458160.2868599999</c:v>
                </c:pt>
                <c:pt idx="27">
                  <c:v>2458160.7222600002</c:v>
                </c:pt>
                <c:pt idx="28">
                  <c:v>2458164.2609000001</c:v>
                </c:pt>
                <c:pt idx="29">
                  <c:v>2458165.7074000002</c:v>
                </c:pt>
                <c:pt idx="30">
                  <c:v>2458165.7698599999</c:v>
                </c:pt>
                <c:pt idx="31">
                  <c:v>2458169.71948</c:v>
                </c:pt>
                <c:pt idx="32">
                  <c:v>2458171.70242</c:v>
                </c:pt>
                <c:pt idx="33">
                  <c:v>2458174.5332800001</c:v>
                </c:pt>
                <c:pt idx="34">
                  <c:v>2458179.67001</c:v>
                </c:pt>
                <c:pt idx="35">
                  <c:v>2458202.6782200001</c:v>
                </c:pt>
                <c:pt idx="36">
                  <c:v>2458217.2701400002</c:v>
                </c:pt>
                <c:pt idx="37">
                  <c:v>2458218.267</c:v>
                </c:pt>
                <c:pt idx="38">
                  <c:v>2458218.6450800002</c:v>
                </c:pt>
                <c:pt idx="39">
                  <c:v>2458222.6491</c:v>
                </c:pt>
                <c:pt idx="40">
                  <c:v>2458223.5554999998</c:v>
                </c:pt>
                <c:pt idx="41">
                  <c:v>2458229.6563300001</c:v>
                </c:pt>
                <c:pt idx="42">
                  <c:v>2458237.5375299999</c:v>
                </c:pt>
                <c:pt idx="43">
                  <c:v>2458385.9319099998</c:v>
                </c:pt>
                <c:pt idx="44">
                  <c:v>2458405.9007299999</c:v>
                </c:pt>
                <c:pt idx="45">
                  <c:v>2458407.8870000001</c:v>
                </c:pt>
                <c:pt idx="46">
                  <c:v>2458439.4736100002</c:v>
                </c:pt>
                <c:pt idx="47">
                  <c:v>2458462.5035000001</c:v>
                </c:pt>
                <c:pt idx="48">
                  <c:v>2458478.4010200002</c:v>
                </c:pt>
                <c:pt idx="49">
                  <c:v>2458481.4799899999</c:v>
                </c:pt>
                <c:pt idx="50">
                  <c:v>2458483.38846</c:v>
                </c:pt>
                <c:pt idx="51">
                  <c:v>2458484.8117200001</c:v>
                </c:pt>
                <c:pt idx="52">
                  <c:v>2458485.5758000002</c:v>
                </c:pt>
                <c:pt idx="53">
                  <c:v>2458487.4817599999</c:v>
                </c:pt>
              </c:numCache>
            </c:numRef>
          </c:xVal>
          <c:yVal>
            <c:numRef>
              <c:f>V!$C$1:$C$54</c:f>
              <c:numCache>
                <c:formatCode>General</c:formatCode>
                <c:ptCount val="54"/>
                <c:pt idx="0">
                  <c:v>13.067</c:v>
                </c:pt>
                <c:pt idx="1">
                  <c:v>12.958</c:v>
                </c:pt>
                <c:pt idx="2">
                  <c:v>12.701000000000001</c:v>
                </c:pt>
                <c:pt idx="3">
                  <c:v>12.817</c:v>
                </c:pt>
                <c:pt idx="4">
                  <c:v>13.459</c:v>
                </c:pt>
                <c:pt idx="5">
                  <c:v>12.65</c:v>
                </c:pt>
                <c:pt idx="6">
                  <c:v>12.419</c:v>
                </c:pt>
                <c:pt idx="7">
                  <c:v>12.638</c:v>
                </c:pt>
                <c:pt idx="8">
                  <c:v>12.823</c:v>
                </c:pt>
                <c:pt idx="9">
                  <c:v>12.885</c:v>
                </c:pt>
                <c:pt idx="10">
                  <c:v>13.137</c:v>
                </c:pt>
                <c:pt idx="11">
                  <c:v>12.903</c:v>
                </c:pt>
                <c:pt idx="12">
                  <c:v>12.765000000000001</c:v>
                </c:pt>
                <c:pt idx="13">
                  <c:v>12.657</c:v>
                </c:pt>
                <c:pt idx="14">
                  <c:v>12.702</c:v>
                </c:pt>
                <c:pt idx="15">
                  <c:v>12.670999999999999</c:v>
                </c:pt>
                <c:pt idx="16">
                  <c:v>12.73</c:v>
                </c:pt>
                <c:pt idx="17">
                  <c:v>12.734999999999999</c:v>
                </c:pt>
                <c:pt idx="18">
                  <c:v>12.718</c:v>
                </c:pt>
                <c:pt idx="19">
                  <c:v>12.872999999999999</c:v>
                </c:pt>
                <c:pt idx="20">
                  <c:v>12.92</c:v>
                </c:pt>
                <c:pt idx="21">
                  <c:v>12.999000000000001</c:v>
                </c:pt>
                <c:pt idx="22">
                  <c:v>13.082000000000001</c:v>
                </c:pt>
                <c:pt idx="23">
                  <c:v>13.19</c:v>
                </c:pt>
                <c:pt idx="24">
                  <c:v>13.541</c:v>
                </c:pt>
                <c:pt idx="25">
                  <c:v>13.5</c:v>
                </c:pt>
                <c:pt idx="26">
                  <c:v>13.757</c:v>
                </c:pt>
                <c:pt idx="27">
                  <c:v>13.772</c:v>
                </c:pt>
                <c:pt idx="28">
                  <c:v>13.664</c:v>
                </c:pt>
                <c:pt idx="29">
                  <c:v>13.77</c:v>
                </c:pt>
                <c:pt idx="30">
                  <c:v>13.73</c:v>
                </c:pt>
                <c:pt idx="31">
                  <c:v>13.798</c:v>
                </c:pt>
                <c:pt idx="32">
                  <c:v>13.837</c:v>
                </c:pt>
                <c:pt idx="33">
                  <c:v>13.252000000000001</c:v>
                </c:pt>
                <c:pt idx="34">
                  <c:v>12.824</c:v>
                </c:pt>
                <c:pt idx="35">
                  <c:v>12.702999999999999</c:v>
                </c:pt>
                <c:pt idx="36">
                  <c:v>13.26</c:v>
                </c:pt>
                <c:pt idx="37">
                  <c:v>13.2</c:v>
                </c:pt>
                <c:pt idx="38">
                  <c:v>13.176</c:v>
                </c:pt>
                <c:pt idx="39">
                  <c:v>13.077</c:v>
                </c:pt>
                <c:pt idx="40">
                  <c:v>13.036</c:v>
                </c:pt>
                <c:pt idx="41">
                  <c:v>13.196999999999999</c:v>
                </c:pt>
                <c:pt idx="42">
                  <c:v>13.576000000000001</c:v>
                </c:pt>
                <c:pt idx="43">
                  <c:v>12.49</c:v>
                </c:pt>
                <c:pt idx="44">
                  <c:v>12.525</c:v>
                </c:pt>
                <c:pt idx="45">
                  <c:v>12.558999999999999</c:v>
                </c:pt>
                <c:pt idx="46">
                  <c:v>13.07</c:v>
                </c:pt>
                <c:pt idx="47">
                  <c:v>12.7</c:v>
                </c:pt>
                <c:pt idx="48">
                  <c:v>12.621</c:v>
                </c:pt>
                <c:pt idx="49">
                  <c:v>12.724</c:v>
                </c:pt>
                <c:pt idx="50">
                  <c:v>12.677</c:v>
                </c:pt>
                <c:pt idx="51">
                  <c:v>13.173</c:v>
                </c:pt>
                <c:pt idx="52">
                  <c:v>13.603</c:v>
                </c:pt>
                <c:pt idx="53">
                  <c:v>13.814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D-4497-A46B-B418782901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Index!$M$24:$M$61</c:f>
              <c:numCache>
                <c:formatCode>0</c:formatCode>
                <c:ptCount val="38"/>
                <c:pt idx="0">
                  <c:v>2457458.4167999998</c:v>
                </c:pt>
                <c:pt idx="1">
                  <c:v>2457459.4056000002</c:v>
                </c:pt>
                <c:pt idx="2">
                  <c:v>2457477.3901</c:v>
                </c:pt>
                <c:pt idx="3">
                  <c:v>2457761.3961</c:v>
                </c:pt>
                <c:pt idx="4">
                  <c:v>2457805.4172</c:v>
                </c:pt>
                <c:pt idx="5">
                  <c:v>2458020.9427999998</c:v>
                </c:pt>
                <c:pt idx="6">
                  <c:v>2458102.7662</c:v>
                </c:pt>
                <c:pt idx="7">
                  <c:v>2458523.7075</c:v>
                </c:pt>
                <c:pt idx="8">
                  <c:v>2458530.3684999999</c:v>
                </c:pt>
              </c:numCache>
            </c:numRef>
          </c:xVal>
          <c:yVal>
            <c:numRef>
              <c:f>Index!$N$24:$N$61</c:f>
              <c:numCache>
                <c:formatCode>General</c:formatCode>
                <c:ptCount val="38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2D-4497-A46B-B41878290143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Index!$I$16:$I$17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Index!$J$16:$J$17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2D-4497-A46B-B41878290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90120"/>
        <c:axId val="539588944"/>
      </c:scatterChart>
      <c:valAx>
        <c:axId val="539590120"/>
        <c:scaling>
          <c:orientation val="minMax"/>
          <c:max val="2457380"/>
          <c:min val="24571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944"/>
        <c:crosses val="max"/>
        <c:crossBetween val="midCat"/>
        <c:majorUnit val="30"/>
      </c:valAx>
      <c:valAx>
        <c:axId val="539588944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90120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GH Gem</c:v>
            </c:pt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V!$A$1:$A$54</c:f>
              <c:numCache>
                <c:formatCode>General</c:formatCode>
                <c:ptCount val="54"/>
                <c:pt idx="0">
                  <c:v>2457876.5398300001</c:v>
                </c:pt>
                <c:pt idx="1">
                  <c:v>2457882.5427399999</c:v>
                </c:pt>
                <c:pt idx="2">
                  <c:v>2458021.9332400002</c:v>
                </c:pt>
                <c:pt idx="3">
                  <c:v>2458024.0235100002</c:v>
                </c:pt>
                <c:pt idx="4">
                  <c:v>2458038.9111100002</c:v>
                </c:pt>
                <c:pt idx="5">
                  <c:v>2458041.7850600001</c:v>
                </c:pt>
                <c:pt idx="6">
                  <c:v>2458051.7591200001</c:v>
                </c:pt>
                <c:pt idx="7">
                  <c:v>2458053.9428900001</c:v>
                </c:pt>
                <c:pt idx="8">
                  <c:v>2458074.9239500002</c:v>
                </c:pt>
                <c:pt idx="9">
                  <c:v>2458086.8791999999</c:v>
                </c:pt>
                <c:pt idx="10">
                  <c:v>2458089.9661900001</c:v>
                </c:pt>
                <c:pt idx="11">
                  <c:v>2458096.4983399999</c:v>
                </c:pt>
                <c:pt idx="12">
                  <c:v>2458100.9726100001</c:v>
                </c:pt>
                <c:pt idx="13">
                  <c:v>2458103.4257399999</c:v>
                </c:pt>
                <c:pt idx="14">
                  <c:v>2458111.4873500001</c:v>
                </c:pt>
                <c:pt idx="15">
                  <c:v>2458111.6467900001</c:v>
                </c:pt>
                <c:pt idx="16">
                  <c:v>2458112.4034699998</c:v>
                </c:pt>
                <c:pt idx="17">
                  <c:v>2458116.4276200002</c:v>
                </c:pt>
                <c:pt idx="18">
                  <c:v>2458118.3827</c:v>
                </c:pt>
                <c:pt idx="19">
                  <c:v>2458132.3525200002</c:v>
                </c:pt>
                <c:pt idx="20">
                  <c:v>2458132.7030000002</c:v>
                </c:pt>
                <c:pt idx="21">
                  <c:v>2458134.7945900001</c:v>
                </c:pt>
                <c:pt idx="22">
                  <c:v>2458135.6357200001</c:v>
                </c:pt>
                <c:pt idx="23">
                  <c:v>2458141.3713799999</c:v>
                </c:pt>
                <c:pt idx="24">
                  <c:v>2458146.3134599999</c:v>
                </c:pt>
                <c:pt idx="25">
                  <c:v>2458154.3055599998</c:v>
                </c:pt>
                <c:pt idx="26">
                  <c:v>2458160.2868599999</c:v>
                </c:pt>
                <c:pt idx="27">
                  <c:v>2458160.7222600002</c:v>
                </c:pt>
                <c:pt idx="28">
                  <c:v>2458164.2609000001</c:v>
                </c:pt>
                <c:pt idx="29">
                  <c:v>2458165.7074000002</c:v>
                </c:pt>
                <c:pt idx="30">
                  <c:v>2458165.7698599999</c:v>
                </c:pt>
                <c:pt idx="31">
                  <c:v>2458169.71948</c:v>
                </c:pt>
                <c:pt idx="32">
                  <c:v>2458171.70242</c:v>
                </c:pt>
                <c:pt idx="33">
                  <c:v>2458174.5332800001</c:v>
                </c:pt>
                <c:pt idx="34">
                  <c:v>2458179.67001</c:v>
                </c:pt>
                <c:pt idx="35">
                  <c:v>2458202.6782200001</c:v>
                </c:pt>
                <c:pt idx="36">
                  <c:v>2458217.2701400002</c:v>
                </c:pt>
                <c:pt idx="37">
                  <c:v>2458218.267</c:v>
                </c:pt>
                <c:pt idx="38">
                  <c:v>2458218.6450800002</c:v>
                </c:pt>
                <c:pt idx="39">
                  <c:v>2458222.6491</c:v>
                </c:pt>
                <c:pt idx="40">
                  <c:v>2458223.5554999998</c:v>
                </c:pt>
                <c:pt idx="41">
                  <c:v>2458229.6563300001</c:v>
                </c:pt>
                <c:pt idx="42">
                  <c:v>2458237.5375299999</c:v>
                </c:pt>
                <c:pt idx="43">
                  <c:v>2458385.9319099998</c:v>
                </c:pt>
                <c:pt idx="44">
                  <c:v>2458405.9007299999</c:v>
                </c:pt>
                <c:pt idx="45">
                  <c:v>2458407.8870000001</c:v>
                </c:pt>
                <c:pt idx="46">
                  <c:v>2458439.4736100002</c:v>
                </c:pt>
                <c:pt idx="47">
                  <c:v>2458462.5035000001</c:v>
                </c:pt>
                <c:pt idx="48">
                  <c:v>2458478.4010200002</c:v>
                </c:pt>
                <c:pt idx="49">
                  <c:v>2458481.4799899999</c:v>
                </c:pt>
                <c:pt idx="50">
                  <c:v>2458483.38846</c:v>
                </c:pt>
                <c:pt idx="51">
                  <c:v>2458484.8117200001</c:v>
                </c:pt>
                <c:pt idx="52">
                  <c:v>2458485.5758000002</c:v>
                </c:pt>
                <c:pt idx="53">
                  <c:v>2458487.4817599999</c:v>
                </c:pt>
              </c:numCache>
            </c:numRef>
          </c:xVal>
          <c:yVal>
            <c:numRef>
              <c:f>V!$C$1:$C$54</c:f>
              <c:numCache>
                <c:formatCode>General</c:formatCode>
                <c:ptCount val="54"/>
                <c:pt idx="0">
                  <c:v>13.067</c:v>
                </c:pt>
                <c:pt idx="1">
                  <c:v>12.958</c:v>
                </c:pt>
                <c:pt idx="2">
                  <c:v>12.701000000000001</c:v>
                </c:pt>
                <c:pt idx="3">
                  <c:v>12.817</c:v>
                </c:pt>
                <c:pt idx="4">
                  <c:v>13.459</c:v>
                </c:pt>
                <c:pt idx="5">
                  <c:v>12.65</c:v>
                </c:pt>
                <c:pt idx="6">
                  <c:v>12.419</c:v>
                </c:pt>
                <c:pt idx="7">
                  <c:v>12.638</c:v>
                </c:pt>
                <c:pt idx="8">
                  <c:v>12.823</c:v>
                </c:pt>
                <c:pt idx="9">
                  <c:v>12.885</c:v>
                </c:pt>
                <c:pt idx="10">
                  <c:v>13.137</c:v>
                </c:pt>
                <c:pt idx="11">
                  <c:v>12.903</c:v>
                </c:pt>
                <c:pt idx="12">
                  <c:v>12.765000000000001</c:v>
                </c:pt>
                <c:pt idx="13">
                  <c:v>12.657</c:v>
                </c:pt>
                <c:pt idx="14">
                  <c:v>12.702</c:v>
                </c:pt>
                <c:pt idx="15">
                  <c:v>12.670999999999999</c:v>
                </c:pt>
                <c:pt idx="16">
                  <c:v>12.73</c:v>
                </c:pt>
                <c:pt idx="17">
                  <c:v>12.734999999999999</c:v>
                </c:pt>
                <c:pt idx="18">
                  <c:v>12.718</c:v>
                </c:pt>
                <c:pt idx="19">
                  <c:v>12.872999999999999</c:v>
                </c:pt>
                <c:pt idx="20">
                  <c:v>12.92</c:v>
                </c:pt>
                <c:pt idx="21">
                  <c:v>12.999000000000001</c:v>
                </c:pt>
                <c:pt idx="22">
                  <c:v>13.082000000000001</c:v>
                </c:pt>
                <c:pt idx="23">
                  <c:v>13.19</c:v>
                </c:pt>
                <c:pt idx="24">
                  <c:v>13.541</c:v>
                </c:pt>
                <c:pt idx="25">
                  <c:v>13.5</c:v>
                </c:pt>
                <c:pt idx="26">
                  <c:v>13.757</c:v>
                </c:pt>
                <c:pt idx="27">
                  <c:v>13.772</c:v>
                </c:pt>
                <c:pt idx="28">
                  <c:v>13.664</c:v>
                </c:pt>
                <c:pt idx="29">
                  <c:v>13.77</c:v>
                </c:pt>
                <c:pt idx="30">
                  <c:v>13.73</c:v>
                </c:pt>
                <c:pt idx="31">
                  <c:v>13.798</c:v>
                </c:pt>
                <c:pt idx="32">
                  <c:v>13.837</c:v>
                </c:pt>
                <c:pt idx="33">
                  <c:v>13.252000000000001</c:v>
                </c:pt>
                <c:pt idx="34">
                  <c:v>12.824</c:v>
                </c:pt>
                <c:pt idx="35">
                  <c:v>12.702999999999999</c:v>
                </c:pt>
                <c:pt idx="36">
                  <c:v>13.26</c:v>
                </c:pt>
                <c:pt idx="37">
                  <c:v>13.2</c:v>
                </c:pt>
                <c:pt idx="38">
                  <c:v>13.176</c:v>
                </c:pt>
                <c:pt idx="39">
                  <c:v>13.077</c:v>
                </c:pt>
                <c:pt idx="40">
                  <c:v>13.036</c:v>
                </c:pt>
                <c:pt idx="41">
                  <c:v>13.196999999999999</c:v>
                </c:pt>
                <c:pt idx="42">
                  <c:v>13.576000000000001</c:v>
                </c:pt>
                <c:pt idx="43">
                  <c:v>12.49</c:v>
                </c:pt>
                <c:pt idx="44">
                  <c:v>12.525</c:v>
                </c:pt>
                <c:pt idx="45">
                  <c:v>12.558999999999999</c:v>
                </c:pt>
                <c:pt idx="46">
                  <c:v>13.07</c:v>
                </c:pt>
                <c:pt idx="47">
                  <c:v>12.7</c:v>
                </c:pt>
                <c:pt idx="48">
                  <c:v>12.621</c:v>
                </c:pt>
                <c:pt idx="49">
                  <c:v>12.724</c:v>
                </c:pt>
                <c:pt idx="50">
                  <c:v>12.677</c:v>
                </c:pt>
                <c:pt idx="51">
                  <c:v>13.173</c:v>
                </c:pt>
                <c:pt idx="52">
                  <c:v>13.603</c:v>
                </c:pt>
                <c:pt idx="53">
                  <c:v>13.814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B-4D22-868E-1D5DA813970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Index!$M$24:$M$61</c:f>
              <c:numCache>
                <c:formatCode>0</c:formatCode>
                <c:ptCount val="38"/>
                <c:pt idx="0">
                  <c:v>2457458.4167999998</c:v>
                </c:pt>
                <c:pt idx="1">
                  <c:v>2457459.4056000002</c:v>
                </c:pt>
                <c:pt idx="2">
                  <c:v>2457477.3901</c:v>
                </c:pt>
                <c:pt idx="3">
                  <c:v>2457761.3961</c:v>
                </c:pt>
                <c:pt idx="4">
                  <c:v>2457805.4172</c:v>
                </c:pt>
                <c:pt idx="5">
                  <c:v>2458020.9427999998</c:v>
                </c:pt>
                <c:pt idx="6">
                  <c:v>2458102.7662</c:v>
                </c:pt>
                <c:pt idx="7">
                  <c:v>2458523.7075</c:v>
                </c:pt>
                <c:pt idx="8">
                  <c:v>2458530.3684999999</c:v>
                </c:pt>
              </c:numCache>
            </c:numRef>
          </c:xVal>
          <c:yVal>
            <c:numRef>
              <c:f>Index!$N$24:$N$61</c:f>
              <c:numCache>
                <c:formatCode>General</c:formatCode>
                <c:ptCount val="38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B-4D22-868E-1D5DA813970E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Index!$I$16:$I$17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Index!$J$16:$J$17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B-4D22-868E-1D5DA8139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87768"/>
        <c:axId val="539588552"/>
      </c:scatterChart>
      <c:valAx>
        <c:axId val="539587768"/>
        <c:scaling>
          <c:orientation val="minMax"/>
          <c:max val="2457380"/>
          <c:min val="24571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552"/>
        <c:crosses val="max"/>
        <c:crossBetween val="midCat"/>
        <c:majorUnit val="30"/>
      </c:valAx>
      <c:valAx>
        <c:axId val="539588552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77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4</xdr:row>
      <xdr:rowOff>47624</xdr:rowOff>
    </xdr:from>
    <xdr:to>
      <xdr:col>7</xdr:col>
      <xdr:colOff>500474</xdr:colOff>
      <xdr:row>15</xdr:row>
      <xdr:rowOff>112124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11</xdr:col>
      <xdr:colOff>9525</xdr:colOff>
      <xdr:row>20</xdr:row>
      <xdr:rowOff>180975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85725</xdr:colOff>
      <xdr:row>14</xdr:row>
      <xdr:rowOff>161925</xdr:rowOff>
    </xdr:from>
    <xdr:to>
      <xdr:col>4</xdr:col>
      <xdr:colOff>95250</xdr:colOff>
      <xdr:row>15</xdr:row>
      <xdr:rowOff>66675</xdr:rowOff>
    </xdr:to>
    <xdr:cxnSp macro="">
      <xdr:nvCxnSpPr>
        <xdr:cNvPr id="4" name="Connecteur droi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2371725" y="2828925"/>
          <a:ext cx="771525" cy="95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</xdr:row>
      <xdr:rowOff>180975</xdr:rowOff>
    </xdr:from>
    <xdr:to>
      <xdr:col>4</xdr:col>
      <xdr:colOff>647700</xdr:colOff>
      <xdr:row>14</xdr:row>
      <xdr:rowOff>161925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3133725" y="1133475"/>
          <a:ext cx="561975" cy="1695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647700</xdr:colOff>
      <xdr:row>5</xdr:row>
      <xdr:rowOff>180975</xdr:rowOff>
    </xdr:from>
    <xdr:to>
      <xdr:col>7</xdr:col>
      <xdr:colOff>723900</xdr:colOff>
      <xdr:row>12</xdr:row>
      <xdr:rowOff>85725</xdr:rowOff>
    </xdr:to>
    <xdr:sp macro="" textlink="">
      <xdr:nvSpPr>
        <xdr:cNvPr id="8" name="Forme lib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5700" y="1133475"/>
          <a:ext cx="2362200" cy="1238250"/>
        </a:xfrm>
        <a:custGeom>
          <a:avLst/>
          <a:gdLst>
            <a:gd name="connsiteX0" fmla="*/ 0 w 2362200"/>
            <a:gd name="connsiteY0" fmla="*/ 0 h 1238250"/>
            <a:gd name="connsiteX1" fmla="*/ 714375 w 2362200"/>
            <a:gd name="connsiteY1" fmla="*/ 619125 h 1238250"/>
            <a:gd name="connsiteX2" fmla="*/ 1304925 w 2362200"/>
            <a:gd name="connsiteY2" fmla="*/ 962025 h 1238250"/>
            <a:gd name="connsiteX3" fmla="*/ 2362200 w 2362200"/>
            <a:gd name="connsiteY3" fmla="*/ 1238250 h 1238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362200" h="1238250">
              <a:moveTo>
                <a:pt x="0" y="0"/>
              </a:moveTo>
              <a:cubicBezTo>
                <a:pt x="248444" y="229394"/>
                <a:pt x="496888" y="458788"/>
                <a:pt x="714375" y="619125"/>
              </a:cubicBezTo>
              <a:cubicBezTo>
                <a:pt x="931862" y="779462"/>
                <a:pt x="1030288" y="858838"/>
                <a:pt x="1304925" y="962025"/>
              </a:cubicBezTo>
              <a:cubicBezTo>
                <a:pt x="1579562" y="1065212"/>
                <a:pt x="1970881" y="1151731"/>
                <a:pt x="2362200" y="123825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11</xdr:col>
      <xdr:colOff>9525</xdr:colOff>
      <xdr:row>40</xdr:row>
      <xdr:rowOff>180975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0.69413</cdr:x>
      <cdr:y>0.36412</cdr:y>
    </cdr:from>
    <cdr:to>
      <cdr:x>0.71411</cdr:x>
      <cdr:y>0.55409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CD5D3362-2D7F-40DD-877F-4475CB23F235}"/>
            </a:ext>
          </a:extLst>
        </cdr:cNvPr>
        <cdr:cNvCxnSpPr/>
      </cdr:nvCxnSpPr>
      <cdr:spPr>
        <a:xfrm xmlns:a="http://schemas.openxmlformats.org/drawingml/2006/main" flipV="1">
          <a:off x="5295900" y="1314450"/>
          <a:ext cx="152400" cy="685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0.7166</cdr:x>
      <cdr:y>0.3562</cdr:y>
    </cdr:from>
    <cdr:to>
      <cdr:x>0.83521</cdr:x>
      <cdr:y>0.40106</cdr:y>
    </cdr:to>
    <cdr:cxnSp macro="">
      <cdr:nvCxnSpPr>
        <cdr:cNvPr id="5" name="Connecteur droit 4">
          <a:extLst xmlns:a="http://schemas.openxmlformats.org/drawingml/2006/main">
            <a:ext uri="{FF2B5EF4-FFF2-40B4-BE49-F238E27FC236}">
              <a16:creationId xmlns:a16="http://schemas.microsoft.com/office/drawing/2014/main" id="{477BD66A-2593-45E7-ADD2-6FE40F92FB53}"/>
            </a:ext>
          </a:extLst>
        </cdr:cNvPr>
        <cdr:cNvCxnSpPr/>
      </cdr:nvCxnSpPr>
      <cdr:spPr>
        <a:xfrm xmlns:a="http://schemas.openxmlformats.org/drawingml/2006/main">
          <a:off x="5467350" y="1285875"/>
          <a:ext cx="904875" cy="16192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0.83521</cdr:x>
      <cdr:y>0.39314</cdr:y>
    </cdr:from>
    <cdr:to>
      <cdr:x>0.93009</cdr:x>
      <cdr:y>0.53562</cdr:y>
    </cdr:to>
    <cdr:sp macro="" textlink="">
      <cdr:nvSpPr>
        <cdr:cNvPr id="7" name="Forme libre 6">
          <a:extLst xmlns:a="http://schemas.openxmlformats.org/drawingml/2006/main">
            <a:ext uri="{FF2B5EF4-FFF2-40B4-BE49-F238E27FC236}">
              <a16:creationId xmlns:a16="http://schemas.microsoft.com/office/drawing/2014/main" id="{3E56497F-AF46-482C-A0AB-9B662B9EF196}"/>
            </a:ext>
          </a:extLst>
        </cdr:cNvPr>
        <cdr:cNvSpPr/>
      </cdr:nvSpPr>
      <cdr:spPr>
        <a:xfrm xmlns:a="http://schemas.openxmlformats.org/drawingml/2006/main">
          <a:off x="6372225" y="1419225"/>
          <a:ext cx="723900" cy="514350"/>
        </a:xfrm>
        <a:custGeom xmlns:a="http://schemas.openxmlformats.org/drawingml/2006/main">
          <a:avLst/>
          <a:gdLst>
            <a:gd name="connsiteX0" fmla="*/ 0 w 723900"/>
            <a:gd name="connsiteY0" fmla="*/ 0 h 514350"/>
            <a:gd name="connsiteX1" fmla="*/ 466725 w 723900"/>
            <a:gd name="connsiteY1" fmla="*/ 390525 h 514350"/>
            <a:gd name="connsiteX2" fmla="*/ 723900 w 723900"/>
            <a:gd name="connsiteY2" fmla="*/ 514350 h 514350"/>
            <a:gd name="connsiteX3" fmla="*/ 723900 w 723900"/>
            <a:gd name="connsiteY3" fmla="*/ 514350 h 514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23900" h="514350">
              <a:moveTo>
                <a:pt x="0" y="0"/>
              </a:moveTo>
              <a:cubicBezTo>
                <a:pt x="173037" y="152400"/>
                <a:pt x="346075" y="304800"/>
                <a:pt x="466725" y="390525"/>
              </a:cubicBezTo>
              <a:cubicBezTo>
                <a:pt x="587375" y="476250"/>
                <a:pt x="723900" y="514350"/>
                <a:pt x="723900" y="514350"/>
              </a:cubicBezTo>
              <a:lnTo>
                <a:pt x="723900" y="51435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AX Per"/>
      <sheetName val="SySt_Orb"/>
      <sheetName val="Refs"/>
      <sheetName val="Phase"/>
      <sheetName val="Ext"/>
      <sheetName val="CS"/>
      <sheetName val="Ref"/>
      <sheetName val="Feuil1"/>
      <sheetName val="Hot"/>
    </sheetNames>
    <sheetDataSet>
      <sheetData sheetId="0"/>
      <sheetData sheetId="1"/>
      <sheetData sheetId="2">
        <row r="29">
          <cell r="Q29">
            <v>2457275</v>
          </cell>
        </row>
        <row r="30">
          <cell r="Q30">
            <v>42256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Export"/>
      <sheetName val="Data"/>
      <sheetName val="f1"/>
      <sheetName val="Hen3-1768"/>
      <sheetName val="MAJ"/>
      <sheetName val="Alias"/>
      <sheetName val="Sites"/>
      <sheetName val="AliasNom"/>
      <sheetName val="AliasSite"/>
      <sheetName val="AliasInstrum"/>
      <sheetName val="Suspected"/>
      <sheetName val="SuspectedLog"/>
      <sheetName val="AGDra"/>
      <sheetName val="AGPeg"/>
      <sheetName val="AS210"/>
      <sheetName val="AS245"/>
      <sheetName val="AS270"/>
      <sheetName val="AS289"/>
      <sheetName val="AXPer"/>
      <sheetName val="BDCam"/>
      <sheetName val="EFAql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RTel"/>
      <sheetName val="RSOph"/>
      <sheetName val="RTSer"/>
      <sheetName val="RWHya"/>
      <sheetName val="SSLep"/>
      <sheetName val="StHa32"/>
      <sheetName val="StHa55"/>
      <sheetName val="StHa149"/>
      <sheetName val="StHa169"/>
      <sheetName val="StHa190"/>
      <sheetName val="SULyn"/>
      <sheetName val="TCrB"/>
      <sheetName val="TCPJ19544251+1722281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13">
          <cell r="B13">
            <v>1</v>
          </cell>
          <cell r="C13">
            <v>42439</v>
          </cell>
          <cell r="D13">
            <v>0.88737268518518519</v>
          </cell>
          <cell r="E13">
            <v>2457458.4167999998</v>
          </cell>
          <cell r="F13" t="str">
            <v>JGF</v>
          </cell>
          <cell r="I13">
            <v>969</v>
          </cell>
          <cell r="P13">
            <v>4024</v>
          </cell>
          <cell r="Q13">
            <v>7524</v>
          </cell>
          <cell r="X13" t="str">
            <v>asdb_ghgem_20160310_887.fit</v>
          </cell>
        </row>
        <row r="14">
          <cell r="B14">
            <v>2</v>
          </cell>
          <cell r="C14">
            <v>42440</v>
          </cell>
          <cell r="D14">
            <v>0.85924768518518524</v>
          </cell>
          <cell r="E14">
            <v>2457459.4056000002</v>
          </cell>
          <cell r="F14" t="str">
            <v>JGF</v>
          </cell>
          <cell r="I14">
            <v>808</v>
          </cell>
          <cell r="P14">
            <v>4023</v>
          </cell>
          <cell r="Q14">
            <v>7532</v>
          </cell>
          <cell r="X14" t="str">
            <v>asdb_ghgem_20160311_859.fit</v>
          </cell>
        </row>
        <row r="15">
          <cell r="B15">
            <v>3</v>
          </cell>
          <cell r="C15">
            <v>42458</v>
          </cell>
          <cell r="D15">
            <v>0.84375</v>
          </cell>
          <cell r="E15">
            <v>2457477.3901</v>
          </cell>
          <cell r="F15" t="str">
            <v>JGF</v>
          </cell>
          <cell r="I15">
            <v>948</v>
          </cell>
          <cell r="P15">
            <v>3987</v>
          </cell>
          <cell r="Q15">
            <v>7513</v>
          </cell>
          <cell r="X15" t="str">
            <v>asdb_ghgem_20160329_844.fit</v>
          </cell>
        </row>
        <row r="16">
          <cell r="B16">
            <v>4</v>
          </cell>
          <cell r="C16">
            <v>42742</v>
          </cell>
          <cell r="D16">
            <v>0.89267361111111121</v>
          </cell>
          <cell r="E16">
            <v>2457761.3961</v>
          </cell>
          <cell r="F16" t="str">
            <v>FBO</v>
          </cell>
          <cell r="I16">
            <v>2200</v>
          </cell>
          <cell r="P16">
            <v>4002</v>
          </cell>
          <cell r="Q16">
            <v>7502</v>
          </cell>
          <cell r="X16" t="str">
            <v>asdb_ghgem_20170107_893.fit</v>
          </cell>
        </row>
        <row r="17">
          <cell r="B17">
            <v>5</v>
          </cell>
          <cell r="C17">
            <v>42786</v>
          </cell>
          <cell r="D17">
            <v>0.89637731481481486</v>
          </cell>
          <cell r="E17">
            <v>2457805.4172</v>
          </cell>
          <cell r="F17" t="str">
            <v>FCA</v>
          </cell>
          <cell r="I17">
            <v>841</v>
          </cell>
          <cell r="P17">
            <v>3799</v>
          </cell>
          <cell r="Q17">
            <v>7333</v>
          </cell>
          <cell r="X17" t="str">
            <v>asdb_ghgem_20170220_896.fit</v>
          </cell>
        </row>
        <row r="18">
          <cell r="B18">
            <v>6</v>
          </cell>
          <cell r="C18">
            <v>43002</v>
          </cell>
          <cell r="D18">
            <v>0.43512731481481487</v>
          </cell>
          <cell r="E18">
            <v>2458020.9427999998</v>
          </cell>
          <cell r="F18" t="str">
            <v>JRF</v>
          </cell>
          <cell r="I18">
            <v>606</v>
          </cell>
          <cell r="P18">
            <v>3900</v>
          </cell>
          <cell r="Q18">
            <v>7400</v>
          </cell>
          <cell r="X18" t="str">
            <v>asdb_ghgem_20170924_435.fit</v>
          </cell>
        </row>
        <row r="19">
          <cell r="B19">
            <v>7</v>
          </cell>
          <cell r="C19">
            <v>43084</v>
          </cell>
          <cell r="D19">
            <v>0.23832175925925925</v>
          </cell>
          <cell r="E19">
            <v>2458102.7662</v>
          </cell>
          <cell r="F19" t="str">
            <v>FAS</v>
          </cell>
          <cell r="I19">
            <v>949</v>
          </cell>
          <cell r="P19">
            <v>3726</v>
          </cell>
          <cell r="Q19">
            <v>7290</v>
          </cell>
          <cell r="X19" t="str">
            <v>asdb_ghgem_20171215_238.fit</v>
          </cell>
        </row>
        <row r="20">
          <cell r="B20">
            <v>8</v>
          </cell>
          <cell r="C20">
            <v>43505</v>
          </cell>
          <cell r="D20">
            <v>0.1761574074074074</v>
          </cell>
          <cell r="E20">
            <v>2458523.7075</v>
          </cell>
          <cell r="F20" t="str">
            <v>FAS</v>
          </cell>
          <cell r="I20">
            <v>893</v>
          </cell>
          <cell r="P20">
            <v>3726</v>
          </cell>
          <cell r="Q20">
            <v>7275</v>
          </cell>
          <cell r="X20" t="str">
            <v>asdb_ghgem_20190209_176.fit</v>
          </cell>
        </row>
        <row r="21">
          <cell r="B21">
            <v>9</v>
          </cell>
          <cell r="C21">
            <v>43511</v>
          </cell>
          <cell r="D21">
            <v>0.84072916666666664</v>
          </cell>
          <cell r="E21">
            <v>2458530.3684999999</v>
          </cell>
          <cell r="F21" t="str">
            <v>FCA</v>
          </cell>
          <cell r="I21">
            <v>763</v>
          </cell>
          <cell r="P21">
            <v>3900</v>
          </cell>
          <cell r="Q21">
            <v>7284</v>
          </cell>
          <cell r="X21" t="str">
            <v>asdb_ghgem_20190215_841.fit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B"/>
      <sheetName val="M"/>
      <sheetName val="Feuil1"/>
    </sheetNames>
    <sheetDataSet>
      <sheetData sheetId="0"/>
      <sheetData sheetId="1"/>
      <sheetData sheetId="2"/>
      <sheetData sheetId="3"/>
      <sheetData sheetId="4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O90"/>
  <sheetViews>
    <sheetView showGridLines="0" tabSelected="1" workbookViewId="0">
      <selection activeCell="K13" sqref="K13"/>
    </sheetView>
  </sheetViews>
  <sheetFormatPr baseColWidth="10" defaultRowHeight="15" x14ac:dyDescent="0.25"/>
  <cols>
    <col min="3" max="3" width="11.85546875" style="12" bestFit="1" customWidth="1"/>
    <col min="5" max="5" width="13" bestFit="1" customWidth="1"/>
    <col min="12" max="12" width="41.85546875" bestFit="1" customWidth="1"/>
  </cols>
  <sheetData>
    <row r="3" spans="9:13" x14ac:dyDescent="0.25">
      <c r="M3" t="s">
        <v>830</v>
      </c>
    </row>
    <row r="16" spans="9:13" x14ac:dyDescent="0.25">
      <c r="I16">
        <v>2457200</v>
      </c>
      <c r="J16">
        <v>10</v>
      </c>
    </row>
    <row r="17" spans="2:15" x14ac:dyDescent="0.25">
      <c r="I17">
        <v>2457330</v>
      </c>
      <c r="J17">
        <f>+J16</f>
        <v>10</v>
      </c>
    </row>
    <row r="21" spans="2:15" x14ac:dyDescent="0.25">
      <c r="C21" s="12" t="s">
        <v>1</v>
      </c>
    </row>
    <row r="22" spans="2:15" x14ac:dyDescent="0.25">
      <c r="N22">
        <v>12</v>
      </c>
      <c r="O22">
        <v>8</v>
      </c>
    </row>
    <row r="24" spans="2:15" x14ac:dyDescent="0.25">
      <c r="B24" s="4">
        <f>+[2]GHGem!B13</f>
        <v>1</v>
      </c>
      <c r="C24" s="13">
        <f>+[2]GHGem!C13</f>
        <v>42439</v>
      </c>
      <c r="D24" s="14">
        <f>+[2]GHGem!D13</f>
        <v>0.88737268518518519</v>
      </c>
      <c r="E24" s="4">
        <f>+[2]GHGem!E13</f>
        <v>2457458.4167999998</v>
      </c>
      <c r="F24" s="4" t="str">
        <f>+[2]GHGem!F13</f>
        <v>JGF</v>
      </c>
      <c r="G24" s="4">
        <f>+[2]GHGem!I13</f>
        <v>969</v>
      </c>
      <c r="H24" s="4">
        <f>+[2]GHGem!P13</f>
        <v>4024</v>
      </c>
      <c r="I24" s="4">
        <f>+[2]GHGem!Q13</f>
        <v>7524</v>
      </c>
      <c r="J24" s="4">
        <f>+'[2]TCPJ19544251+1722281'!J13</f>
        <v>0</v>
      </c>
      <c r="K24" s="4">
        <f>+'[2]TCPJ19544251+1722281'!K13</f>
        <v>0</v>
      </c>
      <c r="L24" s="4" t="str">
        <f>+[2]GHGem!X13</f>
        <v>asdb_ghgem_20160310_887.fit</v>
      </c>
      <c r="M24" s="19">
        <f>+E24</f>
        <v>2457458.4167999998</v>
      </c>
      <c r="N24">
        <f>+N$22</f>
        <v>12</v>
      </c>
    </row>
    <row r="25" spans="2:15" x14ac:dyDescent="0.25">
      <c r="B25" s="4">
        <f>+[2]GHGem!B14</f>
        <v>2</v>
      </c>
      <c r="C25" s="13">
        <f>+[2]GHGem!C14</f>
        <v>42440</v>
      </c>
      <c r="D25" s="14">
        <f>+[2]GHGem!D14</f>
        <v>0.85924768518518524</v>
      </c>
      <c r="E25" s="4">
        <f>+[2]GHGem!E14</f>
        <v>2457459.4056000002</v>
      </c>
      <c r="F25" s="4" t="str">
        <f>+[2]GHGem!F14</f>
        <v>JGF</v>
      </c>
      <c r="G25" s="4">
        <f>+[2]GHGem!I14</f>
        <v>808</v>
      </c>
      <c r="H25" s="4">
        <f>+[2]GHGem!P14</f>
        <v>4023</v>
      </c>
      <c r="I25" s="4">
        <f>+[2]GHGem!Q14</f>
        <v>7532</v>
      </c>
      <c r="J25" s="4">
        <f>+'[2]TCPJ19544251+1722281'!J14</f>
        <v>0</v>
      </c>
      <c r="K25" s="4">
        <f>+'[2]TCPJ19544251+1722281'!K14</f>
        <v>0</v>
      </c>
      <c r="L25" s="4" t="str">
        <f>+[2]GHGem!X14</f>
        <v>asdb_ghgem_20160311_859.fit</v>
      </c>
      <c r="M25" s="19">
        <f t="shared" ref="M25:M32" si="0">+E25</f>
        <v>2457459.4056000002</v>
      </c>
      <c r="N25">
        <f t="shared" ref="N25:N32" si="1">+N$22</f>
        <v>12</v>
      </c>
    </row>
    <row r="26" spans="2:15" x14ac:dyDescent="0.25">
      <c r="B26" s="4">
        <f>+[2]GHGem!B15</f>
        <v>3</v>
      </c>
      <c r="C26" s="13">
        <f>+[2]GHGem!C15</f>
        <v>42458</v>
      </c>
      <c r="D26" s="14">
        <f>+[2]GHGem!D15</f>
        <v>0.84375</v>
      </c>
      <c r="E26" s="4">
        <f>+[2]GHGem!E15</f>
        <v>2457477.3901</v>
      </c>
      <c r="F26" s="4" t="str">
        <f>+[2]GHGem!F15</f>
        <v>JGF</v>
      </c>
      <c r="G26" s="4">
        <f>+[2]GHGem!I15</f>
        <v>948</v>
      </c>
      <c r="H26" s="4">
        <f>+[2]GHGem!P15</f>
        <v>3987</v>
      </c>
      <c r="I26" s="4">
        <f>+[2]GHGem!Q15</f>
        <v>7513</v>
      </c>
      <c r="J26" s="4">
        <f>+'[2]TCPJ19544251+1722281'!J15</f>
        <v>0</v>
      </c>
      <c r="K26" s="4">
        <f>+'[2]TCPJ19544251+1722281'!K15</f>
        <v>0</v>
      </c>
      <c r="L26" s="4" t="str">
        <f>+[2]GHGem!X15</f>
        <v>asdb_ghgem_20160329_844.fit</v>
      </c>
      <c r="M26" s="19">
        <f t="shared" si="0"/>
        <v>2457477.3901</v>
      </c>
      <c r="N26">
        <f t="shared" si="1"/>
        <v>12</v>
      </c>
    </row>
    <row r="27" spans="2:15" x14ac:dyDescent="0.25">
      <c r="B27" s="4">
        <f>+[2]GHGem!B16</f>
        <v>4</v>
      </c>
      <c r="C27" s="13">
        <f>+[2]GHGem!C16</f>
        <v>42742</v>
      </c>
      <c r="D27" s="14">
        <f>+[2]GHGem!D16</f>
        <v>0.89267361111111121</v>
      </c>
      <c r="E27" s="4">
        <f>+[2]GHGem!E16</f>
        <v>2457761.3961</v>
      </c>
      <c r="F27" s="4" t="str">
        <f>+[2]GHGem!F16</f>
        <v>FBO</v>
      </c>
      <c r="G27" s="4">
        <f>+[2]GHGem!I16</f>
        <v>2200</v>
      </c>
      <c r="H27" s="4">
        <f>+[2]GHGem!P16</f>
        <v>4002</v>
      </c>
      <c r="I27" s="4">
        <f>+[2]GHGem!Q16</f>
        <v>7502</v>
      </c>
      <c r="J27" s="4">
        <f>+'[2]TCPJ19544251+1722281'!J16</f>
        <v>0</v>
      </c>
      <c r="K27" s="4">
        <f>+'[2]TCPJ19544251+1722281'!K16</f>
        <v>0</v>
      </c>
      <c r="L27" s="4" t="str">
        <f>+[2]GHGem!X16</f>
        <v>asdb_ghgem_20170107_893.fit</v>
      </c>
      <c r="M27" s="19">
        <f t="shared" si="0"/>
        <v>2457761.3961</v>
      </c>
      <c r="N27">
        <f t="shared" si="1"/>
        <v>12</v>
      </c>
    </row>
    <row r="28" spans="2:15" x14ac:dyDescent="0.25">
      <c r="B28" s="4">
        <f>+[2]GHGem!B17</f>
        <v>5</v>
      </c>
      <c r="C28" s="13">
        <f>+[2]GHGem!C17</f>
        <v>42786</v>
      </c>
      <c r="D28" s="14">
        <f>+[2]GHGem!D17</f>
        <v>0.89637731481481486</v>
      </c>
      <c r="E28" s="4">
        <f>+[2]GHGem!E17</f>
        <v>2457805.4172</v>
      </c>
      <c r="F28" s="4" t="str">
        <f>+[2]GHGem!F17</f>
        <v>FCA</v>
      </c>
      <c r="G28" s="4">
        <f>+[2]GHGem!I17</f>
        <v>841</v>
      </c>
      <c r="H28" s="4">
        <f>+[2]GHGem!P17</f>
        <v>3799</v>
      </c>
      <c r="I28" s="4">
        <f>+[2]GHGem!Q17</f>
        <v>7333</v>
      </c>
      <c r="J28" s="4">
        <f>+'[2]TCPJ19544251+1722281'!J17</f>
        <v>0</v>
      </c>
      <c r="K28" s="4">
        <f>+'[2]TCPJ19544251+1722281'!K17</f>
        <v>0</v>
      </c>
      <c r="L28" s="4" t="str">
        <f>+[2]GHGem!X17</f>
        <v>asdb_ghgem_20170220_896.fit</v>
      </c>
      <c r="M28" s="19">
        <f t="shared" si="0"/>
        <v>2457805.4172</v>
      </c>
      <c r="N28">
        <f t="shared" si="1"/>
        <v>12</v>
      </c>
    </row>
    <row r="29" spans="2:15" x14ac:dyDescent="0.25">
      <c r="B29" s="4">
        <f>+[2]GHGem!B18</f>
        <v>6</v>
      </c>
      <c r="C29" s="13">
        <f>+[2]GHGem!C18</f>
        <v>43002</v>
      </c>
      <c r="D29" s="14">
        <f>+[2]GHGem!D18</f>
        <v>0.43512731481481487</v>
      </c>
      <c r="E29" s="4">
        <f>+[2]GHGem!E18</f>
        <v>2458020.9427999998</v>
      </c>
      <c r="F29" s="4" t="str">
        <f>+[2]GHGem!F18</f>
        <v>JRF</v>
      </c>
      <c r="G29" s="4">
        <f>+[2]GHGem!I18</f>
        <v>606</v>
      </c>
      <c r="H29" s="4">
        <f>+[2]GHGem!P18</f>
        <v>3900</v>
      </c>
      <c r="I29" s="4">
        <f>+[2]GHGem!Q18</f>
        <v>7400</v>
      </c>
      <c r="J29" s="4">
        <f>+'[2]TCPJ19544251+1722281'!J18</f>
        <v>0</v>
      </c>
      <c r="K29" s="4">
        <f>+'[2]TCPJ19544251+1722281'!K18</f>
        <v>0</v>
      </c>
      <c r="L29" s="4" t="str">
        <f>+[2]GHGem!X18</f>
        <v>asdb_ghgem_20170924_435.fit</v>
      </c>
      <c r="M29" s="19">
        <f t="shared" si="0"/>
        <v>2458020.9427999998</v>
      </c>
      <c r="N29">
        <f t="shared" si="1"/>
        <v>12</v>
      </c>
    </row>
    <row r="30" spans="2:15" x14ac:dyDescent="0.25">
      <c r="B30" s="4">
        <f>+[2]GHGem!B19</f>
        <v>7</v>
      </c>
      <c r="C30" s="13">
        <f>+[2]GHGem!C19</f>
        <v>43084</v>
      </c>
      <c r="D30" s="14">
        <f>+[2]GHGem!D19</f>
        <v>0.23832175925925925</v>
      </c>
      <c r="E30" s="4">
        <f>+[2]GHGem!E19</f>
        <v>2458102.7662</v>
      </c>
      <c r="F30" s="4" t="str">
        <f>+[2]GHGem!F19</f>
        <v>FAS</v>
      </c>
      <c r="G30" s="4">
        <f>+[2]GHGem!I19</f>
        <v>949</v>
      </c>
      <c r="H30" s="4">
        <f>+[2]GHGem!P19</f>
        <v>3726</v>
      </c>
      <c r="I30" s="4">
        <f>+[2]GHGem!Q19</f>
        <v>7290</v>
      </c>
      <c r="J30" s="4">
        <f>+'[2]TCPJ19544251+1722281'!J19</f>
        <v>0</v>
      </c>
      <c r="K30" s="4">
        <f>+'[2]TCPJ19544251+1722281'!K19</f>
        <v>0</v>
      </c>
      <c r="L30" s="4" t="str">
        <f>+[2]GHGem!X19</f>
        <v>asdb_ghgem_20171215_238.fit</v>
      </c>
      <c r="M30" s="19">
        <f t="shared" si="0"/>
        <v>2458102.7662</v>
      </c>
      <c r="N30">
        <f t="shared" si="1"/>
        <v>12</v>
      </c>
    </row>
    <row r="31" spans="2:15" x14ac:dyDescent="0.25">
      <c r="B31" s="4">
        <f>+[2]GHGem!B20</f>
        <v>8</v>
      </c>
      <c r="C31" s="13">
        <f>+[2]GHGem!C20</f>
        <v>43505</v>
      </c>
      <c r="D31" s="14">
        <f>+[2]GHGem!D20</f>
        <v>0.1761574074074074</v>
      </c>
      <c r="E31" s="4">
        <f>+[2]GHGem!E20</f>
        <v>2458523.7075</v>
      </c>
      <c r="F31" s="4" t="str">
        <f>+[2]GHGem!F20</f>
        <v>FAS</v>
      </c>
      <c r="G31" s="4">
        <f>+[2]GHGem!I20</f>
        <v>893</v>
      </c>
      <c r="H31" s="4">
        <f>+[2]GHGem!P20</f>
        <v>3726</v>
      </c>
      <c r="I31" s="4">
        <f>+[2]GHGem!Q20</f>
        <v>7275</v>
      </c>
      <c r="J31" s="4">
        <f>+'[2]TCPJ19544251+1722281'!J20</f>
        <v>0</v>
      </c>
      <c r="K31" s="4">
        <f>+'[2]TCPJ19544251+1722281'!K20</f>
        <v>0</v>
      </c>
      <c r="L31" s="4" t="str">
        <f>+[2]GHGem!X20</f>
        <v>asdb_ghgem_20190209_176.fit</v>
      </c>
      <c r="M31" s="19">
        <f t="shared" si="0"/>
        <v>2458523.7075</v>
      </c>
      <c r="N31">
        <f t="shared" si="1"/>
        <v>12</v>
      </c>
    </row>
    <row r="32" spans="2:15" x14ac:dyDescent="0.25">
      <c r="B32" s="4">
        <f>+[2]GHGem!B21</f>
        <v>9</v>
      </c>
      <c r="C32" s="13">
        <f>+[2]GHGem!C21</f>
        <v>43511</v>
      </c>
      <c r="D32" s="14">
        <f>+[2]GHGem!D21</f>
        <v>0.84072916666666664</v>
      </c>
      <c r="E32" s="4">
        <f>+[2]GHGem!E21</f>
        <v>2458530.3684999999</v>
      </c>
      <c r="F32" s="4" t="str">
        <f>+[2]GHGem!F21</f>
        <v>FCA</v>
      </c>
      <c r="G32" s="4">
        <f>+[2]GHGem!I21</f>
        <v>763</v>
      </c>
      <c r="H32" s="4">
        <f>+[2]GHGem!P21</f>
        <v>3900</v>
      </c>
      <c r="I32" s="4">
        <f>+[2]GHGem!Q21</f>
        <v>7284</v>
      </c>
      <c r="J32" s="4">
        <f>+'[2]TCPJ19544251+1722281'!J21</f>
        <v>0</v>
      </c>
      <c r="K32" s="4">
        <f>+'[2]TCPJ19544251+1722281'!K21</f>
        <v>0</v>
      </c>
      <c r="L32" s="4" t="str">
        <f>+[2]GHGem!X21</f>
        <v>asdb_ghgem_20190215_841.fit</v>
      </c>
      <c r="M32" s="19">
        <f t="shared" si="0"/>
        <v>2458530.3684999999</v>
      </c>
      <c r="N32">
        <f t="shared" si="1"/>
        <v>12</v>
      </c>
    </row>
    <row r="33" spans="2:13" x14ac:dyDescent="0.25">
      <c r="B33" s="4"/>
      <c r="C33" s="13"/>
      <c r="D33" s="14"/>
      <c r="E33" s="4"/>
      <c r="F33" s="4"/>
      <c r="G33" s="4"/>
      <c r="H33" s="4"/>
      <c r="I33" s="4"/>
      <c r="J33" s="4"/>
      <c r="K33" s="4"/>
      <c r="L33" s="4"/>
      <c r="M33" s="3"/>
    </row>
    <row r="34" spans="2:13" x14ac:dyDescent="0.25">
      <c r="B34" s="4"/>
      <c r="C34" s="13"/>
      <c r="D34" s="14"/>
      <c r="E34" s="4"/>
      <c r="F34" s="4"/>
      <c r="G34" s="4"/>
      <c r="H34" s="4"/>
      <c r="I34" s="4"/>
      <c r="J34" s="4"/>
      <c r="K34" s="4"/>
      <c r="L34" s="4"/>
    </row>
    <row r="35" spans="2:13" x14ac:dyDescent="0.25">
      <c r="B35" s="4"/>
      <c r="C35" s="13"/>
      <c r="D35" s="1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B36" s="4"/>
      <c r="C36" s="13"/>
      <c r="D36" s="14"/>
      <c r="E36" s="4"/>
      <c r="F36" s="4"/>
      <c r="G36" s="4"/>
      <c r="H36" s="4"/>
      <c r="I36" s="4"/>
      <c r="J36" s="4"/>
      <c r="K36" s="4"/>
      <c r="L36" s="4"/>
      <c r="M36" s="3"/>
    </row>
    <row r="37" spans="2:13" x14ac:dyDescent="0.25">
      <c r="B37" s="4"/>
      <c r="C37" s="13"/>
      <c r="D37" s="14"/>
      <c r="E37" s="4"/>
      <c r="F37" s="4"/>
      <c r="G37" s="4"/>
      <c r="H37" s="4"/>
      <c r="I37" s="4"/>
      <c r="J37" s="4"/>
      <c r="K37" s="4"/>
      <c r="L37" s="4"/>
      <c r="M37" s="2"/>
    </row>
    <row r="38" spans="2:13" x14ac:dyDescent="0.25">
      <c r="B38" s="4"/>
      <c r="C38" s="13"/>
      <c r="D38" s="14"/>
      <c r="E38" s="4"/>
      <c r="F38" s="4"/>
      <c r="G38" s="4"/>
      <c r="H38" s="4"/>
      <c r="I38" s="4"/>
      <c r="J38" s="4"/>
      <c r="K38" s="4"/>
      <c r="L38" s="4"/>
      <c r="M38" s="2"/>
    </row>
    <row r="39" spans="2:13" x14ac:dyDescent="0.25">
      <c r="B39" s="4"/>
      <c r="C39" s="13"/>
      <c r="D39" s="14"/>
      <c r="E39" s="4"/>
      <c r="F39" s="4"/>
      <c r="G39" s="4"/>
      <c r="H39" s="4"/>
      <c r="I39" s="4"/>
      <c r="J39" s="4"/>
      <c r="K39" s="4"/>
      <c r="L39" s="4"/>
      <c r="M39" s="2"/>
    </row>
    <row r="40" spans="2:13" x14ac:dyDescent="0.25">
      <c r="B40" s="4"/>
      <c r="C40" s="13"/>
      <c r="D40" s="14"/>
      <c r="E40" s="4"/>
      <c r="F40" s="4"/>
      <c r="G40" s="4"/>
      <c r="H40" s="4"/>
      <c r="I40" s="4"/>
      <c r="J40" s="4"/>
      <c r="K40" s="4"/>
      <c r="L40" s="4"/>
      <c r="M40" s="2"/>
    </row>
    <row r="41" spans="2:13" x14ac:dyDescent="0.25">
      <c r="B41" s="4"/>
      <c r="C41" s="13"/>
      <c r="D41" s="14"/>
      <c r="E41" s="4"/>
      <c r="F41" s="4"/>
      <c r="G41" s="4"/>
      <c r="H41" s="4"/>
      <c r="I41" s="4"/>
      <c r="J41" s="4"/>
      <c r="K41" s="4"/>
      <c r="L41" s="4"/>
      <c r="M41" s="2"/>
    </row>
    <row r="42" spans="2:13" x14ac:dyDescent="0.25">
      <c r="B42" s="4"/>
      <c r="C42" s="13"/>
      <c r="D42" s="14"/>
      <c r="E42" s="4"/>
      <c r="F42" s="4"/>
      <c r="G42" s="4"/>
      <c r="H42" s="4"/>
      <c r="I42" s="4"/>
      <c r="J42" s="4"/>
      <c r="K42" s="4"/>
      <c r="L42" s="4"/>
      <c r="M42" s="2"/>
    </row>
    <row r="43" spans="2:13" x14ac:dyDescent="0.25">
      <c r="B43" s="4"/>
      <c r="C43" s="13"/>
      <c r="D43" s="14"/>
      <c r="E43" s="4"/>
      <c r="F43" s="4"/>
      <c r="G43" s="4"/>
      <c r="H43" s="4"/>
      <c r="I43" s="4"/>
      <c r="J43" s="4"/>
      <c r="K43" s="4"/>
      <c r="L43" s="4"/>
      <c r="M43" s="2"/>
    </row>
    <row r="44" spans="2:13" x14ac:dyDescent="0.25">
      <c r="B44" s="4"/>
      <c r="C44" s="13"/>
      <c r="D44" s="14"/>
      <c r="E44" s="4"/>
      <c r="F44" s="4"/>
      <c r="G44" s="4"/>
      <c r="H44" s="4"/>
      <c r="I44" s="4"/>
      <c r="J44" s="4"/>
      <c r="K44" s="4"/>
      <c r="L44" s="4"/>
      <c r="M44" s="2"/>
    </row>
    <row r="45" spans="2:13" x14ac:dyDescent="0.25">
      <c r="B45" s="4"/>
      <c r="C45" s="13"/>
      <c r="D45" s="14"/>
      <c r="E45" s="4"/>
      <c r="F45" s="4"/>
      <c r="G45" s="4"/>
      <c r="H45" s="4"/>
      <c r="I45" s="4"/>
      <c r="J45" s="4"/>
      <c r="K45" s="4"/>
      <c r="L45" s="4"/>
      <c r="M45" s="2"/>
    </row>
    <row r="46" spans="2:13" x14ac:dyDescent="0.25">
      <c r="B46" s="4"/>
      <c r="C46" s="13"/>
      <c r="D46" s="14"/>
      <c r="E46" s="4"/>
      <c r="F46" s="4"/>
      <c r="G46" s="4"/>
      <c r="H46" s="4"/>
      <c r="I46" s="4"/>
      <c r="J46" s="4"/>
      <c r="K46" s="4"/>
      <c r="L46" s="4"/>
      <c r="M46" s="2"/>
    </row>
    <row r="47" spans="2:13" x14ac:dyDescent="0.25">
      <c r="B47" s="4"/>
      <c r="C47" s="13"/>
      <c r="D47" s="14"/>
      <c r="E47" s="4"/>
      <c r="F47" s="4"/>
      <c r="G47" s="4"/>
      <c r="H47" s="4"/>
      <c r="I47" s="4"/>
      <c r="J47" s="4"/>
      <c r="K47" s="4"/>
      <c r="L47" s="4"/>
      <c r="M47" s="2"/>
    </row>
    <row r="48" spans="2:13" x14ac:dyDescent="0.25">
      <c r="B48" s="4"/>
      <c r="C48" s="13"/>
      <c r="D48" s="14"/>
      <c r="E48" s="4"/>
      <c r="F48" s="4"/>
      <c r="G48" s="4"/>
      <c r="H48" s="4"/>
      <c r="I48" s="4"/>
      <c r="J48" s="4"/>
      <c r="K48" s="4"/>
      <c r="L48" s="4"/>
      <c r="M48" s="2"/>
    </row>
    <row r="49" spans="2:13" x14ac:dyDescent="0.25">
      <c r="B49" s="4"/>
      <c r="C49" s="13"/>
      <c r="D49" s="14"/>
      <c r="E49" s="4"/>
      <c r="F49" s="4"/>
      <c r="G49" s="4"/>
      <c r="H49" s="4"/>
      <c r="I49" s="4"/>
      <c r="J49" s="4"/>
      <c r="K49" s="4"/>
      <c r="L49" s="4"/>
      <c r="M49" s="2"/>
    </row>
    <row r="50" spans="2:13" x14ac:dyDescent="0.25">
      <c r="B50" s="4"/>
      <c r="C50" s="13"/>
      <c r="D50" s="14"/>
      <c r="E50" s="4"/>
      <c r="F50" s="4"/>
      <c r="G50" s="4"/>
      <c r="H50" s="4"/>
      <c r="I50" s="4"/>
      <c r="J50" s="4"/>
      <c r="K50" s="4"/>
      <c r="L50" s="4"/>
      <c r="M50" s="2"/>
    </row>
    <row r="51" spans="2:13" x14ac:dyDescent="0.25">
      <c r="B51" s="4"/>
      <c r="C51" s="13"/>
      <c r="D51" s="14"/>
      <c r="E51" s="4"/>
      <c r="F51" s="4"/>
      <c r="G51" s="4"/>
      <c r="H51" s="4"/>
      <c r="I51" s="4"/>
      <c r="J51" s="4"/>
      <c r="K51" s="4"/>
      <c r="L51" s="4"/>
      <c r="M51" s="2"/>
    </row>
    <row r="52" spans="2:13" x14ac:dyDescent="0.25">
      <c r="B52" s="4"/>
      <c r="C52" s="13"/>
      <c r="D52" s="14"/>
      <c r="E52" s="4"/>
      <c r="F52" s="4"/>
      <c r="G52" s="4"/>
      <c r="H52" s="4"/>
      <c r="I52" s="4"/>
      <c r="J52" s="4"/>
      <c r="K52" s="4"/>
      <c r="L52" s="4"/>
      <c r="M52" s="2"/>
    </row>
    <row r="53" spans="2:13" x14ac:dyDescent="0.25">
      <c r="B53" s="4"/>
      <c r="C53" s="13"/>
      <c r="D53" s="14"/>
      <c r="E53" s="4"/>
      <c r="F53" s="4"/>
      <c r="G53" s="4"/>
      <c r="H53" s="4"/>
      <c r="I53" s="4"/>
      <c r="J53" s="4"/>
      <c r="K53" s="4"/>
      <c r="L53" s="4"/>
      <c r="M53" s="2"/>
    </row>
    <row r="54" spans="2:13" x14ac:dyDescent="0.25">
      <c r="B54" s="4"/>
      <c r="C54" s="13"/>
      <c r="D54" s="14"/>
      <c r="E54" s="4"/>
      <c r="F54" s="4"/>
      <c r="G54" s="4"/>
      <c r="H54" s="4"/>
      <c r="I54" s="4"/>
      <c r="J54" s="4"/>
      <c r="K54" s="4"/>
      <c r="L54" s="4"/>
      <c r="M54" s="2"/>
    </row>
    <row r="55" spans="2:13" x14ac:dyDescent="0.25">
      <c r="B55" s="4"/>
      <c r="C55" s="13"/>
      <c r="D55" s="14"/>
      <c r="E55" s="4"/>
      <c r="F55" s="4"/>
      <c r="G55" s="4"/>
      <c r="H55" s="4"/>
      <c r="I55" s="4"/>
      <c r="J55" s="4"/>
      <c r="K55" s="4"/>
      <c r="L55" s="4"/>
      <c r="M55" s="2"/>
    </row>
    <row r="56" spans="2:13" x14ac:dyDescent="0.25">
      <c r="B56" s="4"/>
      <c r="C56" s="13"/>
      <c r="D56" s="14"/>
      <c r="E56" s="4"/>
      <c r="F56" s="4"/>
      <c r="G56" s="4"/>
      <c r="H56" s="4"/>
      <c r="I56" s="4"/>
      <c r="J56" s="4"/>
      <c r="K56" s="4"/>
      <c r="L56" s="4"/>
      <c r="M56" s="2"/>
    </row>
    <row r="57" spans="2:13" x14ac:dyDescent="0.25">
      <c r="B57" s="4"/>
      <c r="C57" s="13"/>
      <c r="D57" s="14"/>
      <c r="E57" s="4"/>
      <c r="F57" s="4"/>
      <c r="G57" s="4"/>
      <c r="H57" s="4"/>
      <c r="I57" s="4"/>
      <c r="J57" s="4"/>
      <c r="K57" s="4"/>
      <c r="L57" s="4"/>
      <c r="M57" s="2"/>
    </row>
    <row r="58" spans="2:13" x14ac:dyDescent="0.25">
      <c r="B58" s="4"/>
      <c r="C58" s="13"/>
      <c r="D58" s="14"/>
      <c r="E58" s="4"/>
      <c r="F58" s="4"/>
      <c r="G58" s="4"/>
      <c r="H58" s="4"/>
      <c r="I58" s="4"/>
      <c r="J58" s="4"/>
      <c r="K58" s="4"/>
      <c r="L58" s="4"/>
      <c r="M58" s="2"/>
    </row>
    <row r="59" spans="2:13" x14ac:dyDescent="0.25">
      <c r="B59" s="4"/>
      <c r="C59" s="13"/>
      <c r="D59" s="14"/>
      <c r="E59" s="4"/>
      <c r="F59" s="4"/>
      <c r="G59" s="4"/>
      <c r="H59" s="4"/>
      <c r="I59" s="4"/>
      <c r="J59" s="4"/>
      <c r="K59" s="4"/>
      <c r="L59" s="4"/>
      <c r="M59" s="2"/>
    </row>
    <row r="60" spans="2:13" x14ac:dyDescent="0.25">
      <c r="B60" s="4"/>
      <c r="C60" s="13"/>
      <c r="D60" s="14"/>
      <c r="E60" s="4"/>
      <c r="F60" s="4"/>
      <c r="G60" s="4"/>
      <c r="H60" s="4"/>
      <c r="I60" s="4"/>
      <c r="J60" s="4"/>
      <c r="K60" s="4"/>
      <c r="L60" s="4"/>
      <c r="M60" s="2"/>
    </row>
    <row r="61" spans="2:13" x14ac:dyDescent="0.25">
      <c r="B61" s="4"/>
      <c r="C61" s="13"/>
      <c r="D61" s="14"/>
      <c r="E61" s="4"/>
      <c r="F61" s="4"/>
      <c r="G61" s="4"/>
      <c r="H61" s="4"/>
      <c r="I61" s="4"/>
      <c r="J61" s="4"/>
      <c r="K61" s="4"/>
      <c r="L61" s="4"/>
      <c r="M61" s="2"/>
    </row>
    <row r="62" spans="2:13" x14ac:dyDescent="0.25">
      <c r="B62" s="4"/>
      <c r="C62" s="13"/>
      <c r="D62" s="14"/>
      <c r="E62" s="4"/>
      <c r="F62" s="4"/>
      <c r="G62" s="4"/>
      <c r="H62" s="4"/>
      <c r="I62" s="4"/>
      <c r="J62" s="4"/>
      <c r="K62" s="4"/>
      <c r="L62" s="4"/>
      <c r="M62" s="2"/>
    </row>
    <row r="63" spans="2:13" x14ac:dyDescent="0.25">
      <c r="B63" s="4"/>
      <c r="C63" s="13"/>
      <c r="D63" s="14"/>
      <c r="E63" s="4"/>
      <c r="F63" s="4"/>
      <c r="G63" s="4"/>
      <c r="H63" s="4"/>
      <c r="I63" s="4"/>
      <c r="J63" s="4"/>
      <c r="K63" s="4"/>
      <c r="L63" s="4"/>
      <c r="M63" s="2"/>
    </row>
    <row r="64" spans="2:13" x14ac:dyDescent="0.25">
      <c r="B64" s="4"/>
      <c r="C64" s="13"/>
      <c r="D64" s="14"/>
      <c r="E64" s="4"/>
      <c r="F64" s="4"/>
      <c r="G64" s="4"/>
      <c r="H64" s="4"/>
      <c r="I64" s="4"/>
      <c r="J64" s="4"/>
      <c r="K64" s="4"/>
      <c r="L64" s="4"/>
      <c r="M64" s="2"/>
    </row>
    <row r="65" spans="2:13" x14ac:dyDescent="0.25">
      <c r="B65" s="4"/>
      <c r="C65" s="13"/>
      <c r="D65" s="14"/>
      <c r="E65" s="4"/>
      <c r="F65" s="4"/>
      <c r="G65" s="4"/>
      <c r="H65" s="4"/>
      <c r="I65" s="4"/>
      <c r="J65" s="4"/>
      <c r="K65" s="4"/>
      <c r="L65" s="4"/>
      <c r="M65" s="2"/>
    </row>
    <row r="66" spans="2:13" x14ac:dyDescent="0.25">
      <c r="B66" s="4"/>
      <c r="C66" s="13"/>
      <c r="D66" s="14"/>
      <c r="E66" s="4"/>
      <c r="F66" s="4"/>
      <c r="G66" s="4"/>
      <c r="H66" s="4"/>
      <c r="I66" s="4"/>
      <c r="J66" s="4"/>
      <c r="K66" s="4"/>
      <c r="L66" s="4"/>
      <c r="M66" s="2"/>
    </row>
    <row r="67" spans="2:13" x14ac:dyDescent="0.25">
      <c r="B67" s="4"/>
      <c r="C67" s="13"/>
      <c r="D67" s="14"/>
      <c r="E67" s="4"/>
      <c r="F67" s="4"/>
      <c r="G67" s="4"/>
      <c r="H67" s="4"/>
      <c r="I67" s="4"/>
      <c r="J67" s="4"/>
      <c r="K67" s="4"/>
      <c r="L67" s="4"/>
      <c r="M67" s="2"/>
    </row>
    <row r="68" spans="2:13" x14ac:dyDescent="0.25">
      <c r="B68" s="4"/>
      <c r="C68" s="13"/>
      <c r="D68" s="14"/>
      <c r="E68" s="4"/>
      <c r="F68" s="4"/>
      <c r="G68" s="4"/>
      <c r="H68" s="4"/>
      <c r="I68" s="4"/>
      <c r="J68" s="4"/>
      <c r="K68" s="4"/>
      <c r="L68" s="4"/>
      <c r="M68" s="2"/>
    </row>
    <row r="69" spans="2:13" x14ac:dyDescent="0.25">
      <c r="B69" s="4"/>
      <c r="C69" s="13"/>
      <c r="D69" s="14"/>
      <c r="E69" s="4"/>
      <c r="F69" s="4"/>
      <c r="G69" s="4"/>
      <c r="H69" s="4"/>
      <c r="I69" s="4"/>
      <c r="J69" s="4"/>
      <c r="K69" s="4"/>
      <c r="L69" s="4"/>
      <c r="M69" s="2"/>
    </row>
    <row r="70" spans="2:13" x14ac:dyDescent="0.25">
      <c r="B70" s="4"/>
      <c r="C70" s="13"/>
      <c r="D70" s="14"/>
      <c r="E70" s="4"/>
      <c r="F70" s="4"/>
      <c r="G70" s="4"/>
      <c r="H70" s="4"/>
      <c r="I70" s="4"/>
      <c r="J70" s="4"/>
      <c r="K70" s="4"/>
      <c r="L70" s="4"/>
      <c r="M70" s="2"/>
    </row>
    <row r="71" spans="2:13" x14ac:dyDescent="0.25">
      <c r="B71" s="4"/>
      <c r="C71" s="13"/>
      <c r="D71" s="14"/>
      <c r="E71" s="4"/>
      <c r="F71" s="4"/>
      <c r="G71" s="4"/>
      <c r="H71" s="4"/>
      <c r="I71" s="4"/>
      <c r="J71" s="4"/>
      <c r="K71" s="4"/>
      <c r="L71" s="4"/>
      <c r="M71" s="2"/>
    </row>
    <row r="72" spans="2:13" x14ac:dyDescent="0.25">
      <c r="B72" s="4"/>
      <c r="C72" s="13"/>
      <c r="D72" s="14"/>
      <c r="E72" s="4"/>
      <c r="F72" s="4"/>
      <c r="G72" s="4"/>
      <c r="H72" s="4"/>
      <c r="I72" s="4"/>
      <c r="J72" s="4"/>
      <c r="K72" s="4"/>
      <c r="L72" s="4"/>
      <c r="M72" s="2"/>
    </row>
    <row r="73" spans="2:13" x14ac:dyDescent="0.25">
      <c r="B73" s="4"/>
      <c r="C73" s="13"/>
      <c r="D73" s="14"/>
      <c r="E73" s="4"/>
      <c r="F73" s="4"/>
      <c r="G73" s="4"/>
      <c r="H73" s="4"/>
      <c r="I73" s="4"/>
      <c r="J73" s="4"/>
      <c r="K73" s="4"/>
      <c r="L73" s="4"/>
      <c r="M73" s="2"/>
    </row>
    <row r="74" spans="2:13" x14ac:dyDescent="0.25">
      <c r="B74" s="4"/>
      <c r="C74" s="13"/>
      <c r="D74" s="14"/>
      <c r="E74" s="4"/>
      <c r="F74" s="4"/>
      <c r="G74" s="4"/>
      <c r="H74" s="4"/>
      <c r="I74" s="4"/>
      <c r="J74" s="4"/>
      <c r="K74" s="4"/>
      <c r="L74" s="4"/>
      <c r="M74" s="2"/>
    </row>
    <row r="75" spans="2:13" x14ac:dyDescent="0.25">
      <c r="B75" s="4"/>
      <c r="C75" s="13"/>
      <c r="D75" s="14"/>
      <c r="E75" s="4"/>
      <c r="F75" s="4"/>
      <c r="G75" s="4"/>
      <c r="H75" s="4"/>
      <c r="I75" s="4"/>
      <c r="J75" s="4"/>
      <c r="K75" s="4"/>
      <c r="L75" s="4"/>
      <c r="M75" s="2"/>
    </row>
    <row r="76" spans="2:13" x14ac:dyDescent="0.25">
      <c r="B76" s="4"/>
      <c r="C76" s="13"/>
      <c r="D76" s="14"/>
      <c r="E76" s="4"/>
      <c r="F76" s="4"/>
      <c r="G76" s="4"/>
      <c r="H76" s="4"/>
      <c r="I76" s="4"/>
      <c r="J76" s="4"/>
      <c r="K76" s="4"/>
      <c r="L76" s="4"/>
      <c r="M76" s="2"/>
    </row>
    <row r="77" spans="2:13" x14ac:dyDescent="0.25">
      <c r="B77" s="4"/>
      <c r="C77" s="13"/>
      <c r="D77" s="14"/>
      <c r="E77" s="4"/>
      <c r="F77" s="4"/>
      <c r="G77" s="4"/>
      <c r="H77" s="4"/>
      <c r="I77" s="4"/>
      <c r="J77" s="4"/>
      <c r="K77" s="4"/>
      <c r="L77" s="4"/>
      <c r="M77" s="2"/>
    </row>
    <row r="78" spans="2:13" x14ac:dyDescent="0.25">
      <c r="B78" s="4"/>
      <c r="C78" s="13"/>
      <c r="D78" s="1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25">
      <c r="B79" s="15"/>
      <c r="C79" s="16"/>
      <c r="D79" s="17"/>
      <c r="E79" s="15"/>
      <c r="F79" s="15"/>
      <c r="G79" s="15"/>
      <c r="H79" s="15"/>
      <c r="I79" s="15"/>
      <c r="J79" s="15"/>
      <c r="K79" s="15"/>
      <c r="L79" s="15"/>
      <c r="M79" s="4"/>
    </row>
    <row r="80" spans="2:13" x14ac:dyDescent="0.25">
      <c r="B80" s="15"/>
      <c r="C80" s="16"/>
      <c r="D80" s="17"/>
      <c r="E80" s="15"/>
      <c r="F80" s="15"/>
      <c r="G80" s="15"/>
      <c r="H80" s="15"/>
      <c r="I80" s="15"/>
      <c r="J80" s="15"/>
      <c r="K80" s="15"/>
      <c r="L80" s="15"/>
      <c r="M80" s="4"/>
    </row>
    <row r="81" spans="2:13" x14ac:dyDescent="0.25">
      <c r="B81" s="15"/>
      <c r="C81" s="16"/>
      <c r="D81" s="17"/>
      <c r="E81" s="15"/>
      <c r="F81" s="15"/>
      <c r="G81" s="15"/>
      <c r="H81" s="15"/>
      <c r="I81" s="15"/>
      <c r="J81" s="15"/>
      <c r="K81" s="15"/>
      <c r="L81" s="15"/>
      <c r="M81" s="4"/>
    </row>
    <row r="82" spans="2:13" x14ac:dyDescent="0.25">
      <c r="B82" s="15"/>
      <c r="C82" s="16"/>
      <c r="D82" s="17"/>
      <c r="E82" s="15"/>
      <c r="F82" s="15"/>
      <c r="G82" s="15"/>
      <c r="H82" s="15"/>
      <c r="I82" s="15"/>
      <c r="J82" s="15"/>
      <c r="K82" s="15"/>
      <c r="L82" s="15"/>
      <c r="M82" s="4"/>
    </row>
    <row r="83" spans="2:13" x14ac:dyDescent="0.25">
      <c r="B83" s="15"/>
      <c r="C83" s="16"/>
      <c r="D83" s="17"/>
      <c r="E83" s="15"/>
      <c r="F83" s="15"/>
      <c r="G83" s="15"/>
      <c r="H83" s="15"/>
      <c r="I83" s="15"/>
      <c r="J83" s="15"/>
      <c r="K83" s="15"/>
      <c r="L83" s="15"/>
      <c r="M83" s="4"/>
    </row>
    <row r="84" spans="2:13" x14ac:dyDescent="0.25">
      <c r="B84" s="15"/>
      <c r="C84" s="16"/>
      <c r="D84" s="17"/>
      <c r="E84" s="15"/>
      <c r="F84" s="15"/>
      <c r="G84" s="15"/>
      <c r="H84" s="15"/>
      <c r="I84" s="15"/>
      <c r="J84" s="15"/>
      <c r="K84" s="15"/>
      <c r="L84" s="15"/>
      <c r="M84" s="4"/>
    </row>
    <row r="85" spans="2:13" x14ac:dyDescent="0.25">
      <c r="B85" s="15"/>
      <c r="C85" s="16"/>
      <c r="D85" s="17"/>
      <c r="E85" s="15"/>
      <c r="F85" s="15"/>
      <c r="G85" s="15"/>
      <c r="H85" s="15"/>
      <c r="I85" s="15"/>
      <c r="J85" s="15"/>
      <c r="K85" s="15"/>
      <c r="L85" s="15"/>
      <c r="M85" s="4"/>
    </row>
    <row r="86" spans="2:13" x14ac:dyDescent="0.25">
      <c r="B86" s="15"/>
      <c r="C86" s="16"/>
      <c r="D86" s="17"/>
      <c r="E86" s="18"/>
      <c r="F86" s="15"/>
      <c r="G86" s="15"/>
      <c r="H86" s="15"/>
      <c r="I86" s="15"/>
      <c r="J86" s="15"/>
      <c r="K86" s="15"/>
      <c r="L86" s="15"/>
      <c r="M86" s="4"/>
    </row>
    <row r="87" spans="2:13" x14ac:dyDescent="0.25">
      <c r="B87" s="15"/>
      <c r="C87" s="16"/>
      <c r="D87" s="17"/>
      <c r="E87" s="18"/>
      <c r="F87" s="15"/>
      <c r="G87" s="15"/>
      <c r="H87" s="15"/>
      <c r="I87" s="15"/>
      <c r="J87" s="15"/>
      <c r="K87" s="15"/>
      <c r="L87" s="15"/>
      <c r="M87" s="4"/>
    </row>
    <row r="88" spans="2:13" x14ac:dyDescent="0.25">
      <c r="B88" s="4"/>
      <c r="C88" s="13"/>
      <c r="D88" s="14"/>
      <c r="E88" s="4"/>
      <c r="F88" s="4"/>
      <c r="G88" s="4"/>
      <c r="H88" s="4"/>
      <c r="I88" s="4"/>
      <c r="J88" s="4"/>
      <c r="K88" s="4"/>
      <c r="L88" s="4"/>
    </row>
    <row r="89" spans="2:13" x14ac:dyDescent="0.25">
      <c r="B89" s="4"/>
      <c r="C89" s="13"/>
      <c r="D89" s="14"/>
      <c r="E89" s="4"/>
      <c r="F89" s="4"/>
      <c r="G89" s="4"/>
      <c r="H89" s="4"/>
      <c r="I89" s="4"/>
      <c r="J89" s="4"/>
      <c r="K89" s="4"/>
      <c r="L89" s="4"/>
    </row>
    <row r="90" spans="2:13" x14ac:dyDescent="0.25">
      <c r="B90" s="4"/>
      <c r="C90" s="13"/>
      <c r="D90" s="14"/>
      <c r="E90" s="4"/>
      <c r="F90" s="4"/>
      <c r="G90" s="4"/>
      <c r="H90" s="4"/>
      <c r="I90" s="4"/>
      <c r="J90" s="4"/>
      <c r="K90" s="4"/>
      <c r="L90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M24:N28"/>
  <sheetViews>
    <sheetView workbookViewId="0">
      <selection activeCell="M10" sqref="M10"/>
    </sheetView>
  </sheetViews>
  <sheetFormatPr baseColWidth="10" defaultRowHeight="15" x14ac:dyDescent="0.25"/>
  <sheetData>
    <row r="24" spans="13:14" x14ac:dyDescent="0.25">
      <c r="M24">
        <v>7180</v>
      </c>
      <c r="N24">
        <v>8.39</v>
      </c>
    </row>
    <row r="25" spans="13:14" x14ac:dyDescent="0.25">
      <c r="M25">
        <v>7204</v>
      </c>
      <c r="N25">
        <v>7</v>
      </c>
    </row>
    <row r="26" spans="13:14" x14ac:dyDescent="0.25">
      <c r="M26">
        <v>7298</v>
      </c>
      <c r="N26">
        <v>8</v>
      </c>
    </row>
    <row r="27" spans="13:14" x14ac:dyDescent="0.25">
      <c r="M27">
        <v>7309</v>
      </c>
      <c r="N27">
        <v>7.5</v>
      </c>
    </row>
    <row r="28" spans="13:14" x14ac:dyDescent="0.25">
      <c r="M28">
        <v>7344</v>
      </c>
      <c r="N28">
        <v>7.55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95"/>
  <sheetViews>
    <sheetView workbookViewId="0">
      <selection activeCell="G1" sqref="G1:Z1048576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2457876.5398300001</v>
      </c>
      <c r="B1" s="1" t="s">
        <v>775</v>
      </c>
      <c r="C1" s="1">
        <v>13.067</v>
      </c>
      <c r="D1" s="1">
        <v>5.0000000000000001E-3</v>
      </c>
      <c r="E1" s="1" t="s">
        <v>732</v>
      </c>
      <c r="F1" s="1" t="s">
        <v>776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 t="s">
        <v>777</v>
      </c>
    </row>
    <row r="2" spans="1:27" x14ac:dyDescent="0.25">
      <c r="A2" s="1">
        <v>2457882.5427399999</v>
      </c>
      <c r="B2" s="1" t="s">
        <v>778</v>
      </c>
      <c r="C2" s="1">
        <v>12.958</v>
      </c>
      <c r="D2" s="1">
        <v>0.01</v>
      </c>
      <c r="E2" s="1" t="s">
        <v>732</v>
      </c>
      <c r="F2" s="1" t="s">
        <v>776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 t="s">
        <v>777</v>
      </c>
    </row>
    <row r="3" spans="1:27" x14ac:dyDescent="0.25">
      <c r="A3" s="1">
        <v>2458021.9332400002</v>
      </c>
      <c r="B3" s="1" t="s">
        <v>779</v>
      </c>
      <c r="C3" s="1">
        <v>12.701000000000001</v>
      </c>
      <c r="D3" s="1">
        <v>1.6E-2</v>
      </c>
      <c r="E3" s="1" t="s">
        <v>732</v>
      </c>
      <c r="F3" s="1" t="s">
        <v>776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 t="s">
        <v>777</v>
      </c>
    </row>
    <row r="4" spans="1:27" x14ac:dyDescent="0.25">
      <c r="A4" s="1">
        <v>2458024.0235100002</v>
      </c>
      <c r="B4" s="1" t="s">
        <v>780</v>
      </c>
      <c r="C4" s="1">
        <v>12.817</v>
      </c>
      <c r="D4" s="1">
        <v>1.7999999999999999E-2</v>
      </c>
      <c r="E4" s="1" t="s">
        <v>732</v>
      </c>
      <c r="F4" s="1" t="s">
        <v>741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 t="s">
        <v>777</v>
      </c>
    </row>
    <row r="5" spans="1:27" x14ac:dyDescent="0.25">
      <c r="A5" s="1">
        <v>2458038.9111100002</v>
      </c>
      <c r="B5" s="1" t="s">
        <v>781</v>
      </c>
      <c r="C5" s="1">
        <v>13.459</v>
      </c>
      <c r="D5" s="1">
        <v>2.7E-2</v>
      </c>
      <c r="E5" s="1" t="s">
        <v>732</v>
      </c>
      <c r="F5" s="1" t="s">
        <v>776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 t="s">
        <v>777</v>
      </c>
    </row>
    <row r="6" spans="1:27" x14ac:dyDescent="0.25">
      <c r="A6" s="1">
        <v>2458041.7850600001</v>
      </c>
      <c r="B6" s="1" t="s">
        <v>782</v>
      </c>
      <c r="C6" s="1">
        <v>12.65</v>
      </c>
      <c r="D6" s="1">
        <v>1.7000000000000001E-2</v>
      </c>
      <c r="E6" s="1" t="s">
        <v>732</v>
      </c>
      <c r="F6" s="1" t="s">
        <v>776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 t="s">
        <v>777</v>
      </c>
    </row>
    <row r="7" spans="1:27" x14ac:dyDescent="0.25">
      <c r="A7" s="1">
        <v>2458051.7591200001</v>
      </c>
      <c r="B7" s="1" t="s">
        <v>783</v>
      </c>
      <c r="C7" s="1">
        <v>12.419</v>
      </c>
      <c r="D7" s="1">
        <v>4.2999999999999997E-2</v>
      </c>
      <c r="E7" s="1" t="s">
        <v>732</v>
      </c>
      <c r="F7" s="1" t="s">
        <v>776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 t="s">
        <v>777</v>
      </c>
    </row>
    <row r="8" spans="1:27" x14ac:dyDescent="0.25">
      <c r="A8" s="1">
        <v>2458053.9428900001</v>
      </c>
      <c r="B8" s="1" t="s">
        <v>784</v>
      </c>
      <c r="C8" s="1">
        <v>12.638</v>
      </c>
      <c r="D8" s="1">
        <v>1.0999999999999999E-2</v>
      </c>
      <c r="E8" s="1" t="s">
        <v>732</v>
      </c>
      <c r="F8" s="1" t="s">
        <v>776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 t="s">
        <v>777</v>
      </c>
    </row>
    <row r="9" spans="1:27" x14ac:dyDescent="0.25">
      <c r="A9" s="1">
        <v>2458074.9239500002</v>
      </c>
      <c r="B9" s="1" t="s">
        <v>785</v>
      </c>
      <c r="C9" s="1">
        <v>12.823</v>
      </c>
      <c r="D9" s="1">
        <v>2.1999999999999999E-2</v>
      </c>
      <c r="E9" s="1" t="s">
        <v>732</v>
      </c>
      <c r="F9" s="1" t="s">
        <v>776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 t="s">
        <v>777</v>
      </c>
    </row>
    <row r="10" spans="1:27" x14ac:dyDescent="0.25">
      <c r="A10" s="1">
        <v>2458086.8791999999</v>
      </c>
      <c r="B10" s="1" t="s">
        <v>786</v>
      </c>
      <c r="C10" s="1">
        <v>12.885</v>
      </c>
      <c r="D10" s="1">
        <v>1.4999999999999999E-2</v>
      </c>
      <c r="E10" s="1" t="s">
        <v>732</v>
      </c>
      <c r="F10" s="1" t="s">
        <v>776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 t="s">
        <v>777</v>
      </c>
    </row>
    <row r="11" spans="1:27" x14ac:dyDescent="0.25">
      <c r="A11" s="1">
        <v>2458089.9661900001</v>
      </c>
      <c r="B11" s="1" t="s">
        <v>787</v>
      </c>
      <c r="C11" s="1">
        <v>13.137</v>
      </c>
      <c r="D11" s="1">
        <v>1.7000000000000001E-2</v>
      </c>
      <c r="E11" s="1" t="s">
        <v>732</v>
      </c>
      <c r="F11" s="1" t="s">
        <v>776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 t="s">
        <v>777</v>
      </c>
    </row>
    <row r="12" spans="1:27" x14ac:dyDescent="0.25">
      <c r="A12" s="1">
        <v>2458096.4983399999</v>
      </c>
      <c r="B12" s="1" t="s">
        <v>788</v>
      </c>
      <c r="C12" s="1">
        <v>12.903</v>
      </c>
      <c r="D12" s="1">
        <v>4.2000000000000003E-2</v>
      </c>
      <c r="E12" s="1" t="s">
        <v>732</v>
      </c>
      <c r="F12" s="1" t="s">
        <v>733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 t="s">
        <v>777</v>
      </c>
    </row>
    <row r="13" spans="1:27" x14ac:dyDescent="0.25">
      <c r="A13" s="1">
        <v>2458100.9726100001</v>
      </c>
      <c r="B13" s="1" t="s">
        <v>789</v>
      </c>
      <c r="C13" s="1">
        <v>12.765000000000001</v>
      </c>
      <c r="D13" s="1">
        <v>8.9999999999999993E-3</v>
      </c>
      <c r="E13" s="1" t="s">
        <v>732</v>
      </c>
      <c r="F13" s="1" t="s">
        <v>776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 t="s">
        <v>777</v>
      </c>
    </row>
    <row r="14" spans="1:27" x14ac:dyDescent="0.25">
      <c r="A14" s="1">
        <v>2458103.4257399999</v>
      </c>
      <c r="B14" s="1" t="s">
        <v>790</v>
      </c>
      <c r="C14" s="1">
        <v>12.657</v>
      </c>
      <c r="D14" s="1">
        <v>4.1000000000000002E-2</v>
      </c>
      <c r="E14" s="1" t="s">
        <v>732</v>
      </c>
      <c r="F14" s="1" t="s">
        <v>733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 t="s">
        <v>777</v>
      </c>
    </row>
    <row r="15" spans="1:27" x14ac:dyDescent="0.25">
      <c r="A15" s="1">
        <v>2458111.4873500001</v>
      </c>
      <c r="B15" s="1" t="s">
        <v>791</v>
      </c>
      <c r="C15" s="1">
        <v>12.702</v>
      </c>
      <c r="D15" s="1">
        <v>2.4E-2</v>
      </c>
      <c r="E15" s="1" t="s">
        <v>732</v>
      </c>
      <c r="F15" s="1" t="s">
        <v>733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 t="s">
        <v>777</v>
      </c>
    </row>
    <row r="16" spans="1:27" x14ac:dyDescent="0.25">
      <c r="A16" s="1">
        <v>2458111.6467900001</v>
      </c>
      <c r="B16" s="1" t="s">
        <v>734</v>
      </c>
      <c r="C16" s="1">
        <v>12.670999999999999</v>
      </c>
      <c r="D16" s="1">
        <v>8.9999999999999993E-3</v>
      </c>
      <c r="E16" s="1" t="s">
        <v>732</v>
      </c>
      <c r="F16" s="1" t="s">
        <v>776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 t="s">
        <v>777</v>
      </c>
    </row>
    <row r="17" spans="1:27" x14ac:dyDescent="0.25">
      <c r="A17" s="1">
        <v>2458112.4034699998</v>
      </c>
      <c r="B17" s="1" t="s">
        <v>734</v>
      </c>
      <c r="C17" s="1">
        <v>12.73</v>
      </c>
      <c r="D17" s="1">
        <v>0.01</v>
      </c>
      <c r="E17" s="1" t="s">
        <v>732</v>
      </c>
      <c r="F17" s="1" t="s">
        <v>130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 t="s">
        <v>777</v>
      </c>
    </row>
    <row r="18" spans="1:27" x14ac:dyDescent="0.25">
      <c r="A18" s="1">
        <v>2458116.4276200002</v>
      </c>
      <c r="B18" s="1" t="s">
        <v>735</v>
      </c>
      <c r="C18" s="1">
        <v>12.734999999999999</v>
      </c>
      <c r="D18" s="1">
        <v>2.5000000000000001E-2</v>
      </c>
      <c r="E18" s="1" t="s">
        <v>732</v>
      </c>
      <c r="F18" s="1" t="s">
        <v>733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 t="s">
        <v>777</v>
      </c>
    </row>
    <row r="19" spans="1:27" x14ac:dyDescent="0.25">
      <c r="A19" s="1">
        <v>2458118.3827</v>
      </c>
      <c r="B19" s="1" t="s">
        <v>792</v>
      </c>
      <c r="C19" s="1">
        <v>12.718</v>
      </c>
      <c r="D19" s="1">
        <v>3.7999999999999999E-2</v>
      </c>
      <c r="E19" s="1" t="s">
        <v>732</v>
      </c>
      <c r="F19" s="1" t="s">
        <v>733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 t="s">
        <v>777</v>
      </c>
    </row>
    <row r="20" spans="1:27" x14ac:dyDescent="0.25">
      <c r="A20" s="1">
        <v>2458132.3525200002</v>
      </c>
      <c r="B20" s="1" t="s">
        <v>736</v>
      </c>
      <c r="C20" s="1">
        <v>12.872999999999999</v>
      </c>
      <c r="D20" s="1">
        <v>3.5999999999999997E-2</v>
      </c>
      <c r="E20" s="1" t="s">
        <v>732</v>
      </c>
      <c r="F20" s="1" t="s">
        <v>733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 t="s">
        <v>777</v>
      </c>
    </row>
    <row r="21" spans="1:27" x14ac:dyDescent="0.25">
      <c r="A21" s="1">
        <v>2458132.7030000002</v>
      </c>
      <c r="B21" s="1" t="s">
        <v>793</v>
      </c>
      <c r="C21" s="1">
        <v>12.92</v>
      </c>
      <c r="D21" s="1">
        <v>5.0000000000000001E-3</v>
      </c>
      <c r="E21" s="1" t="s">
        <v>732</v>
      </c>
      <c r="F21" s="1" t="s">
        <v>741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 t="s">
        <v>777</v>
      </c>
    </row>
    <row r="22" spans="1:27" x14ac:dyDescent="0.25">
      <c r="A22" s="1">
        <v>2458134.7945900001</v>
      </c>
      <c r="B22" s="1" t="s">
        <v>794</v>
      </c>
      <c r="C22" s="1">
        <v>12.999000000000001</v>
      </c>
      <c r="D22" s="1">
        <v>6.0000000000000001E-3</v>
      </c>
      <c r="E22" s="1" t="s">
        <v>732</v>
      </c>
      <c r="F22" s="1" t="s">
        <v>741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 t="s">
        <v>777</v>
      </c>
    </row>
    <row r="23" spans="1:27" x14ac:dyDescent="0.25">
      <c r="A23" s="1">
        <v>2458135.6357200001</v>
      </c>
      <c r="B23" s="1" t="s">
        <v>795</v>
      </c>
      <c r="C23" s="1">
        <v>13.082000000000001</v>
      </c>
      <c r="D23" s="1">
        <v>6.0000000000000001E-3</v>
      </c>
      <c r="E23" s="1" t="s">
        <v>732</v>
      </c>
      <c r="F23" s="1" t="s">
        <v>741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 t="s">
        <v>777</v>
      </c>
    </row>
    <row r="24" spans="1:27" x14ac:dyDescent="0.25">
      <c r="A24" s="1">
        <v>2458141.3713799999</v>
      </c>
      <c r="B24" s="1" t="s">
        <v>737</v>
      </c>
      <c r="C24" s="1">
        <v>13.19</v>
      </c>
      <c r="D24" s="1">
        <v>1.7999999999999999E-2</v>
      </c>
      <c r="E24" s="1" t="s">
        <v>732</v>
      </c>
      <c r="F24" s="1" t="s">
        <v>733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 t="s">
        <v>777</v>
      </c>
    </row>
    <row r="25" spans="1:27" x14ac:dyDescent="0.25">
      <c r="A25" s="1">
        <v>2458146.3134599999</v>
      </c>
      <c r="B25" s="1" t="s">
        <v>738</v>
      </c>
      <c r="C25" s="1">
        <v>13.541</v>
      </c>
      <c r="D25" s="1">
        <v>5.3999999999999999E-2</v>
      </c>
      <c r="E25" s="1" t="s">
        <v>732</v>
      </c>
      <c r="F25" s="1" t="s">
        <v>733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 t="s">
        <v>777</v>
      </c>
    </row>
    <row r="26" spans="1:27" x14ac:dyDescent="0.25">
      <c r="A26" s="1">
        <v>2458154.3055599998</v>
      </c>
      <c r="B26" s="1" t="s">
        <v>796</v>
      </c>
      <c r="C26" s="1">
        <v>13.5</v>
      </c>
      <c r="D26" s="1">
        <v>0.02</v>
      </c>
      <c r="E26" s="1" t="s">
        <v>732</v>
      </c>
      <c r="F26" s="1" t="s">
        <v>130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 t="s">
        <v>777</v>
      </c>
    </row>
    <row r="27" spans="1:27" x14ac:dyDescent="0.25">
      <c r="A27" s="1">
        <v>2458160.2868599999</v>
      </c>
      <c r="B27" s="1" t="s">
        <v>739</v>
      </c>
      <c r="C27" s="1">
        <v>13.757</v>
      </c>
      <c r="D27" s="1">
        <v>2.7E-2</v>
      </c>
      <c r="E27" s="1" t="s">
        <v>732</v>
      </c>
      <c r="F27" s="1" t="s">
        <v>733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 t="s">
        <v>777</v>
      </c>
    </row>
    <row r="28" spans="1:27" x14ac:dyDescent="0.25">
      <c r="A28" s="1">
        <v>2458160.7222600002</v>
      </c>
      <c r="B28" s="1" t="s">
        <v>740</v>
      </c>
      <c r="C28" s="1">
        <v>13.772</v>
      </c>
      <c r="D28" s="1">
        <v>1.4E-2</v>
      </c>
      <c r="E28" s="1" t="s">
        <v>732</v>
      </c>
      <c r="F28" s="1" t="s">
        <v>741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 t="s">
        <v>777</v>
      </c>
    </row>
    <row r="29" spans="1:27" x14ac:dyDescent="0.25">
      <c r="A29" s="1">
        <v>2458164.2609000001</v>
      </c>
      <c r="B29" s="1" t="s">
        <v>742</v>
      </c>
      <c r="C29" s="1">
        <v>13.664</v>
      </c>
      <c r="D29" s="1">
        <v>2.9000000000000001E-2</v>
      </c>
      <c r="E29" s="1" t="s">
        <v>732</v>
      </c>
      <c r="F29" s="1" t="s">
        <v>733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 t="s">
        <v>777</v>
      </c>
    </row>
    <row r="30" spans="1:27" x14ac:dyDescent="0.25">
      <c r="A30" s="1">
        <v>2458165.7074000002</v>
      </c>
      <c r="B30" s="1" t="s">
        <v>743</v>
      </c>
      <c r="C30" s="1">
        <v>13.77</v>
      </c>
      <c r="D30" s="1">
        <v>0.01</v>
      </c>
      <c r="E30" s="1" t="s">
        <v>732</v>
      </c>
      <c r="F30" s="1" t="s">
        <v>741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 t="s">
        <v>777</v>
      </c>
    </row>
    <row r="31" spans="1:27" x14ac:dyDescent="0.25">
      <c r="A31" s="1">
        <v>2458165.7698599999</v>
      </c>
      <c r="B31" s="1" t="s">
        <v>743</v>
      </c>
      <c r="C31" s="1">
        <v>13.73</v>
      </c>
      <c r="D31" s="1">
        <v>1.6E-2</v>
      </c>
      <c r="E31" s="1" t="s">
        <v>732</v>
      </c>
      <c r="F31" s="1" t="s">
        <v>776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 t="s">
        <v>777</v>
      </c>
    </row>
    <row r="32" spans="1:27" x14ac:dyDescent="0.25">
      <c r="A32" s="1">
        <v>2458169.71948</v>
      </c>
      <c r="B32" s="1" t="s">
        <v>797</v>
      </c>
      <c r="C32" s="1">
        <v>13.798</v>
      </c>
      <c r="D32" s="1">
        <v>2.1000000000000001E-2</v>
      </c>
      <c r="E32" s="1" t="s">
        <v>732</v>
      </c>
      <c r="F32" s="1" t="s">
        <v>776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 t="s">
        <v>777</v>
      </c>
    </row>
    <row r="33" spans="1:27" x14ac:dyDescent="0.25">
      <c r="A33" s="1">
        <v>2458171.70242</v>
      </c>
      <c r="B33" s="1" t="s">
        <v>798</v>
      </c>
      <c r="C33" s="1">
        <v>13.837</v>
      </c>
      <c r="D33" s="1">
        <v>1.7999999999999999E-2</v>
      </c>
      <c r="E33" s="1" t="s">
        <v>732</v>
      </c>
      <c r="F33" s="1" t="s">
        <v>776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 t="s">
        <v>777</v>
      </c>
    </row>
    <row r="34" spans="1:27" x14ac:dyDescent="0.25">
      <c r="A34" s="1">
        <v>2458174.5332800001</v>
      </c>
      <c r="B34" s="1" t="s">
        <v>799</v>
      </c>
      <c r="C34" s="1">
        <v>13.252000000000001</v>
      </c>
      <c r="D34" s="1">
        <v>2.1000000000000001E-2</v>
      </c>
      <c r="E34" s="1" t="s">
        <v>732</v>
      </c>
      <c r="F34" s="1" t="s">
        <v>776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 t="s">
        <v>777</v>
      </c>
    </row>
    <row r="35" spans="1:27" x14ac:dyDescent="0.25">
      <c r="A35" s="1">
        <v>2458179.67001</v>
      </c>
      <c r="B35" s="1" t="s">
        <v>800</v>
      </c>
      <c r="C35" s="1">
        <v>12.824</v>
      </c>
      <c r="D35" s="1">
        <v>1.4999999999999999E-2</v>
      </c>
      <c r="E35" s="1" t="s">
        <v>732</v>
      </c>
      <c r="F35" s="1" t="s">
        <v>776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 t="s">
        <v>777</v>
      </c>
    </row>
    <row r="36" spans="1:27" x14ac:dyDescent="0.25">
      <c r="A36" s="1">
        <v>2458202.6782200001</v>
      </c>
      <c r="B36" s="1" t="s">
        <v>801</v>
      </c>
      <c r="C36" s="1">
        <v>12.702999999999999</v>
      </c>
      <c r="D36" s="1">
        <v>6.0000000000000001E-3</v>
      </c>
      <c r="E36" s="1" t="s">
        <v>732</v>
      </c>
      <c r="F36" s="1" t="s">
        <v>776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 t="s">
        <v>777</v>
      </c>
    </row>
    <row r="37" spans="1:27" x14ac:dyDescent="0.25">
      <c r="A37" s="1">
        <v>2458217.2701400002</v>
      </c>
      <c r="B37" s="1" t="s">
        <v>802</v>
      </c>
      <c r="C37" s="1">
        <v>13.26</v>
      </c>
      <c r="D37" s="1">
        <v>1.4999999999999999E-2</v>
      </c>
      <c r="E37" s="1" t="s">
        <v>732</v>
      </c>
      <c r="F37" s="1" t="s">
        <v>130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 t="s">
        <v>777</v>
      </c>
    </row>
    <row r="38" spans="1:27" x14ac:dyDescent="0.25">
      <c r="A38" s="1">
        <v>2458218.267</v>
      </c>
      <c r="B38" s="1" t="s">
        <v>803</v>
      </c>
      <c r="C38" s="1">
        <v>13.2</v>
      </c>
      <c r="D38" s="1">
        <v>0</v>
      </c>
      <c r="E38" s="1" t="s">
        <v>804</v>
      </c>
      <c r="F38" s="1" t="s">
        <v>805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 t="s">
        <v>777</v>
      </c>
    </row>
    <row r="39" spans="1:27" x14ac:dyDescent="0.25">
      <c r="A39" s="1">
        <v>2458218.6450800002</v>
      </c>
      <c r="B39" s="1" t="s">
        <v>744</v>
      </c>
      <c r="C39" s="1">
        <v>13.176</v>
      </c>
      <c r="D39" s="1">
        <v>5.0000000000000001E-3</v>
      </c>
      <c r="E39" s="1" t="s">
        <v>732</v>
      </c>
      <c r="F39" s="1" t="s">
        <v>741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 t="s">
        <v>777</v>
      </c>
    </row>
    <row r="40" spans="1:27" x14ac:dyDescent="0.25">
      <c r="A40" s="1">
        <v>2458222.6491</v>
      </c>
      <c r="B40" s="1" t="s">
        <v>745</v>
      </c>
      <c r="C40" s="1">
        <v>13.077</v>
      </c>
      <c r="D40" s="1">
        <v>6.0000000000000001E-3</v>
      </c>
      <c r="E40" s="1" t="s">
        <v>732</v>
      </c>
      <c r="F40" s="1" t="s">
        <v>741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 t="s">
        <v>777</v>
      </c>
    </row>
    <row r="41" spans="1:27" x14ac:dyDescent="0.25">
      <c r="A41" s="1">
        <v>2458223.5554999998</v>
      </c>
      <c r="B41" s="1" t="s">
        <v>806</v>
      </c>
      <c r="C41" s="1">
        <v>13.036</v>
      </c>
      <c r="D41" s="1">
        <v>1.0999999999999999E-2</v>
      </c>
      <c r="E41" s="1" t="s">
        <v>732</v>
      </c>
      <c r="F41" s="1" t="s">
        <v>776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 t="s">
        <v>777</v>
      </c>
    </row>
    <row r="42" spans="1:27" x14ac:dyDescent="0.25">
      <c r="A42" s="1">
        <v>2458229.6563300001</v>
      </c>
      <c r="B42" s="1" t="s">
        <v>746</v>
      </c>
      <c r="C42" s="1">
        <v>13.196999999999999</v>
      </c>
      <c r="D42" s="1">
        <v>6.0000000000000001E-3</v>
      </c>
      <c r="E42" s="1" t="s">
        <v>732</v>
      </c>
      <c r="F42" s="1" t="s">
        <v>741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 t="s">
        <v>777</v>
      </c>
    </row>
    <row r="43" spans="1:27" x14ac:dyDescent="0.25">
      <c r="A43" s="1">
        <v>2458237.5375299999</v>
      </c>
      <c r="B43" s="1" t="s">
        <v>807</v>
      </c>
      <c r="C43" s="1">
        <v>13.576000000000001</v>
      </c>
      <c r="D43" s="1">
        <v>1.9E-2</v>
      </c>
      <c r="E43" s="1" t="s">
        <v>732</v>
      </c>
      <c r="F43" s="1" t="s">
        <v>776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 t="s">
        <v>777</v>
      </c>
    </row>
    <row r="44" spans="1:27" x14ac:dyDescent="0.25">
      <c r="A44" s="1">
        <v>2458385.9319099998</v>
      </c>
      <c r="B44" s="1" t="s">
        <v>808</v>
      </c>
      <c r="C44" s="1">
        <v>12.49</v>
      </c>
      <c r="D44" s="1">
        <v>5.0000000000000001E-3</v>
      </c>
      <c r="E44" s="1" t="s">
        <v>732</v>
      </c>
      <c r="F44" s="1" t="s">
        <v>776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 t="s">
        <v>777</v>
      </c>
    </row>
    <row r="45" spans="1:27" x14ac:dyDescent="0.25">
      <c r="A45" s="1">
        <v>2458405.9007299999</v>
      </c>
      <c r="B45" s="1" t="s">
        <v>809</v>
      </c>
      <c r="C45" s="1">
        <v>12.525</v>
      </c>
      <c r="D45" s="1">
        <v>3.0000000000000001E-3</v>
      </c>
      <c r="E45" s="1" t="s">
        <v>732</v>
      </c>
      <c r="F45" s="1" t="s">
        <v>776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 t="s">
        <v>777</v>
      </c>
    </row>
    <row r="46" spans="1:27" x14ac:dyDescent="0.25">
      <c r="A46" s="1">
        <v>2458407.8870000001</v>
      </c>
      <c r="B46" s="1" t="s">
        <v>810</v>
      </c>
      <c r="C46" s="1">
        <v>12.558999999999999</v>
      </c>
      <c r="D46" s="1">
        <v>4.0000000000000001E-3</v>
      </c>
      <c r="E46" s="1" t="s">
        <v>732</v>
      </c>
      <c r="F46" s="1" t="s">
        <v>776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 t="s">
        <v>777</v>
      </c>
    </row>
    <row r="47" spans="1:27" x14ac:dyDescent="0.25">
      <c r="A47" s="1">
        <v>2458439.4736100002</v>
      </c>
      <c r="B47" s="1" t="s">
        <v>811</v>
      </c>
      <c r="C47" s="1">
        <v>13.07</v>
      </c>
      <c r="D47" s="1">
        <v>0.02</v>
      </c>
      <c r="E47" s="1" t="s">
        <v>732</v>
      </c>
      <c r="F47" s="1" t="s">
        <v>130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 t="s">
        <v>777</v>
      </c>
    </row>
    <row r="48" spans="1:27" x14ac:dyDescent="0.25">
      <c r="A48" s="1">
        <v>2458462.5035000001</v>
      </c>
      <c r="B48" s="1" t="s">
        <v>812</v>
      </c>
      <c r="C48" s="1">
        <v>12.7</v>
      </c>
      <c r="D48" s="1">
        <v>0</v>
      </c>
      <c r="E48" s="1" t="s">
        <v>804</v>
      </c>
      <c r="F48" s="1" t="s">
        <v>813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 t="s">
        <v>777</v>
      </c>
    </row>
    <row r="49" spans="1:27" x14ac:dyDescent="0.25">
      <c r="A49" s="1">
        <v>2458478.4010200002</v>
      </c>
      <c r="B49" s="1" t="s">
        <v>814</v>
      </c>
      <c r="C49" s="1">
        <v>12.621</v>
      </c>
      <c r="D49" s="1">
        <v>2.1000000000000001E-2</v>
      </c>
      <c r="E49" s="1" t="s">
        <v>732</v>
      </c>
      <c r="F49" s="1" t="s">
        <v>733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 t="s">
        <v>777</v>
      </c>
    </row>
    <row r="50" spans="1:27" x14ac:dyDescent="0.25">
      <c r="A50" s="1">
        <v>2458481.4799899999</v>
      </c>
      <c r="B50" s="1" t="s">
        <v>815</v>
      </c>
      <c r="C50" s="1">
        <v>12.724</v>
      </c>
      <c r="D50" s="1">
        <v>2.3E-2</v>
      </c>
      <c r="E50" s="1" t="s">
        <v>732</v>
      </c>
      <c r="F50" s="1" t="s">
        <v>733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 t="s">
        <v>777</v>
      </c>
    </row>
    <row r="51" spans="1:27" x14ac:dyDescent="0.25">
      <c r="A51" s="1">
        <v>2458483.38846</v>
      </c>
      <c r="B51" s="1" t="s">
        <v>747</v>
      </c>
      <c r="C51" s="1">
        <v>12.677</v>
      </c>
      <c r="D51" s="1">
        <v>2.1999999999999999E-2</v>
      </c>
      <c r="E51" s="1" t="s">
        <v>732</v>
      </c>
      <c r="F51" s="1" t="s">
        <v>733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 t="s">
        <v>777</v>
      </c>
    </row>
    <row r="52" spans="1:27" x14ac:dyDescent="0.25">
      <c r="A52" s="1">
        <v>2458484.8117200001</v>
      </c>
      <c r="B52" s="1" t="s">
        <v>816</v>
      </c>
      <c r="C52" s="1">
        <v>13.173</v>
      </c>
      <c r="D52" s="1">
        <v>0.01</v>
      </c>
      <c r="E52" s="1" t="s">
        <v>732</v>
      </c>
      <c r="F52" s="1" t="s">
        <v>741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 t="s">
        <v>777</v>
      </c>
    </row>
    <row r="53" spans="1:27" x14ac:dyDescent="0.25">
      <c r="A53" s="1">
        <v>2458485.5758000002</v>
      </c>
      <c r="B53" s="1" t="s">
        <v>748</v>
      </c>
      <c r="C53" s="1">
        <v>13.603</v>
      </c>
      <c r="D53" s="1">
        <v>3.0000000000000001E-3</v>
      </c>
      <c r="E53" s="1" t="s">
        <v>732</v>
      </c>
      <c r="F53" s="1" t="s">
        <v>776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 t="s">
        <v>777</v>
      </c>
    </row>
    <row r="54" spans="1:27" x14ac:dyDescent="0.25">
      <c r="A54" s="1">
        <v>2458487.4817599999</v>
      </c>
      <c r="B54" s="1" t="s">
        <v>817</v>
      </c>
      <c r="C54" s="1">
        <v>13.814</v>
      </c>
      <c r="D54" s="1">
        <v>1.9E-2</v>
      </c>
      <c r="E54" s="1" t="s">
        <v>732</v>
      </c>
      <c r="F54" s="1" t="s">
        <v>733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 t="s">
        <v>777</v>
      </c>
    </row>
    <row r="55" spans="1:27" x14ac:dyDescent="0.25">
      <c r="A55" s="1">
        <v>2458489.4769100002</v>
      </c>
      <c r="B55" s="1" t="s">
        <v>818</v>
      </c>
      <c r="C55" s="1">
        <v>13.173999999999999</v>
      </c>
      <c r="D55" s="1">
        <v>2.5999999999999999E-2</v>
      </c>
      <c r="E55" s="1" t="s">
        <v>732</v>
      </c>
      <c r="F55" s="1" t="s">
        <v>733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 t="s">
        <v>777</v>
      </c>
    </row>
    <row r="56" spans="1:27" x14ac:dyDescent="0.25">
      <c r="A56" s="1">
        <v>2458491.4725899999</v>
      </c>
      <c r="B56" s="1" t="s">
        <v>819</v>
      </c>
      <c r="C56" s="1">
        <v>12.853</v>
      </c>
      <c r="D56" s="1">
        <v>4.4999999999999998E-2</v>
      </c>
      <c r="E56" s="1" t="s">
        <v>732</v>
      </c>
      <c r="F56" s="1" t="s">
        <v>733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 t="s">
        <v>777</v>
      </c>
    </row>
    <row r="57" spans="1:27" x14ac:dyDescent="0.25">
      <c r="A57" s="1">
        <v>2458491.8163899998</v>
      </c>
      <c r="B57" s="1" t="s">
        <v>749</v>
      </c>
      <c r="C57" s="1">
        <v>12.843</v>
      </c>
      <c r="D57" s="1">
        <v>8.0000000000000002E-3</v>
      </c>
      <c r="E57" s="1" t="s">
        <v>732</v>
      </c>
      <c r="F57" s="1" t="s">
        <v>741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 t="s">
        <v>777</v>
      </c>
    </row>
    <row r="58" spans="1:27" x14ac:dyDescent="0.25">
      <c r="A58" s="1">
        <v>2458494.8014699998</v>
      </c>
      <c r="B58" s="1" t="s">
        <v>750</v>
      </c>
      <c r="C58" s="1">
        <v>12.711</v>
      </c>
      <c r="D58" s="1">
        <v>8.0000000000000002E-3</v>
      </c>
      <c r="E58" s="1" t="s">
        <v>732</v>
      </c>
      <c r="F58" s="1" t="s">
        <v>741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 t="s">
        <v>777</v>
      </c>
    </row>
    <row r="59" spans="1:27" x14ac:dyDescent="0.25">
      <c r="A59" s="1">
        <v>2458496.4652</v>
      </c>
      <c r="B59" s="1" t="s">
        <v>820</v>
      </c>
      <c r="C59" s="1">
        <v>12.726000000000001</v>
      </c>
      <c r="D59" s="1">
        <v>3.1E-2</v>
      </c>
      <c r="E59" s="1" t="s">
        <v>732</v>
      </c>
      <c r="F59" s="1" t="s">
        <v>733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 t="s">
        <v>777</v>
      </c>
    </row>
    <row r="60" spans="1:27" x14ac:dyDescent="0.25">
      <c r="A60" s="1">
        <v>2458496.5975000001</v>
      </c>
      <c r="B60" s="1" t="s">
        <v>751</v>
      </c>
      <c r="C60" s="1">
        <v>12.733000000000001</v>
      </c>
      <c r="D60" s="1">
        <v>4.0000000000000001E-3</v>
      </c>
      <c r="E60" s="1" t="s">
        <v>732</v>
      </c>
      <c r="F60" s="1" t="s">
        <v>776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 t="s">
        <v>777</v>
      </c>
    </row>
    <row r="61" spans="1:27" x14ac:dyDescent="0.25">
      <c r="A61" s="1">
        <v>2458498.4532499998</v>
      </c>
      <c r="B61" s="1" t="s">
        <v>752</v>
      </c>
      <c r="C61" s="1">
        <v>12.705</v>
      </c>
      <c r="D61" s="1">
        <v>2.3E-2</v>
      </c>
      <c r="E61" s="1" t="s">
        <v>732</v>
      </c>
      <c r="F61" s="1" t="s">
        <v>733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 t="s">
        <v>777</v>
      </c>
    </row>
    <row r="62" spans="1:27" x14ac:dyDescent="0.25">
      <c r="A62" s="1">
        <v>2458498.9775800002</v>
      </c>
      <c r="B62" s="1" t="s">
        <v>821</v>
      </c>
      <c r="C62" s="1">
        <v>12.617000000000001</v>
      </c>
      <c r="D62" s="1">
        <v>2.7E-2</v>
      </c>
      <c r="E62" s="1" t="s">
        <v>732</v>
      </c>
      <c r="F62" s="1" t="s">
        <v>741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 t="s">
        <v>777</v>
      </c>
    </row>
    <row r="63" spans="1:27" x14ac:dyDescent="0.25">
      <c r="A63" s="1">
        <v>2458500.6772400001</v>
      </c>
      <c r="B63" s="1" t="s">
        <v>822</v>
      </c>
      <c r="C63" s="1">
        <v>12.685</v>
      </c>
      <c r="D63" s="1">
        <v>3.0000000000000001E-3</v>
      </c>
      <c r="E63" s="1" t="s">
        <v>732</v>
      </c>
      <c r="F63" s="1" t="s">
        <v>776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 t="s">
        <v>777</v>
      </c>
    </row>
    <row r="64" spans="1:27" x14ac:dyDescent="0.25">
      <c r="A64" s="1">
        <v>2458508.4532099999</v>
      </c>
      <c r="B64" s="1" t="s">
        <v>753</v>
      </c>
      <c r="C64" s="1">
        <v>12.898</v>
      </c>
      <c r="D64" s="1">
        <v>2.3E-2</v>
      </c>
      <c r="E64" s="1" t="s">
        <v>732</v>
      </c>
      <c r="F64" s="1" t="s">
        <v>733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 t="s">
        <v>777</v>
      </c>
    </row>
    <row r="65" spans="1:27" x14ac:dyDescent="0.25">
      <c r="A65" s="1">
        <v>2458512.4174000002</v>
      </c>
      <c r="B65" s="1" t="s">
        <v>754</v>
      </c>
      <c r="C65" s="1">
        <v>12.6</v>
      </c>
      <c r="D65" s="1">
        <v>0</v>
      </c>
      <c r="E65" s="1" t="s">
        <v>804</v>
      </c>
      <c r="F65" s="1" t="s">
        <v>813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 t="s">
        <v>777</v>
      </c>
    </row>
    <row r="66" spans="1:27" x14ac:dyDescent="0.25">
      <c r="A66" s="1">
        <v>2458512.8239699998</v>
      </c>
      <c r="B66" s="1" t="s">
        <v>755</v>
      </c>
      <c r="C66" s="1">
        <v>12.667999999999999</v>
      </c>
      <c r="D66" s="1">
        <v>4.0000000000000001E-3</v>
      </c>
      <c r="E66" s="1" t="s">
        <v>732</v>
      </c>
      <c r="F66" s="1" t="s">
        <v>776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 t="s">
        <v>777</v>
      </c>
    </row>
    <row r="67" spans="1:27" x14ac:dyDescent="0.25">
      <c r="A67" s="1">
        <v>2458512.89567</v>
      </c>
      <c r="B67" s="1" t="s">
        <v>755</v>
      </c>
      <c r="C67" s="1">
        <v>12.622</v>
      </c>
      <c r="D67" s="1">
        <v>1.4999999999999999E-2</v>
      </c>
      <c r="E67" s="1" t="s">
        <v>732</v>
      </c>
      <c r="F67" s="1" t="s">
        <v>741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 t="s">
        <v>777</v>
      </c>
    </row>
    <row r="68" spans="1:27" x14ac:dyDescent="0.25">
      <c r="A68" s="1">
        <v>2458519.4068499999</v>
      </c>
      <c r="B68" s="1" t="s">
        <v>756</v>
      </c>
      <c r="C68" s="1">
        <v>12.419</v>
      </c>
      <c r="D68" s="1">
        <v>1.0999999999999999E-2</v>
      </c>
      <c r="E68" s="1" t="s">
        <v>732</v>
      </c>
      <c r="F68" s="1" t="s">
        <v>733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 t="s">
        <v>777</v>
      </c>
    </row>
    <row r="69" spans="1:27" x14ac:dyDescent="0.25">
      <c r="A69" s="1">
        <v>2458521.3896599999</v>
      </c>
      <c r="B69" s="1" t="s">
        <v>757</v>
      </c>
      <c r="C69" s="1">
        <v>12.472</v>
      </c>
      <c r="D69" s="1">
        <v>1.7999999999999999E-2</v>
      </c>
      <c r="E69" s="1" t="s">
        <v>732</v>
      </c>
      <c r="F69" s="1" t="s">
        <v>733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 t="s">
        <v>777</v>
      </c>
    </row>
    <row r="70" spans="1:27" x14ac:dyDescent="0.25">
      <c r="A70" s="1">
        <v>2458522.2902799998</v>
      </c>
      <c r="B70" s="1" t="s">
        <v>823</v>
      </c>
      <c r="C70" s="1">
        <v>12.42</v>
      </c>
      <c r="D70" s="1">
        <v>2.5000000000000001E-2</v>
      </c>
      <c r="E70" s="1" t="s">
        <v>732</v>
      </c>
      <c r="F70" s="1" t="s">
        <v>130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 t="s">
        <v>777</v>
      </c>
    </row>
    <row r="71" spans="1:27" x14ac:dyDescent="0.25">
      <c r="A71" s="1">
        <v>2458522.3930000002</v>
      </c>
      <c r="B71" s="1" t="s">
        <v>823</v>
      </c>
      <c r="C71" s="1">
        <v>13.1</v>
      </c>
      <c r="D71" s="1">
        <v>0</v>
      </c>
      <c r="E71" s="1" t="s">
        <v>804</v>
      </c>
      <c r="F71" s="1" t="s">
        <v>824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 t="s">
        <v>777</v>
      </c>
    </row>
    <row r="72" spans="1:27" x14ac:dyDescent="0.25">
      <c r="A72" s="1">
        <v>2458526.3856799998</v>
      </c>
      <c r="B72" s="1" t="s">
        <v>758</v>
      </c>
      <c r="C72" s="1">
        <v>12.526</v>
      </c>
      <c r="D72" s="1">
        <v>1.6E-2</v>
      </c>
      <c r="E72" s="1" t="s">
        <v>732</v>
      </c>
      <c r="F72" s="1" t="s">
        <v>733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 t="s">
        <v>777</v>
      </c>
    </row>
    <row r="73" spans="1:27" x14ac:dyDescent="0.25">
      <c r="A73" s="1">
        <v>2458526.6368399998</v>
      </c>
      <c r="B73" s="1" t="s">
        <v>825</v>
      </c>
      <c r="C73" s="1">
        <v>12.494</v>
      </c>
      <c r="D73" s="1">
        <v>7.0000000000000001E-3</v>
      </c>
      <c r="E73" s="1" t="s">
        <v>732</v>
      </c>
      <c r="F73" s="1" t="s">
        <v>776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 t="s">
        <v>777</v>
      </c>
    </row>
    <row r="74" spans="1:27" x14ac:dyDescent="0.25">
      <c r="A74" s="1">
        <v>2458528.3709</v>
      </c>
      <c r="B74" s="1" t="s">
        <v>759</v>
      </c>
      <c r="C74" s="1">
        <v>12.37</v>
      </c>
      <c r="D74" s="1">
        <v>1.6E-2</v>
      </c>
      <c r="E74" s="1" t="s">
        <v>732</v>
      </c>
      <c r="F74" s="1" t="s">
        <v>733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 t="s">
        <v>777</v>
      </c>
    </row>
    <row r="75" spans="1:27" x14ac:dyDescent="0.25">
      <c r="A75" s="1">
        <v>2458530.36735</v>
      </c>
      <c r="B75" s="1" t="s">
        <v>760</v>
      </c>
      <c r="C75" s="1">
        <v>12.347</v>
      </c>
      <c r="D75" s="1">
        <v>2.1999999999999999E-2</v>
      </c>
      <c r="E75" s="1" t="s">
        <v>732</v>
      </c>
      <c r="F75" s="1" t="s">
        <v>733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 t="s">
        <v>777</v>
      </c>
    </row>
    <row r="76" spans="1:27" x14ac:dyDescent="0.25">
      <c r="A76" s="1">
        <v>2458532.3629700001</v>
      </c>
      <c r="B76" s="1" t="s">
        <v>761</v>
      </c>
      <c r="C76" s="1">
        <v>12.307</v>
      </c>
      <c r="D76" s="1">
        <v>0.01</v>
      </c>
      <c r="E76" s="1" t="s">
        <v>732</v>
      </c>
      <c r="F76" s="1" t="s">
        <v>733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 t="s">
        <v>777</v>
      </c>
    </row>
    <row r="77" spans="1:27" x14ac:dyDescent="0.25">
      <c r="A77" s="1">
        <v>2458535.36045</v>
      </c>
      <c r="B77" s="1" t="s">
        <v>762</v>
      </c>
      <c r="C77" s="1">
        <v>12.301</v>
      </c>
      <c r="D77" s="1">
        <v>2.8000000000000001E-2</v>
      </c>
      <c r="E77" s="1" t="s">
        <v>732</v>
      </c>
      <c r="F77" s="1" t="s">
        <v>733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 t="s">
        <v>777</v>
      </c>
    </row>
    <row r="78" spans="1:27" x14ac:dyDescent="0.25">
      <c r="A78" s="1">
        <v>2458537.3602399998</v>
      </c>
      <c r="B78" s="1" t="s">
        <v>763</v>
      </c>
      <c r="C78" s="1">
        <v>12.340999999999999</v>
      </c>
      <c r="D78" s="1">
        <v>2.9000000000000001E-2</v>
      </c>
      <c r="E78" s="1" t="s">
        <v>732</v>
      </c>
      <c r="F78" s="1" t="s">
        <v>733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 t="s">
        <v>777</v>
      </c>
    </row>
    <row r="79" spans="1:27" x14ac:dyDescent="0.25">
      <c r="A79" s="1">
        <v>2458538.3243100001</v>
      </c>
      <c r="B79" s="1" t="s">
        <v>764</v>
      </c>
      <c r="C79" s="1">
        <v>12.31</v>
      </c>
      <c r="D79" s="1">
        <v>1.4999999999999999E-2</v>
      </c>
      <c r="E79" s="1" t="s">
        <v>732</v>
      </c>
      <c r="F79" s="1" t="s">
        <v>130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 t="s">
        <v>777</v>
      </c>
    </row>
    <row r="80" spans="1:27" x14ac:dyDescent="0.25">
      <c r="A80" s="1">
        <v>2458539.3405900002</v>
      </c>
      <c r="B80" s="1" t="s">
        <v>765</v>
      </c>
      <c r="C80" s="1">
        <v>12.242000000000001</v>
      </c>
      <c r="D80" s="1">
        <v>1.2999999999999999E-2</v>
      </c>
      <c r="E80" s="1" t="s">
        <v>732</v>
      </c>
      <c r="F80" s="1" t="s">
        <v>733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 t="s">
        <v>777</v>
      </c>
    </row>
    <row r="81" spans="1:27" x14ac:dyDescent="0.25">
      <c r="A81" s="1">
        <v>2458542.3243100001</v>
      </c>
      <c r="B81" s="1" t="s">
        <v>766</v>
      </c>
      <c r="C81" s="1">
        <v>12.3</v>
      </c>
      <c r="D81" s="1">
        <v>2.5000000000000001E-2</v>
      </c>
      <c r="E81" s="1" t="s">
        <v>732</v>
      </c>
      <c r="F81" s="1" t="s">
        <v>130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 t="s">
        <v>777</v>
      </c>
    </row>
    <row r="82" spans="1:27" x14ac:dyDescent="0.25">
      <c r="A82" s="1">
        <v>2458542.3323400002</v>
      </c>
      <c r="B82" s="1" t="s">
        <v>766</v>
      </c>
      <c r="C82" s="1">
        <v>12.302</v>
      </c>
      <c r="D82" s="1">
        <v>1.0999999999999999E-2</v>
      </c>
      <c r="E82" s="1" t="s">
        <v>732</v>
      </c>
      <c r="F82" s="1" t="s">
        <v>733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 t="s">
        <v>777</v>
      </c>
    </row>
    <row r="83" spans="1:27" x14ac:dyDescent="0.25">
      <c r="A83" s="1">
        <v>2458544.3363199998</v>
      </c>
      <c r="B83" s="1" t="s">
        <v>767</v>
      </c>
      <c r="C83" s="1">
        <v>12.39</v>
      </c>
      <c r="D83" s="1">
        <v>1.4E-2</v>
      </c>
      <c r="E83" s="1" t="s">
        <v>732</v>
      </c>
      <c r="F83" s="1" t="s">
        <v>733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 t="s">
        <v>777</v>
      </c>
    </row>
    <row r="84" spans="1:27" x14ac:dyDescent="0.25">
      <c r="A84" s="1">
        <v>2458548.3824499999</v>
      </c>
      <c r="B84" s="1" t="s">
        <v>768</v>
      </c>
      <c r="C84" s="1">
        <v>12.334</v>
      </c>
      <c r="D84" s="1">
        <v>8.9999999999999993E-3</v>
      </c>
      <c r="E84" s="1" t="s">
        <v>732</v>
      </c>
      <c r="F84" s="1" t="s">
        <v>733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 t="s">
        <v>777</v>
      </c>
    </row>
    <row r="85" spans="1:27" x14ac:dyDescent="0.25">
      <c r="A85" s="1">
        <v>2458552.3710099999</v>
      </c>
      <c r="B85" s="1" t="s">
        <v>769</v>
      </c>
      <c r="C85" s="1">
        <v>12.321999999999999</v>
      </c>
      <c r="D85" s="1">
        <v>2.5999999999999999E-2</v>
      </c>
      <c r="E85" s="1" t="s">
        <v>732</v>
      </c>
      <c r="F85" s="1" t="s">
        <v>733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 t="s">
        <v>777</v>
      </c>
    </row>
    <row r="86" spans="1:27" x14ac:dyDescent="0.25">
      <c r="A86" s="1">
        <v>2458554.3054999998</v>
      </c>
      <c r="B86" s="1" t="s">
        <v>770</v>
      </c>
      <c r="C86" s="1">
        <v>12.297000000000001</v>
      </c>
      <c r="D86" s="1">
        <v>0.01</v>
      </c>
      <c r="E86" s="1" t="s">
        <v>732</v>
      </c>
      <c r="F86" s="1" t="s">
        <v>733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 t="s">
        <v>777</v>
      </c>
    </row>
    <row r="87" spans="1:27" x14ac:dyDescent="0.25">
      <c r="A87" s="1">
        <v>2458555.2944399999</v>
      </c>
      <c r="B87" s="1" t="s">
        <v>771</v>
      </c>
      <c r="C87" s="1">
        <v>12.29</v>
      </c>
      <c r="D87" s="1">
        <v>1.4999999999999999E-2</v>
      </c>
      <c r="E87" s="1" t="s">
        <v>732</v>
      </c>
      <c r="F87" s="1" t="s">
        <v>130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 t="s">
        <v>777</v>
      </c>
    </row>
    <row r="88" spans="1:27" x14ac:dyDescent="0.25">
      <c r="A88" s="1">
        <v>2458555.5290000001</v>
      </c>
      <c r="B88" s="1" t="s">
        <v>772</v>
      </c>
      <c r="C88" s="1">
        <v>12.4</v>
      </c>
      <c r="D88" s="1">
        <v>0</v>
      </c>
      <c r="E88" s="1" t="s">
        <v>804</v>
      </c>
      <c r="F88" s="1" t="s">
        <v>826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 t="s">
        <v>777</v>
      </c>
    </row>
    <row r="89" spans="1:27" x14ac:dyDescent="0.25">
      <c r="A89" s="1">
        <v>2458556.3016400002</v>
      </c>
      <c r="B89" s="1" t="s">
        <v>772</v>
      </c>
      <c r="C89" s="1">
        <v>12.315</v>
      </c>
      <c r="D89" s="1">
        <v>1.0999999999999999E-2</v>
      </c>
      <c r="E89" s="1" t="s">
        <v>732</v>
      </c>
      <c r="F89" s="1" t="s">
        <v>733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 t="s">
        <v>777</v>
      </c>
    </row>
    <row r="90" spans="1:27" x14ac:dyDescent="0.25">
      <c r="A90" s="1">
        <v>2458558.60188</v>
      </c>
      <c r="B90" s="1" t="s">
        <v>827</v>
      </c>
      <c r="C90" s="1">
        <v>12.404999999999999</v>
      </c>
      <c r="D90" s="1">
        <v>1.2999999999999999E-2</v>
      </c>
      <c r="E90" s="1" t="s">
        <v>732</v>
      </c>
      <c r="F90" s="1" t="s">
        <v>776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 t="s">
        <v>777</v>
      </c>
    </row>
    <row r="91" spans="1:27" x14ac:dyDescent="0.25">
      <c r="A91" s="1">
        <v>2458559.28749</v>
      </c>
      <c r="B91" s="1" t="s">
        <v>827</v>
      </c>
      <c r="C91" s="1">
        <v>12.377000000000001</v>
      </c>
      <c r="D91" s="1">
        <v>1.7000000000000001E-2</v>
      </c>
      <c r="E91" s="1" t="s">
        <v>732</v>
      </c>
      <c r="F91" s="1" t="s">
        <v>733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 t="s">
        <v>777</v>
      </c>
    </row>
    <row r="92" spans="1:27" x14ac:dyDescent="0.25">
      <c r="A92" s="1">
        <v>2458564.6581799998</v>
      </c>
      <c r="B92" s="1" t="s">
        <v>828</v>
      </c>
      <c r="C92" s="1">
        <v>12.435</v>
      </c>
      <c r="D92" s="1">
        <v>8.9999999999999993E-3</v>
      </c>
      <c r="E92" s="1" t="s">
        <v>732</v>
      </c>
      <c r="F92" s="1" t="s">
        <v>776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 t="s">
        <v>777</v>
      </c>
    </row>
    <row r="93" spans="1:27" x14ac:dyDescent="0.25">
      <c r="A93" s="1">
        <v>2458573.2590299998</v>
      </c>
      <c r="B93" s="1" t="s">
        <v>773</v>
      </c>
      <c r="C93" s="1">
        <v>12.59</v>
      </c>
      <c r="D93" s="1">
        <v>1.4999999999999999E-2</v>
      </c>
      <c r="E93" s="1" t="s">
        <v>732</v>
      </c>
      <c r="F93" s="1" t="s">
        <v>130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 t="s">
        <v>777</v>
      </c>
    </row>
    <row r="94" spans="1:27" x14ac:dyDescent="0.25">
      <c r="A94" s="1">
        <v>2458589.3013900002</v>
      </c>
      <c r="B94" s="1" t="s">
        <v>774</v>
      </c>
      <c r="C94" s="1">
        <v>13.08</v>
      </c>
      <c r="D94" s="1">
        <v>1.4999999999999999E-2</v>
      </c>
      <c r="E94" s="1" t="s">
        <v>732</v>
      </c>
      <c r="F94" s="1" t="s">
        <v>130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 t="s">
        <v>777</v>
      </c>
    </row>
    <row r="95" spans="1:27" x14ac:dyDescent="0.25">
      <c r="A95" s="1">
        <v>2458590.5936599998</v>
      </c>
      <c r="B95" s="1" t="s">
        <v>829</v>
      </c>
      <c r="C95" s="1">
        <v>13.372999999999999</v>
      </c>
      <c r="D95" s="1">
        <v>6.0000000000000001E-3</v>
      </c>
      <c r="E95" s="1" t="s">
        <v>732</v>
      </c>
      <c r="F95" s="1" t="s">
        <v>776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 t="s">
        <v>777</v>
      </c>
    </row>
  </sheetData>
  <sortState xmlns:xlrd2="http://schemas.microsoft.com/office/spreadsheetml/2017/richdata2" ref="A1:F52">
    <sortCondition ref="F1:F5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160"/>
  <sheetViews>
    <sheetView topLeftCell="A366" workbookViewId="0">
      <selection activeCell="E405" sqref="E405"/>
    </sheetView>
  </sheetViews>
  <sheetFormatPr baseColWidth="10" defaultRowHeight="15" x14ac:dyDescent="0.25"/>
  <cols>
    <col min="2" max="2" width="17.28515625" customWidth="1"/>
  </cols>
  <sheetData>
    <row r="1" spans="1:4" ht="30" x14ac:dyDescent="0.25">
      <c r="A1" s="1">
        <v>2445297.9</v>
      </c>
      <c r="B1" s="1" t="s">
        <v>246</v>
      </c>
      <c r="C1" s="1">
        <v>12.5</v>
      </c>
      <c r="D1" s="1">
        <v>0</v>
      </c>
    </row>
    <row r="2" spans="1:4" x14ac:dyDescent="0.25">
      <c r="A2" s="1">
        <v>2445349.7999999998</v>
      </c>
      <c r="B2" s="1" t="s">
        <v>247</v>
      </c>
      <c r="C2" s="1">
        <v>12.5</v>
      </c>
      <c r="D2" s="1">
        <v>0</v>
      </c>
    </row>
    <row r="3" spans="1:4" x14ac:dyDescent="0.25">
      <c r="A3" s="1">
        <v>2445380.2999999998</v>
      </c>
      <c r="B3" s="1" t="s">
        <v>248</v>
      </c>
      <c r="C3" s="1">
        <v>12.3</v>
      </c>
      <c r="D3" s="1">
        <v>0.3</v>
      </c>
    </row>
    <row r="4" spans="1:4" ht="30" x14ac:dyDescent="0.25">
      <c r="A4" s="1">
        <v>2445404.1</v>
      </c>
      <c r="B4" s="1" t="s">
        <v>249</v>
      </c>
      <c r="C4" s="1">
        <v>12.733333</v>
      </c>
      <c r="D4" s="1">
        <v>6.6667000000000004E-2</v>
      </c>
    </row>
    <row r="5" spans="1:4" ht="30" x14ac:dyDescent="0.25">
      <c r="A5" s="1">
        <v>2445466.9</v>
      </c>
      <c r="B5" s="1" t="s">
        <v>250</v>
      </c>
      <c r="C5" s="1">
        <v>13</v>
      </c>
      <c r="D5" s="1">
        <v>0</v>
      </c>
    </row>
    <row r="6" spans="1:4" x14ac:dyDescent="0.25">
      <c r="A6" s="1">
        <v>2445624.7999999998</v>
      </c>
      <c r="B6" s="1" t="s">
        <v>251</v>
      </c>
      <c r="C6" s="1">
        <v>12.5</v>
      </c>
      <c r="D6" s="1">
        <v>0</v>
      </c>
    </row>
    <row r="7" spans="1:4" x14ac:dyDescent="0.25">
      <c r="A7" s="1">
        <v>2445729.7000000002</v>
      </c>
      <c r="B7" s="1" t="s">
        <v>252</v>
      </c>
      <c r="C7" s="1">
        <v>12.8</v>
      </c>
      <c r="D7" s="1">
        <v>0.1</v>
      </c>
    </row>
    <row r="8" spans="1:4" x14ac:dyDescent="0.25">
      <c r="A8" s="1">
        <v>2445746.85</v>
      </c>
      <c r="B8" s="1" t="s">
        <v>253</v>
      </c>
      <c r="C8" s="1">
        <v>12.85</v>
      </c>
      <c r="D8" s="1">
        <v>0.45</v>
      </c>
    </row>
    <row r="9" spans="1:4" ht="30" x14ac:dyDescent="0.25">
      <c r="A9" s="1">
        <v>2445773.65</v>
      </c>
      <c r="B9" s="1" t="s">
        <v>254</v>
      </c>
      <c r="C9" s="1">
        <v>12.8</v>
      </c>
      <c r="D9" s="1">
        <v>0.4</v>
      </c>
    </row>
    <row r="10" spans="1:4" x14ac:dyDescent="0.25">
      <c r="A10" s="1">
        <v>2446060.5</v>
      </c>
      <c r="B10" s="1" t="s">
        <v>255</v>
      </c>
      <c r="C10" s="1">
        <v>11.5</v>
      </c>
      <c r="D10" s="1">
        <v>0</v>
      </c>
    </row>
    <row r="11" spans="1:4" x14ac:dyDescent="0.25">
      <c r="A11" s="1">
        <v>2446082.9</v>
      </c>
      <c r="B11" s="1" t="s">
        <v>256</v>
      </c>
      <c r="C11" s="1">
        <v>11</v>
      </c>
      <c r="D11" s="1">
        <v>0.50332200000000005</v>
      </c>
    </row>
    <row r="12" spans="1:4" x14ac:dyDescent="0.25">
      <c r="A12" s="1">
        <v>2446108.7000000002</v>
      </c>
      <c r="B12" s="1" t="s">
        <v>257</v>
      </c>
      <c r="C12" s="1">
        <v>10.1</v>
      </c>
      <c r="D12" s="1">
        <v>0</v>
      </c>
    </row>
    <row r="13" spans="1:4" ht="30" x14ac:dyDescent="0.25">
      <c r="A13" s="1">
        <v>2446149.2000000002</v>
      </c>
      <c r="B13" s="1" t="s">
        <v>258</v>
      </c>
      <c r="C13" s="1">
        <v>8.9</v>
      </c>
      <c r="D13" s="1">
        <v>0.1</v>
      </c>
    </row>
    <row r="14" spans="1:4" x14ac:dyDescent="0.25">
      <c r="A14" s="1">
        <v>2446173.15</v>
      </c>
      <c r="B14" s="1" t="s">
        <v>259</v>
      </c>
      <c r="C14" s="1">
        <v>9.1999999999999993</v>
      </c>
      <c r="D14" s="1">
        <v>0.2</v>
      </c>
    </row>
    <row r="15" spans="1:4" x14ac:dyDescent="0.25">
      <c r="A15" s="1">
        <v>2446356</v>
      </c>
      <c r="B15" s="1" t="s">
        <v>260</v>
      </c>
      <c r="C15" s="1">
        <v>10.5</v>
      </c>
      <c r="D15" s="1">
        <v>0</v>
      </c>
    </row>
    <row r="16" spans="1:4" x14ac:dyDescent="0.25">
      <c r="A16" s="1">
        <v>2446418</v>
      </c>
      <c r="B16" s="1" t="s">
        <v>261</v>
      </c>
      <c r="C16" s="1">
        <v>10.8</v>
      </c>
      <c r="D16" s="1">
        <v>0</v>
      </c>
    </row>
    <row r="17" spans="1:4" x14ac:dyDescent="0.25">
      <c r="A17" s="1">
        <v>2446493.7000000002</v>
      </c>
      <c r="B17" s="1" t="s">
        <v>262</v>
      </c>
      <c r="C17" s="1">
        <v>11.3</v>
      </c>
      <c r="D17" s="1">
        <v>0</v>
      </c>
    </row>
    <row r="18" spans="1:4" ht="30" x14ac:dyDescent="0.25">
      <c r="A18" s="1">
        <v>2446522.375</v>
      </c>
      <c r="B18" s="1" t="s">
        <v>263</v>
      </c>
      <c r="C18" s="1">
        <v>10.975</v>
      </c>
      <c r="D18" s="1">
        <v>0.22500000000000001</v>
      </c>
    </row>
    <row r="19" spans="1:4" x14ac:dyDescent="0.25">
      <c r="A19" s="1">
        <v>2446786.9</v>
      </c>
      <c r="B19" s="1" t="s">
        <v>264</v>
      </c>
      <c r="C19" s="1">
        <v>12</v>
      </c>
      <c r="D19" s="1">
        <v>0</v>
      </c>
    </row>
    <row r="20" spans="1:4" x14ac:dyDescent="0.25">
      <c r="A20" s="1">
        <v>2446849.6</v>
      </c>
      <c r="B20" s="1" t="s">
        <v>265</v>
      </c>
      <c r="C20" s="1">
        <v>13</v>
      </c>
      <c r="D20" s="1">
        <v>0</v>
      </c>
    </row>
    <row r="21" spans="1:4" ht="30" x14ac:dyDescent="0.25">
      <c r="A21" s="1">
        <v>2446874.7000000002</v>
      </c>
      <c r="B21" s="1" t="s">
        <v>266</v>
      </c>
      <c r="C21" s="1">
        <v>13</v>
      </c>
      <c r="D21" s="1">
        <v>0</v>
      </c>
    </row>
    <row r="22" spans="1:4" ht="30" x14ac:dyDescent="0.25">
      <c r="A22" s="1">
        <v>2446909.7333300002</v>
      </c>
      <c r="B22" s="1" t="s">
        <v>267</v>
      </c>
      <c r="C22" s="1">
        <v>12.366667</v>
      </c>
      <c r="D22" s="1">
        <v>0.29627300000000001</v>
      </c>
    </row>
    <row r="23" spans="1:4" x14ac:dyDescent="0.25">
      <c r="A23" s="1">
        <v>2447064.9</v>
      </c>
      <c r="B23" s="1" t="s">
        <v>268</v>
      </c>
      <c r="C23" s="1">
        <v>11.6</v>
      </c>
      <c r="D23" s="1">
        <v>0</v>
      </c>
    </row>
    <row r="24" spans="1:4" x14ac:dyDescent="0.25">
      <c r="A24" s="1">
        <v>2447173.1</v>
      </c>
      <c r="B24" s="1" t="s">
        <v>269</v>
      </c>
      <c r="C24" s="1">
        <v>11.8</v>
      </c>
      <c r="D24" s="1">
        <v>0</v>
      </c>
    </row>
    <row r="25" spans="1:4" x14ac:dyDescent="0.25">
      <c r="A25" s="1">
        <v>2447183.0666700001</v>
      </c>
      <c r="B25" s="1" t="s">
        <v>270</v>
      </c>
      <c r="C25" s="1">
        <v>11.433332999999999</v>
      </c>
      <c r="D25" s="1">
        <v>0.18559200000000001</v>
      </c>
    </row>
    <row r="26" spans="1:4" x14ac:dyDescent="0.25">
      <c r="A26" s="1">
        <v>2447213.53333</v>
      </c>
      <c r="B26" s="1" t="s">
        <v>271</v>
      </c>
      <c r="C26" s="1">
        <v>11.8</v>
      </c>
      <c r="D26" s="1">
        <v>0</v>
      </c>
    </row>
    <row r="27" spans="1:4" x14ac:dyDescent="0.25">
      <c r="A27" s="1">
        <v>2447231.9750000001</v>
      </c>
      <c r="B27" s="1" t="s">
        <v>272</v>
      </c>
      <c r="C27" s="1">
        <v>12.074999999999999</v>
      </c>
      <c r="D27" s="1">
        <v>0.26259900000000003</v>
      </c>
    </row>
    <row r="28" spans="1:4" x14ac:dyDescent="0.25">
      <c r="A28" s="1">
        <v>2447259.62</v>
      </c>
      <c r="B28" s="1" t="s">
        <v>273</v>
      </c>
      <c r="C28" s="1">
        <v>12.08</v>
      </c>
      <c r="D28" s="1">
        <v>0.115758</v>
      </c>
    </row>
    <row r="29" spans="1:4" x14ac:dyDescent="0.25">
      <c r="A29" s="1">
        <v>2447284.35</v>
      </c>
      <c r="B29" s="1" t="s">
        <v>274</v>
      </c>
      <c r="C29" s="1">
        <v>11.6</v>
      </c>
      <c r="D29" s="1">
        <v>0.2</v>
      </c>
    </row>
    <row r="30" spans="1:4" x14ac:dyDescent="0.25">
      <c r="A30" s="1">
        <v>2447449.16</v>
      </c>
      <c r="B30" s="1" t="s">
        <v>275</v>
      </c>
      <c r="C30" s="1">
        <v>10.5</v>
      </c>
      <c r="D30" s="1">
        <v>0</v>
      </c>
    </row>
    <row r="31" spans="1:4" x14ac:dyDescent="0.25">
      <c r="A31" s="1">
        <v>2447465.3174999999</v>
      </c>
      <c r="B31" s="1" t="s">
        <v>276</v>
      </c>
      <c r="C31" s="1">
        <v>10.125</v>
      </c>
      <c r="D31" s="1">
        <v>0.28686499999999998</v>
      </c>
    </row>
    <row r="32" spans="1:4" x14ac:dyDescent="0.25">
      <c r="A32" s="1">
        <v>2447481.1566699999</v>
      </c>
      <c r="B32" s="1" t="s">
        <v>277</v>
      </c>
      <c r="C32" s="1">
        <v>10.616667</v>
      </c>
      <c r="D32" s="1">
        <v>8.3333000000000004E-2</v>
      </c>
    </row>
    <row r="33" spans="1:4" x14ac:dyDescent="0.25">
      <c r="A33" s="1">
        <v>2447505.9874999998</v>
      </c>
      <c r="B33" s="1" t="s">
        <v>278</v>
      </c>
      <c r="C33" s="1">
        <v>10.612500000000001</v>
      </c>
      <c r="D33" s="1">
        <v>7.6619000000000007E-2</v>
      </c>
    </row>
    <row r="34" spans="1:4" x14ac:dyDescent="0.25">
      <c r="A34" s="1">
        <v>2447529.2082500001</v>
      </c>
      <c r="B34" s="1" t="s">
        <v>279</v>
      </c>
      <c r="C34" s="1">
        <v>10.824999999999999</v>
      </c>
      <c r="D34" s="1">
        <v>0.21746599999999999</v>
      </c>
    </row>
    <row r="35" spans="1:4" x14ac:dyDescent="0.25">
      <c r="A35" s="1">
        <v>2447543.2933299998</v>
      </c>
      <c r="B35" s="1" t="s">
        <v>280</v>
      </c>
      <c r="C35" s="1">
        <v>10.8</v>
      </c>
      <c r="D35" s="1">
        <v>0</v>
      </c>
    </row>
    <row r="36" spans="1:4" x14ac:dyDescent="0.25">
      <c r="A36" s="1">
        <v>2447565.8020000001</v>
      </c>
      <c r="B36" s="1" t="s">
        <v>281</v>
      </c>
      <c r="C36" s="1">
        <v>10.88</v>
      </c>
      <c r="D36" s="1">
        <v>0.02</v>
      </c>
    </row>
    <row r="37" spans="1:4" x14ac:dyDescent="0.25">
      <c r="A37" s="1">
        <v>2447589.57333</v>
      </c>
      <c r="B37" s="1" t="s">
        <v>282</v>
      </c>
      <c r="C37" s="1">
        <v>11.233333</v>
      </c>
      <c r="D37" s="1">
        <v>0.14529700000000001</v>
      </c>
    </row>
    <row r="38" spans="1:4" x14ac:dyDescent="0.25">
      <c r="A38" s="1">
        <v>2447617.53333</v>
      </c>
      <c r="B38" s="1" t="s">
        <v>283</v>
      </c>
      <c r="C38" s="1">
        <v>11.566667000000001</v>
      </c>
      <c r="D38" s="1">
        <v>3.3333000000000002E-2</v>
      </c>
    </row>
    <row r="39" spans="1:4" x14ac:dyDescent="0.25">
      <c r="A39" s="1">
        <v>2447653.81</v>
      </c>
      <c r="B39" s="1" t="s">
        <v>284</v>
      </c>
      <c r="C39" s="1">
        <v>11.4</v>
      </c>
      <c r="D39" s="1">
        <v>0</v>
      </c>
    </row>
    <row r="40" spans="1:4" x14ac:dyDescent="0.25">
      <c r="A40" s="1">
        <v>2447780.2200000002</v>
      </c>
      <c r="B40" s="1" t="s">
        <v>285</v>
      </c>
      <c r="C40" s="1">
        <v>11.8</v>
      </c>
      <c r="D40" s="1">
        <v>0</v>
      </c>
    </row>
    <row r="41" spans="1:4" x14ac:dyDescent="0.25">
      <c r="A41" s="1">
        <v>2447806.14</v>
      </c>
      <c r="B41" s="1" t="s">
        <v>286</v>
      </c>
      <c r="C41" s="1">
        <v>11.6</v>
      </c>
      <c r="D41" s="1">
        <v>0</v>
      </c>
    </row>
    <row r="42" spans="1:4" x14ac:dyDescent="0.25">
      <c r="A42" s="1">
        <v>2447827.5699999998</v>
      </c>
      <c r="B42" s="1" t="s">
        <v>287</v>
      </c>
      <c r="C42" s="1">
        <v>12.15</v>
      </c>
      <c r="D42" s="1">
        <v>0.35</v>
      </c>
    </row>
    <row r="43" spans="1:4" x14ac:dyDescent="0.25">
      <c r="A43" s="1">
        <v>2447861.96</v>
      </c>
      <c r="B43" s="1" t="s">
        <v>288</v>
      </c>
      <c r="C43" s="1">
        <v>12.25</v>
      </c>
      <c r="D43" s="1">
        <v>0.25</v>
      </c>
    </row>
    <row r="44" spans="1:4" x14ac:dyDescent="0.25">
      <c r="A44" s="1">
        <v>2447878.96</v>
      </c>
      <c r="B44" s="1" t="s">
        <v>289</v>
      </c>
      <c r="C44" s="1">
        <v>11.9</v>
      </c>
      <c r="D44" s="1">
        <v>0</v>
      </c>
    </row>
    <row r="45" spans="1:4" x14ac:dyDescent="0.25">
      <c r="A45" s="1">
        <v>2447927.7000000002</v>
      </c>
      <c r="B45" s="1" t="s">
        <v>290</v>
      </c>
      <c r="C45" s="1">
        <v>12</v>
      </c>
      <c r="D45" s="1">
        <v>0</v>
      </c>
    </row>
    <row r="46" spans="1:4" x14ac:dyDescent="0.25">
      <c r="A46" s="1">
        <v>2447943.94</v>
      </c>
      <c r="B46" s="1" t="s">
        <v>291</v>
      </c>
      <c r="C46" s="1">
        <v>12.5</v>
      </c>
      <c r="D46" s="1">
        <v>0</v>
      </c>
    </row>
    <row r="47" spans="1:4" x14ac:dyDescent="0.25">
      <c r="A47" s="1">
        <v>2447967.87</v>
      </c>
      <c r="B47" s="1" t="s">
        <v>292</v>
      </c>
      <c r="C47" s="1">
        <v>12.1</v>
      </c>
      <c r="D47" s="1">
        <v>0</v>
      </c>
    </row>
    <row r="48" spans="1:4" x14ac:dyDescent="0.25">
      <c r="A48" s="1">
        <v>2447991.87</v>
      </c>
      <c r="B48" s="1" t="s">
        <v>293</v>
      </c>
      <c r="C48" s="1">
        <v>12.15</v>
      </c>
      <c r="D48" s="1">
        <v>0.15</v>
      </c>
    </row>
    <row r="49" spans="1:4" x14ac:dyDescent="0.25">
      <c r="A49" s="1">
        <v>2448124.2200000002</v>
      </c>
      <c r="B49" s="1" t="s">
        <v>217</v>
      </c>
      <c r="C49" s="1">
        <v>12.4</v>
      </c>
      <c r="D49" s="1">
        <v>0</v>
      </c>
    </row>
    <row r="50" spans="1:4" x14ac:dyDescent="0.25">
      <c r="A50" s="1">
        <v>2448145.71</v>
      </c>
      <c r="B50" s="1" t="s">
        <v>294</v>
      </c>
      <c r="C50" s="1">
        <v>12.35</v>
      </c>
      <c r="D50" s="1">
        <v>0.05</v>
      </c>
    </row>
    <row r="51" spans="1:4" x14ac:dyDescent="0.25">
      <c r="A51" s="1">
        <v>2448156.78333</v>
      </c>
      <c r="B51" s="1" t="s">
        <v>295</v>
      </c>
      <c r="C51" s="1">
        <v>12.566667000000001</v>
      </c>
      <c r="D51" s="1">
        <v>0.218581</v>
      </c>
    </row>
    <row r="52" spans="1:4" x14ac:dyDescent="0.25">
      <c r="A52" s="1">
        <v>2448186.21</v>
      </c>
      <c r="B52" s="1" t="s">
        <v>296</v>
      </c>
      <c r="C52" s="1">
        <v>12.366667</v>
      </c>
      <c r="D52" s="1">
        <v>3.3333000000000002E-2</v>
      </c>
    </row>
    <row r="53" spans="1:4" x14ac:dyDescent="0.25">
      <c r="A53" s="1">
        <v>2448214.46</v>
      </c>
      <c r="B53" s="1" t="s">
        <v>297</v>
      </c>
      <c r="C53" s="1">
        <v>12.5</v>
      </c>
      <c r="D53" s="1">
        <v>0</v>
      </c>
    </row>
    <row r="54" spans="1:4" x14ac:dyDescent="0.25">
      <c r="A54" s="1">
        <v>2448241.3866699999</v>
      </c>
      <c r="B54" s="1" t="s">
        <v>298</v>
      </c>
      <c r="C54" s="1">
        <v>12.166667</v>
      </c>
      <c r="D54" s="1">
        <v>0.38441900000000001</v>
      </c>
    </row>
    <row r="55" spans="1:4" x14ac:dyDescent="0.25">
      <c r="A55" s="1">
        <v>2448262.6735700001</v>
      </c>
      <c r="B55" s="1" t="s">
        <v>299</v>
      </c>
      <c r="C55" s="1">
        <v>12.4</v>
      </c>
      <c r="D55" s="1">
        <v>0.108012</v>
      </c>
    </row>
    <row r="56" spans="1:4" x14ac:dyDescent="0.25">
      <c r="A56" s="1">
        <v>2448285.1</v>
      </c>
      <c r="B56" s="1" t="s">
        <v>300</v>
      </c>
      <c r="C56" s="1">
        <v>12.05</v>
      </c>
      <c r="D56" s="1">
        <v>0.05</v>
      </c>
    </row>
    <row r="57" spans="1:4" x14ac:dyDescent="0.25">
      <c r="A57" s="1">
        <v>2448302.8912399998</v>
      </c>
      <c r="B57" s="1" t="s">
        <v>301</v>
      </c>
      <c r="C57" s="1">
        <v>12.18</v>
      </c>
      <c r="D57" s="1">
        <v>0.08</v>
      </c>
    </row>
    <row r="58" spans="1:4" x14ac:dyDescent="0.25">
      <c r="A58" s="1">
        <v>2448332.61</v>
      </c>
      <c r="B58" s="1" t="s">
        <v>302</v>
      </c>
      <c r="C58" s="1">
        <v>12.15</v>
      </c>
      <c r="D58" s="1">
        <v>6.4549999999999996E-2</v>
      </c>
    </row>
    <row r="59" spans="1:4" x14ac:dyDescent="0.25">
      <c r="A59" s="1">
        <v>2448352.2266699998</v>
      </c>
      <c r="B59" s="1" t="s">
        <v>303</v>
      </c>
      <c r="C59" s="1">
        <v>12.166667</v>
      </c>
      <c r="D59" s="1">
        <v>0.13333300000000001</v>
      </c>
    </row>
    <row r="60" spans="1:4" x14ac:dyDescent="0.25">
      <c r="A60" s="1">
        <v>2448365.9313300001</v>
      </c>
      <c r="B60" s="1" t="s">
        <v>304</v>
      </c>
      <c r="C60" s="1">
        <v>12.066667000000001</v>
      </c>
      <c r="D60" s="1">
        <v>0.120185</v>
      </c>
    </row>
    <row r="61" spans="1:4" x14ac:dyDescent="0.25">
      <c r="A61" s="1">
        <v>2448385.1035000002</v>
      </c>
      <c r="B61" s="1" t="s">
        <v>305</v>
      </c>
      <c r="C61" s="1">
        <v>12.15</v>
      </c>
      <c r="D61" s="1">
        <v>6.4549999999999996E-2</v>
      </c>
    </row>
    <row r="62" spans="1:4" x14ac:dyDescent="0.25">
      <c r="A62" s="1">
        <v>2448497.73</v>
      </c>
      <c r="B62" s="1" t="s">
        <v>306</v>
      </c>
      <c r="C62" s="1">
        <v>12</v>
      </c>
      <c r="D62" s="1">
        <v>0</v>
      </c>
    </row>
    <row r="63" spans="1:4" x14ac:dyDescent="0.25">
      <c r="A63" s="1">
        <v>2448539.1749999998</v>
      </c>
      <c r="B63" s="1" t="s">
        <v>307</v>
      </c>
      <c r="C63" s="1">
        <v>11.95</v>
      </c>
      <c r="D63" s="1">
        <v>0.05</v>
      </c>
    </row>
    <row r="64" spans="1:4" x14ac:dyDescent="0.25">
      <c r="A64" s="1">
        <v>2448566.625</v>
      </c>
      <c r="B64" s="1" t="s">
        <v>308</v>
      </c>
      <c r="C64" s="1">
        <v>11.9</v>
      </c>
      <c r="D64" s="1">
        <v>0</v>
      </c>
    </row>
    <row r="65" spans="1:4" x14ac:dyDescent="0.25">
      <c r="A65" s="1">
        <v>2448597.12</v>
      </c>
      <c r="B65" s="1" t="s">
        <v>309</v>
      </c>
      <c r="C65" s="1">
        <v>11.85</v>
      </c>
      <c r="D65" s="1">
        <v>0.05</v>
      </c>
    </row>
    <row r="66" spans="1:4" x14ac:dyDescent="0.25">
      <c r="A66" s="1">
        <v>2448611.32333</v>
      </c>
      <c r="B66" s="1" t="s">
        <v>310</v>
      </c>
      <c r="C66" s="1">
        <v>11.966666999999999</v>
      </c>
      <c r="D66" s="1">
        <v>3.3333000000000002E-2</v>
      </c>
    </row>
    <row r="67" spans="1:4" x14ac:dyDescent="0.25">
      <c r="A67" s="1">
        <v>2448630.68138</v>
      </c>
      <c r="B67" s="1" t="s">
        <v>311</v>
      </c>
      <c r="C67" s="1">
        <v>11.353999999999999</v>
      </c>
      <c r="D67" s="1">
        <v>0.50151400000000002</v>
      </c>
    </row>
    <row r="68" spans="1:4" x14ac:dyDescent="0.25">
      <c r="A68" s="1">
        <v>2448651.7241199999</v>
      </c>
      <c r="B68" s="1" t="s">
        <v>312</v>
      </c>
      <c r="C68" s="1">
        <v>11.783333000000001</v>
      </c>
      <c r="D68" s="1">
        <v>6.5405000000000005E-2</v>
      </c>
    </row>
    <row r="69" spans="1:4" x14ac:dyDescent="0.25">
      <c r="A69" s="1">
        <v>2448664.8482499998</v>
      </c>
      <c r="B69" s="1" t="s">
        <v>313</v>
      </c>
      <c r="C69" s="1">
        <v>11.664999999999999</v>
      </c>
      <c r="D69" s="1">
        <v>0.101119</v>
      </c>
    </row>
    <row r="70" spans="1:4" x14ac:dyDescent="0.25">
      <c r="A70" s="1">
        <v>2448685.0038399999</v>
      </c>
      <c r="B70" s="1" t="s">
        <v>314</v>
      </c>
      <c r="C70" s="1">
        <v>11.508571</v>
      </c>
      <c r="D70" s="1">
        <v>8.1369999999999998E-2</v>
      </c>
    </row>
    <row r="71" spans="1:4" x14ac:dyDescent="0.25">
      <c r="A71" s="1">
        <v>2448710.9753800002</v>
      </c>
      <c r="B71" s="1" t="s">
        <v>315</v>
      </c>
      <c r="C71" s="1">
        <v>11.51</v>
      </c>
      <c r="D71" s="1">
        <v>7.8102000000000005E-2</v>
      </c>
    </row>
    <row r="72" spans="1:4" x14ac:dyDescent="0.25">
      <c r="A72" s="1">
        <v>2448743.8075000001</v>
      </c>
      <c r="B72" s="1" t="s">
        <v>218</v>
      </c>
      <c r="C72" s="1">
        <v>11.35</v>
      </c>
      <c r="D72" s="1">
        <v>8.6602999999999999E-2</v>
      </c>
    </row>
    <row r="73" spans="1:4" x14ac:dyDescent="0.25">
      <c r="A73" s="1">
        <v>2448763.73</v>
      </c>
      <c r="B73" s="1" t="s">
        <v>316</v>
      </c>
      <c r="C73" s="1">
        <v>11.1</v>
      </c>
      <c r="D73" s="1">
        <v>0</v>
      </c>
    </row>
    <row r="74" spans="1:4" x14ac:dyDescent="0.25">
      <c r="A74" s="1">
        <v>2448854.2599999998</v>
      </c>
      <c r="B74" s="1" t="s">
        <v>317</v>
      </c>
      <c r="C74" s="1">
        <v>11</v>
      </c>
      <c r="D74" s="1">
        <v>0</v>
      </c>
    </row>
    <row r="75" spans="1:4" x14ac:dyDescent="0.25">
      <c r="A75" s="1">
        <v>2448873.23</v>
      </c>
      <c r="B75" s="1" t="s">
        <v>318</v>
      </c>
      <c r="C75" s="1">
        <v>11.2</v>
      </c>
      <c r="D75" s="1">
        <v>0</v>
      </c>
    </row>
    <row r="76" spans="1:4" x14ac:dyDescent="0.25">
      <c r="A76" s="1">
        <v>2448893.1800000002</v>
      </c>
      <c r="B76" s="1" t="s">
        <v>319</v>
      </c>
      <c r="C76" s="1">
        <v>11.3</v>
      </c>
      <c r="D76" s="1">
        <v>5.7735000000000002E-2</v>
      </c>
    </row>
    <row r="77" spans="1:4" x14ac:dyDescent="0.25">
      <c r="A77" s="1">
        <v>2448931.12</v>
      </c>
      <c r="B77" s="1" t="s">
        <v>320</v>
      </c>
      <c r="C77" s="1">
        <v>11.7</v>
      </c>
      <c r="D77" s="1">
        <v>0</v>
      </c>
    </row>
    <row r="78" spans="1:4" x14ac:dyDescent="0.25">
      <c r="A78" s="1">
        <v>2448950.6924999999</v>
      </c>
      <c r="B78" s="1" t="s">
        <v>321</v>
      </c>
      <c r="C78" s="1">
        <v>11.9</v>
      </c>
      <c r="D78" s="1">
        <v>0</v>
      </c>
    </row>
    <row r="79" spans="1:4" x14ac:dyDescent="0.25">
      <c r="A79" s="1">
        <v>2448975.5449999999</v>
      </c>
      <c r="B79" s="1" t="s">
        <v>322</v>
      </c>
      <c r="C79" s="1">
        <v>11.9</v>
      </c>
      <c r="D79" s="1">
        <v>0</v>
      </c>
    </row>
    <row r="80" spans="1:4" x14ac:dyDescent="0.25">
      <c r="A80" s="1">
        <v>2448992.9350000001</v>
      </c>
      <c r="B80" s="1" t="s">
        <v>323</v>
      </c>
      <c r="C80" s="1">
        <v>11.85</v>
      </c>
      <c r="D80" s="1">
        <v>0.15</v>
      </c>
    </row>
    <row r="81" spans="1:4" x14ac:dyDescent="0.25">
      <c r="A81" s="1">
        <v>2449010.4449999998</v>
      </c>
      <c r="B81" s="1" t="s">
        <v>324</v>
      </c>
      <c r="C81" s="1">
        <v>11.95</v>
      </c>
      <c r="D81" s="1">
        <v>0.05</v>
      </c>
    </row>
    <row r="82" spans="1:4" x14ac:dyDescent="0.25">
      <c r="A82" s="1">
        <v>2449025.8539999998</v>
      </c>
      <c r="B82" s="1" t="s">
        <v>325</v>
      </c>
      <c r="C82" s="1">
        <v>11.66</v>
      </c>
      <c r="D82" s="1">
        <v>0.19899700000000001</v>
      </c>
    </row>
    <row r="83" spans="1:4" x14ac:dyDescent="0.25">
      <c r="A83" s="1">
        <v>2449041.7141499999</v>
      </c>
      <c r="B83" s="1" t="s">
        <v>326</v>
      </c>
      <c r="C83" s="1">
        <v>12</v>
      </c>
      <c r="D83" s="1">
        <v>2.3476E-2</v>
      </c>
    </row>
    <row r="84" spans="1:4" x14ac:dyDescent="0.25">
      <c r="A84" s="1">
        <v>2449063.2266000002</v>
      </c>
      <c r="B84" s="1" t="s">
        <v>327</v>
      </c>
      <c r="C84" s="1">
        <v>12.018462</v>
      </c>
      <c r="D84" s="1">
        <v>1.5723999999999998E-2</v>
      </c>
    </row>
    <row r="85" spans="1:4" x14ac:dyDescent="0.25">
      <c r="A85" s="1">
        <v>2449080.1564000002</v>
      </c>
      <c r="B85" s="1" t="s">
        <v>328</v>
      </c>
      <c r="C85" s="1">
        <v>11.925000000000001</v>
      </c>
      <c r="D85" s="1">
        <v>4.7870999999999997E-2</v>
      </c>
    </row>
    <row r="86" spans="1:4" x14ac:dyDescent="0.25">
      <c r="A86" s="1">
        <v>2449099.335</v>
      </c>
      <c r="B86" s="1" t="s">
        <v>329</v>
      </c>
      <c r="C86" s="1">
        <v>11.9</v>
      </c>
      <c r="D86" s="1">
        <v>0</v>
      </c>
    </row>
    <row r="87" spans="1:4" x14ac:dyDescent="0.25">
      <c r="A87" s="1">
        <v>2449126.4566700002</v>
      </c>
      <c r="B87" s="1" t="s">
        <v>330</v>
      </c>
      <c r="C87" s="1">
        <v>12.066667000000001</v>
      </c>
      <c r="D87" s="1">
        <v>8.8192000000000006E-2</v>
      </c>
    </row>
    <row r="88" spans="1:4" x14ac:dyDescent="0.25">
      <c r="A88" s="1">
        <v>2449148.77</v>
      </c>
      <c r="B88" s="1" t="s">
        <v>219</v>
      </c>
      <c r="C88" s="1">
        <v>12.3</v>
      </c>
      <c r="D88" s="1">
        <v>0</v>
      </c>
    </row>
    <row r="89" spans="1:4" x14ac:dyDescent="0.25">
      <c r="A89" s="1">
        <v>2449220.9300000002</v>
      </c>
      <c r="B89" s="1" t="s">
        <v>331</v>
      </c>
      <c r="C89" s="1">
        <v>11.866667</v>
      </c>
      <c r="D89" s="1">
        <v>3.3333000000000002E-2</v>
      </c>
    </row>
    <row r="90" spans="1:4" x14ac:dyDescent="0.25">
      <c r="A90" s="1">
        <v>2449236.71</v>
      </c>
      <c r="B90" s="1" t="s">
        <v>332</v>
      </c>
      <c r="C90" s="1">
        <v>11.95</v>
      </c>
      <c r="D90" s="1">
        <v>0.05</v>
      </c>
    </row>
    <row r="91" spans="1:4" x14ac:dyDescent="0.25">
      <c r="A91" s="1">
        <v>2449267.75</v>
      </c>
      <c r="B91" s="1" t="s">
        <v>333</v>
      </c>
      <c r="C91" s="1">
        <v>12.2</v>
      </c>
      <c r="D91" s="1">
        <v>0.152753</v>
      </c>
    </row>
    <row r="92" spans="1:4" x14ac:dyDescent="0.25">
      <c r="A92" s="1">
        <v>2449310.9109999998</v>
      </c>
      <c r="B92" s="1" t="s">
        <v>334</v>
      </c>
      <c r="C92" s="1">
        <v>12.033333000000001</v>
      </c>
      <c r="D92" s="1">
        <v>6.6667000000000004E-2</v>
      </c>
    </row>
    <row r="93" spans="1:4" x14ac:dyDescent="0.25">
      <c r="A93" s="1">
        <v>2449334.4874999998</v>
      </c>
      <c r="B93" s="1" t="s">
        <v>335</v>
      </c>
      <c r="C93" s="1">
        <v>12.35</v>
      </c>
      <c r="D93" s="1">
        <v>0.217945</v>
      </c>
    </row>
    <row r="94" spans="1:4" x14ac:dyDescent="0.25">
      <c r="A94" s="1">
        <v>2449347.3849999998</v>
      </c>
      <c r="B94" s="1" t="s">
        <v>336</v>
      </c>
      <c r="C94" s="1">
        <v>12</v>
      </c>
      <c r="D94" s="1">
        <v>5.7735000000000002E-2</v>
      </c>
    </row>
    <row r="95" spans="1:4" x14ac:dyDescent="0.25">
      <c r="A95" s="1">
        <v>2449366.202</v>
      </c>
      <c r="B95" s="1" t="s">
        <v>337</v>
      </c>
      <c r="C95" s="1">
        <v>12.02</v>
      </c>
      <c r="D95" s="1">
        <v>7.3484999999999995E-2</v>
      </c>
    </row>
    <row r="96" spans="1:4" x14ac:dyDescent="0.25">
      <c r="A96" s="1">
        <v>2449391.0434400002</v>
      </c>
      <c r="B96" s="1" t="s">
        <v>338</v>
      </c>
      <c r="C96" s="1">
        <v>12.355556</v>
      </c>
      <c r="D96" s="1">
        <v>5.0307999999999999E-2</v>
      </c>
    </row>
    <row r="97" spans="1:4" x14ac:dyDescent="0.25">
      <c r="A97" s="1">
        <v>2449414.6422000001</v>
      </c>
      <c r="B97" s="1" t="s">
        <v>339</v>
      </c>
      <c r="C97" s="1">
        <v>12.5</v>
      </c>
      <c r="D97" s="1">
        <v>5.4772000000000001E-2</v>
      </c>
    </row>
    <row r="98" spans="1:4" x14ac:dyDescent="0.25">
      <c r="A98" s="1">
        <v>2449424.34082</v>
      </c>
      <c r="B98" s="1" t="s">
        <v>340</v>
      </c>
      <c r="C98" s="1">
        <v>12.53</v>
      </c>
      <c r="D98" s="1">
        <v>7.8950999999999993E-2</v>
      </c>
    </row>
    <row r="99" spans="1:4" x14ac:dyDescent="0.25">
      <c r="A99" s="1">
        <v>2449446.2434100001</v>
      </c>
      <c r="B99" s="1" t="s">
        <v>341</v>
      </c>
      <c r="C99" s="1">
        <v>12.422222</v>
      </c>
      <c r="D99" s="1">
        <v>4.6481000000000001E-2</v>
      </c>
    </row>
    <row r="100" spans="1:4" x14ac:dyDescent="0.25">
      <c r="A100" s="1">
        <v>2449474.83</v>
      </c>
      <c r="B100" s="1" t="s">
        <v>342</v>
      </c>
      <c r="C100" s="1">
        <v>12</v>
      </c>
      <c r="D100" s="1">
        <v>0</v>
      </c>
    </row>
    <row r="101" spans="1:4" x14ac:dyDescent="0.25">
      <c r="A101" s="1">
        <v>2449493.29</v>
      </c>
      <c r="B101" s="1" t="s">
        <v>343</v>
      </c>
      <c r="C101" s="1">
        <v>12.7</v>
      </c>
      <c r="D101" s="1">
        <v>0.3</v>
      </c>
    </row>
    <row r="102" spans="1:4" x14ac:dyDescent="0.25">
      <c r="A102" s="1">
        <v>2449577.7549999999</v>
      </c>
      <c r="B102" s="1" t="s">
        <v>344</v>
      </c>
      <c r="C102" s="1">
        <v>12.2</v>
      </c>
      <c r="D102" s="1">
        <v>0</v>
      </c>
    </row>
    <row r="103" spans="1:4" x14ac:dyDescent="0.25">
      <c r="A103" s="1">
        <v>2449595.2349999999</v>
      </c>
      <c r="B103" s="1" t="s">
        <v>345</v>
      </c>
      <c r="C103" s="1">
        <v>12</v>
      </c>
      <c r="D103" s="1">
        <v>0.1</v>
      </c>
    </row>
    <row r="104" spans="1:4" x14ac:dyDescent="0.25">
      <c r="A104" s="1">
        <v>2449623.16</v>
      </c>
      <c r="B104" s="1" t="s">
        <v>346</v>
      </c>
      <c r="C104" s="1">
        <v>12.2</v>
      </c>
      <c r="D104" s="1">
        <v>0</v>
      </c>
    </row>
    <row r="105" spans="1:4" x14ac:dyDescent="0.25">
      <c r="A105" s="1">
        <v>2449637.8294700002</v>
      </c>
      <c r="B105" s="1" t="s">
        <v>347</v>
      </c>
      <c r="C105" s="1">
        <v>12.066667000000001</v>
      </c>
      <c r="D105" s="1">
        <v>3.3333000000000002E-2</v>
      </c>
    </row>
    <row r="106" spans="1:4" x14ac:dyDescent="0.25">
      <c r="A106" s="1">
        <v>2449659.21074</v>
      </c>
      <c r="B106" s="1" t="s">
        <v>348</v>
      </c>
      <c r="C106" s="1">
        <v>12.14</v>
      </c>
      <c r="D106" s="1">
        <v>0.04</v>
      </c>
    </row>
    <row r="107" spans="1:4" x14ac:dyDescent="0.25">
      <c r="A107" s="1">
        <v>2449685.1299000001</v>
      </c>
      <c r="B107" s="1" t="s">
        <v>349</v>
      </c>
      <c r="C107" s="1">
        <v>12.1</v>
      </c>
      <c r="D107" s="1">
        <v>0</v>
      </c>
    </row>
    <row r="108" spans="1:4" x14ac:dyDescent="0.25">
      <c r="A108" s="1">
        <v>2449694.4180200002</v>
      </c>
      <c r="B108" s="1" t="s">
        <v>350</v>
      </c>
      <c r="C108" s="1">
        <v>12.04</v>
      </c>
      <c r="D108" s="1">
        <v>9.7979999999999998E-2</v>
      </c>
    </row>
    <row r="109" spans="1:4" x14ac:dyDescent="0.25">
      <c r="A109" s="1">
        <v>2449717.1348100002</v>
      </c>
      <c r="B109" s="1" t="s">
        <v>351</v>
      </c>
      <c r="C109" s="1">
        <v>12.095000000000001</v>
      </c>
      <c r="D109" s="1">
        <v>7.6694999999999999E-2</v>
      </c>
    </row>
    <row r="110" spans="1:4" x14ac:dyDescent="0.25">
      <c r="A110" s="1">
        <v>2449728.6737000002</v>
      </c>
      <c r="B110" s="1" t="s">
        <v>352</v>
      </c>
      <c r="C110" s="1">
        <v>11.992000000000001</v>
      </c>
      <c r="D110" s="1">
        <v>8.4047999999999998E-2</v>
      </c>
    </row>
    <row r="111" spans="1:4" x14ac:dyDescent="0.25">
      <c r="A111" s="1">
        <v>2449748.1934500001</v>
      </c>
      <c r="B111" s="1" t="s">
        <v>353</v>
      </c>
      <c r="C111" s="1">
        <v>12.062856999999999</v>
      </c>
      <c r="D111" s="1">
        <v>5.8652000000000003E-2</v>
      </c>
    </row>
    <row r="112" spans="1:4" x14ac:dyDescent="0.25">
      <c r="A112" s="1">
        <v>2449764.1976600001</v>
      </c>
      <c r="B112" s="1" t="s">
        <v>354</v>
      </c>
      <c r="C112" s="1">
        <v>12.15</v>
      </c>
      <c r="D112" s="1">
        <v>5.6695000000000002E-2</v>
      </c>
    </row>
    <row r="113" spans="1:4" x14ac:dyDescent="0.25">
      <c r="A113" s="1">
        <v>2449780.2761900001</v>
      </c>
      <c r="B113" s="1" t="s">
        <v>355</v>
      </c>
      <c r="C113" s="1">
        <v>12.096875000000001</v>
      </c>
      <c r="D113" s="1">
        <v>6.3323000000000004E-2</v>
      </c>
    </row>
    <row r="114" spans="1:4" x14ac:dyDescent="0.25">
      <c r="A114" s="1">
        <v>2449796.2590200002</v>
      </c>
      <c r="B114" s="1" t="s">
        <v>356</v>
      </c>
      <c r="C114" s="1">
        <v>12.383333</v>
      </c>
      <c r="D114" s="1">
        <v>0.1</v>
      </c>
    </row>
    <row r="115" spans="1:4" x14ac:dyDescent="0.25">
      <c r="A115" s="1">
        <v>2449811.2833699998</v>
      </c>
      <c r="B115" s="1" t="s">
        <v>357</v>
      </c>
      <c r="C115" s="1">
        <v>12.385714</v>
      </c>
      <c r="D115" s="1">
        <v>0.114286</v>
      </c>
    </row>
    <row r="116" spans="1:4" x14ac:dyDescent="0.25">
      <c r="A116" s="1">
        <v>2449837.8174000001</v>
      </c>
      <c r="B116" s="1" t="s">
        <v>358</v>
      </c>
      <c r="C116" s="1">
        <v>12.15</v>
      </c>
      <c r="D116" s="1">
        <v>0.15</v>
      </c>
    </row>
    <row r="117" spans="1:4" x14ac:dyDescent="0.25">
      <c r="A117" s="1">
        <v>2449855.8075999999</v>
      </c>
      <c r="B117" s="1" t="s">
        <v>359</v>
      </c>
      <c r="C117" s="1">
        <v>12.2</v>
      </c>
      <c r="D117" s="1">
        <v>0</v>
      </c>
    </row>
    <row r="118" spans="1:4" x14ac:dyDescent="0.25">
      <c r="A118" s="1">
        <v>2449873.7832999998</v>
      </c>
      <c r="B118" s="1" t="s">
        <v>360</v>
      </c>
      <c r="C118" s="1">
        <v>12.1</v>
      </c>
      <c r="D118" s="1">
        <v>0</v>
      </c>
    </row>
    <row r="119" spans="1:4" x14ac:dyDescent="0.25">
      <c r="A119" s="1">
        <v>2449953.8416800001</v>
      </c>
      <c r="B119" s="1" t="s">
        <v>361</v>
      </c>
      <c r="C119" s="1">
        <v>11.44</v>
      </c>
      <c r="D119" s="1">
        <v>2.4494999999999999E-2</v>
      </c>
    </row>
    <row r="120" spans="1:4" x14ac:dyDescent="0.25">
      <c r="A120" s="1">
        <v>2449975.96215</v>
      </c>
      <c r="B120" s="1" t="s">
        <v>362</v>
      </c>
      <c r="C120" s="1">
        <v>11.425000000000001</v>
      </c>
      <c r="D120" s="1">
        <v>6.2914999999999999E-2</v>
      </c>
    </row>
    <row r="121" spans="1:4" x14ac:dyDescent="0.25">
      <c r="A121" s="1">
        <v>2449998.4312200001</v>
      </c>
      <c r="B121" s="1" t="s">
        <v>363</v>
      </c>
      <c r="C121" s="1">
        <v>11.175000000000001</v>
      </c>
      <c r="D121" s="1">
        <v>4.7870999999999997E-2</v>
      </c>
    </row>
    <row r="122" spans="1:4" x14ac:dyDescent="0.25">
      <c r="A122" s="1">
        <v>2450012.3038599999</v>
      </c>
      <c r="B122" s="1" t="s">
        <v>364</v>
      </c>
      <c r="C122" s="1">
        <v>11.128571000000001</v>
      </c>
      <c r="D122" s="1">
        <v>0.106266</v>
      </c>
    </row>
    <row r="123" spans="1:4" x14ac:dyDescent="0.25">
      <c r="A123" s="1">
        <v>2450027.2851300002</v>
      </c>
      <c r="B123" s="1" t="s">
        <v>365</v>
      </c>
      <c r="C123" s="1">
        <v>10.8375</v>
      </c>
      <c r="D123" s="1">
        <v>0.15804299999999999</v>
      </c>
    </row>
    <row r="124" spans="1:4" x14ac:dyDescent="0.25">
      <c r="A124" s="1">
        <v>2450043.3086899999</v>
      </c>
      <c r="B124" s="1" t="s">
        <v>366</v>
      </c>
      <c r="C124" s="1">
        <v>11.256</v>
      </c>
      <c r="D124" s="1">
        <v>7.1355000000000002E-2</v>
      </c>
    </row>
    <row r="125" spans="1:4" x14ac:dyDescent="0.25">
      <c r="A125" s="1">
        <v>2450062.1970000002</v>
      </c>
      <c r="B125" s="1" t="s">
        <v>367</v>
      </c>
      <c r="C125" s="1">
        <v>11.133333</v>
      </c>
      <c r="D125" s="1">
        <v>8.8192000000000006E-2</v>
      </c>
    </row>
    <row r="126" spans="1:4" x14ac:dyDescent="0.25">
      <c r="A126" s="1">
        <v>2450076.4206500002</v>
      </c>
      <c r="B126" s="1" t="s">
        <v>368</v>
      </c>
      <c r="C126" s="1">
        <v>11.32</v>
      </c>
      <c r="D126" s="1">
        <v>0.10577300000000001</v>
      </c>
    </row>
    <row r="127" spans="1:4" x14ac:dyDescent="0.25">
      <c r="A127" s="1">
        <v>2450099.7725300002</v>
      </c>
      <c r="B127" s="1" t="s">
        <v>369</v>
      </c>
      <c r="C127" s="1">
        <v>11.216666999999999</v>
      </c>
      <c r="D127" s="1">
        <v>9.1976000000000002E-2</v>
      </c>
    </row>
    <row r="128" spans="1:4" x14ac:dyDescent="0.25">
      <c r="A128" s="1">
        <v>2450113.9078899999</v>
      </c>
      <c r="B128" s="1" t="s">
        <v>370</v>
      </c>
      <c r="C128" s="1">
        <v>11.583333</v>
      </c>
      <c r="D128" s="1">
        <v>9.7894999999999996E-2</v>
      </c>
    </row>
    <row r="129" spans="1:4" x14ac:dyDescent="0.25">
      <c r="A129" s="1">
        <v>2450131.5517600002</v>
      </c>
      <c r="B129" s="1" t="s">
        <v>371</v>
      </c>
      <c r="C129" s="1">
        <v>11.515385</v>
      </c>
      <c r="D129" s="1">
        <v>9.1879000000000002E-2</v>
      </c>
    </row>
    <row r="130" spans="1:4" x14ac:dyDescent="0.25">
      <c r="A130" s="1">
        <v>2450148.6210099999</v>
      </c>
      <c r="B130" s="1" t="s">
        <v>372</v>
      </c>
      <c r="C130" s="1">
        <v>11.613333000000001</v>
      </c>
      <c r="D130" s="1">
        <v>7.9302999999999998E-2</v>
      </c>
    </row>
    <row r="131" spans="1:4" x14ac:dyDescent="0.25">
      <c r="A131" s="1">
        <v>2450166.0555400001</v>
      </c>
      <c r="B131" s="1" t="s">
        <v>373</v>
      </c>
      <c r="C131" s="1">
        <v>11.5</v>
      </c>
      <c r="D131" s="1">
        <v>4.4720999999999997E-2</v>
      </c>
    </row>
    <row r="132" spans="1:4" x14ac:dyDescent="0.25">
      <c r="A132" s="1">
        <v>2450187.4259600001</v>
      </c>
      <c r="B132" s="1" t="s">
        <v>374</v>
      </c>
      <c r="C132" s="1">
        <v>11.814285999999999</v>
      </c>
      <c r="D132" s="1">
        <v>0.129887</v>
      </c>
    </row>
    <row r="133" spans="1:4" x14ac:dyDescent="0.25">
      <c r="A133" s="1">
        <v>2450215.08733</v>
      </c>
      <c r="B133" s="1" t="s">
        <v>375</v>
      </c>
      <c r="C133" s="1">
        <v>11.9</v>
      </c>
      <c r="D133" s="1">
        <v>0.13540099999999999</v>
      </c>
    </row>
    <row r="134" spans="1:4" x14ac:dyDescent="0.25">
      <c r="A134" s="1">
        <v>2450241.7895999998</v>
      </c>
      <c r="B134" s="1" t="s">
        <v>376</v>
      </c>
      <c r="C134" s="1">
        <v>11.8</v>
      </c>
      <c r="D134" s="1">
        <v>0</v>
      </c>
    </row>
    <row r="135" spans="1:4" x14ac:dyDescent="0.25">
      <c r="A135" s="1">
        <v>2450314.2595799998</v>
      </c>
      <c r="B135" s="1" t="s">
        <v>377</v>
      </c>
      <c r="C135" s="1">
        <v>12</v>
      </c>
      <c r="D135" s="1">
        <v>7.0710999999999996E-2</v>
      </c>
    </row>
    <row r="136" spans="1:4" x14ac:dyDescent="0.25">
      <c r="A136" s="1">
        <v>2450337.216</v>
      </c>
      <c r="B136" s="1" t="s">
        <v>378</v>
      </c>
      <c r="C136" s="1">
        <v>12.2</v>
      </c>
      <c r="D136" s="1">
        <v>0</v>
      </c>
    </row>
    <row r="137" spans="1:4" x14ac:dyDescent="0.25">
      <c r="A137" s="1">
        <v>2450348.3552799998</v>
      </c>
      <c r="B137" s="1" t="s">
        <v>379</v>
      </c>
      <c r="C137" s="1">
        <v>12.02</v>
      </c>
      <c r="D137" s="1">
        <v>5.8310000000000001E-2</v>
      </c>
    </row>
    <row r="138" spans="1:4" x14ac:dyDescent="0.25">
      <c r="A138" s="1">
        <v>2450367.9712</v>
      </c>
      <c r="B138" s="1" t="s">
        <v>380</v>
      </c>
      <c r="C138" s="1">
        <v>12.066667000000001</v>
      </c>
      <c r="D138" s="1">
        <v>4.2164E-2</v>
      </c>
    </row>
    <row r="139" spans="1:4" x14ac:dyDescent="0.25">
      <c r="A139" s="1">
        <v>2450383.6875</v>
      </c>
      <c r="B139" s="1" t="s">
        <v>381</v>
      </c>
      <c r="C139" s="1">
        <v>12.05</v>
      </c>
      <c r="D139" s="1">
        <v>0.05</v>
      </c>
    </row>
    <row r="140" spans="1:4" x14ac:dyDescent="0.25">
      <c r="A140" s="1">
        <v>2450400.6413500002</v>
      </c>
      <c r="B140" s="1" t="s">
        <v>382</v>
      </c>
      <c r="C140" s="1">
        <v>12.112500000000001</v>
      </c>
      <c r="D140" s="1">
        <v>2.9505E-2</v>
      </c>
    </row>
    <row r="141" spans="1:4" x14ac:dyDescent="0.25">
      <c r="A141" s="1">
        <v>2450424.7733100001</v>
      </c>
      <c r="B141" s="1" t="s">
        <v>383</v>
      </c>
      <c r="C141" s="1">
        <v>12.042857</v>
      </c>
      <c r="D141" s="1">
        <v>2.9116E-2</v>
      </c>
    </row>
    <row r="142" spans="1:4" x14ac:dyDescent="0.25">
      <c r="A142" s="1">
        <v>2450444.3977600001</v>
      </c>
      <c r="B142" s="1" t="s">
        <v>384</v>
      </c>
      <c r="C142" s="1">
        <v>12.071429</v>
      </c>
      <c r="D142" s="1">
        <v>3.5951999999999998E-2</v>
      </c>
    </row>
    <row r="143" spans="1:4" x14ac:dyDescent="0.25">
      <c r="A143" s="1">
        <v>2450457.0212900001</v>
      </c>
      <c r="B143" s="1" t="s">
        <v>385</v>
      </c>
      <c r="C143" s="1">
        <v>12.160588000000001</v>
      </c>
      <c r="D143" s="1">
        <v>3.2680000000000001E-2</v>
      </c>
    </row>
    <row r="144" spans="1:4" x14ac:dyDescent="0.25">
      <c r="A144" s="1">
        <v>2450474.7030199999</v>
      </c>
      <c r="B144" s="1" t="s">
        <v>386</v>
      </c>
      <c r="C144" s="1">
        <v>12.125</v>
      </c>
      <c r="D144" s="1">
        <v>2.5000000000000001E-2</v>
      </c>
    </row>
    <row r="145" spans="1:4" x14ac:dyDescent="0.25">
      <c r="A145" s="1">
        <v>2450487.9482900002</v>
      </c>
      <c r="B145" s="1" t="s">
        <v>387</v>
      </c>
      <c r="C145" s="1">
        <v>12.212104999999999</v>
      </c>
      <c r="D145" s="1">
        <v>2.3202E-2</v>
      </c>
    </row>
    <row r="146" spans="1:4" x14ac:dyDescent="0.25">
      <c r="A146" s="1">
        <v>2450512.46563</v>
      </c>
      <c r="B146" s="1" t="s">
        <v>388</v>
      </c>
      <c r="C146" s="1">
        <v>12.358333</v>
      </c>
      <c r="D146" s="1">
        <v>3.7856000000000001E-2</v>
      </c>
    </row>
    <row r="147" spans="1:4" x14ac:dyDescent="0.25">
      <c r="A147" s="1">
        <v>2450522.5408800002</v>
      </c>
      <c r="B147" s="1" t="s">
        <v>220</v>
      </c>
      <c r="C147" s="1">
        <v>12.254545</v>
      </c>
      <c r="D147" s="1">
        <v>3.4014999999999997E-2</v>
      </c>
    </row>
    <row r="148" spans="1:4" x14ac:dyDescent="0.25">
      <c r="A148" s="1">
        <v>2450542.1957999999</v>
      </c>
      <c r="B148" s="1" t="s">
        <v>389</v>
      </c>
      <c r="C148" s="1">
        <v>12.253845999999999</v>
      </c>
      <c r="D148" s="1">
        <v>1.8311000000000001E-2</v>
      </c>
    </row>
    <row r="149" spans="1:4" x14ac:dyDescent="0.25">
      <c r="A149" s="1">
        <v>2450561.7674500002</v>
      </c>
      <c r="B149" s="1" t="s">
        <v>390</v>
      </c>
      <c r="C149" s="1">
        <v>12.324999999999999</v>
      </c>
      <c r="D149" s="1">
        <v>4.7870999999999997E-2</v>
      </c>
    </row>
    <row r="150" spans="1:4" x14ac:dyDescent="0.25">
      <c r="A150" s="1">
        <v>2450578.2012</v>
      </c>
      <c r="B150" s="1" t="s">
        <v>391</v>
      </c>
      <c r="C150" s="1">
        <v>12.425000000000001</v>
      </c>
      <c r="D150" s="1">
        <v>2.5000000000000001E-2</v>
      </c>
    </row>
    <row r="151" spans="1:4" x14ac:dyDescent="0.25">
      <c r="A151" s="1">
        <v>2450600.86527</v>
      </c>
      <c r="B151" s="1" t="s">
        <v>392</v>
      </c>
      <c r="C151" s="1">
        <v>12.433332999999999</v>
      </c>
      <c r="D151" s="1">
        <v>3.3333000000000002E-2</v>
      </c>
    </row>
    <row r="152" spans="1:4" x14ac:dyDescent="0.25">
      <c r="A152" s="1">
        <v>2450666.9367999998</v>
      </c>
      <c r="B152" s="1" t="s">
        <v>393</v>
      </c>
      <c r="C152" s="1">
        <v>12.666667</v>
      </c>
      <c r="D152" s="1">
        <v>0.17638300000000001</v>
      </c>
    </row>
    <row r="153" spans="1:4" x14ac:dyDescent="0.25">
      <c r="A153" s="1">
        <v>2450683.2365000001</v>
      </c>
      <c r="B153" s="1" t="s">
        <v>394</v>
      </c>
      <c r="C153" s="1">
        <v>12.5</v>
      </c>
      <c r="D153" s="1">
        <v>0.2</v>
      </c>
    </row>
    <row r="154" spans="1:4" x14ac:dyDescent="0.25">
      <c r="A154" s="1">
        <v>2450702.2503499999</v>
      </c>
      <c r="B154" s="1" t="s">
        <v>395</v>
      </c>
      <c r="C154" s="1">
        <v>12.35</v>
      </c>
      <c r="D154" s="1">
        <v>2.8868000000000001E-2</v>
      </c>
    </row>
    <row r="155" spans="1:4" x14ac:dyDescent="0.25">
      <c r="A155" s="1">
        <v>2450722.8485099999</v>
      </c>
      <c r="B155" s="1" t="s">
        <v>221</v>
      </c>
      <c r="C155" s="1">
        <v>12.342857</v>
      </c>
      <c r="D155" s="1">
        <v>4.2856999999999999E-2</v>
      </c>
    </row>
    <row r="156" spans="1:4" x14ac:dyDescent="0.25">
      <c r="A156" s="1">
        <v>2450742.4655599999</v>
      </c>
      <c r="B156" s="1" t="s">
        <v>396</v>
      </c>
      <c r="C156" s="1">
        <v>12.3</v>
      </c>
      <c r="D156" s="1">
        <v>4.4720999999999997E-2</v>
      </c>
    </row>
    <row r="157" spans="1:4" x14ac:dyDescent="0.25">
      <c r="A157" s="1">
        <v>2450754.72254</v>
      </c>
      <c r="B157" s="1" t="s">
        <v>397</v>
      </c>
      <c r="C157" s="1">
        <v>12.4</v>
      </c>
      <c r="D157" s="1">
        <v>2.3570000000000001E-2</v>
      </c>
    </row>
    <row r="158" spans="1:4" x14ac:dyDescent="0.25">
      <c r="A158" s="1">
        <v>2450778.7480000001</v>
      </c>
      <c r="B158" s="1" t="s">
        <v>398</v>
      </c>
      <c r="C158" s="1">
        <v>12.275</v>
      </c>
      <c r="D158" s="1">
        <v>2.7865999999999998E-2</v>
      </c>
    </row>
    <row r="159" spans="1:4" x14ac:dyDescent="0.25">
      <c r="A159" s="1">
        <v>2450794.3023299999</v>
      </c>
      <c r="B159" s="1" t="s">
        <v>399</v>
      </c>
      <c r="C159" s="1">
        <v>12.266667</v>
      </c>
      <c r="D159" s="1">
        <v>8.8192000000000006E-2</v>
      </c>
    </row>
    <row r="160" spans="1:4" x14ac:dyDescent="0.25">
      <c r="A160" s="1">
        <v>2450813.08188</v>
      </c>
      <c r="B160" s="1" t="s">
        <v>400</v>
      </c>
      <c r="C160" s="1">
        <v>12.535714</v>
      </c>
      <c r="D160" s="1">
        <v>8.0934000000000006E-2</v>
      </c>
    </row>
    <row r="161" spans="1:4" x14ac:dyDescent="0.25">
      <c r="A161" s="1">
        <v>2450830.6126100002</v>
      </c>
      <c r="B161" s="1" t="s">
        <v>222</v>
      </c>
      <c r="C161" s="1">
        <v>12.6625</v>
      </c>
      <c r="D161" s="1">
        <v>0.231407</v>
      </c>
    </row>
    <row r="162" spans="1:4" x14ac:dyDescent="0.25">
      <c r="A162" s="1">
        <v>2450844.54427</v>
      </c>
      <c r="B162" s="1" t="s">
        <v>401</v>
      </c>
      <c r="C162" s="1">
        <v>12.4125</v>
      </c>
      <c r="D162" s="1">
        <v>7.0637000000000005E-2</v>
      </c>
    </row>
    <row r="163" spans="1:4" x14ac:dyDescent="0.25">
      <c r="A163" s="1">
        <v>2450864.1880199998</v>
      </c>
      <c r="B163" s="1" t="s">
        <v>402</v>
      </c>
      <c r="C163" s="1">
        <v>12.138462000000001</v>
      </c>
      <c r="D163" s="1">
        <v>6.2571000000000002E-2</v>
      </c>
    </row>
    <row r="164" spans="1:4" x14ac:dyDescent="0.25">
      <c r="A164" s="1">
        <v>2450875.8282499998</v>
      </c>
      <c r="B164" s="1" t="s">
        <v>223</v>
      </c>
      <c r="C164" s="1">
        <v>12.038462000000001</v>
      </c>
      <c r="D164" s="1">
        <v>3.3085999999999997E-2</v>
      </c>
    </row>
    <row r="165" spans="1:4" x14ac:dyDescent="0.25">
      <c r="A165" s="1">
        <v>2450893.8711600001</v>
      </c>
      <c r="B165" s="1" t="s">
        <v>403</v>
      </c>
      <c r="C165" s="1">
        <v>12.169231</v>
      </c>
      <c r="D165" s="1">
        <v>1.7485000000000001E-2</v>
      </c>
    </row>
    <row r="166" spans="1:4" x14ac:dyDescent="0.25">
      <c r="A166" s="1">
        <v>2450908.6800000002</v>
      </c>
      <c r="B166" s="1" t="s">
        <v>404</v>
      </c>
      <c r="C166" s="1">
        <v>12.244444</v>
      </c>
      <c r="D166" s="1">
        <v>4.7467000000000002E-2</v>
      </c>
    </row>
    <row r="167" spans="1:4" x14ac:dyDescent="0.25">
      <c r="A167" s="1">
        <v>2450923.70151</v>
      </c>
      <c r="B167" s="1" t="s">
        <v>405</v>
      </c>
      <c r="C167" s="1">
        <v>12.263636</v>
      </c>
      <c r="D167" s="1">
        <v>2.0327999999999999E-2</v>
      </c>
    </row>
    <row r="168" spans="1:4" x14ac:dyDescent="0.25">
      <c r="A168" s="1">
        <v>2450951.8714999999</v>
      </c>
      <c r="B168" s="1" t="s">
        <v>406</v>
      </c>
      <c r="C168" s="1">
        <v>12.4</v>
      </c>
      <c r="D168" s="1">
        <v>0</v>
      </c>
    </row>
    <row r="169" spans="1:4" x14ac:dyDescent="0.25">
      <c r="A169" s="1">
        <v>2451051.25862</v>
      </c>
      <c r="B169" s="1" t="s">
        <v>407</v>
      </c>
      <c r="C169" s="1">
        <v>11.96</v>
      </c>
      <c r="D169" s="1">
        <v>5.0990000000000001E-2</v>
      </c>
    </row>
    <row r="170" spans="1:4" x14ac:dyDescent="0.25">
      <c r="A170" s="1">
        <v>2451072.8995699999</v>
      </c>
      <c r="B170" s="1" t="s">
        <v>408</v>
      </c>
      <c r="C170" s="1">
        <v>12.166667</v>
      </c>
      <c r="D170" s="1">
        <v>3.3333000000000002E-2</v>
      </c>
    </row>
    <row r="171" spans="1:4" x14ac:dyDescent="0.25">
      <c r="A171" s="1">
        <v>2451087.79397</v>
      </c>
      <c r="B171" s="1" t="s">
        <v>409</v>
      </c>
      <c r="C171" s="1">
        <v>12.233333</v>
      </c>
      <c r="D171" s="1">
        <v>6.6667000000000004E-2</v>
      </c>
    </row>
    <row r="172" spans="1:4" x14ac:dyDescent="0.25">
      <c r="A172" s="1">
        <v>2451105.4877300002</v>
      </c>
      <c r="B172" s="1" t="s">
        <v>410</v>
      </c>
      <c r="C172" s="1">
        <v>12.266667</v>
      </c>
      <c r="D172" s="1">
        <v>3.3333000000000002E-2</v>
      </c>
    </row>
    <row r="173" spans="1:4" x14ac:dyDescent="0.25">
      <c r="A173" s="1">
        <v>2451121.77208</v>
      </c>
      <c r="B173" s="1" t="s">
        <v>411</v>
      </c>
      <c r="C173" s="1">
        <v>12.22</v>
      </c>
      <c r="D173" s="1">
        <v>3.7416999999999999E-2</v>
      </c>
    </row>
    <row r="174" spans="1:4" x14ac:dyDescent="0.25">
      <c r="A174" s="1">
        <v>2451139.1337199998</v>
      </c>
      <c r="B174" s="1" t="s">
        <v>412</v>
      </c>
      <c r="C174" s="1">
        <v>12.163636</v>
      </c>
      <c r="D174" s="1">
        <v>2.7872000000000001E-2</v>
      </c>
    </row>
    <row r="175" spans="1:4" x14ac:dyDescent="0.25">
      <c r="A175" s="1">
        <v>2451162.0216100002</v>
      </c>
      <c r="B175" s="1" t="s">
        <v>413</v>
      </c>
      <c r="C175" s="1">
        <v>12.122222000000001</v>
      </c>
      <c r="D175" s="1">
        <v>4.3389999999999998E-2</v>
      </c>
    </row>
    <row r="176" spans="1:4" x14ac:dyDescent="0.25">
      <c r="A176" s="1">
        <v>2451177.70652</v>
      </c>
      <c r="B176" s="1" t="s">
        <v>414</v>
      </c>
      <c r="C176" s="1">
        <v>11.823077</v>
      </c>
      <c r="D176" s="1">
        <v>8.0186999999999994E-2</v>
      </c>
    </row>
    <row r="177" spans="1:4" x14ac:dyDescent="0.25">
      <c r="A177" s="1">
        <v>2451193.7469199998</v>
      </c>
      <c r="B177" s="1" t="s">
        <v>415</v>
      </c>
      <c r="C177" s="1">
        <v>11.475</v>
      </c>
      <c r="D177" s="1">
        <v>5.9167999999999998E-2</v>
      </c>
    </row>
    <row r="178" spans="1:4" x14ac:dyDescent="0.25">
      <c r="A178" s="1">
        <v>2451209.2983499998</v>
      </c>
      <c r="B178" s="1" t="s">
        <v>224</v>
      </c>
      <c r="C178" s="1">
        <v>10.687333000000001</v>
      </c>
      <c r="D178" s="1">
        <v>8.6851999999999999E-2</v>
      </c>
    </row>
    <row r="179" spans="1:4" x14ac:dyDescent="0.25">
      <c r="A179" s="1">
        <v>2451224.8086799998</v>
      </c>
      <c r="B179" s="1" t="s">
        <v>416</v>
      </c>
      <c r="C179" s="1">
        <v>10.447143000000001</v>
      </c>
      <c r="D179" s="1">
        <v>5.7711999999999999E-2</v>
      </c>
    </row>
    <row r="180" spans="1:4" x14ac:dyDescent="0.25">
      <c r="A180" s="1">
        <v>2451242.9519000002</v>
      </c>
      <c r="B180" s="1" t="s">
        <v>417</v>
      </c>
      <c r="C180" s="1">
        <v>10.295624999999999</v>
      </c>
      <c r="D180" s="1">
        <v>5.2542999999999999E-2</v>
      </c>
    </row>
    <row r="181" spans="1:4" x14ac:dyDescent="0.25">
      <c r="A181" s="1">
        <v>2451254.23043</v>
      </c>
      <c r="B181" s="1" t="s">
        <v>418</v>
      </c>
      <c r="C181" s="1">
        <v>10.187059</v>
      </c>
      <c r="D181" s="1">
        <v>4.2250999999999997E-2</v>
      </c>
    </row>
    <row r="182" spans="1:4" x14ac:dyDescent="0.25">
      <c r="A182" s="1">
        <v>2451275.88001</v>
      </c>
      <c r="B182" s="1" t="s">
        <v>419</v>
      </c>
      <c r="C182" s="1">
        <v>10.113333000000001</v>
      </c>
      <c r="D182" s="1">
        <v>5.509E-2</v>
      </c>
    </row>
    <row r="183" spans="1:4" x14ac:dyDescent="0.25">
      <c r="A183" s="1">
        <v>2451287.68138</v>
      </c>
      <c r="B183" s="1" t="s">
        <v>420</v>
      </c>
      <c r="C183" s="1">
        <v>10.007692</v>
      </c>
      <c r="D183" s="1">
        <v>7.2023000000000004E-2</v>
      </c>
    </row>
    <row r="184" spans="1:4" x14ac:dyDescent="0.25">
      <c r="A184" s="1">
        <v>2451306.5789000001</v>
      </c>
      <c r="B184" s="1" t="s">
        <v>421</v>
      </c>
      <c r="C184" s="1">
        <v>9.9600000000000009</v>
      </c>
      <c r="D184" s="1">
        <v>4.2687000000000003E-2</v>
      </c>
    </row>
    <row r="185" spans="1:4" x14ac:dyDescent="0.25">
      <c r="A185" s="1">
        <v>2451332.8239500001</v>
      </c>
      <c r="B185" s="1" t="s">
        <v>422</v>
      </c>
      <c r="C185" s="1">
        <v>10.35</v>
      </c>
      <c r="D185" s="1">
        <v>0.05</v>
      </c>
    </row>
    <row r="186" spans="1:4" x14ac:dyDescent="0.25">
      <c r="A186" s="1">
        <v>2451408.91603</v>
      </c>
      <c r="B186" s="1" t="s">
        <v>423</v>
      </c>
      <c r="C186" s="1">
        <v>10.666667</v>
      </c>
      <c r="D186" s="1">
        <v>3.3333000000000002E-2</v>
      </c>
    </row>
    <row r="187" spans="1:4" x14ac:dyDescent="0.25">
      <c r="A187" s="1">
        <v>2451427.5995299998</v>
      </c>
      <c r="B187" s="1" t="s">
        <v>424</v>
      </c>
      <c r="C187" s="1">
        <v>10.5</v>
      </c>
      <c r="D187" s="1">
        <v>5.7735000000000002E-2</v>
      </c>
    </row>
    <row r="188" spans="1:4" x14ac:dyDescent="0.25">
      <c r="A188" s="1">
        <v>2451443.4345800001</v>
      </c>
      <c r="B188" s="1" t="s">
        <v>425</v>
      </c>
      <c r="C188" s="1">
        <v>10.58</v>
      </c>
      <c r="D188" s="1">
        <v>3.7416999999999999E-2</v>
      </c>
    </row>
    <row r="189" spans="1:4" x14ac:dyDescent="0.25">
      <c r="A189" s="1">
        <v>2451460.8709499999</v>
      </c>
      <c r="B189" s="1" t="s">
        <v>426</v>
      </c>
      <c r="C189" s="1">
        <v>10.833333</v>
      </c>
      <c r="D189" s="1">
        <v>5.5777E-2</v>
      </c>
    </row>
    <row r="190" spans="1:4" x14ac:dyDescent="0.25">
      <c r="A190" s="1">
        <v>2451493.56916</v>
      </c>
      <c r="B190" s="1" t="s">
        <v>427</v>
      </c>
      <c r="C190" s="1">
        <v>11.06</v>
      </c>
      <c r="D190" s="1">
        <v>0.14696899999999999</v>
      </c>
    </row>
    <row r="191" spans="1:4" x14ac:dyDescent="0.25">
      <c r="A191" s="1">
        <v>2451505.1455799998</v>
      </c>
      <c r="B191" s="1" t="s">
        <v>428</v>
      </c>
      <c r="C191" s="1">
        <v>10.96</v>
      </c>
      <c r="D191" s="1">
        <v>0.136382</v>
      </c>
    </row>
    <row r="192" spans="1:4" x14ac:dyDescent="0.25">
      <c r="A192" s="1">
        <v>2451525.8432800001</v>
      </c>
      <c r="B192" s="1" t="s">
        <v>429</v>
      </c>
      <c r="C192" s="1">
        <v>11.277778</v>
      </c>
      <c r="D192" s="1">
        <v>9.3952999999999995E-2</v>
      </c>
    </row>
    <row r="193" spans="1:4" x14ac:dyDescent="0.25">
      <c r="A193" s="1">
        <v>2451548.47022</v>
      </c>
      <c r="B193" s="1" t="s">
        <v>430</v>
      </c>
      <c r="C193" s="1">
        <v>11.556364</v>
      </c>
      <c r="D193" s="1">
        <v>0.10061</v>
      </c>
    </row>
    <row r="194" spans="1:4" x14ac:dyDescent="0.25">
      <c r="A194" s="1">
        <v>2451559.3393899999</v>
      </c>
      <c r="B194" s="1" t="s">
        <v>431</v>
      </c>
      <c r="C194" s="1">
        <v>11.474285999999999</v>
      </c>
      <c r="D194" s="1">
        <v>0.10681</v>
      </c>
    </row>
    <row r="195" spans="1:4" x14ac:dyDescent="0.25">
      <c r="A195" s="1">
        <v>2451577.77838</v>
      </c>
      <c r="B195" s="1" t="s">
        <v>432</v>
      </c>
      <c r="C195" s="1">
        <v>11.667778</v>
      </c>
      <c r="D195" s="1">
        <v>6.3264000000000001E-2</v>
      </c>
    </row>
    <row r="196" spans="1:4" x14ac:dyDescent="0.25">
      <c r="A196" s="1">
        <v>2451588.7458299999</v>
      </c>
      <c r="B196" s="1" t="s">
        <v>433</v>
      </c>
      <c r="C196" s="1">
        <v>11.941481</v>
      </c>
      <c r="D196" s="1">
        <v>4.1701000000000002E-2</v>
      </c>
    </row>
    <row r="197" spans="1:4" x14ac:dyDescent="0.25">
      <c r="A197" s="1">
        <v>2451606.2689999999</v>
      </c>
      <c r="B197" s="1" t="s">
        <v>434</v>
      </c>
      <c r="C197" s="1">
        <v>11.926061000000001</v>
      </c>
      <c r="D197" s="1">
        <v>4.6681E-2</v>
      </c>
    </row>
    <row r="198" spans="1:4" x14ac:dyDescent="0.25">
      <c r="A198" s="1">
        <v>2451623.23178</v>
      </c>
      <c r="B198" s="1" t="s">
        <v>435</v>
      </c>
      <c r="C198" s="1">
        <v>11.954000000000001</v>
      </c>
      <c r="D198" s="1">
        <v>6.2172999999999999E-2</v>
      </c>
    </row>
    <row r="199" spans="1:4" x14ac:dyDescent="0.25">
      <c r="A199" s="1">
        <v>2451637.1841099998</v>
      </c>
      <c r="B199" s="1" t="s">
        <v>436</v>
      </c>
      <c r="C199" s="1">
        <v>11.875</v>
      </c>
      <c r="D199" s="1">
        <v>5.3664999999999997E-2</v>
      </c>
    </row>
    <row r="200" spans="1:4" x14ac:dyDescent="0.25">
      <c r="A200" s="1">
        <v>2451659.7518600002</v>
      </c>
      <c r="B200" s="1" t="s">
        <v>437</v>
      </c>
      <c r="C200" s="1">
        <v>12.171429</v>
      </c>
      <c r="D200" s="1">
        <v>0.15993199999999999</v>
      </c>
    </row>
    <row r="201" spans="1:4" x14ac:dyDescent="0.25">
      <c r="A201" s="1">
        <v>2451679.7308999998</v>
      </c>
      <c r="B201" s="1" t="s">
        <v>438</v>
      </c>
      <c r="C201" s="1">
        <v>12.266667</v>
      </c>
      <c r="D201" s="1">
        <v>3.3333000000000002E-2</v>
      </c>
    </row>
    <row r="202" spans="1:4" x14ac:dyDescent="0.25">
      <c r="A202" s="1">
        <v>2451774.2503499999</v>
      </c>
      <c r="B202" s="1" t="s">
        <v>439</v>
      </c>
      <c r="C202" s="1">
        <v>12.2</v>
      </c>
      <c r="D202" s="1">
        <v>0.1</v>
      </c>
    </row>
    <row r="203" spans="1:4" x14ac:dyDescent="0.25">
      <c r="A203" s="1">
        <v>2451796.2108</v>
      </c>
      <c r="B203" s="1" t="s">
        <v>440</v>
      </c>
      <c r="C203" s="1">
        <v>12.1</v>
      </c>
      <c r="D203" s="1">
        <v>0</v>
      </c>
    </row>
    <row r="204" spans="1:4" x14ac:dyDescent="0.25">
      <c r="A204" s="1">
        <v>2451811.8632</v>
      </c>
      <c r="B204" s="1" t="s">
        <v>441</v>
      </c>
      <c r="C204" s="1">
        <v>12.1</v>
      </c>
      <c r="D204" s="1">
        <v>5.7735000000000002E-2</v>
      </c>
    </row>
    <row r="205" spans="1:4" x14ac:dyDescent="0.25">
      <c r="A205" s="1">
        <v>2451832.6555499998</v>
      </c>
      <c r="B205" s="1" t="s">
        <v>442</v>
      </c>
      <c r="C205" s="1">
        <v>12.25</v>
      </c>
      <c r="D205" s="1">
        <v>0.05</v>
      </c>
    </row>
    <row r="206" spans="1:4" x14ac:dyDescent="0.25">
      <c r="A206" s="1">
        <v>2451850.0167</v>
      </c>
      <c r="B206" s="1" t="s">
        <v>443</v>
      </c>
      <c r="C206" s="1">
        <v>12.3</v>
      </c>
      <c r="D206" s="1">
        <v>0.11547</v>
      </c>
    </row>
    <row r="207" spans="1:4" x14ac:dyDescent="0.25">
      <c r="A207" s="1">
        <v>2451871.8297199998</v>
      </c>
      <c r="B207" s="1" t="s">
        <v>225</v>
      </c>
      <c r="C207" s="1">
        <v>12.14</v>
      </c>
      <c r="D207" s="1">
        <v>6.7822999999999994E-2</v>
      </c>
    </row>
    <row r="208" spans="1:4" x14ac:dyDescent="0.25">
      <c r="A208" s="1">
        <v>2451884.0240600002</v>
      </c>
      <c r="B208" s="1" t="s">
        <v>444</v>
      </c>
      <c r="C208" s="1">
        <v>11.98</v>
      </c>
      <c r="D208" s="1">
        <v>8.6023000000000002E-2</v>
      </c>
    </row>
    <row r="209" spans="1:4" x14ac:dyDescent="0.25">
      <c r="A209" s="1">
        <v>2451903.1892300001</v>
      </c>
      <c r="B209" s="1" t="s">
        <v>445</v>
      </c>
      <c r="C209" s="1">
        <v>12.13</v>
      </c>
      <c r="D209" s="1">
        <v>5.7831E-2</v>
      </c>
    </row>
    <row r="210" spans="1:4" x14ac:dyDescent="0.25">
      <c r="A210" s="1">
        <v>2451918.6729600001</v>
      </c>
      <c r="B210" s="1" t="s">
        <v>446</v>
      </c>
      <c r="C210" s="1">
        <v>12.155556000000001</v>
      </c>
      <c r="D210" s="1">
        <v>3.3792999999999997E-2</v>
      </c>
    </row>
    <row r="211" spans="1:4" x14ac:dyDescent="0.25">
      <c r="A211" s="1">
        <v>2451934.49756</v>
      </c>
      <c r="B211" s="1" t="s">
        <v>447</v>
      </c>
      <c r="C211" s="1">
        <v>12.2</v>
      </c>
      <c r="D211" s="1">
        <v>4.3644000000000002E-2</v>
      </c>
    </row>
    <row r="212" spans="1:4" x14ac:dyDescent="0.25">
      <c r="A212" s="1">
        <v>2451952.9302099999</v>
      </c>
      <c r="B212" s="1" t="s">
        <v>448</v>
      </c>
      <c r="C212" s="1">
        <v>12.36</v>
      </c>
      <c r="D212" s="1">
        <v>2.895E-2</v>
      </c>
    </row>
    <row r="213" spans="1:4" x14ac:dyDescent="0.25">
      <c r="A213" s="1">
        <v>2451965.7005599998</v>
      </c>
      <c r="B213" s="1" t="s">
        <v>449</v>
      </c>
      <c r="C213" s="1">
        <v>12.382353</v>
      </c>
      <c r="D213" s="1">
        <v>2.4608000000000001E-2</v>
      </c>
    </row>
    <row r="214" spans="1:4" x14ac:dyDescent="0.25">
      <c r="A214" s="1">
        <v>2451982.3209000002</v>
      </c>
      <c r="B214" s="1" t="s">
        <v>450</v>
      </c>
      <c r="C214" s="1">
        <v>12.37</v>
      </c>
      <c r="D214" s="1">
        <v>2.1343999999999998E-2</v>
      </c>
    </row>
    <row r="215" spans="1:4" x14ac:dyDescent="0.25">
      <c r="A215" s="1">
        <v>2451998.0812200001</v>
      </c>
      <c r="B215" s="1" t="s">
        <v>451</v>
      </c>
      <c r="C215" s="1">
        <v>12.4</v>
      </c>
      <c r="D215" s="1">
        <v>5.7735000000000002E-2</v>
      </c>
    </row>
    <row r="216" spans="1:4" x14ac:dyDescent="0.25">
      <c r="A216" s="1">
        <v>2452013.2590000001</v>
      </c>
      <c r="B216" s="1" t="s">
        <v>452</v>
      </c>
      <c r="C216" s="1">
        <v>12.333333</v>
      </c>
      <c r="D216" s="1">
        <v>3.3333000000000002E-2</v>
      </c>
    </row>
    <row r="217" spans="1:4" x14ac:dyDescent="0.25">
      <c r="A217" s="1">
        <v>2452041.9125000001</v>
      </c>
      <c r="B217" s="1" t="s">
        <v>453</v>
      </c>
      <c r="C217" s="1">
        <v>12.8</v>
      </c>
      <c r="D217" s="1">
        <v>0.1</v>
      </c>
    </row>
    <row r="218" spans="1:4" x14ac:dyDescent="0.25">
      <c r="A218" s="1">
        <v>2452165.2042</v>
      </c>
      <c r="B218" s="1" t="s">
        <v>454</v>
      </c>
      <c r="C218" s="1">
        <v>12.2</v>
      </c>
      <c r="D218" s="1">
        <v>0</v>
      </c>
    </row>
    <row r="219" spans="1:4" x14ac:dyDescent="0.25">
      <c r="A219" s="1">
        <v>2452181.1847000001</v>
      </c>
      <c r="B219" s="1" t="s">
        <v>455</v>
      </c>
      <c r="C219" s="1">
        <v>12.4</v>
      </c>
      <c r="D219" s="1">
        <v>0</v>
      </c>
    </row>
    <row r="220" spans="1:4" x14ac:dyDescent="0.25">
      <c r="A220" s="1">
        <v>2452199.6448499998</v>
      </c>
      <c r="B220" s="1" t="s">
        <v>456</v>
      </c>
      <c r="C220" s="1">
        <v>12</v>
      </c>
      <c r="D220" s="1">
        <v>0</v>
      </c>
    </row>
    <row r="221" spans="1:4" x14ac:dyDescent="0.25">
      <c r="A221" s="1">
        <v>2452239.1173999999</v>
      </c>
      <c r="B221" s="1" t="s">
        <v>457</v>
      </c>
      <c r="C221" s="1">
        <v>11.8</v>
      </c>
      <c r="D221" s="1">
        <v>0</v>
      </c>
    </row>
    <row r="222" spans="1:4" x14ac:dyDescent="0.25">
      <c r="A222" s="1">
        <v>2452262.7294999999</v>
      </c>
      <c r="B222" s="1" t="s">
        <v>458</v>
      </c>
      <c r="C222" s="1">
        <v>11.95</v>
      </c>
      <c r="D222" s="1">
        <v>0.15</v>
      </c>
    </row>
    <row r="223" spans="1:4" x14ac:dyDescent="0.25">
      <c r="A223" s="1">
        <v>2452285.4602000001</v>
      </c>
      <c r="B223" s="1" t="s">
        <v>459</v>
      </c>
      <c r="C223" s="1">
        <v>11.7</v>
      </c>
      <c r="D223" s="1">
        <v>0.1</v>
      </c>
    </row>
    <row r="224" spans="1:4" x14ac:dyDescent="0.25">
      <c r="A224" s="1">
        <v>2452293.36845</v>
      </c>
      <c r="B224" s="1" t="s">
        <v>460</v>
      </c>
      <c r="C224" s="1">
        <v>11.925000000000001</v>
      </c>
      <c r="D224" s="1">
        <v>4.7870999999999997E-2</v>
      </c>
    </row>
    <row r="225" spans="1:4" x14ac:dyDescent="0.25">
      <c r="A225" s="1">
        <v>2452315.1099700001</v>
      </c>
      <c r="B225" s="1" t="s">
        <v>461</v>
      </c>
      <c r="C225" s="1">
        <v>11.808332999999999</v>
      </c>
      <c r="D225" s="1">
        <v>4.8396000000000002E-2</v>
      </c>
    </row>
    <row r="226" spans="1:4" x14ac:dyDescent="0.25">
      <c r="A226" s="1">
        <v>2452330.9121699999</v>
      </c>
      <c r="B226" s="1" t="s">
        <v>462</v>
      </c>
      <c r="C226" s="1">
        <v>11.9125</v>
      </c>
      <c r="D226" s="1">
        <v>6.9276000000000004E-2</v>
      </c>
    </row>
    <row r="227" spans="1:4" x14ac:dyDescent="0.25">
      <c r="A227" s="1">
        <v>2452345.14756</v>
      </c>
      <c r="B227" s="1" t="s">
        <v>463</v>
      </c>
      <c r="C227" s="1">
        <v>12.064285999999999</v>
      </c>
      <c r="D227" s="1">
        <v>5.3046999999999997E-2</v>
      </c>
    </row>
    <row r="228" spans="1:4" x14ac:dyDescent="0.25">
      <c r="A228" s="1">
        <v>2452362.1964500002</v>
      </c>
      <c r="B228" s="1" t="s">
        <v>464</v>
      </c>
      <c r="C228" s="1">
        <v>12.137499999999999</v>
      </c>
      <c r="D228" s="1">
        <v>5.9574000000000002E-2</v>
      </c>
    </row>
    <row r="229" spans="1:4" x14ac:dyDescent="0.25">
      <c r="A229" s="1">
        <v>2452376.5491900002</v>
      </c>
      <c r="B229" s="1" t="s">
        <v>465</v>
      </c>
      <c r="C229" s="1">
        <v>12.02</v>
      </c>
      <c r="D229" s="1">
        <v>3.9279000000000001E-2</v>
      </c>
    </row>
    <row r="230" spans="1:4" x14ac:dyDescent="0.25">
      <c r="A230" s="1">
        <v>2452395.7531499998</v>
      </c>
      <c r="B230" s="1" t="s">
        <v>466</v>
      </c>
      <c r="C230" s="1">
        <v>11.918182</v>
      </c>
      <c r="D230" s="1">
        <v>3.2524999999999998E-2</v>
      </c>
    </row>
    <row r="231" spans="1:4" x14ac:dyDescent="0.25">
      <c r="A231" s="1">
        <v>2452406.875</v>
      </c>
      <c r="B231" s="1" t="s">
        <v>467</v>
      </c>
      <c r="C231" s="1">
        <v>12.15</v>
      </c>
      <c r="D231" s="1">
        <v>0.05</v>
      </c>
    </row>
    <row r="232" spans="1:4" x14ac:dyDescent="0.25">
      <c r="A232" s="1">
        <v>2452426.1861</v>
      </c>
      <c r="B232" s="1" t="s">
        <v>468</v>
      </c>
      <c r="C232" s="1">
        <v>12.066667000000001</v>
      </c>
      <c r="D232" s="1">
        <v>3.3333000000000002E-2</v>
      </c>
    </row>
    <row r="233" spans="1:4" x14ac:dyDescent="0.25">
      <c r="A233" s="1">
        <v>2452509.3130899998</v>
      </c>
      <c r="B233" s="1" t="s">
        <v>469</v>
      </c>
      <c r="C233" s="1">
        <v>9.6428569999999993</v>
      </c>
      <c r="D233" s="1">
        <v>2.9738000000000001E-2</v>
      </c>
    </row>
    <row r="234" spans="1:4" x14ac:dyDescent="0.25">
      <c r="A234" s="1">
        <v>2452528.3719600001</v>
      </c>
      <c r="B234" s="1" t="s">
        <v>470</v>
      </c>
      <c r="C234" s="1">
        <v>9.6125000000000007</v>
      </c>
      <c r="D234" s="1">
        <v>4.4068000000000003E-2</v>
      </c>
    </row>
    <row r="235" spans="1:4" x14ac:dyDescent="0.25">
      <c r="A235" s="1">
        <v>2452553.7119700001</v>
      </c>
      <c r="B235" s="1" t="s">
        <v>226</v>
      </c>
      <c r="C235" s="1">
        <v>9.5500000000000007</v>
      </c>
      <c r="D235" s="1">
        <v>0.05</v>
      </c>
    </row>
    <row r="236" spans="1:4" x14ac:dyDescent="0.25">
      <c r="A236" s="1">
        <v>2452579.1163300001</v>
      </c>
      <c r="B236" s="1" t="s">
        <v>471</v>
      </c>
      <c r="C236" s="1">
        <v>9.6999999999999993</v>
      </c>
      <c r="D236" s="1">
        <v>7.0710999999999996E-2</v>
      </c>
    </row>
    <row r="237" spans="1:4" x14ac:dyDescent="0.25">
      <c r="A237" s="1">
        <v>2452612.5583299999</v>
      </c>
      <c r="B237" s="1" t="s">
        <v>472</v>
      </c>
      <c r="C237" s="1">
        <v>9.5749999999999993</v>
      </c>
      <c r="D237" s="1">
        <v>8.5390999999999995E-2</v>
      </c>
    </row>
    <row r="238" spans="1:4" x14ac:dyDescent="0.25">
      <c r="A238" s="1">
        <v>2452634.40546</v>
      </c>
      <c r="B238" s="1" t="s">
        <v>473</v>
      </c>
      <c r="C238" s="1">
        <v>10.014286</v>
      </c>
      <c r="D238" s="1">
        <v>0.14380599999999999</v>
      </c>
    </row>
    <row r="239" spans="1:4" x14ac:dyDescent="0.25">
      <c r="A239" s="1">
        <v>2452648.0740200002</v>
      </c>
      <c r="B239" s="1" t="s">
        <v>474</v>
      </c>
      <c r="C239" s="1">
        <v>9.4124999999999996</v>
      </c>
      <c r="D239" s="1">
        <v>4.7948999999999999E-2</v>
      </c>
    </row>
    <row r="240" spans="1:4" x14ac:dyDescent="0.25">
      <c r="A240" s="1">
        <v>2452667.4980199998</v>
      </c>
      <c r="B240" s="1" t="s">
        <v>475</v>
      </c>
      <c r="C240" s="1">
        <v>9.763636</v>
      </c>
      <c r="D240" s="1">
        <v>9.4649999999999998E-2</v>
      </c>
    </row>
    <row r="241" spans="1:4" x14ac:dyDescent="0.25">
      <c r="A241" s="1">
        <v>2452684.6349200001</v>
      </c>
      <c r="B241" s="1" t="s">
        <v>476</v>
      </c>
      <c r="C241" s="1">
        <v>9.8888890000000007</v>
      </c>
      <c r="D241" s="1">
        <v>7.8336000000000003E-2</v>
      </c>
    </row>
    <row r="242" spans="1:4" x14ac:dyDescent="0.25">
      <c r="A242" s="1">
        <v>2452698.6479400001</v>
      </c>
      <c r="B242" s="1" t="s">
        <v>477</v>
      </c>
      <c r="C242" s="1">
        <v>10.050000000000001</v>
      </c>
      <c r="D242" s="1">
        <v>6.3452999999999996E-2</v>
      </c>
    </row>
    <row r="243" spans="1:4" x14ac:dyDescent="0.25">
      <c r="A243" s="1">
        <v>2452715.2475000001</v>
      </c>
      <c r="B243" s="1" t="s">
        <v>478</v>
      </c>
      <c r="C243" s="1">
        <v>10.061538000000001</v>
      </c>
      <c r="D243" s="1">
        <v>4.8382000000000001E-2</v>
      </c>
    </row>
    <row r="244" spans="1:4" x14ac:dyDescent="0.25">
      <c r="A244" s="1">
        <v>2452729.58451</v>
      </c>
      <c r="B244" s="1" t="s">
        <v>479</v>
      </c>
      <c r="C244" s="1">
        <v>10.059091</v>
      </c>
      <c r="D244" s="1">
        <v>3.7601000000000002E-2</v>
      </c>
    </row>
    <row r="245" spans="1:4" x14ac:dyDescent="0.25">
      <c r="A245" s="1">
        <v>2452742.30645</v>
      </c>
      <c r="B245" s="1" t="s">
        <v>227</v>
      </c>
      <c r="C245" s="1">
        <v>10.063636000000001</v>
      </c>
      <c r="D245" s="1">
        <v>2.7872000000000001E-2</v>
      </c>
    </row>
    <row r="246" spans="1:4" x14ac:dyDescent="0.25">
      <c r="A246" s="1">
        <v>2452762.4657700001</v>
      </c>
      <c r="B246" s="1" t="s">
        <v>480</v>
      </c>
      <c r="C246" s="1">
        <v>10.3</v>
      </c>
      <c r="D246" s="1">
        <v>0</v>
      </c>
    </row>
    <row r="247" spans="1:4" x14ac:dyDescent="0.25">
      <c r="A247" s="1">
        <v>2452909.1985999998</v>
      </c>
      <c r="B247" s="1" t="s">
        <v>481</v>
      </c>
      <c r="C247" s="1">
        <v>10.3</v>
      </c>
      <c r="D247" s="1">
        <v>0</v>
      </c>
    </row>
    <row r="248" spans="1:4" x14ac:dyDescent="0.25">
      <c r="A248" s="1">
        <v>2452935.4715300002</v>
      </c>
      <c r="B248" s="1" t="s">
        <v>482</v>
      </c>
      <c r="C248" s="1">
        <v>10.333333</v>
      </c>
      <c r="D248" s="1">
        <v>3.3333000000000002E-2</v>
      </c>
    </row>
    <row r="249" spans="1:4" x14ac:dyDescent="0.25">
      <c r="A249" s="1">
        <v>2452949.7000000002</v>
      </c>
      <c r="B249" s="1" t="s">
        <v>483</v>
      </c>
      <c r="C249" s="1">
        <v>11.1</v>
      </c>
      <c r="D249" s="1">
        <v>0</v>
      </c>
    </row>
    <row r="250" spans="1:4" x14ac:dyDescent="0.25">
      <c r="A250" s="1">
        <v>2452971.8930500001</v>
      </c>
      <c r="B250" s="1" t="s">
        <v>484</v>
      </c>
      <c r="C250" s="1">
        <v>10.9</v>
      </c>
      <c r="D250" s="1">
        <v>0.5</v>
      </c>
    </row>
    <row r="251" spans="1:4" x14ac:dyDescent="0.25">
      <c r="A251" s="1">
        <v>2452990.8983399998</v>
      </c>
      <c r="B251" s="1" t="s">
        <v>485</v>
      </c>
      <c r="C251" s="1">
        <v>11.18</v>
      </c>
      <c r="D251" s="1">
        <v>0.1772</v>
      </c>
    </row>
    <row r="252" spans="1:4" x14ac:dyDescent="0.25">
      <c r="A252" s="1">
        <v>2453012.9586100001</v>
      </c>
      <c r="B252" s="1" t="s">
        <v>486</v>
      </c>
      <c r="C252" s="1">
        <v>11.4</v>
      </c>
      <c r="D252" s="1">
        <v>0.13783999999999999</v>
      </c>
    </row>
    <row r="253" spans="1:4" x14ac:dyDescent="0.25">
      <c r="A253" s="1">
        <v>2453027.2780399998</v>
      </c>
      <c r="B253" s="1" t="s">
        <v>487</v>
      </c>
      <c r="C253" s="1">
        <v>11.242857000000001</v>
      </c>
      <c r="D253" s="1">
        <v>8.8773000000000005E-2</v>
      </c>
    </row>
    <row r="254" spans="1:4" x14ac:dyDescent="0.25">
      <c r="A254" s="1">
        <v>2453048.9644499999</v>
      </c>
      <c r="B254" s="1" t="s">
        <v>488</v>
      </c>
      <c r="C254" s="1">
        <v>11.318182</v>
      </c>
      <c r="D254" s="1">
        <v>7.1119000000000002E-2</v>
      </c>
    </row>
    <row r="255" spans="1:4" x14ac:dyDescent="0.25">
      <c r="A255" s="1">
        <v>2453061.0892500002</v>
      </c>
      <c r="B255" s="1" t="s">
        <v>489</v>
      </c>
      <c r="C255" s="1">
        <v>11.342105</v>
      </c>
      <c r="D255" s="1">
        <v>5.3703000000000001E-2</v>
      </c>
    </row>
    <row r="256" spans="1:4" x14ac:dyDescent="0.25">
      <c r="A256" s="1">
        <v>2453079.7746700002</v>
      </c>
      <c r="B256" s="1" t="s">
        <v>490</v>
      </c>
      <c r="C256" s="1">
        <v>11.606667</v>
      </c>
      <c r="D256" s="1">
        <v>8.4778000000000006E-2</v>
      </c>
    </row>
    <row r="257" spans="1:4" x14ac:dyDescent="0.25">
      <c r="A257" s="1">
        <v>2453092.1994500002</v>
      </c>
      <c r="B257" s="1" t="s">
        <v>491</v>
      </c>
      <c r="C257" s="1">
        <v>11.454545</v>
      </c>
      <c r="D257" s="1">
        <v>0.10301200000000001</v>
      </c>
    </row>
    <row r="258" spans="1:4" x14ac:dyDescent="0.25">
      <c r="A258" s="1">
        <v>2453109.44912</v>
      </c>
      <c r="B258" s="1" t="s">
        <v>492</v>
      </c>
      <c r="C258" s="1">
        <v>11.487500000000001</v>
      </c>
      <c r="D258" s="1">
        <v>0.114076</v>
      </c>
    </row>
    <row r="259" spans="1:4" x14ac:dyDescent="0.25">
      <c r="A259" s="1">
        <v>2453143.7763999999</v>
      </c>
      <c r="B259" s="1" t="s">
        <v>493</v>
      </c>
      <c r="C259" s="1">
        <v>11.4</v>
      </c>
      <c r="D259" s="1">
        <v>0</v>
      </c>
    </row>
    <row r="260" spans="1:4" x14ac:dyDescent="0.25">
      <c r="A260" s="1">
        <v>2453241.2361499998</v>
      </c>
      <c r="B260" s="1" t="s">
        <v>494</v>
      </c>
      <c r="C260" s="1">
        <v>12.25</v>
      </c>
      <c r="D260" s="1">
        <v>0.15</v>
      </c>
    </row>
    <row r="261" spans="1:4" x14ac:dyDescent="0.25">
      <c r="A261" s="1">
        <v>2453274.1993</v>
      </c>
      <c r="B261" s="1" t="s">
        <v>495</v>
      </c>
      <c r="C261" s="1">
        <v>12.2</v>
      </c>
      <c r="D261" s="1">
        <v>0</v>
      </c>
    </row>
    <row r="262" spans="1:4" x14ac:dyDescent="0.25">
      <c r="A262" s="1">
        <v>2453295.1489499998</v>
      </c>
      <c r="B262" s="1" t="s">
        <v>496</v>
      </c>
      <c r="C262" s="1">
        <v>12.3</v>
      </c>
      <c r="D262" s="1">
        <v>0</v>
      </c>
    </row>
    <row r="263" spans="1:4" x14ac:dyDescent="0.25">
      <c r="A263" s="1">
        <v>2453327.588</v>
      </c>
      <c r="B263" s="1" t="s">
        <v>497</v>
      </c>
      <c r="C263" s="1">
        <v>12.25</v>
      </c>
      <c r="D263" s="1">
        <v>0.05</v>
      </c>
    </row>
    <row r="264" spans="1:4" x14ac:dyDescent="0.25">
      <c r="A264" s="1">
        <v>2453349.7683000001</v>
      </c>
      <c r="B264" s="1" t="s">
        <v>498</v>
      </c>
      <c r="C264" s="1">
        <v>12.3</v>
      </c>
      <c r="D264" s="1">
        <v>0.1</v>
      </c>
    </row>
    <row r="265" spans="1:4" x14ac:dyDescent="0.25">
      <c r="A265" s="1">
        <v>2453365.4130500001</v>
      </c>
      <c r="B265" s="1" t="s">
        <v>499</v>
      </c>
      <c r="C265" s="1">
        <v>12.324999999999999</v>
      </c>
      <c r="D265" s="1">
        <v>2.5000000000000001E-2</v>
      </c>
    </row>
    <row r="266" spans="1:4" x14ac:dyDescent="0.25">
      <c r="A266" s="1">
        <v>2453381.6039300002</v>
      </c>
      <c r="B266" s="1" t="s">
        <v>228</v>
      </c>
      <c r="C266" s="1">
        <v>11.972727000000001</v>
      </c>
      <c r="D266" s="1">
        <v>0.116065</v>
      </c>
    </row>
    <row r="267" spans="1:4" x14ac:dyDescent="0.25">
      <c r="A267" s="1">
        <v>2453400.2796299998</v>
      </c>
      <c r="B267" s="1" t="s">
        <v>500</v>
      </c>
      <c r="C267" s="1">
        <v>11.766667</v>
      </c>
      <c r="D267" s="1">
        <v>0.14529700000000001</v>
      </c>
    </row>
    <row r="268" spans="1:4" x14ac:dyDescent="0.25">
      <c r="A268" s="1">
        <v>2453420.7362099998</v>
      </c>
      <c r="B268" s="1" t="s">
        <v>501</v>
      </c>
      <c r="C268" s="1">
        <v>11.636364</v>
      </c>
      <c r="D268" s="1">
        <v>0.104684</v>
      </c>
    </row>
    <row r="269" spans="1:4" x14ac:dyDescent="0.25">
      <c r="A269" s="1">
        <v>2453435.29984</v>
      </c>
      <c r="B269" s="1" t="s">
        <v>502</v>
      </c>
      <c r="C269" s="1">
        <v>11.428571</v>
      </c>
      <c r="D269" s="1">
        <v>0.16721</v>
      </c>
    </row>
    <row r="270" spans="1:4" x14ac:dyDescent="0.25">
      <c r="A270" s="1">
        <v>2453456.7130499999</v>
      </c>
      <c r="B270" s="1" t="s">
        <v>229</v>
      </c>
      <c r="C270" s="1">
        <v>11.133333</v>
      </c>
      <c r="D270" s="1">
        <v>0.29627300000000001</v>
      </c>
    </row>
    <row r="271" spans="1:4" x14ac:dyDescent="0.25">
      <c r="A271" s="1">
        <v>2453470.9369999999</v>
      </c>
      <c r="B271" s="1" t="s">
        <v>503</v>
      </c>
      <c r="C271" s="1">
        <v>11.1875</v>
      </c>
      <c r="D271" s="1">
        <v>9.3422000000000005E-2</v>
      </c>
    </row>
    <row r="272" spans="1:4" x14ac:dyDescent="0.25">
      <c r="A272" s="1">
        <v>2453499.7933999998</v>
      </c>
      <c r="B272" s="1" t="s">
        <v>504</v>
      </c>
      <c r="C272" s="1">
        <v>11</v>
      </c>
      <c r="D272" s="1">
        <v>0</v>
      </c>
    </row>
    <row r="273" spans="1:4" x14ac:dyDescent="0.25">
      <c r="A273" s="1">
        <v>2453523.3021</v>
      </c>
      <c r="B273" s="1" t="s">
        <v>505</v>
      </c>
      <c r="C273" s="1">
        <v>10.95</v>
      </c>
      <c r="D273" s="1">
        <v>0.05</v>
      </c>
    </row>
    <row r="274" spans="1:4" x14ac:dyDescent="0.25">
      <c r="A274" s="1">
        <v>2453603.7371499999</v>
      </c>
      <c r="B274" s="1" t="s">
        <v>506</v>
      </c>
      <c r="C274" s="1">
        <v>10.9</v>
      </c>
      <c r="D274" s="1">
        <v>0.2</v>
      </c>
    </row>
    <row r="275" spans="1:4" x14ac:dyDescent="0.25">
      <c r="A275" s="1">
        <v>2453621.2215</v>
      </c>
      <c r="B275" s="1" t="s">
        <v>507</v>
      </c>
      <c r="C275" s="1">
        <v>10.65</v>
      </c>
      <c r="D275" s="1">
        <v>0.05</v>
      </c>
    </row>
    <row r="276" spans="1:4" x14ac:dyDescent="0.25">
      <c r="A276" s="1">
        <v>2453636.1985999998</v>
      </c>
      <c r="B276" s="1" t="s">
        <v>508</v>
      </c>
      <c r="C276" s="1">
        <v>11</v>
      </c>
      <c r="D276" s="1">
        <v>0</v>
      </c>
    </row>
    <row r="277" spans="1:4" x14ac:dyDescent="0.25">
      <c r="A277" s="1">
        <v>2453652.1568999998</v>
      </c>
      <c r="B277" s="1" t="s">
        <v>509</v>
      </c>
      <c r="C277" s="1">
        <v>11</v>
      </c>
      <c r="D277" s="1">
        <v>0</v>
      </c>
    </row>
    <row r="278" spans="1:4" x14ac:dyDescent="0.25">
      <c r="A278" s="1">
        <v>2453674.6342699998</v>
      </c>
      <c r="B278" s="1" t="s">
        <v>510</v>
      </c>
      <c r="C278" s="1">
        <v>11.066667000000001</v>
      </c>
      <c r="D278" s="1">
        <v>3.3333000000000002E-2</v>
      </c>
    </row>
    <row r="279" spans="1:4" x14ac:dyDescent="0.25">
      <c r="A279" s="1">
        <v>2453688.8899500002</v>
      </c>
      <c r="B279" s="1" t="s">
        <v>511</v>
      </c>
      <c r="C279" s="1">
        <v>11</v>
      </c>
      <c r="D279" s="1">
        <v>0</v>
      </c>
    </row>
    <row r="280" spans="1:4" x14ac:dyDescent="0.25">
      <c r="A280" s="1">
        <v>2453704.4865700002</v>
      </c>
      <c r="B280" s="1" t="s">
        <v>512</v>
      </c>
      <c r="C280" s="1">
        <v>11.2</v>
      </c>
      <c r="D280" s="1">
        <v>5.7735000000000002E-2</v>
      </c>
    </row>
    <row r="281" spans="1:4" x14ac:dyDescent="0.25">
      <c r="A281" s="1">
        <v>2453734.2011199999</v>
      </c>
      <c r="B281" s="1" t="s">
        <v>513</v>
      </c>
      <c r="C281" s="1">
        <v>11.82</v>
      </c>
      <c r="D281" s="1">
        <v>8.6023000000000002E-2</v>
      </c>
    </row>
    <row r="282" spans="1:4" x14ac:dyDescent="0.25">
      <c r="A282" s="1">
        <v>2453755.5167700001</v>
      </c>
      <c r="B282" s="1" t="s">
        <v>514</v>
      </c>
      <c r="C282" s="1">
        <v>11.675000000000001</v>
      </c>
      <c r="D282" s="1">
        <v>6.2914999999999999E-2</v>
      </c>
    </row>
    <row r="283" spans="1:4" x14ac:dyDescent="0.25">
      <c r="A283" s="1">
        <v>2453775.8380399998</v>
      </c>
      <c r="B283" s="1" t="s">
        <v>515</v>
      </c>
      <c r="C283" s="1">
        <v>11.4</v>
      </c>
      <c r="D283" s="1">
        <v>0.14491399999999999</v>
      </c>
    </row>
    <row r="284" spans="1:4" x14ac:dyDescent="0.25">
      <c r="A284" s="1">
        <v>2453791.9890999999</v>
      </c>
      <c r="B284" s="1" t="s">
        <v>516</v>
      </c>
      <c r="C284" s="1">
        <v>11.333333</v>
      </c>
      <c r="D284" s="1">
        <v>9.2386999999999997E-2</v>
      </c>
    </row>
    <row r="285" spans="1:4" x14ac:dyDescent="0.25">
      <c r="A285" s="1">
        <v>2453800.0841799998</v>
      </c>
      <c r="B285" s="1" t="s">
        <v>517</v>
      </c>
      <c r="C285" s="1">
        <v>11.18</v>
      </c>
      <c r="D285" s="1">
        <v>0.15620500000000001</v>
      </c>
    </row>
    <row r="286" spans="1:4" x14ac:dyDescent="0.25">
      <c r="A286" s="1">
        <v>2453826.2757899999</v>
      </c>
      <c r="B286" s="1" t="s">
        <v>518</v>
      </c>
      <c r="C286" s="1">
        <v>11.262499999999999</v>
      </c>
      <c r="D286" s="1">
        <v>0.114856</v>
      </c>
    </row>
    <row r="287" spans="1:4" x14ac:dyDescent="0.25">
      <c r="A287" s="1">
        <v>2453857.3156499998</v>
      </c>
      <c r="B287" s="1" t="s">
        <v>519</v>
      </c>
      <c r="C287" s="1">
        <v>11.1</v>
      </c>
      <c r="D287" s="1">
        <v>0.1</v>
      </c>
    </row>
    <row r="288" spans="1:4" x14ac:dyDescent="0.25">
      <c r="A288" s="1">
        <v>2453873.7903</v>
      </c>
      <c r="B288" s="1" t="s">
        <v>520</v>
      </c>
      <c r="C288" s="1">
        <v>10.9</v>
      </c>
      <c r="D288" s="1">
        <v>0</v>
      </c>
    </row>
    <row r="289" spans="1:4" x14ac:dyDescent="0.25">
      <c r="A289" s="1">
        <v>2453973.5745299999</v>
      </c>
      <c r="B289" s="1" t="s">
        <v>521</v>
      </c>
      <c r="C289" s="1">
        <v>11.4</v>
      </c>
      <c r="D289" s="1">
        <v>0.25166100000000002</v>
      </c>
    </row>
    <row r="290" spans="1:4" x14ac:dyDescent="0.25">
      <c r="A290" s="1">
        <v>2454001.1910000001</v>
      </c>
      <c r="B290" s="1" t="s">
        <v>522</v>
      </c>
      <c r="C290" s="1">
        <v>11.8</v>
      </c>
      <c r="D290" s="1">
        <v>0</v>
      </c>
    </row>
    <row r="291" spans="1:4" x14ac:dyDescent="0.25">
      <c r="A291" s="1">
        <v>2454023.1674000002</v>
      </c>
      <c r="B291" s="1" t="s">
        <v>523</v>
      </c>
      <c r="C291" s="1">
        <v>11</v>
      </c>
      <c r="D291" s="1">
        <v>0</v>
      </c>
    </row>
    <row r="292" spans="1:4" x14ac:dyDescent="0.25">
      <c r="A292" s="1">
        <v>2454041.1631999998</v>
      </c>
      <c r="B292" s="1" t="s">
        <v>524</v>
      </c>
      <c r="C292" s="1">
        <v>11.6</v>
      </c>
      <c r="D292" s="1">
        <v>0</v>
      </c>
    </row>
    <row r="293" spans="1:4" x14ac:dyDescent="0.25">
      <c r="A293" s="1">
        <v>2454062.1083499999</v>
      </c>
      <c r="B293" s="1" t="s">
        <v>525</v>
      </c>
      <c r="C293" s="1">
        <v>11.6</v>
      </c>
      <c r="D293" s="1">
        <v>0.2</v>
      </c>
    </row>
    <row r="294" spans="1:4" x14ac:dyDescent="0.25">
      <c r="A294" s="1">
        <v>2454084.1415499998</v>
      </c>
      <c r="B294" s="1" t="s">
        <v>526</v>
      </c>
      <c r="C294" s="1">
        <v>11.916667</v>
      </c>
      <c r="D294" s="1">
        <v>9.4575000000000006E-2</v>
      </c>
    </row>
    <row r="295" spans="1:4" x14ac:dyDescent="0.25">
      <c r="A295" s="1">
        <v>2454121.6426400002</v>
      </c>
      <c r="B295" s="1" t="s">
        <v>527</v>
      </c>
      <c r="C295" s="1">
        <v>12</v>
      </c>
      <c r="D295" s="1">
        <v>2.8868000000000001E-2</v>
      </c>
    </row>
    <row r="296" spans="1:4" x14ac:dyDescent="0.25">
      <c r="A296" s="1">
        <v>2454140.6115299999</v>
      </c>
      <c r="B296" s="1" t="s">
        <v>528</v>
      </c>
      <c r="C296" s="1">
        <v>11.925000000000001</v>
      </c>
      <c r="D296" s="1">
        <v>4.9098999999999997E-2</v>
      </c>
    </row>
    <row r="297" spans="1:4" x14ac:dyDescent="0.25">
      <c r="A297" s="1">
        <v>2454168.5577699998</v>
      </c>
      <c r="B297" s="1" t="s">
        <v>529</v>
      </c>
      <c r="C297" s="1">
        <v>11.925000000000001</v>
      </c>
      <c r="D297" s="1">
        <v>0.18306800000000001</v>
      </c>
    </row>
    <row r="298" spans="1:4" x14ac:dyDescent="0.25">
      <c r="A298" s="1">
        <v>2454181.1164799999</v>
      </c>
      <c r="B298" s="1" t="s">
        <v>530</v>
      </c>
      <c r="C298" s="1">
        <v>12.1</v>
      </c>
      <c r="D298" s="1">
        <v>6.8312999999999999E-2</v>
      </c>
    </row>
    <row r="299" spans="1:4" x14ac:dyDescent="0.25">
      <c r="A299" s="1">
        <v>2454201.3499799999</v>
      </c>
      <c r="B299" s="1" t="s">
        <v>531</v>
      </c>
      <c r="C299" s="1">
        <v>11.625</v>
      </c>
      <c r="D299" s="1">
        <v>0.20857600000000001</v>
      </c>
    </row>
    <row r="300" spans="1:4" x14ac:dyDescent="0.25">
      <c r="A300" s="1">
        <v>2454332.9034699998</v>
      </c>
      <c r="B300" s="1" t="s">
        <v>532</v>
      </c>
      <c r="C300" s="1">
        <v>11.966666999999999</v>
      </c>
      <c r="D300" s="1">
        <v>6.6667000000000004E-2</v>
      </c>
    </row>
    <row r="301" spans="1:4" x14ac:dyDescent="0.25">
      <c r="A301" s="1">
        <v>2454356.7028000001</v>
      </c>
      <c r="B301" s="1" t="s">
        <v>533</v>
      </c>
      <c r="C301" s="1">
        <v>12</v>
      </c>
      <c r="D301" s="1">
        <v>0</v>
      </c>
    </row>
    <row r="302" spans="1:4" x14ac:dyDescent="0.25">
      <c r="A302" s="1">
        <v>2454387.1395999999</v>
      </c>
      <c r="B302" s="1" t="s">
        <v>534</v>
      </c>
      <c r="C302" s="1">
        <v>12</v>
      </c>
      <c r="D302" s="1">
        <v>0</v>
      </c>
    </row>
    <row r="303" spans="1:4" x14ac:dyDescent="0.25">
      <c r="A303" s="1">
        <v>2454410.1611000001</v>
      </c>
      <c r="B303" s="1" t="s">
        <v>231</v>
      </c>
      <c r="C303" s="1">
        <v>11.8</v>
      </c>
      <c r="D303" s="1">
        <v>0</v>
      </c>
    </row>
    <row r="304" spans="1:4" x14ac:dyDescent="0.25">
      <c r="A304" s="1">
        <v>2454444.3999299998</v>
      </c>
      <c r="B304" s="1" t="s">
        <v>535</v>
      </c>
      <c r="C304" s="1">
        <v>11.966666999999999</v>
      </c>
      <c r="D304" s="1">
        <v>8.8192000000000006E-2</v>
      </c>
    </row>
    <row r="305" spans="1:4" x14ac:dyDescent="0.25">
      <c r="A305" s="1">
        <v>2454469.9837199999</v>
      </c>
      <c r="B305" s="1" t="s">
        <v>536</v>
      </c>
      <c r="C305" s="1">
        <v>12.016667</v>
      </c>
      <c r="D305" s="1">
        <v>6.0093000000000001E-2</v>
      </c>
    </row>
    <row r="306" spans="1:4" x14ac:dyDescent="0.25">
      <c r="A306" s="1">
        <v>2454480.4419</v>
      </c>
      <c r="B306" s="1" t="s">
        <v>537</v>
      </c>
      <c r="C306" s="1">
        <v>12.066667000000001</v>
      </c>
      <c r="D306" s="1">
        <v>0.14529700000000001</v>
      </c>
    </row>
    <row r="307" spans="1:4" x14ac:dyDescent="0.25">
      <c r="A307" s="1">
        <v>2454501.2575699999</v>
      </c>
      <c r="B307" s="1" t="s">
        <v>538</v>
      </c>
      <c r="C307" s="1">
        <v>12.308332999999999</v>
      </c>
      <c r="D307" s="1">
        <v>7.0127999999999996E-2</v>
      </c>
    </row>
    <row r="308" spans="1:4" x14ac:dyDescent="0.25">
      <c r="A308" s="1">
        <v>2454516.24174</v>
      </c>
      <c r="B308" s="1" t="s">
        <v>539</v>
      </c>
      <c r="C308" s="1">
        <v>12.262499999999999</v>
      </c>
      <c r="D308" s="1">
        <v>8.2239999999999994E-2</v>
      </c>
    </row>
    <row r="309" spans="1:4" x14ac:dyDescent="0.25">
      <c r="A309" s="1">
        <v>2454532.2822199999</v>
      </c>
      <c r="B309" s="1" t="s">
        <v>540</v>
      </c>
      <c r="C309" s="1">
        <v>12.277778</v>
      </c>
      <c r="D309" s="1">
        <v>0.124474</v>
      </c>
    </row>
    <row r="310" spans="1:4" x14ac:dyDescent="0.25">
      <c r="A310" s="1">
        <v>2454547.6968399999</v>
      </c>
      <c r="B310" s="1" t="s">
        <v>541</v>
      </c>
      <c r="C310" s="1">
        <v>12.471429000000001</v>
      </c>
      <c r="D310" s="1">
        <v>5.2164000000000002E-2</v>
      </c>
    </row>
    <row r="311" spans="1:4" x14ac:dyDescent="0.25">
      <c r="A311" s="1">
        <v>2454564.6185699999</v>
      </c>
      <c r="B311" s="1" t="s">
        <v>542</v>
      </c>
      <c r="C311" s="1">
        <v>12.272727</v>
      </c>
      <c r="D311" s="1">
        <v>5.0616000000000001E-2</v>
      </c>
    </row>
    <row r="312" spans="1:4" x14ac:dyDescent="0.25">
      <c r="A312" s="1">
        <v>2454582.2201399999</v>
      </c>
      <c r="B312" s="1" t="s">
        <v>543</v>
      </c>
      <c r="C312" s="1">
        <v>12.3</v>
      </c>
      <c r="D312" s="1">
        <v>0</v>
      </c>
    </row>
    <row r="313" spans="1:4" x14ac:dyDescent="0.25">
      <c r="A313" s="1">
        <v>2454601.3357199999</v>
      </c>
      <c r="B313" s="1" t="s">
        <v>544</v>
      </c>
      <c r="C313" s="1">
        <v>12.3</v>
      </c>
      <c r="D313" s="1">
        <v>0</v>
      </c>
    </row>
    <row r="314" spans="1:4" x14ac:dyDescent="0.25">
      <c r="A314" s="1">
        <v>2454608.8756900001</v>
      </c>
      <c r="B314" s="1" t="s">
        <v>545</v>
      </c>
      <c r="C314" s="1">
        <v>12.3</v>
      </c>
      <c r="D314" s="1">
        <v>0</v>
      </c>
    </row>
    <row r="315" spans="1:4" x14ac:dyDescent="0.25">
      <c r="A315" s="1">
        <v>2454749.17985</v>
      </c>
      <c r="B315" s="1" t="s">
        <v>546</v>
      </c>
      <c r="C315" s="1">
        <v>11.75</v>
      </c>
      <c r="D315" s="1">
        <v>0.05</v>
      </c>
    </row>
    <row r="316" spans="1:4" x14ac:dyDescent="0.25">
      <c r="A316" s="1">
        <v>2454772.6743000001</v>
      </c>
      <c r="B316" s="1" t="s">
        <v>547</v>
      </c>
      <c r="C316" s="1">
        <v>11.7</v>
      </c>
      <c r="D316" s="1">
        <v>0</v>
      </c>
    </row>
    <row r="317" spans="1:4" x14ac:dyDescent="0.25">
      <c r="A317" s="1">
        <v>2454805.5912000001</v>
      </c>
      <c r="B317" s="1" t="s">
        <v>548</v>
      </c>
      <c r="C317" s="1">
        <v>11.566667000000001</v>
      </c>
      <c r="D317" s="1">
        <v>3.3333000000000002E-2</v>
      </c>
    </row>
    <row r="318" spans="1:4" x14ac:dyDescent="0.25">
      <c r="A318" s="1">
        <v>2454825.8727000002</v>
      </c>
      <c r="B318" s="1" t="s">
        <v>549</v>
      </c>
      <c r="C318" s="1">
        <v>11.4</v>
      </c>
      <c r="D318" s="1">
        <v>0.152753</v>
      </c>
    </row>
    <row r="319" spans="1:4" x14ac:dyDescent="0.25">
      <c r="A319" s="1">
        <v>2454840.9913599999</v>
      </c>
      <c r="B319" s="1" t="s">
        <v>550</v>
      </c>
      <c r="C319" s="1">
        <v>11.057143</v>
      </c>
      <c r="D319" s="1">
        <v>8.1231999999999999E-2</v>
      </c>
    </row>
    <row r="320" spans="1:4" x14ac:dyDescent="0.25">
      <c r="A320" s="1">
        <v>2454855.9360799999</v>
      </c>
      <c r="B320" s="1" t="s">
        <v>551</v>
      </c>
      <c r="C320" s="1">
        <v>10.86</v>
      </c>
      <c r="D320" s="1">
        <v>7.3332999999999995E-2</v>
      </c>
    </row>
    <row r="321" spans="1:4" x14ac:dyDescent="0.25">
      <c r="A321" s="1">
        <v>2454872.8243</v>
      </c>
      <c r="B321" s="1" t="s">
        <v>552</v>
      </c>
      <c r="C321" s="1">
        <v>11.01</v>
      </c>
      <c r="D321" s="1">
        <v>7.3710999999999999E-2</v>
      </c>
    </row>
    <row r="322" spans="1:4" x14ac:dyDescent="0.25">
      <c r="A322" s="1">
        <v>2454891.37048</v>
      </c>
      <c r="B322" s="1" t="s">
        <v>553</v>
      </c>
      <c r="C322" s="1">
        <v>11</v>
      </c>
      <c r="D322" s="1">
        <v>5.4233000000000003E-2</v>
      </c>
    </row>
    <row r="323" spans="1:4" x14ac:dyDescent="0.25">
      <c r="A323" s="1">
        <v>2454907.8898399998</v>
      </c>
      <c r="B323" s="1" t="s">
        <v>554</v>
      </c>
      <c r="C323" s="1">
        <v>10.976922999999999</v>
      </c>
      <c r="D323" s="1">
        <v>7.0849999999999996E-2</v>
      </c>
    </row>
    <row r="324" spans="1:4" x14ac:dyDescent="0.25">
      <c r="A324" s="1">
        <v>2454921.6688100002</v>
      </c>
      <c r="B324" s="1" t="s">
        <v>555</v>
      </c>
      <c r="C324" s="1">
        <v>10.976190000000001</v>
      </c>
      <c r="D324" s="1">
        <v>7.2343000000000005E-2</v>
      </c>
    </row>
    <row r="325" spans="1:4" x14ac:dyDescent="0.25">
      <c r="A325" s="1">
        <v>2454942.3719799998</v>
      </c>
      <c r="B325" s="1" t="s">
        <v>233</v>
      </c>
      <c r="C325" s="1">
        <v>10.85</v>
      </c>
      <c r="D325" s="1">
        <v>3.4411999999999998E-2</v>
      </c>
    </row>
    <row r="326" spans="1:4" x14ac:dyDescent="0.25">
      <c r="A326" s="1">
        <v>2454951.9090300002</v>
      </c>
      <c r="B326" s="1" t="s">
        <v>556</v>
      </c>
      <c r="C326" s="1">
        <v>10.72</v>
      </c>
      <c r="D326" s="1">
        <v>0.02</v>
      </c>
    </row>
    <row r="327" spans="1:4" x14ac:dyDescent="0.25">
      <c r="A327" s="1">
        <v>2454972.0743</v>
      </c>
      <c r="B327" s="1" t="s">
        <v>557</v>
      </c>
      <c r="C327" s="1">
        <v>10.8</v>
      </c>
      <c r="D327" s="1">
        <v>6.3245999999999997E-2</v>
      </c>
    </row>
    <row r="328" spans="1:4" x14ac:dyDescent="0.25">
      <c r="A328" s="1">
        <v>2455090.5619700002</v>
      </c>
      <c r="B328" s="1" t="s">
        <v>558</v>
      </c>
      <c r="C328" s="1">
        <v>9.9250000000000007</v>
      </c>
      <c r="D328" s="1">
        <v>9.4647999999999996E-2</v>
      </c>
    </row>
    <row r="329" spans="1:4" x14ac:dyDescent="0.25">
      <c r="A329" s="1">
        <v>2455111.6606800002</v>
      </c>
      <c r="B329" s="1" t="s">
        <v>559</v>
      </c>
      <c r="C329" s="1">
        <v>10</v>
      </c>
      <c r="D329" s="1">
        <v>7.7460000000000001E-2</v>
      </c>
    </row>
    <row r="330" spans="1:4" x14ac:dyDescent="0.25">
      <c r="A330" s="1">
        <v>2455129.0633399999</v>
      </c>
      <c r="B330" s="1" t="s">
        <v>243</v>
      </c>
      <c r="C330" s="1">
        <v>9.94</v>
      </c>
      <c r="D330" s="1">
        <v>9.2735999999999999E-2</v>
      </c>
    </row>
    <row r="331" spans="1:4" x14ac:dyDescent="0.25">
      <c r="A331" s="1">
        <v>2455149.3439000002</v>
      </c>
      <c r="B331" s="1" t="s">
        <v>560</v>
      </c>
      <c r="C331" s="1">
        <v>9.9600000000000009</v>
      </c>
      <c r="D331" s="1">
        <v>0.04</v>
      </c>
    </row>
    <row r="332" spans="1:4" x14ac:dyDescent="0.25">
      <c r="A332" s="1">
        <v>2455167.9230300002</v>
      </c>
      <c r="B332" s="1" t="s">
        <v>561</v>
      </c>
      <c r="C332" s="1">
        <v>10.083333</v>
      </c>
      <c r="D332" s="1">
        <v>6.0093000000000001E-2</v>
      </c>
    </row>
    <row r="333" spans="1:4" x14ac:dyDescent="0.25">
      <c r="A333" s="1">
        <v>2455188.38057</v>
      </c>
      <c r="B333" s="1" t="s">
        <v>562</v>
      </c>
      <c r="C333" s="1">
        <v>10.4</v>
      </c>
      <c r="D333" s="1">
        <v>0.152753</v>
      </c>
    </row>
    <row r="334" spans="1:4" x14ac:dyDescent="0.25">
      <c r="A334" s="1">
        <v>2455203.8707300001</v>
      </c>
      <c r="B334" s="1" t="s">
        <v>563</v>
      </c>
      <c r="C334" s="1">
        <v>10.074999999999999</v>
      </c>
      <c r="D334" s="1">
        <v>0.14361399999999999</v>
      </c>
    </row>
    <row r="335" spans="1:4" x14ac:dyDescent="0.25">
      <c r="A335" s="1">
        <v>2455219.4232000001</v>
      </c>
      <c r="B335" s="1" t="s">
        <v>564</v>
      </c>
      <c r="C335" s="1">
        <v>10.145455</v>
      </c>
      <c r="D335" s="1">
        <v>6.5175999999999998E-2</v>
      </c>
    </row>
    <row r="336" spans="1:4" x14ac:dyDescent="0.25">
      <c r="A336" s="1">
        <v>2455236.1860099998</v>
      </c>
      <c r="B336" s="1" t="s">
        <v>565</v>
      </c>
      <c r="C336" s="1">
        <v>10.230769</v>
      </c>
      <c r="D336" s="1">
        <v>6.9231000000000001E-2</v>
      </c>
    </row>
    <row r="337" spans="1:4" x14ac:dyDescent="0.25">
      <c r="A337" s="1">
        <v>2455253.4364</v>
      </c>
      <c r="B337" s="1" t="s">
        <v>566</v>
      </c>
      <c r="C337" s="1">
        <v>10.253845999999999</v>
      </c>
      <c r="D337" s="1">
        <v>8.2130999999999996E-2</v>
      </c>
    </row>
    <row r="338" spans="1:4" x14ac:dyDescent="0.25">
      <c r="A338" s="1">
        <v>2455267.0456599998</v>
      </c>
      <c r="B338" s="1" t="s">
        <v>567</v>
      </c>
      <c r="C338" s="1">
        <v>10.129032</v>
      </c>
      <c r="D338" s="1">
        <v>3.5070999999999998E-2</v>
      </c>
    </row>
    <row r="339" spans="1:4" x14ac:dyDescent="0.25">
      <c r="A339" s="1">
        <v>2455277.8856199998</v>
      </c>
      <c r="B339" s="1" t="s">
        <v>568</v>
      </c>
      <c r="C339" s="1">
        <v>10.199999999999999</v>
      </c>
      <c r="D339" s="1">
        <v>4.9440999999999999E-2</v>
      </c>
    </row>
    <row r="340" spans="1:4" x14ac:dyDescent="0.25">
      <c r="A340" s="1">
        <v>2455298.6310700001</v>
      </c>
      <c r="B340" s="1" t="s">
        <v>569</v>
      </c>
      <c r="C340" s="1">
        <v>10.244444</v>
      </c>
      <c r="D340" s="1">
        <v>3.3550000000000003E-2</v>
      </c>
    </row>
    <row r="341" spans="1:4" x14ac:dyDescent="0.25">
      <c r="A341" s="1">
        <v>2455313.92533</v>
      </c>
      <c r="B341" s="1" t="s">
        <v>570</v>
      </c>
      <c r="C341" s="1">
        <v>10.262499999999999</v>
      </c>
      <c r="D341" s="1">
        <v>3.2390000000000002E-2</v>
      </c>
    </row>
    <row r="342" spans="1:4" x14ac:dyDescent="0.25">
      <c r="A342" s="1">
        <v>2455327.56</v>
      </c>
      <c r="B342" s="1" t="s">
        <v>571</v>
      </c>
      <c r="C342" s="1">
        <v>10.24</v>
      </c>
      <c r="D342" s="1">
        <v>2.6667E-2</v>
      </c>
    </row>
    <row r="343" spans="1:4" x14ac:dyDescent="0.25">
      <c r="A343" s="1">
        <v>2455343.8722199998</v>
      </c>
      <c r="B343" s="1" t="s">
        <v>572</v>
      </c>
      <c r="C343" s="1">
        <v>10.199999999999999</v>
      </c>
      <c r="D343" s="1">
        <v>0</v>
      </c>
    </row>
    <row r="344" spans="1:4" x14ac:dyDescent="0.25">
      <c r="A344" s="1">
        <v>2455480.0211</v>
      </c>
      <c r="B344" s="1" t="s">
        <v>573</v>
      </c>
      <c r="C344" s="1">
        <v>10.433332999999999</v>
      </c>
      <c r="D344" s="1">
        <v>8.8192000000000006E-2</v>
      </c>
    </row>
    <row r="345" spans="1:4" x14ac:dyDescent="0.25">
      <c r="A345" s="1">
        <v>2455496.6378000001</v>
      </c>
      <c r="B345" s="1" t="s">
        <v>574</v>
      </c>
      <c r="C345" s="1">
        <v>10.55</v>
      </c>
      <c r="D345" s="1">
        <v>0.05</v>
      </c>
    </row>
    <row r="346" spans="1:4" x14ac:dyDescent="0.25">
      <c r="A346" s="1">
        <v>2455517.6822799998</v>
      </c>
      <c r="B346" s="1" t="s">
        <v>575</v>
      </c>
      <c r="C346" s="1">
        <v>10.65</v>
      </c>
      <c r="D346" s="1">
        <v>8.6602999999999999E-2</v>
      </c>
    </row>
    <row r="347" spans="1:4" x14ac:dyDescent="0.25">
      <c r="A347" s="1">
        <v>2455530.1989500001</v>
      </c>
      <c r="B347" s="1" t="s">
        <v>576</v>
      </c>
      <c r="C347" s="1">
        <v>10.75</v>
      </c>
      <c r="D347" s="1">
        <v>0.05</v>
      </c>
    </row>
    <row r="348" spans="1:4" x14ac:dyDescent="0.25">
      <c r="A348" s="1">
        <v>2455576.10867</v>
      </c>
      <c r="B348" s="1" t="s">
        <v>577</v>
      </c>
      <c r="C348" s="1">
        <v>10.666667</v>
      </c>
      <c r="D348" s="1">
        <v>6.6667000000000004E-2</v>
      </c>
    </row>
    <row r="349" spans="1:4" x14ac:dyDescent="0.25">
      <c r="A349" s="1">
        <v>2455594.6059400002</v>
      </c>
      <c r="B349" s="1" t="s">
        <v>578</v>
      </c>
      <c r="C349" s="1">
        <v>10.643750000000001</v>
      </c>
      <c r="D349" s="1">
        <v>3.4118000000000002E-2</v>
      </c>
    </row>
    <row r="350" spans="1:4" x14ac:dyDescent="0.25">
      <c r="A350" s="1">
        <v>2455608.0864499998</v>
      </c>
      <c r="B350" s="1" t="s">
        <v>579</v>
      </c>
      <c r="C350" s="1">
        <v>10.5875</v>
      </c>
      <c r="D350" s="1">
        <v>8.7499999999999994E-2</v>
      </c>
    </row>
    <row r="351" spans="1:4" x14ac:dyDescent="0.25">
      <c r="A351" s="1">
        <v>2455625.94502</v>
      </c>
      <c r="B351" s="1" t="s">
        <v>580</v>
      </c>
      <c r="C351" s="1">
        <v>10.669231</v>
      </c>
      <c r="D351" s="1">
        <v>3.6488E-2</v>
      </c>
    </row>
    <row r="352" spans="1:4" x14ac:dyDescent="0.25">
      <c r="A352" s="1">
        <v>2455642.5542600001</v>
      </c>
      <c r="B352" s="1" t="s">
        <v>581</v>
      </c>
      <c r="C352" s="1">
        <v>10.622222000000001</v>
      </c>
      <c r="D352" s="1">
        <v>4.9378999999999999E-2</v>
      </c>
    </row>
    <row r="353" spans="1:4" x14ac:dyDescent="0.25">
      <c r="A353" s="1">
        <v>2455659.04636</v>
      </c>
      <c r="B353" s="1" t="s">
        <v>582</v>
      </c>
      <c r="C353" s="1">
        <v>10.57</v>
      </c>
      <c r="D353" s="1">
        <v>4.7258000000000001E-2</v>
      </c>
    </row>
    <row r="354" spans="1:4" x14ac:dyDescent="0.25">
      <c r="A354" s="1">
        <v>2455672.0434900001</v>
      </c>
      <c r="B354" s="1" t="s">
        <v>583</v>
      </c>
      <c r="C354" s="1">
        <v>10.375</v>
      </c>
      <c r="D354" s="1">
        <v>1.6365999999999999E-2</v>
      </c>
    </row>
    <row r="355" spans="1:4" x14ac:dyDescent="0.25">
      <c r="A355" s="1">
        <v>2455687.9068900002</v>
      </c>
      <c r="B355" s="1" t="s">
        <v>584</v>
      </c>
      <c r="C355" s="1">
        <v>10.391667</v>
      </c>
      <c r="D355" s="1">
        <v>8.3330000000000001E-3</v>
      </c>
    </row>
    <row r="356" spans="1:4" x14ac:dyDescent="0.25">
      <c r="A356" s="1">
        <v>2455707.1679600002</v>
      </c>
      <c r="B356" s="1" t="s">
        <v>585</v>
      </c>
      <c r="C356" s="1">
        <v>10.414286000000001</v>
      </c>
      <c r="D356" s="1">
        <v>1.4286E-2</v>
      </c>
    </row>
    <row r="357" spans="1:4" x14ac:dyDescent="0.25">
      <c r="A357" s="1">
        <v>2455714.6241299999</v>
      </c>
      <c r="B357" s="1" t="s">
        <v>586</v>
      </c>
      <c r="C357" s="1">
        <v>10.475</v>
      </c>
      <c r="D357" s="1">
        <v>4.7870999999999997E-2</v>
      </c>
    </row>
    <row r="358" spans="1:4" x14ac:dyDescent="0.25">
      <c r="A358" s="1">
        <v>2455938.8856500001</v>
      </c>
      <c r="B358" s="1" t="s">
        <v>587</v>
      </c>
      <c r="C358" s="1">
        <v>10.766667</v>
      </c>
      <c r="D358" s="1">
        <v>4.1438999999999997E-2</v>
      </c>
    </row>
    <row r="359" spans="1:4" x14ac:dyDescent="0.25">
      <c r="A359" s="1">
        <v>2455955.8964999998</v>
      </c>
      <c r="B359" s="1" t="s">
        <v>237</v>
      </c>
      <c r="C359" s="1">
        <v>10.637499999999999</v>
      </c>
      <c r="D359" s="1">
        <v>3.2390000000000002E-2</v>
      </c>
    </row>
    <row r="360" spans="1:4" x14ac:dyDescent="0.25">
      <c r="A360" s="1">
        <v>2455974.4138199999</v>
      </c>
      <c r="B360" s="1" t="s">
        <v>588</v>
      </c>
      <c r="C360" s="1">
        <v>10.693333000000001</v>
      </c>
      <c r="D360" s="1">
        <v>2.0625000000000001E-2</v>
      </c>
    </row>
    <row r="361" spans="1:4" x14ac:dyDescent="0.25">
      <c r="A361" s="1">
        <v>2455991.0883300002</v>
      </c>
      <c r="B361" s="1" t="s">
        <v>589</v>
      </c>
      <c r="C361" s="1">
        <v>10.58</v>
      </c>
      <c r="D361" s="1">
        <v>2.9059000000000001E-2</v>
      </c>
    </row>
    <row r="362" spans="1:4" x14ac:dyDescent="0.25">
      <c r="A362" s="1">
        <v>2456010.3049900001</v>
      </c>
      <c r="B362" s="1" t="s">
        <v>590</v>
      </c>
      <c r="C362" s="1">
        <v>10.583333</v>
      </c>
      <c r="D362" s="1">
        <v>3.4536999999999998E-2</v>
      </c>
    </row>
    <row r="363" spans="1:4" x14ac:dyDescent="0.25">
      <c r="A363" s="1">
        <v>2456022.2955800002</v>
      </c>
      <c r="B363" s="1" t="s">
        <v>591</v>
      </c>
      <c r="C363" s="1">
        <v>10.390909000000001</v>
      </c>
      <c r="D363" s="1">
        <v>9.0910000000000001E-3</v>
      </c>
    </row>
    <row r="364" spans="1:4" x14ac:dyDescent="0.25">
      <c r="A364" s="1">
        <v>2456043.5513300002</v>
      </c>
      <c r="B364" s="1" t="s">
        <v>592</v>
      </c>
      <c r="C364" s="1">
        <v>10.385714</v>
      </c>
      <c r="D364" s="1">
        <v>2.6082000000000001E-2</v>
      </c>
    </row>
    <row r="365" spans="1:4" x14ac:dyDescent="0.25">
      <c r="A365" s="1">
        <v>2456062.0351200001</v>
      </c>
      <c r="B365" s="1" t="s">
        <v>593</v>
      </c>
      <c r="C365" s="1">
        <v>10.214286</v>
      </c>
      <c r="D365" s="1">
        <v>4.5921999999999998E-2</v>
      </c>
    </row>
    <row r="366" spans="1:4" x14ac:dyDescent="0.25">
      <c r="A366" s="1">
        <v>2456248.5277</v>
      </c>
      <c r="B366" s="1" t="s">
        <v>594</v>
      </c>
      <c r="C366" s="1">
        <v>10.7</v>
      </c>
      <c r="D366" s="1">
        <v>0</v>
      </c>
    </row>
    <row r="367" spans="1:4" x14ac:dyDescent="0.25">
      <c r="A367" s="1">
        <v>2456267.5720000002</v>
      </c>
      <c r="B367" s="1" t="s">
        <v>595</v>
      </c>
      <c r="C367" s="1">
        <v>10.3</v>
      </c>
      <c r="D367" s="1">
        <v>0</v>
      </c>
    </row>
    <row r="368" spans="1:4" x14ac:dyDescent="0.25">
      <c r="A368" s="1">
        <v>2456307.00239</v>
      </c>
      <c r="B368" s="1" t="s">
        <v>596</v>
      </c>
      <c r="C368" s="1">
        <v>10.55</v>
      </c>
      <c r="D368" s="1">
        <v>0.05</v>
      </c>
    </row>
    <row r="369" spans="1:4" x14ac:dyDescent="0.25">
      <c r="A369" s="1">
        <v>2456329.12861</v>
      </c>
      <c r="B369" s="1" t="s">
        <v>597</v>
      </c>
      <c r="C369" s="1">
        <v>10.324999999999999</v>
      </c>
      <c r="D369" s="1">
        <v>4.4594000000000002E-2</v>
      </c>
    </row>
    <row r="370" spans="1:4" x14ac:dyDescent="0.25">
      <c r="A370" s="1">
        <v>2456348.1163900001</v>
      </c>
      <c r="B370" s="1" t="s">
        <v>598</v>
      </c>
      <c r="C370" s="1">
        <v>10.485714</v>
      </c>
      <c r="D370" s="1">
        <v>0.16822400000000001</v>
      </c>
    </row>
    <row r="371" spans="1:4" x14ac:dyDescent="0.25">
      <c r="A371" s="1">
        <v>2456363.9145900002</v>
      </c>
      <c r="B371" s="1" t="s">
        <v>599</v>
      </c>
      <c r="C371" s="1">
        <v>10.457143</v>
      </c>
      <c r="D371" s="1">
        <v>6.4944000000000002E-2</v>
      </c>
    </row>
    <row r="372" spans="1:4" x14ac:dyDescent="0.25">
      <c r="A372" s="1">
        <v>2456383.5628</v>
      </c>
      <c r="B372" s="1" t="s">
        <v>600</v>
      </c>
      <c r="C372" s="1">
        <v>10.477778000000001</v>
      </c>
      <c r="D372" s="1">
        <v>6.4070000000000002E-2</v>
      </c>
    </row>
    <row r="373" spans="1:4" x14ac:dyDescent="0.25">
      <c r="A373" s="1">
        <v>2456402.3773400001</v>
      </c>
      <c r="B373" s="1" t="s">
        <v>601</v>
      </c>
      <c r="C373" s="1">
        <v>10.309091</v>
      </c>
      <c r="D373" s="1">
        <v>9.0910000000000001E-3</v>
      </c>
    </row>
    <row r="374" spans="1:4" x14ac:dyDescent="0.25">
      <c r="A374" s="1">
        <v>2456427.8954799999</v>
      </c>
      <c r="B374" s="1" t="s">
        <v>602</v>
      </c>
      <c r="C374" s="1">
        <v>10.3</v>
      </c>
      <c r="D374" s="1">
        <v>0</v>
      </c>
    </row>
    <row r="375" spans="1:4" x14ac:dyDescent="0.25">
      <c r="A375" s="1">
        <v>2456604.64</v>
      </c>
      <c r="B375" s="1" t="s">
        <v>90</v>
      </c>
      <c r="C375" s="1">
        <v>10.5</v>
      </c>
      <c r="D375" s="1">
        <v>0</v>
      </c>
    </row>
    <row r="376" spans="1:4" x14ac:dyDescent="0.25">
      <c r="A376" s="1">
        <v>2456655.6336699999</v>
      </c>
      <c r="B376" s="1" t="s">
        <v>603</v>
      </c>
      <c r="C376" s="1">
        <v>10.5</v>
      </c>
      <c r="D376" s="1">
        <v>8.9442999999999995E-2</v>
      </c>
    </row>
    <row r="377" spans="1:4" x14ac:dyDescent="0.25">
      <c r="A377" s="1">
        <v>2456673.5463299998</v>
      </c>
      <c r="B377" s="1" t="s">
        <v>604</v>
      </c>
      <c r="C377" s="1">
        <v>10.716666999999999</v>
      </c>
      <c r="D377" s="1">
        <v>4.7725999999999998E-2</v>
      </c>
    </row>
    <row r="378" spans="1:4" x14ac:dyDescent="0.25">
      <c r="A378" s="1">
        <v>2456684.6167799998</v>
      </c>
      <c r="B378" s="1" t="s">
        <v>605</v>
      </c>
      <c r="C378" s="1">
        <v>10.62</v>
      </c>
      <c r="D378" s="1">
        <v>7.3484999999999995E-2</v>
      </c>
    </row>
    <row r="379" spans="1:4" x14ac:dyDescent="0.25">
      <c r="A379" s="1">
        <v>2456703.2173299999</v>
      </c>
      <c r="B379" s="1" t="s">
        <v>606</v>
      </c>
      <c r="C379" s="1">
        <v>10.6</v>
      </c>
      <c r="D379" s="1">
        <v>4.4720999999999997E-2</v>
      </c>
    </row>
    <row r="380" spans="1:4" x14ac:dyDescent="0.25">
      <c r="A380" s="1">
        <v>2456720.46367</v>
      </c>
      <c r="B380" s="1" t="s">
        <v>607</v>
      </c>
      <c r="C380" s="1">
        <v>10.576471</v>
      </c>
      <c r="D380" s="1">
        <v>3.1541E-2</v>
      </c>
    </row>
    <row r="381" spans="1:4" x14ac:dyDescent="0.25">
      <c r="A381" s="1">
        <v>2456737.8713099998</v>
      </c>
      <c r="B381" s="1" t="s">
        <v>608</v>
      </c>
      <c r="C381" s="1">
        <v>10.645455</v>
      </c>
      <c r="D381" s="1">
        <v>9.1814000000000007E-2</v>
      </c>
    </row>
    <row r="382" spans="1:4" x14ac:dyDescent="0.25">
      <c r="A382" s="1">
        <v>2456753.7055899999</v>
      </c>
      <c r="B382" s="1" t="s">
        <v>609</v>
      </c>
      <c r="C382" s="1">
        <v>10.422222</v>
      </c>
      <c r="D382" s="1">
        <v>2.7778000000000001E-2</v>
      </c>
    </row>
    <row r="383" spans="1:4" x14ac:dyDescent="0.25">
      <c r="A383" s="1">
        <v>2456775.4726200001</v>
      </c>
      <c r="B383" s="1" t="s">
        <v>610</v>
      </c>
      <c r="C383" s="1">
        <v>10.4125</v>
      </c>
      <c r="D383" s="1">
        <v>2.9505E-2</v>
      </c>
    </row>
    <row r="384" spans="1:4" x14ac:dyDescent="0.25">
      <c r="A384" s="1">
        <v>2456784.1119400002</v>
      </c>
      <c r="B384" s="1" t="s">
        <v>611</v>
      </c>
      <c r="C384" s="1">
        <v>10.42</v>
      </c>
      <c r="D384" s="1">
        <v>0.02</v>
      </c>
    </row>
    <row r="385" spans="1:4" x14ac:dyDescent="0.25">
      <c r="A385" s="1">
        <v>2456802.3843700001</v>
      </c>
      <c r="B385" s="1" t="s">
        <v>612</v>
      </c>
      <c r="C385" s="1">
        <v>10.4</v>
      </c>
      <c r="D385" s="1">
        <v>0</v>
      </c>
    </row>
    <row r="386" spans="1:4" x14ac:dyDescent="0.25">
      <c r="A386" s="1">
        <v>2456949.64</v>
      </c>
      <c r="B386" s="1" t="s">
        <v>613</v>
      </c>
      <c r="C386" s="1">
        <v>10.7</v>
      </c>
      <c r="D386" s="1">
        <v>0</v>
      </c>
    </row>
    <row r="387" spans="1:4" x14ac:dyDescent="0.25">
      <c r="A387" s="1">
        <v>2457026.952</v>
      </c>
      <c r="B387" s="1" t="s">
        <v>614</v>
      </c>
      <c r="C387" s="1">
        <v>11.35</v>
      </c>
      <c r="D387" s="1">
        <v>0.65</v>
      </c>
    </row>
    <row r="388" spans="1:4" x14ac:dyDescent="0.25">
      <c r="A388" s="1">
        <v>2457039.4205</v>
      </c>
      <c r="B388" s="1" t="s">
        <v>615</v>
      </c>
      <c r="C388" s="1">
        <v>11.05</v>
      </c>
      <c r="D388" s="1">
        <v>0.15</v>
      </c>
    </row>
    <row r="389" spans="1:4" x14ac:dyDescent="0.25">
      <c r="A389" s="1">
        <v>2457067.4926100001</v>
      </c>
      <c r="B389" s="1" t="s">
        <v>616</v>
      </c>
      <c r="C389" s="1">
        <v>11.88</v>
      </c>
      <c r="D389" s="1">
        <v>0.170489</v>
      </c>
    </row>
    <row r="390" spans="1:4" x14ac:dyDescent="0.25">
      <c r="A390" s="1">
        <v>2457082.5172100002</v>
      </c>
      <c r="B390" s="1" t="s">
        <v>617</v>
      </c>
      <c r="C390" s="1">
        <v>11.884615</v>
      </c>
      <c r="D390" s="1">
        <v>0.106726</v>
      </c>
    </row>
    <row r="391" spans="1:4" x14ac:dyDescent="0.25">
      <c r="A391" s="1">
        <v>2457097.8352199998</v>
      </c>
      <c r="B391" s="1" t="s">
        <v>618</v>
      </c>
      <c r="C391" s="1">
        <v>12.063636000000001</v>
      </c>
      <c r="D391" s="1">
        <v>6.0712000000000002E-2</v>
      </c>
    </row>
    <row r="392" spans="1:4" x14ac:dyDescent="0.25">
      <c r="A392" s="1">
        <v>2457111.2344399998</v>
      </c>
      <c r="B392" s="1" t="s">
        <v>619</v>
      </c>
      <c r="C392" s="1">
        <v>12.2</v>
      </c>
      <c r="D392" s="1">
        <v>3.9223000000000001E-2</v>
      </c>
    </row>
    <row r="393" spans="1:4" x14ac:dyDescent="0.25">
      <c r="A393" s="1">
        <v>2457131.0078400001</v>
      </c>
      <c r="B393" s="1" t="s">
        <v>0</v>
      </c>
      <c r="C393" s="1">
        <v>12.15</v>
      </c>
      <c r="D393" s="1">
        <v>3.4157E-2</v>
      </c>
    </row>
    <row r="394" spans="1:4" x14ac:dyDescent="0.25">
      <c r="A394" s="1">
        <v>2457146.9045899999</v>
      </c>
      <c r="B394" s="1" t="s">
        <v>620</v>
      </c>
      <c r="C394" s="1">
        <v>12.169231</v>
      </c>
      <c r="D394" s="1">
        <v>1.7485000000000001E-2</v>
      </c>
    </row>
    <row r="395" spans="1:4" x14ac:dyDescent="0.25">
      <c r="A395" s="1">
        <v>2457157.8955999999</v>
      </c>
      <c r="B395" s="1" t="s">
        <v>26</v>
      </c>
      <c r="C395" s="1">
        <v>12</v>
      </c>
      <c r="D395" s="1">
        <v>0.11547</v>
      </c>
    </row>
    <row r="396" spans="1:4" x14ac:dyDescent="0.25">
      <c r="A396" s="1">
        <v>2457383.0214999998</v>
      </c>
      <c r="B396" s="1" t="s">
        <v>621</v>
      </c>
      <c r="C396" s="1">
        <v>10.7</v>
      </c>
      <c r="D396" s="1">
        <v>0</v>
      </c>
    </row>
    <row r="397" spans="1:4" x14ac:dyDescent="0.25">
      <c r="A397" s="1">
        <v>2457401.3615999999</v>
      </c>
      <c r="B397" s="1" t="s">
        <v>622</v>
      </c>
      <c r="C397" s="1">
        <v>10.66</v>
      </c>
      <c r="D397" s="1">
        <v>9.7979999999999998E-2</v>
      </c>
    </row>
    <row r="398" spans="1:4" x14ac:dyDescent="0.25">
      <c r="A398" s="1">
        <v>2457427.5769000002</v>
      </c>
      <c r="B398" s="1" t="s">
        <v>623</v>
      </c>
      <c r="C398" s="1">
        <v>10.514286</v>
      </c>
      <c r="D398" s="1">
        <v>8.2890000000000005E-2</v>
      </c>
    </row>
    <row r="399" spans="1:4" x14ac:dyDescent="0.25">
      <c r="A399" s="1">
        <v>2457436.3528700001</v>
      </c>
      <c r="B399" s="1" t="s">
        <v>624</v>
      </c>
      <c r="C399" s="1">
        <v>10.375</v>
      </c>
      <c r="D399" s="1">
        <v>4.1188000000000002E-2</v>
      </c>
    </row>
    <row r="400" spans="1:4" x14ac:dyDescent="0.25">
      <c r="A400" s="1">
        <v>2457455.7933</v>
      </c>
      <c r="B400" s="1" t="s">
        <v>625</v>
      </c>
      <c r="C400" s="1">
        <v>10.328571</v>
      </c>
      <c r="D400" s="1">
        <v>3.0433999999999999E-2</v>
      </c>
    </row>
    <row r="401" spans="1:4" x14ac:dyDescent="0.25">
      <c r="A401" s="1">
        <v>2457469.24664</v>
      </c>
      <c r="B401" s="1" t="s">
        <v>626</v>
      </c>
      <c r="C401" s="1">
        <v>10.322222</v>
      </c>
      <c r="D401" s="1">
        <v>5.9576999999999998E-2</v>
      </c>
    </row>
    <row r="402" spans="1:4" x14ac:dyDescent="0.25">
      <c r="A402" s="1">
        <v>2457482.3615999999</v>
      </c>
      <c r="B402" s="1" t="s">
        <v>627</v>
      </c>
      <c r="C402" s="1">
        <v>10.4</v>
      </c>
      <c r="D402" s="1">
        <v>3.1622999999999998E-2</v>
      </c>
    </row>
    <row r="403" spans="1:4" x14ac:dyDescent="0.25">
      <c r="A403" s="1">
        <v>2457507.2253399999</v>
      </c>
      <c r="B403" s="1" t="s">
        <v>146</v>
      </c>
      <c r="C403" s="1">
        <v>10</v>
      </c>
      <c r="D403" s="1">
        <v>0.1</v>
      </c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380"/>
  <sheetViews>
    <sheetView topLeftCell="A28" workbookViewId="0">
      <selection activeCell="H17" sqref="H17"/>
    </sheetView>
  </sheetViews>
  <sheetFormatPr baseColWidth="10" defaultRowHeight="15" x14ac:dyDescent="0.25"/>
  <cols>
    <col min="1" max="3" width="23.140625" customWidth="1"/>
  </cols>
  <sheetData>
    <row r="1" spans="1:18" x14ac:dyDescent="0.25">
      <c r="A1" s="1">
        <v>2453411.3703999999</v>
      </c>
      <c r="B1" s="1" t="s">
        <v>628</v>
      </c>
      <c r="C1" s="1">
        <v>0.96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 t="s">
        <v>722</v>
      </c>
    </row>
    <row r="2" spans="1:18" x14ac:dyDescent="0.25">
      <c r="A2" s="1">
        <v>2453712.5519500002</v>
      </c>
      <c r="B2" s="1" t="s">
        <v>629</v>
      </c>
      <c r="C2" s="1">
        <v>1.03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 t="s">
        <v>722</v>
      </c>
    </row>
    <row r="3" spans="1:18" x14ac:dyDescent="0.25">
      <c r="A3" s="1">
        <v>2453714.5236499999</v>
      </c>
      <c r="B3" s="1" t="s">
        <v>630</v>
      </c>
      <c r="C3" s="1">
        <v>1.05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 t="s">
        <v>722</v>
      </c>
    </row>
    <row r="4" spans="1:18" x14ac:dyDescent="0.25">
      <c r="A4" s="1">
        <v>2453723.4777000002</v>
      </c>
      <c r="B4" s="1" t="s">
        <v>631</v>
      </c>
      <c r="C4" s="1">
        <v>1.05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 t="s">
        <v>722</v>
      </c>
    </row>
    <row r="5" spans="1:18" x14ac:dyDescent="0.25">
      <c r="A5" s="1">
        <v>2453725.9893499999</v>
      </c>
      <c r="B5" s="1" t="s">
        <v>723</v>
      </c>
      <c r="C5" s="1">
        <v>1.03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 t="s">
        <v>722</v>
      </c>
    </row>
    <row r="6" spans="1:18" x14ac:dyDescent="0.25">
      <c r="A6" s="1">
        <v>2453734.5499</v>
      </c>
      <c r="B6" s="1" t="s">
        <v>724</v>
      </c>
      <c r="C6" s="1">
        <v>0.96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 t="s">
        <v>722</v>
      </c>
    </row>
    <row r="7" spans="1:18" x14ac:dyDescent="0.25">
      <c r="A7" s="1">
        <v>2453739.4663499999</v>
      </c>
      <c r="B7" s="1" t="s">
        <v>632</v>
      </c>
      <c r="C7" s="1">
        <v>1.01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 t="s">
        <v>722</v>
      </c>
    </row>
    <row r="8" spans="1:18" x14ac:dyDescent="0.25">
      <c r="A8" s="1">
        <v>2453742.5125000002</v>
      </c>
      <c r="B8" s="1" t="s">
        <v>633</v>
      </c>
      <c r="C8" s="1">
        <v>1.01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 t="s">
        <v>722</v>
      </c>
    </row>
    <row r="9" spans="1:18" x14ac:dyDescent="0.25">
      <c r="A9" s="1">
        <v>2453745.4363000002</v>
      </c>
      <c r="B9" s="1" t="s">
        <v>725</v>
      </c>
      <c r="C9" s="1">
        <v>0.95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 t="s">
        <v>722</v>
      </c>
    </row>
    <row r="10" spans="1:18" x14ac:dyDescent="0.25">
      <c r="A10" s="1">
        <v>2453745.4701</v>
      </c>
      <c r="B10" s="1" t="s">
        <v>725</v>
      </c>
      <c r="C10" s="1">
        <v>0.97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 t="s">
        <v>722</v>
      </c>
    </row>
    <row r="11" spans="1:18" x14ac:dyDescent="0.25">
      <c r="A11" s="1">
        <v>2453754.4506999999</v>
      </c>
      <c r="B11" s="1" t="s">
        <v>634</v>
      </c>
      <c r="C11" s="1">
        <v>1.1100000000000001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 t="s">
        <v>722</v>
      </c>
    </row>
    <row r="12" spans="1:18" x14ac:dyDescent="0.25">
      <c r="A12" s="1">
        <v>2453760.45365</v>
      </c>
      <c r="B12" s="1" t="s">
        <v>230</v>
      </c>
      <c r="C12" s="1">
        <v>1.0900000000000001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 t="s">
        <v>722</v>
      </c>
    </row>
    <row r="13" spans="1:18" x14ac:dyDescent="0.25">
      <c r="A13" s="1">
        <v>2453768.4378</v>
      </c>
      <c r="B13" s="1" t="s">
        <v>726</v>
      </c>
      <c r="C13" s="1">
        <v>1.1499999999999999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 t="s">
        <v>722</v>
      </c>
    </row>
    <row r="14" spans="1:18" x14ac:dyDescent="0.25">
      <c r="A14" s="1">
        <v>2453769.4043999999</v>
      </c>
      <c r="B14" s="1" t="s">
        <v>635</v>
      </c>
      <c r="C14" s="1">
        <v>1.05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 t="s">
        <v>722</v>
      </c>
    </row>
    <row r="15" spans="1:18" x14ac:dyDescent="0.25">
      <c r="A15" s="1">
        <v>2453772.3909999998</v>
      </c>
      <c r="B15" s="1" t="s">
        <v>636</v>
      </c>
      <c r="C15" s="1">
        <v>1.1299999999999999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 t="s">
        <v>722</v>
      </c>
    </row>
    <row r="16" spans="1:18" x14ac:dyDescent="0.25">
      <c r="A16" s="1">
        <v>2453777.3694500001</v>
      </c>
      <c r="B16" s="1" t="s">
        <v>637</v>
      </c>
      <c r="C16" s="1">
        <v>1.1200000000000001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 t="s">
        <v>722</v>
      </c>
    </row>
    <row r="17" spans="1:18" x14ac:dyDescent="0.25">
      <c r="A17" s="1">
        <v>2453784.4264000002</v>
      </c>
      <c r="B17" s="1" t="s">
        <v>638</v>
      </c>
      <c r="C17" s="1">
        <v>1.08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 t="s">
        <v>722</v>
      </c>
    </row>
    <row r="18" spans="1:18" x14ac:dyDescent="0.25">
      <c r="A18" s="1">
        <v>2453797.3482499998</v>
      </c>
      <c r="B18" s="1" t="s">
        <v>639</v>
      </c>
      <c r="C18" s="1">
        <v>1.08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 t="s">
        <v>722</v>
      </c>
    </row>
    <row r="19" spans="1:18" x14ac:dyDescent="0.25">
      <c r="A19" s="1">
        <v>2453797.4327400001</v>
      </c>
      <c r="B19" s="1" t="s">
        <v>639</v>
      </c>
      <c r="C19" s="1">
        <v>1.01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 t="s">
        <v>722</v>
      </c>
    </row>
    <row r="20" spans="1:18" x14ac:dyDescent="0.25">
      <c r="A20" s="1">
        <v>2453806.3678000001</v>
      </c>
      <c r="B20" s="1" t="s">
        <v>640</v>
      </c>
      <c r="C20" s="1">
        <v>0.91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 t="s">
        <v>722</v>
      </c>
    </row>
    <row r="21" spans="1:18" x14ac:dyDescent="0.25">
      <c r="A21" s="1">
        <v>2453824.3152999999</v>
      </c>
      <c r="B21" s="1" t="s">
        <v>641</v>
      </c>
      <c r="C21" s="1">
        <v>1.06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 t="s">
        <v>722</v>
      </c>
    </row>
    <row r="22" spans="1:18" x14ac:dyDescent="0.25">
      <c r="A22" s="1">
        <v>2454454.5071</v>
      </c>
      <c r="B22" s="1" t="s">
        <v>727</v>
      </c>
      <c r="C22" s="1">
        <v>1.32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 t="s">
        <v>722</v>
      </c>
    </row>
    <row r="23" spans="1:18" x14ac:dyDescent="0.25">
      <c r="A23" s="1">
        <v>2454462.4907999998</v>
      </c>
      <c r="B23" s="1" t="s">
        <v>642</v>
      </c>
      <c r="C23" s="1">
        <v>1.39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 t="s">
        <v>722</v>
      </c>
    </row>
    <row r="24" spans="1:18" x14ac:dyDescent="0.25">
      <c r="A24" s="1">
        <v>2454465.5082</v>
      </c>
      <c r="B24" s="1" t="s">
        <v>643</v>
      </c>
      <c r="C24" s="1">
        <v>1.44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 t="s">
        <v>722</v>
      </c>
    </row>
    <row r="25" spans="1:18" x14ac:dyDescent="0.25">
      <c r="A25" s="1">
        <v>2454488.4155999999</v>
      </c>
      <c r="B25" s="1" t="s">
        <v>644</v>
      </c>
      <c r="C25" s="1">
        <v>1.51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 t="s">
        <v>722</v>
      </c>
    </row>
    <row r="26" spans="1:18" x14ac:dyDescent="0.25">
      <c r="A26" s="1">
        <v>2454492.4416999999</v>
      </c>
      <c r="B26" s="1" t="s">
        <v>232</v>
      </c>
      <c r="C26" s="1">
        <v>1.52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 t="s">
        <v>722</v>
      </c>
    </row>
    <row r="27" spans="1:18" x14ac:dyDescent="0.25">
      <c r="A27" s="1">
        <v>2454502.4027999998</v>
      </c>
      <c r="B27" s="1" t="s">
        <v>645</v>
      </c>
      <c r="C27" s="1">
        <v>1.56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 t="s">
        <v>722</v>
      </c>
    </row>
    <row r="28" spans="1:18" x14ac:dyDescent="0.25">
      <c r="A28" s="1">
        <v>2454504.3930500001</v>
      </c>
      <c r="B28" s="1" t="s">
        <v>646</v>
      </c>
      <c r="C28" s="1">
        <v>1.55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 t="s">
        <v>722</v>
      </c>
    </row>
    <row r="29" spans="1:18" x14ac:dyDescent="0.25">
      <c r="A29" s="1">
        <v>2454793.5806999998</v>
      </c>
      <c r="B29" s="1" t="s">
        <v>728</v>
      </c>
      <c r="C29" s="1">
        <v>1.0900000000000001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 t="s">
        <v>722</v>
      </c>
    </row>
    <row r="30" spans="1:18" x14ac:dyDescent="0.25">
      <c r="A30" s="1">
        <v>2454797.5675499998</v>
      </c>
      <c r="B30" s="1" t="s">
        <v>647</v>
      </c>
      <c r="C30" s="1">
        <v>1.1000000000000001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 t="s">
        <v>722</v>
      </c>
    </row>
    <row r="31" spans="1:18" x14ac:dyDescent="0.25">
      <c r="A31" s="1">
        <v>2454807.5798999998</v>
      </c>
      <c r="B31" s="1" t="s">
        <v>729</v>
      </c>
      <c r="C31" s="1">
        <v>1.06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 t="s">
        <v>722</v>
      </c>
    </row>
    <row r="32" spans="1:18" x14ac:dyDescent="0.25">
      <c r="A32" s="1">
        <v>2454820.54825</v>
      </c>
      <c r="B32" s="1" t="s">
        <v>648</v>
      </c>
      <c r="C32" s="1">
        <v>1.1299999999999999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 t="s">
        <v>722</v>
      </c>
    </row>
    <row r="33" spans="1:18" x14ac:dyDescent="0.25">
      <c r="A33" s="1">
        <v>2454824.5034500002</v>
      </c>
      <c r="B33" s="1" t="s">
        <v>649</v>
      </c>
      <c r="C33" s="1">
        <v>1.1499999999999999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 t="s">
        <v>722</v>
      </c>
    </row>
    <row r="34" spans="1:18" x14ac:dyDescent="0.25">
      <c r="A34" s="1">
        <v>2454827.5313499998</v>
      </c>
      <c r="B34" s="1" t="s">
        <v>650</v>
      </c>
      <c r="C34" s="1">
        <v>1.17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 t="s">
        <v>722</v>
      </c>
    </row>
    <row r="35" spans="1:18" x14ac:dyDescent="0.25">
      <c r="A35" s="1">
        <v>2454836.5059000002</v>
      </c>
      <c r="B35" s="1" t="s">
        <v>651</v>
      </c>
      <c r="C35" s="1">
        <v>1.1499999999999999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 t="s">
        <v>722</v>
      </c>
    </row>
    <row r="36" spans="1:18" x14ac:dyDescent="0.25">
      <c r="A36" s="1">
        <v>2454861.4238499999</v>
      </c>
      <c r="B36" s="1" t="s">
        <v>652</v>
      </c>
      <c r="C36" s="1">
        <v>1.08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 t="s">
        <v>722</v>
      </c>
    </row>
    <row r="37" spans="1:18" x14ac:dyDescent="0.25">
      <c r="A37" s="1">
        <v>2454871.3632499999</v>
      </c>
      <c r="B37" s="1" t="s">
        <v>653</v>
      </c>
      <c r="C37" s="1">
        <v>1.04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 t="s">
        <v>722</v>
      </c>
    </row>
    <row r="38" spans="1:18" x14ac:dyDescent="0.25">
      <c r="A38" s="1">
        <v>2454874.35635</v>
      </c>
      <c r="B38" s="1" t="s">
        <v>654</v>
      </c>
      <c r="C38" s="1">
        <v>1.06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 t="s">
        <v>722</v>
      </c>
    </row>
    <row r="39" spans="1:18" x14ac:dyDescent="0.25">
      <c r="A39" s="1">
        <v>2454876.3999000001</v>
      </c>
      <c r="B39" s="1" t="s">
        <v>655</v>
      </c>
      <c r="C39" s="1">
        <v>1.05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 t="s">
        <v>722</v>
      </c>
    </row>
    <row r="40" spans="1:18" x14ac:dyDescent="0.25">
      <c r="A40" s="1">
        <v>2454884.3629999999</v>
      </c>
      <c r="B40" s="1" t="s">
        <v>656</v>
      </c>
      <c r="C40" s="1">
        <v>1.04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 t="s">
        <v>722</v>
      </c>
    </row>
    <row r="41" spans="1:18" x14ac:dyDescent="0.25">
      <c r="A41" s="1">
        <v>2454886.3682499998</v>
      </c>
      <c r="B41" s="1" t="s">
        <v>657</v>
      </c>
      <c r="C41" s="1">
        <v>1.04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 t="s">
        <v>722</v>
      </c>
    </row>
    <row r="42" spans="1:18" x14ac:dyDescent="0.25">
      <c r="A42" s="1">
        <v>2454898.3473499999</v>
      </c>
      <c r="B42" s="1" t="s">
        <v>658</v>
      </c>
      <c r="C42" s="1">
        <v>1.08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 t="s">
        <v>722</v>
      </c>
    </row>
    <row r="43" spans="1:18" x14ac:dyDescent="0.25">
      <c r="A43" s="1">
        <v>2454904.3382000001</v>
      </c>
      <c r="B43" s="1" t="s">
        <v>659</v>
      </c>
      <c r="C43" s="1">
        <v>1.04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 t="s">
        <v>722</v>
      </c>
    </row>
    <row r="44" spans="1:18" x14ac:dyDescent="0.25">
      <c r="A44" s="1">
        <v>2454912.3049499998</v>
      </c>
      <c r="B44" s="1" t="s">
        <v>660</v>
      </c>
      <c r="C44" s="1">
        <v>1.05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 t="s">
        <v>722</v>
      </c>
    </row>
    <row r="45" spans="1:18" x14ac:dyDescent="0.25">
      <c r="A45" s="1">
        <v>2454916.2951000002</v>
      </c>
      <c r="B45" s="1" t="s">
        <v>661</v>
      </c>
      <c r="C45" s="1">
        <v>0.98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 t="s">
        <v>722</v>
      </c>
    </row>
    <row r="46" spans="1:18" x14ac:dyDescent="0.25">
      <c r="A46" s="1">
        <v>2455118.6591500002</v>
      </c>
      <c r="B46" s="1" t="s">
        <v>662</v>
      </c>
      <c r="C46" s="1">
        <v>0.752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 t="s">
        <v>722</v>
      </c>
    </row>
    <row r="47" spans="1:18" x14ac:dyDescent="0.25">
      <c r="A47" s="1">
        <v>2455131.6122499998</v>
      </c>
      <c r="B47" s="1" t="s">
        <v>234</v>
      </c>
      <c r="C47" s="1">
        <v>0.71399999999999997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 t="s">
        <v>722</v>
      </c>
    </row>
    <row r="48" spans="1:18" x14ac:dyDescent="0.25">
      <c r="A48" s="1">
        <v>2455147.5736500002</v>
      </c>
      <c r="B48" s="1" t="s">
        <v>663</v>
      </c>
      <c r="C48" s="1">
        <v>0.621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 t="s">
        <v>722</v>
      </c>
    </row>
    <row r="49" spans="1:18" x14ac:dyDescent="0.25">
      <c r="A49" s="1">
        <v>2455183.5417499999</v>
      </c>
      <c r="B49" s="1" t="s">
        <v>664</v>
      </c>
      <c r="C49" s="1">
        <v>0.73799999999999999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 t="s">
        <v>722</v>
      </c>
    </row>
    <row r="50" spans="1:18" x14ac:dyDescent="0.25">
      <c r="A50" s="1">
        <v>2455191.5711500002</v>
      </c>
      <c r="B50" s="1" t="s">
        <v>665</v>
      </c>
      <c r="C50" s="1">
        <v>0.74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 t="s">
        <v>722</v>
      </c>
    </row>
    <row r="51" spans="1:18" x14ac:dyDescent="0.25">
      <c r="A51" s="1">
        <v>2455199.4501499999</v>
      </c>
      <c r="B51" s="1" t="s">
        <v>666</v>
      </c>
      <c r="C51" s="1">
        <v>0.77100000000000002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 t="s">
        <v>722</v>
      </c>
    </row>
    <row r="52" spans="1:18" x14ac:dyDescent="0.25">
      <c r="A52" s="1">
        <v>2455212.5036499999</v>
      </c>
      <c r="B52" s="1" t="s">
        <v>667</v>
      </c>
      <c r="C52" s="1">
        <v>0.79300000000000004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 t="s">
        <v>722</v>
      </c>
    </row>
    <row r="53" spans="1:18" x14ac:dyDescent="0.25">
      <c r="A53" s="1">
        <v>2455220.37145</v>
      </c>
      <c r="B53" s="1" t="s">
        <v>668</v>
      </c>
      <c r="C53" s="1">
        <v>0.78400000000000003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 t="s">
        <v>722</v>
      </c>
    </row>
    <row r="54" spans="1:18" x14ac:dyDescent="0.25">
      <c r="A54" s="1">
        <v>2455227.3579000002</v>
      </c>
      <c r="B54" s="1" t="s">
        <v>669</v>
      </c>
      <c r="C54" s="1">
        <v>0.749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 t="s">
        <v>722</v>
      </c>
    </row>
    <row r="55" spans="1:18" x14ac:dyDescent="0.25">
      <c r="A55" s="1">
        <v>2455235.3544000001</v>
      </c>
      <c r="B55" s="1" t="s">
        <v>670</v>
      </c>
      <c r="C55" s="1">
        <v>0.752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 t="s">
        <v>722</v>
      </c>
    </row>
    <row r="56" spans="1:18" x14ac:dyDescent="0.25">
      <c r="A56" s="1">
        <v>2455240.3254999998</v>
      </c>
      <c r="B56" s="1" t="s">
        <v>235</v>
      </c>
      <c r="C56" s="1">
        <v>0.75600000000000001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 t="s">
        <v>722</v>
      </c>
    </row>
    <row r="57" spans="1:18" x14ac:dyDescent="0.25">
      <c r="A57" s="1">
        <v>2455248.375</v>
      </c>
      <c r="B57" s="1" t="s">
        <v>671</v>
      </c>
      <c r="C57" s="1">
        <v>0.754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 t="s">
        <v>722</v>
      </c>
    </row>
    <row r="58" spans="1:18" x14ac:dyDescent="0.25">
      <c r="A58" s="1">
        <v>2455249.6945000002</v>
      </c>
      <c r="B58" s="1" t="s">
        <v>672</v>
      </c>
      <c r="C58" s="1">
        <v>0.1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 t="s">
        <v>722</v>
      </c>
    </row>
    <row r="59" spans="1:18" x14ac:dyDescent="0.25">
      <c r="A59" s="1">
        <v>2455254.3594</v>
      </c>
      <c r="B59" s="1" t="s">
        <v>673</v>
      </c>
      <c r="C59" s="1">
        <v>0.78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 t="s">
        <v>722</v>
      </c>
    </row>
    <row r="60" spans="1:18" x14ac:dyDescent="0.25">
      <c r="A60" s="1">
        <v>2455262.3432499999</v>
      </c>
      <c r="B60" s="1" t="s">
        <v>674</v>
      </c>
      <c r="C60" s="1">
        <v>0.71399999999999997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 t="s">
        <v>722</v>
      </c>
    </row>
    <row r="61" spans="1:18" x14ac:dyDescent="0.25">
      <c r="A61" s="1">
        <v>2455265.6655000001</v>
      </c>
      <c r="B61" s="1" t="s">
        <v>236</v>
      </c>
      <c r="C61" s="1">
        <v>0.9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 t="s">
        <v>722</v>
      </c>
    </row>
    <row r="62" spans="1:18" x14ac:dyDescent="0.25">
      <c r="A62" s="1">
        <v>2455272.3613</v>
      </c>
      <c r="B62" s="1" t="s">
        <v>730</v>
      </c>
      <c r="C62" s="1">
        <v>0.76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 t="s">
        <v>722</v>
      </c>
    </row>
    <row r="63" spans="1:18" x14ac:dyDescent="0.25">
      <c r="A63" s="1">
        <v>2455289.3054</v>
      </c>
      <c r="B63" s="1" t="s">
        <v>675</v>
      </c>
      <c r="C63" s="1">
        <v>0.79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 t="s">
        <v>722</v>
      </c>
    </row>
    <row r="64" spans="1:18" x14ac:dyDescent="0.25">
      <c r="A64" s="1">
        <v>2455540.48905</v>
      </c>
      <c r="B64" s="1" t="s">
        <v>676</v>
      </c>
      <c r="C64" s="1">
        <v>0.80400000000000005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 t="s">
        <v>722</v>
      </c>
    </row>
    <row r="65" spans="1:18" x14ac:dyDescent="0.25">
      <c r="A65" s="1">
        <v>2455586.5031499998</v>
      </c>
      <c r="B65" s="1" t="s">
        <v>677</v>
      </c>
      <c r="C65" s="1">
        <v>0.75800000000000001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 t="s">
        <v>722</v>
      </c>
    </row>
    <row r="66" spans="1:18" x14ac:dyDescent="0.25">
      <c r="A66" s="1">
        <v>2455611.3347</v>
      </c>
      <c r="B66" s="1" t="s">
        <v>678</v>
      </c>
      <c r="C66" s="1">
        <v>0.84899999999999998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 t="s">
        <v>722</v>
      </c>
    </row>
    <row r="67" spans="1:18" x14ac:dyDescent="0.25">
      <c r="A67" s="1">
        <v>2455641.3490499998</v>
      </c>
      <c r="B67" s="1" t="s">
        <v>679</v>
      </c>
      <c r="C67" s="1">
        <v>0.74299999999999999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 t="s">
        <v>722</v>
      </c>
    </row>
    <row r="68" spans="1:18" x14ac:dyDescent="0.25">
      <c r="A68" s="1">
        <v>2455880.5570999999</v>
      </c>
      <c r="B68" s="1" t="s">
        <v>680</v>
      </c>
      <c r="C68" s="1">
        <v>1.407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 t="s">
        <v>722</v>
      </c>
    </row>
    <row r="69" spans="1:18" x14ac:dyDescent="0.25">
      <c r="A69" s="1">
        <v>2455883.55455</v>
      </c>
      <c r="B69" s="1" t="s">
        <v>681</v>
      </c>
      <c r="C69" s="1">
        <v>1.3129999999999999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 t="s">
        <v>722</v>
      </c>
    </row>
    <row r="70" spans="1:18" x14ac:dyDescent="0.25">
      <c r="A70" s="1">
        <v>2455890.5329</v>
      </c>
      <c r="B70" s="1" t="s">
        <v>682</v>
      </c>
      <c r="C70" s="1">
        <v>1.232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 t="s">
        <v>722</v>
      </c>
    </row>
    <row r="71" spans="1:18" x14ac:dyDescent="0.25">
      <c r="A71" s="1">
        <v>2455919.4591000001</v>
      </c>
      <c r="B71" s="1" t="s">
        <v>683</v>
      </c>
      <c r="C71" s="1">
        <v>0.88500000000000001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 t="s">
        <v>722</v>
      </c>
    </row>
    <row r="72" spans="1:18" x14ac:dyDescent="0.25">
      <c r="A72" s="1">
        <v>2455923.4997</v>
      </c>
      <c r="B72" s="1" t="s">
        <v>731</v>
      </c>
      <c r="C72" s="1">
        <v>0.90900000000000003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 t="s">
        <v>722</v>
      </c>
    </row>
    <row r="73" spans="1:18" x14ac:dyDescent="0.25">
      <c r="A73" s="1">
        <v>2455972.3845500001</v>
      </c>
      <c r="B73" s="1" t="s">
        <v>684</v>
      </c>
      <c r="C73" s="1">
        <v>0.88600000000000001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 t="s">
        <v>722</v>
      </c>
    </row>
    <row r="74" spans="1:18" x14ac:dyDescent="0.25">
      <c r="A74" s="1">
        <v>2455979.3199</v>
      </c>
      <c r="B74" s="1" t="s">
        <v>685</v>
      </c>
      <c r="C74" s="1">
        <v>0.86599999999999999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 t="s">
        <v>722</v>
      </c>
    </row>
    <row r="75" spans="1:18" x14ac:dyDescent="0.25">
      <c r="A75" s="1">
        <v>2455983.3905000002</v>
      </c>
      <c r="B75" s="1" t="s">
        <v>686</v>
      </c>
      <c r="C75" s="1">
        <v>0.86699999999999999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 t="s">
        <v>722</v>
      </c>
    </row>
    <row r="76" spans="1:18" x14ac:dyDescent="0.25">
      <c r="A76" s="1">
        <v>2455987.3635499999</v>
      </c>
      <c r="B76" s="1" t="s">
        <v>687</v>
      </c>
      <c r="C76" s="1">
        <v>0.84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 t="s">
        <v>722</v>
      </c>
    </row>
    <row r="77" spans="1:18" x14ac:dyDescent="0.25">
      <c r="A77" s="1">
        <v>2455996.3632499999</v>
      </c>
      <c r="B77" s="1" t="s">
        <v>688</v>
      </c>
      <c r="C77" s="1">
        <v>0.85799999999999998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 t="s">
        <v>722</v>
      </c>
    </row>
    <row r="78" spans="1:18" x14ac:dyDescent="0.25">
      <c r="A78" s="1">
        <v>2455998.3113000002</v>
      </c>
      <c r="B78" s="1" t="s">
        <v>689</v>
      </c>
      <c r="C78" s="1">
        <v>0.89200000000000002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 t="s">
        <v>722</v>
      </c>
    </row>
    <row r="79" spans="1:18" x14ac:dyDescent="0.25">
      <c r="A79" s="1">
        <v>2456000.3368000002</v>
      </c>
      <c r="B79" s="1" t="s">
        <v>690</v>
      </c>
      <c r="C79" s="1">
        <v>0.86699999999999999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 t="s">
        <v>722</v>
      </c>
    </row>
    <row r="80" spans="1:18" x14ac:dyDescent="0.25">
      <c r="A80" s="1">
        <v>2456002.32345</v>
      </c>
      <c r="B80" s="1" t="s">
        <v>691</v>
      </c>
      <c r="C80" s="1">
        <v>0.86599999999999999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 t="s">
        <v>722</v>
      </c>
    </row>
    <row r="81" spans="1:18" x14ac:dyDescent="0.25">
      <c r="A81" s="1">
        <v>2456009.2896500002</v>
      </c>
      <c r="B81" s="1" t="s">
        <v>692</v>
      </c>
      <c r="C81" s="1">
        <v>0.84299999999999997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 t="s">
        <v>722</v>
      </c>
    </row>
    <row r="82" spans="1:18" x14ac:dyDescent="0.25">
      <c r="A82" s="1">
        <v>2456011.2802499998</v>
      </c>
      <c r="B82" s="1" t="s">
        <v>693</v>
      </c>
      <c r="C82" s="1">
        <v>0.86699999999999999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 t="s">
        <v>722</v>
      </c>
    </row>
    <row r="83" spans="1:18" x14ac:dyDescent="0.25">
      <c r="A83" s="1">
        <v>2456013.2846499998</v>
      </c>
      <c r="B83" s="1" t="s">
        <v>238</v>
      </c>
      <c r="C83" s="1">
        <v>0.871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 t="s">
        <v>722</v>
      </c>
    </row>
    <row r="84" spans="1:18" x14ac:dyDescent="0.25">
      <c r="A84" s="1">
        <v>2456015.3350999998</v>
      </c>
      <c r="B84" s="1" t="s">
        <v>694</v>
      </c>
      <c r="C84" s="1">
        <v>0.86099999999999999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 t="s">
        <v>722</v>
      </c>
    </row>
    <row r="85" spans="1:18" x14ac:dyDescent="0.25">
      <c r="A85" s="1">
        <v>2456221.6288899998</v>
      </c>
      <c r="B85" s="1" t="s">
        <v>239</v>
      </c>
      <c r="C85" s="1">
        <v>0.90100000000000002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 t="s">
        <v>722</v>
      </c>
    </row>
    <row r="86" spans="1:18" x14ac:dyDescent="0.25">
      <c r="A86" s="1">
        <v>2456223.6198700001</v>
      </c>
      <c r="B86" s="1" t="s">
        <v>244</v>
      </c>
      <c r="C86" s="1">
        <v>0.90700000000000003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 t="s">
        <v>722</v>
      </c>
    </row>
    <row r="87" spans="1:18" x14ac:dyDescent="0.25">
      <c r="A87" s="1">
        <v>2456238.6090199999</v>
      </c>
      <c r="B87" s="1" t="s">
        <v>245</v>
      </c>
      <c r="C87" s="1">
        <v>0.88900000000000001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 t="s">
        <v>722</v>
      </c>
    </row>
    <row r="88" spans="1:18" x14ac:dyDescent="0.25">
      <c r="A88" s="1">
        <v>2456252.5463700001</v>
      </c>
      <c r="B88" s="1" t="s">
        <v>695</v>
      </c>
      <c r="C88" s="1">
        <v>0.82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 t="s">
        <v>722</v>
      </c>
    </row>
    <row r="89" spans="1:18" x14ac:dyDescent="0.25">
      <c r="A89" s="1">
        <v>2456264.5879299999</v>
      </c>
      <c r="B89" s="1" t="s">
        <v>696</v>
      </c>
      <c r="C89" s="1">
        <v>0.82199999999999995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 t="s">
        <v>722</v>
      </c>
    </row>
    <row r="90" spans="1:18" x14ac:dyDescent="0.25">
      <c r="A90" s="1">
        <v>2456267.52954</v>
      </c>
      <c r="B90" s="1" t="s">
        <v>595</v>
      </c>
      <c r="C90" s="1">
        <v>0.752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 t="s">
        <v>722</v>
      </c>
    </row>
    <row r="91" spans="1:18" x14ac:dyDescent="0.25">
      <c r="A91" s="1">
        <v>2456273.4851099998</v>
      </c>
      <c r="B91" s="1" t="s">
        <v>697</v>
      </c>
      <c r="C91" s="1">
        <v>0.79400000000000004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 t="s">
        <v>722</v>
      </c>
    </row>
    <row r="92" spans="1:18" x14ac:dyDescent="0.25">
      <c r="A92" s="1">
        <v>2456291.4395900001</v>
      </c>
      <c r="B92" s="1" t="s">
        <v>698</v>
      </c>
      <c r="C92" s="1">
        <v>0.78900000000000003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 t="s">
        <v>722</v>
      </c>
    </row>
    <row r="93" spans="1:18" x14ac:dyDescent="0.25">
      <c r="A93" s="1">
        <v>2456297.53633</v>
      </c>
      <c r="B93" s="1" t="s">
        <v>699</v>
      </c>
      <c r="C93" s="1">
        <v>0.79500000000000004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 t="s">
        <v>722</v>
      </c>
    </row>
    <row r="94" spans="1:18" x14ac:dyDescent="0.25">
      <c r="A94" s="1">
        <v>2456299.53412</v>
      </c>
      <c r="B94" s="1" t="s">
        <v>240</v>
      </c>
      <c r="C94" s="1">
        <v>0.79400000000000004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 t="s">
        <v>722</v>
      </c>
    </row>
    <row r="95" spans="1:18" x14ac:dyDescent="0.25">
      <c r="A95" s="1">
        <v>2456322.4831599998</v>
      </c>
      <c r="B95" s="1" t="s">
        <v>700</v>
      </c>
      <c r="C95" s="1">
        <v>0.80500000000000005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 t="s">
        <v>722</v>
      </c>
    </row>
    <row r="96" spans="1:18" x14ac:dyDescent="0.25">
      <c r="A96" s="1">
        <v>2456337.39438</v>
      </c>
      <c r="B96" s="1" t="s">
        <v>701</v>
      </c>
      <c r="C96" s="1">
        <v>0.75900000000000001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 t="s">
        <v>722</v>
      </c>
    </row>
    <row r="97" spans="1:18" x14ac:dyDescent="0.25">
      <c r="A97" s="1">
        <v>2456339.3741299999</v>
      </c>
      <c r="B97" s="1" t="s">
        <v>702</v>
      </c>
      <c r="C97" s="1">
        <v>0.83899999999999997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 t="s">
        <v>722</v>
      </c>
    </row>
    <row r="98" spans="1:18" x14ac:dyDescent="0.25">
      <c r="A98" s="1">
        <v>2456352.2427099999</v>
      </c>
      <c r="B98" s="1" t="s">
        <v>703</v>
      </c>
      <c r="C98" s="1">
        <v>0.78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 t="s">
        <v>722</v>
      </c>
    </row>
    <row r="99" spans="1:18" x14ac:dyDescent="0.25">
      <c r="A99" s="1">
        <v>2456367.3635499999</v>
      </c>
      <c r="B99" s="1" t="s">
        <v>704</v>
      </c>
      <c r="C99" s="1">
        <v>0.78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 t="s">
        <v>722</v>
      </c>
    </row>
    <row r="100" spans="1:18" x14ac:dyDescent="0.25">
      <c r="A100" s="1">
        <v>2456386.3086299999</v>
      </c>
      <c r="B100" s="1" t="s">
        <v>705</v>
      </c>
      <c r="C100" s="1">
        <v>0.75700000000000001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 t="s">
        <v>722</v>
      </c>
    </row>
    <row r="101" spans="1:18" x14ac:dyDescent="0.25">
      <c r="A101" s="1">
        <v>2456633.5464900001</v>
      </c>
      <c r="B101" s="1" t="s">
        <v>706</v>
      </c>
      <c r="C101" s="1">
        <v>0.79100000000000004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 t="s">
        <v>722</v>
      </c>
    </row>
    <row r="102" spans="1:18" x14ac:dyDescent="0.25">
      <c r="A102" s="1">
        <v>2456640.4930400001</v>
      </c>
      <c r="B102" s="1" t="s">
        <v>707</v>
      </c>
      <c r="C102" s="1">
        <v>0.79300000000000004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 t="s">
        <v>722</v>
      </c>
    </row>
    <row r="103" spans="1:18" x14ac:dyDescent="0.25">
      <c r="A103" s="1">
        <v>2456644.5021500001</v>
      </c>
      <c r="B103" s="1" t="s">
        <v>97</v>
      </c>
      <c r="C103" s="1">
        <v>0.79700000000000004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 t="s">
        <v>722</v>
      </c>
    </row>
    <row r="104" spans="1:18" x14ac:dyDescent="0.25">
      <c r="A104" s="1">
        <v>2456657.50446</v>
      </c>
      <c r="B104" s="1" t="s">
        <v>241</v>
      </c>
      <c r="C104" s="1">
        <v>0.8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 t="s">
        <v>722</v>
      </c>
    </row>
    <row r="105" spans="1:18" x14ac:dyDescent="0.25">
      <c r="A105" s="1">
        <v>2456712.3988000001</v>
      </c>
      <c r="B105" s="1" t="s">
        <v>708</v>
      </c>
      <c r="C105" s="1">
        <v>0.84899999999999998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 t="s">
        <v>722</v>
      </c>
    </row>
    <row r="106" spans="1:18" x14ac:dyDescent="0.25">
      <c r="A106" s="1">
        <v>2456713.4025500002</v>
      </c>
      <c r="B106" s="1" t="s">
        <v>709</v>
      </c>
      <c r="C106" s="1">
        <v>0.83899999999999997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 t="s">
        <v>722</v>
      </c>
    </row>
    <row r="107" spans="1:18" x14ac:dyDescent="0.25">
      <c r="A107" s="1">
        <v>2456724.3415600001</v>
      </c>
      <c r="B107" s="1" t="s">
        <v>710</v>
      </c>
      <c r="C107" s="1">
        <v>0.80500000000000005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 t="s">
        <v>722</v>
      </c>
    </row>
    <row r="108" spans="1:18" x14ac:dyDescent="0.25">
      <c r="A108" s="1">
        <v>2456747.2906300002</v>
      </c>
      <c r="B108" s="1" t="s">
        <v>711</v>
      </c>
      <c r="C108" s="1">
        <v>0.76400000000000001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 t="s">
        <v>722</v>
      </c>
    </row>
    <row r="109" spans="1:18" x14ac:dyDescent="0.25">
      <c r="A109" s="1">
        <v>2457429.4955600002</v>
      </c>
      <c r="B109" s="1" t="s">
        <v>712</v>
      </c>
      <c r="C109" s="1">
        <v>0.79700000000000004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 t="s">
        <v>722</v>
      </c>
    </row>
    <row r="110" spans="1:18" x14ac:dyDescent="0.25">
      <c r="A110" s="1">
        <v>2457484.2652799999</v>
      </c>
      <c r="B110" s="1" t="s">
        <v>713</v>
      </c>
      <c r="C110" s="1">
        <v>0.65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 t="s">
        <v>722</v>
      </c>
    </row>
    <row r="111" spans="1:18" x14ac:dyDescent="0.25">
      <c r="A111" s="1">
        <v>2457746.53951</v>
      </c>
      <c r="B111" s="1" t="s">
        <v>714</v>
      </c>
      <c r="C111" s="1">
        <v>0.64100000000000001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 t="s">
        <v>722</v>
      </c>
    </row>
    <row r="112" spans="1:18" x14ac:dyDescent="0.25">
      <c r="A112" s="1">
        <v>2457749.5227999999</v>
      </c>
      <c r="B112" s="1" t="s">
        <v>242</v>
      </c>
      <c r="C112" s="1">
        <v>0.65200000000000002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 t="s">
        <v>722</v>
      </c>
    </row>
    <row r="113" spans="1:18" x14ac:dyDescent="0.25">
      <c r="A113" s="1">
        <v>2457754.5163699999</v>
      </c>
      <c r="B113" s="1" t="s">
        <v>715</v>
      </c>
      <c r="C113" s="1">
        <v>0.66200000000000003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 t="s">
        <v>722</v>
      </c>
    </row>
    <row r="114" spans="1:18" x14ac:dyDescent="0.25">
      <c r="A114" s="1">
        <v>2457757.4602000001</v>
      </c>
      <c r="B114" s="1" t="s">
        <v>716</v>
      </c>
      <c r="C114" s="1">
        <v>0.66900000000000004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 t="s">
        <v>722</v>
      </c>
    </row>
    <row r="115" spans="1:18" x14ac:dyDescent="0.25">
      <c r="A115" s="1">
        <v>2457760.5043600001</v>
      </c>
      <c r="B115" s="1" t="s">
        <v>717</v>
      </c>
      <c r="C115" s="1">
        <v>0.64800000000000002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 t="s">
        <v>722</v>
      </c>
    </row>
    <row r="116" spans="1:18" x14ac:dyDescent="0.25">
      <c r="A116" s="1">
        <v>2457762.5025900002</v>
      </c>
      <c r="B116" s="1" t="s">
        <v>718</v>
      </c>
      <c r="C116" s="1">
        <v>0.64700000000000002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 t="s">
        <v>722</v>
      </c>
    </row>
    <row r="117" spans="1:18" x14ac:dyDescent="0.25">
      <c r="A117" s="1">
        <v>2457774.4879299998</v>
      </c>
      <c r="B117" s="1" t="s">
        <v>719</v>
      </c>
      <c r="C117" s="1">
        <v>0.65400000000000003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 t="s">
        <v>722</v>
      </c>
    </row>
    <row r="118" spans="1:18" x14ac:dyDescent="0.25">
      <c r="A118" s="1">
        <v>2457777.45695</v>
      </c>
      <c r="B118" s="1" t="s">
        <v>720</v>
      </c>
      <c r="C118" s="1">
        <v>0.63500000000000001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 t="s">
        <v>722</v>
      </c>
    </row>
    <row r="119" spans="1:18" x14ac:dyDescent="0.25">
      <c r="A119" s="1">
        <v>2457779.6721399999</v>
      </c>
      <c r="B119" s="1" t="s">
        <v>721</v>
      </c>
      <c r="C119" s="1">
        <v>0.55200000000000005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 t="s">
        <v>722</v>
      </c>
    </row>
    <row r="120" spans="1:1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AA489"/>
  <sheetViews>
    <sheetView workbookViewId="0">
      <selection sqref="A1:XFD265"/>
    </sheetView>
  </sheetViews>
  <sheetFormatPr baseColWidth="10" defaultRowHeight="15" x14ac:dyDescent="0.25"/>
  <sheetData>
    <row r="1" spans="1:27" x14ac:dyDescent="0.25">
      <c r="A1" s="1">
        <v>2456605.2083000001</v>
      </c>
      <c r="B1" s="1" t="s">
        <v>90</v>
      </c>
      <c r="C1" s="1">
        <v>9.75</v>
      </c>
      <c r="D1" s="1">
        <v>0.04</v>
      </c>
      <c r="E1" s="1" t="s">
        <v>2</v>
      </c>
      <c r="F1" s="1" t="s">
        <v>91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2456611.6142199999</v>
      </c>
      <c r="B2" s="1" t="s">
        <v>92</v>
      </c>
      <c r="C2" s="1">
        <v>9.6940000000000008</v>
      </c>
      <c r="D2" s="1">
        <v>1.0999999999999999E-2</v>
      </c>
      <c r="E2" s="1" t="s">
        <v>2</v>
      </c>
      <c r="F2" s="1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2456613.6151000001</v>
      </c>
      <c r="B3" s="1" t="s">
        <v>93</v>
      </c>
      <c r="C3" s="1">
        <v>9.6769999999999996</v>
      </c>
      <c r="D3" s="1">
        <v>1.2999999999999999E-2</v>
      </c>
      <c r="E3" s="1" t="s">
        <v>2</v>
      </c>
      <c r="F3" s="1" t="s">
        <v>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2456615.6011800002</v>
      </c>
      <c r="B4" s="1" t="s">
        <v>94</v>
      </c>
      <c r="C4" s="1">
        <v>9.7149999999999999</v>
      </c>
      <c r="D4" s="1">
        <v>1.2999999999999999E-2</v>
      </c>
      <c r="E4" s="1" t="s">
        <v>2</v>
      </c>
      <c r="F4" s="1" t="s">
        <v>5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2456616.5986700002</v>
      </c>
      <c r="B5" s="1" t="s">
        <v>95</v>
      </c>
      <c r="C5" s="1">
        <v>9.7279999999999998</v>
      </c>
      <c r="D5" s="1">
        <v>0.01</v>
      </c>
      <c r="E5" s="1" t="s">
        <v>2</v>
      </c>
      <c r="F5" s="1" t="s">
        <v>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2456617.5966599998</v>
      </c>
      <c r="B6" s="1" t="s">
        <v>96</v>
      </c>
      <c r="C6" s="1">
        <v>9.6489999999999991</v>
      </c>
      <c r="D6" s="1">
        <v>1.2999999999999999E-2</v>
      </c>
      <c r="E6" s="1" t="s">
        <v>2</v>
      </c>
      <c r="F6" s="1" t="s">
        <v>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2456687.75177</v>
      </c>
      <c r="B7" s="1" t="s">
        <v>98</v>
      </c>
      <c r="C7" s="1">
        <v>9.4629999999999992</v>
      </c>
      <c r="D7" s="1">
        <v>0.27</v>
      </c>
      <c r="E7" s="1" t="s">
        <v>2</v>
      </c>
      <c r="F7" s="1" t="s">
        <v>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2456764.87953</v>
      </c>
      <c r="B8" s="1" t="s">
        <v>99</v>
      </c>
      <c r="C8" s="1">
        <v>9.2210000000000001</v>
      </c>
      <c r="D8" s="1">
        <v>1.7000000000000001E-2</v>
      </c>
      <c r="E8" s="1" t="s">
        <v>2</v>
      </c>
      <c r="F8" s="1" t="s">
        <v>5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2456896.7162700002</v>
      </c>
      <c r="B9" s="1" t="s">
        <v>100</v>
      </c>
      <c r="C9" s="1">
        <v>9.9830000000000005</v>
      </c>
      <c r="D9" s="1">
        <v>1.2999999999999999E-2</v>
      </c>
      <c r="E9" s="1" t="s">
        <v>2</v>
      </c>
      <c r="F9" s="1" t="s">
        <v>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2456898.3333000001</v>
      </c>
      <c r="B10" s="1" t="s">
        <v>101</v>
      </c>
      <c r="C10" s="1">
        <v>10.02</v>
      </c>
      <c r="D10" s="1">
        <v>0.04</v>
      </c>
      <c r="E10" s="1" t="s">
        <v>2</v>
      </c>
      <c r="F10" s="1" t="s">
        <v>91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2456898.7217700002</v>
      </c>
      <c r="B11" s="1" t="s">
        <v>102</v>
      </c>
      <c r="C11" s="1">
        <v>10.013999999999999</v>
      </c>
      <c r="D11" s="1">
        <v>8.9999999999999993E-3</v>
      </c>
      <c r="E11" s="1" t="s">
        <v>2</v>
      </c>
      <c r="F11" s="1" t="s">
        <v>5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2456902.7019000002</v>
      </c>
      <c r="B12" s="1" t="s">
        <v>103</v>
      </c>
      <c r="C12" s="1">
        <v>10.055</v>
      </c>
      <c r="D12" s="1">
        <v>1.0999999999999999E-2</v>
      </c>
      <c r="E12" s="1" t="s">
        <v>2</v>
      </c>
      <c r="F12" s="1" t="s">
        <v>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2456904.6678200001</v>
      </c>
      <c r="B13" s="1" t="s">
        <v>104</v>
      </c>
      <c r="C13" s="1">
        <v>10.076000000000001</v>
      </c>
      <c r="D13" s="1">
        <v>8.9999999999999993E-3</v>
      </c>
      <c r="E13" s="1" t="s">
        <v>2</v>
      </c>
      <c r="F13" s="1" t="s">
        <v>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2456913.66928</v>
      </c>
      <c r="B14" s="1" t="s">
        <v>105</v>
      </c>
      <c r="C14" s="1">
        <v>10.16</v>
      </c>
      <c r="D14" s="1">
        <v>1.0999999999999999E-2</v>
      </c>
      <c r="E14" s="1" t="s">
        <v>2</v>
      </c>
      <c r="F14" s="1" t="s">
        <v>5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2456915.3333000001</v>
      </c>
      <c r="B15" s="1" t="s">
        <v>106</v>
      </c>
      <c r="C15" s="1">
        <v>10.1</v>
      </c>
      <c r="D15" s="1">
        <v>0.08</v>
      </c>
      <c r="E15" s="1" t="s">
        <v>2</v>
      </c>
      <c r="F15" s="1" t="s">
        <v>91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2456918.6744300001</v>
      </c>
      <c r="B16" s="1" t="s">
        <v>107</v>
      </c>
      <c r="C16" s="1">
        <v>10.141999999999999</v>
      </c>
      <c r="D16" s="1">
        <v>0.01</v>
      </c>
      <c r="E16" s="1" t="s">
        <v>2</v>
      </c>
      <c r="F16" s="1" t="s">
        <v>5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2456920.6946999999</v>
      </c>
      <c r="B17" s="1" t="s">
        <v>108</v>
      </c>
      <c r="C17" s="1">
        <v>10.135999999999999</v>
      </c>
      <c r="D17" s="1">
        <v>8.9999999999999993E-3</v>
      </c>
      <c r="E17" s="1" t="s">
        <v>2</v>
      </c>
      <c r="F17" s="1" t="s">
        <v>5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2456923.6792100002</v>
      </c>
      <c r="B18" s="1" t="s">
        <v>109</v>
      </c>
      <c r="C18" s="1">
        <v>10.157</v>
      </c>
      <c r="D18" s="1">
        <v>0.01</v>
      </c>
      <c r="E18" s="1" t="s">
        <v>2</v>
      </c>
      <c r="F18" s="1" t="s">
        <v>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2456924.6627500001</v>
      </c>
      <c r="B19" s="1" t="s">
        <v>110</v>
      </c>
      <c r="C19" s="1">
        <v>10.146000000000001</v>
      </c>
      <c r="D19" s="1">
        <v>0.01</v>
      </c>
      <c r="E19" s="1" t="s">
        <v>2</v>
      </c>
      <c r="F19" s="1" t="s">
        <v>5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2456927.6010799999</v>
      </c>
      <c r="B20" s="1" t="s">
        <v>111</v>
      </c>
      <c r="C20" s="1">
        <v>10.128</v>
      </c>
      <c r="D20" s="1">
        <v>0.01</v>
      </c>
      <c r="E20" s="1" t="s">
        <v>2</v>
      </c>
      <c r="F20" s="1" t="s">
        <v>5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2456928.3541999999</v>
      </c>
      <c r="B21" s="1" t="s">
        <v>111</v>
      </c>
      <c r="C21" s="1">
        <v>10.17</v>
      </c>
      <c r="D21" s="1">
        <v>0.03</v>
      </c>
      <c r="E21" s="1" t="s">
        <v>2</v>
      </c>
      <c r="F21" s="1" t="s">
        <v>91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2456928.5967199998</v>
      </c>
      <c r="B22" s="1" t="s">
        <v>112</v>
      </c>
      <c r="C22" s="1">
        <v>10.127000000000001</v>
      </c>
      <c r="D22" s="1">
        <v>0.01</v>
      </c>
      <c r="E22" s="1" t="s">
        <v>2</v>
      </c>
      <c r="F22" s="1" t="s">
        <v>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2456929.6037699999</v>
      </c>
      <c r="B23" s="1" t="s">
        <v>113</v>
      </c>
      <c r="C23" s="1">
        <v>10.125</v>
      </c>
      <c r="D23" s="1">
        <v>1.0999999999999999E-2</v>
      </c>
      <c r="E23" s="1" t="s">
        <v>2</v>
      </c>
      <c r="F23" s="1" t="s">
        <v>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2456936.5840400001</v>
      </c>
      <c r="B24" s="1" t="s">
        <v>114</v>
      </c>
      <c r="C24" s="1">
        <v>10.162000000000001</v>
      </c>
      <c r="D24" s="1">
        <v>1.0999999999999999E-2</v>
      </c>
      <c r="E24" s="1" t="s">
        <v>2</v>
      </c>
      <c r="F24" s="1" t="s">
        <v>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2456937.5819999999</v>
      </c>
      <c r="B25" s="1" t="s">
        <v>115</v>
      </c>
      <c r="C25" s="1">
        <v>10.153</v>
      </c>
      <c r="D25" s="1">
        <v>1.2E-2</v>
      </c>
      <c r="E25" s="1" t="s">
        <v>2</v>
      </c>
      <c r="F25" s="1" t="s">
        <v>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2456939.5918100001</v>
      </c>
      <c r="B26" s="1" t="s">
        <v>116</v>
      </c>
      <c r="C26" s="1">
        <v>10.132</v>
      </c>
      <c r="D26" s="1">
        <v>1.0999999999999999E-2</v>
      </c>
      <c r="E26" s="1" t="s">
        <v>2</v>
      </c>
      <c r="F26" s="1" t="s">
        <v>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2456940.6616799999</v>
      </c>
      <c r="B27" s="1" t="s">
        <v>117</v>
      </c>
      <c r="C27" s="1">
        <v>10.146000000000001</v>
      </c>
      <c r="D27" s="1">
        <v>1.0999999999999999E-2</v>
      </c>
      <c r="E27" s="1" t="s">
        <v>2</v>
      </c>
      <c r="F27" s="1" t="s">
        <v>5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2456943.58727</v>
      </c>
      <c r="B28" s="1" t="s">
        <v>118</v>
      </c>
      <c r="C28" s="1">
        <v>10.125999999999999</v>
      </c>
      <c r="D28" s="1">
        <v>8.9999999999999993E-3</v>
      </c>
      <c r="E28" s="1" t="s">
        <v>2</v>
      </c>
      <c r="F28" s="1" t="s">
        <v>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2456945.5534999999</v>
      </c>
      <c r="B29" s="1" t="s">
        <v>119</v>
      </c>
      <c r="C29" s="1">
        <v>10.141999999999999</v>
      </c>
      <c r="D29" s="1">
        <v>1.2E-2</v>
      </c>
      <c r="E29" s="1" t="s">
        <v>2</v>
      </c>
      <c r="F29" s="1" t="s">
        <v>5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2456948.5451000002</v>
      </c>
      <c r="B30" s="1" t="s">
        <v>120</v>
      </c>
      <c r="C30" s="1">
        <v>10.132999999999999</v>
      </c>
      <c r="D30" s="1">
        <v>0.01</v>
      </c>
      <c r="E30" s="1" t="s">
        <v>2</v>
      </c>
      <c r="F30" s="1" t="s">
        <v>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2456957.5213700002</v>
      </c>
      <c r="B31" s="1" t="s">
        <v>121</v>
      </c>
      <c r="C31" s="1">
        <v>10.129</v>
      </c>
      <c r="D31" s="1">
        <v>0.01</v>
      </c>
      <c r="E31" s="1" t="s">
        <v>2</v>
      </c>
      <c r="F31" s="1" t="s">
        <v>5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2457006.4569999999</v>
      </c>
      <c r="B32" s="1" t="s">
        <v>122</v>
      </c>
      <c r="C32" s="1">
        <v>10.036</v>
      </c>
      <c r="D32" s="1">
        <v>2.4E-2</v>
      </c>
      <c r="E32" s="1" t="s">
        <v>2</v>
      </c>
      <c r="F32" s="1" t="s">
        <v>5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2457007.4951900002</v>
      </c>
      <c r="B33" s="1" t="s">
        <v>123</v>
      </c>
      <c r="C33" s="1">
        <v>10.023999999999999</v>
      </c>
      <c r="D33" s="1">
        <v>1.4E-2</v>
      </c>
      <c r="E33" s="1" t="s">
        <v>2</v>
      </c>
      <c r="F33" s="1" t="s">
        <v>5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2457018.4552099998</v>
      </c>
      <c r="B34" s="1" t="s">
        <v>4</v>
      </c>
      <c r="C34" s="1">
        <v>10.015000000000001</v>
      </c>
      <c r="D34" s="1">
        <v>1.7999999999999999E-2</v>
      </c>
      <c r="E34" s="1" t="s">
        <v>2</v>
      </c>
      <c r="F34" s="1" t="s">
        <v>5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2457019.4591899998</v>
      </c>
      <c r="B35" s="1" t="s">
        <v>6</v>
      </c>
      <c r="C35" s="1">
        <v>10.02</v>
      </c>
      <c r="D35" s="1">
        <v>1.4999999999999999E-2</v>
      </c>
      <c r="E35" s="1" t="s">
        <v>2</v>
      </c>
      <c r="F35" s="1" t="s">
        <v>5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2457021.4564499999</v>
      </c>
      <c r="B36" s="1" t="s">
        <v>7</v>
      </c>
      <c r="C36" s="1">
        <v>10.002000000000001</v>
      </c>
      <c r="D36" s="1">
        <v>1.7999999999999999E-2</v>
      </c>
      <c r="E36" s="1" t="s">
        <v>2</v>
      </c>
      <c r="F36" s="1" t="s">
        <v>5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2457022.4508199999</v>
      </c>
      <c r="B37" s="1" t="s">
        <v>8</v>
      </c>
      <c r="C37" s="1">
        <v>10.029</v>
      </c>
      <c r="D37" s="1">
        <v>1.4E-2</v>
      </c>
      <c r="E37" s="1" t="s">
        <v>2</v>
      </c>
      <c r="F37" s="1" t="s">
        <v>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2457023.4454000001</v>
      </c>
      <c r="B38" s="1" t="s">
        <v>9</v>
      </c>
      <c r="C38" s="1">
        <v>10.074</v>
      </c>
      <c r="D38" s="1">
        <v>2.5000000000000001E-2</v>
      </c>
      <c r="E38" s="1" t="s">
        <v>2</v>
      </c>
      <c r="F38" s="1" t="s">
        <v>5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2457024.45077</v>
      </c>
      <c r="B39" s="1" t="s">
        <v>10</v>
      </c>
      <c r="C39" s="1">
        <v>10.015000000000001</v>
      </c>
      <c r="D39" s="1">
        <v>1.2999999999999999E-2</v>
      </c>
      <c r="E39" s="1" t="s">
        <v>2</v>
      </c>
      <c r="F39" s="1" t="s">
        <v>5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2457025.4514500001</v>
      </c>
      <c r="B40" s="1" t="s">
        <v>11</v>
      </c>
      <c r="C40" s="1">
        <v>10.029999999999999</v>
      </c>
      <c r="D40" s="1">
        <v>1.2E-2</v>
      </c>
      <c r="E40" s="1" t="s">
        <v>2</v>
      </c>
      <c r="F40" s="1" t="s">
        <v>5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2457028.4524599998</v>
      </c>
      <c r="B41" s="1" t="s">
        <v>12</v>
      </c>
      <c r="C41" s="1">
        <v>9.9760000000000009</v>
      </c>
      <c r="D41" s="1">
        <v>1.0999999999999999E-2</v>
      </c>
      <c r="E41" s="1" t="s">
        <v>2</v>
      </c>
      <c r="F41" s="1" t="s">
        <v>5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2457124.8841900001</v>
      </c>
      <c r="B42" s="1" t="s">
        <v>14</v>
      </c>
      <c r="C42" s="1">
        <v>9.59</v>
      </c>
      <c r="D42" s="1">
        <v>1.6E-2</v>
      </c>
      <c r="E42" s="1" t="s">
        <v>2</v>
      </c>
      <c r="F42" s="1" t="s">
        <v>5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2457128.87892</v>
      </c>
      <c r="B43" s="1" t="s">
        <v>20</v>
      </c>
      <c r="C43" s="1">
        <v>9.5879999999999992</v>
      </c>
      <c r="D43" s="1">
        <v>1.9E-2</v>
      </c>
      <c r="E43" s="1" t="s">
        <v>2</v>
      </c>
      <c r="F43" s="1" t="s">
        <v>5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2457130.8763799998</v>
      </c>
      <c r="B44" s="1" t="s">
        <v>0</v>
      </c>
      <c r="C44" s="1">
        <v>9.58</v>
      </c>
      <c r="D44" s="1">
        <v>1.7000000000000001E-2</v>
      </c>
      <c r="E44" s="1" t="s">
        <v>2</v>
      </c>
      <c r="F44" s="1" t="s">
        <v>5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2457156.8368799998</v>
      </c>
      <c r="B45" s="1" t="s">
        <v>25</v>
      </c>
      <c r="C45" s="1">
        <v>9.6349999999999998</v>
      </c>
      <c r="D45" s="1">
        <v>1.2999999999999999E-2</v>
      </c>
      <c r="E45" s="1" t="s">
        <v>2</v>
      </c>
      <c r="F45" s="1" t="s">
        <v>5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2457157.8372900002</v>
      </c>
      <c r="B46" s="1" t="s">
        <v>26</v>
      </c>
      <c r="C46" s="1">
        <v>9.6020000000000003</v>
      </c>
      <c r="D46" s="1">
        <v>1.7000000000000001E-2</v>
      </c>
      <c r="E46" s="1" t="s">
        <v>2</v>
      </c>
      <c r="F46" s="1" t="s">
        <v>5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2457163.8278600001</v>
      </c>
      <c r="B47" s="1" t="s">
        <v>15</v>
      </c>
      <c r="C47" s="1">
        <v>9.5869999999999997</v>
      </c>
      <c r="D47" s="1">
        <v>1.7000000000000001E-2</v>
      </c>
      <c r="E47" s="1" t="s">
        <v>2</v>
      </c>
      <c r="F47" s="1" t="s">
        <v>5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2457165.8193799998</v>
      </c>
      <c r="B48" s="1" t="s">
        <v>21</v>
      </c>
      <c r="C48" s="1">
        <v>9.6460000000000008</v>
      </c>
      <c r="D48" s="1">
        <v>0.03</v>
      </c>
      <c r="E48" s="1" t="s">
        <v>2</v>
      </c>
      <c r="F48" s="1" t="s">
        <v>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2457166.8284900002</v>
      </c>
      <c r="B49" s="1" t="s">
        <v>17</v>
      </c>
      <c r="C49" s="1">
        <v>9.5630000000000006</v>
      </c>
      <c r="D49" s="1">
        <v>1.6E-2</v>
      </c>
      <c r="E49" s="1" t="s">
        <v>2</v>
      </c>
      <c r="F49" s="1" t="s">
        <v>5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2457180.8183400002</v>
      </c>
      <c r="B50" s="1" t="s">
        <v>22</v>
      </c>
      <c r="C50" s="1">
        <v>9.5009999999999994</v>
      </c>
      <c r="D50" s="1">
        <v>1.2999999999999999E-2</v>
      </c>
      <c r="E50" s="1" t="s">
        <v>2</v>
      </c>
      <c r="F50" s="1" t="s">
        <v>5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2457187.8084399998</v>
      </c>
      <c r="B51" s="1" t="s">
        <v>18</v>
      </c>
      <c r="C51" s="1">
        <v>8.5809999999999995</v>
      </c>
      <c r="D51" s="1">
        <v>8.9999999999999993E-3</v>
      </c>
      <c r="E51" s="1" t="s">
        <v>2</v>
      </c>
      <c r="F51" s="1" t="s">
        <v>5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2457195.7113999999</v>
      </c>
      <c r="B52" s="1" t="s">
        <v>19</v>
      </c>
      <c r="C52" s="1">
        <v>7.8550000000000004</v>
      </c>
      <c r="D52" s="1">
        <v>2.3E-2</v>
      </c>
      <c r="E52" s="1" t="s">
        <v>2</v>
      </c>
      <c r="F52" s="1" t="s">
        <v>125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2457195.7245</v>
      </c>
      <c r="B53" s="1" t="s">
        <v>19</v>
      </c>
      <c r="C53" s="1">
        <v>7.86</v>
      </c>
      <c r="D53" s="1">
        <v>1.4999999999999999E-2</v>
      </c>
      <c r="E53" s="1" t="s">
        <v>2</v>
      </c>
      <c r="F53" s="1" t="s">
        <v>125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2457197.7145099998</v>
      </c>
      <c r="B54" s="1" t="s">
        <v>27</v>
      </c>
      <c r="C54" s="1">
        <v>7.8540000000000001</v>
      </c>
      <c r="D54" s="1">
        <v>7.0000000000000001E-3</v>
      </c>
      <c r="E54" s="1" t="s">
        <v>2</v>
      </c>
      <c r="F54" s="1" t="s">
        <v>126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2457197.7182999998</v>
      </c>
      <c r="B55" s="1" t="s">
        <v>27</v>
      </c>
      <c r="C55" s="1">
        <v>7.8840000000000003</v>
      </c>
      <c r="D55" s="1">
        <v>1.7000000000000001E-2</v>
      </c>
      <c r="E55" s="1" t="s">
        <v>2</v>
      </c>
      <c r="F55" s="1" t="s">
        <v>125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2457197.7278</v>
      </c>
      <c r="B56" s="1" t="s">
        <v>27</v>
      </c>
      <c r="C56" s="1">
        <v>7.867</v>
      </c>
      <c r="D56" s="1">
        <v>1.7999999999999999E-2</v>
      </c>
      <c r="E56" s="1" t="s">
        <v>2</v>
      </c>
      <c r="F56" s="1" t="s">
        <v>125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2457198.5454000002</v>
      </c>
      <c r="B57" s="1" t="s">
        <v>28</v>
      </c>
      <c r="C57" s="1">
        <v>7.89</v>
      </c>
      <c r="D57" s="1">
        <v>0.06</v>
      </c>
      <c r="E57" s="1" t="s">
        <v>2</v>
      </c>
      <c r="F57" s="1" t="s">
        <v>124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2457198.6184399999</v>
      </c>
      <c r="B58" s="1" t="s">
        <v>28</v>
      </c>
      <c r="C58" s="1">
        <v>7.71</v>
      </c>
      <c r="D58" s="1">
        <v>1.0999999999999999E-2</v>
      </c>
      <c r="E58" s="1" t="s">
        <v>2</v>
      </c>
      <c r="F58" s="1" t="s">
        <v>3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2457198.6198700001</v>
      </c>
      <c r="B59" s="1" t="s">
        <v>28</v>
      </c>
      <c r="C59" s="1">
        <v>7.6909999999999998</v>
      </c>
      <c r="D59" s="1">
        <v>1.7000000000000001E-2</v>
      </c>
      <c r="E59" s="1" t="s">
        <v>2</v>
      </c>
      <c r="F59" s="1" t="s">
        <v>3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2457198.6207300001</v>
      </c>
      <c r="B60" s="1" t="s">
        <v>28</v>
      </c>
      <c r="C60" s="1">
        <v>7.7190000000000003</v>
      </c>
      <c r="D60" s="1">
        <v>1.6E-2</v>
      </c>
      <c r="E60" s="1" t="s">
        <v>2</v>
      </c>
      <c r="F60" s="1" t="s">
        <v>3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2457198.6216000002</v>
      </c>
      <c r="B61" s="1" t="s">
        <v>28</v>
      </c>
      <c r="C61" s="1">
        <v>7.718</v>
      </c>
      <c r="D61" s="1">
        <v>1.7999999999999999E-2</v>
      </c>
      <c r="E61" s="1" t="s">
        <v>2</v>
      </c>
      <c r="F61" s="1" t="s">
        <v>3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2457198.6228700001</v>
      </c>
      <c r="B62" s="1" t="s">
        <v>28</v>
      </c>
      <c r="C62" s="1">
        <v>7.72</v>
      </c>
      <c r="D62" s="1">
        <v>1.9E-2</v>
      </c>
      <c r="E62" s="1" t="s">
        <v>2</v>
      </c>
      <c r="F62" s="1" t="s">
        <v>3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2457198.6237300001</v>
      </c>
      <c r="B63" s="1" t="s">
        <v>28</v>
      </c>
      <c r="C63" s="1">
        <v>7.7690000000000001</v>
      </c>
      <c r="D63" s="1">
        <v>1.9E-2</v>
      </c>
      <c r="E63" s="1" t="s">
        <v>2</v>
      </c>
      <c r="F63" s="1" t="s">
        <v>3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2457198.625</v>
      </c>
      <c r="B64" s="1" t="s">
        <v>28</v>
      </c>
      <c r="C64" s="1">
        <v>7.7830000000000004</v>
      </c>
      <c r="D64" s="1">
        <v>0.02</v>
      </c>
      <c r="E64" s="1" t="s">
        <v>2</v>
      </c>
      <c r="F64" s="1" t="s">
        <v>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2457198.6258700001</v>
      </c>
      <c r="B65" s="1" t="s">
        <v>28</v>
      </c>
      <c r="C65" s="1">
        <v>7.7949999999999999</v>
      </c>
      <c r="D65" s="1">
        <v>2.1000000000000001E-2</v>
      </c>
      <c r="E65" s="1" t="s">
        <v>2</v>
      </c>
      <c r="F65" s="1" t="s">
        <v>3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2457198.6267499998</v>
      </c>
      <c r="B66" s="1" t="s">
        <v>28</v>
      </c>
      <c r="C66" s="1">
        <v>7.7519999999999998</v>
      </c>
      <c r="D66" s="1">
        <v>2.3E-2</v>
      </c>
      <c r="E66" s="1" t="s">
        <v>2</v>
      </c>
      <c r="F66" s="1" t="s">
        <v>3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2457198.69416</v>
      </c>
      <c r="B67" s="1" t="s">
        <v>28</v>
      </c>
      <c r="C67" s="1">
        <v>7.8159999999999998</v>
      </c>
      <c r="D67" s="1">
        <v>6.0000000000000001E-3</v>
      </c>
      <c r="E67" s="1" t="s">
        <v>2</v>
      </c>
      <c r="F67" s="1" t="s">
        <v>127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2457199.63</v>
      </c>
      <c r="B68" s="1" t="s">
        <v>29</v>
      </c>
      <c r="C68" s="1">
        <v>7.7</v>
      </c>
      <c r="D68" s="1">
        <v>1.24E-2</v>
      </c>
      <c r="E68" s="1" t="s">
        <v>2</v>
      </c>
      <c r="F68" s="1" t="s">
        <v>128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2457200.6884300001</v>
      </c>
      <c r="B69" s="1" t="s">
        <v>30</v>
      </c>
      <c r="C69" s="1">
        <v>7.84</v>
      </c>
      <c r="D69" s="1">
        <v>6.0000000000000001E-3</v>
      </c>
      <c r="E69" s="1" t="s">
        <v>2</v>
      </c>
      <c r="F69" s="1" t="s">
        <v>127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2457201.6296299999</v>
      </c>
      <c r="B70" s="1" t="s">
        <v>31</v>
      </c>
      <c r="C70" s="1">
        <v>7.7430000000000003</v>
      </c>
      <c r="D70" s="1">
        <v>1.04E-2</v>
      </c>
      <c r="E70" s="1" t="s">
        <v>2</v>
      </c>
      <c r="F70" s="1" t="s">
        <v>128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2457202.75661</v>
      </c>
      <c r="B71" s="1" t="s">
        <v>32</v>
      </c>
      <c r="C71" s="1">
        <v>7.8049999999999997</v>
      </c>
      <c r="D71" s="1">
        <v>2E-3</v>
      </c>
      <c r="E71" s="1" t="s">
        <v>2</v>
      </c>
      <c r="F71" s="1" t="s">
        <v>126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2457203.64445</v>
      </c>
      <c r="B72" s="1" t="s">
        <v>33</v>
      </c>
      <c r="C72" s="1">
        <v>7.7080000000000002</v>
      </c>
      <c r="D72" s="1">
        <v>2.75E-2</v>
      </c>
      <c r="E72" s="1" t="s">
        <v>2</v>
      </c>
      <c r="F72" s="1" t="s">
        <v>128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2457204.6441000002</v>
      </c>
      <c r="B73" s="1" t="s">
        <v>34</v>
      </c>
      <c r="C73" s="1">
        <v>7.6856</v>
      </c>
      <c r="D73" s="1">
        <v>4.3E-3</v>
      </c>
      <c r="E73" s="1" t="s">
        <v>2</v>
      </c>
      <c r="F73" s="1" t="s">
        <v>128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2457205.7666199999</v>
      </c>
      <c r="B74" s="1" t="s">
        <v>35</v>
      </c>
      <c r="C74" s="1">
        <v>7.71</v>
      </c>
      <c r="D74" s="1">
        <v>3.0000000000000001E-3</v>
      </c>
      <c r="E74" s="1" t="s">
        <v>2</v>
      </c>
      <c r="F74" s="1" t="s">
        <v>13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2457206.7122</v>
      </c>
      <c r="B75" s="1" t="s">
        <v>36</v>
      </c>
      <c r="C75" s="1">
        <v>7.6920000000000002</v>
      </c>
      <c r="D75" s="1">
        <v>2.8000000000000001E-2</v>
      </c>
      <c r="E75" s="1" t="s">
        <v>2</v>
      </c>
      <c r="F75" s="1" t="s">
        <v>125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2457208.6730900002</v>
      </c>
      <c r="B76" s="1" t="s">
        <v>37</v>
      </c>
      <c r="C76" s="1">
        <v>7.665</v>
      </c>
      <c r="D76" s="1">
        <v>8.0000000000000002E-3</v>
      </c>
      <c r="E76" s="1" t="s">
        <v>2</v>
      </c>
      <c r="F76" s="1" t="s">
        <v>127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2457210.82045</v>
      </c>
      <c r="B77" s="1" t="s">
        <v>38</v>
      </c>
      <c r="C77" s="1">
        <v>7.7610000000000001</v>
      </c>
      <c r="D77" s="1">
        <v>1.2E-2</v>
      </c>
      <c r="E77" s="1" t="s">
        <v>2</v>
      </c>
      <c r="F77" s="1" t="s">
        <v>5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2457211.64493</v>
      </c>
      <c r="B78" s="1" t="s">
        <v>39</v>
      </c>
      <c r="C78" s="1">
        <v>7.7229000000000001</v>
      </c>
      <c r="D78" s="1">
        <v>9.4000000000000004E-3</v>
      </c>
      <c r="E78" s="1" t="s">
        <v>2</v>
      </c>
      <c r="F78" s="1" t="s">
        <v>128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2457211.7182999998</v>
      </c>
      <c r="B79" s="1" t="s">
        <v>39</v>
      </c>
      <c r="C79" s="1">
        <v>7.78</v>
      </c>
      <c r="D79" s="1">
        <v>7.0000000000000001E-3</v>
      </c>
      <c r="E79" s="1" t="s">
        <v>2</v>
      </c>
      <c r="F79" s="1" t="s">
        <v>125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2457212.6436700001</v>
      </c>
      <c r="B80" s="1" t="s">
        <v>40</v>
      </c>
      <c r="C80" s="1">
        <v>7.601</v>
      </c>
      <c r="D80" s="1">
        <v>4.0000000000000001E-3</v>
      </c>
      <c r="E80" s="1" t="s">
        <v>2</v>
      </c>
      <c r="F80" s="1" t="s">
        <v>128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2457214.6585499998</v>
      </c>
      <c r="B81" s="1" t="s">
        <v>41</v>
      </c>
      <c r="C81" s="1">
        <v>7.6589999999999998</v>
      </c>
      <c r="D81" s="1">
        <v>7.0000000000000001E-3</v>
      </c>
      <c r="E81" s="1" t="s">
        <v>2</v>
      </c>
      <c r="F81" s="1" t="s">
        <v>127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2457214.7234999998</v>
      </c>
      <c r="B82" s="1" t="s">
        <v>41</v>
      </c>
      <c r="C82" s="1">
        <v>7.6950000000000003</v>
      </c>
      <c r="D82" s="1">
        <v>1.6E-2</v>
      </c>
      <c r="E82" s="1" t="s">
        <v>2</v>
      </c>
      <c r="F82" s="1" t="s">
        <v>125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2457215.6825999999</v>
      </c>
      <c r="B83" s="1" t="s">
        <v>42</v>
      </c>
      <c r="C83" s="1">
        <v>7.6829999999999998</v>
      </c>
      <c r="D83" s="1">
        <v>7.0000000000000001E-3</v>
      </c>
      <c r="E83" s="1" t="s">
        <v>2</v>
      </c>
      <c r="F83" s="1" t="s">
        <v>127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2457217.8062999998</v>
      </c>
      <c r="B84" s="1" t="s">
        <v>43</v>
      </c>
      <c r="C84" s="1">
        <v>7.9089999999999998</v>
      </c>
      <c r="D84" s="1">
        <v>2.5000000000000001E-2</v>
      </c>
      <c r="E84" s="1" t="s">
        <v>2</v>
      </c>
      <c r="F84" s="1" t="s">
        <v>5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2457219.4340400002</v>
      </c>
      <c r="B85" s="1" t="s">
        <v>44</v>
      </c>
      <c r="C85" s="1">
        <v>7.9450000000000003</v>
      </c>
      <c r="D85" s="1">
        <v>2.1000000000000001E-2</v>
      </c>
      <c r="E85" s="1" t="s">
        <v>2</v>
      </c>
      <c r="F85" s="1" t="s">
        <v>16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2457220.66677</v>
      </c>
      <c r="B86" s="1" t="s">
        <v>45</v>
      </c>
      <c r="C86" s="1">
        <v>7.9329999999999998</v>
      </c>
      <c r="D86" s="1">
        <v>5.0000000000000001E-3</v>
      </c>
      <c r="E86" s="1" t="s">
        <v>2</v>
      </c>
      <c r="F86" s="1" t="s">
        <v>127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2457220.6950500002</v>
      </c>
      <c r="B87" s="1" t="s">
        <v>45</v>
      </c>
      <c r="C87" s="1">
        <v>8.0719999999999992</v>
      </c>
      <c r="D87" s="1">
        <v>2.1999999999999999E-2</v>
      </c>
      <c r="E87" s="1" t="s">
        <v>2</v>
      </c>
      <c r="F87" s="1" t="s">
        <v>129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2457220.6952399998</v>
      </c>
      <c r="B88" s="1" t="s">
        <v>45</v>
      </c>
      <c r="C88" s="1">
        <v>8.0419999999999998</v>
      </c>
      <c r="D88" s="1">
        <v>2.3E-2</v>
      </c>
      <c r="E88" s="1" t="s">
        <v>2</v>
      </c>
      <c r="F88" s="1" t="s">
        <v>129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2457220.6953500002</v>
      </c>
      <c r="B89" s="1" t="s">
        <v>45</v>
      </c>
      <c r="C89" s="1">
        <v>8.0039999999999996</v>
      </c>
      <c r="D89" s="1">
        <v>2.3E-2</v>
      </c>
      <c r="E89" s="1" t="s">
        <v>2</v>
      </c>
      <c r="F89" s="1" t="s">
        <v>129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2457220.6955499998</v>
      </c>
      <c r="B90" s="1" t="s">
        <v>45</v>
      </c>
      <c r="C90" s="1">
        <v>8.0259999999999998</v>
      </c>
      <c r="D90" s="1">
        <v>2.3E-2</v>
      </c>
      <c r="E90" s="1" t="s">
        <v>2</v>
      </c>
      <c r="F90" s="1" t="s">
        <v>129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2457220.6957899998</v>
      </c>
      <c r="B91" s="1" t="s">
        <v>45</v>
      </c>
      <c r="C91" s="1">
        <v>7.9989999999999997</v>
      </c>
      <c r="D91" s="1">
        <v>2.3E-2</v>
      </c>
      <c r="E91" s="1" t="s">
        <v>2</v>
      </c>
      <c r="F91" s="1" t="s">
        <v>129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2457220.6958400002</v>
      </c>
      <c r="B92" s="1" t="s">
        <v>45</v>
      </c>
      <c r="C92" s="1">
        <v>8.0329999999999995</v>
      </c>
      <c r="D92" s="1">
        <v>2.3E-2</v>
      </c>
      <c r="E92" s="1" t="s">
        <v>2</v>
      </c>
      <c r="F92" s="1" t="s">
        <v>129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2457220.6960399998</v>
      </c>
      <c r="B93" s="1" t="s">
        <v>45</v>
      </c>
      <c r="C93" s="1">
        <v>7.9429999999999996</v>
      </c>
      <c r="D93" s="1">
        <v>2.5000000000000001E-2</v>
      </c>
      <c r="E93" s="1" t="s">
        <v>2</v>
      </c>
      <c r="F93" s="1" t="s">
        <v>129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2457220.6963200001</v>
      </c>
      <c r="B94" s="1" t="s">
        <v>45</v>
      </c>
      <c r="C94" s="1">
        <v>7.9809999999999999</v>
      </c>
      <c r="D94" s="1">
        <v>2.4E-2</v>
      </c>
      <c r="E94" s="1" t="s">
        <v>2</v>
      </c>
      <c r="F94" s="1" t="s">
        <v>129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2457221.5423599998</v>
      </c>
      <c r="B95" s="1" t="s">
        <v>46</v>
      </c>
      <c r="C95" s="1">
        <v>7.97</v>
      </c>
      <c r="D95" s="1">
        <v>0.02</v>
      </c>
      <c r="E95" s="1" t="s">
        <v>2</v>
      </c>
      <c r="F95" s="1" t="s">
        <v>130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2457223.7204</v>
      </c>
      <c r="B96" s="1" t="s">
        <v>47</v>
      </c>
      <c r="C96" s="1">
        <v>7.9770000000000003</v>
      </c>
      <c r="D96" s="1">
        <v>1.2999999999999999E-2</v>
      </c>
      <c r="E96" s="1" t="s">
        <v>2</v>
      </c>
      <c r="F96" s="1" t="s">
        <v>125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2457225.7080000001</v>
      </c>
      <c r="B97" s="1" t="s">
        <v>23</v>
      </c>
      <c r="C97" s="1">
        <v>8.0250000000000004</v>
      </c>
      <c r="D97" s="1">
        <v>5.0000000000000001E-3</v>
      </c>
      <c r="E97" s="1" t="s">
        <v>2</v>
      </c>
      <c r="F97" s="1" t="s">
        <v>125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2457226.5113499998</v>
      </c>
      <c r="B98" s="1" t="s">
        <v>48</v>
      </c>
      <c r="C98" s="1">
        <v>8.0589999999999993</v>
      </c>
      <c r="D98" s="1">
        <v>0.04</v>
      </c>
      <c r="E98" s="1" t="s">
        <v>2</v>
      </c>
      <c r="F98" s="1" t="s">
        <v>16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2457229.9514500001</v>
      </c>
      <c r="B99" s="1" t="s">
        <v>49</v>
      </c>
      <c r="C99" s="1">
        <v>8.1750000000000007</v>
      </c>
      <c r="D99" s="1">
        <v>3.0000000000000001E-3</v>
      </c>
      <c r="E99" s="1" t="s">
        <v>2</v>
      </c>
      <c r="F99" s="1" t="s">
        <v>13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2457231.6853</v>
      </c>
      <c r="B100" s="1" t="s">
        <v>50</v>
      </c>
      <c r="C100" s="1">
        <v>8.1890000000000001</v>
      </c>
      <c r="D100" s="1">
        <v>6.0000000000000001E-3</v>
      </c>
      <c r="E100" s="1" t="s">
        <v>2</v>
      </c>
      <c r="F100" s="1" t="s">
        <v>125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2457233.61368</v>
      </c>
      <c r="B101" s="1" t="s">
        <v>51</v>
      </c>
      <c r="C101" s="1">
        <v>8.1760000000000002</v>
      </c>
      <c r="D101" s="1">
        <v>8.0000000000000002E-3</v>
      </c>
      <c r="E101" s="1" t="s">
        <v>2</v>
      </c>
      <c r="F101" s="1" t="s">
        <v>127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2457234.6749</v>
      </c>
      <c r="B102" s="1" t="s">
        <v>52</v>
      </c>
      <c r="C102" s="1">
        <v>8.27</v>
      </c>
      <c r="D102" s="1">
        <v>7.0000000000000001E-3</v>
      </c>
      <c r="E102" s="1" t="s">
        <v>2</v>
      </c>
      <c r="F102" s="1" t="s">
        <v>125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2457236.6762000001</v>
      </c>
      <c r="B103" s="1" t="s">
        <v>53</v>
      </c>
      <c r="C103" s="1">
        <v>8.3059999999999992</v>
      </c>
      <c r="D103" s="1">
        <v>0.01</v>
      </c>
      <c r="E103" s="1" t="s">
        <v>2</v>
      </c>
      <c r="F103" s="1" t="s">
        <v>125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2457237.6313999998</v>
      </c>
      <c r="B104" s="1" t="s">
        <v>54</v>
      </c>
      <c r="C104" s="1">
        <v>8.2789999999999999</v>
      </c>
      <c r="D104" s="1">
        <v>6.0000000000000001E-3</v>
      </c>
      <c r="E104" s="1" t="s">
        <v>2</v>
      </c>
      <c r="F104" s="1" t="s">
        <v>127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2457238.6567899999</v>
      </c>
      <c r="B105" s="1" t="s">
        <v>55</v>
      </c>
      <c r="C105" s="1">
        <v>8.343</v>
      </c>
      <c r="D105" s="1">
        <v>4.0000000000000001E-3</v>
      </c>
      <c r="E105" s="1" t="s">
        <v>2</v>
      </c>
      <c r="F105" s="1" t="s">
        <v>126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2457239.6798</v>
      </c>
      <c r="B106" s="1" t="s">
        <v>56</v>
      </c>
      <c r="C106" s="1">
        <v>8.3529999999999998</v>
      </c>
      <c r="D106" s="1">
        <v>6.0000000000000001E-3</v>
      </c>
      <c r="E106" s="1" t="s">
        <v>2</v>
      </c>
      <c r="F106" s="1" t="s">
        <v>125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2457239.9362699999</v>
      </c>
      <c r="B107" s="1" t="s">
        <v>56</v>
      </c>
      <c r="C107" s="1">
        <v>8.359</v>
      </c>
      <c r="D107" s="1">
        <v>3.0000000000000001E-3</v>
      </c>
      <c r="E107" s="1" t="s">
        <v>2</v>
      </c>
      <c r="F107" s="1" t="s">
        <v>13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2457241.45004</v>
      </c>
      <c r="B108" s="1" t="s">
        <v>57</v>
      </c>
      <c r="C108" s="1">
        <v>8.3949999999999996</v>
      </c>
      <c r="D108" s="1">
        <v>1.9E-2</v>
      </c>
      <c r="E108" s="1" t="s">
        <v>2</v>
      </c>
      <c r="F108" s="1" t="s">
        <v>16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2457244.6514900001</v>
      </c>
      <c r="B109" s="1" t="s">
        <v>58</v>
      </c>
      <c r="C109" s="1">
        <v>8.391</v>
      </c>
      <c r="D109" s="1">
        <v>5.0000000000000001E-3</v>
      </c>
      <c r="E109" s="1" t="s">
        <v>2</v>
      </c>
      <c r="F109" s="1" t="s">
        <v>127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2457244.7349200002</v>
      </c>
      <c r="B110" s="1" t="s">
        <v>58</v>
      </c>
      <c r="C110" s="1">
        <v>8.3979999999999997</v>
      </c>
      <c r="D110" s="1">
        <v>4.0000000000000001E-3</v>
      </c>
      <c r="E110" s="1" t="s">
        <v>2</v>
      </c>
      <c r="F110" s="1" t="s">
        <v>13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2457246.66212</v>
      </c>
      <c r="B111" s="1" t="s">
        <v>59</v>
      </c>
      <c r="C111" s="1">
        <v>8.4510000000000005</v>
      </c>
      <c r="D111" s="1">
        <v>3.0000000000000001E-3</v>
      </c>
      <c r="E111" s="1" t="s">
        <v>2</v>
      </c>
      <c r="F111" s="1" t="s">
        <v>13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2457246.6889</v>
      </c>
      <c r="B112" s="1" t="s">
        <v>59</v>
      </c>
      <c r="C112" s="1">
        <v>8.4740000000000002</v>
      </c>
      <c r="D112" s="1">
        <v>4.0000000000000001E-3</v>
      </c>
      <c r="E112" s="1" t="s">
        <v>2</v>
      </c>
      <c r="F112" s="1" t="s">
        <v>125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2457247.9067799998</v>
      </c>
      <c r="B113" s="1" t="s">
        <v>60</v>
      </c>
      <c r="C113" s="1">
        <v>8.4570000000000007</v>
      </c>
      <c r="D113" s="1">
        <v>4.0000000000000001E-3</v>
      </c>
      <c r="E113" s="1" t="s">
        <v>2</v>
      </c>
      <c r="F113" s="1" t="s">
        <v>13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2457248.90814</v>
      </c>
      <c r="B114" s="1" t="s">
        <v>61</v>
      </c>
      <c r="C114" s="1">
        <v>8.4789999999999992</v>
      </c>
      <c r="D114" s="1">
        <v>4.0000000000000001E-3</v>
      </c>
      <c r="E114" s="1" t="s">
        <v>2</v>
      </c>
      <c r="F114" s="1" t="s">
        <v>13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2457249.7162799998</v>
      </c>
      <c r="B115" s="1" t="s">
        <v>62</v>
      </c>
      <c r="C115" s="1">
        <v>8.4979999999999993</v>
      </c>
      <c r="D115" s="1">
        <v>4.0000000000000001E-3</v>
      </c>
      <c r="E115" s="1" t="s">
        <v>2</v>
      </c>
      <c r="F115" s="1" t="s">
        <v>13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2457250.6935999999</v>
      </c>
      <c r="B116" s="1" t="s">
        <v>63</v>
      </c>
      <c r="C116" s="1">
        <v>8.49</v>
      </c>
      <c r="D116" s="1">
        <v>0.01</v>
      </c>
      <c r="E116" s="1" t="s">
        <v>2</v>
      </c>
      <c r="F116" s="1" t="s">
        <v>125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2457251.6413500002</v>
      </c>
      <c r="B117" s="1" t="s">
        <v>64</v>
      </c>
      <c r="C117" s="1">
        <v>8.468</v>
      </c>
      <c r="D117" s="1">
        <v>5.0000000000000001E-3</v>
      </c>
      <c r="E117" s="1" t="s">
        <v>2</v>
      </c>
      <c r="F117" s="1" t="s">
        <v>127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2457251.7117599999</v>
      </c>
      <c r="B118" s="1" t="s">
        <v>64</v>
      </c>
      <c r="C118" s="1">
        <v>8.4649999999999999</v>
      </c>
      <c r="D118" s="1">
        <v>4.0000000000000001E-3</v>
      </c>
      <c r="E118" s="1" t="s">
        <v>2</v>
      </c>
      <c r="F118" s="1" t="s">
        <v>13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2457252.7099000001</v>
      </c>
      <c r="B119" s="1" t="s">
        <v>65</v>
      </c>
      <c r="C119" s="1">
        <v>8.44</v>
      </c>
      <c r="D119" s="1">
        <v>5.0000000000000001E-3</v>
      </c>
      <c r="E119" s="1" t="s">
        <v>2</v>
      </c>
      <c r="F119" s="1" t="s">
        <v>13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2457254.6317400001</v>
      </c>
      <c r="B120" s="1" t="s">
        <v>66</v>
      </c>
      <c r="C120" s="1">
        <v>8.5030000000000001</v>
      </c>
      <c r="D120" s="1">
        <v>6.0000000000000001E-3</v>
      </c>
      <c r="E120" s="1" t="s">
        <v>2</v>
      </c>
      <c r="F120" s="1" t="s">
        <v>127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2457262.6406</v>
      </c>
      <c r="B121" s="1" t="s">
        <v>67</v>
      </c>
      <c r="C121" s="1">
        <v>8.5730000000000004</v>
      </c>
      <c r="D121" s="1">
        <v>1.7000000000000001E-2</v>
      </c>
      <c r="E121" s="1" t="s">
        <v>2</v>
      </c>
      <c r="F121" s="1" t="s">
        <v>125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2457264.5772699998</v>
      </c>
      <c r="B122" s="1" t="s">
        <v>68</v>
      </c>
      <c r="C122" s="1">
        <v>8.5860000000000003</v>
      </c>
      <c r="D122" s="1">
        <v>0.01</v>
      </c>
      <c r="E122" s="1" t="s">
        <v>2</v>
      </c>
      <c r="F122" s="1" t="s">
        <v>127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2457265.6403000001</v>
      </c>
      <c r="B123" s="1" t="s">
        <v>69</v>
      </c>
      <c r="C123" s="1">
        <v>8.7550000000000008</v>
      </c>
      <c r="D123" s="1">
        <v>1.4E-2</v>
      </c>
      <c r="E123" s="1" t="s">
        <v>2</v>
      </c>
      <c r="F123" s="1" t="s">
        <v>125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2457270.5804499998</v>
      </c>
      <c r="B124" s="1" t="s">
        <v>70</v>
      </c>
      <c r="C124" s="1">
        <v>8.5960000000000001</v>
      </c>
      <c r="D124" s="1">
        <v>5.0000000000000001E-3</v>
      </c>
      <c r="E124" s="1" t="s">
        <v>2</v>
      </c>
      <c r="F124" s="1" t="s">
        <v>127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2457271.5499999998</v>
      </c>
      <c r="B125" s="1" t="s">
        <v>71</v>
      </c>
      <c r="C125" s="1">
        <v>8.6170000000000009</v>
      </c>
      <c r="D125" s="1">
        <v>5.0000000000000001E-3</v>
      </c>
      <c r="E125" s="1" t="s">
        <v>2</v>
      </c>
      <c r="F125" s="1" t="s">
        <v>127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2457272.55486</v>
      </c>
      <c r="B126" s="1" t="s">
        <v>72</v>
      </c>
      <c r="C126" s="1">
        <v>8.6340000000000003</v>
      </c>
      <c r="D126" s="1">
        <v>6.0000000000000001E-3</v>
      </c>
      <c r="E126" s="1" t="s">
        <v>2</v>
      </c>
      <c r="F126" s="1" t="s">
        <v>127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2457275.6343</v>
      </c>
      <c r="B127" s="1" t="s">
        <v>73</v>
      </c>
      <c r="C127" s="1">
        <v>8.6660000000000004</v>
      </c>
      <c r="D127" s="1">
        <v>6.0000000000000001E-3</v>
      </c>
      <c r="E127" s="1" t="s">
        <v>2</v>
      </c>
      <c r="F127" s="1" t="s">
        <v>125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2457277.7717800001</v>
      </c>
      <c r="B128" s="1" t="s">
        <v>131</v>
      </c>
      <c r="C128" s="1">
        <v>8.68</v>
      </c>
      <c r="D128" s="1">
        <v>4.0000000000000001E-3</v>
      </c>
      <c r="E128" s="1" t="s">
        <v>2</v>
      </c>
      <c r="F128" s="1" t="s">
        <v>13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2457279.6910999999</v>
      </c>
      <c r="B129" s="1" t="s">
        <v>74</v>
      </c>
      <c r="C129" s="1">
        <v>8.6809999999999992</v>
      </c>
      <c r="D129" s="1">
        <v>2E-3</v>
      </c>
      <c r="E129" s="1" t="s">
        <v>2</v>
      </c>
      <c r="F129" s="1" t="s">
        <v>125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2457280.6647700001</v>
      </c>
      <c r="B130" s="1" t="s">
        <v>75</v>
      </c>
      <c r="C130" s="1">
        <v>8.6959999999999997</v>
      </c>
      <c r="D130" s="1">
        <v>3.0000000000000001E-3</v>
      </c>
      <c r="E130" s="1" t="s">
        <v>2</v>
      </c>
      <c r="F130" s="1" t="s">
        <v>13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2457281.5176200001</v>
      </c>
      <c r="B131" s="1" t="s">
        <v>76</v>
      </c>
      <c r="C131" s="1">
        <v>8.6519999999999992</v>
      </c>
      <c r="D131" s="1">
        <v>5.0000000000000001E-3</v>
      </c>
      <c r="E131" s="1" t="s">
        <v>2</v>
      </c>
      <c r="F131" s="1" t="s">
        <v>127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2457282.6314900001</v>
      </c>
      <c r="B132" s="1" t="s">
        <v>77</v>
      </c>
      <c r="C132" s="1">
        <v>8.7479999999999993</v>
      </c>
      <c r="D132" s="1">
        <v>1.4E-2</v>
      </c>
      <c r="E132" s="1" t="s">
        <v>2</v>
      </c>
      <c r="F132" s="1" t="s">
        <v>5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2457282.6398999998</v>
      </c>
      <c r="B133" s="1" t="s">
        <v>77</v>
      </c>
      <c r="C133" s="1">
        <v>8.6950000000000003</v>
      </c>
      <c r="D133" s="1">
        <v>8.0000000000000002E-3</v>
      </c>
      <c r="E133" s="1" t="s">
        <v>2</v>
      </c>
      <c r="F133" s="1" t="s">
        <v>125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2457284.6251500002</v>
      </c>
      <c r="B134" s="1" t="s">
        <v>78</v>
      </c>
      <c r="C134" s="1">
        <v>8.7460000000000004</v>
      </c>
      <c r="D134" s="1">
        <v>1.2E-2</v>
      </c>
      <c r="E134" s="1" t="s">
        <v>2</v>
      </c>
      <c r="F134" s="1" t="s">
        <v>5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2457285.6206999999</v>
      </c>
      <c r="B135" s="1" t="s">
        <v>79</v>
      </c>
      <c r="C135" s="1">
        <v>8.7189999999999994</v>
      </c>
      <c r="D135" s="1">
        <v>0.01</v>
      </c>
      <c r="E135" s="1" t="s">
        <v>2</v>
      </c>
      <c r="F135" s="1" t="s">
        <v>125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2457286.5181</v>
      </c>
      <c r="B136" s="1" t="s">
        <v>80</v>
      </c>
      <c r="C136" s="1">
        <v>8.6720000000000006</v>
      </c>
      <c r="D136" s="1">
        <v>5.0000000000000001E-3</v>
      </c>
      <c r="E136" s="1" t="s">
        <v>2</v>
      </c>
      <c r="F136" s="1" t="s">
        <v>127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2457287.6192999999</v>
      </c>
      <c r="B137" s="1" t="s">
        <v>81</v>
      </c>
      <c r="C137" s="1">
        <v>8.7270000000000003</v>
      </c>
      <c r="D137" s="1">
        <v>2.1999999999999999E-2</v>
      </c>
      <c r="E137" s="1" t="s">
        <v>2</v>
      </c>
      <c r="F137" s="1" t="s">
        <v>125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2457289.60824</v>
      </c>
      <c r="B138" s="1" t="s">
        <v>132</v>
      </c>
      <c r="C138" s="1">
        <v>8.8010000000000002</v>
      </c>
      <c r="D138" s="1">
        <v>1.2999999999999999E-2</v>
      </c>
      <c r="E138" s="1" t="s">
        <v>2</v>
      </c>
      <c r="F138" s="1" t="s">
        <v>5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2457290.5064099999</v>
      </c>
      <c r="B139" s="1" t="s">
        <v>24</v>
      </c>
      <c r="C139" s="1">
        <v>8.7309999999999999</v>
      </c>
      <c r="D139" s="1">
        <v>6.0000000000000001E-3</v>
      </c>
      <c r="E139" s="1" t="s">
        <v>2</v>
      </c>
      <c r="F139" s="1" t="s">
        <v>127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2457291.3140799999</v>
      </c>
      <c r="B140" s="1" t="s">
        <v>24</v>
      </c>
      <c r="C140" s="1">
        <v>8.7370000000000001</v>
      </c>
      <c r="D140" s="1">
        <v>2.5000000000000001E-2</v>
      </c>
      <c r="E140" s="1" t="s">
        <v>2</v>
      </c>
      <c r="F140" s="1" t="s">
        <v>16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2457291.6217700001</v>
      </c>
      <c r="B141" s="1" t="s">
        <v>133</v>
      </c>
      <c r="C141" s="1">
        <v>8.7240000000000002</v>
      </c>
      <c r="D141" s="1">
        <v>8.9999999999999993E-3</v>
      </c>
      <c r="E141" s="1" t="s">
        <v>2</v>
      </c>
      <c r="F141" s="1" t="s">
        <v>13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2457292.5305300001</v>
      </c>
      <c r="B142" s="1" t="s">
        <v>134</v>
      </c>
      <c r="C142" s="1">
        <v>8.8469999999999995</v>
      </c>
      <c r="D142" s="1">
        <v>1.2E-2</v>
      </c>
      <c r="E142" s="1" t="s">
        <v>2</v>
      </c>
      <c r="F142" s="1" t="s">
        <v>127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2457293.59925</v>
      </c>
      <c r="B143" s="1" t="s">
        <v>145</v>
      </c>
      <c r="C143" s="1">
        <v>8.7560000000000002</v>
      </c>
      <c r="D143" s="1">
        <v>5.0000000000000001E-3</v>
      </c>
      <c r="E143" s="1" t="s">
        <v>2</v>
      </c>
      <c r="F143" s="1" t="s">
        <v>13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2457296.6102</v>
      </c>
      <c r="B144" s="1" t="s">
        <v>82</v>
      </c>
      <c r="C144" s="1">
        <v>8.7469999999999999</v>
      </c>
      <c r="D144" s="1">
        <v>6.0000000000000001E-3</v>
      </c>
      <c r="E144" s="1" t="s">
        <v>2</v>
      </c>
      <c r="F144" s="1" t="s">
        <v>125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2457302.4724099999</v>
      </c>
      <c r="B145" s="1" t="s">
        <v>83</v>
      </c>
      <c r="C145" s="1">
        <v>8.5960000000000001</v>
      </c>
      <c r="D145" s="1">
        <v>6.0000000000000001E-3</v>
      </c>
      <c r="E145" s="1" t="s">
        <v>2</v>
      </c>
      <c r="F145" s="1" t="s">
        <v>127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2457302.5764899999</v>
      </c>
      <c r="B146" s="1" t="s">
        <v>84</v>
      </c>
      <c r="C146" s="1">
        <v>8.6449999999999996</v>
      </c>
      <c r="D146" s="1">
        <v>5.0000000000000001E-3</v>
      </c>
      <c r="E146" s="1" t="s">
        <v>2</v>
      </c>
      <c r="F146" s="1" t="s">
        <v>13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2457303.5717000002</v>
      </c>
      <c r="B147" s="1" t="s">
        <v>85</v>
      </c>
      <c r="C147" s="1">
        <v>8.5709999999999997</v>
      </c>
      <c r="D147" s="1">
        <v>4.0000000000000001E-3</v>
      </c>
      <c r="E147" s="1" t="s">
        <v>2</v>
      </c>
      <c r="F147" s="1" t="s">
        <v>13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2457304.56378</v>
      </c>
      <c r="B148" s="1" t="s">
        <v>86</v>
      </c>
      <c r="C148" s="1">
        <v>7.9530000000000003</v>
      </c>
      <c r="D148" s="1">
        <v>4.0000000000000001E-3</v>
      </c>
      <c r="E148" s="1" t="s">
        <v>2</v>
      </c>
      <c r="F148" s="1" t="s">
        <v>13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2457305.6036999999</v>
      </c>
      <c r="B149" s="1" t="s">
        <v>87</v>
      </c>
      <c r="C149" s="1">
        <v>7.9809999999999999</v>
      </c>
      <c r="D149" s="1">
        <v>0.01</v>
      </c>
      <c r="E149" s="1" t="s">
        <v>2</v>
      </c>
      <c r="F149" s="1" t="s">
        <v>125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2457306.46159</v>
      </c>
      <c r="B150" s="1" t="s">
        <v>87</v>
      </c>
      <c r="C150" s="1">
        <v>8.0220000000000002</v>
      </c>
      <c r="D150" s="1">
        <v>7.0000000000000001E-3</v>
      </c>
      <c r="E150" s="1" t="s">
        <v>2</v>
      </c>
      <c r="F150" s="1" t="s">
        <v>127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2457306.5122000002</v>
      </c>
      <c r="B151" s="1" t="s">
        <v>88</v>
      </c>
      <c r="C151" s="1">
        <v>7.9909999999999997</v>
      </c>
      <c r="D151" s="1">
        <v>2.3E-2</v>
      </c>
      <c r="E151" s="1" t="s">
        <v>2</v>
      </c>
      <c r="F151" s="1" t="s">
        <v>125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2457306.5578000001</v>
      </c>
      <c r="B152" s="1" t="s">
        <v>88</v>
      </c>
      <c r="C152" s="1">
        <v>8.0250000000000004</v>
      </c>
      <c r="D152" s="1">
        <v>4.1000000000000002E-2</v>
      </c>
      <c r="E152" s="1" t="s">
        <v>2</v>
      </c>
      <c r="F152" s="1" t="s">
        <v>125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2457307.4741799999</v>
      </c>
      <c r="B153" s="1" t="s">
        <v>88</v>
      </c>
      <c r="C153" s="1">
        <v>7.9690000000000003</v>
      </c>
      <c r="D153" s="1">
        <v>5.0000000000000001E-3</v>
      </c>
      <c r="E153" s="1" t="s">
        <v>2</v>
      </c>
      <c r="F153" s="1" t="s">
        <v>127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2457307.50281</v>
      </c>
      <c r="B154" s="1" t="s">
        <v>135</v>
      </c>
      <c r="C154" s="1">
        <v>8.0120000000000005</v>
      </c>
      <c r="D154" s="1">
        <v>6.0000000000000001E-3</v>
      </c>
      <c r="E154" s="1" t="s">
        <v>2</v>
      </c>
      <c r="F154" s="1" t="s">
        <v>127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2457307.52568</v>
      </c>
      <c r="B155" s="1" t="s">
        <v>135</v>
      </c>
      <c r="C155" s="1">
        <v>8.0180000000000007</v>
      </c>
      <c r="D155" s="1">
        <v>1.0999999999999999E-2</v>
      </c>
      <c r="E155" s="1" t="s">
        <v>2</v>
      </c>
      <c r="F155" s="1" t="s">
        <v>89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2457307.52611</v>
      </c>
      <c r="B156" s="1" t="s">
        <v>135</v>
      </c>
      <c r="C156" s="1">
        <v>8.0259999999999998</v>
      </c>
      <c r="D156" s="1">
        <v>1.0999999999999999E-2</v>
      </c>
      <c r="E156" s="1" t="s">
        <v>2</v>
      </c>
      <c r="F156" s="1" t="s">
        <v>89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2457307.5264400002</v>
      </c>
      <c r="B157" s="1" t="s">
        <v>135</v>
      </c>
      <c r="C157" s="1">
        <v>8.0150000000000006</v>
      </c>
      <c r="D157" s="1">
        <v>1.0999999999999999E-2</v>
      </c>
      <c r="E157" s="1" t="s">
        <v>2</v>
      </c>
      <c r="F157" s="1" t="s">
        <v>89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2457307.5267699999</v>
      </c>
      <c r="B158" s="1" t="s">
        <v>135</v>
      </c>
      <c r="C158" s="1">
        <v>8.0129999999999999</v>
      </c>
      <c r="D158" s="1">
        <v>1.0999999999999999E-2</v>
      </c>
      <c r="E158" s="1" t="s">
        <v>2</v>
      </c>
      <c r="F158" s="1" t="s">
        <v>89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2457307.5271000001</v>
      </c>
      <c r="B159" s="1" t="s">
        <v>135</v>
      </c>
      <c r="C159" s="1">
        <v>8.016</v>
      </c>
      <c r="D159" s="1">
        <v>1.0999999999999999E-2</v>
      </c>
      <c r="E159" s="1" t="s">
        <v>2</v>
      </c>
      <c r="F159" s="1" t="s">
        <v>89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2457307.5274200002</v>
      </c>
      <c r="B160" s="1" t="s">
        <v>135</v>
      </c>
      <c r="C160" s="1">
        <v>8.0120000000000005</v>
      </c>
      <c r="D160" s="1">
        <v>1.0999999999999999E-2</v>
      </c>
      <c r="E160" s="1" t="s">
        <v>2</v>
      </c>
      <c r="F160" s="1" t="s">
        <v>89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2457307.52776</v>
      </c>
      <c r="B161" s="1" t="s">
        <v>135</v>
      </c>
      <c r="C161" s="1">
        <v>8.0350000000000001</v>
      </c>
      <c r="D161" s="1">
        <v>1.0999999999999999E-2</v>
      </c>
      <c r="E161" s="1" t="s">
        <v>2</v>
      </c>
      <c r="F161" s="1" t="s">
        <v>89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2457307.5280800001</v>
      </c>
      <c r="B162" s="1" t="s">
        <v>135</v>
      </c>
      <c r="C162" s="1">
        <v>8.032</v>
      </c>
      <c r="D162" s="1">
        <v>1.0999999999999999E-2</v>
      </c>
      <c r="E162" s="1" t="s">
        <v>2</v>
      </c>
      <c r="F162" s="1" t="s">
        <v>89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2457307.5314199999</v>
      </c>
      <c r="B163" s="1" t="s">
        <v>135</v>
      </c>
      <c r="C163" s="1">
        <v>8.0129999999999999</v>
      </c>
      <c r="D163" s="1">
        <v>1.0999999999999999E-2</v>
      </c>
      <c r="E163" s="1" t="s">
        <v>2</v>
      </c>
      <c r="F163" s="1" t="s">
        <v>89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2457307.53186</v>
      </c>
      <c r="B164" s="1" t="s">
        <v>135</v>
      </c>
      <c r="C164" s="1">
        <v>8.0280000000000005</v>
      </c>
      <c r="D164" s="1">
        <v>1.0999999999999999E-2</v>
      </c>
      <c r="E164" s="1" t="s">
        <v>2</v>
      </c>
      <c r="F164" s="1" t="s">
        <v>89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2457307.5323000001</v>
      </c>
      <c r="B165" s="1" t="s">
        <v>135</v>
      </c>
      <c r="C165" s="1">
        <v>8.0269999999999992</v>
      </c>
      <c r="D165" s="1">
        <v>1.0999999999999999E-2</v>
      </c>
      <c r="E165" s="1" t="s">
        <v>2</v>
      </c>
      <c r="F165" s="1" t="s">
        <v>89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2457307.5327400002</v>
      </c>
      <c r="B166" s="1" t="s">
        <v>135</v>
      </c>
      <c r="C166" s="1">
        <v>8.0329999999999995</v>
      </c>
      <c r="D166" s="1">
        <v>0.01</v>
      </c>
      <c r="E166" s="1" t="s">
        <v>2</v>
      </c>
      <c r="F166" s="1" t="s">
        <v>89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2457307.5331700002</v>
      </c>
      <c r="B167" s="1" t="s">
        <v>135</v>
      </c>
      <c r="C167" s="1">
        <v>8.0340000000000007</v>
      </c>
      <c r="D167" s="1">
        <v>0.01</v>
      </c>
      <c r="E167" s="1" t="s">
        <v>2</v>
      </c>
      <c r="F167" s="1" t="s">
        <v>89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2457307.5336099998</v>
      </c>
      <c r="B168" s="1" t="s">
        <v>135</v>
      </c>
      <c r="C168" s="1">
        <v>8.0410000000000004</v>
      </c>
      <c r="D168" s="1">
        <v>0.01</v>
      </c>
      <c r="E168" s="1" t="s">
        <v>2</v>
      </c>
      <c r="F168" s="1" t="s">
        <v>89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2457307.5340499999</v>
      </c>
      <c r="B169" s="1" t="s">
        <v>135</v>
      </c>
      <c r="C169" s="1">
        <v>8.0310000000000006</v>
      </c>
      <c r="D169" s="1">
        <v>1.0999999999999999E-2</v>
      </c>
      <c r="E169" s="1" t="s">
        <v>2</v>
      </c>
      <c r="F169" s="1" t="s">
        <v>89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2457307.5344799999</v>
      </c>
      <c r="B170" s="1" t="s">
        <v>135</v>
      </c>
      <c r="C170" s="1">
        <v>8.0419999999999998</v>
      </c>
      <c r="D170" s="1">
        <v>0.01</v>
      </c>
      <c r="E170" s="1" t="s">
        <v>2</v>
      </c>
      <c r="F170" s="1" t="s">
        <v>89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2457307.5349099999</v>
      </c>
      <c r="B171" s="1" t="s">
        <v>135</v>
      </c>
      <c r="C171" s="1">
        <v>8.0519999999999996</v>
      </c>
      <c r="D171" s="1">
        <v>0.01</v>
      </c>
      <c r="E171" s="1" t="s">
        <v>2</v>
      </c>
      <c r="F171" s="1" t="s">
        <v>89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2457307.53535</v>
      </c>
      <c r="B172" s="1" t="s">
        <v>135</v>
      </c>
      <c r="C172" s="1">
        <v>8.0310000000000006</v>
      </c>
      <c r="D172" s="1">
        <v>0.01</v>
      </c>
      <c r="E172" s="1" t="s">
        <v>2</v>
      </c>
      <c r="F172" s="1" t="s">
        <v>89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2457307.5358000002</v>
      </c>
      <c r="B173" s="1" t="s">
        <v>135</v>
      </c>
      <c r="C173" s="1">
        <v>8.0259999999999998</v>
      </c>
      <c r="D173" s="1">
        <v>1.0999999999999999E-2</v>
      </c>
      <c r="E173" s="1" t="s">
        <v>2</v>
      </c>
      <c r="F173" s="1" t="s">
        <v>89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2457307.5362399998</v>
      </c>
      <c r="B174" s="1" t="s">
        <v>135</v>
      </c>
      <c r="C174" s="1">
        <v>8.0510000000000002</v>
      </c>
      <c r="D174" s="1">
        <v>0.01</v>
      </c>
      <c r="E174" s="1" t="s">
        <v>2</v>
      </c>
      <c r="F174" s="1" t="s">
        <v>89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2457307.5366699998</v>
      </c>
      <c r="B175" s="1" t="s">
        <v>135</v>
      </c>
      <c r="C175" s="1">
        <v>8.0370000000000008</v>
      </c>
      <c r="D175" s="1">
        <v>0.01</v>
      </c>
      <c r="E175" s="1" t="s">
        <v>2</v>
      </c>
      <c r="F175" s="1" t="s">
        <v>89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2457307.5371099999</v>
      </c>
      <c r="B176" s="1" t="s">
        <v>135</v>
      </c>
      <c r="C176" s="1">
        <v>8.0220000000000002</v>
      </c>
      <c r="D176" s="1">
        <v>1.0999999999999999E-2</v>
      </c>
      <c r="E176" s="1" t="s">
        <v>2</v>
      </c>
      <c r="F176" s="1" t="s">
        <v>89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2457307.53755</v>
      </c>
      <c r="B177" s="1" t="s">
        <v>135</v>
      </c>
      <c r="C177" s="1">
        <v>8.0280000000000005</v>
      </c>
      <c r="D177" s="1">
        <v>1.0999999999999999E-2</v>
      </c>
      <c r="E177" s="1" t="s">
        <v>2</v>
      </c>
      <c r="F177" s="1" t="s">
        <v>89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2457307.53798</v>
      </c>
      <c r="B178" s="1" t="s">
        <v>135</v>
      </c>
      <c r="C178" s="1">
        <v>8.0389999999999997</v>
      </c>
      <c r="D178" s="1">
        <v>0.01</v>
      </c>
      <c r="E178" s="1" t="s">
        <v>2</v>
      </c>
      <c r="F178" s="1" t="s">
        <v>89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2457307.5384200001</v>
      </c>
      <c r="B179" s="1" t="s">
        <v>135</v>
      </c>
      <c r="C179" s="1">
        <v>8.0310000000000006</v>
      </c>
      <c r="D179" s="1">
        <v>0.01</v>
      </c>
      <c r="E179" s="1" t="s">
        <v>2</v>
      </c>
      <c r="F179" s="1" t="s">
        <v>89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2457307.5388600002</v>
      </c>
      <c r="B180" s="1" t="s">
        <v>135</v>
      </c>
      <c r="C180" s="1">
        <v>8.0150000000000006</v>
      </c>
      <c r="D180" s="1">
        <v>0.01</v>
      </c>
      <c r="E180" s="1" t="s">
        <v>2</v>
      </c>
      <c r="F180" s="1" t="s">
        <v>89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2457307.5392900002</v>
      </c>
      <c r="B181" s="1" t="s">
        <v>135</v>
      </c>
      <c r="C181" s="1">
        <v>8.0289999999999999</v>
      </c>
      <c r="D181" s="1">
        <v>1.0999999999999999E-2</v>
      </c>
      <c r="E181" s="1" t="s">
        <v>2</v>
      </c>
      <c r="F181" s="1" t="s">
        <v>89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2457307.5397299998</v>
      </c>
      <c r="B182" s="1" t="s">
        <v>135</v>
      </c>
      <c r="C182" s="1">
        <v>8.0470000000000006</v>
      </c>
      <c r="D182" s="1">
        <v>0.01</v>
      </c>
      <c r="E182" s="1" t="s">
        <v>2</v>
      </c>
      <c r="F182" s="1" t="s">
        <v>89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2457307.5401699999</v>
      </c>
      <c r="B183" s="1" t="s">
        <v>135</v>
      </c>
      <c r="C183" s="1">
        <v>8.0120000000000005</v>
      </c>
      <c r="D183" s="1">
        <v>0.01</v>
      </c>
      <c r="E183" s="1" t="s">
        <v>2</v>
      </c>
      <c r="F183" s="1" t="s">
        <v>89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2457307.54061</v>
      </c>
      <c r="B184" s="1" t="s">
        <v>135</v>
      </c>
      <c r="C184" s="1">
        <v>8.0549999999999997</v>
      </c>
      <c r="D184" s="1">
        <v>0.01</v>
      </c>
      <c r="E184" s="1" t="s">
        <v>2</v>
      </c>
      <c r="F184" s="1" t="s">
        <v>89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2457307.5410500001</v>
      </c>
      <c r="B185" s="1" t="s">
        <v>135</v>
      </c>
      <c r="C185" s="1">
        <v>8.0410000000000004</v>
      </c>
      <c r="D185" s="1">
        <v>0.01</v>
      </c>
      <c r="E185" s="1" t="s">
        <v>2</v>
      </c>
      <c r="F185" s="1" t="s">
        <v>89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2457307.5414900002</v>
      </c>
      <c r="B186" s="1" t="s">
        <v>135</v>
      </c>
      <c r="C186" s="1">
        <v>8.0129999999999999</v>
      </c>
      <c r="D186" s="1">
        <v>1.0999999999999999E-2</v>
      </c>
      <c r="E186" s="1" t="s">
        <v>2</v>
      </c>
      <c r="F186" s="1" t="s">
        <v>89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2457307.5419299998</v>
      </c>
      <c r="B187" s="1" t="s">
        <v>135</v>
      </c>
      <c r="C187" s="1">
        <v>8.032</v>
      </c>
      <c r="D187" s="1">
        <v>0.01</v>
      </c>
      <c r="E187" s="1" t="s">
        <v>2</v>
      </c>
      <c r="F187" s="1" t="s">
        <v>89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2457307.5423699999</v>
      </c>
      <c r="B188" s="1" t="s">
        <v>135</v>
      </c>
      <c r="C188" s="1">
        <v>8.02</v>
      </c>
      <c r="D188" s="1">
        <v>1.0999999999999999E-2</v>
      </c>
      <c r="E188" s="1" t="s">
        <v>2</v>
      </c>
      <c r="F188" s="1" t="s">
        <v>89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2457307.5427999999</v>
      </c>
      <c r="B189" s="1" t="s">
        <v>135</v>
      </c>
      <c r="C189" s="1">
        <v>8.0449999999999999</v>
      </c>
      <c r="D189" s="1">
        <v>0.01</v>
      </c>
      <c r="E189" s="1" t="s">
        <v>2</v>
      </c>
      <c r="F189" s="1" t="s">
        <v>89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2457307.54323</v>
      </c>
      <c r="B190" s="1" t="s">
        <v>135</v>
      </c>
      <c r="C190" s="1">
        <v>8.0289999999999999</v>
      </c>
      <c r="D190" s="1">
        <v>0.01</v>
      </c>
      <c r="E190" s="1" t="s">
        <v>2</v>
      </c>
      <c r="F190" s="1" t="s">
        <v>89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2457307.54367</v>
      </c>
      <c r="B191" s="1" t="s">
        <v>135</v>
      </c>
      <c r="C191" s="1">
        <v>8.0299999999999994</v>
      </c>
      <c r="D191" s="1">
        <v>0.01</v>
      </c>
      <c r="E191" s="1" t="s">
        <v>2</v>
      </c>
      <c r="F191" s="1" t="s">
        <v>89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2457307.5441100001</v>
      </c>
      <c r="B192" s="1" t="s">
        <v>135</v>
      </c>
      <c r="C192" s="1">
        <v>8.02</v>
      </c>
      <c r="D192" s="1">
        <v>0.01</v>
      </c>
      <c r="E192" s="1" t="s">
        <v>2</v>
      </c>
      <c r="F192" s="1" t="s">
        <v>89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2457307.5445500002</v>
      </c>
      <c r="B193" s="1" t="s">
        <v>135</v>
      </c>
      <c r="C193" s="1">
        <v>8.0139999999999993</v>
      </c>
      <c r="D193" s="1">
        <v>0.01</v>
      </c>
      <c r="E193" s="1" t="s">
        <v>2</v>
      </c>
      <c r="F193" s="1" t="s">
        <v>89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2457307.5449799998</v>
      </c>
      <c r="B194" s="1" t="s">
        <v>135</v>
      </c>
      <c r="C194" s="1">
        <v>8.0370000000000008</v>
      </c>
      <c r="D194" s="1">
        <v>0.01</v>
      </c>
      <c r="E194" s="1" t="s">
        <v>2</v>
      </c>
      <c r="F194" s="1" t="s">
        <v>89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2457307.5454199999</v>
      </c>
      <c r="B195" s="1" t="s">
        <v>135</v>
      </c>
      <c r="C195" s="1">
        <v>8.0370000000000008</v>
      </c>
      <c r="D195" s="1">
        <v>0.01</v>
      </c>
      <c r="E195" s="1" t="s">
        <v>2</v>
      </c>
      <c r="F195" s="1" t="s">
        <v>89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2457307.54586</v>
      </c>
      <c r="B196" s="1" t="s">
        <v>135</v>
      </c>
      <c r="C196" s="1">
        <v>8.0419999999999998</v>
      </c>
      <c r="D196" s="1">
        <v>0.01</v>
      </c>
      <c r="E196" s="1" t="s">
        <v>2</v>
      </c>
      <c r="F196" s="1" t="s">
        <v>89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2457307.5463</v>
      </c>
      <c r="B197" s="1" t="s">
        <v>135</v>
      </c>
      <c r="C197" s="1">
        <v>8.0090000000000003</v>
      </c>
      <c r="D197" s="1">
        <v>0.01</v>
      </c>
      <c r="E197" s="1" t="s">
        <v>2</v>
      </c>
      <c r="F197" s="1" t="s">
        <v>89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2457307.5467400001</v>
      </c>
      <c r="B198" s="1" t="s">
        <v>135</v>
      </c>
      <c r="C198" s="1">
        <v>8.016</v>
      </c>
      <c r="D198" s="1">
        <v>0.01</v>
      </c>
      <c r="E198" s="1" t="s">
        <v>2</v>
      </c>
      <c r="F198" s="1" t="s">
        <v>89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2457307.5471800002</v>
      </c>
      <c r="B199" s="1" t="s">
        <v>135</v>
      </c>
      <c r="C199" s="1">
        <v>8.0340000000000007</v>
      </c>
      <c r="D199" s="1">
        <v>0.01</v>
      </c>
      <c r="E199" s="1" t="s">
        <v>2</v>
      </c>
      <c r="F199" s="1" t="s">
        <v>89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2457307.5476199999</v>
      </c>
      <c r="B200" s="1" t="s">
        <v>135</v>
      </c>
      <c r="C200" s="1">
        <v>8.0259999999999998</v>
      </c>
      <c r="D200" s="1">
        <v>0.01</v>
      </c>
      <c r="E200" s="1" t="s">
        <v>2</v>
      </c>
      <c r="F200" s="1" t="s">
        <v>89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2457307.5480599999</v>
      </c>
      <c r="B201" s="1" t="s">
        <v>135</v>
      </c>
      <c r="C201" s="1">
        <v>8.0250000000000004</v>
      </c>
      <c r="D201" s="1">
        <v>0.01</v>
      </c>
      <c r="E201" s="1" t="s">
        <v>2</v>
      </c>
      <c r="F201" s="1" t="s">
        <v>89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2457307.5485</v>
      </c>
      <c r="B202" s="1" t="s">
        <v>135</v>
      </c>
      <c r="C202" s="1">
        <v>8.0350000000000001</v>
      </c>
      <c r="D202" s="1">
        <v>0.01</v>
      </c>
      <c r="E202" s="1" t="s">
        <v>2</v>
      </c>
      <c r="F202" s="1" t="s">
        <v>89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2457307.54893</v>
      </c>
      <c r="B203" s="1" t="s">
        <v>135</v>
      </c>
      <c r="C203" s="1">
        <v>8.0359999999999996</v>
      </c>
      <c r="D203" s="1">
        <v>0.01</v>
      </c>
      <c r="E203" s="1" t="s">
        <v>2</v>
      </c>
      <c r="F203" s="1" t="s">
        <v>89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2457307.5493700001</v>
      </c>
      <c r="B204" s="1" t="s">
        <v>135</v>
      </c>
      <c r="C204" s="1">
        <v>8.0410000000000004</v>
      </c>
      <c r="D204" s="1">
        <v>0.01</v>
      </c>
      <c r="E204" s="1" t="s">
        <v>2</v>
      </c>
      <c r="F204" s="1" t="s">
        <v>89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2457307.5498100002</v>
      </c>
      <c r="B205" s="1" t="s">
        <v>135</v>
      </c>
      <c r="C205" s="1">
        <v>8.0250000000000004</v>
      </c>
      <c r="D205" s="1">
        <v>0.01</v>
      </c>
      <c r="E205" s="1" t="s">
        <v>2</v>
      </c>
      <c r="F205" s="1" t="s">
        <v>89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2457307.5502499999</v>
      </c>
      <c r="B206" s="1" t="s">
        <v>135</v>
      </c>
      <c r="C206" s="1">
        <v>8.0079999999999991</v>
      </c>
      <c r="D206" s="1">
        <v>0.01</v>
      </c>
      <c r="E206" s="1" t="s">
        <v>2</v>
      </c>
      <c r="F206" s="1" t="s">
        <v>89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2457307.5506899999</v>
      </c>
      <c r="B207" s="1" t="s">
        <v>135</v>
      </c>
      <c r="C207" s="1">
        <v>8.0280000000000005</v>
      </c>
      <c r="D207" s="1">
        <v>0.01</v>
      </c>
      <c r="E207" s="1" t="s">
        <v>2</v>
      </c>
      <c r="F207" s="1" t="s">
        <v>89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2457307.55113</v>
      </c>
      <c r="B208" s="1" t="s">
        <v>135</v>
      </c>
      <c r="C208" s="1">
        <v>8.0180000000000007</v>
      </c>
      <c r="D208" s="1">
        <v>0.01</v>
      </c>
      <c r="E208" s="1" t="s">
        <v>2</v>
      </c>
      <c r="F208" s="1" t="s">
        <v>89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2457307.5515700001</v>
      </c>
      <c r="B209" s="1" t="s">
        <v>135</v>
      </c>
      <c r="C209" s="1">
        <v>8.0109999999999992</v>
      </c>
      <c r="D209" s="1">
        <v>0.01</v>
      </c>
      <c r="E209" s="1" t="s">
        <v>2</v>
      </c>
      <c r="F209" s="1" t="s">
        <v>89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2457307.5520100002</v>
      </c>
      <c r="B210" s="1" t="s">
        <v>135</v>
      </c>
      <c r="C210" s="1">
        <v>8.0280000000000005</v>
      </c>
      <c r="D210" s="1">
        <v>0.01</v>
      </c>
      <c r="E210" s="1" t="s">
        <v>2</v>
      </c>
      <c r="F210" s="1" t="s">
        <v>89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2457307.5524400002</v>
      </c>
      <c r="B211" s="1" t="s">
        <v>135</v>
      </c>
      <c r="C211" s="1">
        <v>8.01</v>
      </c>
      <c r="D211" s="1">
        <v>0.01</v>
      </c>
      <c r="E211" s="1" t="s">
        <v>2</v>
      </c>
      <c r="F211" s="1" t="s">
        <v>89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2457307.5528799999</v>
      </c>
      <c r="B212" s="1" t="s">
        <v>135</v>
      </c>
      <c r="C212" s="1">
        <v>8.0250000000000004</v>
      </c>
      <c r="D212" s="1">
        <v>0.01</v>
      </c>
      <c r="E212" s="1" t="s">
        <v>2</v>
      </c>
      <c r="F212" s="1" t="s">
        <v>89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2457307.5533199999</v>
      </c>
      <c r="B213" s="1" t="s">
        <v>135</v>
      </c>
      <c r="C213" s="1">
        <v>8.032</v>
      </c>
      <c r="D213" s="1">
        <v>0.01</v>
      </c>
      <c r="E213" s="1" t="s">
        <v>2</v>
      </c>
      <c r="F213" s="1" t="s">
        <v>89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2457307.55376</v>
      </c>
      <c r="B214" s="1" t="s">
        <v>135</v>
      </c>
      <c r="C214" s="1">
        <v>8.0380000000000003</v>
      </c>
      <c r="D214" s="1">
        <v>0.01</v>
      </c>
      <c r="E214" s="1" t="s">
        <v>2</v>
      </c>
      <c r="F214" s="1" t="s">
        <v>89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2457307.5542000001</v>
      </c>
      <c r="B215" s="1" t="s">
        <v>135</v>
      </c>
      <c r="C215" s="1">
        <v>8.0399999999999991</v>
      </c>
      <c r="D215" s="1">
        <v>0.01</v>
      </c>
      <c r="E215" s="1" t="s">
        <v>2</v>
      </c>
      <c r="F215" s="1" t="s">
        <v>89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2457307.5546400002</v>
      </c>
      <c r="B216" s="1" t="s">
        <v>135</v>
      </c>
      <c r="C216" s="1">
        <v>8.0180000000000007</v>
      </c>
      <c r="D216" s="1">
        <v>0.01</v>
      </c>
      <c r="E216" s="1" t="s">
        <v>2</v>
      </c>
      <c r="F216" s="1" t="s">
        <v>89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2457307.5550600002</v>
      </c>
      <c r="B217" s="1" t="s">
        <v>135</v>
      </c>
      <c r="C217" s="1">
        <v>8.0220000000000002</v>
      </c>
      <c r="D217" s="1">
        <v>0.01</v>
      </c>
      <c r="E217" s="1" t="s">
        <v>2</v>
      </c>
      <c r="F217" s="1" t="s">
        <v>89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2457307.5554999998</v>
      </c>
      <c r="B218" s="1" t="s">
        <v>135</v>
      </c>
      <c r="C218" s="1">
        <v>8.0220000000000002</v>
      </c>
      <c r="D218" s="1">
        <v>0.01</v>
      </c>
      <c r="E218" s="1" t="s">
        <v>2</v>
      </c>
      <c r="F218" s="1" t="s">
        <v>89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2457307.5559399999</v>
      </c>
      <c r="B219" s="1" t="s">
        <v>135</v>
      </c>
      <c r="C219" s="1">
        <v>8.0259999999999998</v>
      </c>
      <c r="D219" s="1">
        <v>0.01</v>
      </c>
      <c r="E219" s="1" t="s">
        <v>2</v>
      </c>
      <c r="F219" s="1" t="s">
        <v>89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2457307.55638</v>
      </c>
      <c r="B220" s="1" t="s">
        <v>135</v>
      </c>
      <c r="C220" s="1">
        <v>8.0129999999999999</v>
      </c>
      <c r="D220" s="1">
        <v>0.01</v>
      </c>
      <c r="E220" s="1" t="s">
        <v>2</v>
      </c>
      <c r="F220" s="1" t="s">
        <v>89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2457307.5568200001</v>
      </c>
      <c r="B221" s="1" t="s">
        <v>135</v>
      </c>
      <c r="C221" s="1">
        <v>8.0530000000000008</v>
      </c>
      <c r="D221" s="1">
        <v>0.01</v>
      </c>
      <c r="E221" s="1" t="s">
        <v>2</v>
      </c>
      <c r="F221" s="1" t="s">
        <v>89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2457307.5572600001</v>
      </c>
      <c r="B222" s="1" t="s">
        <v>135</v>
      </c>
      <c r="C222" s="1">
        <v>8.0069999999999997</v>
      </c>
      <c r="D222" s="1">
        <v>0.01</v>
      </c>
      <c r="E222" s="1" t="s">
        <v>2</v>
      </c>
      <c r="F222" s="1" t="s">
        <v>89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2457307.5576999998</v>
      </c>
      <c r="B223" s="1" t="s">
        <v>135</v>
      </c>
      <c r="C223" s="1">
        <v>8.0449999999999999</v>
      </c>
      <c r="D223" s="1">
        <v>0.01</v>
      </c>
      <c r="E223" s="1" t="s">
        <v>2</v>
      </c>
      <c r="F223" s="1" t="s">
        <v>89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2457307.5581299998</v>
      </c>
      <c r="B224" s="1" t="s">
        <v>135</v>
      </c>
      <c r="C224" s="1">
        <v>8.0530000000000008</v>
      </c>
      <c r="D224" s="1">
        <v>0.01</v>
      </c>
      <c r="E224" s="1" t="s">
        <v>2</v>
      </c>
      <c r="F224" s="1" t="s">
        <v>89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2457307.6027000002</v>
      </c>
      <c r="B225" s="1" t="s">
        <v>135</v>
      </c>
      <c r="C225" s="1">
        <v>7.9950000000000001</v>
      </c>
      <c r="D225" s="1">
        <v>8.0000000000000002E-3</v>
      </c>
      <c r="E225" s="1" t="s">
        <v>2</v>
      </c>
      <c r="F225" s="1" t="s">
        <v>125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2457309.42778</v>
      </c>
      <c r="B226" s="1" t="s">
        <v>136</v>
      </c>
      <c r="C226" s="1">
        <v>8.0790000000000006</v>
      </c>
      <c r="D226" s="1">
        <v>2.4E-2</v>
      </c>
      <c r="E226" s="1" t="s">
        <v>2</v>
      </c>
      <c r="F226" s="1" t="s">
        <v>16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2457309.5479299999</v>
      </c>
      <c r="B227" s="1" t="s">
        <v>137</v>
      </c>
      <c r="C227" s="1">
        <v>8.157</v>
      </c>
      <c r="D227" s="1">
        <v>7.0000000000000001E-3</v>
      </c>
      <c r="E227" s="1" t="s">
        <v>2</v>
      </c>
      <c r="F227" s="1" t="s">
        <v>89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2457309.5483200001</v>
      </c>
      <c r="B228" s="1" t="s">
        <v>137</v>
      </c>
      <c r="C228" s="1">
        <v>8.16</v>
      </c>
      <c r="D228" s="1">
        <v>7.0000000000000001E-3</v>
      </c>
      <c r="E228" s="1" t="s">
        <v>2</v>
      </c>
      <c r="F228" s="1" t="s">
        <v>89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2457309.5486900001</v>
      </c>
      <c r="B229" s="1" t="s">
        <v>137</v>
      </c>
      <c r="C229" s="1">
        <v>8.1519999999999992</v>
      </c>
      <c r="D229" s="1">
        <v>7.0000000000000001E-3</v>
      </c>
      <c r="E229" s="1" t="s">
        <v>2</v>
      </c>
      <c r="F229" s="1" t="s">
        <v>89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2457309.5490700002</v>
      </c>
      <c r="B230" s="1" t="s">
        <v>137</v>
      </c>
      <c r="C230" s="1">
        <v>8.1470000000000002</v>
      </c>
      <c r="D230" s="1">
        <v>7.0000000000000001E-3</v>
      </c>
      <c r="E230" s="1" t="s">
        <v>2</v>
      </c>
      <c r="F230" s="1" t="s">
        <v>89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2457309.5494499998</v>
      </c>
      <c r="B231" s="1" t="s">
        <v>137</v>
      </c>
      <c r="C231" s="1">
        <v>8.1479999999999997</v>
      </c>
      <c r="D231" s="1">
        <v>7.0000000000000001E-3</v>
      </c>
      <c r="E231" s="1" t="s">
        <v>2</v>
      </c>
      <c r="F231" s="1" t="s">
        <v>89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2457310.5232299999</v>
      </c>
      <c r="B232" s="1" t="s">
        <v>138</v>
      </c>
      <c r="C232" s="1">
        <v>8.0589999999999993</v>
      </c>
      <c r="D232" s="1">
        <v>7.0000000000000001E-3</v>
      </c>
      <c r="E232" s="1" t="s">
        <v>2</v>
      </c>
      <c r="F232" s="1" t="s">
        <v>89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2457310.52361</v>
      </c>
      <c r="B233" s="1" t="s">
        <v>138</v>
      </c>
      <c r="C233" s="1">
        <v>8.06</v>
      </c>
      <c r="D233" s="1">
        <v>7.0000000000000001E-3</v>
      </c>
      <c r="E233" s="1" t="s">
        <v>2</v>
      </c>
      <c r="F233" s="1" t="s">
        <v>89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2457310.5239900001</v>
      </c>
      <c r="B234" s="1" t="s">
        <v>138</v>
      </c>
      <c r="C234" s="1">
        <v>8.0440000000000005</v>
      </c>
      <c r="D234" s="1">
        <v>7.0000000000000001E-3</v>
      </c>
      <c r="E234" s="1" t="s">
        <v>2</v>
      </c>
      <c r="F234" s="1" t="s">
        <v>89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2457310.5243700002</v>
      </c>
      <c r="B235" s="1" t="s">
        <v>138</v>
      </c>
      <c r="C235" s="1">
        <v>8.048</v>
      </c>
      <c r="D235" s="1">
        <v>7.0000000000000001E-3</v>
      </c>
      <c r="E235" s="1" t="s">
        <v>2</v>
      </c>
      <c r="F235" s="1" t="s">
        <v>89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2457310.5247499999</v>
      </c>
      <c r="B236" s="1" t="s">
        <v>138</v>
      </c>
      <c r="C236" s="1">
        <v>8.0609999999999999</v>
      </c>
      <c r="D236" s="1">
        <v>7.0000000000000001E-3</v>
      </c>
      <c r="E236" s="1" t="s">
        <v>2</v>
      </c>
      <c r="F236" s="1" t="s">
        <v>89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2457310.52513</v>
      </c>
      <c r="B237" s="1" t="s">
        <v>138</v>
      </c>
      <c r="C237" s="1">
        <v>8.0619999999999994</v>
      </c>
      <c r="D237" s="1">
        <v>7.0000000000000001E-3</v>
      </c>
      <c r="E237" s="1" t="s">
        <v>2</v>
      </c>
      <c r="F237" s="1" t="s">
        <v>89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2457310.5255200001</v>
      </c>
      <c r="B238" s="1" t="s">
        <v>138</v>
      </c>
      <c r="C238" s="1">
        <v>8.0570000000000004</v>
      </c>
      <c r="D238" s="1">
        <v>7.0000000000000001E-3</v>
      </c>
      <c r="E238" s="1" t="s">
        <v>2</v>
      </c>
      <c r="F238" s="1" t="s">
        <v>89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2457310.5258999998</v>
      </c>
      <c r="B239" s="1" t="s">
        <v>138</v>
      </c>
      <c r="C239" s="1">
        <v>8.06</v>
      </c>
      <c r="D239" s="1">
        <v>7.0000000000000001E-3</v>
      </c>
      <c r="E239" s="1" t="s">
        <v>2</v>
      </c>
      <c r="F239" s="1" t="s">
        <v>89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2457310.5262799999</v>
      </c>
      <c r="B240" s="1" t="s">
        <v>138</v>
      </c>
      <c r="C240" s="1">
        <v>8.0549999999999997</v>
      </c>
      <c r="D240" s="1">
        <v>7.0000000000000001E-3</v>
      </c>
      <c r="E240" s="1" t="s">
        <v>2</v>
      </c>
      <c r="F240" s="1" t="s">
        <v>89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2457310.52666</v>
      </c>
      <c r="B241" s="1" t="s">
        <v>138</v>
      </c>
      <c r="C241" s="1">
        <v>8.0470000000000006</v>
      </c>
      <c r="D241" s="1">
        <v>7.0000000000000001E-3</v>
      </c>
      <c r="E241" s="1" t="s">
        <v>2</v>
      </c>
      <c r="F241" s="1" t="s">
        <v>89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2457310.6024000002</v>
      </c>
      <c r="B242" s="1" t="s">
        <v>138</v>
      </c>
      <c r="C242" s="1">
        <v>8.0340000000000007</v>
      </c>
      <c r="D242" s="1">
        <v>6.0000000000000001E-3</v>
      </c>
      <c r="E242" s="1" t="s">
        <v>2</v>
      </c>
      <c r="F242" s="1" t="s">
        <v>125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2457311.4634699998</v>
      </c>
      <c r="B243" s="1" t="s">
        <v>138</v>
      </c>
      <c r="C243" s="1">
        <v>8.0259999999999998</v>
      </c>
      <c r="D243" s="1">
        <v>5.0000000000000001E-3</v>
      </c>
      <c r="E243" s="1" t="s">
        <v>2</v>
      </c>
      <c r="F243" s="1" t="s">
        <v>127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2457312.5419000001</v>
      </c>
      <c r="B244" s="1" t="s">
        <v>139</v>
      </c>
      <c r="C244" s="1">
        <v>8.1120000000000001</v>
      </c>
      <c r="D244" s="1">
        <v>7.0000000000000001E-3</v>
      </c>
      <c r="E244" s="1" t="s">
        <v>2</v>
      </c>
      <c r="F244" s="1" t="s">
        <v>89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2457312.5430999999</v>
      </c>
      <c r="B245" s="1" t="s">
        <v>139</v>
      </c>
      <c r="C245" s="1">
        <v>8.0920000000000005</v>
      </c>
      <c r="D245" s="1">
        <v>7.0000000000000001E-3</v>
      </c>
      <c r="E245" s="1" t="s">
        <v>2</v>
      </c>
      <c r="F245" s="1" t="s">
        <v>89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2457312.5434699999</v>
      </c>
      <c r="B246" s="1" t="s">
        <v>139</v>
      </c>
      <c r="C246" s="1">
        <v>8.0879999999999992</v>
      </c>
      <c r="D246" s="1">
        <v>7.0000000000000001E-3</v>
      </c>
      <c r="E246" s="1" t="s">
        <v>2</v>
      </c>
      <c r="F246" s="1" t="s">
        <v>89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2457312.54385</v>
      </c>
      <c r="B247" s="1" t="s">
        <v>139</v>
      </c>
      <c r="C247" s="1">
        <v>8.0990000000000002</v>
      </c>
      <c r="D247" s="1">
        <v>7.0000000000000001E-3</v>
      </c>
      <c r="E247" s="1" t="s">
        <v>2</v>
      </c>
      <c r="F247" s="1" t="s">
        <v>89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2457312.5442300001</v>
      </c>
      <c r="B248" s="1" t="s">
        <v>139</v>
      </c>
      <c r="C248" s="1">
        <v>8.093</v>
      </c>
      <c r="D248" s="1">
        <v>7.0000000000000001E-3</v>
      </c>
      <c r="E248" s="1" t="s">
        <v>2</v>
      </c>
      <c r="F248" s="1" t="s">
        <v>89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2457312.5446100002</v>
      </c>
      <c r="B249" s="1" t="s">
        <v>139</v>
      </c>
      <c r="C249" s="1">
        <v>8.0879999999999992</v>
      </c>
      <c r="D249" s="1">
        <v>7.0000000000000001E-3</v>
      </c>
      <c r="E249" s="1" t="s">
        <v>2</v>
      </c>
      <c r="F249" s="1" t="s">
        <v>89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2457313.5123200002</v>
      </c>
      <c r="B250" s="1" t="s">
        <v>140</v>
      </c>
      <c r="C250" s="1">
        <v>8.0280000000000005</v>
      </c>
      <c r="D250" s="1">
        <v>8.0000000000000002E-3</v>
      </c>
      <c r="E250" s="1" t="s">
        <v>2</v>
      </c>
      <c r="F250" s="1" t="s">
        <v>89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2457313.5143300002</v>
      </c>
      <c r="B251" s="1" t="s">
        <v>140</v>
      </c>
      <c r="C251" s="1">
        <v>8.0519999999999996</v>
      </c>
      <c r="D251" s="1">
        <v>8.0000000000000002E-3</v>
      </c>
      <c r="E251" s="1" t="s">
        <v>2</v>
      </c>
      <c r="F251" s="1" t="s">
        <v>89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2457313.5147199999</v>
      </c>
      <c r="B252" s="1" t="s">
        <v>140</v>
      </c>
      <c r="C252" s="1">
        <v>8.0190000000000001</v>
      </c>
      <c r="D252" s="1">
        <v>8.0000000000000002E-3</v>
      </c>
      <c r="E252" s="1" t="s">
        <v>2</v>
      </c>
      <c r="F252" s="1" t="s">
        <v>89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2457313.5150899999</v>
      </c>
      <c r="B253" s="1" t="s">
        <v>140</v>
      </c>
      <c r="C253" s="1">
        <v>8.0289999999999999</v>
      </c>
      <c r="D253" s="1">
        <v>8.0000000000000002E-3</v>
      </c>
      <c r="E253" s="1" t="s">
        <v>2</v>
      </c>
      <c r="F253" s="1" t="s">
        <v>89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2457313.51547</v>
      </c>
      <c r="B254" s="1" t="s">
        <v>140</v>
      </c>
      <c r="C254" s="1">
        <v>8.0359999999999996</v>
      </c>
      <c r="D254" s="1">
        <v>8.0000000000000002E-3</v>
      </c>
      <c r="E254" s="1" t="s">
        <v>2</v>
      </c>
      <c r="F254" s="1" t="s">
        <v>89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2457314.5855</v>
      </c>
      <c r="B255" s="1" t="s">
        <v>141</v>
      </c>
      <c r="C255" s="1">
        <v>7.94</v>
      </c>
      <c r="D255" s="1">
        <v>7.0000000000000001E-3</v>
      </c>
      <c r="E255" s="1" t="s">
        <v>2</v>
      </c>
      <c r="F255" s="1" t="s">
        <v>125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2457315.8209299999</v>
      </c>
      <c r="B256" s="1" t="s">
        <v>142</v>
      </c>
      <c r="C256" s="1">
        <v>7.9550000000000001</v>
      </c>
      <c r="D256" s="1">
        <v>3.0000000000000001E-3</v>
      </c>
      <c r="E256" s="1" t="s">
        <v>2</v>
      </c>
      <c r="F256" s="1" t="s">
        <v>13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2457315.8218200002</v>
      </c>
      <c r="B257" s="1" t="s">
        <v>142</v>
      </c>
      <c r="C257" s="1">
        <v>7.9950000000000001</v>
      </c>
      <c r="D257" s="1">
        <v>3.0000000000000001E-3</v>
      </c>
      <c r="E257" s="1" t="s">
        <v>2</v>
      </c>
      <c r="F257" s="1" t="s">
        <v>13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2457315.8226999999</v>
      </c>
      <c r="B258" s="1" t="s">
        <v>142</v>
      </c>
      <c r="C258" s="1">
        <v>7.984</v>
      </c>
      <c r="D258" s="1">
        <v>3.0000000000000001E-3</v>
      </c>
      <c r="E258" s="1" t="s">
        <v>2</v>
      </c>
      <c r="F258" s="1" t="s">
        <v>13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2457321.46777</v>
      </c>
      <c r="B259" s="1" t="s">
        <v>143</v>
      </c>
      <c r="C259" s="1">
        <v>8.1389999999999993</v>
      </c>
      <c r="D259" s="1">
        <v>5.0000000000000001E-3</v>
      </c>
      <c r="E259" s="1" t="s">
        <v>2</v>
      </c>
      <c r="F259" s="1" t="s">
        <v>127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2457321.4793199999</v>
      </c>
      <c r="B260" s="1" t="s">
        <v>143</v>
      </c>
      <c r="C260" s="1">
        <v>8.1839999999999993</v>
      </c>
      <c r="D260" s="1">
        <v>1.7999999999999999E-2</v>
      </c>
      <c r="E260" s="1" t="s">
        <v>2</v>
      </c>
      <c r="F260" s="1" t="s">
        <v>89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2457321.4796899999</v>
      </c>
      <c r="B261" s="1" t="s">
        <v>143</v>
      </c>
      <c r="C261" s="1">
        <v>8.1579999999999995</v>
      </c>
      <c r="D261" s="1">
        <v>1.7999999999999999E-2</v>
      </c>
      <c r="E261" s="1" t="s">
        <v>2</v>
      </c>
      <c r="F261" s="1" t="s">
        <v>89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2457321.4800800001</v>
      </c>
      <c r="B262" s="1" t="s">
        <v>143</v>
      </c>
      <c r="C262" s="1">
        <v>8.1940000000000008</v>
      </c>
      <c r="D262" s="1">
        <v>1.7000000000000001E-2</v>
      </c>
      <c r="E262" s="1" t="s">
        <v>2</v>
      </c>
      <c r="F262" s="1" t="s">
        <v>89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2457321.4804600002</v>
      </c>
      <c r="B263" s="1" t="s">
        <v>143</v>
      </c>
      <c r="C263" s="1">
        <v>8.1850000000000005</v>
      </c>
      <c r="D263" s="1">
        <v>1.7000000000000001E-2</v>
      </c>
      <c r="E263" s="1" t="s">
        <v>2</v>
      </c>
      <c r="F263" s="1" t="s">
        <v>89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2457321.4808399999</v>
      </c>
      <c r="B264" s="1" t="s">
        <v>143</v>
      </c>
      <c r="C264" s="1">
        <v>8.1760000000000002</v>
      </c>
      <c r="D264" s="1">
        <v>1.7000000000000001E-2</v>
      </c>
      <c r="E264" s="1" t="s">
        <v>2</v>
      </c>
      <c r="F264" s="1" t="s">
        <v>89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2457321.5814</v>
      </c>
      <c r="B265" s="1" t="s">
        <v>144</v>
      </c>
      <c r="C265" s="1">
        <v>8.1639999999999997</v>
      </c>
      <c r="D265" s="1">
        <v>1.2999999999999999E-2</v>
      </c>
      <c r="E265" s="1" t="s">
        <v>2</v>
      </c>
      <c r="F265" s="1" t="s">
        <v>125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B1:P38"/>
  <sheetViews>
    <sheetView showGridLines="0" topLeftCell="B13" workbookViewId="0">
      <selection activeCell="J22" sqref="J22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149</v>
      </c>
    </row>
    <row r="2" spans="2:16" x14ac:dyDescent="0.25">
      <c r="P2" t="s">
        <v>150</v>
      </c>
    </row>
    <row r="3" spans="2:16" x14ac:dyDescent="0.25">
      <c r="C3" s="5"/>
      <c r="D3" s="5" t="s">
        <v>151</v>
      </c>
      <c r="E3" s="5" t="s">
        <v>147</v>
      </c>
      <c r="F3" s="5" t="s">
        <v>215</v>
      </c>
      <c r="G3" s="5"/>
      <c r="H3" s="5"/>
      <c r="I3" s="5"/>
      <c r="J3" s="5"/>
      <c r="K3" s="5"/>
      <c r="L3" s="5"/>
      <c r="P3" t="s">
        <v>152</v>
      </c>
    </row>
    <row r="4" spans="2:16" x14ac:dyDescent="0.25">
      <c r="C4" s="5"/>
      <c r="D4" s="5" t="s">
        <v>153</v>
      </c>
      <c r="E4" s="5" t="str">
        <f>CONCATENATE("D:\SymbioticStudies\" &amp; E5&amp;F3)</f>
        <v>D:\SymbioticStudies\AGPeg\2016</v>
      </c>
      <c r="F4" s="5"/>
      <c r="G4" s="5"/>
      <c r="H4" s="5" t="str">
        <f>+CONCATENATE("D:\SITEWEB\SymbioticStars\Studies\" &amp; E5)</f>
        <v>D:\SITEWEB\SymbioticStars\Studies\AGPeg</v>
      </c>
      <c r="I4" s="5"/>
      <c r="J4" s="5"/>
      <c r="K4" s="5"/>
      <c r="L4" s="5"/>
      <c r="P4" t="s">
        <v>154</v>
      </c>
    </row>
    <row r="5" spans="2:16" x14ac:dyDescent="0.25">
      <c r="C5" s="5"/>
      <c r="D5" s="5" t="s">
        <v>155</v>
      </c>
      <c r="E5" s="5" t="str">
        <f>+SUBSTITUTE(E3," ","")</f>
        <v>AGPeg</v>
      </c>
      <c r="F5" s="5"/>
      <c r="G5" s="5"/>
      <c r="H5" s="5"/>
      <c r="I5" s="5"/>
      <c r="J5" s="5"/>
      <c r="K5" s="5"/>
      <c r="L5" s="5"/>
      <c r="P5" t="s">
        <v>156</v>
      </c>
    </row>
    <row r="6" spans="2:16" x14ac:dyDescent="0.25">
      <c r="P6" t="s">
        <v>157</v>
      </c>
    </row>
    <row r="7" spans="2:16" x14ac:dyDescent="0.25">
      <c r="C7" s="6" t="s">
        <v>158</v>
      </c>
      <c r="D7" s="6">
        <v>818.2</v>
      </c>
      <c r="F7" s="5" t="s">
        <v>159</v>
      </c>
      <c r="G7" s="5">
        <f>+VLOOKUP($J$9,$B$16:$G$37,5)</f>
        <v>10</v>
      </c>
      <c r="H7" s="5"/>
      <c r="P7" t="s">
        <v>160</v>
      </c>
    </row>
    <row r="8" spans="2:16" x14ac:dyDescent="0.25">
      <c r="C8" s="6" t="s">
        <v>161</v>
      </c>
      <c r="D8" s="6">
        <v>2450804</v>
      </c>
      <c r="F8" s="5" t="s">
        <v>162</v>
      </c>
      <c r="G8" s="5">
        <v>500</v>
      </c>
      <c r="H8" s="5" t="s">
        <v>163</v>
      </c>
      <c r="P8" t="s">
        <v>164</v>
      </c>
    </row>
    <row r="9" spans="2:16" x14ac:dyDescent="0.25">
      <c r="C9" s="6" t="s">
        <v>165</v>
      </c>
      <c r="D9" s="6">
        <v>-15.9</v>
      </c>
      <c r="F9" s="5" t="s">
        <v>166</v>
      </c>
      <c r="G9" s="5">
        <f>+G8/2</f>
        <v>250</v>
      </c>
      <c r="H9" s="5"/>
      <c r="J9">
        <v>10</v>
      </c>
      <c r="P9" t="s">
        <v>167</v>
      </c>
    </row>
    <row r="10" spans="2:16" x14ac:dyDescent="0.25">
      <c r="F10" s="5" t="s">
        <v>168</v>
      </c>
      <c r="G10" s="5">
        <f>+VLOOKUP($J$9,$B$16:$G$37,6)</f>
        <v>3</v>
      </c>
      <c r="H10" s="5"/>
      <c r="P10" t="s">
        <v>169</v>
      </c>
    </row>
    <row r="11" spans="2:16" x14ac:dyDescent="0.25">
      <c r="C11" s="5" t="s">
        <v>170</v>
      </c>
      <c r="D11" s="5">
        <v>250</v>
      </c>
      <c r="F11" s="5" t="s">
        <v>171</v>
      </c>
      <c r="G11" s="5"/>
      <c r="H11" s="5"/>
      <c r="P11" t="s">
        <v>172</v>
      </c>
    </row>
    <row r="12" spans="2:16" x14ac:dyDescent="0.25">
      <c r="C12" s="5" t="s">
        <v>173</v>
      </c>
      <c r="D12" s="5">
        <v>450</v>
      </c>
      <c r="F12" s="5" t="s">
        <v>174</v>
      </c>
      <c r="G12" s="5">
        <f>+VLOOKUP($J$9,$B$16:$H$37,7)</f>
        <v>130</v>
      </c>
      <c r="H12" s="5"/>
      <c r="P12" t="s">
        <v>175</v>
      </c>
    </row>
    <row r="13" spans="2:16" x14ac:dyDescent="0.25">
      <c r="C13" s="5" t="s">
        <v>176</v>
      </c>
      <c r="D13" s="7" t="str">
        <f>+VLOOKUP([3]Feuil1!A1,[3]Feuil1!A3:B6,2)</f>
        <v>b</v>
      </c>
      <c r="F13" s="5" t="s">
        <v>177</v>
      </c>
      <c r="G13" s="8">
        <f>+VLOOKUP($J$9,$B$16:$H$37,4)</f>
        <v>4685.68</v>
      </c>
      <c r="H13" s="5"/>
      <c r="P13" t="s">
        <v>178</v>
      </c>
    </row>
    <row r="14" spans="2:16" x14ac:dyDescent="0.25">
      <c r="F14" s="5" t="s">
        <v>179</v>
      </c>
      <c r="G14" s="9" t="str">
        <f>+VLOOKUP($J$9,$B$16:$H$37,2)</f>
        <v>He II 4686</v>
      </c>
      <c r="H14" s="5"/>
      <c r="P14" t="s">
        <v>180</v>
      </c>
    </row>
    <row r="15" spans="2:16" x14ac:dyDescent="0.25">
      <c r="F15" s="10" t="s">
        <v>159</v>
      </c>
      <c r="G15" s="10" t="s">
        <v>168</v>
      </c>
      <c r="H15" s="10"/>
      <c r="P15" t="s">
        <v>181</v>
      </c>
    </row>
    <row r="16" spans="2:16" x14ac:dyDescent="0.25">
      <c r="B16" s="11">
        <v>1</v>
      </c>
      <c r="C16" s="11" t="str">
        <f>+CONCATENATE(D16 &amp; " " &amp; ROUND( E16,0))</f>
        <v>Ha 6563</v>
      </c>
      <c r="D16" t="s">
        <v>182</v>
      </c>
      <c r="E16">
        <v>6562.82</v>
      </c>
      <c r="F16" s="10">
        <v>10</v>
      </c>
      <c r="G16" s="10">
        <v>2</v>
      </c>
      <c r="H16" s="10">
        <v>120</v>
      </c>
      <c r="P16" t="s">
        <v>183</v>
      </c>
    </row>
    <row r="17" spans="2:16" x14ac:dyDescent="0.25">
      <c r="B17" s="11">
        <v>2</v>
      </c>
      <c r="C17" s="11" t="str">
        <f t="shared" ref="C17:C34" si="0">+CONCATENATE(D17 &amp; " " &amp; ROUND( E17,0))</f>
        <v>Hb 4861</v>
      </c>
      <c r="D17" t="s">
        <v>184</v>
      </c>
      <c r="E17">
        <v>4861.34</v>
      </c>
      <c r="F17" s="10">
        <v>10</v>
      </c>
      <c r="G17" s="10">
        <v>3</v>
      </c>
      <c r="H17" s="10">
        <v>130</v>
      </c>
      <c r="P17" t="s">
        <v>185</v>
      </c>
    </row>
    <row r="18" spans="2:16" x14ac:dyDescent="0.25">
      <c r="B18">
        <v>3</v>
      </c>
      <c r="C18" t="str">
        <f t="shared" si="0"/>
        <v>Hg 4340</v>
      </c>
      <c r="D18" t="s">
        <v>186</v>
      </c>
      <c r="E18">
        <v>4340</v>
      </c>
      <c r="F18" s="10">
        <v>1</v>
      </c>
      <c r="G18" s="10">
        <v>3</v>
      </c>
      <c r="H18" s="10">
        <v>25</v>
      </c>
      <c r="P18" t="s">
        <v>187</v>
      </c>
    </row>
    <row r="19" spans="2:16" x14ac:dyDescent="0.25">
      <c r="B19">
        <v>4</v>
      </c>
      <c r="C19" t="str">
        <f t="shared" si="0"/>
        <v>[OI] 6300</v>
      </c>
      <c r="D19" t="s">
        <v>188</v>
      </c>
      <c r="E19">
        <v>6300.32</v>
      </c>
      <c r="F19" s="10">
        <v>1</v>
      </c>
      <c r="G19" s="10">
        <v>0.5</v>
      </c>
      <c r="H19" s="10">
        <v>22</v>
      </c>
      <c r="P19" t="s">
        <v>189</v>
      </c>
    </row>
    <row r="20" spans="2:16" x14ac:dyDescent="0.25">
      <c r="B20">
        <v>5</v>
      </c>
      <c r="C20" t="str">
        <f t="shared" si="0"/>
        <v>[OI] 6363</v>
      </c>
      <c r="D20" t="s">
        <v>188</v>
      </c>
      <c r="E20">
        <v>6363</v>
      </c>
      <c r="F20" s="10"/>
      <c r="G20" s="10"/>
      <c r="H20" s="10"/>
      <c r="P20" t="s">
        <v>190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191</v>
      </c>
      <c r="E21">
        <v>5015.68</v>
      </c>
      <c r="F21" s="10">
        <v>1</v>
      </c>
      <c r="G21" s="10">
        <v>0.5</v>
      </c>
      <c r="H21" s="10">
        <v>25</v>
      </c>
      <c r="P21" t="s">
        <v>192</v>
      </c>
    </row>
    <row r="22" spans="2:16" x14ac:dyDescent="0.25">
      <c r="B22" s="11">
        <v>7</v>
      </c>
      <c r="C22" s="11" t="str">
        <f t="shared" si="0"/>
        <v>He I 5876</v>
      </c>
      <c r="D22" t="s">
        <v>191</v>
      </c>
      <c r="E22">
        <v>5875.65</v>
      </c>
      <c r="F22" s="10">
        <v>2</v>
      </c>
      <c r="G22" s="10">
        <v>0.5</v>
      </c>
      <c r="H22" s="10">
        <v>28</v>
      </c>
      <c r="P22" t="s">
        <v>193</v>
      </c>
    </row>
    <row r="23" spans="2:16" x14ac:dyDescent="0.25">
      <c r="B23">
        <v>8</v>
      </c>
      <c r="C23" t="str">
        <f t="shared" si="0"/>
        <v>He I 6678</v>
      </c>
      <c r="D23" t="s">
        <v>191</v>
      </c>
      <c r="E23">
        <v>6678.15</v>
      </c>
      <c r="F23" s="10">
        <v>1</v>
      </c>
      <c r="G23" s="10">
        <v>0.5</v>
      </c>
      <c r="H23" s="10">
        <v>15</v>
      </c>
      <c r="P23" t="s">
        <v>194</v>
      </c>
    </row>
    <row r="24" spans="2:16" x14ac:dyDescent="0.25">
      <c r="B24">
        <v>9</v>
      </c>
      <c r="C24" t="str">
        <f t="shared" si="0"/>
        <v>He I 7065</v>
      </c>
      <c r="D24" t="s">
        <v>191</v>
      </c>
      <c r="E24">
        <v>7065</v>
      </c>
      <c r="F24" s="10"/>
      <c r="G24" s="10"/>
      <c r="H24" s="10"/>
      <c r="P24" t="s">
        <v>195</v>
      </c>
    </row>
    <row r="25" spans="2:16" x14ac:dyDescent="0.25">
      <c r="B25">
        <v>10</v>
      </c>
      <c r="C25" t="str">
        <f t="shared" si="0"/>
        <v>He II 4686</v>
      </c>
      <c r="D25" t="s">
        <v>196</v>
      </c>
      <c r="E25">
        <v>4685.68</v>
      </c>
      <c r="F25" s="10">
        <v>10</v>
      </c>
      <c r="G25" s="10">
        <v>3</v>
      </c>
      <c r="H25" s="10">
        <v>130</v>
      </c>
      <c r="P25" t="s">
        <v>197</v>
      </c>
    </row>
    <row r="26" spans="2:16" x14ac:dyDescent="0.25">
      <c r="B26">
        <v>11</v>
      </c>
      <c r="C26" t="str">
        <f t="shared" si="0"/>
        <v>[O III] 5007</v>
      </c>
      <c r="D26" t="s">
        <v>198</v>
      </c>
      <c r="E26">
        <v>5006.84</v>
      </c>
      <c r="F26" s="10">
        <v>1</v>
      </c>
      <c r="G26" s="10">
        <v>0.5</v>
      </c>
      <c r="H26" s="10">
        <v>25</v>
      </c>
      <c r="P26" t="s">
        <v>199</v>
      </c>
    </row>
    <row r="27" spans="2:16" x14ac:dyDescent="0.25">
      <c r="B27">
        <v>12</v>
      </c>
      <c r="C27" t="str">
        <f t="shared" si="0"/>
        <v>[O III] 4959</v>
      </c>
      <c r="D27" t="s">
        <v>198</v>
      </c>
      <c r="E27">
        <v>4959</v>
      </c>
      <c r="F27" s="10"/>
      <c r="G27" s="10"/>
      <c r="H27" s="10"/>
      <c r="P27" t="s">
        <v>200</v>
      </c>
    </row>
    <row r="28" spans="2:16" x14ac:dyDescent="0.25">
      <c r="B28">
        <v>13</v>
      </c>
      <c r="C28" t="str">
        <f t="shared" si="0"/>
        <v>[O III] 4363</v>
      </c>
      <c r="D28" t="s">
        <v>198</v>
      </c>
      <c r="E28">
        <v>4363</v>
      </c>
      <c r="F28" s="10">
        <v>1</v>
      </c>
      <c r="G28" s="10">
        <v>0.5</v>
      </c>
      <c r="H28" s="10">
        <v>20</v>
      </c>
      <c r="P28" t="s">
        <v>201</v>
      </c>
    </row>
    <row r="29" spans="2:16" x14ac:dyDescent="0.25">
      <c r="B29">
        <v>14</v>
      </c>
      <c r="C29" t="str">
        <f t="shared" si="0"/>
        <v>Fe II 4924</v>
      </c>
      <c r="D29" t="s">
        <v>202</v>
      </c>
      <c r="E29">
        <v>4923.92</v>
      </c>
      <c r="F29" s="10">
        <v>1</v>
      </c>
      <c r="G29" s="10">
        <v>1</v>
      </c>
      <c r="H29" s="10">
        <v>25</v>
      </c>
      <c r="P29" t="s">
        <v>203</v>
      </c>
    </row>
    <row r="30" spans="2:16" x14ac:dyDescent="0.25">
      <c r="B30">
        <v>15</v>
      </c>
      <c r="C30" t="str">
        <f t="shared" si="0"/>
        <v>Fe II 5018</v>
      </c>
      <c r="D30" t="s">
        <v>202</v>
      </c>
      <c r="E30">
        <v>5018.43</v>
      </c>
      <c r="F30" s="10">
        <v>2</v>
      </c>
      <c r="G30" s="10">
        <v>1</v>
      </c>
      <c r="H30" s="10">
        <v>40</v>
      </c>
      <c r="P30" t="s">
        <v>204</v>
      </c>
    </row>
    <row r="31" spans="2:16" x14ac:dyDescent="0.25">
      <c r="B31">
        <v>16</v>
      </c>
      <c r="C31" t="str">
        <f t="shared" si="0"/>
        <v>NaI D 5890</v>
      </c>
      <c r="D31" t="s">
        <v>216</v>
      </c>
      <c r="E31">
        <v>5889.95</v>
      </c>
      <c r="F31" s="10">
        <v>0.01</v>
      </c>
      <c r="G31" s="10">
        <v>1</v>
      </c>
      <c r="H31" s="10">
        <v>2</v>
      </c>
      <c r="P31" t="s">
        <v>205</v>
      </c>
    </row>
    <row r="32" spans="2:16" x14ac:dyDescent="0.25">
      <c r="B32">
        <v>17</v>
      </c>
      <c r="C32" t="s">
        <v>148</v>
      </c>
      <c r="E32">
        <v>5018.43</v>
      </c>
      <c r="F32" s="10"/>
      <c r="G32" s="10"/>
      <c r="H32" s="10"/>
      <c r="P32" t="s">
        <v>206</v>
      </c>
    </row>
    <row r="33" spans="2:16" x14ac:dyDescent="0.25">
      <c r="B33">
        <v>18</v>
      </c>
      <c r="C33" t="str">
        <f t="shared" si="0"/>
        <v>[Fe VII] 6087</v>
      </c>
      <c r="D33" t="s">
        <v>207</v>
      </c>
      <c r="E33">
        <v>6087</v>
      </c>
      <c r="F33" s="10">
        <v>1</v>
      </c>
      <c r="G33" s="10">
        <v>0.5</v>
      </c>
      <c r="H33" s="10">
        <v>12</v>
      </c>
      <c r="P33" t="s">
        <v>208</v>
      </c>
    </row>
    <row r="34" spans="2:16" x14ac:dyDescent="0.25">
      <c r="B34">
        <v>19</v>
      </c>
      <c r="C34" t="str">
        <f t="shared" si="0"/>
        <v>[Fe VII] 5721</v>
      </c>
      <c r="D34" t="s">
        <v>207</v>
      </c>
      <c r="E34">
        <v>5721</v>
      </c>
      <c r="F34" s="10">
        <v>2</v>
      </c>
      <c r="G34" s="10">
        <v>1</v>
      </c>
      <c r="H34" s="10">
        <v>40</v>
      </c>
      <c r="P34" t="s">
        <v>209</v>
      </c>
    </row>
    <row r="35" spans="2:16" x14ac:dyDescent="0.25">
      <c r="B35">
        <v>20</v>
      </c>
      <c r="C35" t="s">
        <v>148</v>
      </c>
      <c r="D35" t="s">
        <v>207</v>
      </c>
      <c r="P35" t="s">
        <v>210</v>
      </c>
    </row>
    <row r="36" spans="2:16" x14ac:dyDescent="0.25">
      <c r="B36">
        <v>21</v>
      </c>
      <c r="C36" t="s">
        <v>211</v>
      </c>
      <c r="D36" t="s">
        <v>211</v>
      </c>
      <c r="E36">
        <v>6830</v>
      </c>
      <c r="F36" s="10">
        <v>2</v>
      </c>
      <c r="G36" s="10">
        <v>1</v>
      </c>
      <c r="H36" s="10">
        <v>20</v>
      </c>
      <c r="P36" t="s">
        <v>212</v>
      </c>
    </row>
    <row r="37" spans="2:16" x14ac:dyDescent="0.25">
      <c r="B37">
        <v>22</v>
      </c>
      <c r="C37" t="s">
        <v>148</v>
      </c>
      <c r="D37" t="s">
        <v>211</v>
      </c>
      <c r="P37" t="s">
        <v>213</v>
      </c>
    </row>
    <row r="38" spans="2:16" x14ac:dyDescent="0.25">
      <c r="P38" t="s">
        <v>214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Feuil1</vt:lpstr>
      <vt:lpstr>V</vt:lpstr>
      <vt:lpstr>Vis</vt:lpstr>
      <vt:lpstr>B-V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2019-04-30T19:28:17Z</dcterms:modified>
</cp:coreProperties>
</file>