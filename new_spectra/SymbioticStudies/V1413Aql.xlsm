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36C71C14-683E-49FF-8B3F-026846594CA3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ndex" sheetId="2" r:id="rId1"/>
    <sheet name="V" sheetId="3" r:id="rId2"/>
    <sheet name="Vis" sheetId="1" r:id="rId3"/>
    <sheet name="B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3" i="2" l="1"/>
  <c r="C73" i="2"/>
  <c r="D73" i="2"/>
  <c r="E73" i="2"/>
  <c r="F73" i="2"/>
  <c r="G73" i="2"/>
  <c r="H73" i="2"/>
  <c r="I73" i="2"/>
  <c r="J73" i="2"/>
  <c r="K73" i="2"/>
  <c r="M73" i="2"/>
  <c r="N73" i="2"/>
  <c r="B74" i="2"/>
  <c r="C74" i="2"/>
  <c r="D74" i="2"/>
  <c r="E74" i="2"/>
  <c r="M74" i="2" s="1"/>
  <c r="F74" i="2"/>
  <c r="G74" i="2"/>
  <c r="H74" i="2"/>
  <c r="I74" i="2"/>
  <c r="J74" i="2"/>
  <c r="K74" i="2"/>
  <c r="N74" i="2"/>
  <c r="B75" i="2"/>
  <c r="C75" i="2"/>
  <c r="D75" i="2"/>
  <c r="E75" i="2"/>
  <c r="M75" i="2" s="1"/>
  <c r="F75" i="2"/>
  <c r="G75" i="2"/>
  <c r="H75" i="2"/>
  <c r="I75" i="2"/>
  <c r="J75" i="2"/>
  <c r="K75" i="2"/>
  <c r="N75" i="2"/>
  <c r="B76" i="2"/>
  <c r="C76" i="2"/>
  <c r="D76" i="2"/>
  <c r="E76" i="2"/>
  <c r="M76" i="2" s="1"/>
  <c r="F76" i="2"/>
  <c r="G76" i="2"/>
  <c r="H76" i="2"/>
  <c r="I76" i="2"/>
  <c r="J76" i="2"/>
  <c r="K76" i="2"/>
  <c r="N76" i="2"/>
  <c r="B77" i="2"/>
  <c r="C77" i="2"/>
  <c r="D77" i="2"/>
  <c r="E77" i="2"/>
  <c r="M77" i="2" s="1"/>
  <c r="F77" i="2"/>
  <c r="G77" i="2"/>
  <c r="H77" i="2"/>
  <c r="I77" i="2"/>
  <c r="J77" i="2"/>
  <c r="K77" i="2"/>
  <c r="N77" i="2"/>
  <c r="B78" i="2"/>
  <c r="C78" i="2"/>
  <c r="D78" i="2"/>
  <c r="E78" i="2"/>
  <c r="M78" i="2" s="1"/>
  <c r="F78" i="2"/>
  <c r="G78" i="2"/>
  <c r="H78" i="2"/>
  <c r="I78" i="2"/>
  <c r="J78" i="2"/>
  <c r="K78" i="2"/>
  <c r="N78" i="2"/>
  <c r="B79" i="2"/>
  <c r="C79" i="2"/>
  <c r="D79" i="2"/>
  <c r="E79" i="2"/>
  <c r="M79" i="2" s="1"/>
  <c r="F79" i="2"/>
  <c r="G79" i="2"/>
  <c r="H79" i="2"/>
  <c r="I79" i="2"/>
  <c r="J79" i="2"/>
  <c r="K79" i="2"/>
  <c r="N79" i="2"/>
  <c r="B80" i="2"/>
  <c r="C80" i="2"/>
  <c r="D80" i="2"/>
  <c r="E80" i="2"/>
  <c r="M80" i="2" s="1"/>
  <c r="F80" i="2"/>
  <c r="G80" i="2"/>
  <c r="H80" i="2"/>
  <c r="I80" i="2"/>
  <c r="J80" i="2"/>
  <c r="K80" i="2"/>
  <c r="N80" i="2"/>
  <c r="B81" i="2"/>
  <c r="C81" i="2"/>
  <c r="D81" i="2"/>
  <c r="E81" i="2"/>
  <c r="F81" i="2"/>
  <c r="G81" i="2"/>
  <c r="H81" i="2"/>
  <c r="I81" i="2"/>
  <c r="J81" i="2"/>
  <c r="K81" i="2"/>
  <c r="M81" i="2"/>
  <c r="N81" i="2"/>
  <c r="B82" i="2"/>
  <c r="C82" i="2"/>
  <c r="D82" i="2"/>
  <c r="E82" i="2"/>
  <c r="M82" i="2" s="1"/>
  <c r="F82" i="2"/>
  <c r="G82" i="2"/>
  <c r="H82" i="2"/>
  <c r="I82" i="2"/>
  <c r="J82" i="2"/>
  <c r="K82" i="2"/>
  <c r="N82" i="2"/>
  <c r="B65" i="2"/>
  <c r="C65" i="2"/>
  <c r="D65" i="2"/>
  <c r="E65" i="2"/>
  <c r="M65" i="2" s="1"/>
  <c r="F65" i="2"/>
  <c r="G65" i="2"/>
  <c r="H65" i="2"/>
  <c r="I65" i="2"/>
  <c r="J65" i="2"/>
  <c r="K65" i="2"/>
  <c r="N65" i="2"/>
  <c r="B66" i="2"/>
  <c r="C66" i="2"/>
  <c r="D66" i="2"/>
  <c r="E66" i="2"/>
  <c r="M66" i="2" s="1"/>
  <c r="F66" i="2"/>
  <c r="G66" i="2"/>
  <c r="H66" i="2"/>
  <c r="I66" i="2"/>
  <c r="J66" i="2"/>
  <c r="K66" i="2"/>
  <c r="N66" i="2"/>
  <c r="B67" i="2"/>
  <c r="C67" i="2"/>
  <c r="D67" i="2"/>
  <c r="E67" i="2"/>
  <c r="M67" i="2" s="1"/>
  <c r="F67" i="2"/>
  <c r="G67" i="2"/>
  <c r="H67" i="2"/>
  <c r="I67" i="2"/>
  <c r="J67" i="2"/>
  <c r="K67" i="2"/>
  <c r="N67" i="2"/>
  <c r="B68" i="2"/>
  <c r="C68" i="2"/>
  <c r="D68" i="2"/>
  <c r="E68" i="2"/>
  <c r="M68" i="2" s="1"/>
  <c r="F68" i="2"/>
  <c r="G68" i="2"/>
  <c r="H68" i="2"/>
  <c r="I68" i="2"/>
  <c r="J68" i="2"/>
  <c r="K68" i="2"/>
  <c r="N68" i="2"/>
  <c r="B69" i="2"/>
  <c r="C69" i="2"/>
  <c r="D69" i="2"/>
  <c r="E69" i="2"/>
  <c r="F69" i="2"/>
  <c r="G69" i="2"/>
  <c r="H69" i="2"/>
  <c r="I69" i="2"/>
  <c r="J69" i="2"/>
  <c r="K69" i="2"/>
  <c r="M69" i="2"/>
  <c r="N69" i="2"/>
  <c r="B70" i="2"/>
  <c r="C70" i="2"/>
  <c r="D70" i="2"/>
  <c r="E70" i="2"/>
  <c r="M70" i="2" s="1"/>
  <c r="F70" i="2"/>
  <c r="G70" i="2"/>
  <c r="H70" i="2"/>
  <c r="I70" i="2"/>
  <c r="J70" i="2"/>
  <c r="K70" i="2"/>
  <c r="N70" i="2"/>
  <c r="B71" i="2"/>
  <c r="C71" i="2"/>
  <c r="D71" i="2"/>
  <c r="E71" i="2"/>
  <c r="M71" i="2" s="1"/>
  <c r="F71" i="2"/>
  <c r="G71" i="2"/>
  <c r="H71" i="2"/>
  <c r="I71" i="2"/>
  <c r="J71" i="2"/>
  <c r="K71" i="2"/>
  <c r="N71" i="2"/>
  <c r="B72" i="2"/>
  <c r="C72" i="2"/>
  <c r="D72" i="2"/>
  <c r="E72" i="2"/>
  <c r="M72" i="2" s="1"/>
  <c r="F72" i="2"/>
  <c r="G72" i="2"/>
  <c r="H72" i="2"/>
  <c r="I72" i="2"/>
  <c r="J72" i="2"/>
  <c r="K72" i="2"/>
  <c r="N72" i="2"/>
  <c r="N57" i="2" l="1"/>
  <c r="N58" i="2"/>
  <c r="N59" i="2"/>
  <c r="N60" i="2"/>
  <c r="N61" i="2"/>
  <c r="N62" i="2"/>
  <c r="N63" i="2"/>
  <c r="N64" i="2"/>
  <c r="B25" i="2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F28" i="2"/>
  <c r="G28" i="2"/>
  <c r="H28" i="2"/>
  <c r="I28" i="2"/>
  <c r="J28" i="2"/>
  <c r="K28" i="2"/>
  <c r="B29" i="2"/>
  <c r="C29" i="2"/>
  <c r="D29" i="2"/>
  <c r="E29" i="2"/>
  <c r="F29" i="2"/>
  <c r="G29" i="2"/>
  <c r="H29" i="2"/>
  <c r="I29" i="2"/>
  <c r="J29" i="2"/>
  <c r="K29" i="2"/>
  <c r="B30" i="2"/>
  <c r="C30" i="2"/>
  <c r="D30" i="2"/>
  <c r="E30" i="2"/>
  <c r="F30" i="2"/>
  <c r="G30" i="2"/>
  <c r="H30" i="2"/>
  <c r="I30" i="2"/>
  <c r="J30" i="2"/>
  <c r="K30" i="2"/>
  <c r="B31" i="2"/>
  <c r="C31" i="2"/>
  <c r="D31" i="2"/>
  <c r="E31" i="2"/>
  <c r="F31" i="2"/>
  <c r="G31" i="2"/>
  <c r="H31" i="2"/>
  <c r="I31" i="2"/>
  <c r="J31" i="2"/>
  <c r="K31" i="2"/>
  <c r="B32" i="2"/>
  <c r="C32" i="2"/>
  <c r="D32" i="2"/>
  <c r="E32" i="2"/>
  <c r="F32" i="2"/>
  <c r="G32" i="2"/>
  <c r="H32" i="2"/>
  <c r="I32" i="2"/>
  <c r="J32" i="2"/>
  <c r="K32" i="2"/>
  <c r="B33" i="2"/>
  <c r="C33" i="2"/>
  <c r="D33" i="2"/>
  <c r="E33" i="2"/>
  <c r="F33" i="2"/>
  <c r="G33" i="2"/>
  <c r="H33" i="2"/>
  <c r="I33" i="2"/>
  <c r="J33" i="2"/>
  <c r="K33" i="2"/>
  <c r="B34" i="2"/>
  <c r="C34" i="2"/>
  <c r="D34" i="2"/>
  <c r="E34" i="2"/>
  <c r="F34" i="2"/>
  <c r="G34" i="2"/>
  <c r="H34" i="2"/>
  <c r="I34" i="2"/>
  <c r="J34" i="2"/>
  <c r="K34" i="2"/>
  <c r="B35" i="2"/>
  <c r="C35" i="2"/>
  <c r="D35" i="2"/>
  <c r="E35" i="2"/>
  <c r="F35" i="2"/>
  <c r="G35" i="2"/>
  <c r="H35" i="2"/>
  <c r="I35" i="2"/>
  <c r="J35" i="2"/>
  <c r="K35" i="2"/>
  <c r="B36" i="2"/>
  <c r="C36" i="2"/>
  <c r="D36" i="2"/>
  <c r="E36" i="2"/>
  <c r="F36" i="2"/>
  <c r="G36" i="2"/>
  <c r="H36" i="2"/>
  <c r="I36" i="2"/>
  <c r="J36" i="2"/>
  <c r="K36" i="2"/>
  <c r="B37" i="2"/>
  <c r="C37" i="2"/>
  <c r="D37" i="2"/>
  <c r="E37" i="2"/>
  <c r="F37" i="2"/>
  <c r="G37" i="2"/>
  <c r="H37" i="2"/>
  <c r="I37" i="2"/>
  <c r="J37" i="2"/>
  <c r="K37" i="2"/>
  <c r="B38" i="2"/>
  <c r="C38" i="2"/>
  <c r="D38" i="2"/>
  <c r="E38" i="2"/>
  <c r="F38" i="2"/>
  <c r="G38" i="2"/>
  <c r="H38" i="2"/>
  <c r="I38" i="2"/>
  <c r="J38" i="2"/>
  <c r="K38" i="2"/>
  <c r="B39" i="2"/>
  <c r="C39" i="2"/>
  <c r="D39" i="2"/>
  <c r="E39" i="2"/>
  <c r="M39" i="2" s="1"/>
  <c r="F39" i="2"/>
  <c r="G39" i="2"/>
  <c r="H39" i="2"/>
  <c r="I39" i="2"/>
  <c r="J39" i="2"/>
  <c r="K39" i="2"/>
  <c r="B40" i="2"/>
  <c r="C40" i="2"/>
  <c r="D40" i="2"/>
  <c r="E40" i="2"/>
  <c r="M40" i="2" s="1"/>
  <c r="F40" i="2"/>
  <c r="G40" i="2"/>
  <c r="H40" i="2"/>
  <c r="I40" i="2"/>
  <c r="J40" i="2"/>
  <c r="K40" i="2"/>
  <c r="B41" i="2"/>
  <c r="C41" i="2"/>
  <c r="D41" i="2"/>
  <c r="E41" i="2"/>
  <c r="M41" i="2" s="1"/>
  <c r="F41" i="2"/>
  <c r="G41" i="2"/>
  <c r="H41" i="2"/>
  <c r="I41" i="2"/>
  <c r="J41" i="2"/>
  <c r="K41" i="2"/>
  <c r="B42" i="2"/>
  <c r="C42" i="2"/>
  <c r="D42" i="2"/>
  <c r="E42" i="2"/>
  <c r="M42" i="2" s="1"/>
  <c r="F42" i="2"/>
  <c r="G42" i="2"/>
  <c r="H42" i="2"/>
  <c r="I42" i="2"/>
  <c r="J42" i="2"/>
  <c r="K42" i="2"/>
  <c r="B43" i="2"/>
  <c r="C43" i="2"/>
  <c r="D43" i="2"/>
  <c r="E43" i="2"/>
  <c r="M43" i="2" s="1"/>
  <c r="F43" i="2"/>
  <c r="G43" i="2"/>
  <c r="H43" i="2"/>
  <c r="I43" i="2"/>
  <c r="J43" i="2"/>
  <c r="K43" i="2"/>
  <c r="B44" i="2"/>
  <c r="C44" i="2"/>
  <c r="D44" i="2"/>
  <c r="E44" i="2"/>
  <c r="F44" i="2"/>
  <c r="G44" i="2"/>
  <c r="H44" i="2"/>
  <c r="I44" i="2"/>
  <c r="J44" i="2"/>
  <c r="K44" i="2"/>
  <c r="B45" i="2"/>
  <c r="C45" i="2"/>
  <c r="D45" i="2"/>
  <c r="E45" i="2"/>
  <c r="F45" i="2"/>
  <c r="G45" i="2"/>
  <c r="H45" i="2"/>
  <c r="I45" i="2"/>
  <c r="J45" i="2"/>
  <c r="K45" i="2"/>
  <c r="B46" i="2"/>
  <c r="C46" i="2"/>
  <c r="D46" i="2"/>
  <c r="E46" i="2"/>
  <c r="F46" i="2"/>
  <c r="G46" i="2"/>
  <c r="H46" i="2"/>
  <c r="I46" i="2"/>
  <c r="J46" i="2"/>
  <c r="K46" i="2"/>
  <c r="B47" i="2"/>
  <c r="C47" i="2"/>
  <c r="D47" i="2"/>
  <c r="E47" i="2"/>
  <c r="M47" i="2" s="1"/>
  <c r="F47" i="2"/>
  <c r="G47" i="2"/>
  <c r="H47" i="2"/>
  <c r="I47" i="2"/>
  <c r="J47" i="2"/>
  <c r="K47" i="2"/>
  <c r="B48" i="2"/>
  <c r="C48" i="2"/>
  <c r="D48" i="2"/>
  <c r="E48" i="2"/>
  <c r="F48" i="2"/>
  <c r="G48" i="2"/>
  <c r="H48" i="2"/>
  <c r="I48" i="2"/>
  <c r="J48" i="2"/>
  <c r="K48" i="2"/>
  <c r="B49" i="2"/>
  <c r="C49" i="2"/>
  <c r="D49" i="2"/>
  <c r="E49" i="2"/>
  <c r="M49" i="2" s="1"/>
  <c r="F49" i="2"/>
  <c r="G49" i="2"/>
  <c r="H49" i="2"/>
  <c r="I49" i="2"/>
  <c r="J49" i="2"/>
  <c r="K49" i="2"/>
  <c r="B50" i="2"/>
  <c r="C50" i="2"/>
  <c r="D50" i="2"/>
  <c r="E50" i="2"/>
  <c r="M50" i="2" s="1"/>
  <c r="F50" i="2"/>
  <c r="G50" i="2"/>
  <c r="H50" i="2"/>
  <c r="I50" i="2"/>
  <c r="J50" i="2"/>
  <c r="K50" i="2"/>
  <c r="B51" i="2"/>
  <c r="C51" i="2"/>
  <c r="D51" i="2"/>
  <c r="E51" i="2"/>
  <c r="M51" i="2" s="1"/>
  <c r="F51" i="2"/>
  <c r="G51" i="2"/>
  <c r="H51" i="2"/>
  <c r="I51" i="2"/>
  <c r="J51" i="2"/>
  <c r="K51" i="2"/>
  <c r="B52" i="2"/>
  <c r="C52" i="2"/>
  <c r="D52" i="2"/>
  <c r="E52" i="2"/>
  <c r="F52" i="2"/>
  <c r="G52" i="2"/>
  <c r="H52" i="2"/>
  <c r="I52" i="2"/>
  <c r="J52" i="2"/>
  <c r="K52" i="2"/>
  <c r="B53" i="2"/>
  <c r="C53" i="2"/>
  <c r="D53" i="2"/>
  <c r="E53" i="2"/>
  <c r="F53" i="2"/>
  <c r="G53" i="2"/>
  <c r="H53" i="2"/>
  <c r="I53" i="2"/>
  <c r="J53" i="2"/>
  <c r="K53" i="2"/>
  <c r="B54" i="2"/>
  <c r="C54" i="2"/>
  <c r="D54" i="2"/>
  <c r="E54" i="2"/>
  <c r="M54" i="2" s="1"/>
  <c r="F54" i="2"/>
  <c r="G54" i="2"/>
  <c r="H54" i="2"/>
  <c r="I54" i="2"/>
  <c r="J54" i="2"/>
  <c r="K54" i="2"/>
  <c r="B55" i="2"/>
  <c r="C55" i="2"/>
  <c r="D55" i="2"/>
  <c r="E55" i="2"/>
  <c r="M55" i="2" s="1"/>
  <c r="F55" i="2"/>
  <c r="G55" i="2"/>
  <c r="H55" i="2"/>
  <c r="I55" i="2"/>
  <c r="J55" i="2"/>
  <c r="K55" i="2"/>
  <c r="B56" i="2"/>
  <c r="C56" i="2"/>
  <c r="D56" i="2"/>
  <c r="E56" i="2"/>
  <c r="M56" i="2" s="1"/>
  <c r="F56" i="2"/>
  <c r="G56" i="2"/>
  <c r="H56" i="2"/>
  <c r="I56" i="2"/>
  <c r="J56" i="2"/>
  <c r="K56" i="2"/>
  <c r="B57" i="2"/>
  <c r="C57" i="2"/>
  <c r="D57" i="2"/>
  <c r="E57" i="2"/>
  <c r="M57" i="2" s="1"/>
  <c r="F57" i="2"/>
  <c r="G57" i="2"/>
  <c r="H57" i="2"/>
  <c r="I57" i="2"/>
  <c r="J57" i="2"/>
  <c r="K57" i="2"/>
  <c r="B58" i="2"/>
  <c r="C58" i="2"/>
  <c r="D58" i="2"/>
  <c r="E58" i="2"/>
  <c r="M58" i="2" s="1"/>
  <c r="F58" i="2"/>
  <c r="G58" i="2"/>
  <c r="H58" i="2"/>
  <c r="I58" i="2"/>
  <c r="J58" i="2"/>
  <c r="K58" i="2"/>
  <c r="B59" i="2"/>
  <c r="C59" i="2"/>
  <c r="D59" i="2"/>
  <c r="E59" i="2"/>
  <c r="M59" i="2" s="1"/>
  <c r="F59" i="2"/>
  <c r="G59" i="2"/>
  <c r="H59" i="2"/>
  <c r="I59" i="2"/>
  <c r="J59" i="2"/>
  <c r="K59" i="2"/>
  <c r="B60" i="2"/>
  <c r="C60" i="2"/>
  <c r="D60" i="2"/>
  <c r="E60" i="2"/>
  <c r="M60" i="2" s="1"/>
  <c r="F60" i="2"/>
  <c r="G60" i="2"/>
  <c r="H60" i="2"/>
  <c r="I60" i="2"/>
  <c r="J60" i="2"/>
  <c r="K60" i="2"/>
  <c r="B61" i="2"/>
  <c r="C61" i="2"/>
  <c r="D61" i="2"/>
  <c r="E61" i="2"/>
  <c r="M61" i="2" s="1"/>
  <c r="F61" i="2"/>
  <c r="G61" i="2"/>
  <c r="H61" i="2"/>
  <c r="I61" i="2"/>
  <c r="J61" i="2"/>
  <c r="K61" i="2"/>
  <c r="B62" i="2"/>
  <c r="C62" i="2"/>
  <c r="D62" i="2"/>
  <c r="E62" i="2"/>
  <c r="M62" i="2" s="1"/>
  <c r="F62" i="2"/>
  <c r="G62" i="2"/>
  <c r="H62" i="2"/>
  <c r="I62" i="2"/>
  <c r="J62" i="2"/>
  <c r="K62" i="2"/>
  <c r="B63" i="2"/>
  <c r="C63" i="2"/>
  <c r="D63" i="2"/>
  <c r="E63" i="2"/>
  <c r="M63" i="2" s="1"/>
  <c r="F63" i="2"/>
  <c r="G63" i="2"/>
  <c r="H63" i="2"/>
  <c r="I63" i="2"/>
  <c r="J63" i="2"/>
  <c r="K63" i="2"/>
  <c r="B64" i="2"/>
  <c r="C64" i="2"/>
  <c r="D64" i="2"/>
  <c r="E64" i="2"/>
  <c r="M64" i="2" s="1"/>
  <c r="F64" i="2"/>
  <c r="G64" i="2"/>
  <c r="H64" i="2"/>
  <c r="I64" i="2"/>
  <c r="J64" i="2"/>
  <c r="K64" i="2"/>
  <c r="K24" i="2"/>
  <c r="J24" i="2"/>
  <c r="I24" i="2"/>
  <c r="M44" i="2"/>
  <c r="M45" i="2"/>
  <c r="M46" i="2"/>
  <c r="M48" i="2"/>
  <c r="M52" i="2"/>
  <c r="M53" i="2"/>
  <c r="C24" i="2"/>
  <c r="D24" i="2"/>
  <c r="E24" i="2"/>
  <c r="F24" i="2"/>
  <c r="G24" i="2"/>
  <c r="H24" i="2"/>
  <c r="B24" i="2"/>
  <c r="N42" i="2" l="1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39" i="2"/>
  <c r="N40" i="2"/>
  <c r="N41" i="2"/>
</calcChain>
</file>

<file path=xl/sharedStrings.xml><?xml version="1.0" encoding="utf-8"?>
<sst xmlns="http://schemas.openxmlformats.org/spreadsheetml/2006/main" count="486" uniqueCount="483">
  <si>
    <t>2015 APR 2</t>
  </si>
  <si>
    <t>2015 APR 22</t>
  </si>
  <si>
    <t>2014 SEP 4</t>
  </si>
  <si>
    <t>2014 SEP 20</t>
  </si>
  <si>
    <t>2014 OCT 6</t>
  </si>
  <si>
    <t>2013 SEP 3</t>
  </si>
  <si>
    <t>2015 JUL 12</t>
  </si>
  <si>
    <t>2015 AUG 12</t>
  </si>
  <si>
    <t>1989 JUN 17</t>
  </si>
  <si>
    <t>1989 JUL 26</t>
  </si>
  <si>
    <t>1989 AUG 13</t>
  </si>
  <si>
    <t>1989 AUG 27</t>
  </si>
  <si>
    <t>1989 OCT 22</t>
  </si>
  <si>
    <t>1989 NOV 17</t>
  </si>
  <si>
    <t>1990 MAY 2</t>
  </si>
  <si>
    <t>1990 MAY 30</t>
  </si>
  <si>
    <t>1990 JUL 17</t>
  </si>
  <si>
    <t>1990 AUG 18</t>
  </si>
  <si>
    <t>1991 JUN 11</t>
  </si>
  <si>
    <t>1991 JUL 12</t>
  </si>
  <si>
    <t>1991 AUG 18</t>
  </si>
  <si>
    <t>1991 SEP 7</t>
  </si>
  <si>
    <t>1992 APR 15</t>
  </si>
  <si>
    <t>1992 JUN 20</t>
  </si>
  <si>
    <t>1992 JUL 3</t>
  </si>
  <si>
    <t>1992 AUG 25</t>
  </si>
  <si>
    <t>1992 SEP 16</t>
  </si>
  <si>
    <t>1992 OCT 18</t>
  </si>
  <si>
    <t>1993 MAR 20</t>
  </si>
  <si>
    <t>1993 APR 21</t>
  </si>
  <si>
    <t>1993 JUN 9</t>
  </si>
  <si>
    <t>1993 JUN 22</t>
  </si>
  <si>
    <t>1993 DEC 6</t>
  </si>
  <si>
    <t>1994 APR 4</t>
  </si>
  <si>
    <t>1994 MAY 6</t>
  </si>
  <si>
    <t>1994 JUN 7</t>
  </si>
  <si>
    <t>1994 JUN 20</t>
  </si>
  <si>
    <t>1994 JUL 10</t>
  </si>
  <si>
    <t>1994 AUG 13</t>
  </si>
  <si>
    <t>1994 AUG 31</t>
  </si>
  <si>
    <t>1995 JAN 3</t>
  </si>
  <si>
    <t>1995 MAR 2</t>
  </si>
  <si>
    <t>1995 MAY 4</t>
  </si>
  <si>
    <t>1995 MAY 26</t>
  </si>
  <si>
    <t>1995 JUN 5</t>
  </si>
  <si>
    <t>1995 JUL 9</t>
  </si>
  <si>
    <t>1995 JUL 26</t>
  </si>
  <si>
    <t>1995 AUG 8</t>
  </si>
  <si>
    <t>1995 AUG 26</t>
  </si>
  <si>
    <t>1996 FEB 26</t>
  </si>
  <si>
    <t>1996 APR 8</t>
  </si>
  <si>
    <t>1996 APR 19</t>
  </si>
  <si>
    <t>1996 MAY 19</t>
  </si>
  <si>
    <t>1996 JUN 5</t>
  </si>
  <si>
    <t>1996 JUN 18</t>
  </si>
  <si>
    <t>1996 JUL 22</t>
  </si>
  <si>
    <t>1996 AUG 23</t>
  </si>
  <si>
    <t>1996 SEP 12</t>
  </si>
  <si>
    <t>1996 NOV 13</t>
  </si>
  <si>
    <t>1996 DEC 4</t>
  </si>
  <si>
    <t>1997 MAR 1</t>
  </si>
  <si>
    <t>1997 MAR 27</t>
  </si>
  <si>
    <t>1997 MAY 7</t>
  </si>
  <si>
    <t>1997 AUG 1</t>
  </si>
  <si>
    <t>1997 AUG 15</t>
  </si>
  <si>
    <t>1997 SEP 5</t>
  </si>
  <si>
    <t>1997 OCT 21</t>
  </si>
  <si>
    <t>1997 NOV 4</t>
  </si>
  <si>
    <t>1997 DEC 8</t>
  </si>
  <si>
    <t>1998 JAN 2</t>
  </si>
  <si>
    <t>1998 FEB 22</t>
  </si>
  <si>
    <t>1998 MAR 12</t>
  </si>
  <si>
    <t>1998 MAR 31</t>
  </si>
  <si>
    <t>1998 MAY 29</t>
  </si>
  <si>
    <t>1998 JUL 23</t>
  </si>
  <si>
    <t>1998 AUG 9</t>
  </si>
  <si>
    <t>1998 SEP 15</t>
  </si>
  <si>
    <t>1998 DEC 15</t>
  </si>
  <si>
    <t>1999 APR 25</t>
  </si>
  <si>
    <t>1999 MAY 21</t>
  </si>
  <si>
    <t>1999 JUN 11</t>
  </si>
  <si>
    <t>1999 JUL 14</t>
  </si>
  <si>
    <t>1999 JUL 30</t>
  </si>
  <si>
    <t>1999 SEP 17</t>
  </si>
  <si>
    <t>1999 OCT 7</t>
  </si>
  <si>
    <t>2000 APR 7</t>
  </si>
  <si>
    <t>2000 APR 30</t>
  </si>
  <si>
    <t>2000 MAY 22</t>
  </si>
  <si>
    <t>2000 JUL 2</t>
  </si>
  <si>
    <t>2000 AUG 6</t>
  </si>
  <si>
    <t>2000 AUG 22</t>
  </si>
  <si>
    <t>2000 SEP 23</t>
  </si>
  <si>
    <t>2000 OCT 4</t>
  </si>
  <si>
    <t>2000 OCT 21</t>
  </si>
  <si>
    <t>2001 FEB 19</t>
  </si>
  <si>
    <t>2001 APR 27</t>
  </si>
  <si>
    <t>2001 MAY 13</t>
  </si>
  <si>
    <t>2001 JUN 10</t>
  </si>
  <si>
    <t>2001 JUN 27</t>
  </si>
  <si>
    <t>2001 JUL 16</t>
  </si>
  <si>
    <t>2001 JUL 31</t>
  </si>
  <si>
    <t>2001 AUG 16</t>
  </si>
  <si>
    <t>2001 AUG 31</t>
  </si>
  <si>
    <t>2001 SEP 17</t>
  </si>
  <si>
    <t>2001 OCT 6</t>
  </si>
  <si>
    <t>2001 NOV 16</t>
  </si>
  <si>
    <t>2001 DEC 7</t>
  </si>
  <si>
    <t>2002 FEB 16</t>
  </si>
  <si>
    <t>2002 JUN 3</t>
  </si>
  <si>
    <t>2002 JUL 12</t>
  </si>
  <si>
    <t>2002 JUL 27</t>
  </si>
  <si>
    <t>2002 AUG 12</t>
  </si>
  <si>
    <t>2002 SEP 12</t>
  </si>
  <si>
    <t>2002 OCT 1</t>
  </si>
  <si>
    <t>2002 NOV 5</t>
  </si>
  <si>
    <t>2002 NOV 24</t>
  </si>
  <si>
    <t>2003 JUL 14</t>
  </si>
  <si>
    <t>2003 JUL 30</t>
  </si>
  <si>
    <t>2003 AUG 14</t>
  </si>
  <si>
    <t>2003 AUG 28</t>
  </si>
  <si>
    <t>2003 SEP 17</t>
  </si>
  <si>
    <t>2003 SEP 30</t>
  </si>
  <si>
    <t>2003 OCT 17</t>
  </si>
  <si>
    <t>2004 APR 20</t>
  </si>
  <si>
    <t>2004 MAY 23</t>
  </si>
  <si>
    <t>2004 JUN 15</t>
  </si>
  <si>
    <t>2004 JUL 15</t>
  </si>
  <si>
    <t>2004 AUG 1</t>
  </si>
  <si>
    <t>2004 AUG 14</t>
  </si>
  <si>
    <t>2004 SEP 3</t>
  </si>
  <si>
    <t>2004 OCT 5</t>
  </si>
  <si>
    <t>2004 NOV 10</t>
  </si>
  <si>
    <t>2005 APR 17</t>
  </si>
  <si>
    <t>2005 JUN 10</t>
  </si>
  <si>
    <t>2005 JUL 14</t>
  </si>
  <si>
    <t>2005 AUG 10</t>
  </si>
  <si>
    <t>2005 SEP 13</t>
  </si>
  <si>
    <t>2005 SEP 28</t>
  </si>
  <si>
    <t>2005 OCT 15</t>
  </si>
  <si>
    <t>2005 NOV 16</t>
  </si>
  <si>
    <t>2005 NOV 25</t>
  </si>
  <si>
    <t>2005 DEC 16</t>
  </si>
  <si>
    <t>2006 JUN 10</t>
  </si>
  <si>
    <t>2006 JUN 28</t>
  </si>
  <si>
    <t>2006 JUL 16</t>
  </si>
  <si>
    <t>2006 OCT 9</t>
  </si>
  <si>
    <t>2006 NOV 17</t>
  </si>
  <si>
    <t>2006 DEC 16</t>
  </si>
  <si>
    <t>2007 MAY 23</t>
  </si>
  <si>
    <t>2007 JUL 15</t>
  </si>
  <si>
    <t>2007 JUL 30</t>
  </si>
  <si>
    <t>2007 AUG 17</t>
  </si>
  <si>
    <t>2007 OCT 8</t>
  </si>
  <si>
    <t>2007 OCT 23</t>
  </si>
  <si>
    <t>2007 NOV 15</t>
  </si>
  <si>
    <t>2008 MAY 2</t>
  </si>
  <si>
    <t>2008 JUN 10</t>
  </si>
  <si>
    <t>2008 JUN 30</t>
  </si>
  <si>
    <t>2008 JUL 20</t>
  </si>
  <si>
    <t>2008 AUG 2</t>
  </si>
  <si>
    <t>2008 AUG 22</t>
  </si>
  <si>
    <t>2009 APR 23</t>
  </si>
  <si>
    <t>V1413 Aql</t>
  </si>
  <si>
    <t>2009 JUN 1</t>
  </si>
  <si>
    <t>2009 JUN 18</t>
  </si>
  <si>
    <t>2009 JUL 8</t>
  </si>
  <si>
    <t>2009 AUG 11</t>
  </si>
  <si>
    <t>2009 NOV 23</t>
  </si>
  <si>
    <t>2009 DEC 22</t>
  </si>
  <si>
    <t>2010 APR 16</t>
  </si>
  <si>
    <t>2010 MAY 30</t>
  </si>
  <si>
    <t>2010 JUN 21</t>
  </si>
  <si>
    <t>2010 AUG 5</t>
  </si>
  <si>
    <t>2010 AUG 19</t>
  </si>
  <si>
    <t>2010 SEP 3</t>
  </si>
  <si>
    <t>2010 OCT 6</t>
  </si>
  <si>
    <t>2010 NOV 3</t>
  </si>
  <si>
    <t>2011 JUN 2</t>
  </si>
  <si>
    <t>2011 JUL 21</t>
  </si>
  <si>
    <t>2011 AUG 5</t>
  </si>
  <si>
    <t>2011 AUG 24</t>
  </si>
  <si>
    <t>2011 SEP 9</t>
  </si>
  <si>
    <t>2011 SEP 25</t>
  </si>
  <si>
    <t>2011 OCT 8</t>
  </si>
  <si>
    <t>2011 OCT 25</t>
  </si>
  <si>
    <t>2011 NOV 7</t>
  </si>
  <si>
    <t>2011 DEC 9</t>
  </si>
  <si>
    <t>2011 DEC 27</t>
  </si>
  <si>
    <t>2012 MAY 1</t>
  </si>
  <si>
    <t>2012 JUN 18</t>
  </si>
  <si>
    <t>2012 JUL 21</t>
  </si>
  <si>
    <t>2012 AUG 4</t>
  </si>
  <si>
    <t>2012 AUG 19</t>
  </si>
  <si>
    <t>2012 SEP 18</t>
  </si>
  <si>
    <t>2012 OCT 18</t>
  </si>
  <si>
    <t>2012 NOV 9</t>
  </si>
  <si>
    <t>2012 NOV 23</t>
  </si>
  <si>
    <t>2012 DEC 20</t>
  </si>
  <si>
    <t>2013 MAR 4</t>
  </si>
  <si>
    <t>2013 MAY 5</t>
  </si>
  <si>
    <t>2013 MAY 31</t>
  </si>
  <si>
    <t>2013 JUL 6</t>
  </si>
  <si>
    <t>2013 AUG 5</t>
  </si>
  <si>
    <t>2013 SEP 22</t>
  </si>
  <si>
    <t>2013 OCT 23</t>
  </si>
  <si>
    <t>2013 NOV 3</t>
  </si>
  <si>
    <t>2014 FEB 16</t>
  </si>
  <si>
    <t>2014 MAR 24</t>
  </si>
  <si>
    <t>2014 APR 9</t>
  </si>
  <si>
    <t>2014 MAY 9</t>
  </si>
  <si>
    <t>2014 JUN 2</t>
  </si>
  <si>
    <t>2014 JUN 18</t>
  </si>
  <si>
    <t>2014 JUL 3</t>
  </si>
  <si>
    <t>2014 JUL 21</t>
  </si>
  <si>
    <t>2014 AUG 2</t>
  </si>
  <si>
    <t>2014 AUG 22</t>
  </si>
  <si>
    <t>2014 OCT 21</t>
  </si>
  <si>
    <t>2015 JUN 20</t>
  </si>
  <si>
    <t>2018 MAY 3</t>
  </si>
  <si>
    <t>2018 MAY 17</t>
  </si>
  <si>
    <t>2018 JUN 20</t>
  </si>
  <si>
    <t>2018 AUG 23</t>
  </si>
  <si>
    <t>2018 OCT 28</t>
  </si>
  <si>
    <t>2019 JUL 7</t>
  </si>
  <si>
    <t>2019 JUL 27</t>
  </si>
  <si>
    <t>2019 AUG 31</t>
  </si>
  <si>
    <t>2020 APR 4</t>
  </si>
  <si>
    <t>2020 MAY 16</t>
  </si>
  <si>
    <t>2020 MAY 26</t>
  </si>
  <si>
    <t>2020 JUN 20</t>
  </si>
  <si>
    <t>2020 JUL 6</t>
  </si>
  <si>
    <t>2020 JUL 17</t>
  </si>
  <si>
    <t>2020 APR 8</t>
  </si>
  <si>
    <t>2020 JUN 13</t>
  </si>
  <si>
    <t>2020 JUL 8</t>
  </si>
  <si>
    <t>2020 AUG 21</t>
  </si>
  <si>
    <t>2020 SEP 2</t>
  </si>
  <si>
    <t>2020 SEP 3</t>
  </si>
  <si>
    <t>2020 SEP 5</t>
  </si>
  <si>
    <t>2020 SEP 7</t>
  </si>
  <si>
    <t>2020 SEP 18</t>
  </si>
  <si>
    <t>2020 SEP 11</t>
  </si>
  <si>
    <t>2020 SEP 13</t>
  </si>
  <si>
    <t>2020 SEP 15</t>
  </si>
  <si>
    <t>2020 SEP 16</t>
  </si>
  <si>
    <t>2020 SEP 19</t>
  </si>
  <si>
    <t>2020 SEP 20</t>
  </si>
  <si>
    <t>2020 SEP 27</t>
  </si>
  <si>
    <t>2020 SEP 28</t>
  </si>
  <si>
    <t>2020 OCT 1</t>
  </si>
  <si>
    <t>2020 OCT 2</t>
  </si>
  <si>
    <t>2020 OCT 3</t>
  </si>
  <si>
    <t>2020 OCT 4</t>
  </si>
  <si>
    <t>2020 OCT 7</t>
  </si>
  <si>
    <t>2020 OCT 8</t>
  </si>
  <si>
    <t>2020 OCT 9</t>
  </si>
  <si>
    <t>2020 OCT 12</t>
  </si>
  <si>
    <t>2019 JUN 1</t>
  </si>
  <si>
    <t>2020 OCT 14</t>
  </si>
  <si>
    <t>2020 OCT 18</t>
  </si>
  <si>
    <t>2020 OCT 23</t>
  </si>
  <si>
    <t>2020 NOV 4</t>
  </si>
  <si>
    <t>2020 NOV 17</t>
  </si>
  <si>
    <t>2020 NOV 18</t>
  </si>
  <si>
    <t>2020 NOV 25</t>
  </si>
  <si>
    <t>2021 MAY 31</t>
  </si>
  <si>
    <t>1989 JUL 10</t>
  </si>
  <si>
    <t>1989 SEP 11</t>
  </si>
  <si>
    <t>1989 SEP 28</t>
  </si>
  <si>
    <t>1989 NOV 27</t>
  </si>
  <si>
    <t>1990 JUN 25</t>
  </si>
  <si>
    <t>1990 JUL 27</t>
  </si>
  <si>
    <t>1990 AUG 31</t>
  </si>
  <si>
    <t>1990 SEP 19</t>
  </si>
  <si>
    <t>1990 OCT 11</t>
  </si>
  <si>
    <t>1990 NOV 1</t>
  </si>
  <si>
    <t>1991 JUN 23</t>
  </si>
  <si>
    <t>1991 AUG 5</t>
  </si>
  <si>
    <t>1991 OCT 5</t>
  </si>
  <si>
    <t>1991 OCT 19</t>
  </si>
  <si>
    <t>1991 NOV 2</t>
  </si>
  <si>
    <t>1991 DEC 3</t>
  </si>
  <si>
    <t>1992 JUL 17</t>
  </si>
  <si>
    <t>1992 JUL 29</t>
  </si>
  <si>
    <t>1992 NOV 28</t>
  </si>
  <si>
    <t>1993 MAY 8</t>
  </si>
  <si>
    <t>1993 MAY 22</t>
  </si>
  <si>
    <t>1993 JUL 14</t>
  </si>
  <si>
    <t>1993 JUL 29</t>
  </si>
  <si>
    <t>1993 AUG 14</t>
  </si>
  <si>
    <t>1993 SEP 4</t>
  </si>
  <si>
    <t>1993 SEP 17</t>
  </si>
  <si>
    <t>1993 OCT 10</t>
  </si>
  <si>
    <t>1993 NOV 13</t>
  </si>
  <si>
    <t>1994 MAR 11</t>
  </si>
  <si>
    <t>1994 APR 22</t>
  </si>
  <si>
    <t>1994 MAY 22</t>
  </si>
  <si>
    <t>1994 AUG 1</t>
  </si>
  <si>
    <t>1994 SEP 13</t>
  </si>
  <si>
    <t>1994 OCT 3</t>
  </si>
  <si>
    <t>1994 NOV 2</t>
  </si>
  <si>
    <t>1994 NOV 27</t>
  </si>
  <si>
    <t>1994 DEC 22</t>
  </si>
  <si>
    <t>1995 FEB 7</t>
  </si>
  <si>
    <t>1995 MAR 31</t>
  </si>
  <si>
    <t>1995 APR 17</t>
  </si>
  <si>
    <t>1995 JUN 27</t>
  </si>
  <si>
    <t>1995 SEP 11</t>
  </si>
  <si>
    <t>1995 SEP 25</t>
  </si>
  <si>
    <t>1995 OCT 19</t>
  </si>
  <si>
    <t>1995 NOV 4</t>
  </si>
  <si>
    <t>1995 NOV 24</t>
  </si>
  <si>
    <t>1995 DEC 20</t>
  </si>
  <si>
    <t>1996 MAY 1</t>
  </si>
  <si>
    <t>1996 JUL 9</t>
  </si>
  <si>
    <t>1996 AUG 10</t>
  </si>
  <si>
    <t>1996 SEP 27</t>
  </si>
  <si>
    <t>1996 OCT 14</t>
  </si>
  <si>
    <t>1996 NOV 4</t>
  </si>
  <si>
    <t>1997 APR 15</t>
  </si>
  <si>
    <t>1997 MAY 28</t>
  </si>
  <si>
    <t>1997 JUN 12</t>
  </si>
  <si>
    <t>1997 JUL 1</t>
  </si>
  <si>
    <t>1997 JUL 16</t>
  </si>
  <si>
    <t>1997 SEP 20</t>
  </si>
  <si>
    <t>1997 OCT 3</t>
  </si>
  <si>
    <t>1997 NOV 20</t>
  </si>
  <si>
    <t>1998 APR 22</t>
  </si>
  <si>
    <t>1998 MAY 16</t>
  </si>
  <si>
    <t>1998 JUN 24</t>
  </si>
  <si>
    <t>1998 JUL 10</t>
  </si>
  <si>
    <t>1998 AUG 25</t>
  </si>
  <si>
    <t>1998 OCT 2</t>
  </si>
  <si>
    <t>1998 OCT 19</t>
  </si>
  <si>
    <t>1998 NOV 7</t>
  </si>
  <si>
    <t>1998 NOV 21</t>
  </si>
  <si>
    <t>1999 MAY 4</t>
  </si>
  <si>
    <t>1999 JUN 26</t>
  </si>
  <si>
    <t>1999 AUG 17</t>
  </si>
  <si>
    <t>1999 SEP 1</t>
  </si>
  <si>
    <t>1999 OCT 23</t>
  </si>
  <si>
    <t>1999 NOV 7</t>
  </si>
  <si>
    <t>1999 NOV 24</t>
  </si>
  <si>
    <t>1999 DEC 11</t>
  </si>
  <si>
    <t>2000 JUN 2</t>
  </si>
  <si>
    <t>2000 JUN 20</t>
  </si>
  <si>
    <t>2000 JUL 16</t>
  </si>
  <si>
    <t>2000 SEP 3</t>
  </si>
  <si>
    <t>2000 NOV 6</t>
  </si>
  <si>
    <t>2000 NOV 27</t>
  </si>
  <si>
    <t>2001 MAR 1</t>
  </si>
  <si>
    <t>2001 APR 13</t>
  </si>
  <si>
    <t>2001 MAY 26</t>
  </si>
  <si>
    <t>2001 OCT 17</t>
  </si>
  <si>
    <t>2001 NOV 5</t>
  </si>
  <si>
    <t>2001 DEC 26</t>
  </si>
  <si>
    <t>2002 MAY 1</t>
  </si>
  <si>
    <t>2002 JUN 22</t>
  </si>
  <si>
    <t>2002 AUG 30</t>
  </si>
  <si>
    <t>2002 OCT 17</t>
  </si>
  <si>
    <t>2002 DEC 10</t>
  </si>
  <si>
    <t>2003 MAY 2</t>
  </si>
  <si>
    <t>2003 MAY 20</t>
  </si>
  <si>
    <t>2003 JUN 4</t>
  </si>
  <si>
    <t>2003 JUN 29</t>
  </si>
  <si>
    <t>2003 OCT 31</t>
  </si>
  <si>
    <t>2003 NOV 18</t>
  </si>
  <si>
    <t>2003 DEC 5</t>
  </si>
  <si>
    <t>2004 JUL 3</t>
  </si>
  <si>
    <t>2004 SEP 15</t>
  </si>
  <si>
    <t>2004 OCT 21</t>
  </si>
  <si>
    <t>2004 NOV 28</t>
  </si>
  <si>
    <t>2004 DEC 22</t>
  </si>
  <si>
    <t>2005 MAY 12</t>
  </si>
  <si>
    <t>2005 JUN 26</t>
  </si>
  <si>
    <t>2005 AUG 30</t>
  </si>
  <si>
    <t>2005 NOV 2</t>
  </si>
  <si>
    <t>2006 AUG 1</t>
  </si>
  <si>
    <t>2006 AUG 25</t>
  </si>
  <si>
    <t>2006 SEP 6</t>
  </si>
  <si>
    <t>2006 SEP 23</t>
  </si>
  <si>
    <t>2006 OCT 28</t>
  </si>
  <si>
    <t>2006 DEC 5</t>
  </si>
  <si>
    <t>2007 MAY 3</t>
  </si>
  <si>
    <t>2007 JUN 7</t>
  </si>
  <si>
    <t>2007 JUN 26</t>
  </si>
  <si>
    <t>2007 AUG 31</t>
  </si>
  <si>
    <t>2007 SEP 17</t>
  </si>
  <si>
    <t>2007 DEC 13</t>
  </si>
  <si>
    <t>2008 SEP 2</t>
  </si>
  <si>
    <t>2008 SEP 25</t>
  </si>
  <si>
    <t>2008 OCT 13</t>
  </si>
  <si>
    <t>2008 OCT 25</t>
  </si>
  <si>
    <t>2008 NOV 9</t>
  </si>
  <si>
    <t>2008 DEC 1</t>
  </si>
  <si>
    <t>2008 DEC 12</t>
  </si>
  <si>
    <t>2009 MAY 19</t>
  </si>
  <si>
    <t>2009 JUL 21</t>
  </si>
  <si>
    <t>2009 AUG 22</t>
  </si>
  <si>
    <t>2009 SEP 7</t>
  </si>
  <si>
    <t>2009 SEP 22</t>
  </si>
  <si>
    <t>2009 OCT 14</t>
  </si>
  <si>
    <t>2009 NOV 6</t>
  </si>
  <si>
    <t>2009 DEC 8</t>
  </si>
  <si>
    <t>2010 JUL 12</t>
  </si>
  <si>
    <t>2010 SEP 17</t>
  </si>
  <si>
    <t>2010 OCT 22</t>
  </si>
  <si>
    <t>2010 NOV 19</t>
  </si>
  <si>
    <t>2010 DEC 1</t>
  </si>
  <si>
    <t>2011 JUN 22</t>
  </si>
  <si>
    <t>2011 JUL 4</t>
  </si>
  <si>
    <t>2011 NOV 24</t>
  </si>
  <si>
    <t>2012 FEB 28</t>
  </si>
  <si>
    <t>2012 MAR 23</t>
  </si>
  <si>
    <t>2012 MAY 24</t>
  </si>
  <si>
    <t>2012 JUL 5</t>
  </si>
  <si>
    <t>2012 SEP 7</t>
  </si>
  <si>
    <t>2012 OCT 4</t>
  </si>
  <si>
    <t>2012 DEC 8</t>
  </si>
  <si>
    <t>2013 APR 21</t>
  </si>
  <si>
    <t>2013 JUN 19</t>
  </si>
  <si>
    <t>2013 JUL 18</t>
  </si>
  <si>
    <t>2013 AUG 18</t>
  </si>
  <si>
    <t>2013 OCT 5</t>
  </si>
  <si>
    <t>2013 NOV 29</t>
  </si>
  <si>
    <t>2014 MAR 9</t>
  </si>
  <si>
    <t>2014 NOV 7</t>
  </si>
  <si>
    <t>2014 NOV 20</t>
  </si>
  <si>
    <t>2015 MAY 21</t>
  </si>
  <si>
    <t>2015 JUN 5</t>
  </si>
  <si>
    <t>2015 JUL 24</t>
  </si>
  <si>
    <t>2015 SEP 1</t>
  </si>
  <si>
    <t>2015 SEP 15</t>
  </si>
  <si>
    <t>2015 OCT 4</t>
  </si>
  <si>
    <t>2015 OCT 19</t>
  </si>
  <si>
    <t>2015 NOV 4</t>
  </si>
  <si>
    <t>2015 NOV 20</t>
  </si>
  <si>
    <t>2015 DEC 5</t>
  </si>
  <si>
    <t>2015 DEC 19</t>
  </si>
  <si>
    <t>2016 MAY 19</t>
  </si>
  <si>
    <t>2016 JUN 2</t>
  </si>
  <si>
    <t>2016 JUL 3</t>
  </si>
  <si>
    <t>2016 JUL 20</t>
  </si>
  <si>
    <t>2016 AUG 5</t>
  </si>
  <si>
    <t>2016 AUG 22</t>
  </si>
  <si>
    <t>2016 SEP 5</t>
  </si>
  <si>
    <t>2016 SEP 25</t>
  </si>
  <si>
    <t>2016 OCT 6</t>
  </si>
  <si>
    <t>2016 OCT 25</t>
  </si>
  <si>
    <t>2016 DEC 1</t>
  </si>
  <si>
    <t>2016 DEC 27</t>
  </si>
  <si>
    <t>2017 MAR 2</t>
  </si>
  <si>
    <t>2017 JUN 22</t>
  </si>
  <si>
    <t>2017 JUL 11</t>
  </si>
  <si>
    <t>2017 JUL 30</t>
  </si>
  <si>
    <t>2017 AUG 16</t>
  </si>
  <si>
    <t>2017 AUG 31</t>
  </si>
  <si>
    <t>2017 SEP 19</t>
  </si>
  <si>
    <t>2017 OCT 7</t>
  </si>
  <si>
    <t>2017 OCT 31</t>
  </si>
  <si>
    <t>2017 NOV 14</t>
  </si>
  <si>
    <t>2018 JUL 5</t>
  </si>
  <si>
    <t>2018 JUL 19</t>
  </si>
  <si>
    <t>2018 AUG 7</t>
  </si>
  <si>
    <t>2018 SEP 9</t>
  </si>
  <si>
    <t>2018 SEP 24</t>
  </si>
  <si>
    <t>2018 OCT 12</t>
  </si>
  <si>
    <t>2018 NOV 15</t>
  </si>
  <si>
    <t>2019 AUG 16</t>
  </si>
  <si>
    <t>2019 SEP 16</t>
  </si>
  <si>
    <t>2019 OCT 1</t>
  </si>
  <si>
    <t>2019 OCT 21</t>
  </si>
  <si>
    <t>2019 NOV 4</t>
  </si>
  <si>
    <t>2020 APR 5</t>
  </si>
  <si>
    <t>2020 APR 29</t>
  </si>
  <si>
    <t>2020 JUL 19</t>
  </si>
  <si>
    <t>2020 AUG 3</t>
  </si>
  <si>
    <t>2020 SEP 8</t>
  </si>
  <si>
    <t>2020 OCT 25</t>
  </si>
  <si>
    <t>2020 NOV 7</t>
  </si>
  <si>
    <t>2020 NOV 23</t>
  </si>
  <si>
    <t>2021 FEB 28</t>
  </si>
  <si>
    <t>2021 MAY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</si>
</sst>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u/>
      <sz val="12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1" fillId="2" borderId="1" xfId="1" applyFill="1" applyBorder="1" applyAlignment="1">
      <alignment horizontal="left"/>
    </xf>
    <xf numFmtId="1" fontId="0" fillId="2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1" fillId="4" borderId="2" xfId="1" applyFill="1" applyBorder="1" applyAlignment="1">
      <alignment horizontal="left"/>
    </xf>
    <xf numFmtId="0" fontId="1" fillId="4" borderId="1" xfId="1" applyFill="1" applyBorder="1" applyAlignment="1">
      <alignment horizontal="left"/>
    </xf>
    <xf numFmtId="3" fontId="0" fillId="0" borderId="0" xfId="0" applyNumberFormat="1" applyAlignment="1">
      <alignment vertical="center" wrapText="1"/>
    </xf>
    <xf numFmtId="1" fontId="0" fillId="0" borderId="0" xfId="0" applyNumberFormat="1"/>
    <xf numFmtId="164" fontId="0" fillId="2" borderId="1" xfId="0" applyNumberForma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Index!$G$4</c:f>
          <c:strCache>
            <c:ptCount val="1"/>
            <c:pt idx="0">
              <c:v>V1413 Aql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Vis!$A$1:$A$9587</c:f>
              <c:numCache>
                <c:formatCode>General</c:formatCode>
                <c:ptCount val="9587"/>
                <c:pt idx="0">
                  <c:v>2447695</c:v>
                </c:pt>
                <c:pt idx="1">
                  <c:v>2447717.8428600002</c:v>
                </c:pt>
                <c:pt idx="2">
                  <c:v>2447734.145</c:v>
                </c:pt>
                <c:pt idx="3">
                  <c:v>2447751.8293699999</c:v>
                </c:pt>
                <c:pt idx="4">
                  <c:v>2447765.7906200001</c:v>
                </c:pt>
                <c:pt idx="5">
                  <c:v>2447781.25</c:v>
                </c:pt>
                <c:pt idx="6">
                  <c:v>2447798.1363599999</c:v>
                </c:pt>
                <c:pt idx="7">
                  <c:v>2447822.4857100002</c:v>
                </c:pt>
                <c:pt idx="8">
                  <c:v>2447848.2000000002</c:v>
                </c:pt>
                <c:pt idx="9">
                  <c:v>2447858.4033300001</c:v>
                </c:pt>
                <c:pt idx="10">
                  <c:v>2448013.6</c:v>
                </c:pt>
                <c:pt idx="11">
                  <c:v>2448042</c:v>
                </c:pt>
                <c:pt idx="12">
                  <c:v>2448067.6120000002</c:v>
                </c:pt>
                <c:pt idx="13">
                  <c:v>2448089.7583300001</c:v>
                </c:pt>
                <c:pt idx="14">
                  <c:v>2448099.9075000002</c:v>
                </c:pt>
                <c:pt idx="15">
                  <c:v>2448122.3712499999</c:v>
                </c:pt>
                <c:pt idx="16">
                  <c:v>2448135.0499999998</c:v>
                </c:pt>
                <c:pt idx="17">
                  <c:v>2448154.3650000002</c:v>
                </c:pt>
                <c:pt idx="18">
                  <c:v>2448175.5449999999</c:v>
                </c:pt>
                <c:pt idx="19">
                  <c:v>2448197.2799999998</c:v>
                </c:pt>
                <c:pt idx="20">
                  <c:v>2448419.41</c:v>
                </c:pt>
                <c:pt idx="21">
                  <c:v>2448431.23</c:v>
                </c:pt>
                <c:pt idx="22">
                  <c:v>2448450.0699999998</c:v>
                </c:pt>
                <c:pt idx="23">
                  <c:v>2448474.1549999998</c:v>
                </c:pt>
                <c:pt idx="24">
                  <c:v>2448487.1588900001</c:v>
                </c:pt>
                <c:pt idx="25">
                  <c:v>2448507.34583</c:v>
                </c:pt>
                <c:pt idx="26">
                  <c:v>2448535.2799999998</c:v>
                </c:pt>
                <c:pt idx="27">
                  <c:v>2448549.25</c:v>
                </c:pt>
                <c:pt idx="28">
                  <c:v>2448562.7599999998</c:v>
                </c:pt>
                <c:pt idx="29">
                  <c:v>2448593.8459999999</c:v>
                </c:pt>
                <c:pt idx="30">
                  <c:v>2448727.6</c:v>
                </c:pt>
                <c:pt idx="31">
                  <c:v>2448793.94</c:v>
                </c:pt>
                <c:pt idx="32">
                  <c:v>2448806.55125</c:v>
                </c:pt>
                <c:pt idx="33">
                  <c:v>2448821.412</c:v>
                </c:pt>
                <c:pt idx="34">
                  <c:v>2448833.2439999999</c:v>
                </c:pt>
                <c:pt idx="35">
                  <c:v>2448860.08</c:v>
                </c:pt>
                <c:pt idx="36">
                  <c:v>2448882.2000000002</c:v>
                </c:pt>
                <c:pt idx="37">
                  <c:v>2448914.2999999998</c:v>
                </c:pt>
                <c:pt idx="38">
                  <c:v>2448955.2200000002</c:v>
                </c:pt>
                <c:pt idx="39">
                  <c:v>2449066.5</c:v>
                </c:pt>
                <c:pt idx="40">
                  <c:v>2449099.25</c:v>
                </c:pt>
                <c:pt idx="41">
                  <c:v>2449116.1</c:v>
                </c:pt>
                <c:pt idx="42">
                  <c:v>2449130.1666700002</c:v>
                </c:pt>
                <c:pt idx="43">
                  <c:v>2449148.4355600001</c:v>
                </c:pt>
                <c:pt idx="44">
                  <c:v>2449161.2441699998</c:v>
                </c:pt>
                <c:pt idx="45">
                  <c:v>2449182.7285699998</c:v>
                </c:pt>
                <c:pt idx="46">
                  <c:v>2449198.2999999998</c:v>
                </c:pt>
                <c:pt idx="47">
                  <c:v>2449214.3111100001</c:v>
                </c:pt>
                <c:pt idx="48">
                  <c:v>2449234.8050000002</c:v>
                </c:pt>
                <c:pt idx="49">
                  <c:v>2449248.1</c:v>
                </c:pt>
                <c:pt idx="50">
                  <c:v>2449271.2000000002</c:v>
                </c:pt>
                <c:pt idx="51">
                  <c:v>2449305.2200000002</c:v>
                </c:pt>
                <c:pt idx="52">
                  <c:v>2449327.9649999999</c:v>
                </c:pt>
                <c:pt idx="53">
                  <c:v>2449422.6</c:v>
                </c:pt>
                <c:pt idx="54">
                  <c:v>2449447</c:v>
                </c:pt>
                <c:pt idx="55">
                  <c:v>2449464.7000000002</c:v>
                </c:pt>
                <c:pt idx="56">
                  <c:v>2449479.3250000002</c:v>
                </c:pt>
                <c:pt idx="57">
                  <c:v>2449494.5499999998</c:v>
                </c:pt>
                <c:pt idx="58">
                  <c:v>2449511.0954499999</c:v>
                </c:pt>
                <c:pt idx="59">
                  <c:v>2449524.14286</c:v>
                </c:pt>
                <c:pt idx="60">
                  <c:v>2449543.8495</c:v>
                </c:pt>
                <c:pt idx="61">
                  <c:v>2449565.6181800002</c:v>
                </c:pt>
                <c:pt idx="62">
                  <c:v>2449577.8846200001</c:v>
                </c:pt>
                <c:pt idx="63">
                  <c:v>2449595.7159199999</c:v>
                </c:pt>
                <c:pt idx="64">
                  <c:v>2449609.125</c:v>
                </c:pt>
                <c:pt idx="65">
                  <c:v>2449628.8428600002</c:v>
                </c:pt>
                <c:pt idx="66">
                  <c:v>2449659.4833300002</c:v>
                </c:pt>
                <c:pt idx="67">
                  <c:v>2449684.3652499998</c:v>
                </c:pt>
                <c:pt idx="68">
                  <c:v>2449709.27</c:v>
                </c:pt>
                <c:pt idx="69">
                  <c:v>2449721.4914000002</c:v>
                </c:pt>
                <c:pt idx="70">
                  <c:v>2449755.7250000001</c:v>
                </c:pt>
                <c:pt idx="71">
                  <c:v>2449778.8333299998</c:v>
                </c:pt>
                <c:pt idx="72">
                  <c:v>2449808.375</c:v>
                </c:pt>
                <c:pt idx="73">
                  <c:v>2449824.9405999999</c:v>
                </c:pt>
                <c:pt idx="74">
                  <c:v>2449841.9123</c:v>
                </c:pt>
                <c:pt idx="75">
                  <c:v>2449864.4088599999</c:v>
                </c:pt>
                <c:pt idx="76">
                  <c:v>2449873.5295299999</c:v>
                </c:pt>
                <c:pt idx="77">
                  <c:v>2449896.39726</c:v>
                </c:pt>
                <c:pt idx="78">
                  <c:v>2449908.3558899998</c:v>
                </c:pt>
                <c:pt idx="79">
                  <c:v>2449924.6209399998</c:v>
                </c:pt>
                <c:pt idx="80">
                  <c:v>2449938.0127599998</c:v>
                </c:pt>
                <c:pt idx="81">
                  <c:v>2449955.6285199998</c:v>
                </c:pt>
                <c:pt idx="82">
                  <c:v>2449971.8801899999</c:v>
                </c:pt>
                <c:pt idx="83">
                  <c:v>2449986.4857100002</c:v>
                </c:pt>
                <c:pt idx="84">
                  <c:v>2450010.4624999999</c:v>
                </c:pt>
                <c:pt idx="85">
                  <c:v>2450025.8333299998</c:v>
                </c:pt>
                <c:pt idx="86">
                  <c:v>2450046</c:v>
                </c:pt>
                <c:pt idx="87">
                  <c:v>2450071.75</c:v>
                </c:pt>
                <c:pt idx="88">
                  <c:v>2450139.9</c:v>
                </c:pt>
                <c:pt idx="89">
                  <c:v>2450181.5</c:v>
                </c:pt>
                <c:pt idx="90">
                  <c:v>2450193.1816699998</c:v>
                </c:pt>
                <c:pt idx="91">
                  <c:v>2450204.69686</c:v>
                </c:pt>
                <c:pt idx="92">
                  <c:v>2450222.9603300001</c:v>
                </c:pt>
                <c:pt idx="93">
                  <c:v>2450240.2787500001</c:v>
                </c:pt>
                <c:pt idx="94">
                  <c:v>2450252.5012699999</c:v>
                </c:pt>
                <c:pt idx="95">
                  <c:v>2450273.9466300001</c:v>
                </c:pt>
                <c:pt idx="96">
                  <c:v>2450286.5287899999</c:v>
                </c:pt>
                <c:pt idx="97">
                  <c:v>2450305.7561699999</c:v>
                </c:pt>
                <c:pt idx="98">
                  <c:v>2450318.6931599998</c:v>
                </c:pt>
                <c:pt idx="99">
                  <c:v>2450338.8522700001</c:v>
                </c:pt>
                <c:pt idx="100">
                  <c:v>2450353.97798</c:v>
                </c:pt>
                <c:pt idx="101">
                  <c:v>2450370.8446999998</c:v>
                </c:pt>
                <c:pt idx="102">
                  <c:v>2450391.8861699998</c:v>
                </c:pt>
                <c:pt idx="103">
                  <c:v>2450401.2804999999</c:v>
                </c:pt>
                <c:pt idx="104">
                  <c:v>2450422.3794999998</c:v>
                </c:pt>
                <c:pt idx="105">
                  <c:v>2450508.7050000001</c:v>
                </c:pt>
                <c:pt idx="106">
                  <c:v>2450534.6345000002</c:v>
                </c:pt>
                <c:pt idx="107">
                  <c:v>2450553.9503299999</c:v>
                </c:pt>
                <c:pt idx="108">
                  <c:v>2450575.949</c:v>
                </c:pt>
                <c:pt idx="109">
                  <c:v>2450596.5125000002</c:v>
                </c:pt>
                <c:pt idx="110">
                  <c:v>2450612.0336699998</c:v>
                </c:pt>
                <c:pt idx="111">
                  <c:v>2450630.87634</c:v>
                </c:pt>
                <c:pt idx="112">
                  <c:v>2450645.5866100001</c:v>
                </c:pt>
                <c:pt idx="113">
                  <c:v>2450662.0152199999</c:v>
                </c:pt>
                <c:pt idx="114">
                  <c:v>2450676.3591999998</c:v>
                </c:pt>
                <c:pt idx="115">
                  <c:v>2450696.5786299999</c:v>
                </c:pt>
                <c:pt idx="116">
                  <c:v>2450711.9912200002</c:v>
                </c:pt>
                <c:pt idx="117">
                  <c:v>2450725.0598800001</c:v>
                </c:pt>
                <c:pt idx="118">
                  <c:v>2450742.6779900002</c:v>
                </c:pt>
                <c:pt idx="119">
                  <c:v>2450756.7642000001</c:v>
                </c:pt>
                <c:pt idx="120">
                  <c:v>2450773.0092000002</c:v>
                </c:pt>
                <c:pt idx="121">
                  <c:v>2450790.7806000002</c:v>
                </c:pt>
                <c:pt idx="122">
                  <c:v>2450816.3220000002</c:v>
                </c:pt>
                <c:pt idx="123">
                  <c:v>2450866.7239999999</c:v>
                </c:pt>
                <c:pt idx="124">
                  <c:v>2450884.6850000001</c:v>
                </c:pt>
                <c:pt idx="125">
                  <c:v>2450903.625</c:v>
                </c:pt>
                <c:pt idx="126">
                  <c:v>2450926.4170200001</c:v>
                </c:pt>
                <c:pt idx="127">
                  <c:v>2450949.57333</c:v>
                </c:pt>
                <c:pt idx="128">
                  <c:v>2450962.7396300002</c:v>
                </c:pt>
                <c:pt idx="129">
                  <c:v>2450988.7310000001</c:v>
                </c:pt>
                <c:pt idx="130">
                  <c:v>2451005.3994999998</c:v>
                </c:pt>
                <c:pt idx="131">
                  <c:v>2451017.8290800001</c:v>
                </c:pt>
                <c:pt idx="132">
                  <c:v>2451034.71539</c:v>
                </c:pt>
                <c:pt idx="133">
                  <c:v>2451051.0326399999</c:v>
                </c:pt>
                <c:pt idx="134">
                  <c:v>2451071.7979600001</c:v>
                </c:pt>
                <c:pt idx="135">
                  <c:v>2451089.0622</c:v>
                </c:pt>
                <c:pt idx="136">
                  <c:v>2451106.2022799999</c:v>
                </c:pt>
                <c:pt idx="137">
                  <c:v>2451124.8207399999</c:v>
                </c:pt>
                <c:pt idx="138">
                  <c:v>2451139.0083300001</c:v>
                </c:pt>
                <c:pt idx="139">
                  <c:v>2451162.5</c:v>
                </c:pt>
                <c:pt idx="140">
                  <c:v>2451293.58</c:v>
                </c:pt>
                <c:pt idx="141">
                  <c:v>2451303.0745000001</c:v>
                </c:pt>
                <c:pt idx="142">
                  <c:v>2451320.3848299999</c:v>
                </c:pt>
                <c:pt idx="143">
                  <c:v>2451341.4474599999</c:v>
                </c:pt>
                <c:pt idx="144">
                  <c:v>2451355.8906700001</c:v>
                </c:pt>
                <c:pt idx="145">
                  <c:v>2451374.0922500002</c:v>
                </c:pt>
                <c:pt idx="146">
                  <c:v>2451389.97914</c:v>
                </c:pt>
                <c:pt idx="147">
                  <c:v>2451408.2532700002</c:v>
                </c:pt>
                <c:pt idx="148">
                  <c:v>2451423.3865</c:v>
                </c:pt>
                <c:pt idx="149">
                  <c:v>2451438.9295600001</c:v>
                </c:pt>
                <c:pt idx="150">
                  <c:v>2451459.2247000001</c:v>
                </c:pt>
                <c:pt idx="151">
                  <c:v>2451474.8978300001</c:v>
                </c:pt>
                <c:pt idx="152">
                  <c:v>2451490.2657099999</c:v>
                </c:pt>
                <c:pt idx="153">
                  <c:v>2451507.3901999998</c:v>
                </c:pt>
                <c:pt idx="154">
                  <c:v>2451524.36</c:v>
                </c:pt>
                <c:pt idx="155">
                  <c:v>2451641.63</c:v>
                </c:pt>
                <c:pt idx="156">
                  <c:v>2451665.3689999999</c:v>
                </c:pt>
                <c:pt idx="157">
                  <c:v>2451686.548</c:v>
                </c:pt>
                <c:pt idx="158">
                  <c:v>2451698.20988</c:v>
                </c:pt>
                <c:pt idx="159">
                  <c:v>2451715.8197499998</c:v>
                </c:pt>
                <c:pt idx="160">
                  <c:v>2451728.3887999998</c:v>
                </c:pt>
                <c:pt idx="161">
                  <c:v>2451741.9599199998</c:v>
                </c:pt>
                <c:pt idx="162">
                  <c:v>2451763.0070000002</c:v>
                </c:pt>
                <c:pt idx="163">
                  <c:v>2451779.14555</c:v>
                </c:pt>
                <c:pt idx="164">
                  <c:v>2451790.6712099998</c:v>
                </c:pt>
                <c:pt idx="165">
                  <c:v>2451811.1544499998</c:v>
                </c:pt>
                <c:pt idx="166">
                  <c:v>2451822.4297699998</c:v>
                </c:pt>
                <c:pt idx="167">
                  <c:v>2451839.3971899999</c:v>
                </c:pt>
                <c:pt idx="168">
                  <c:v>2451855.0753199998</c:v>
                </c:pt>
                <c:pt idx="169">
                  <c:v>2451875.69398</c:v>
                </c:pt>
                <c:pt idx="170">
                  <c:v>2451959.6757</c:v>
                </c:pt>
                <c:pt idx="171">
                  <c:v>2451970.11045</c:v>
                </c:pt>
                <c:pt idx="172">
                  <c:v>2452013.0200299998</c:v>
                </c:pt>
                <c:pt idx="173">
                  <c:v>2452027.11124</c:v>
                </c:pt>
                <c:pt idx="174">
                  <c:v>2452042.7365199998</c:v>
                </c:pt>
                <c:pt idx="175">
                  <c:v>2452055.76774</c:v>
                </c:pt>
                <c:pt idx="176">
                  <c:v>2452071.19991</c:v>
                </c:pt>
                <c:pt idx="177">
                  <c:v>2452088.4390500002</c:v>
                </c:pt>
                <c:pt idx="178">
                  <c:v>2452106.5765499999</c:v>
                </c:pt>
                <c:pt idx="179">
                  <c:v>2452121.8394999998</c:v>
                </c:pt>
                <c:pt idx="180">
                  <c:v>2452138.03406</c:v>
                </c:pt>
                <c:pt idx="181">
                  <c:v>2452153.0733699999</c:v>
                </c:pt>
                <c:pt idx="182">
                  <c:v>2452169.8511399999</c:v>
                </c:pt>
                <c:pt idx="183">
                  <c:v>2452188.6257099998</c:v>
                </c:pt>
                <c:pt idx="184">
                  <c:v>2452199.8888900001</c:v>
                </c:pt>
                <c:pt idx="185">
                  <c:v>2452218.7610900002</c:v>
                </c:pt>
                <c:pt idx="186">
                  <c:v>2452230.3717299998</c:v>
                </c:pt>
                <c:pt idx="187">
                  <c:v>2452251.41475</c:v>
                </c:pt>
                <c:pt idx="188">
                  <c:v>2452270.04568</c:v>
                </c:pt>
                <c:pt idx="189">
                  <c:v>2452321.6305999998</c:v>
                </c:pt>
                <c:pt idx="190">
                  <c:v>2452396.0161000001</c:v>
                </c:pt>
                <c:pt idx="191">
                  <c:v>2452428.78529</c:v>
                </c:pt>
                <c:pt idx="192">
                  <c:v>2452448.32302</c:v>
                </c:pt>
                <c:pt idx="193">
                  <c:v>2452468.41505</c:v>
                </c:pt>
                <c:pt idx="194">
                  <c:v>2452483.1828299998</c:v>
                </c:pt>
                <c:pt idx="195">
                  <c:v>2452498.7748099999</c:v>
                </c:pt>
                <c:pt idx="196">
                  <c:v>2452517.1052999999</c:v>
                </c:pt>
                <c:pt idx="197">
                  <c:v>2452530.0499</c:v>
                </c:pt>
                <c:pt idx="198">
                  <c:v>2452548.8327000001</c:v>
                </c:pt>
                <c:pt idx="199">
                  <c:v>2452564.7217000001</c:v>
                </c:pt>
                <c:pt idx="200">
                  <c:v>2452583.8562099999</c:v>
                </c:pt>
                <c:pt idx="201">
                  <c:v>2452602.6173899998</c:v>
                </c:pt>
                <c:pt idx="202">
                  <c:v>2452618.5704999999</c:v>
                </c:pt>
                <c:pt idx="203">
                  <c:v>2452762.1899700002</c:v>
                </c:pt>
                <c:pt idx="204">
                  <c:v>2452780.2804700001</c:v>
                </c:pt>
                <c:pt idx="205">
                  <c:v>2452795.3731</c:v>
                </c:pt>
                <c:pt idx="206">
                  <c:v>2452819.7886999999</c:v>
                </c:pt>
                <c:pt idx="207">
                  <c:v>2452835.1096399999</c:v>
                </c:pt>
                <c:pt idx="208">
                  <c:v>2452850.60525</c:v>
                </c:pt>
                <c:pt idx="209">
                  <c:v>2452866.4138400001</c:v>
                </c:pt>
                <c:pt idx="210">
                  <c:v>2452879.8011599998</c:v>
                </c:pt>
                <c:pt idx="211">
                  <c:v>2452899.9110900001</c:v>
                </c:pt>
                <c:pt idx="212">
                  <c:v>2452912.52507</c:v>
                </c:pt>
                <c:pt idx="213">
                  <c:v>2452930.1778600002</c:v>
                </c:pt>
                <c:pt idx="214">
                  <c:v>2452944.2261800002</c:v>
                </c:pt>
                <c:pt idx="215">
                  <c:v>2452961.8959400002</c:v>
                </c:pt>
                <c:pt idx="216">
                  <c:v>2452978.7829499999</c:v>
                </c:pt>
                <c:pt idx="217">
                  <c:v>2453115.5860000001</c:v>
                </c:pt>
                <c:pt idx="218">
                  <c:v>2453149.1700499998</c:v>
                </c:pt>
                <c:pt idx="219">
                  <c:v>2453171.6611100002</c:v>
                </c:pt>
                <c:pt idx="220">
                  <c:v>2453189.5416000001</c:v>
                </c:pt>
                <c:pt idx="221">
                  <c:v>2453201.8150399998</c:v>
                </c:pt>
                <c:pt idx="222">
                  <c:v>2453218.7996100001</c:v>
                </c:pt>
                <c:pt idx="223">
                  <c:v>2453232.08824</c:v>
                </c:pt>
                <c:pt idx="224">
                  <c:v>2453251.8822599999</c:v>
                </c:pt>
                <c:pt idx="225">
                  <c:v>2453264.3534499998</c:v>
                </c:pt>
                <c:pt idx="226">
                  <c:v>2453284.2501599998</c:v>
                </c:pt>
                <c:pt idx="227">
                  <c:v>2453299.9202700001</c:v>
                </c:pt>
                <c:pt idx="228">
                  <c:v>2453319.9928899999</c:v>
                </c:pt>
                <c:pt idx="229">
                  <c:v>2453338.0677999998</c:v>
                </c:pt>
                <c:pt idx="230">
                  <c:v>2453361.5639</c:v>
                </c:pt>
                <c:pt idx="231">
                  <c:v>2453477.6189999999</c:v>
                </c:pt>
                <c:pt idx="232">
                  <c:v>2453503.0559999999</c:v>
                </c:pt>
                <c:pt idx="233">
                  <c:v>2453532.3291699998</c:v>
                </c:pt>
                <c:pt idx="234">
                  <c:v>2453548.0471700002</c:v>
                </c:pt>
                <c:pt idx="235">
                  <c:v>2453565.7442399999</c:v>
                </c:pt>
                <c:pt idx="236">
                  <c:v>2453593.00239</c:v>
                </c:pt>
                <c:pt idx="237">
                  <c:v>2453612.6045499998</c:v>
                </c:pt>
                <c:pt idx="238">
                  <c:v>2453627.2182900002</c:v>
                </c:pt>
                <c:pt idx="239">
                  <c:v>2453642.4712399999</c:v>
                </c:pt>
                <c:pt idx="240">
                  <c:v>2453659.4782400001</c:v>
                </c:pt>
                <c:pt idx="241">
                  <c:v>2453677.2652400001</c:v>
                </c:pt>
                <c:pt idx="242">
                  <c:v>2453691.1146</c:v>
                </c:pt>
                <c:pt idx="243">
                  <c:v>2453700.3824999998</c:v>
                </c:pt>
                <c:pt idx="244">
                  <c:v>2453721.2310000001</c:v>
                </c:pt>
                <c:pt idx="245">
                  <c:v>2453897.17191</c:v>
                </c:pt>
                <c:pt idx="246">
                  <c:v>2453915.48685</c:v>
                </c:pt>
                <c:pt idx="247">
                  <c:v>2453932.5841199998</c:v>
                </c:pt>
                <c:pt idx="248">
                  <c:v>2453949.0069300001</c:v>
                </c:pt>
                <c:pt idx="249">
                  <c:v>2453973.4422399998</c:v>
                </c:pt>
                <c:pt idx="250">
                  <c:v>2453984.9211900001</c:v>
                </c:pt>
                <c:pt idx="251">
                  <c:v>2454001.5599799999</c:v>
                </c:pt>
                <c:pt idx="252">
                  <c:v>2454017.9516599998</c:v>
                </c:pt>
                <c:pt idx="253">
                  <c:v>2454037.307</c:v>
                </c:pt>
                <c:pt idx="254">
                  <c:v>2454056.9174199998</c:v>
                </c:pt>
                <c:pt idx="255">
                  <c:v>2454074.8412000001</c:v>
                </c:pt>
                <c:pt idx="256">
                  <c:v>2454086.2393999998</c:v>
                </c:pt>
                <c:pt idx="257">
                  <c:v>2454224.3753499999</c:v>
                </c:pt>
                <c:pt idx="258">
                  <c:v>2454243.5237699999</c:v>
                </c:pt>
                <c:pt idx="259">
                  <c:v>2454258.7500499999</c:v>
                </c:pt>
                <c:pt idx="260">
                  <c:v>2454277.5646700002</c:v>
                </c:pt>
                <c:pt idx="261">
                  <c:v>2454296.7903399998</c:v>
                </c:pt>
                <c:pt idx="262">
                  <c:v>2454312.1122099999</c:v>
                </c:pt>
                <c:pt idx="263">
                  <c:v>2454329.6767500001</c:v>
                </c:pt>
                <c:pt idx="264">
                  <c:v>2454344.3876</c:v>
                </c:pt>
                <c:pt idx="265">
                  <c:v>2454361.2824499998</c:v>
                </c:pt>
                <c:pt idx="266">
                  <c:v>2454382.1921299999</c:v>
                </c:pt>
                <c:pt idx="267">
                  <c:v>2454396.6318199998</c:v>
                </c:pt>
                <c:pt idx="268">
                  <c:v>2454419.8736800002</c:v>
                </c:pt>
                <c:pt idx="269">
                  <c:v>2454448.2310000001</c:v>
                </c:pt>
                <c:pt idx="270">
                  <c:v>2454588.571</c:v>
                </c:pt>
                <c:pt idx="271">
                  <c:v>2454627.83109</c:v>
                </c:pt>
                <c:pt idx="272">
                  <c:v>2454648.35751</c:v>
                </c:pt>
                <c:pt idx="273">
                  <c:v>2454668.3880799999</c:v>
                </c:pt>
                <c:pt idx="274">
                  <c:v>2454681.2030699998</c:v>
                </c:pt>
                <c:pt idx="275">
                  <c:v>2454700.90564</c:v>
                </c:pt>
                <c:pt idx="276">
                  <c:v>2454711.8187199999</c:v>
                </c:pt>
                <c:pt idx="277">
                  <c:v>2454734.9443999999</c:v>
                </c:pt>
                <c:pt idx="278">
                  <c:v>2454752.5257999999</c:v>
                </c:pt>
                <c:pt idx="279">
                  <c:v>2454764.9114399999</c:v>
                </c:pt>
                <c:pt idx="280">
                  <c:v>2454780.0259799999</c:v>
                </c:pt>
                <c:pt idx="281">
                  <c:v>2454802.00532</c:v>
                </c:pt>
                <c:pt idx="282">
                  <c:v>2454813.2415</c:v>
                </c:pt>
                <c:pt idx="283">
                  <c:v>2454945.4484600001</c:v>
                </c:pt>
                <c:pt idx="284">
                  <c:v>2454970.94692</c:v>
                </c:pt>
                <c:pt idx="285">
                  <c:v>2454984.4225900001</c:v>
                </c:pt>
                <c:pt idx="286">
                  <c:v>2455001.39206</c:v>
                </c:pt>
                <c:pt idx="287">
                  <c:v>2455020.6705700001</c:v>
                </c:pt>
                <c:pt idx="288">
                  <c:v>2455033.5020699999</c:v>
                </c:pt>
                <c:pt idx="289">
                  <c:v>2455054.6611299999</c:v>
                </c:pt>
                <c:pt idx="290">
                  <c:v>2455066.1478900001</c:v>
                </c:pt>
                <c:pt idx="291">
                  <c:v>2455082.2078499999</c:v>
                </c:pt>
                <c:pt idx="292">
                  <c:v>2455096.6977499998</c:v>
                </c:pt>
                <c:pt idx="293">
                  <c:v>2455119.1998000001</c:v>
                </c:pt>
                <c:pt idx="294">
                  <c:v>2455141.8898299998</c:v>
                </c:pt>
                <c:pt idx="295">
                  <c:v>2455158.5274</c:v>
                </c:pt>
                <c:pt idx="296">
                  <c:v>2455173.7259999998</c:v>
                </c:pt>
                <c:pt idx="297">
                  <c:v>2455188.2250000001</c:v>
                </c:pt>
                <c:pt idx="298">
                  <c:v>2455303.1545699998</c:v>
                </c:pt>
                <c:pt idx="299">
                  <c:v>2455347.3029299998</c:v>
                </c:pt>
                <c:pt idx="300">
                  <c:v>2455368.5275699999</c:v>
                </c:pt>
                <c:pt idx="301">
                  <c:v>2455389.8825400001</c:v>
                </c:pt>
                <c:pt idx="302">
                  <c:v>2455413.64757</c:v>
                </c:pt>
                <c:pt idx="303">
                  <c:v>2455427.7281999998</c:v>
                </c:pt>
                <c:pt idx="304">
                  <c:v>2455442.9770499999</c:v>
                </c:pt>
                <c:pt idx="305">
                  <c:v>2455456.6391500002</c:v>
                </c:pt>
                <c:pt idx="306">
                  <c:v>2455476.22083</c:v>
                </c:pt>
                <c:pt idx="307">
                  <c:v>2455491.9379400001</c:v>
                </c:pt>
                <c:pt idx="308">
                  <c:v>2455503.6659200001</c:v>
                </c:pt>
                <c:pt idx="309">
                  <c:v>2455519.5</c:v>
                </c:pt>
                <c:pt idx="310">
                  <c:v>2455532</c:v>
                </c:pt>
                <c:pt idx="311">
                  <c:v>2455714.7634700001</c:v>
                </c:pt>
                <c:pt idx="312">
                  <c:v>2455734.5150199998</c:v>
                </c:pt>
                <c:pt idx="313">
                  <c:v>2455747.0828399998</c:v>
                </c:pt>
                <c:pt idx="314">
                  <c:v>2455763.7633000002</c:v>
                </c:pt>
                <c:pt idx="315">
                  <c:v>2455778.8615000001</c:v>
                </c:pt>
                <c:pt idx="316">
                  <c:v>2455797.6825100002</c:v>
                </c:pt>
                <c:pt idx="317">
                  <c:v>2455813.9648000002</c:v>
                </c:pt>
                <c:pt idx="318">
                  <c:v>2455830.0381800001</c:v>
                </c:pt>
                <c:pt idx="319">
                  <c:v>2455843.4064000002</c:v>
                </c:pt>
                <c:pt idx="320">
                  <c:v>2455859.7634700001</c:v>
                </c:pt>
                <c:pt idx="321">
                  <c:v>2455872.54213</c:v>
                </c:pt>
                <c:pt idx="322">
                  <c:v>2455890.0495000002</c:v>
                </c:pt>
                <c:pt idx="323">
                  <c:v>2455905.2599999998</c:v>
                </c:pt>
                <c:pt idx="324">
                  <c:v>2455922.5208000001</c:v>
                </c:pt>
                <c:pt idx="325">
                  <c:v>2455985.66</c:v>
                </c:pt>
                <c:pt idx="326">
                  <c:v>2456009.625</c:v>
                </c:pt>
                <c:pt idx="327">
                  <c:v>2456048.5299999998</c:v>
                </c:pt>
                <c:pt idx="328">
                  <c:v>2456071.7113299998</c:v>
                </c:pt>
                <c:pt idx="329">
                  <c:v>2456097.0311799999</c:v>
                </c:pt>
                <c:pt idx="330">
                  <c:v>2456113.6115000001</c:v>
                </c:pt>
                <c:pt idx="331">
                  <c:v>2456129.51406</c:v>
                </c:pt>
                <c:pt idx="332">
                  <c:v>2456144.4707499999</c:v>
                </c:pt>
                <c:pt idx="333">
                  <c:v>2456159.3223600001</c:v>
                </c:pt>
                <c:pt idx="334">
                  <c:v>2456178.0795</c:v>
                </c:pt>
                <c:pt idx="335">
                  <c:v>2456189.1077299998</c:v>
                </c:pt>
                <c:pt idx="336">
                  <c:v>2456205.0674299998</c:v>
                </c:pt>
                <c:pt idx="337">
                  <c:v>2456218.5439499998</c:v>
                </c:pt>
                <c:pt idx="338">
                  <c:v>2456241.1986699998</c:v>
                </c:pt>
                <c:pt idx="339">
                  <c:v>2456255.3333000001</c:v>
                </c:pt>
                <c:pt idx="340">
                  <c:v>2456270.1749999998</c:v>
                </c:pt>
                <c:pt idx="341">
                  <c:v>2456281.5</c:v>
                </c:pt>
                <c:pt idx="342">
                  <c:v>2456355.64</c:v>
                </c:pt>
                <c:pt idx="343">
                  <c:v>2456404.4870699998</c:v>
                </c:pt>
                <c:pt idx="344">
                  <c:v>2456417.6996499998</c:v>
                </c:pt>
                <c:pt idx="345">
                  <c:v>2456444.3524699998</c:v>
                </c:pt>
                <c:pt idx="346">
                  <c:v>2456463.3135500001</c:v>
                </c:pt>
                <c:pt idx="347">
                  <c:v>2456479.59522</c:v>
                </c:pt>
                <c:pt idx="348">
                  <c:v>2456492.0924300002</c:v>
                </c:pt>
                <c:pt idx="349">
                  <c:v>2456509.8280199999</c:v>
                </c:pt>
                <c:pt idx="350">
                  <c:v>2456523.2809600001</c:v>
                </c:pt>
                <c:pt idx="351">
                  <c:v>2456539.4704800001</c:v>
                </c:pt>
                <c:pt idx="352">
                  <c:v>2456558.3252699999</c:v>
                </c:pt>
                <c:pt idx="353">
                  <c:v>2456571.2219500002</c:v>
                </c:pt>
                <c:pt idx="354">
                  <c:v>2456588.5325199999</c:v>
                </c:pt>
                <c:pt idx="355">
                  <c:v>2456600.4842699999</c:v>
                </c:pt>
                <c:pt idx="356">
                  <c:v>2456625.5574699999</c:v>
                </c:pt>
                <c:pt idx="357">
                  <c:v>2456704.7220000001</c:v>
                </c:pt>
                <c:pt idx="358">
                  <c:v>2456725.9560199999</c:v>
                </c:pt>
                <c:pt idx="359">
                  <c:v>2456740.6779999998</c:v>
                </c:pt>
                <c:pt idx="360">
                  <c:v>2456756.6318999999</c:v>
                </c:pt>
                <c:pt idx="361">
                  <c:v>2456787.18928</c:v>
                </c:pt>
                <c:pt idx="362">
                  <c:v>2456810.61148</c:v>
                </c:pt>
                <c:pt idx="363">
                  <c:v>2456826.59143</c:v>
                </c:pt>
                <c:pt idx="364">
                  <c:v>2456841.68181</c:v>
                </c:pt>
                <c:pt idx="365">
                  <c:v>2456860.0407199999</c:v>
                </c:pt>
                <c:pt idx="366">
                  <c:v>2456871.6740600001</c:v>
                </c:pt>
                <c:pt idx="367">
                  <c:v>2456891.8224200001</c:v>
                </c:pt>
                <c:pt idx="368">
                  <c:v>2456904.5761000002</c:v>
                </c:pt>
                <c:pt idx="369">
                  <c:v>2456920.8242000001</c:v>
                </c:pt>
                <c:pt idx="370">
                  <c:v>2456936.7181099998</c:v>
                </c:pt>
                <c:pt idx="371">
                  <c:v>2456952.1694399999</c:v>
                </c:pt>
                <c:pt idx="372">
                  <c:v>2456968.9819499999</c:v>
                </c:pt>
                <c:pt idx="373">
                  <c:v>2456982.3829999999</c:v>
                </c:pt>
                <c:pt idx="374">
                  <c:v>2457115.17325</c:v>
                </c:pt>
                <c:pt idx="375">
                  <c:v>2457135.4397</c:v>
                </c:pt>
                <c:pt idx="376">
                  <c:v>2457163.9373699999</c:v>
                </c:pt>
                <c:pt idx="377">
                  <c:v>2457178.5644299998</c:v>
                </c:pt>
                <c:pt idx="378">
                  <c:v>2457193.8480799999</c:v>
                </c:pt>
                <c:pt idx="379">
                  <c:v>2457215.7200500001</c:v>
                </c:pt>
                <c:pt idx="380">
                  <c:v>2457228.0300199999</c:v>
                </c:pt>
                <c:pt idx="381">
                  <c:v>2457247.4174000002</c:v>
                </c:pt>
                <c:pt idx="382">
                  <c:v>2457266.9265100001</c:v>
                </c:pt>
                <c:pt idx="383">
                  <c:v>2457281.4854100002</c:v>
                </c:pt>
                <c:pt idx="384">
                  <c:v>2457299.70677</c:v>
                </c:pt>
                <c:pt idx="385">
                  <c:v>2457314.97101</c:v>
                </c:pt>
                <c:pt idx="386">
                  <c:v>2457331.4111000001</c:v>
                </c:pt>
                <c:pt idx="387">
                  <c:v>2457346.6752399998</c:v>
                </c:pt>
                <c:pt idx="388">
                  <c:v>2457362.0285899998</c:v>
                </c:pt>
                <c:pt idx="389">
                  <c:v>2457376.3604199998</c:v>
                </c:pt>
                <c:pt idx="390">
                  <c:v>2457528.2039999999</c:v>
                </c:pt>
                <c:pt idx="391">
                  <c:v>2457541.7708399999</c:v>
                </c:pt>
                <c:pt idx="392">
                  <c:v>2457573.27526</c:v>
                </c:pt>
                <c:pt idx="393">
                  <c:v>2457589.8051700001</c:v>
                </c:pt>
                <c:pt idx="394">
                  <c:v>2457606.1367899999</c:v>
                </c:pt>
                <c:pt idx="395">
                  <c:v>2457622.6133699999</c:v>
                </c:pt>
                <c:pt idx="396">
                  <c:v>2457637.0800299998</c:v>
                </c:pt>
                <c:pt idx="397">
                  <c:v>2457657.2190800002</c:v>
                </c:pt>
                <c:pt idx="398">
                  <c:v>2457668.4613100002</c:v>
                </c:pt>
                <c:pt idx="399">
                  <c:v>2457686.8614400001</c:v>
                </c:pt>
                <c:pt idx="400">
                  <c:v>2457723.7494999999</c:v>
                </c:pt>
                <c:pt idx="401">
                  <c:v>2457750.2510000002</c:v>
                </c:pt>
                <c:pt idx="402">
                  <c:v>2457814.95903</c:v>
                </c:pt>
                <c:pt idx="403">
                  <c:v>2457926.5554999998</c:v>
                </c:pt>
                <c:pt idx="404">
                  <c:v>2457945.5355000002</c:v>
                </c:pt>
                <c:pt idx="405">
                  <c:v>2457964.5261200001</c:v>
                </c:pt>
                <c:pt idx="406">
                  <c:v>2457982.2372499998</c:v>
                </c:pt>
                <c:pt idx="407">
                  <c:v>2457997.41</c:v>
                </c:pt>
                <c:pt idx="408">
                  <c:v>2458016.1085299999</c:v>
                </c:pt>
                <c:pt idx="409">
                  <c:v>2458033.8635</c:v>
                </c:pt>
                <c:pt idx="410">
                  <c:v>2458057.9700000002</c:v>
                </c:pt>
                <c:pt idx="411">
                  <c:v>2458072.2940000002</c:v>
                </c:pt>
                <c:pt idx="412">
                  <c:v>2458242.0698600002</c:v>
                </c:pt>
                <c:pt idx="413">
                  <c:v>2458255.554</c:v>
                </c:pt>
                <c:pt idx="414">
                  <c:v>2458290.0611</c:v>
                </c:pt>
                <c:pt idx="415">
                  <c:v>2458305.0823300001</c:v>
                </c:pt>
                <c:pt idx="416">
                  <c:v>2458318.6047899998</c:v>
                </c:pt>
                <c:pt idx="417">
                  <c:v>2458338.1538900002</c:v>
                </c:pt>
                <c:pt idx="418">
                  <c:v>2458354.1647999999</c:v>
                </c:pt>
                <c:pt idx="419">
                  <c:v>2458371.4815500001</c:v>
                </c:pt>
                <c:pt idx="420">
                  <c:v>2458385.9545999998</c:v>
                </c:pt>
                <c:pt idx="421">
                  <c:v>2458404.3595799999</c:v>
                </c:pt>
                <c:pt idx="422">
                  <c:v>2458420.1368300002</c:v>
                </c:pt>
                <c:pt idx="423">
                  <c:v>2458437.7725</c:v>
                </c:pt>
                <c:pt idx="424">
                  <c:v>2458671.9604500001</c:v>
                </c:pt>
                <c:pt idx="425">
                  <c:v>2458691.7302600001</c:v>
                </c:pt>
                <c:pt idx="426">
                  <c:v>2458712.0268399999</c:v>
                </c:pt>
                <c:pt idx="427">
                  <c:v>2458726.74444</c:v>
                </c:pt>
                <c:pt idx="428">
                  <c:v>2458742.9259000001</c:v>
                </c:pt>
                <c:pt idx="429">
                  <c:v>2458758.0392999998</c:v>
                </c:pt>
                <c:pt idx="430">
                  <c:v>2458778.4595400002</c:v>
                </c:pt>
                <c:pt idx="431">
                  <c:v>2458791.9413299998</c:v>
                </c:pt>
                <c:pt idx="432">
                  <c:v>2458945.4015500001</c:v>
                </c:pt>
                <c:pt idx="433">
                  <c:v>2458968.9800800001</c:v>
                </c:pt>
                <c:pt idx="434">
                  <c:v>2458985.7066799998</c:v>
                </c:pt>
                <c:pt idx="435">
                  <c:v>2458996.46502</c:v>
                </c:pt>
                <c:pt idx="436">
                  <c:v>2459020.6236299998</c:v>
                </c:pt>
                <c:pt idx="437">
                  <c:v>2459036.7919700001</c:v>
                </c:pt>
                <c:pt idx="438">
                  <c:v>2459050.2745599998</c:v>
                </c:pt>
                <c:pt idx="439">
                  <c:v>2459064.6936400002</c:v>
                </c:pt>
                <c:pt idx="440">
                  <c:v>2459082.9770300002</c:v>
                </c:pt>
                <c:pt idx="441">
                  <c:v>2459100.5414900002</c:v>
                </c:pt>
                <c:pt idx="442">
                  <c:v>2459111.94105</c:v>
                </c:pt>
                <c:pt idx="443">
                  <c:v>2459132.2392099998</c:v>
                </c:pt>
                <c:pt idx="444">
                  <c:v>2459148.4482200001</c:v>
                </c:pt>
                <c:pt idx="445">
                  <c:v>2459161.2995600002</c:v>
                </c:pt>
                <c:pt idx="446">
                  <c:v>2459176.77244</c:v>
                </c:pt>
                <c:pt idx="447">
                  <c:v>2459273.7089999998</c:v>
                </c:pt>
                <c:pt idx="448">
                  <c:v>2459365.108</c:v>
                </c:pt>
              </c:numCache>
            </c:numRef>
          </c:xVal>
          <c:yVal>
            <c:numRef>
              <c:f>Vis!$C$1:$C$9587</c:f>
              <c:numCache>
                <c:formatCode>General</c:formatCode>
                <c:ptCount val="9587"/>
                <c:pt idx="0">
                  <c:v>12.775</c:v>
                </c:pt>
                <c:pt idx="1">
                  <c:v>13.514286</c:v>
                </c:pt>
                <c:pt idx="2">
                  <c:v>13.237500000000001</c:v>
                </c:pt>
                <c:pt idx="3">
                  <c:v>12.981249999999999</c:v>
                </c:pt>
                <c:pt idx="4">
                  <c:v>13.09375</c:v>
                </c:pt>
                <c:pt idx="5">
                  <c:v>12.887499999999999</c:v>
                </c:pt>
                <c:pt idx="6">
                  <c:v>13.036364000000001</c:v>
                </c:pt>
                <c:pt idx="7">
                  <c:v>12.935714000000001</c:v>
                </c:pt>
                <c:pt idx="8">
                  <c:v>12.9</c:v>
                </c:pt>
                <c:pt idx="9">
                  <c:v>13.366667</c:v>
                </c:pt>
                <c:pt idx="10">
                  <c:v>13</c:v>
                </c:pt>
                <c:pt idx="11">
                  <c:v>13.35</c:v>
                </c:pt>
                <c:pt idx="12">
                  <c:v>13.34</c:v>
                </c:pt>
                <c:pt idx="13">
                  <c:v>13.15</c:v>
                </c:pt>
                <c:pt idx="14">
                  <c:v>13.137499999999999</c:v>
                </c:pt>
                <c:pt idx="15">
                  <c:v>12.987500000000001</c:v>
                </c:pt>
                <c:pt idx="16">
                  <c:v>13</c:v>
                </c:pt>
                <c:pt idx="17">
                  <c:v>13.166667</c:v>
                </c:pt>
                <c:pt idx="18">
                  <c:v>13.125</c:v>
                </c:pt>
                <c:pt idx="19">
                  <c:v>13.366667</c:v>
                </c:pt>
                <c:pt idx="20">
                  <c:v>13.5</c:v>
                </c:pt>
                <c:pt idx="21">
                  <c:v>13.32</c:v>
                </c:pt>
                <c:pt idx="22">
                  <c:v>13.341666999999999</c:v>
                </c:pt>
                <c:pt idx="23">
                  <c:v>13.2</c:v>
                </c:pt>
                <c:pt idx="24">
                  <c:v>13.088889</c:v>
                </c:pt>
                <c:pt idx="25">
                  <c:v>13.05</c:v>
                </c:pt>
                <c:pt idx="26">
                  <c:v>13.225</c:v>
                </c:pt>
                <c:pt idx="27">
                  <c:v>13.35</c:v>
                </c:pt>
                <c:pt idx="28">
                  <c:v>13.35</c:v>
                </c:pt>
                <c:pt idx="29">
                  <c:v>13.36</c:v>
                </c:pt>
                <c:pt idx="30">
                  <c:v>13.3</c:v>
                </c:pt>
                <c:pt idx="31">
                  <c:v>13.3</c:v>
                </c:pt>
                <c:pt idx="32">
                  <c:v>13.45</c:v>
                </c:pt>
                <c:pt idx="33">
                  <c:v>13.52</c:v>
                </c:pt>
                <c:pt idx="34">
                  <c:v>13.52</c:v>
                </c:pt>
                <c:pt idx="35">
                  <c:v>12.022221999999999</c:v>
                </c:pt>
                <c:pt idx="36">
                  <c:v>12.9</c:v>
                </c:pt>
                <c:pt idx="37">
                  <c:v>11.8</c:v>
                </c:pt>
                <c:pt idx="38">
                  <c:v>12.95</c:v>
                </c:pt>
                <c:pt idx="39">
                  <c:v>13.4</c:v>
                </c:pt>
                <c:pt idx="40">
                  <c:v>13.475</c:v>
                </c:pt>
                <c:pt idx="41">
                  <c:v>13.5</c:v>
                </c:pt>
                <c:pt idx="42">
                  <c:v>13.433332999999999</c:v>
                </c:pt>
                <c:pt idx="43">
                  <c:v>13.533333000000001</c:v>
                </c:pt>
                <c:pt idx="44">
                  <c:v>13.45</c:v>
                </c:pt>
                <c:pt idx="45">
                  <c:v>13.4</c:v>
                </c:pt>
                <c:pt idx="46">
                  <c:v>13.4</c:v>
                </c:pt>
                <c:pt idx="47">
                  <c:v>13.422222</c:v>
                </c:pt>
                <c:pt idx="48">
                  <c:v>13.7</c:v>
                </c:pt>
                <c:pt idx="49">
                  <c:v>14.26</c:v>
                </c:pt>
                <c:pt idx="50">
                  <c:v>14.3</c:v>
                </c:pt>
                <c:pt idx="51">
                  <c:v>12.26</c:v>
                </c:pt>
                <c:pt idx="52">
                  <c:v>11.875</c:v>
                </c:pt>
                <c:pt idx="53">
                  <c:v>12.366667</c:v>
                </c:pt>
                <c:pt idx="54">
                  <c:v>12.55</c:v>
                </c:pt>
                <c:pt idx="55">
                  <c:v>12.4</c:v>
                </c:pt>
                <c:pt idx="56">
                  <c:v>12.775</c:v>
                </c:pt>
                <c:pt idx="57">
                  <c:v>12.75</c:v>
                </c:pt>
                <c:pt idx="58">
                  <c:v>13.145455</c:v>
                </c:pt>
                <c:pt idx="59">
                  <c:v>13</c:v>
                </c:pt>
                <c:pt idx="60">
                  <c:v>13.02</c:v>
                </c:pt>
                <c:pt idx="61">
                  <c:v>13.154545000000001</c:v>
                </c:pt>
                <c:pt idx="62">
                  <c:v>13.107692</c:v>
                </c:pt>
                <c:pt idx="63">
                  <c:v>13.183332999999999</c:v>
                </c:pt>
                <c:pt idx="64">
                  <c:v>13.074999999999999</c:v>
                </c:pt>
                <c:pt idx="65">
                  <c:v>13.014286</c:v>
                </c:pt>
                <c:pt idx="66">
                  <c:v>13.116667</c:v>
                </c:pt>
                <c:pt idx="67">
                  <c:v>14.612500000000001</c:v>
                </c:pt>
                <c:pt idx="68">
                  <c:v>13.96</c:v>
                </c:pt>
                <c:pt idx="69">
                  <c:v>13.2</c:v>
                </c:pt>
                <c:pt idx="70">
                  <c:v>12.25</c:v>
                </c:pt>
                <c:pt idx="71">
                  <c:v>11.766667</c:v>
                </c:pt>
                <c:pt idx="72">
                  <c:v>11.5</c:v>
                </c:pt>
                <c:pt idx="73">
                  <c:v>11.24</c:v>
                </c:pt>
                <c:pt idx="74">
                  <c:v>11.192308000000001</c:v>
                </c:pt>
                <c:pt idx="75">
                  <c:v>11.28</c:v>
                </c:pt>
                <c:pt idx="76">
                  <c:v>11.35</c:v>
                </c:pt>
                <c:pt idx="77">
                  <c:v>11.366667</c:v>
                </c:pt>
                <c:pt idx="78">
                  <c:v>11.3</c:v>
                </c:pt>
                <c:pt idx="79">
                  <c:v>11.329412</c:v>
                </c:pt>
                <c:pt idx="80">
                  <c:v>11.469231000000001</c:v>
                </c:pt>
                <c:pt idx="81">
                  <c:v>11.714286</c:v>
                </c:pt>
                <c:pt idx="82">
                  <c:v>11.7</c:v>
                </c:pt>
                <c:pt idx="83">
                  <c:v>11.857143000000001</c:v>
                </c:pt>
                <c:pt idx="84">
                  <c:v>11.8125</c:v>
                </c:pt>
                <c:pt idx="85">
                  <c:v>11.966666999999999</c:v>
                </c:pt>
                <c:pt idx="86">
                  <c:v>11.85</c:v>
                </c:pt>
                <c:pt idx="87">
                  <c:v>11.9</c:v>
                </c:pt>
                <c:pt idx="88">
                  <c:v>12.9</c:v>
                </c:pt>
                <c:pt idx="89">
                  <c:v>11.7</c:v>
                </c:pt>
                <c:pt idx="90">
                  <c:v>11.5</c:v>
                </c:pt>
                <c:pt idx="91">
                  <c:v>11.1</c:v>
                </c:pt>
                <c:pt idx="92">
                  <c:v>11.441667000000001</c:v>
                </c:pt>
                <c:pt idx="93">
                  <c:v>11.4625</c:v>
                </c:pt>
                <c:pt idx="94">
                  <c:v>11.463635999999999</c:v>
                </c:pt>
                <c:pt idx="95">
                  <c:v>11.191667000000001</c:v>
                </c:pt>
                <c:pt idx="96">
                  <c:v>11.435714000000001</c:v>
                </c:pt>
                <c:pt idx="97">
                  <c:v>11.428571</c:v>
                </c:pt>
                <c:pt idx="98">
                  <c:v>11.577778</c:v>
                </c:pt>
                <c:pt idx="99">
                  <c:v>11.786667</c:v>
                </c:pt>
                <c:pt idx="100">
                  <c:v>11.883333</c:v>
                </c:pt>
                <c:pt idx="101">
                  <c:v>11.92</c:v>
                </c:pt>
                <c:pt idx="102">
                  <c:v>12.116667</c:v>
                </c:pt>
                <c:pt idx="103">
                  <c:v>12</c:v>
                </c:pt>
                <c:pt idx="104">
                  <c:v>12.15</c:v>
                </c:pt>
                <c:pt idx="105">
                  <c:v>12.1</c:v>
                </c:pt>
                <c:pt idx="106">
                  <c:v>12.225</c:v>
                </c:pt>
                <c:pt idx="107">
                  <c:v>14.033333000000001</c:v>
                </c:pt>
                <c:pt idx="108">
                  <c:v>13.92</c:v>
                </c:pt>
                <c:pt idx="109">
                  <c:v>12.32</c:v>
                </c:pt>
                <c:pt idx="110">
                  <c:v>12.283333000000001</c:v>
                </c:pt>
                <c:pt idx="111">
                  <c:v>12.362500000000001</c:v>
                </c:pt>
                <c:pt idx="112">
                  <c:v>12.3</c:v>
                </c:pt>
                <c:pt idx="113">
                  <c:v>12.29</c:v>
                </c:pt>
                <c:pt idx="114">
                  <c:v>12.355556</c:v>
                </c:pt>
                <c:pt idx="115">
                  <c:v>12.36</c:v>
                </c:pt>
                <c:pt idx="116">
                  <c:v>12.428571</c:v>
                </c:pt>
                <c:pt idx="117">
                  <c:v>12.266667</c:v>
                </c:pt>
                <c:pt idx="118">
                  <c:v>12.32</c:v>
                </c:pt>
                <c:pt idx="119">
                  <c:v>12.33</c:v>
                </c:pt>
                <c:pt idx="120">
                  <c:v>12.36</c:v>
                </c:pt>
                <c:pt idx="121">
                  <c:v>12.38</c:v>
                </c:pt>
                <c:pt idx="122">
                  <c:v>12.5</c:v>
                </c:pt>
                <c:pt idx="123">
                  <c:v>12.3</c:v>
                </c:pt>
                <c:pt idx="124">
                  <c:v>12.2</c:v>
                </c:pt>
                <c:pt idx="125">
                  <c:v>12.45</c:v>
                </c:pt>
                <c:pt idx="126">
                  <c:v>12.375</c:v>
                </c:pt>
                <c:pt idx="127">
                  <c:v>12.433332999999999</c:v>
                </c:pt>
                <c:pt idx="128">
                  <c:v>12.671429</c:v>
                </c:pt>
                <c:pt idx="129">
                  <c:v>14.2</c:v>
                </c:pt>
                <c:pt idx="130">
                  <c:v>14.512499999999999</c:v>
                </c:pt>
                <c:pt idx="131">
                  <c:v>13.515385</c:v>
                </c:pt>
                <c:pt idx="132">
                  <c:v>12.688235000000001</c:v>
                </c:pt>
                <c:pt idx="133">
                  <c:v>12.75</c:v>
                </c:pt>
                <c:pt idx="134">
                  <c:v>12.7</c:v>
                </c:pt>
                <c:pt idx="135">
                  <c:v>12.58</c:v>
                </c:pt>
                <c:pt idx="136">
                  <c:v>12.6</c:v>
                </c:pt>
                <c:pt idx="137">
                  <c:v>12.666667</c:v>
                </c:pt>
                <c:pt idx="138">
                  <c:v>12.7</c:v>
                </c:pt>
                <c:pt idx="139">
                  <c:v>12.8</c:v>
                </c:pt>
                <c:pt idx="140">
                  <c:v>12.6</c:v>
                </c:pt>
                <c:pt idx="141">
                  <c:v>12.85</c:v>
                </c:pt>
                <c:pt idx="142">
                  <c:v>12.9</c:v>
                </c:pt>
                <c:pt idx="143">
                  <c:v>12.8</c:v>
                </c:pt>
                <c:pt idx="144">
                  <c:v>12.833333</c:v>
                </c:pt>
                <c:pt idx="145">
                  <c:v>12.984615</c:v>
                </c:pt>
                <c:pt idx="146">
                  <c:v>13.055555999999999</c:v>
                </c:pt>
                <c:pt idx="147">
                  <c:v>13.963635999999999</c:v>
                </c:pt>
                <c:pt idx="148">
                  <c:v>14.824999999999999</c:v>
                </c:pt>
                <c:pt idx="149">
                  <c:v>14.944444000000001</c:v>
                </c:pt>
                <c:pt idx="150">
                  <c:v>13.21</c:v>
                </c:pt>
                <c:pt idx="151">
                  <c:v>13</c:v>
                </c:pt>
                <c:pt idx="152">
                  <c:v>13</c:v>
                </c:pt>
                <c:pt idx="153">
                  <c:v>13.08</c:v>
                </c:pt>
                <c:pt idx="154">
                  <c:v>12.988889</c:v>
                </c:pt>
                <c:pt idx="155">
                  <c:v>12.9</c:v>
                </c:pt>
                <c:pt idx="156">
                  <c:v>12.92</c:v>
                </c:pt>
                <c:pt idx="157">
                  <c:v>12.9</c:v>
                </c:pt>
                <c:pt idx="158">
                  <c:v>13.0375</c:v>
                </c:pt>
                <c:pt idx="159">
                  <c:v>13.025</c:v>
                </c:pt>
                <c:pt idx="160">
                  <c:v>13.08</c:v>
                </c:pt>
                <c:pt idx="161">
                  <c:v>13.1</c:v>
                </c:pt>
                <c:pt idx="162">
                  <c:v>13.083333</c:v>
                </c:pt>
                <c:pt idx="163">
                  <c:v>13.1</c:v>
                </c:pt>
                <c:pt idx="164">
                  <c:v>13.142856999999999</c:v>
                </c:pt>
                <c:pt idx="165">
                  <c:v>13.107692</c:v>
                </c:pt>
                <c:pt idx="166">
                  <c:v>13.06</c:v>
                </c:pt>
                <c:pt idx="167">
                  <c:v>13.910526000000001</c:v>
                </c:pt>
                <c:pt idx="168">
                  <c:v>15.02</c:v>
                </c:pt>
                <c:pt idx="169">
                  <c:v>15.18</c:v>
                </c:pt>
                <c:pt idx="170">
                  <c:v>12.6</c:v>
                </c:pt>
                <c:pt idx="171">
                  <c:v>12.7</c:v>
                </c:pt>
                <c:pt idx="172">
                  <c:v>12.966666999999999</c:v>
                </c:pt>
                <c:pt idx="173">
                  <c:v>12.936363999999999</c:v>
                </c:pt>
                <c:pt idx="174">
                  <c:v>12.755556</c:v>
                </c:pt>
                <c:pt idx="175">
                  <c:v>12.911765000000001</c:v>
                </c:pt>
                <c:pt idx="176">
                  <c:v>12.975</c:v>
                </c:pt>
                <c:pt idx="177">
                  <c:v>12.95</c:v>
                </c:pt>
                <c:pt idx="178">
                  <c:v>12.904166999999999</c:v>
                </c:pt>
                <c:pt idx="179">
                  <c:v>12.942857</c:v>
                </c:pt>
                <c:pt idx="180">
                  <c:v>12.953571</c:v>
                </c:pt>
                <c:pt idx="181">
                  <c:v>12.824999999999999</c:v>
                </c:pt>
                <c:pt idx="182">
                  <c:v>13</c:v>
                </c:pt>
                <c:pt idx="183">
                  <c:v>13.013332999999999</c:v>
                </c:pt>
                <c:pt idx="184">
                  <c:v>13.12</c:v>
                </c:pt>
                <c:pt idx="185">
                  <c:v>13.036364000000001</c:v>
                </c:pt>
                <c:pt idx="186">
                  <c:v>13.1</c:v>
                </c:pt>
                <c:pt idx="187">
                  <c:v>13.172727</c:v>
                </c:pt>
                <c:pt idx="188">
                  <c:v>13.275</c:v>
                </c:pt>
                <c:pt idx="189">
                  <c:v>12.9</c:v>
                </c:pt>
                <c:pt idx="190">
                  <c:v>13</c:v>
                </c:pt>
                <c:pt idx="191">
                  <c:v>13</c:v>
                </c:pt>
                <c:pt idx="192">
                  <c:v>13.1</c:v>
                </c:pt>
                <c:pt idx="193">
                  <c:v>13.231249999999999</c:v>
                </c:pt>
                <c:pt idx="194">
                  <c:v>13.15</c:v>
                </c:pt>
                <c:pt idx="195">
                  <c:v>13.16</c:v>
                </c:pt>
                <c:pt idx="196">
                  <c:v>13.146153999999999</c:v>
                </c:pt>
                <c:pt idx="197">
                  <c:v>13.175000000000001</c:v>
                </c:pt>
                <c:pt idx="198">
                  <c:v>13.208696</c:v>
                </c:pt>
                <c:pt idx="199">
                  <c:v>13.233333</c:v>
                </c:pt>
                <c:pt idx="200">
                  <c:v>13.181818</c:v>
                </c:pt>
                <c:pt idx="201">
                  <c:v>13.285714</c:v>
                </c:pt>
                <c:pt idx="202">
                  <c:v>13.225</c:v>
                </c:pt>
                <c:pt idx="203">
                  <c:v>13.775</c:v>
                </c:pt>
                <c:pt idx="204">
                  <c:v>13.233333</c:v>
                </c:pt>
                <c:pt idx="205">
                  <c:v>13.36</c:v>
                </c:pt>
                <c:pt idx="206">
                  <c:v>13.416667</c:v>
                </c:pt>
                <c:pt idx="207">
                  <c:v>13.691667000000001</c:v>
                </c:pt>
                <c:pt idx="208">
                  <c:v>13.595454999999999</c:v>
                </c:pt>
                <c:pt idx="209">
                  <c:v>13.557143</c:v>
                </c:pt>
                <c:pt idx="210">
                  <c:v>13.531034</c:v>
                </c:pt>
                <c:pt idx="211">
                  <c:v>13.504761999999999</c:v>
                </c:pt>
                <c:pt idx="212">
                  <c:v>13.372222000000001</c:v>
                </c:pt>
                <c:pt idx="213">
                  <c:v>13.363158</c:v>
                </c:pt>
                <c:pt idx="214">
                  <c:v>13.44</c:v>
                </c:pt>
                <c:pt idx="215">
                  <c:v>13.385714</c:v>
                </c:pt>
                <c:pt idx="216">
                  <c:v>13.4</c:v>
                </c:pt>
                <c:pt idx="217">
                  <c:v>13.6</c:v>
                </c:pt>
                <c:pt idx="218">
                  <c:v>15.074999999999999</c:v>
                </c:pt>
                <c:pt idx="219">
                  <c:v>15.642856999999999</c:v>
                </c:pt>
                <c:pt idx="220">
                  <c:v>14.33</c:v>
                </c:pt>
                <c:pt idx="221">
                  <c:v>13.568421000000001</c:v>
                </c:pt>
                <c:pt idx="222">
                  <c:v>13.422222</c:v>
                </c:pt>
                <c:pt idx="223">
                  <c:v>13.471429000000001</c:v>
                </c:pt>
                <c:pt idx="224">
                  <c:v>13.357143000000001</c:v>
                </c:pt>
                <c:pt idx="225">
                  <c:v>13.589473999999999</c:v>
                </c:pt>
                <c:pt idx="226">
                  <c:v>13.557895</c:v>
                </c:pt>
                <c:pt idx="227">
                  <c:v>13.43</c:v>
                </c:pt>
                <c:pt idx="228">
                  <c:v>13.593332999999999</c:v>
                </c:pt>
                <c:pt idx="229">
                  <c:v>13.425000000000001</c:v>
                </c:pt>
                <c:pt idx="230">
                  <c:v>13.7</c:v>
                </c:pt>
                <c:pt idx="231">
                  <c:v>13.7</c:v>
                </c:pt>
                <c:pt idx="232">
                  <c:v>13.75</c:v>
                </c:pt>
                <c:pt idx="233">
                  <c:v>13.830769</c:v>
                </c:pt>
                <c:pt idx="234">
                  <c:v>13.783333000000001</c:v>
                </c:pt>
                <c:pt idx="235">
                  <c:v>13.883333</c:v>
                </c:pt>
                <c:pt idx="236">
                  <c:v>15.355556</c:v>
                </c:pt>
                <c:pt idx="237">
                  <c:v>15.163636</c:v>
                </c:pt>
                <c:pt idx="238">
                  <c:v>14.135714</c:v>
                </c:pt>
                <c:pt idx="239">
                  <c:v>13.995455</c:v>
                </c:pt>
                <c:pt idx="240">
                  <c:v>13.9</c:v>
                </c:pt>
                <c:pt idx="241">
                  <c:v>13.833333</c:v>
                </c:pt>
                <c:pt idx="242">
                  <c:v>13.74</c:v>
                </c:pt>
                <c:pt idx="243">
                  <c:v>13.85</c:v>
                </c:pt>
                <c:pt idx="244">
                  <c:v>13.8</c:v>
                </c:pt>
                <c:pt idx="245">
                  <c:v>13.536364000000001</c:v>
                </c:pt>
                <c:pt idx="246">
                  <c:v>13.509091</c:v>
                </c:pt>
                <c:pt idx="247">
                  <c:v>13.431578999999999</c:v>
                </c:pt>
                <c:pt idx="248">
                  <c:v>13.428571</c:v>
                </c:pt>
                <c:pt idx="249">
                  <c:v>13.408333000000001</c:v>
                </c:pt>
                <c:pt idx="250">
                  <c:v>13.418182</c:v>
                </c:pt>
                <c:pt idx="251">
                  <c:v>13.445455000000001</c:v>
                </c:pt>
                <c:pt idx="252">
                  <c:v>14.2</c:v>
                </c:pt>
                <c:pt idx="253">
                  <c:v>15.266667</c:v>
                </c:pt>
                <c:pt idx="254">
                  <c:v>14.78</c:v>
                </c:pt>
                <c:pt idx="255">
                  <c:v>13.98</c:v>
                </c:pt>
                <c:pt idx="256">
                  <c:v>13.4</c:v>
                </c:pt>
                <c:pt idx="257">
                  <c:v>13.55</c:v>
                </c:pt>
                <c:pt idx="258">
                  <c:v>13.371428999999999</c:v>
                </c:pt>
                <c:pt idx="259">
                  <c:v>13.4</c:v>
                </c:pt>
                <c:pt idx="260">
                  <c:v>13.4</c:v>
                </c:pt>
                <c:pt idx="261">
                  <c:v>13.4</c:v>
                </c:pt>
                <c:pt idx="262">
                  <c:v>13.375</c:v>
                </c:pt>
                <c:pt idx="263">
                  <c:v>13.377777999999999</c:v>
                </c:pt>
                <c:pt idx="264">
                  <c:v>13.262499999999999</c:v>
                </c:pt>
                <c:pt idx="265">
                  <c:v>13.371428999999999</c:v>
                </c:pt>
                <c:pt idx="266">
                  <c:v>13.330769</c:v>
                </c:pt>
                <c:pt idx="267">
                  <c:v>13.433332999999999</c:v>
                </c:pt>
                <c:pt idx="268">
                  <c:v>13.45</c:v>
                </c:pt>
                <c:pt idx="269">
                  <c:v>14.1</c:v>
                </c:pt>
                <c:pt idx="270">
                  <c:v>13.4</c:v>
                </c:pt>
                <c:pt idx="271">
                  <c:v>13.428571</c:v>
                </c:pt>
                <c:pt idx="272">
                  <c:v>13.378571000000001</c:v>
                </c:pt>
                <c:pt idx="273">
                  <c:v>13.492308</c:v>
                </c:pt>
                <c:pt idx="274">
                  <c:v>13.516667</c:v>
                </c:pt>
                <c:pt idx="275">
                  <c:v>13.737500000000001</c:v>
                </c:pt>
                <c:pt idx="276">
                  <c:v>13.655556000000001</c:v>
                </c:pt>
                <c:pt idx="277">
                  <c:v>13.614286</c:v>
                </c:pt>
                <c:pt idx="278">
                  <c:v>13.46</c:v>
                </c:pt>
                <c:pt idx="279">
                  <c:v>13.336364</c:v>
                </c:pt>
                <c:pt idx="280">
                  <c:v>13.025</c:v>
                </c:pt>
                <c:pt idx="281">
                  <c:v>12.875</c:v>
                </c:pt>
                <c:pt idx="282">
                  <c:v>12.5</c:v>
                </c:pt>
                <c:pt idx="283">
                  <c:v>12.78</c:v>
                </c:pt>
                <c:pt idx="284">
                  <c:v>12.76</c:v>
                </c:pt>
                <c:pt idx="285">
                  <c:v>12.742857000000001</c:v>
                </c:pt>
                <c:pt idx="286">
                  <c:v>12.671429</c:v>
                </c:pt>
                <c:pt idx="287">
                  <c:v>12.742857000000001</c:v>
                </c:pt>
                <c:pt idx="288">
                  <c:v>12.754545</c:v>
                </c:pt>
                <c:pt idx="289">
                  <c:v>12.616667</c:v>
                </c:pt>
                <c:pt idx="290">
                  <c:v>12.74</c:v>
                </c:pt>
                <c:pt idx="291">
                  <c:v>12.775</c:v>
                </c:pt>
                <c:pt idx="292">
                  <c:v>12.8</c:v>
                </c:pt>
                <c:pt idx="293">
                  <c:v>12.76</c:v>
                </c:pt>
                <c:pt idx="294">
                  <c:v>12.816667000000001</c:v>
                </c:pt>
                <c:pt idx="295">
                  <c:v>12.77</c:v>
                </c:pt>
                <c:pt idx="296">
                  <c:v>12.65</c:v>
                </c:pt>
                <c:pt idx="297">
                  <c:v>12.7</c:v>
                </c:pt>
                <c:pt idx="298">
                  <c:v>11.45</c:v>
                </c:pt>
                <c:pt idx="299">
                  <c:v>12.925000000000001</c:v>
                </c:pt>
                <c:pt idx="300">
                  <c:v>12.028570999999999</c:v>
                </c:pt>
                <c:pt idx="301">
                  <c:v>11.572727</c:v>
                </c:pt>
                <c:pt idx="302">
                  <c:v>11.585713999999999</c:v>
                </c:pt>
                <c:pt idx="303">
                  <c:v>11.466666999999999</c:v>
                </c:pt>
                <c:pt idx="304">
                  <c:v>11.525</c:v>
                </c:pt>
                <c:pt idx="305">
                  <c:v>11.387499999999999</c:v>
                </c:pt>
                <c:pt idx="306">
                  <c:v>11.390909000000001</c:v>
                </c:pt>
                <c:pt idx="307">
                  <c:v>11.45</c:v>
                </c:pt>
                <c:pt idx="308">
                  <c:v>11.407692000000001</c:v>
                </c:pt>
                <c:pt idx="309">
                  <c:v>11.4</c:v>
                </c:pt>
                <c:pt idx="310">
                  <c:v>11.4</c:v>
                </c:pt>
                <c:pt idx="311">
                  <c:v>12.122222000000001</c:v>
                </c:pt>
                <c:pt idx="312">
                  <c:v>12.533333000000001</c:v>
                </c:pt>
                <c:pt idx="313">
                  <c:v>12.88</c:v>
                </c:pt>
                <c:pt idx="314">
                  <c:v>13.75</c:v>
                </c:pt>
                <c:pt idx="315">
                  <c:v>14.112500000000001</c:v>
                </c:pt>
                <c:pt idx="316">
                  <c:v>12.784615000000001</c:v>
                </c:pt>
                <c:pt idx="317">
                  <c:v>12.314285999999999</c:v>
                </c:pt>
                <c:pt idx="318">
                  <c:v>12.221738999999999</c:v>
                </c:pt>
                <c:pt idx="319">
                  <c:v>12.171429</c:v>
                </c:pt>
                <c:pt idx="320">
                  <c:v>12.194444000000001</c:v>
                </c:pt>
                <c:pt idx="321">
                  <c:v>12.118181999999999</c:v>
                </c:pt>
                <c:pt idx="322">
                  <c:v>12.083333</c:v>
                </c:pt>
                <c:pt idx="323">
                  <c:v>12.1</c:v>
                </c:pt>
                <c:pt idx="324">
                  <c:v>12.1</c:v>
                </c:pt>
                <c:pt idx="325">
                  <c:v>12.3</c:v>
                </c:pt>
                <c:pt idx="326">
                  <c:v>12.05</c:v>
                </c:pt>
                <c:pt idx="327">
                  <c:v>12.1</c:v>
                </c:pt>
                <c:pt idx="328">
                  <c:v>12.35</c:v>
                </c:pt>
                <c:pt idx="329">
                  <c:v>12.5375</c:v>
                </c:pt>
                <c:pt idx="330">
                  <c:v>12.525</c:v>
                </c:pt>
                <c:pt idx="331">
                  <c:v>12.478947</c:v>
                </c:pt>
                <c:pt idx="332">
                  <c:v>12.343477999999999</c:v>
                </c:pt>
                <c:pt idx="333">
                  <c:v>12.586207</c:v>
                </c:pt>
                <c:pt idx="334">
                  <c:v>12.663157999999999</c:v>
                </c:pt>
                <c:pt idx="335">
                  <c:v>13.068421000000001</c:v>
                </c:pt>
                <c:pt idx="336">
                  <c:v>13.766667</c:v>
                </c:pt>
                <c:pt idx="337">
                  <c:v>13.683332999999999</c:v>
                </c:pt>
                <c:pt idx="338">
                  <c:v>12.4</c:v>
                </c:pt>
                <c:pt idx="339">
                  <c:v>12.47</c:v>
                </c:pt>
                <c:pt idx="340">
                  <c:v>12.4</c:v>
                </c:pt>
                <c:pt idx="341">
                  <c:v>12.4</c:v>
                </c:pt>
                <c:pt idx="342">
                  <c:v>12.2</c:v>
                </c:pt>
                <c:pt idx="343">
                  <c:v>12.22</c:v>
                </c:pt>
                <c:pt idx="344">
                  <c:v>12.327273</c:v>
                </c:pt>
                <c:pt idx="345">
                  <c:v>12.183332999999999</c:v>
                </c:pt>
                <c:pt idx="346">
                  <c:v>12.0875</c:v>
                </c:pt>
                <c:pt idx="347">
                  <c:v>12.382609</c:v>
                </c:pt>
                <c:pt idx="348">
                  <c:v>12.35</c:v>
                </c:pt>
                <c:pt idx="349">
                  <c:v>12.295237999999999</c:v>
                </c:pt>
                <c:pt idx="350">
                  <c:v>12.154348000000001</c:v>
                </c:pt>
                <c:pt idx="351">
                  <c:v>12.251351</c:v>
                </c:pt>
                <c:pt idx="352">
                  <c:v>12.046154</c:v>
                </c:pt>
                <c:pt idx="353">
                  <c:v>12.079167</c:v>
                </c:pt>
                <c:pt idx="354">
                  <c:v>12.145455</c:v>
                </c:pt>
                <c:pt idx="355">
                  <c:v>12.223077</c:v>
                </c:pt>
                <c:pt idx="356">
                  <c:v>12.8</c:v>
                </c:pt>
                <c:pt idx="357">
                  <c:v>12.4</c:v>
                </c:pt>
                <c:pt idx="358">
                  <c:v>12.574999999999999</c:v>
                </c:pt>
                <c:pt idx="359">
                  <c:v>12.6</c:v>
                </c:pt>
                <c:pt idx="360">
                  <c:v>12.5</c:v>
                </c:pt>
                <c:pt idx="361">
                  <c:v>12.46</c:v>
                </c:pt>
                <c:pt idx="362">
                  <c:v>12.471429000000001</c:v>
                </c:pt>
                <c:pt idx="363">
                  <c:v>12.344443999999999</c:v>
                </c:pt>
                <c:pt idx="364">
                  <c:v>12.38</c:v>
                </c:pt>
                <c:pt idx="365">
                  <c:v>12.261290000000001</c:v>
                </c:pt>
                <c:pt idx="366">
                  <c:v>12.161538</c:v>
                </c:pt>
                <c:pt idx="367">
                  <c:v>12.277143000000001</c:v>
                </c:pt>
                <c:pt idx="368">
                  <c:v>12.261905</c:v>
                </c:pt>
                <c:pt idx="369">
                  <c:v>12.281480999999999</c:v>
                </c:pt>
                <c:pt idx="370">
                  <c:v>12.308695999999999</c:v>
                </c:pt>
                <c:pt idx="371">
                  <c:v>12.3</c:v>
                </c:pt>
                <c:pt idx="372">
                  <c:v>12.269231</c:v>
                </c:pt>
                <c:pt idx="373">
                  <c:v>12.4375</c:v>
                </c:pt>
                <c:pt idx="374">
                  <c:v>12.4</c:v>
                </c:pt>
                <c:pt idx="375">
                  <c:v>12.36</c:v>
                </c:pt>
                <c:pt idx="376">
                  <c:v>12.309091</c:v>
                </c:pt>
                <c:pt idx="377">
                  <c:v>12.314285999999999</c:v>
                </c:pt>
                <c:pt idx="378">
                  <c:v>12.33</c:v>
                </c:pt>
                <c:pt idx="379">
                  <c:v>12.36</c:v>
                </c:pt>
                <c:pt idx="380">
                  <c:v>12.375</c:v>
                </c:pt>
                <c:pt idx="381">
                  <c:v>12.35</c:v>
                </c:pt>
                <c:pt idx="382">
                  <c:v>12.391667</c:v>
                </c:pt>
                <c:pt idx="383">
                  <c:v>12.3375</c:v>
                </c:pt>
                <c:pt idx="384">
                  <c:v>12.290908999999999</c:v>
                </c:pt>
                <c:pt idx="385">
                  <c:v>12.168182</c:v>
                </c:pt>
                <c:pt idx="386">
                  <c:v>12.175000000000001</c:v>
                </c:pt>
                <c:pt idx="387">
                  <c:v>12.1</c:v>
                </c:pt>
                <c:pt idx="388">
                  <c:v>12.05</c:v>
                </c:pt>
                <c:pt idx="389">
                  <c:v>12.05</c:v>
                </c:pt>
                <c:pt idx="390">
                  <c:v>12.5</c:v>
                </c:pt>
                <c:pt idx="391">
                  <c:v>12.56</c:v>
                </c:pt>
                <c:pt idx="392">
                  <c:v>12.608333</c:v>
                </c:pt>
                <c:pt idx="393">
                  <c:v>12.290908999999999</c:v>
                </c:pt>
                <c:pt idx="394">
                  <c:v>12.3</c:v>
                </c:pt>
                <c:pt idx="395">
                  <c:v>12.354545</c:v>
                </c:pt>
                <c:pt idx="396">
                  <c:v>12.333333</c:v>
                </c:pt>
                <c:pt idx="397">
                  <c:v>12.4</c:v>
                </c:pt>
                <c:pt idx="398">
                  <c:v>12.533333000000001</c:v>
                </c:pt>
                <c:pt idx="399">
                  <c:v>12.488889</c:v>
                </c:pt>
                <c:pt idx="400">
                  <c:v>12.45</c:v>
                </c:pt>
                <c:pt idx="401">
                  <c:v>12.5</c:v>
                </c:pt>
                <c:pt idx="402">
                  <c:v>13.4</c:v>
                </c:pt>
                <c:pt idx="403">
                  <c:v>14.3</c:v>
                </c:pt>
                <c:pt idx="404">
                  <c:v>14.5</c:v>
                </c:pt>
                <c:pt idx="405">
                  <c:v>14.45</c:v>
                </c:pt>
                <c:pt idx="406">
                  <c:v>13.9</c:v>
                </c:pt>
                <c:pt idx="407">
                  <c:v>13.8</c:v>
                </c:pt>
                <c:pt idx="408">
                  <c:v>13.633333</c:v>
                </c:pt>
                <c:pt idx="409">
                  <c:v>13.85</c:v>
                </c:pt>
                <c:pt idx="410">
                  <c:v>13.633333</c:v>
                </c:pt>
                <c:pt idx="411">
                  <c:v>13.55</c:v>
                </c:pt>
                <c:pt idx="412">
                  <c:v>12.3</c:v>
                </c:pt>
                <c:pt idx="413">
                  <c:v>12.35</c:v>
                </c:pt>
                <c:pt idx="414">
                  <c:v>12.433332999999999</c:v>
                </c:pt>
                <c:pt idx="415">
                  <c:v>12.883333</c:v>
                </c:pt>
                <c:pt idx="416">
                  <c:v>13.377777999999999</c:v>
                </c:pt>
                <c:pt idx="417">
                  <c:v>13.4</c:v>
                </c:pt>
                <c:pt idx="418">
                  <c:v>13.372726999999999</c:v>
                </c:pt>
                <c:pt idx="419">
                  <c:v>13.372726999999999</c:v>
                </c:pt>
                <c:pt idx="420">
                  <c:v>13.92</c:v>
                </c:pt>
                <c:pt idx="421">
                  <c:v>14.125</c:v>
                </c:pt>
                <c:pt idx="422">
                  <c:v>13.883333</c:v>
                </c:pt>
                <c:pt idx="423">
                  <c:v>13.6</c:v>
                </c:pt>
                <c:pt idx="424">
                  <c:v>12.581818</c:v>
                </c:pt>
                <c:pt idx="425">
                  <c:v>12.553846</c:v>
                </c:pt>
                <c:pt idx="426">
                  <c:v>12.571429</c:v>
                </c:pt>
                <c:pt idx="427">
                  <c:v>12.706250000000001</c:v>
                </c:pt>
                <c:pt idx="428">
                  <c:v>12.9375</c:v>
                </c:pt>
                <c:pt idx="429">
                  <c:v>12.833333</c:v>
                </c:pt>
                <c:pt idx="430">
                  <c:v>12.737500000000001</c:v>
                </c:pt>
                <c:pt idx="431">
                  <c:v>12.733333</c:v>
                </c:pt>
                <c:pt idx="432">
                  <c:v>13.4</c:v>
                </c:pt>
                <c:pt idx="433">
                  <c:v>13.318182</c:v>
                </c:pt>
                <c:pt idx="434">
                  <c:v>13.255556</c:v>
                </c:pt>
                <c:pt idx="435">
                  <c:v>13.23</c:v>
                </c:pt>
                <c:pt idx="436">
                  <c:v>13.028570999999999</c:v>
                </c:pt>
                <c:pt idx="437">
                  <c:v>12.598182</c:v>
                </c:pt>
                <c:pt idx="438">
                  <c:v>11.991053000000001</c:v>
                </c:pt>
                <c:pt idx="439">
                  <c:v>11.256667</c:v>
                </c:pt>
                <c:pt idx="440">
                  <c:v>10.727646999999999</c:v>
                </c:pt>
                <c:pt idx="441">
                  <c:v>10.504231000000001</c:v>
                </c:pt>
                <c:pt idx="442">
                  <c:v>10.839</c:v>
                </c:pt>
                <c:pt idx="443">
                  <c:v>10.871428999999999</c:v>
                </c:pt>
                <c:pt idx="444">
                  <c:v>11.033333000000001</c:v>
                </c:pt>
                <c:pt idx="445">
                  <c:v>11.122222000000001</c:v>
                </c:pt>
                <c:pt idx="446">
                  <c:v>11.2125</c:v>
                </c:pt>
                <c:pt idx="447">
                  <c:v>11.3</c:v>
                </c:pt>
                <c:pt idx="448">
                  <c:v>11.75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25-49A1-A04C-F1D0A2EE0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727728"/>
        <c:axId val="408735176"/>
      </c:scatterChart>
      <c:valAx>
        <c:axId val="4087277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8735176"/>
        <c:crosses val="max"/>
        <c:crossBetween val="midCat"/>
        <c:majorUnit val="3650"/>
      </c:valAx>
      <c:valAx>
        <c:axId val="408735176"/>
        <c:scaling>
          <c:orientation val="maxMin"/>
          <c:min val="10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872772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600076</xdr:colOff>
      <xdr:row>4</xdr:row>
      <xdr:rowOff>171450</xdr:rowOff>
    </xdr:from>
    <xdr:to>
      <xdr:col>14</xdr:col>
      <xdr:colOff>66674</xdr:colOff>
      <xdr:row>19</xdr:row>
      <xdr:rowOff>38099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Feuil2"/>
      <sheetName val="Feuil3"/>
      <sheetName val="ObsCodes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CNCha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>
        <row r="13">
          <cell r="B13">
            <v>1</v>
          </cell>
          <cell r="C13">
            <v>41496</v>
          </cell>
          <cell r="D13">
            <v>0.94236111111111109</v>
          </cell>
          <cell r="E13">
            <v>2456515.4580999999</v>
          </cell>
          <cell r="F13" t="str">
            <v>FMT</v>
          </cell>
          <cell r="G13" t="str">
            <v>ORS-FR</v>
          </cell>
          <cell r="H13" t="str">
            <v>SC10+Lisa+ATIK46EX</v>
          </cell>
          <cell r="I13">
            <v>781</v>
          </cell>
          <cell r="P13">
            <v>4000</v>
          </cell>
          <cell r="Q13">
            <v>7500</v>
          </cell>
        </row>
        <row r="14">
          <cell r="B14">
            <v>2</v>
          </cell>
          <cell r="C14">
            <v>41497</v>
          </cell>
          <cell r="D14">
            <v>2.1608796296296296E-2</v>
          </cell>
          <cell r="E14">
            <v>2456515.5321</v>
          </cell>
          <cell r="F14" t="str">
            <v>BUI</v>
          </cell>
          <cell r="G14" t="str">
            <v>OHP-FR</v>
          </cell>
          <cell r="H14" t="str">
            <v>CN212Alpy600ATIK6</v>
          </cell>
          <cell r="I14">
            <v>606</v>
          </cell>
          <cell r="P14">
            <v>3773</v>
          </cell>
          <cell r="Q14">
            <v>7395</v>
          </cell>
        </row>
        <row r="15">
          <cell r="B15">
            <v>3</v>
          </cell>
          <cell r="C15">
            <v>42243</v>
          </cell>
          <cell r="D15">
            <v>0.9896759259259259</v>
          </cell>
          <cell r="E15">
            <v>2457262.5019</v>
          </cell>
          <cell r="F15" t="str">
            <v>PDL</v>
          </cell>
          <cell r="G15" t="str">
            <v>ASP-FR</v>
          </cell>
          <cell r="H15" t="str">
            <v>T400_Alpy600_Atik31</v>
          </cell>
          <cell r="I15">
            <v>487</v>
          </cell>
          <cell r="P15">
            <v>4000</v>
          </cell>
          <cell r="Q15">
            <v>7500</v>
          </cell>
        </row>
        <row r="16">
          <cell r="B16">
            <v>4</v>
          </cell>
          <cell r="C16">
            <v>42264</v>
          </cell>
          <cell r="D16">
            <v>1.6550925925925924E-2</v>
          </cell>
          <cell r="E16">
            <v>2457282.5517000002</v>
          </cell>
          <cell r="F16" t="str">
            <v>LES</v>
          </cell>
          <cell r="G16" t="str">
            <v>MRO-CA</v>
          </cell>
          <cell r="H16" t="str">
            <v>31cmDK+23um1800lpm+</v>
          </cell>
          <cell r="I16">
            <v>9000</v>
          </cell>
          <cell r="P16">
            <v>5999</v>
          </cell>
          <cell r="Q16">
            <v>7100</v>
          </cell>
        </row>
        <row r="17">
          <cell r="B17">
            <v>5</v>
          </cell>
          <cell r="C17">
            <v>42273</v>
          </cell>
          <cell r="D17">
            <v>0.81537037037037041</v>
          </cell>
          <cell r="E17">
            <v>2457292.3402</v>
          </cell>
          <cell r="F17" t="str">
            <v>DBO</v>
          </cell>
          <cell r="G17" t="str">
            <v>WCO-UK</v>
          </cell>
          <cell r="H17" t="str">
            <v>C11+Lisa+SXVR-H694</v>
          </cell>
          <cell r="I17">
            <v>866</v>
          </cell>
          <cell r="P17">
            <v>3900</v>
          </cell>
          <cell r="Q17">
            <v>7400</v>
          </cell>
        </row>
        <row r="18">
          <cell r="B18">
            <v>6</v>
          </cell>
          <cell r="C18">
            <v>42674</v>
          </cell>
          <cell r="D18">
            <v>0.77057870370370374</v>
          </cell>
          <cell r="E18">
            <v>2457693.2845999999</v>
          </cell>
          <cell r="F18" t="str">
            <v>FBO</v>
          </cell>
          <cell r="G18" t="str">
            <v>SJI-FR</v>
          </cell>
          <cell r="H18" t="str">
            <v>SC8+Lisa+ATIK314L+</v>
          </cell>
          <cell r="I18">
            <v>2200</v>
          </cell>
          <cell r="P18">
            <v>4000</v>
          </cell>
          <cell r="Q18">
            <v>7501</v>
          </cell>
        </row>
        <row r="19">
          <cell r="B19">
            <v>7</v>
          </cell>
          <cell r="C19">
            <v>42974</v>
          </cell>
          <cell r="D19">
            <v>0.3087037037037037</v>
          </cell>
          <cell r="E19">
            <v>2457992.8265999998</v>
          </cell>
          <cell r="F19" t="str">
            <v>JRF</v>
          </cell>
          <cell r="G19" t="str">
            <v>MTP-US</v>
          </cell>
          <cell r="H19" t="str">
            <v>CC13LisaATIK460EX</v>
          </cell>
          <cell r="I19">
            <v>1004</v>
          </cell>
          <cell r="P19">
            <v>3935</v>
          </cell>
          <cell r="Q19">
            <v>7399</v>
          </cell>
        </row>
        <row r="20">
          <cell r="B20">
            <v>8</v>
          </cell>
          <cell r="C20">
            <v>42999</v>
          </cell>
          <cell r="D20">
            <v>0.28267361111111111</v>
          </cell>
          <cell r="E20">
            <v>2458017.7960000001</v>
          </cell>
          <cell r="F20" t="str">
            <v>JRF</v>
          </cell>
          <cell r="G20" t="str">
            <v>MTP-US</v>
          </cell>
          <cell r="H20" t="str">
            <v>CC13LisaATIK460EX</v>
          </cell>
          <cell r="I20">
            <v>855</v>
          </cell>
          <cell r="P20">
            <v>3900</v>
          </cell>
          <cell r="Q20">
            <v>7400</v>
          </cell>
        </row>
        <row r="21">
          <cell r="B21">
            <v>9</v>
          </cell>
          <cell r="C21">
            <v>43266</v>
          </cell>
          <cell r="D21">
            <v>0.41339120370370369</v>
          </cell>
          <cell r="E21">
            <v>2458284.9259000001</v>
          </cell>
          <cell r="F21" t="str">
            <v>JRF</v>
          </cell>
          <cell r="G21" t="str">
            <v>MTP-US</v>
          </cell>
          <cell r="H21" t="str">
            <v>CC13LisaATIK460EX</v>
          </cell>
          <cell r="I21">
            <v>852</v>
          </cell>
          <cell r="P21">
            <v>3805</v>
          </cell>
          <cell r="Q21">
            <v>7390</v>
          </cell>
        </row>
        <row r="22">
          <cell r="B22">
            <v>10</v>
          </cell>
          <cell r="C22">
            <v>43293</v>
          </cell>
          <cell r="D22">
            <v>0.10725694444444445</v>
          </cell>
          <cell r="E22">
            <v>2458311.6836000001</v>
          </cell>
          <cell r="F22" t="str">
            <v>LES</v>
          </cell>
          <cell r="G22" t="str">
            <v>MRO-CA</v>
          </cell>
          <cell r="H22" t="str">
            <v>DK310+Echelle_ESSAT</v>
          </cell>
          <cell r="I22">
            <v>12000</v>
          </cell>
          <cell r="P22">
            <v>4030</v>
          </cell>
          <cell r="Q22">
            <v>7948</v>
          </cell>
        </row>
        <row r="23">
          <cell r="B23">
            <v>11</v>
          </cell>
          <cell r="C23">
            <v>43294</v>
          </cell>
          <cell r="D23">
            <v>0.44025462962962963</v>
          </cell>
          <cell r="E23">
            <v>2458312.9526999998</v>
          </cell>
          <cell r="F23" t="str">
            <v>JRF</v>
          </cell>
          <cell r="G23" t="str">
            <v>MTP-US</v>
          </cell>
          <cell r="H23" t="str">
            <v>CC13LisaATIK460EX</v>
          </cell>
          <cell r="I23">
            <v>767</v>
          </cell>
          <cell r="P23">
            <v>3885</v>
          </cell>
          <cell r="Q23">
            <v>7399</v>
          </cell>
        </row>
        <row r="24">
          <cell r="B24">
            <v>12</v>
          </cell>
          <cell r="C24">
            <v>43366</v>
          </cell>
          <cell r="D24">
            <v>0.931574074074074</v>
          </cell>
          <cell r="E24">
            <v>2458385.4419999998</v>
          </cell>
          <cell r="F24" t="str">
            <v>FCA</v>
          </cell>
          <cell r="G24" t="str">
            <v>PAG-SP</v>
          </cell>
          <cell r="H24" t="str">
            <v>RC350 _F/8 +DADOS_200+Atik314L+'</v>
          </cell>
          <cell r="I24">
            <v>700</v>
          </cell>
          <cell r="P24">
            <v>3870</v>
          </cell>
          <cell r="Q24">
            <v>7415</v>
          </cell>
        </row>
        <row r="25">
          <cell r="B25">
            <v>13</v>
          </cell>
          <cell r="C25">
            <v>43444</v>
          </cell>
          <cell r="D25">
            <v>0.20276620370370368</v>
          </cell>
          <cell r="E25">
            <v>2458403.7239000001</v>
          </cell>
          <cell r="F25" t="str">
            <v>JRF</v>
          </cell>
          <cell r="G25" t="str">
            <v>MTP-US</v>
          </cell>
          <cell r="H25" t="str">
            <v>CC13LISAATIK460EX</v>
          </cell>
          <cell r="I25">
            <v>713</v>
          </cell>
          <cell r="P25">
            <v>3832</v>
          </cell>
          <cell r="Q25">
            <v>7397</v>
          </cell>
        </row>
        <row r="26">
          <cell r="B26">
            <v>14</v>
          </cell>
          <cell r="C26">
            <v>43648</v>
          </cell>
          <cell r="D26">
            <v>0.42180555555555554</v>
          </cell>
          <cell r="E26">
            <v>2458666.9361</v>
          </cell>
          <cell r="F26" t="str">
            <v>JRF</v>
          </cell>
          <cell r="G26" t="str">
            <v>MTP-US</v>
          </cell>
          <cell r="H26" t="str">
            <v>CC13ALPY600ATIK460EX</v>
          </cell>
          <cell r="I26">
            <v>690</v>
          </cell>
          <cell r="P26">
            <v>3700</v>
          </cell>
          <cell r="Q26">
            <v>7400</v>
          </cell>
        </row>
        <row r="27">
          <cell r="B27">
            <v>15</v>
          </cell>
          <cell r="C27">
            <v>43652</v>
          </cell>
          <cell r="D27">
            <v>0.42792824074074076</v>
          </cell>
          <cell r="E27">
            <v>2458670.9402999999</v>
          </cell>
          <cell r="F27" t="str">
            <v>JRF</v>
          </cell>
          <cell r="G27" t="str">
            <v>MTP-US</v>
          </cell>
          <cell r="H27" t="str">
            <v>CC13LISAATIK460EX</v>
          </cell>
          <cell r="I27">
            <v>898</v>
          </cell>
          <cell r="P27">
            <v>6305</v>
          </cell>
          <cell r="Q27">
            <v>9540</v>
          </cell>
        </row>
        <row r="28">
          <cell r="B28">
            <v>16</v>
          </cell>
          <cell r="C28" t="str">
            <v>19/08/2020</v>
          </cell>
          <cell r="D28">
            <v>0.86041666666666661</v>
          </cell>
          <cell r="E28">
            <v>2459081.3884999999</v>
          </cell>
          <cell r="F28" t="str">
            <v>HBO</v>
          </cell>
          <cell r="G28" t="str">
            <v>K10-FR</v>
          </cell>
          <cell r="H28" t="str">
            <v>M10_LISA_ATIK414EX</v>
          </cell>
          <cell r="I28">
            <v>746</v>
          </cell>
          <cell r="P28">
            <v>3870</v>
          </cell>
          <cell r="Q28">
            <v>7379</v>
          </cell>
        </row>
        <row r="29">
          <cell r="B29">
            <v>17</v>
          </cell>
          <cell r="C29" t="str">
            <v>20/08/2020</v>
          </cell>
          <cell r="D29">
            <v>0.78888888888888886</v>
          </cell>
          <cell r="E29">
            <v>2459082.3243</v>
          </cell>
          <cell r="F29" t="str">
            <v>PAD</v>
          </cell>
          <cell r="G29" t="str">
            <v>KOL-SK</v>
          </cell>
          <cell r="H29" t="str">
            <v>C11+LISA+Atik 460EX</v>
          </cell>
          <cell r="I29">
            <v>1021</v>
          </cell>
          <cell r="P29">
            <v>3800</v>
          </cell>
          <cell r="Q29">
            <v>7590</v>
          </cell>
        </row>
        <row r="30">
          <cell r="B30">
            <v>18</v>
          </cell>
          <cell r="C30" t="str">
            <v>20/08/2020</v>
          </cell>
          <cell r="D30">
            <v>0.86875000000000002</v>
          </cell>
          <cell r="E30">
            <v>2459082.4246999999</v>
          </cell>
          <cell r="F30" t="str">
            <v>JGF</v>
          </cell>
          <cell r="G30" t="str">
            <v>SMM-SP</v>
          </cell>
          <cell r="H30" t="str">
            <v>16 REMOT LINX 460EX</v>
          </cell>
          <cell r="I30">
            <v>9500</v>
          </cell>
          <cell r="P30">
            <v>4052</v>
          </cell>
          <cell r="Q30">
            <v>7761</v>
          </cell>
        </row>
        <row r="31">
          <cell r="B31">
            <v>25</v>
          </cell>
          <cell r="C31" t="str">
            <v>20/08/2020</v>
          </cell>
          <cell r="D31">
            <v>0.93333333333333324</v>
          </cell>
          <cell r="E31">
            <v>2459082.4651000001</v>
          </cell>
          <cell r="F31" t="str">
            <v>BUI</v>
          </cell>
          <cell r="G31" t="str">
            <v>OHP-FR</v>
          </cell>
          <cell r="H31" t="str">
            <v>C9 UVEX3 G300 ASI183MM</v>
          </cell>
          <cell r="I31">
            <v>756</v>
          </cell>
          <cell r="P31">
            <v>3680</v>
          </cell>
          <cell r="Q31">
            <v>7500</v>
          </cell>
        </row>
        <row r="32">
          <cell r="B32">
            <v>26</v>
          </cell>
          <cell r="C32" t="str">
            <v>20/08/2020</v>
          </cell>
          <cell r="D32">
            <v>0.99861111111111101</v>
          </cell>
          <cell r="E32">
            <v>2459082.5203999998</v>
          </cell>
          <cell r="F32" t="str">
            <v>OGASCH</v>
          </cell>
          <cell r="G32" t="str">
            <v>OHP-FR</v>
          </cell>
          <cell r="H32" t="str">
            <v>RC12-Alpy600-ATIK414ex</v>
          </cell>
          <cell r="I32">
            <v>539</v>
          </cell>
          <cell r="P32">
            <v>3603</v>
          </cell>
          <cell r="Q32">
            <v>7693</v>
          </cell>
        </row>
        <row r="33">
          <cell r="B33">
            <v>27</v>
          </cell>
          <cell r="C33" t="str">
            <v>21/08/2020</v>
          </cell>
          <cell r="D33">
            <v>0.17361111111111113</v>
          </cell>
          <cell r="E33">
            <v>2459082.6850000001</v>
          </cell>
          <cell r="F33" t="str">
            <v>CUR</v>
          </cell>
          <cell r="G33" t="str">
            <v>YGU-US</v>
          </cell>
          <cell r="H33" t="str">
            <v>ALPY600</v>
          </cell>
          <cell r="I33">
            <v>566</v>
          </cell>
          <cell r="P33">
            <v>3900</v>
          </cell>
          <cell r="Q33">
            <v>7490</v>
          </cell>
        </row>
        <row r="34">
          <cell r="B34">
            <v>28</v>
          </cell>
          <cell r="C34" t="str">
            <v>21/08/2020</v>
          </cell>
          <cell r="D34">
            <v>0.86041666666666661</v>
          </cell>
          <cell r="E34">
            <v>2459083.3886000002</v>
          </cell>
          <cell r="F34" t="str">
            <v>PAD</v>
          </cell>
          <cell r="G34" t="str">
            <v>KOL-SK</v>
          </cell>
          <cell r="H34" t="str">
            <v>C11+LISA+Atik 460EX</v>
          </cell>
          <cell r="I34">
            <v>987</v>
          </cell>
          <cell r="P34">
            <v>3900</v>
          </cell>
          <cell r="Q34">
            <v>7590</v>
          </cell>
        </row>
        <row r="35">
          <cell r="B35">
            <v>29</v>
          </cell>
          <cell r="C35" t="str">
            <v>21/08/2020</v>
          </cell>
          <cell r="D35">
            <v>0.85833333333333339</v>
          </cell>
          <cell r="E35">
            <v>2459083.4145999998</v>
          </cell>
          <cell r="F35" t="str">
            <v>JGF</v>
          </cell>
          <cell r="G35" t="str">
            <v>SMM-SP</v>
          </cell>
          <cell r="H35" t="str">
            <v>16 REMOT LINX 460EX</v>
          </cell>
          <cell r="I35">
            <v>9500</v>
          </cell>
          <cell r="P35">
            <v>4052</v>
          </cell>
          <cell r="Q35">
            <v>7761</v>
          </cell>
        </row>
        <row r="36">
          <cell r="B36">
            <v>30</v>
          </cell>
          <cell r="C36" t="str">
            <v>21/08/2020</v>
          </cell>
          <cell r="D36">
            <v>0.9277777777777777</v>
          </cell>
          <cell r="E36">
            <v>2459083.4654999999</v>
          </cell>
          <cell r="F36" t="str">
            <v>BUI</v>
          </cell>
          <cell r="G36" t="str">
            <v>OHP-FR</v>
          </cell>
          <cell r="H36" t="str">
            <v>C9 UVEX3 G1200 ASI183MM</v>
          </cell>
          <cell r="I36">
            <v>3589</v>
          </cell>
          <cell r="P36">
            <v>6099</v>
          </cell>
          <cell r="Q36">
            <v>7162</v>
          </cell>
        </row>
        <row r="37">
          <cell r="B37">
            <v>31</v>
          </cell>
          <cell r="C37" t="str">
            <v>22/08/2020</v>
          </cell>
          <cell r="D37">
            <v>0.77916666666666667</v>
          </cell>
          <cell r="E37">
            <v>2459084.3143000002</v>
          </cell>
          <cell r="F37" t="str">
            <v>PAD</v>
          </cell>
          <cell r="G37" t="str">
            <v>KOL-SK</v>
          </cell>
          <cell r="H37" t="str">
            <v>C11+LISA+Atik 460EX</v>
          </cell>
          <cell r="I37">
            <v>1046</v>
          </cell>
          <cell r="P37">
            <v>3800</v>
          </cell>
          <cell r="Q37">
            <v>7590</v>
          </cell>
        </row>
        <row r="38">
          <cell r="B38">
            <v>32</v>
          </cell>
          <cell r="C38" t="str">
            <v>22/08/2020</v>
          </cell>
          <cell r="D38">
            <v>0.8618055555555556</v>
          </cell>
          <cell r="E38">
            <v>2459084.4040000001</v>
          </cell>
          <cell r="F38" t="str">
            <v>JGF</v>
          </cell>
          <cell r="G38" t="str">
            <v>SMM-SP</v>
          </cell>
          <cell r="H38" t="str">
            <v>16 REMOT LINX 460EX</v>
          </cell>
          <cell r="I38">
            <v>9500</v>
          </cell>
          <cell r="P38">
            <v>4052</v>
          </cell>
          <cell r="Q38">
            <v>7761</v>
          </cell>
        </row>
        <row r="39">
          <cell r="B39">
            <v>33</v>
          </cell>
          <cell r="C39" t="str">
            <v>22/08/2020</v>
          </cell>
          <cell r="D39">
            <v>0.89583333333333337</v>
          </cell>
          <cell r="E39">
            <v>2459084.4175</v>
          </cell>
          <cell r="F39" t="str">
            <v>BUI</v>
          </cell>
          <cell r="G39" t="str">
            <v>OHP-FR</v>
          </cell>
          <cell r="H39" t="str">
            <v>RC12 UVEX3 G600 ASI183MM</v>
          </cell>
          <cell r="I39">
            <v>2043</v>
          </cell>
          <cell r="P39">
            <v>6388</v>
          </cell>
          <cell r="Q39">
            <v>8611</v>
          </cell>
        </row>
        <row r="40">
          <cell r="B40">
            <v>34</v>
          </cell>
          <cell r="C40" t="str">
            <v>22/08/2020</v>
          </cell>
          <cell r="D40">
            <v>0.91388888888888886</v>
          </cell>
          <cell r="E40">
            <v>2459084.4421000001</v>
          </cell>
          <cell r="F40" t="str">
            <v>PCA</v>
          </cell>
          <cell r="G40" t="str">
            <v>LEC-IT</v>
          </cell>
          <cell r="H40" t="str">
            <v>VX10_Alpy600_Atik414</v>
          </cell>
          <cell r="I40">
            <v>567</v>
          </cell>
          <cell r="P40">
            <v>3802</v>
          </cell>
          <cell r="Q40">
            <v>7301</v>
          </cell>
        </row>
        <row r="41">
          <cell r="B41">
            <v>35</v>
          </cell>
          <cell r="C41" t="str">
            <v>25/08/2020</v>
          </cell>
          <cell r="D41">
            <v>0.80347222222222225</v>
          </cell>
          <cell r="E41">
            <v>2459087.3385999999</v>
          </cell>
          <cell r="F41" t="str">
            <v>PAD</v>
          </cell>
          <cell r="G41" t="str">
            <v>KOL-SK</v>
          </cell>
          <cell r="H41" t="str">
            <v>C11+LISA+Atik 460EX</v>
          </cell>
          <cell r="I41">
            <v>910</v>
          </cell>
          <cell r="P41">
            <v>3800</v>
          </cell>
          <cell r="Q41">
            <v>7590</v>
          </cell>
        </row>
        <row r="42">
          <cell r="B42">
            <v>36</v>
          </cell>
          <cell r="C42" t="str">
            <v>25/08/2020</v>
          </cell>
          <cell r="D42">
            <v>0.83958333333333324</v>
          </cell>
          <cell r="E42">
            <v>2459087.3884999999</v>
          </cell>
          <cell r="F42" t="str">
            <v>JGF</v>
          </cell>
          <cell r="G42" t="str">
            <v>SMM-SP</v>
          </cell>
          <cell r="H42" t="str">
            <v>16 REMOT LINX 460EX</v>
          </cell>
          <cell r="I42">
            <v>9500</v>
          </cell>
          <cell r="P42">
            <v>4052</v>
          </cell>
          <cell r="Q42">
            <v>7761</v>
          </cell>
        </row>
        <row r="43">
          <cell r="B43">
            <v>37</v>
          </cell>
          <cell r="C43" t="str">
            <v>28/08/2020</v>
          </cell>
          <cell r="D43">
            <v>0.86875000000000002</v>
          </cell>
          <cell r="E43">
            <v>2459090.4040999999</v>
          </cell>
          <cell r="F43" t="str">
            <v>PAD</v>
          </cell>
          <cell r="G43" t="str">
            <v>KOL-SK</v>
          </cell>
          <cell r="H43" t="str">
            <v>C11+LISA+Atik 460EX</v>
          </cell>
          <cell r="I43">
            <v>879</v>
          </cell>
          <cell r="P43">
            <v>3900</v>
          </cell>
          <cell r="Q43">
            <v>7590</v>
          </cell>
        </row>
        <row r="44">
          <cell r="B44">
            <v>38</v>
          </cell>
          <cell r="C44" t="str">
            <v>29/08/2020</v>
          </cell>
          <cell r="D44">
            <v>0.78263888888888899</v>
          </cell>
          <cell r="E44">
            <v>2459091.3182000001</v>
          </cell>
          <cell r="F44" t="str">
            <v>PAD</v>
          </cell>
          <cell r="G44" t="str">
            <v>KOL-SK</v>
          </cell>
          <cell r="H44" t="str">
            <v>C11+LISA+Atik 460EX</v>
          </cell>
          <cell r="I44">
            <v>1127</v>
          </cell>
          <cell r="P44">
            <v>3800</v>
          </cell>
          <cell r="Q44">
            <v>7590</v>
          </cell>
        </row>
        <row r="45">
          <cell r="B45">
            <v>39</v>
          </cell>
          <cell r="C45">
            <v>44075</v>
          </cell>
          <cell r="D45">
            <v>0.22708333333333333</v>
          </cell>
          <cell r="E45">
            <v>2459093.7404</v>
          </cell>
          <cell r="F45" t="str">
            <v>FAS</v>
          </cell>
          <cell r="G45" t="str">
            <v>DCO-US</v>
          </cell>
          <cell r="H45" t="str">
            <v>CDK14 LISA Atik414ex</v>
          </cell>
          <cell r="I45">
            <v>1057</v>
          </cell>
          <cell r="P45">
            <v>3718</v>
          </cell>
          <cell r="Q45">
            <v>7305</v>
          </cell>
        </row>
        <row r="46">
          <cell r="B46">
            <v>40</v>
          </cell>
          <cell r="C46">
            <v>44077</v>
          </cell>
          <cell r="D46">
            <v>0.82847222222222217</v>
          </cell>
          <cell r="E46">
            <v>2459096.3566999999</v>
          </cell>
          <cell r="F46" t="str">
            <v>PAD</v>
          </cell>
          <cell r="G46" t="str">
            <v>KOL-SK</v>
          </cell>
          <cell r="H46" t="str">
            <v>C11+LISA+Atik 460EX</v>
          </cell>
          <cell r="I46">
            <v>887</v>
          </cell>
          <cell r="P46">
            <v>3900</v>
          </cell>
          <cell r="Q46">
            <v>7590</v>
          </cell>
        </row>
        <row r="47">
          <cell r="B47">
            <v>41</v>
          </cell>
          <cell r="C47">
            <v>44077</v>
          </cell>
          <cell r="D47">
            <v>0.89930555555555547</v>
          </cell>
          <cell r="E47">
            <v>2459096.4194999998</v>
          </cell>
          <cell r="F47" t="str">
            <v>PSO</v>
          </cell>
          <cell r="G47" t="str">
            <v>TAT-HU</v>
          </cell>
          <cell r="H47" t="str">
            <v>30cmf4Alpy600Atik414</v>
          </cell>
          <cell r="I47">
            <v>665</v>
          </cell>
          <cell r="P47">
            <v>3645</v>
          </cell>
          <cell r="Q47">
            <v>7883</v>
          </cell>
        </row>
        <row r="48">
          <cell r="B48">
            <v>42</v>
          </cell>
          <cell r="C48">
            <v>44079</v>
          </cell>
          <cell r="D48">
            <v>0.77500000000000002</v>
          </cell>
          <cell r="E48">
            <v>2459098.3106</v>
          </cell>
          <cell r="F48" t="str">
            <v>PAD</v>
          </cell>
          <cell r="G48" t="str">
            <v>KOL-SK</v>
          </cell>
          <cell r="H48" t="str">
            <v>C11+LISA+Atik 460EX</v>
          </cell>
          <cell r="I48">
            <v>993</v>
          </cell>
          <cell r="P48">
            <v>3800</v>
          </cell>
          <cell r="Q48">
            <v>7590</v>
          </cell>
        </row>
        <row r="49">
          <cell r="B49">
            <v>43</v>
          </cell>
          <cell r="C49">
            <v>44079</v>
          </cell>
          <cell r="D49">
            <v>0.81805555555555554</v>
          </cell>
          <cell r="E49">
            <v>2459098.3506</v>
          </cell>
          <cell r="F49" t="str">
            <v>JMI</v>
          </cell>
          <cell r="G49" t="str">
            <v>Claix</v>
          </cell>
          <cell r="H49" t="str">
            <v>C11f7-Lisa-Atik460EX</v>
          </cell>
          <cell r="I49">
            <v>1000</v>
          </cell>
          <cell r="P49">
            <v>3920</v>
          </cell>
          <cell r="Q49">
            <v>7404</v>
          </cell>
        </row>
        <row r="50">
          <cell r="B50">
            <v>44</v>
          </cell>
          <cell r="C50" t="str">
            <v>08/09/2020</v>
          </cell>
          <cell r="D50">
            <v>0.7715277777777777</v>
          </cell>
          <cell r="E50">
            <v>2459101.3064999999</v>
          </cell>
          <cell r="F50" t="str">
            <v>PDTM</v>
          </cell>
          <cell r="G50" t="str">
            <v>KOL-SK</v>
          </cell>
          <cell r="H50" t="str">
            <v>C11+LISA+Atik 460EX</v>
          </cell>
          <cell r="I50">
            <v>867</v>
          </cell>
          <cell r="P50">
            <v>3900</v>
          </cell>
          <cell r="Q50">
            <v>7590</v>
          </cell>
        </row>
        <row r="51">
          <cell r="B51">
            <v>45</v>
          </cell>
          <cell r="C51" t="str">
            <v>09/09/2020</v>
          </cell>
          <cell r="D51">
            <v>0.77638888888888891</v>
          </cell>
          <cell r="E51">
            <v>2459102.2977999998</v>
          </cell>
          <cell r="F51" t="str">
            <v>PDTM</v>
          </cell>
          <cell r="G51" t="str">
            <v>KOL-SK</v>
          </cell>
          <cell r="H51" t="str">
            <v>C11+LISA+Atik 460EX</v>
          </cell>
          <cell r="I51">
            <v>935</v>
          </cell>
          <cell r="P51">
            <v>4000</v>
          </cell>
          <cell r="Q51">
            <v>7590</v>
          </cell>
        </row>
        <row r="52">
          <cell r="B52">
            <v>46</v>
          </cell>
          <cell r="C52">
            <v>44083</v>
          </cell>
          <cell r="D52">
            <v>0.93958333333333333</v>
          </cell>
          <cell r="E52">
            <v>2459102.4594999999</v>
          </cell>
          <cell r="F52" t="str">
            <v>KGU</v>
          </cell>
          <cell r="G52" t="str">
            <v>KGH-UK</v>
          </cell>
          <cell r="H52" t="str">
            <v>C11+063FR+ALPY600+Atik460EX</v>
          </cell>
          <cell r="I52">
            <v>577</v>
          </cell>
          <cell r="P52">
            <v>3891</v>
          </cell>
          <cell r="Q52">
            <v>7375</v>
          </cell>
        </row>
        <row r="53">
          <cell r="B53">
            <v>41</v>
          </cell>
          <cell r="C53" t="str">
            <v>12/09/2020</v>
          </cell>
          <cell r="D53">
            <v>0.81944444444444453</v>
          </cell>
          <cell r="E53">
            <v>2459105.355</v>
          </cell>
          <cell r="F53" t="str">
            <v>PAD</v>
          </cell>
          <cell r="G53" t="str">
            <v>KOL-SK</v>
          </cell>
          <cell r="H53" t="str">
            <v>C11+LISA+Atik 460EX</v>
          </cell>
          <cell r="I53">
            <v>941</v>
          </cell>
          <cell r="P53">
            <v>3850</v>
          </cell>
          <cell r="Q53">
            <v>7590</v>
          </cell>
        </row>
        <row r="54">
          <cell r="B54">
            <v>42</v>
          </cell>
          <cell r="C54" t="str">
            <v>12/09/2020</v>
          </cell>
          <cell r="D54">
            <v>0.81944444444444453</v>
          </cell>
          <cell r="E54">
            <v>2459105.355</v>
          </cell>
          <cell r="F54" t="str">
            <v>PAD</v>
          </cell>
          <cell r="G54" t="str">
            <v>KOL-SK</v>
          </cell>
          <cell r="H54" t="str">
            <v>C11+LISA+Atik 460EX</v>
          </cell>
          <cell r="I54">
            <v>941</v>
          </cell>
          <cell r="P54">
            <v>3850</v>
          </cell>
          <cell r="Q54">
            <v>7590</v>
          </cell>
        </row>
        <row r="55">
          <cell r="B55">
            <v>43</v>
          </cell>
          <cell r="C55">
            <v>44086</v>
          </cell>
          <cell r="D55">
            <v>0.8569444444444444</v>
          </cell>
          <cell r="E55">
            <v>2459105.3862000001</v>
          </cell>
          <cell r="F55" t="str">
            <v>DBO</v>
          </cell>
          <cell r="G55" t="str">
            <v>WCO-UK</v>
          </cell>
          <cell r="H55" t="str">
            <v>C11 + LISA + SXVR-H694</v>
          </cell>
          <cell r="I55">
            <v>1020</v>
          </cell>
          <cell r="P55">
            <v>3900</v>
          </cell>
          <cell r="Q55">
            <v>7380</v>
          </cell>
        </row>
        <row r="56">
          <cell r="B56">
            <v>44</v>
          </cell>
          <cell r="C56" t="str">
            <v>13/09/2020</v>
          </cell>
          <cell r="D56">
            <v>0.87986111111111109</v>
          </cell>
          <cell r="E56">
            <v>2459106.4221999999</v>
          </cell>
          <cell r="F56" t="str">
            <v>JGF</v>
          </cell>
          <cell r="G56" t="str">
            <v>SMM-SP</v>
          </cell>
          <cell r="H56" t="str">
            <v>16 REMOT LINX 460EX</v>
          </cell>
          <cell r="I56">
            <v>9500</v>
          </cell>
          <cell r="P56">
            <v>4052</v>
          </cell>
          <cell r="Q56">
            <v>7761</v>
          </cell>
        </row>
        <row r="57">
          <cell r="B57">
            <v>45</v>
          </cell>
          <cell r="C57" t="str">
            <v>20/09/2020</v>
          </cell>
          <cell r="D57">
            <v>0.99375000000000002</v>
          </cell>
          <cell r="E57">
            <v>2459113.5441999999</v>
          </cell>
          <cell r="F57" t="str">
            <v>LES</v>
          </cell>
          <cell r="G57" t="str">
            <v>MRO-CA</v>
          </cell>
          <cell r="H57" t="str">
            <v>31cmDK+ESSAT_2</v>
          </cell>
          <cell r="I57">
            <v>14000</v>
          </cell>
          <cell r="P57">
            <v>4030</v>
          </cell>
          <cell r="Q57">
            <v>7955</v>
          </cell>
        </row>
        <row r="58">
          <cell r="B58">
            <v>46</v>
          </cell>
          <cell r="C58" t="str">
            <v>28/09/2020</v>
          </cell>
          <cell r="D58">
            <v>0.81388888888888899</v>
          </cell>
          <cell r="E58">
            <v>2459121.3561</v>
          </cell>
          <cell r="F58" t="str">
            <v>JGF</v>
          </cell>
          <cell r="G58" t="str">
            <v>SMM-SP</v>
          </cell>
          <cell r="H58" t="str">
            <v>16 REMOT LINX 460EX</v>
          </cell>
          <cell r="I58">
            <v>9500</v>
          </cell>
          <cell r="P58">
            <v>4052</v>
          </cell>
          <cell r="Q58">
            <v>7760</v>
          </cell>
        </row>
        <row r="59">
          <cell r="B59">
            <v>47</v>
          </cell>
          <cell r="C59" t="str">
            <v>03/10/2020</v>
          </cell>
          <cell r="D59">
            <v>0.76111111111111107</v>
          </cell>
          <cell r="E59">
            <v>2459126.3029999998</v>
          </cell>
          <cell r="F59" t="str">
            <v>JGF</v>
          </cell>
          <cell r="G59" t="str">
            <v>SMM-SP</v>
          </cell>
          <cell r="H59" t="str">
            <v>16 REMOT LINX 460EX</v>
          </cell>
          <cell r="I59">
            <v>9500</v>
          </cell>
          <cell r="P59">
            <v>4052</v>
          </cell>
          <cell r="Q59">
            <v>7760</v>
          </cell>
        </row>
        <row r="60">
          <cell r="B60">
            <v>48</v>
          </cell>
          <cell r="C60" t="str">
            <v>09/10/2020</v>
          </cell>
          <cell r="D60">
            <v>0.86249999999999993</v>
          </cell>
          <cell r="E60">
            <v>2459132.3848000001</v>
          </cell>
          <cell r="F60" t="str">
            <v>DBO</v>
          </cell>
          <cell r="G60" t="str">
            <v>WCO-UK</v>
          </cell>
          <cell r="H60" t="str">
            <v>C11 + LISA + SXVR-H694</v>
          </cell>
          <cell r="I60">
            <v>1096</v>
          </cell>
          <cell r="P60">
            <v>3900</v>
          </cell>
          <cell r="Q60">
            <v>7380</v>
          </cell>
        </row>
        <row r="61">
          <cell r="B61">
            <v>49</v>
          </cell>
          <cell r="C61">
            <v>44116</v>
          </cell>
          <cell r="D61">
            <v>0.12222222222222223</v>
          </cell>
          <cell r="E61">
            <v>2459134.6349999998</v>
          </cell>
          <cell r="F61" t="str">
            <v>FAS</v>
          </cell>
          <cell r="G61" t="str">
            <v>DCO-US</v>
          </cell>
          <cell r="H61" t="str">
            <v>CDK14 LISA Atik414ex</v>
          </cell>
          <cell r="I61">
            <v>1062</v>
          </cell>
          <cell r="P61">
            <v>3710</v>
          </cell>
          <cell r="Q61">
            <v>7297</v>
          </cell>
        </row>
        <row r="62">
          <cell r="B62">
            <v>50</v>
          </cell>
          <cell r="C62">
            <v>44123</v>
          </cell>
          <cell r="D62">
            <v>0.17708333333333334</v>
          </cell>
          <cell r="E62">
            <v>2459141.6864999998</v>
          </cell>
          <cell r="F62" t="str">
            <v>CUR</v>
          </cell>
          <cell r="G62" t="str">
            <v>YGU-US</v>
          </cell>
          <cell r="H62" t="str">
            <v>YG ALPY</v>
          </cell>
          <cell r="I62">
            <v>566</v>
          </cell>
          <cell r="P62">
            <v>3900</v>
          </cell>
          <cell r="Q62">
            <v>7405</v>
          </cell>
        </row>
        <row r="63">
          <cell r="B63">
            <v>51</v>
          </cell>
          <cell r="C63">
            <v>44126</v>
          </cell>
          <cell r="D63">
            <v>0.68680555555555556</v>
          </cell>
          <cell r="E63">
            <v>2459145.2217999999</v>
          </cell>
          <cell r="F63" t="str">
            <v>PAD</v>
          </cell>
          <cell r="G63" t="str">
            <v>KOL-SK</v>
          </cell>
          <cell r="H63" t="str">
            <v>C11+LISA+Atik 460EX</v>
          </cell>
          <cell r="I63">
            <v>889</v>
          </cell>
          <cell r="P63">
            <v>3900</v>
          </cell>
          <cell r="Q63">
            <v>7590</v>
          </cell>
        </row>
        <row r="64">
          <cell r="B64">
            <v>52</v>
          </cell>
          <cell r="C64">
            <v>44131</v>
          </cell>
          <cell r="D64">
            <v>0.68611111111111101</v>
          </cell>
          <cell r="E64">
            <v>2459150.2215</v>
          </cell>
          <cell r="F64" t="str">
            <v>PAD</v>
          </cell>
          <cell r="G64" t="str">
            <v>KOL-SK</v>
          </cell>
          <cell r="H64" t="str">
            <v>C11+LISA+Atik 460EX</v>
          </cell>
          <cell r="I64">
            <v>913</v>
          </cell>
          <cell r="P64">
            <v>3900</v>
          </cell>
          <cell r="Q64">
            <v>7590</v>
          </cell>
        </row>
        <row r="65">
          <cell r="B65">
            <v>53</v>
          </cell>
          <cell r="C65">
            <v>44140</v>
          </cell>
          <cell r="D65">
            <v>9.2361111111111116E-2</v>
          </cell>
          <cell r="E65">
            <v>2459158.6080999998</v>
          </cell>
          <cell r="F65" t="str">
            <v>FAS</v>
          </cell>
          <cell r="G65" t="str">
            <v>DCO-US</v>
          </cell>
          <cell r="H65" t="str">
            <v>CDK14 LISA Atik414ex</v>
          </cell>
          <cell r="I65">
            <v>923</v>
          </cell>
          <cell r="P65">
            <v>3715</v>
          </cell>
          <cell r="Q65">
            <v>7302</v>
          </cell>
        </row>
        <row r="66">
          <cell r="B66">
            <v>54</v>
          </cell>
          <cell r="C66">
            <v>44139</v>
          </cell>
          <cell r="D66">
            <v>0.79652777777777783</v>
          </cell>
          <cell r="E66">
            <v>2459158.3185999999</v>
          </cell>
          <cell r="F66" t="str">
            <v>DBO</v>
          </cell>
          <cell r="G66" t="str">
            <v>WCO-UK</v>
          </cell>
          <cell r="H66" t="str">
            <v>C11 + LISA + SXVR-H694</v>
          </cell>
          <cell r="I66">
            <v>1128</v>
          </cell>
          <cell r="P66">
            <v>3900</v>
          </cell>
          <cell r="Q66">
            <v>7380</v>
          </cell>
        </row>
        <row r="67">
          <cell r="B67">
            <v>55</v>
          </cell>
          <cell r="C67">
            <v>44142</v>
          </cell>
          <cell r="D67">
            <v>0.6777777777777777</v>
          </cell>
          <cell r="E67">
            <v>2459161.2236000001</v>
          </cell>
          <cell r="F67" t="str">
            <v>PAD</v>
          </cell>
          <cell r="G67" t="str">
            <v>KOL-SK</v>
          </cell>
          <cell r="H67" t="str">
            <v>C11+LISA+Atik 460EX</v>
          </cell>
          <cell r="I67">
            <v>812</v>
          </cell>
          <cell r="P67">
            <v>3900</v>
          </cell>
          <cell r="Q67">
            <v>7590</v>
          </cell>
        </row>
        <row r="68">
          <cell r="B68">
            <v>56</v>
          </cell>
          <cell r="C68">
            <v>44152</v>
          </cell>
          <cell r="D68">
            <v>6.6666666666666666E-2</v>
          </cell>
          <cell r="E68">
            <v>2459170.5825</v>
          </cell>
          <cell r="F68" t="str">
            <v>FAS</v>
          </cell>
          <cell r="G68" t="str">
            <v>DCO-US</v>
          </cell>
          <cell r="H68" t="str">
            <v>CDK14 LISA Atik414ex</v>
          </cell>
          <cell r="I68">
            <v>942</v>
          </cell>
          <cell r="P68">
            <v>3714</v>
          </cell>
          <cell r="Q68">
            <v>7302</v>
          </cell>
        </row>
        <row r="69">
          <cell r="B69">
            <v>57</v>
          </cell>
          <cell r="C69">
            <v>44160</v>
          </cell>
          <cell r="D69">
            <v>6.805555555555555E-2</v>
          </cell>
          <cell r="E69">
            <v>2459178.5854000002</v>
          </cell>
          <cell r="F69" t="str">
            <v>FAS</v>
          </cell>
          <cell r="G69" t="str">
            <v>DCO-US</v>
          </cell>
          <cell r="H69" t="str">
            <v>CDK14 LISA Atik414ex</v>
          </cell>
          <cell r="I69">
            <v>1042</v>
          </cell>
          <cell r="P69">
            <v>3713</v>
          </cell>
          <cell r="Q69">
            <v>7303</v>
          </cell>
        </row>
        <row r="70">
          <cell r="B70">
            <v>58</v>
          </cell>
          <cell r="C70">
            <v>44165</v>
          </cell>
          <cell r="D70">
            <v>6.3194444444444442E-2</v>
          </cell>
          <cell r="E70">
            <v>2459183.5791000002</v>
          </cell>
          <cell r="F70" t="str">
            <v>FAS</v>
          </cell>
          <cell r="G70" t="str">
            <v>DCO-US</v>
          </cell>
          <cell r="H70" t="str">
            <v>CDK14 LISA Atik414ex</v>
          </cell>
          <cell r="I70">
            <v>1000</v>
          </cell>
          <cell r="P70">
            <v>3714</v>
          </cell>
          <cell r="Q70">
            <v>7302</v>
          </cell>
        </row>
        <row r="71">
          <cell r="B71">
            <v>59</v>
          </cell>
          <cell r="C71">
            <v>44177</v>
          </cell>
          <cell r="D71">
            <v>0.67152777777777783</v>
          </cell>
          <cell r="E71">
            <v>2459196.1893000002</v>
          </cell>
          <cell r="F71" t="str">
            <v>PAD</v>
          </cell>
          <cell r="G71" t="str">
            <v>KOL-SK</v>
          </cell>
          <cell r="H71" t="str">
            <v>C11+LISA+Atik 460EX</v>
          </cell>
          <cell r="I71">
            <v>885</v>
          </cell>
          <cell r="P71">
            <v>4000</v>
          </cell>
          <cell r="Q71">
            <v>7590</v>
          </cell>
        </row>
      </sheetData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4:O82"/>
  <sheetViews>
    <sheetView showGridLines="0" topLeftCell="A43" workbookViewId="0">
      <selection activeCell="P25" sqref="P25"/>
    </sheetView>
  </sheetViews>
  <sheetFormatPr baseColWidth="10" defaultRowHeight="15" x14ac:dyDescent="0.25"/>
  <cols>
    <col min="3" max="3" width="11.85546875" bestFit="1" customWidth="1"/>
    <col min="5" max="5" width="13" bestFit="1" customWidth="1"/>
  </cols>
  <sheetData>
    <row r="4" spans="7:7" x14ac:dyDescent="0.25">
      <c r="G4" t="s">
        <v>162</v>
      </c>
    </row>
    <row r="22" spans="2:15" x14ac:dyDescent="0.25">
      <c r="O22">
        <v>6</v>
      </c>
    </row>
    <row r="24" spans="2:15" x14ac:dyDescent="0.25">
      <c r="B24" s="5">
        <f>+[1]V1413Aql!B13</f>
        <v>1</v>
      </c>
      <c r="C24" s="7">
        <f>+[1]V1413Aql!C13</f>
        <v>41496</v>
      </c>
      <c r="D24" s="12">
        <f>+[1]V1413Aql!D13</f>
        <v>0.94236111111111109</v>
      </c>
      <c r="E24" s="5">
        <f>+[1]V1413Aql!E13</f>
        <v>2456515.4580999999</v>
      </c>
      <c r="F24" s="5" t="str">
        <f>+[1]V1413Aql!F13</f>
        <v>FMT</v>
      </c>
      <c r="G24" s="5" t="str">
        <f>+[1]V1413Aql!G13</f>
        <v>ORS-FR</v>
      </c>
      <c r="H24" s="5" t="str">
        <f>+[1]V1413Aql!H13</f>
        <v>SC10+Lisa+ATIK46EX</v>
      </c>
      <c r="I24" s="6">
        <f>+[1]V1413Aql!I13</f>
        <v>781</v>
      </c>
      <c r="J24" s="2">
        <f>+[1]V1413Aql!P13</f>
        <v>4000</v>
      </c>
      <c r="K24" s="2">
        <f>+[1]V1413Aql!Q13</f>
        <v>7500</v>
      </c>
      <c r="M24" s="11"/>
    </row>
    <row r="25" spans="2:15" x14ac:dyDescent="0.25">
      <c r="B25" s="5">
        <f>+[1]V1413Aql!B14</f>
        <v>2</v>
      </c>
      <c r="C25" s="7">
        <f>+[1]V1413Aql!C14</f>
        <v>41497</v>
      </c>
      <c r="D25" s="12">
        <f>+[1]V1413Aql!D14</f>
        <v>2.1608796296296296E-2</v>
      </c>
      <c r="E25" s="5">
        <f>+[1]V1413Aql!E14</f>
        <v>2456515.5321</v>
      </c>
      <c r="F25" s="5" t="str">
        <f>+[1]V1413Aql!F14</f>
        <v>BUI</v>
      </c>
      <c r="G25" s="5" t="str">
        <f>+[1]V1413Aql!G14</f>
        <v>OHP-FR</v>
      </c>
      <c r="H25" s="5" t="str">
        <f>+[1]V1413Aql!H14</f>
        <v>CN212Alpy600ATIK6</v>
      </c>
      <c r="I25" s="6">
        <f>+[1]V1413Aql!I14</f>
        <v>606</v>
      </c>
      <c r="J25" s="2">
        <f>+[1]V1413Aql!P14</f>
        <v>3773</v>
      </c>
      <c r="K25" s="2">
        <f>+[1]V1413Aql!Q14</f>
        <v>7395</v>
      </c>
      <c r="M25" s="11"/>
    </row>
    <row r="26" spans="2:15" x14ac:dyDescent="0.25">
      <c r="B26" s="5">
        <f>+[1]V1413Aql!B15</f>
        <v>3</v>
      </c>
      <c r="C26" s="7">
        <f>+[1]V1413Aql!C15</f>
        <v>42243</v>
      </c>
      <c r="D26" s="12">
        <f>+[1]V1413Aql!D15</f>
        <v>0.9896759259259259</v>
      </c>
      <c r="E26" s="5">
        <f>+[1]V1413Aql!E15</f>
        <v>2457262.5019</v>
      </c>
      <c r="F26" s="5" t="str">
        <f>+[1]V1413Aql!F15</f>
        <v>PDL</v>
      </c>
      <c r="G26" s="5" t="str">
        <f>+[1]V1413Aql!G15</f>
        <v>ASP-FR</v>
      </c>
      <c r="H26" s="5" t="str">
        <f>+[1]V1413Aql!H15</f>
        <v>T400_Alpy600_Atik31</v>
      </c>
      <c r="I26" s="6">
        <f>+[1]V1413Aql!I15</f>
        <v>487</v>
      </c>
      <c r="J26" s="2">
        <f>+[1]V1413Aql!P15</f>
        <v>4000</v>
      </c>
      <c r="K26" s="2">
        <f>+[1]V1413Aql!Q15</f>
        <v>7500</v>
      </c>
      <c r="M26" s="11"/>
    </row>
    <row r="27" spans="2:15" x14ac:dyDescent="0.25">
      <c r="B27" s="5">
        <f>+[1]V1413Aql!B16</f>
        <v>4</v>
      </c>
      <c r="C27" s="7">
        <f>+[1]V1413Aql!C16</f>
        <v>42264</v>
      </c>
      <c r="D27" s="12">
        <f>+[1]V1413Aql!D16</f>
        <v>1.6550925925925924E-2</v>
      </c>
      <c r="E27" s="5">
        <f>+[1]V1413Aql!E16</f>
        <v>2457282.5517000002</v>
      </c>
      <c r="F27" s="5" t="str">
        <f>+[1]V1413Aql!F16</f>
        <v>LES</v>
      </c>
      <c r="G27" s="5" t="str">
        <f>+[1]V1413Aql!G16</f>
        <v>MRO-CA</v>
      </c>
      <c r="H27" s="5" t="str">
        <f>+[1]V1413Aql!H16</f>
        <v>31cmDK+23um1800lpm+</v>
      </c>
      <c r="I27" s="6">
        <f>+[1]V1413Aql!I16</f>
        <v>9000</v>
      </c>
      <c r="J27" s="2">
        <f>+[1]V1413Aql!P16</f>
        <v>5999</v>
      </c>
      <c r="K27" s="2">
        <f>+[1]V1413Aql!Q16</f>
        <v>7100</v>
      </c>
      <c r="M27" s="11"/>
    </row>
    <row r="28" spans="2:15" x14ac:dyDescent="0.25">
      <c r="B28" s="5">
        <f>+[1]V1413Aql!B17</f>
        <v>5</v>
      </c>
      <c r="C28" s="7">
        <f>+[1]V1413Aql!C17</f>
        <v>42273</v>
      </c>
      <c r="D28" s="12">
        <f>+[1]V1413Aql!D17</f>
        <v>0.81537037037037041</v>
      </c>
      <c r="E28" s="5">
        <f>+[1]V1413Aql!E17</f>
        <v>2457292.3402</v>
      </c>
      <c r="F28" s="5" t="str">
        <f>+[1]V1413Aql!F17</f>
        <v>DBO</v>
      </c>
      <c r="G28" s="5" t="str">
        <f>+[1]V1413Aql!G17</f>
        <v>WCO-UK</v>
      </c>
      <c r="H28" s="5" t="str">
        <f>+[1]V1413Aql!H17</f>
        <v>C11+Lisa+SXVR-H694</v>
      </c>
      <c r="I28" s="6">
        <f>+[1]V1413Aql!I17</f>
        <v>866</v>
      </c>
      <c r="J28" s="2">
        <f>+[1]V1413Aql!P17</f>
        <v>3900</v>
      </c>
      <c r="K28" s="2">
        <f>+[1]V1413Aql!Q17</f>
        <v>7400</v>
      </c>
      <c r="M28" s="11"/>
    </row>
    <row r="29" spans="2:15" x14ac:dyDescent="0.25">
      <c r="B29" s="5">
        <f>+[1]V1413Aql!B18</f>
        <v>6</v>
      </c>
      <c r="C29" s="7">
        <f>+[1]V1413Aql!C18</f>
        <v>42674</v>
      </c>
      <c r="D29" s="12">
        <f>+[1]V1413Aql!D18</f>
        <v>0.77057870370370374</v>
      </c>
      <c r="E29" s="5">
        <f>+[1]V1413Aql!E18</f>
        <v>2457693.2845999999</v>
      </c>
      <c r="F29" s="5" t="str">
        <f>+[1]V1413Aql!F18</f>
        <v>FBO</v>
      </c>
      <c r="G29" s="5" t="str">
        <f>+[1]V1413Aql!G18</f>
        <v>SJI-FR</v>
      </c>
      <c r="H29" s="5" t="str">
        <f>+[1]V1413Aql!H18</f>
        <v>SC8+Lisa+ATIK314L+</v>
      </c>
      <c r="I29" s="6">
        <f>+[1]V1413Aql!I18</f>
        <v>2200</v>
      </c>
      <c r="J29" s="2">
        <f>+[1]V1413Aql!P18</f>
        <v>4000</v>
      </c>
      <c r="K29" s="2">
        <f>+[1]V1413Aql!Q18</f>
        <v>7501</v>
      </c>
      <c r="M29" s="11"/>
    </row>
    <row r="30" spans="2:15" x14ac:dyDescent="0.25">
      <c r="B30" s="5">
        <f>+[1]V1413Aql!B19</f>
        <v>7</v>
      </c>
      <c r="C30" s="7">
        <f>+[1]V1413Aql!C19</f>
        <v>42974</v>
      </c>
      <c r="D30" s="12">
        <f>+[1]V1413Aql!D19</f>
        <v>0.3087037037037037</v>
      </c>
      <c r="E30" s="5">
        <f>+[1]V1413Aql!E19</f>
        <v>2457992.8265999998</v>
      </c>
      <c r="F30" s="5" t="str">
        <f>+[1]V1413Aql!F19</f>
        <v>JRF</v>
      </c>
      <c r="G30" s="5" t="str">
        <f>+[1]V1413Aql!G19</f>
        <v>MTP-US</v>
      </c>
      <c r="H30" s="5" t="str">
        <f>+[1]V1413Aql!H19</f>
        <v>CC13LisaATIK460EX</v>
      </c>
      <c r="I30" s="6">
        <f>+[1]V1413Aql!I19</f>
        <v>1004</v>
      </c>
      <c r="J30" s="2">
        <f>+[1]V1413Aql!P19</f>
        <v>3935</v>
      </c>
      <c r="K30" s="2">
        <f>+[1]V1413Aql!Q19</f>
        <v>7399</v>
      </c>
      <c r="L30" s="3"/>
      <c r="M30" s="11"/>
    </row>
    <row r="31" spans="2:15" x14ac:dyDescent="0.25">
      <c r="B31" s="5">
        <f>+[1]V1413Aql!B20</f>
        <v>8</v>
      </c>
      <c r="C31" s="7">
        <f>+[1]V1413Aql!C20</f>
        <v>42999</v>
      </c>
      <c r="D31" s="12">
        <f>+[1]V1413Aql!D20</f>
        <v>0.28267361111111111</v>
      </c>
      <c r="E31" s="5">
        <f>+[1]V1413Aql!E20</f>
        <v>2458017.7960000001</v>
      </c>
      <c r="F31" s="5" t="str">
        <f>+[1]V1413Aql!F20</f>
        <v>JRF</v>
      </c>
      <c r="G31" s="5" t="str">
        <f>+[1]V1413Aql!G20</f>
        <v>MTP-US</v>
      </c>
      <c r="H31" s="5" t="str">
        <f>+[1]V1413Aql!H20</f>
        <v>CC13LisaATIK460EX</v>
      </c>
      <c r="I31" s="6">
        <f>+[1]V1413Aql!I20</f>
        <v>855</v>
      </c>
      <c r="J31" s="2">
        <f>+[1]V1413Aql!P20</f>
        <v>3900</v>
      </c>
      <c r="K31" s="2">
        <f>+[1]V1413Aql!Q20</f>
        <v>7400</v>
      </c>
      <c r="L31" s="3"/>
      <c r="M31" s="11"/>
    </row>
    <row r="32" spans="2:15" x14ac:dyDescent="0.25">
      <c r="B32" s="5">
        <f>+[1]V1413Aql!B21</f>
        <v>9</v>
      </c>
      <c r="C32" s="7">
        <f>+[1]V1413Aql!C21</f>
        <v>43266</v>
      </c>
      <c r="D32" s="12">
        <f>+[1]V1413Aql!D21</f>
        <v>0.41339120370370369</v>
      </c>
      <c r="E32" s="5">
        <f>+[1]V1413Aql!E21</f>
        <v>2458284.9259000001</v>
      </c>
      <c r="F32" s="5" t="str">
        <f>+[1]V1413Aql!F21</f>
        <v>JRF</v>
      </c>
      <c r="G32" s="5" t="str">
        <f>+[1]V1413Aql!G21</f>
        <v>MTP-US</v>
      </c>
      <c r="H32" s="5" t="str">
        <f>+[1]V1413Aql!H21</f>
        <v>CC13LisaATIK460EX</v>
      </c>
      <c r="I32" s="6">
        <f>+[1]V1413Aql!I21</f>
        <v>852</v>
      </c>
      <c r="J32" s="2">
        <f>+[1]V1413Aql!P21</f>
        <v>3805</v>
      </c>
      <c r="K32" s="2">
        <f>+[1]V1413Aql!Q21</f>
        <v>7390</v>
      </c>
      <c r="L32" s="3"/>
      <c r="M32" s="11"/>
    </row>
    <row r="33" spans="2:14" x14ac:dyDescent="0.25">
      <c r="B33" s="5">
        <f>+[1]V1413Aql!B22</f>
        <v>10</v>
      </c>
      <c r="C33" s="7">
        <f>+[1]V1413Aql!C22</f>
        <v>43293</v>
      </c>
      <c r="D33" s="12">
        <f>+[1]V1413Aql!D22</f>
        <v>0.10725694444444445</v>
      </c>
      <c r="E33" s="5">
        <f>+[1]V1413Aql!E22</f>
        <v>2458311.6836000001</v>
      </c>
      <c r="F33" s="5" t="str">
        <f>+[1]V1413Aql!F22</f>
        <v>LES</v>
      </c>
      <c r="G33" s="5" t="str">
        <f>+[1]V1413Aql!G22</f>
        <v>MRO-CA</v>
      </c>
      <c r="H33" s="5" t="str">
        <f>+[1]V1413Aql!H22</f>
        <v>DK310+Echelle_ESSAT</v>
      </c>
      <c r="I33" s="6">
        <f>+[1]V1413Aql!I22</f>
        <v>12000</v>
      </c>
      <c r="J33" s="2">
        <f>+[1]V1413Aql!P22</f>
        <v>4030</v>
      </c>
      <c r="K33" s="2">
        <f>+[1]V1413Aql!Q22</f>
        <v>7948</v>
      </c>
      <c r="L33" s="3"/>
      <c r="M33" s="11"/>
    </row>
    <row r="34" spans="2:14" x14ac:dyDescent="0.25">
      <c r="B34" s="5">
        <f>+[1]V1413Aql!B23</f>
        <v>11</v>
      </c>
      <c r="C34" s="7">
        <f>+[1]V1413Aql!C23</f>
        <v>43294</v>
      </c>
      <c r="D34" s="12">
        <f>+[1]V1413Aql!D23</f>
        <v>0.44025462962962963</v>
      </c>
      <c r="E34" s="5">
        <f>+[1]V1413Aql!E23</f>
        <v>2458312.9526999998</v>
      </c>
      <c r="F34" s="5" t="str">
        <f>+[1]V1413Aql!F23</f>
        <v>JRF</v>
      </c>
      <c r="G34" s="5" t="str">
        <f>+[1]V1413Aql!G23</f>
        <v>MTP-US</v>
      </c>
      <c r="H34" s="5" t="str">
        <f>+[1]V1413Aql!H23</f>
        <v>CC13LisaATIK460EX</v>
      </c>
      <c r="I34" s="6">
        <f>+[1]V1413Aql!I23</f>
        <v>767</v>
      </c>
      <c r="J34" s="2">
        <f>+[1]V1413Aql!P23</f>
        <v>3885</v>
      </c>
      <c r="K34" s="2">
        <f>+[1]V1413Aql!Q23</f>
        <v>7399</v>
      </c>
      <c r="M34" s="11"/>
    </row>
    <row r="35" spans="2:14" x14ac:dyDescent="0.25">
      <c r="B35" s="5">
        <f>+[1]V1413Aql!B24</f>
        <v>12</v>
      </c>
      <c r="C35" s="7">
        <f>+[1]V1413Aql!C24</f>
        <v>43366</v>
      </c>
      <c r="D35" s="12">
        <f>+[1]V1413Aql!D24</f>
        <v>0.931574074074074</v>
      </c>
      <c r="E35" s="5">
        <f>+[1]V1413Aql!E24</f>
        <v>2458385.4419999998</v>
      </c>
      <c r="F35" s="5" t="str">
        <f>+[1]V1413Aql!F24</f>
        <v>FCA</v>
      </c>
      <c r="G35" s="5" t="str">
        <f>+[1]V1413Aql!G24</f>
        <v>PAG-SP</v>
      </c>
      <c r="H35" s="5" t="str">
        <f>+[1]V1413Aql!H24</f>
        <v>RC350 _F/8 +DADOS_200+Atik314L+'</v>
      </c>
      <c r="I35" s="6">
        <f>+[1]V1413Aql!I24</f>
        <v>700</v>
      </c>
      <c r="J35" s="2">
        <f>+[1]V1413Aql!P24</f>
        <v>3870</v>
      </c>
      <c r="K35" s="2">
        <f>+[1]V1413Aql!Q24</f>
        <v>7415</v>
      </c>
      <c r="M35" s="11"/>
    </row>
    <row r="36" spans="2:14" x14ac:dyDescent="0.25">
      <c r="B36" s="5">
        <f>+[1]V1413Aql!B25</f>
        <v>13</v>
      </c>
      <c r="C36" s="7">
        <f>+[1]V1413Aql!C25</f>
        <v>43444</v>
      </c>
      <c r="D36" s="12">
        <f>+[1]V1413Aql!D25</f>
        <v>0.20276620370370368</v>
      </c>
      <c r="E36" s="5">
        <f>+[1]V1413Aql!E25</f>
        <v>2458403.7239000001</v>
      </c>
      <c r="F36" s="5" t="str">
        <f>+[1]V1413Aql!F25</f>
        <v>JRF</v>
      </c>
      <c r="G36" s="5" t="str">
        <f>+[1]V1413Aql!G25</f>
        <v>MTP-US</v>
      </c>
      <c r="H36" s="5" t="str">
        <f>+[1]V1413Aql!H25</f>
        <v>CC13LISAATIK460EX</v>
      </c>
      <c r="I36" s="6">
        <f>+[1]V1413Aql!I25</f>
        <v>713</v>
      </c>
      <c r="J36" s="2">
        <f>+[1]V1413Aql!P25</f>
        <v>3832</v>
      </c>
      <c r="K36" s="2">
        <f>+[1]V1413Aql!Q25</f>
        <v>7397</v>
      </c>
      <c r="L36" s="3"/>
      <c r="M36" s="11"/>
    </row>
    <row r="37" spans="2:14" ht="15.75" x14ac:dyDescent="0.25">
      <c r="B37" s="5">
        <f>+[1]V1413Aql!B26</f>
        <v>14</v>
      </c>
      <c r="C37" s="7">
        <f>+[1]V1413Aql!C26</f>
        <v>43648</v>
      </c>
      <c r="D37" s="12">
        <f>+[1]V1413Aql!D26</f>
        <v>0.42180555555555554</v>
      </c>
      <c r="E37" s="5">
        <f>+[1]V1413Aql!E26</f>
        <v>2458666.9361</v>
      </c>
      <c r="F37" s="5" t="str">
        <f>+[1]V1413Aql!F26</f>
        <v>JRF</v>
      </c>
      <c r="G37" s="5" t="str">
        <f>+[1]V1413Aql!G26</f>
        <v>MTP-US</v>
      </c>
      <c r="H37" s="5" t="str">
        <f>+[1]V1413Aql!H26</f>
        <v>CC13ALPY600ATIK460EX</v>
      </c>
      <c r="I37" s="6">
        <f>+[1]V1413Aql!I26</f>
        <v>690</v>
      </c>
      <c r="J37" s="2">
        <f>+[1]V1413Aql!P26</f>
        <v>3700</v>
      </c>
      <c r="K37" s="2">
        <f>+[1]V1413Aql!Q26</f>
        <v>7400</v>
      </c>
      <c r="L37" s="4"/>
      <c r="M37" s="11"/>
    </row>
    <row r="38" spans="2:14" x14ac:dyDescent="0.25">
      <c r="B38" s="5">
        <f>+[1]V1413Aql!B27</f>
        <v>15</v>
      </c>
      <c r="C38" s="7">
        <f>+[1]V1413Aql!C27</f>
        <v>43652</v>
      </c>
      <c r="D38" s="12">
        <f>+[1]V1413Aql!D27</f>
        <v>0.42792824074074076</v>
      </c>
      <c r="E38" s="5">
        <f>+[1]V1413Aql!E27</f>
        <v>2458670.9402999999</v>
      </c>
      <c r="F38" s="5" t="str">
        <f>+[1]V1413Aql!F27</f>
        <v>JRF</v>
      </c>
      <c r="G38" s="5" t="str">
        <f>+[1]V1413Aql!G27</f>
        <v>MTP-US</v>
      </c>
      <c r="H38" s="5" t="str">
        <f>+[1]V1413Aql!H27</f>
        <v>CC13LISAATIK460EX</v>
      </c>
      <c r="I38" s="6">
        <f>+[1]V1413Aql!I27</f>
        <v>898</v>
      </c>
      <c r="J38" s="2">
        <f>+[1]V1413Aql!P27</f>
        <v>6305</v>
      </c>
      <c r="K38" s="2">
        <f>+[1]V1413Aql!Q27</f>
        <v>9540</v>
      </c>
      <c r="M38" s="11"/>
    </row>
    <row r="39" spans="2:14" x14ac:dyDescent="0.25">
      <c r="B39" s="5">
        <f>+[1]V1413Aql!B28</f>
        <v>16</v>
      </c>
      <c r="C39" s="7" t="str">
        <f>+[1]V1413Aql!C28</f>
        <v>19/08/2020</v>
      </c>
      <c r="D39" s="12">
        <f>+[1]V1413Aql!D28</f>
        <v>0.86041666666666661</v>
      </c>
      <c r="E39" s="5">
        <f>+[1]V1413Aql!E28</f>
        <v>2459081.3884999999</v>
      </c>
      <c r="F39" s="5" t="str">
        <f>+[1]V1413Aql!F28</f>
        <v>HBO</v>
      </c>
      <c r="G39" s="5" t="str">
        <f>+[1]V1413Aql!G28</f>
        <v>K10-FR</v>
      </c>
      <c r="H39" s="5" t="str">
        <f>+[1]V1413Aql!H28</f>
        <v>M10_LISA_ATIK414EX</v>
      </c>
      <c r="I39" s="6">
        <f>+[1]V1413Aql!I28</f>
        <v>746</v>
      </c>
      <c r="J39" s="2">
        <f>+[1]V1413Aql!P28</f>
        <v>3870</v>
      </c>
      <c r="K39" s="2">
        <f>+[1]V1413Aql!Q28</f>
        <v>7379</v>
      </c>
      <c r="M39" s="11">
        <f t="shared" ref="M25:M56" si="0">+E39-2450000</f>
        <v>9081.3884999998845</v>
      </c>
      <c r="N39">
        <f t="shared" ref="N24:N72" si="1">+O$22</f>
        <v>6</v>
      </c>
    </row>
    <row r="40" spans="2:14" x14ac:dyDescent="0.25">
      <c r="B40" s="5">
        <f>+[1]V1413Aql!B29</f>
        <v>17</v>
      </c>
      <c r="C40" s="7" t="str">
        <f>+[1]V1413Aql!C29</f>
        <v>20/08/2020</v>
      </c>
      <c r="D40" s="12">
        <f>+[1]V1413Aql!D29</f>
        <v>0.78888888888888886</v>
      </c>
      <c r="E40" s="5">
        <f>+[1]V1413Aql!E29</f>
        <v>2459082.3243</v>
      </c>
      <c r="F40" s="5" t="str">
        <f>+[1]V1413Aql!F29</f>
        <v>PAD</v>
      </c>
      <c r="G40" s="5" t="str">
        <f>+[1]V1413Aql!G29</f>
        <v>KOL-SK</v>
      </c>
      <c r="H40" s="5" t="str">
        <f>+[1]V1413Aql!H29</f>
        <v>C11+LISA+Atik 460EX</v>
      </c>
      <c r="I40" s="6">
        <f>+[1]V1413Aql!I29</f>
        <v>1021</v>
      </c>
      <c r="J40" s="2">
        <f>+[1]V1413Aql!P29</f>
        <v>3800</v>
      </c>
      <c r="K40" s="2">
        <f>+[1]V1413Aql!Q29</f>
        <v>7590</v>
      </c>
      <c r="M40" s="11">
        <f t="shared" si="0"/>
        <v>9082.3242999999784</v>
      </c>
      <c r="N40">
        <f t="shared" si="1"/>
        <v>6</v>
      </c>
    </row>
    <row r="41" spans="2:14" x14ac:dyDescent="0.25">
      <c r="B41" s="5">
        <f>+[1]V1413Aql!B30</f>
        <v>18</v>
      </c>
      <c r="C41" s="7" t="str">
        <f>+[1]V1413Aql!C30</f>
        <v>20/08/2020</v>
      </c>
      <c r="D41" s="12">
        <f>+[1]V1413Aql!D30</f>
        <v>0.86875000000000002</v>
      </c>
      <c r="E41" s="5">
        <f>+[1]V1413Aql!E30</f>
        <v>2459082.4246999999</v>
      </c>
      <c r="F41" s="5" t="str">
        <f>+[1]V1413Aql!F30</f>
        <v>JGF</v>
      </c>
      <c r="G41" s="5" t="str">
        <f>+[1]V1413Aql!G30</f>
        <v>SMM-SP</v>
      </c>
      <c r="H41" s="5" t="str">
        <f>+[1]V1413Aql!H30</f>
        <v>16 REMOT LINX 460EX</v>
      </c>
      <c r="I41" s="6">
        <f>+[1]V1413Aql!I30</f>
        <v>9500</v>
      </c>
      <c r="J41" s="2">
        <f>+[1]V1413Aql!P30</f>
        <v>4052</v>
      </c>
      <c r="K41" s="2">
        <f>+[1]V1413Aql!Q30</f>
        <v>7761</v>
      </c>
      <c r="M41" s="11">
        <f t="shared" si="0"/>
        <v>9082.4246999998577</v>
      </c>
      <c r="N41">
        <f t="shared" si="1"/>
        <v>6</v>
      </c>
    </row>
    <row r="42" spans="2:14" ht="15.75" x14ac:dyDescent="0.25">
      <c r="B42" s="5">
        <f>+[1]V1413Aql!B31</f>
        <v>25</v>
      </c>
      <c r="C42" s="7" t="str">
        <f>+[1]V1413Aql!C31</f>
        <v>20/08/2020</v>
      </c>
      <c r="D42" s="12">
        <f>+[1]V1413Aql!D31</f>
        <v>0.93333333333333324</v>
      </c>
      <c r="E42" s="5">
        <f>+[1]V1413Aql!E31</f>
        <v>2459082.4651000001</v>
      </c>
      <c r="F42" s="5" t="str">
        <f>+[1]V1413Aql!F31</f>
        <v>BUI</v>
      </c>
      <c r="G42" s="5" t="str">
        <f>+[1]V1413Aql!G31</f>
        <v>OHP-FR</v>
      </c>
      <c r="H42" s="5" t="str">
        <f>+[1]V1413Aql!H31</f>
        <v>C9 UVEX3 G300 ASI183MM</v>
      </c>
      <c r="I42" s="6">
        <f>+[1]V1413Aql!I31</f>
        <v>756</v>
      </c>
      <c r="J42" s="2">
        <f>+[1]V1413Aql!P31</f>
        <v>3680</v>
      </c>
      <c r="K42" s="2">
        <f>+[1]V1413Aql!Q31</f>
        <v>7500</v>
      </c>
      <c r="L42" s="8"/>
      <c r="M42" s="11">
        <f t="shared" si="0"/>
        <v>9082.4651000001468</v>
      </c>
      <c r="N42">
        <f t="shared" si="1"/>
        <v>6</v>
      </c>
    </row>
    <row r="43" spans="2:14" ht="15.75" x14ac:dyDescent="0.25">
      <c r="B43" s="5">
        <f>+[1]V1413Aql!B32</f>
        <v>26</v>
      </c>
      <c r="C43" s="7" t="str">
        <f>+[1]V1413Aql!C32</f>
        <v>20/08/2020</v>
      </c>
      <c r="D43" s="12">
        <f>+[1]V1413Aql!D32</f>
        <v>0.99861111111111101</v>
      </c>
      <c r="E43" s="5">
        <f>+[1]V1413Aql!E32</f>
        <v>2459082.5203999998</v>
      </c>
      <c r="F43" s="5" t="str">
        <f>+[1]V1413Aql!F32</f>
        <v>OGASCH</v>
      </c>
      <c r="G43" s="5" t="str">
        <f>+[1]V1413Aql!G32</f>
        <v>OHP-FR</v>
      </c>
      <c r="H43" s="5" t="str">
        <f>+[1]V1413Aql!H32</f>
        <v>RC12-Alpy600-ATIK414ex</v>
      </c>
      <c r="I43" s="6">
        <f>+[1]V1413Aql!I32</f>
        <v>539</v>
      </c>
      <c r="J43" s="2">
        <f>+[1]V1413Aql!P32</f>
        <v>3603</v>
      </c>
      <c r="K43" s="2">
        <f>+[1]V1413Aql!Q32</f>
        <v>7693</v>
      </c>
      <c r="L43" s="8"/>
      <c r="M43" s="11">
        <f t="shared" si="0"/>
        <v>9082.5203999998048</v>
      </c>
      <c r="N43">
        <f t="shared" si="1"/>
        <v>6</v>
      </c>
    </row>
    <row r="44" spans="2:14" ht="15.75" x14ac:dyDescent="0.25">
      <c r="B44" s="5">
        <f>+[1]V1413Aql!B33</f>
        <v>27</v>
      </c>
      <c r="C44" s="7" t="str">
        <f>+[1]V1413Aql!C33</f>
        <v>21/08/2020</v>
      </c>
      <c r="D44" s="12">
        <f>+[1]V1413Aql!D33</f>
        <v>0.17361111111111113</v>
      </c>
      <c r="E44" s="5">
        <f>+[1]V1413Aql!E33</f>
        <v>2459082.6850000001</v>
      </c>
      <c r="F44" s="5" t="str">
        <f>+[1]V1413Aql!F33</f>
        <v>CUR</v>
      </c>
      <c r="G44" s="5" t="str">
        <f>+[1]V1413Aql!G33</f>
        <v>YGU-US</v>
      </c>
      <c r="H44" s="5" t="str">
        <f>+[1]V1413Aql!H33</f>
        <v>ALPY600</v>
      </c>
      <c r="I44" s="6">
        <f>+[1]V1413Aql!I33</f>
        <v>566</v>
      </c>
      <c r="J44" s="2">
        <f>+[1]V1413Aql!P33</f>
        <v>3900</v>
      </c>
      <c r="K44" s="2">
        <f>+[1]V1413Aql!Q33</f>
        <v>7490</v>
      </c>
      <c r="L44" s="8"/>
      <c r="M44" s="11">
        <f t="shared" si="0"/>
        <v>9082.6850000000559</v>
      </c>
      <c r="N44">
        <f t="shared" si="1"/>
        <v>6</v>
      </c>
    </row>
    <row r="45" spans="2:14" ht="15.75" x14ac:dyDescent="0.25">
      <c r="B45" s="5">
        <f>+[1]V1413Aql!B34</f>
        <v>28</v>
      </c>
      <c r="C45" s="7" t="str">
        <f>+[1]V1413Aql!C34</f>
        <v>21/08/2020</v>
      </c>
      <c r="D45" s="12">
        <f>+[1]V1413Aql!D34</f>
        <v>0.86041666666666661</v>
      </c>
      <c r="E45" s="5">
        <f>+[1]V1413Aql!E34</f>
        <v>2459083.3886000002</v>
      </c>
      <c r="F45" s="5" t="str">
        <f>+[1]V1413Aql!F34</f>
        <v>PAD</v>
      </c>
      <c r="G45" s="5" t="str">
        <f>+[1]V1413Aql!G34</f>
        <v>KOL-SK</v>
      </c>
      <c r="H45" s="5" t="str">
        <f>+[1]V1413Aql!H34</f>
        <v>C11+LISA+Atik 460EX</v>
      </c>
      <c r="I45" s="6">
        <f>+[1]V1413Aql!I34</f>
        <v>987</v>
      </c>
      <c r="J45" s="2">
        <f>+[1]V1413Aql!P34</f>
        <v>3900</v>
      </c>
      <c r="K45" s="2">
        <f>+[1]V1413Aql!Q34</f>
        <v>7590</v>
      </c>
      <c r="L45" s="8"/>
      <c r="M45" s="11">
        <f t="shared" si="0"/>
        <v>9083.3886000001803</v>
      </c>
      <c r="N45">
        <f t="shared" si="1"/>
        <v>6</v>
      </c>
    </row>
    <row r="46" spans="2:14" ht="15.75" x14ac:dyDescent="0.25">
      <c r="B46" s="5">
        <f>+[1]V1413Aql!B35</f>
        <v>29</v>
      </c>
      <c r="C46" s="7" t="str">
        <f>+[1]V1413Aql!C35</f>
        <v>21/08/2020</v>
      </c>
      <c r="D46" s="12">
        <f>+[1]V1413Aql!D35</f>
        <v>0.85833333333333339</v>
      </c>
      <c r="E46" s="5">
        <f>+[1]V1413Aql!E35</f>
        <v>2459083.4145999998</v>
      </c>
      <c r="F46" s="5" t="str">
        <f>+[1]V1413Aql!F35</f>
        <v>JGF</v>
      </c>
      <c r="G46" s="5" t="str">
        <f>+[1]V1413Aql!G35</f>
        <v>SMM-SP</v>
      </c>
      <c r="H46" s="5" t="str">
        <f>+[1]V1413Aql!H35</f>
        <v>16 REMOT LINX 460EX</v>
      </c>
      <c r="I46" s="6">
        <f>+[1]V1413Aql!I35</f>
        <v>9500</v>
      </c>
      <c r="J46" s="2">
        <f>+[1]V1413Aql!P35</f>
        <v>4052</v>
      </c>
      <c r="K46" s="2">
        <f>+[1]V1413Aql!Q35</f>
        <v>7761</v>
      </c>
      <c r="L46" s="8"/>
      <c r="M46" s="11">
        <f t="shared" si="0"/>
        <v>9083.4145999997854</v>
      </c>
      <c r="N46">
        <f t="shared" si="1"/>
        <v>6</v>
      </c>
    </row>
    <row r="47" spans="2:14" ht="15.75" x14ac:dyDescent="0.25">
      <c r="B47" s="5">
        <f>+[1]V1413Aql!B36</f>
        <v>30</v>
      </c>
      <c r="C47" s="7" t="str">
        <f>+[1]V1413Aql!C36</f>
        <v>21/08/2020</v>
      </c>
      <c r="D47" s="12">
        <f>+[1]V1413Aql!D36</f>
        <v>0.9277777777777777</v>
      </c>
      <c r="E47" s="5">
        <f>+[1]V1413Aql!E36</f>
        <v>2459083.4654999999</v>
      </c>
      <c r="F47" s="5" t="str">
        <f>+[1]V1413Aql!F36</f>
        <v>BUI</v>
      </c>
      <c r="G47" s="5" t="str">
        <f>+[1]V1413Aql!G36</f>
        <v>OHP-FR</v>
      </c>
      <c r="H47" s="5" t="str">
        <f>+[1]V1413Aql!H36</f>
        <v>C9 UVEX3 G1200 ASI183MM</v>
      </c>
      <c r="I47" s="6">
        <f>+[1]V1413Aql!I36</f>
        <v>3589</v>
      </c>
      <c r="J47" s="2">
        <f>+[1]V1413Aql!P36</f>
        <v>6099</v>
      </c>
      <c r="K47" s="2">
        <f>+[1]V1413Aql!Q36</f>
        <v>7162</v>
      </c>
      <c r="L47" s="8"/>
      <c r="M47" s="11">
        <f t="shared" si="0"/>
        <v>9083.4654999999329</v>
      </c>
      <c r="N47">
        <f t="shared" si="1"/>
        <v>6</v>
      </c>
    </row>
    <row r="48" spans="2:14" ht="15.75" x14ac:dyDescent="0.25">
      <c r="B48" s="5">
        <f>+[1]V1413Aql!B37</f>
        <v>31</v>
      </c>
      <c r="C48" s="7" t="str">
        <f>+[1]V1413Aql!C37</f>
        <v>22/08/2020</v>
      </c>
      <c r="D48" s="12">
        <f>+[1]V1413Aql!D37</f>
        <v>0.77916666666666667</v>
      </c>
      <c r="E48" s="5">
        <f>+[1]V1413Aql!E37</f>
        <v>2459084.3143000002</v>
      </c>
      <c r="F48" s="5" t="str">
        <f>+[1]V1413Aql!F37</f>
        <v>PAD</v>
      </c>
      <c r="G48" s="5" t="str">
        <f>+[1]V1413Aql!G37</f>
        <v>KOL-SK</v>
      </c>
      <c r="H48" s="5" t="str">
        <f>+[1]V1413Aql!H37</f>
        <v>C11+LISA+Atik 460EX</v>
      </c>
      <c r="I48" s="6">
        <f>+[1]V1413Aql!I37</f>
        <v>1046</v>
      </c>
      <c r="J48" s="2">
        <f>+[1]V1413Aql!P37</f>
        <v>3800</v>
      </c>
      <c r="K48" s="2">
        <f>+[1]V1413Aql!Q37</f>
        <v>7590</v>
      </c>
      <c r="L48" s="8"/>
      <c r="M48" s="11">
        <f t="shared" si="0"/>
        <v>9084.3143000002019</v>
      </c>
      <c r="N48">
        <f t="shared" si="1"/>
        <v>6</v>
      </c>
    </row>
    <row r="49" spans="2:14" ht="15.75" x14ac:dyDescent="0.25">
      <c r="B49" s="5">
        <f>+[1]V1413Aql!B38</f>
        <v>32</v>
      </c>
      <c r="C49" s="7" t="str">
        <f>+[1]V1413Aql!C38</f>
        <v>22/08/2020</v>
      </c>
      <c r="D49" s="12">
        <f>+[1]V1413Aql!D38</f>
        <v>0.8618055555555556</v>
      </c>
      <c r="E49" s="5">
        <f>+[1]V1413Aql!E38</f>
        <v>2459084.4040000001</v>
      </c>
      <c r="F49" s="5" t="str">
        <f>+[1]V1413Aql!F38</f>
        <v>JGF</v>
      </c>
      <c r="G49" s="5" t="str">
        <f>+[1]V1413Aql!G38</f>
        <v>SMM-SP</v>
      </c>
      <c r="H49" s="5" t="str">
        <f>+[1]V1413Aql!H38</f>
        <v>16 REMOT LINX 460EX</v>
      </c>
      <c r="I49" s="6">
        <f>+[1]V1413Aql!I38</f>
        <v>9500</v>
      </c>
      <c r="J49" s="2">
        <f>+[1]V1413Aql!P38</f>
        <v>4052</v>
      </c>
      <c r="K49" s="2">
        <f>+[1]V1413Aql!Q38</f>
        <v>7761</v>
      </c>
      <c r="L49" s="8"/>
      <c r="M49" s="11">
        <f t="shared" si="0"/>
        <v>9084.4040000000969</v>
      </c>
      <c r="N49">
        <f t="shared" si="1"/>
        <v>6</v>
      </c>
    </row>
    <row r="50" spans="2:14" ht="15.75" x14ac:dyDescent="0.25">
      <c r="B50" s="5">
        <f>+[1]V1413Aql!B39</f>
        <v>33</v>
      </c>
      <c r="C50" s="7" t="str">
        <f>+[1]V1413Aql!C39</f>
        <v>22/08/2020</v>
      </c>
      <c r="D50" s="12">
        <f>+[1]V1413Aql!D39</f>
        <v>0.89583333333333337</v>
      </c>
      <c r="E50" s="5">
        <f>+[1]V1413Aql!E39</f>
        <v>2459084.4175</v>
      </c>
      <c r="F50" s="5" t="str">
        <f>+[1]V1413Aql!F39</f>
        <v>BUI</v>
      </c>
      <c r="G50" s="5" t="str">
        <f>+[1]V1413Aql!G39</f>
        <v>OHP-FR</v>
      </c>
      <c r="H50" s="5" t="str">
        <f>+[1]V1413Aql!H39</f>
        <v>RC12 UVEX3 G600 ASI183MM</v>
      </c>
      <c r="I50" s="6">
        <f>+[1]V1413Aql!I39</f>
        <v>2043</v>
      </c>
      <c r="J50" s="2">
        <f>+[1]V1413Aql!P39</f>
        <v>6388</v>
      </c>
      <c r="K50" s="2">
        <f>+[1]V1413Aql!Q39</f>
        <v>8611</v>
      </c>
      <c r="L50" s="8"/>
      <c r="M50" s="11">
        <f t="shared" si="0"/>
        <v>9084.4174999999814</v>
      </c>
      <c r="N50">
        <f t="shared" si="1"/>
        <v>6</v>
      </c>
    </row>
    <row r="51" spans="2:14" ht="15.75" x14ac:dyDescent="0.25">
      <c r="B51" s="5">
        <f>+[1]V1413Aql!B40</f>
        <v>34</v>
      </c>
      <c r="C51" s="7" t="str">
        <f>+[1]V1413Aql!C40</f>
        <v>22/08/2020</v>
      </c>
      <c r="D51" s="12">
        <f>+[1]V1413Aql!D40</f>
        <v>0.91388888888888886</v>
      </c>
      <c r="E51" s="5">
        <f>+[1]V1413Aql!E40</f>
        <v>2459084.4421000001</v>
      </c>
      <c r="F51" s="5" t="str">
        <f>+[1]V1413Aql!F40</f>
        <v>PCA</v>
      </c>
      <c r="G51" s="5" t="str">
        <f>+[1]V1413Aql!G40</f>
        <v>LEC-IT</v>
      </c>
      <c r="H51" s="5" t="str">
        <f>+[1]V1413Aql!H40</f>
        <v>VX10_Alpy600_Atik414</v>
      </c>
      <c r="I51" s="6">
        <f>+[1]V1413Aql!I40</f>
        <v>567</v>
      </c>
      <c r="J51" s="2">
        <f>+[1]V1413Aql!P40</f>
        <v>3802</v>
      </c>
      <c r="K51" s="2">
        <f>+[1]V1413Aql!Q40</f>
        <v>7301</v>
      </c>
      <c r="L51" s="8"/>
      <c r="M51" s="11">
        <f t="shared" si="0"/>
        <v>9084.4421000001021</v>
      </c>
      <c r="N51">
        <f t="shared" si="1"/>
        <v>6</v>
      </c>
    </row>
    <row r="52" spans="2:14" ht="15.75" x14ac:dyDescent="0.25">
      <c r="B52" s="5">
        <f>+[1]V1413Aql!B41</f>
        <v>35</v>
      </c>
      <c r="C52" s="7" t="str">
        <f>+[1]V1413Aql!C41</f>
        <v>25/08/2020</v>
      </c>
      <c r="D52" s="12">
        <f>+[1]V1413Aql!D41</f>
        <v>0.80347222222222225</v>
      </c>
      <c r="E52" s="5">
        <f>+[1]V1413Aql!E41</f>
        <v>2459087.3385999999</v>
      </c>
      <c r="F52" s="5" t="str">
        <f>+[1]V1413Aql!F41</f>
        <v>PAD</v>
      </c>
      <c r="G52" s="5" t="str">
        <f>+[1]V1413Aql!G41</f>
        <v>KOL-SK</v>
      </c>
      <c r="H52" s="5" t="str">
        <f>+[1]V1413Aql!H41</f>
        <v>C11+LISA+Atik 460EX</v>
      </c>
      <c r="I52" s="6">
        <f>+[1]V1413Aql!I41</f>
        <v>910</v>
      </c>
      <c r="J52" s="2">
        <f>+[1]V1413Aql!P41</f>
        <v>3800</v>
      </c>
      <c r="K52" s="2">
        <f>+[1]V1413Aql!Q41</f>
        <v>7590</v>
      </c>
      <c r="L52" s="8"/>
      <c r="M52" s="11">
        <f t="shared" si="0"/>
        <v>9087.3385999999009</v>
      </c>
      <c r="N52">
        <f t="shared" si="1"/>
        <v>6</v>
      </c>
    </row>
    <row r="53" spans="2:14" ht="15.75" x14ac:dyDescent="0.25">
      <c r="B53" s="5">
        <f>+[1]V1413Aql!B42</f>
        <v>36</v>
      </c>
      <c r="C53" s="7" t="str">
        <f>+[1]V1413Aql!C42</f>
        <v>25/08/2020</v>
      </c>
      <c r="D53" s="12">
        <f>+[1]V1413Aql!D42</f>
        <v>0.83958333333333324</v>
      </c>
      <c r="E53" s="5">
        <f>+[1]V1413Aql!E42</f>
        <v>2459087.3884999999</v>
      </c>
      <c r="F53" s="5" t="str">
        <f>+[1]V1413Aql!F42</f>
        <v>JGF</v>
      </c>
      <c r="G53" s="5" t="str">
        <f>+[1]V1413Aql!G42</f>
        <v>SMM-SP</v>
      </c>
      <c r="H53" s="5" t="str">
        <f>+[1]V1413Aql!H42</f>
        <v>16 REMOT LINX 460EX</v>
      </c>
      <c r="I53" s="6">
        <f>+[1]V1413Aql!I42</f>
        <v>9500</v>
      </c>
      <c r="J53" s="2">
        <f>+[1]V1413Aql!P42</f>
        <v>4052</v>
      </c>
      <c r="K53" s="2">
        <f>+[1]V1413Aql!Q42</f>
        <v>7761</v>
      </c>
      <c r="L53" s="8"/>
      <c r="M53" s="11">
        <f t="shared" si="0"/>
        <v>9087.3884999998845</v>
      </c>
      <c r="N53">
        <f t="shared" si="1"/>
        <v>6</v>
      </c>
    </row>
    <row r="54" spans="2:14" ht="15.75" x14ac:dyDescent="0.25">
      <c r="B54" s="5">
        <f>+[1]V1413Aql!B43</f>
        <v>37</v>
      </c>
      <c r="C54" s="7" t="str">
        <f>+[1]V1413Aql!C43</f>
        <v>28/08/2020</v>
      </c>
      <c r="D54" s="12">
        <f>+[1]V1413Aql!D43</f>
        <v>0.86875000000000002</v>
      </c>
      <c r="E54" s="5">
        <f>+[1]V1413Aql!E43</f>
        <v>2459090.4040999999</v>
      </c>
      <c r="F54" s="5" t="str">
        <f>+[1]V1413Aql!F43</f>
        <v>PAD</v>
      </c>
      <c r="G54" s="5" t="str">
        <f>+[1]V1413Aql!G43</f>
        <v>KOL-SK</v>
      </c>
      <c r="H54" s="5" t="str">
        <f>+[1]V1413Aql!H43</f>
        <v>C11+LISA+Atik 460EX</v>
      </c>
      <c r="I54" s="6">
        <f>+[1]V1413Aql!I43</f>
        <v>879</v>
      </c>
      <c r="J54" s="2">
        <f>+[1]V1413Aql!P43</f>
        <v>3900</v>
      </c>
      <c r="K54" s="2">
        <f>+[1]V1413Aql!Q43</f>
        <v>7590</v>
      </c>
      <c r="L54" s="8"/>
      <c r="M54" s="11">
        <f t="shared" si="0"/>
        <v>9090.404099999927</v>
      </c>
      <c r="N54">
        <f t="shared" si="1"/>
        <v>6</v>
      </c>
    </row>
    <row r="55" spans="2:14" ht="15.75" x14ac:dyDescent="0.25">
      <c r="B55" s="5">
        <f>+[1]V1413Aql!B44</f>
        <v>38</v>
      </c>
      <c r="C55" s="7" t="str">
        <f>+[1]V1413Aql!C44</f>
        <v>29/08/2020</v>
      </c>
      <c r="D55" s="12">
        <f>+[1]V1413Aql!D44</f>
        <v>0.78263888888888899</v>
      </c>
      <c r="E55" s="5">
        <f>+[1]V1413Aql!E44</f>
        <v>2459091.3182000001</v>
      </c>
      <c r="F55" s="5" t="str">
        <f>+[1]V1413Aql!F44</f>
        <v>PAD</v>
      </c>
      <c r="G55" s="5" t="str">
        <f>+[1]V1413Aql!G44</f>
        <v>KOL-SK</v>
      </c>
      <c r="H55" s="5" t="str">
        <f>+[1]V1413Aql!H44</f>
        <v>C11+LISA+Atik 460EX</v>
      </c>
      <c r="I55" s="6">
        <f>+[1]V1413Aql!I44</f>
        <v>1127</v>
      </c>
      <c r="J55" s="2">
        <f>+[1]V1413Aql!P44</f>
        <v>3800</v>
      </c>
      <c r="K55" s="2">
        <f>+[1]V1413Aql!Q44</f>
        <v>7590</v>
      </c>
      <c r="L55" s="8"/>
      <c r="M55" s="11">
        <f t="shared" si="0"/>
        <v>9091.3182000000961</v>
      </c>
      <c r="N55">
        <f t="shared" si="1"/>
        <v>6</v>
      </c>
    </row>
    <row r="56" spans="2:14" ht="15.75" x14ac:dyDescent="0.25">
      <c r="B56" s="5">
        <f>+[1]V1413Aql!B45</f>
        <v>39</v>
      </c>
      <c r="C56" s="7">
        <f>+[1]V1413Aql!C45</f>
        <v>44075</v>
      </c>
      <c r="D56" s="12">
        <f>+[1]V1413Aql!D45</f>
        <v>0.22708333333333333</v>
      </c>
      <c r="E56" s="5">
        <f>+[1]V1413Aql!E45</f>
        <v>2459093.7404</v>
      </c>
      <c r="F56" s="5" t="str">
        <f>+[1]V1413Aql!F45</f>
        <v>FAS</v>
      </c>
      <c r="G56" s="5" t="str">
        <f>+[1]V1413Aql!G45</f>
        <v>DCO-US</v>
      </c>
      <c r="H56" s="5" t="str">
        <f>+[1]V1413Aql!H45</f>
        <v>CDK14 LISA Atik414ex</v>
      </c>
      <c r="I56" s="6">
        <f>+[1]V1413Aql!I45</f>
        <v>1057</v>
      </c>
      <c r="J56" s="2">
        <f>+[1]V1413Aql!P45</f>
        <v>3718</v>
      </c>
      <c r="K56" s="2">
        <f>+[1]V1413Aql!Q45</f>
        <v>7305</v>
      </c>
      <c r="L56" s="8"/>
      <c r="M56" s="11">
        <f t="shared" si="0"/>
        <v>9093.7404000000097</v>
      </c>
      <c r="N56">
        <f t="shared" si="1"/>
        <v>6</v>
      </c>
    </row>
    <row r="57" spans="2:14" ht="15.75" x14ac:dyDescent="0.25">
      <c r="B57" s="5">
        <f>+[1]V1413Aql!B46</f>
        <v>40</v>
      </c>
      <c r="C57" s="7">
        <f>+[1]V1413Aql!C46</f>
        <v>44077</v>
      </c>
      <c r="D57" s="12">
        <f>+[1]V1413Aql!D46</f>
        <v>0.82847222222222217</v>
      </c>
      <c r="E57" s="5">
        <f>+[1]V1413Aql!E46</f>
        <v>2459096.3566999999</v>
      </c>
      <c r="F57" s="5" t="str">
        <f>+[1]V1413Aql!F46</f>
        <v>PAD</v>
      </c>
      <c r="G57" s="5" t="str">
        <f>+[1]V1413Aql!G46</f>
        <v>KOL-SK</v>
      </c>
      <c r="H57" s="5" t="str">
        <f>+[1]V1413Aql!H46</f>
        <v>C11+LISA+Atik 460EX</v>
      </c>
      <c r="I57" s="6">
        <f>+[1]V1413Aql!I46</f>
        <v>887</v>
      </c>
      <c r="J57" s="2">
        <f>+[1]V1413Aql!P46</f>
        <v>3900</v>
      </c>
      <c r="K57" s="2">
        <f>+[1]V1413Aql!Q46</f>
        <v>7590</v>
      </c>
      <c r="L57" s="9"/>
      <c r="M57" s="11">
        <f t="shared" ref="M57:M64" si="2">+E57-2450000</f>
        <v>9096.3566999998875</v>
      </c>
      <c r="N57">
        <f t="shared" si="1"/>
        <v>6</v>
      </c>
    </row>
    <row r="58" spans="2:14" x14ac:dyDescent="0.25">
      <c r="B58" s="5">
        <f>+[1]V1413Aql!B47</f>
        <v>41</v>
      </c>
      <c r="C58" s="7">
        <f>+[1]V1413Aql!C47</f>
        <v>44077</v>
      </c>
      <c r="D58" s="12">
        <f>+[1]V1413Aql!D47</f>
        <v>0.89930555555555547</v>
      </c>
      <c r="E58" s="5">
        <f>+[1]V1413Aql!E47</f>
        <v>2459096.4194999998</v>
      </c>
      <c r="F58" s="5" t="str">
        <f>+[1]V1413Aql!F47</f>
        <v>PSO</v>
      </c>
      <c r="G58" s="5" t="str">
        <f>+[1]V1413Aql!G47</f>
        <v>TAT-HU</v>
      </c>
      <c r="H58" s="5" t="str">
        <f>+[1]V1413Aql!H47</f>
        <v>30cmf4Alpy600Atik414</v>
      </c>
      <c r="I58" s="6">
        <f>+[1]V1413Aql!I47</f>
        <v>665</v>
      </c>
      <c r="J58" s="2">
        <f>+[1]V1413Aql!P47</f>
        <v>3645</v>
      </c>
      <c r="K58" s="2">
        <f>+[1]V1413Aql!Q47</f>
        <v>7883</v>
      </c>
      <c r="M58" s="11">
        <f t="shared" si="2"/>
        <v>9096.4194999998435</v>
      </c>
      <c r="N58">
        <f t="shared" si="1"/>
        <v>6</v>
      </c>
    </row>
    <row r="59" spans="2:14" x14ac:dyDescent="0.25">
      <c r="B59" s="5">
        <f>+[1]V1413Aql!B48</f>
        <v>42</v>
      </c>
      <c r="C59" s="7">
        <f>+[1]V1413Aql!C48</f>
        <v>44079</v>
      </c>
      <c r="D59" s="12">
        <f>+[1]V1413Aql!D48</f>
        <v>0.77500000000000002</v>
      </c>
      <c r="E59" s="5">
        <f>+[1]V1413Aql!E48</f>
        <v>2459098.3106</v>
      </c>
      <c r="F59" s="5" t="str">
        <f>+[1]V1413Aql!F48</f>
        <v>PAD</v>
      </c>
      <c r="G59" s="5" t="str">
        <f>+[1]V1413Aql!G48</f>
        <v>KOL-SK</v>
      </c>
      <c r="H59" s="5" t="str">
        <f>+[1]V1413Aql!H48</f>
        <v>C11+LISA+Atik 460EX</v>
      </c>
      <c r="I59" s="6">
        <f>+[1]V1413Aql!I48</f>
        <v>993</v>
      </c>
      <c r="J59" s="2">
        <f>+[1]V1413Aql!P48</f>
        <v>3800</v>
      </c>
      <c r="K59" s="2">
        <f>+[1]V1413Aql!Q48</f>
        <v>7590</v>
      </c>
      <c r="M59" s="11">
        <f t="shared" si="2"/>
        <v>9098.310599999968</v>
      </c>
      <c r="N59">
        <f t="shared" si="1"/>
        <v>6</v>
      </c>
    </row>
    <row r="60" spans="2:14" x14ac:dyDescent="0.25">
      <c r="B60" s="5">
        <f>+[1]V1413Aql!B49</f>
        <v>43</v>
      </c>
      <c r="C60" s="7">
        <f>+[1]V1413Aql!C49</f>
        <v>44079</v>
      </c>
      <c r="D60" s="12">
        <f>+[1]V1413Aql!D49</f>
        <v>0.81805555555555554</v>
      </c>
      <c r="E60" s="5">
        <f>+[1]V1413Aql!E49</f>
        <v>2459098.3506</v>
      </c>
      <c r="F60" s="5" t="str">
        <f>+[1]V1413Aql!F49</f>
        <v>JMI</v>
      </c>
      <c r="G60" s="5" t="str">
        <f>+[1]V1413Aql!G49</f>
        <v>Claix</v>
      </c>
      <c r="H60" s="5" t="str">
        <f>+[1]V1413Aql!H49</f>
        <v>C11f7-Lisa-Atik460EX</v>
      </c>
      <c r="I60" s="6">
        <f>+[1]V1413Aql!I49</f>
        <v>1000</v>
      </c>
      <c r="J60" s="2">
        <f>+[1]V1413Aql!P49</f>
        <v>3920</v>
      </c>
      <c r="K60" s="2">
        <f>+[1]V1413Aql!Q49</f>
        <v>7404</v>
      </c>
      <c r="M60" s="11">
        <f t="shared" si="2"/>
        <v>9098.3506000000052</v>
      </c>
      <c r="N60">
        <f t="shared" si="1"/>
        <v>6</v>
      </c>
    </row>
    <row r="61" spans="2:14" x14ac:dyDescent="0.25">
      <c r="B61" s="5">
        <f>+[1]V1413Aql!B50</f>
        <v>44</v>
      </c>
      <c r="C61" s="7" t="str">
        <f>+[1]V1413Aql!C50</f>
        <v>08/09/2020</v>
      </c>
      <c r="D61" s="12">
        <f>+[1]V1413Aql!D50</f>
        <v>0.7715277777777777</v>
      </c>
      <c r="E61" s="5">
        <f>+[1]V1413Aql!E50</f>
        <v>2459101.3064999999</v>
      </c>
      <c r="F61" s="5" t="str">
        <f>+[1]V1413Aql!F50</f>
        <v>PDTM</v>
      </c>
      <c r="G61" s="5" t="str">
        <f>+[1]V1413Aql!G50</f>
        <v>KOL-SK</v>
      </c>
      <c r="H61" s="5" t="str">
        <f>+[1]V1413Aql!H50</f>
        <v>C11+LISA+Atik 460EX</v>
      </c>
      <c r="I61" s="6">
        <f>+[1]V1413Aql!I50</f>
        <v>867</v>
      </c>
      <c r="J61" s="2">
        <f>+[1]V1413Aql!P50</f>
        <v>3900</v>
      </c>
      <c r="K61" s="2">
        <f>+[1]V1413Aql!Q50</f>
        <v>7590</v>
      </c>
      <c r="M61" s="11">
        <f t="shared" si="2"/>
        <v>9101.3064999999478</v>
      </c>
      <c r="N61">
        <f t="shared" si="1"/>
        <v>6</v>
      </c>
    </row>
    <row r="62" spans="2:14" x14ac:dyDescent="0.25">
      <c r="B62" s="5">
        <f>+[1]V1413Aql!B51</f>
        <v>45</v>
      </c>
      <c r="C62" s="7" t="str">
        <f>+[1]V1413Aql!C51</f>
        <v>09/09/2020</v>
      </c>
      <c r="D62" s="12">
        <f>+[1]V1413Aql!D51</f>
        <v>0.77638888888888891</v>
      </c>
      <c r="E62" s="5">
        <f>+[1]V1413Aql!E51</f>
        <v>2459102.2977999998</v>
      </c>
      <c r="F62" s="5" t="str">
        <f>+[1]V1413Aql!F51</f>
        <v>PDTM</v>
      </c>
      <c r="G62" s="5" t="str">
        <f>+[1]V1413Aql!G51</f>
        <v>KOL-SK</v>
      </c>
      <c r="H62" s="5" t="str">
        <f>+[1]V1413Aql!H51</f>
        <v>C11+LISA+Atik 460EX</v>
      </c>
      <c r="I62" s="6">
        <f>+[1]V1413Aql!I51</f>
        <v>935</v>
      </c>
      <c r="J62" s="2">
        <f>+[1]V1413Aql!P51</f>
        <v>4000</v>
      </c>
      <c r="K62" s="2">
        <f>+[1]V1413Aql!Q51</f>
        <v>7590</v>
      </c>
      <c r="M62" s="11">
        <f t="shared" si="2"/>
        <v>9102.2977999998257</v>
      </c>
      <c r="N62">
        <f t="shared" si="1"/>
        <v>6</v>
      </c>
    </row>
    <row r="63" spans="2:14" x14ac:dyDescent="0.25">
      <c r="B63" s="5">
        <f>+[1]V1413Aql!B52</f>
        <v>46</v>
      </c>
      <c r="C63" s="7">
        <f>+[1]V1413Aql!C52</f>
        <v>44083</v>
      </c>
      <c r="D63" s="12">
        <f>+[1]V1413Aql!D52</f>
        <v>0.93958333333333333</v>
      </c>
      <c r="E63" s="5">
        <f>+[1]V1413Aql!E52</f>
        <v>2459102.4594999999</v>
      </c>
      <c r="F63" s="5" t="str">
        <f>+[1]V1413Aql!F52</f>
        <v>KGU</v>
      </c>
      <c r="G63" s="5" t="str">
        <f>+[1]V1413Aql!G52</f>
        <v>KGH-UK</v>
      </c>
      <c r="H63" s="5" t="str">
        <f>+[1]V1413Aql!H52</f>
        <v>C11+063FR+ALPY600+Atik460EX</v>
      </c>
      <c r="I63" s="6">
        <f>+[1]V1413Aql!I52</f>
        <v>577</v>
      </c>
      <c r="J63" s="2">
        <f>+[1]V1413Aql!P52</f>
        <v>3891</v>
      </c>
      <c r="K63" s="2">
        <f>+[1]V1413Aql!Q52</f>
        <v>7375</v>
      </c>
      <c r="M63" s="11">
        <f t="shared" si="2"/>
        <v>9102.4594999998808</v>
      </c>
      <c r="N63">
        <f t="shared" si="1"/>
        <v>6</v>
      </c>
    </row>
    <row r="64" spans="2:14" x14ac:dyDescent="0.25">
      <c r="B64" s="5">
        <f>+[1]V1413Aql!B53</f>
        <v>41</v>
      </c>
      <c r="C64" s="7" t="str">
        <f>+[1]V1413Aql!C53</f>
        <v>12/09/2020</v>
      </c>
      <c r="D64" s="12">
        <f>+[1]V1413Aql!D53</f>
        <v>0.81944444444444453</v>
      </c>
      <c r="E64" s="5">
        <f>+[1]V1413Aql!E53</f>
        <v>2459105.355</v>
      </c>
      <c r="F64" s="5" t="str">
        <f>+[1]V1413Aql!F53</f>
        <v>PAD</v>
      </c>
      <c r="G64" s="5" t="str">
        <f>+[1]V1413Aql!G53</f>
        <v>KOL-SK</v>
      </c>
      <c r="H64" s="5" t="str">
        <f>+[1]V1413Aql!H53</f>
        <v>C11+LISA+Atik 460EX</v>
      </c>
      <c r="I64" s="6">
        <f>+[1]V1413Aql!I53</f>
        <v>941</v>
      </c>
      <c r="J64" s="2">
        <f>+[1]V1413Aql!P53</f>
        <v>3850</v>
      </c>
      <c r="K64" s="2">
        <f>+[1]V1413Aql!Q53</f>
        <v>7590</v>
      </c>
      <c r="M64" s="11">
        <f t="shared" si="2"/>
        <v>9105.3549999999814</v>
      </c>
      <c r="N64">
        <f t="shared" si="1"/>
        <v>6</v>
      </c>
    </row>
    <row r="65" spans="2:14" x14ac:dyDescent="0.25">
      <c r="B65" s="5">
        <f>+[1]V1413Aql!B54</f>
        <v>42</v>
      </c>
      <c r="C65" s="7" t="str">
        <f>+[1]V1413Aql!C54</f>
        <v>12/09/2020</v>
      </c>
      <c r="D65" s="12">
        <f>+[1]V1413Aql!D54</f>
        <v>0.81944444444444453</v>
      </c>
      <c r="E65" s="5">
        <f>+[1]V1413Aql!E54</f>
        <v>2459105.355</v>
      </c>
      <c r="F65" s="5" t="str">
        <f>+[1]V1413Aql!F54</f>
        <v>PAD</v>
      </c>
      <c r="G65" s="5" t="str">
        <f>+[1]V1413Aql!G54</f>
        <v>KOL-SK</v>
      </c>
      <c r="H65" s="5" t="str">
        <f>+[1]V1413Aql!H54</f>
        <v>C11+LISA+Atik 460EX</v>
      </c>
      <c r="I65" s="6">
        <f>+[1]V1413Aql!I54</f>
        <v>941</v>
      </c>
      <c r="J65" s="2">
        <f>+[1]V1413Aql!P54</f>
        <v>3850</v>
      </c>
      <c r="K65" s="2">
        <f>+[1]V1413Aql!Q54</f>
        <v>7590</v>
      </c>
      <c r="M65" s="11">
        <f t="shared" ref="M65:M72" si="3">+E65-2450000</f>
        <v>9105.3549999999814</v>
      </c>
      <c r="N65">
        <f t="shared" si="1"/>
        <v>6</v>
      </c>
    </row>
    <row r="66" spans="2:14" x14ac:dyDescent="0.25">
      <c r="B66" s="5">
        <f>+[1]V1413Aql!B55</f>
        <v>43</v>
      </c>
      <c r="C66" s="7">
        <f>+[1]V1413Aql!C55</f>
        <v>44086</v>
      </c>
      <c r="D66" s="12">
        <f>+[1]V1413Aql!D55</f>
        <v>0.8569444444444444</v>
      </c>
      <c r="E66" s="5">
        <f>+[1]V1413Aql!E55</f>
        <v>2459105.3862000001</v>
      </c>
      <c r="F66" s="5" t="str">
        <f>+[1]V1413Aql!F55</f>
        <v>DBO</v>
      </c>
      <c r="G66" s="5" t="str">
        <f>+[1]V1413Aql!G55</f>
        <v>WCO-UK</v>
      </c>
      <c r="H66" s="5" t="str">
        <f>+[1]V1413Aql!H55</f>
        <v>C11 + LISA + SXVR-H694</v>
      </c>
      <c r="I66" s="6">
        <f>+[1]V1413Aql!I55</f>
        <v>1020</v>
      </c>
      <c r="J66" s="2">
        <f>+[1]V1413Aql!P55</f>
        <v>3900</v>
      </c>
      <c r="K66" s="2">
        <f>+[1]V1413Aql!Q55</f>
        <v>7380</v>
      </c>
      <c r="M66" s="11">
        <f t="shared" si="3"/>
        <v>9105.3862000000663</v>
      </c>
      <c r="N66">
        <f t="shared" si="1"/>
        <v>6</v>
      </c>
    </row>
    <row r="67" spans="2:14" x14ac:dyDescent="0.25">
      <c r="B67" s="5">
        <f>+[1]V1413Aql!B56</f>
        <v>44</v>
      </c>
      <c r="C67" s="7" t="str">
        <f>+[1]V1413Aql!C56</f>
        <v>13/09/2020</v>
      </c>
      <c r="D67" s="12">
        <f>+[1]V1413Aql!D56</f>
        <v>0.87986111111111109</v>
      </c>
      <c r="E67" s="5">
        <f>+[1]V1413Aql!E56</f>
        <v>2459106.4221999999</v>
      </c>
      <c r="F67" s="5" t="str">
        <f>+[1]V1413Aql!F56</f>
        <v>JGF</v>
      </c>
      <c r="G67" s="5" t="str">
        <f>+[1]V1413Aql!G56</f>
        <v>SMM-SP</v>
      </c>
      <c r="H67" s="5" t="str">
        <f>+[1]V1413Aql!H56</f>
        <v>16 REMOT LINX 460EX</v>
      </c>
      <c r="I67" s="6">
        <f>+[1]V1413Aql!I56</f>
        <v>9500</v>
      </c>
      <c r="J67" s="2">
        <f>+[1]V1413Aql!P56</f>
        <v>4052</v>
      </c>
      <c r="K67" s="2">
        <f>+[1]V1413Aql!Q56</f>
        <v>7761</v>
      </c>
      <c r="M67" s="11">
        <f t="shared" si="3"/>
        <v>9106.4221999999136</v>
      </c>
      <c r="N67">
        <f t="shared" si="1"/>
        <v>6</v>
      </c>
    </row>
    <row r="68" spans="2:14" x14ac:dyDescent="0.25">
      <c r="B68" s="5">
        <f>+[1]V1413Aql!B57</f>
        <v>45</v>
      </c>
      <c r="C68" s="7" t="str">
        <f>+[1]V1413Aql!C57</f>
        <v>20/09/2020</v>
      </c>
      <c r="D68" s="12">
        <f>+[1]V1413Aql!D57</f>
        <v>0.99375000000000002</v>
      </c>
      <c r="E68" s="5">
        <f>+[1]V1413Aql!E57</f>
        <v>2459113.5441999999</v>
      </c>
      <c r="F68" s="5" t="str">
        <f>+[1]V1413Aql!F57</f>
        <v>LES</v>
      </c>
      <c r="G68" s="5" t="str">
        <f>+[1]V1413Aql!G57</f>
        <v>MRO-CA</v>
      </c>
      <c r="H68" s="5" t="str">
        <f>+[1]V1413Aql!H57</f>
        <v>31cmDK+ESSAT_2</v>
      </c>
      <c r="I68" s="6">
        <f>+[1]V1413Aql!I57</f>
        <v>14000</v>
      </c>
      <c r="J68" s="2">
        <f>+[1]V1413Aql!P57</f>
        <v>4030</v>
      </c>
      <c r="K68" s="2">
        <f>+[1]V1413Aql!Q57</f>
        <v>7955</v>
      </c>
      <c r="M68" s="11">
        <f t="shared" si="3"/>
        <v>9113.5441999998875</v>
      </c>
      <c r="N68">
        <f t="shared" si="1"/>
        <v>6</v>
      </c>
    </row>
    <row r="69" spans="2:14" x14ac:dyDescent="0.25">
      <c r="B69" s="5">
        <f>+[1]V1413Aql!B58</f>
        <v>46</v>
      </c>
      <c r="C69" s="7" t="str">
        <f>+[1]V1413Aql!C58</f>
        <v>28/09/2020</v>
      </c>
      <c r="D69" s="12">
        <f>+[1]V1413Aql!D58</f>
        <v>0.81388888888888899</v>
      </c>
      <c r="E69" s="5">
        <f>+[1]V1413Aql!E58</f>
        <v>2459121.3561</v>
      </c>
      <c r="F69" s="5" t="str">
        <f>+[1]V1413Aql!F58</f>
        <v>JGF</v>
      </c>
      <c r="G69" s="5" t="str">
        <f>+[1]V1413Aql!G58</f>
        <v>SMM-SP</v>
      </c>
      <c r="H69" s="5" t="str">
        <f>+[1]V1413Aql!H58</f>
        <v>16 REMOT LINX 460EX</v>
      </c>
      <c r="I69" s="6">
        <f>+[1]V1413Aql!I58</f>
        <v>9500</v>
      </c>
      <c r="J69" s="2">
        <f>+[1]V1413Aql!P58</f>
        <v>4052</v>
      </c>
      <c r="K69" s="2">
        <f>+[1]V1413Aql!Q58</f>
        <v>7760</v>
      </c>
      <c r="M69" s="11">
        <f t="shared" si="3"/>
        <v>9121.3560999999754</v>
      </c>
      <c r="N69">
        <f t="shared" si="1"/>
        <v>6</v>
      </c>
    </row>
    <row r="70" spans="2:14" x14ac:dyDescent="0.25">
      <c r="B70" s="5">
        <f>+[1]V1413Aql!B59</f>
        <v>47</v>
      </c>
      <c r="C70" s="7" t="str">
        <f>+[1]V1413Aql!C59</f>
        <v>03/10/2020</v>
      </c>
      <c r="D70" s="12">
        <f>+[1]V1413Aql!D59</f>
        <v>0.76111111111111107</v>
      </c>
      <c r="E70" s="5">
        <f>+[1]V1413Aql!E59</f>
        <v>2459126.3029999998</v>
      </c>
      <c r="F70" s="5" t="str">
        <f>+[1]V1413Aql!F59</f>
        <v>JGF</v>
      </c>
      <c r="G70" s="5" t="str">
        <f>+[1]V1413Aql!G59</f>
        <v>SMM-SP</v>
      </c>
      <c r="H70" s="5" t="str">
        <f>+[1]V1413Aql!H59</f>
        <v>16 REMOT LINX 460EX</v>
      </c>
      <c r="I70" s="6">
        <f>+[1]V1413Aql!I59</f>
        <v>9500</v>
      </c>
      <c r="J70" s="2">
        <f>+[1]V1413Aql!P59</f>
        <v>4052</v>
      </c>
      <c r="K70" s="2">
        <f>+[1]V1413Aql!Q59</f>
        <v>7760</v>
      </c>
      <c r="M70" s="11">
        <f t="shared" si="3"/>
        <v>9126.3029999998398</v>
      </c>
      <c r="N70">
        <f t="shared" si="1"/>
        <v>6</v>
      </c>
    </row>
    <row r="71" spans="2:14" x14ac:dyDescent="0.25">
      <c r="B71" s="5">
        <f>+[1]V1413Aql!B60</f>
        <v>48</v>
      </c>
      <c r="C71" s="7" t="str">
        <f>+[1]V1413Aql!C60</f>
        <v>09/10/2020</v>
      </c>
      <c r="D71" s="12">
        <f>+[1]V1413Aql!D60</f>
        <v>0.86249999999999993</v>
      </c>
      <c r="E71" s="5">
        <f>+[1]V1413Aql!E60</f>
        <v>2459132.3848000001</v>
      </c>
      <c r="F71" s="5" t="str">
        <f>+[1]V1413Aql!F60</f>
        <v>DBO</v>
      </c>
      <c r="G71" s="5" t="str">
        <f>+[1]V1413Aql!G60</f>
        <v>WCO-UK</v>
      </c>
      <c r="H71" s="5" t="str">
        <f>+[1]V1413Aql!H60</f>
        <v>C11 + LISA + SXVR-H694</v>
      </c>
      <c r="I71" s="6">
        <f>+[1]V1413Aql!I60</f>
        <v>1096</v>
      </c>
      <c r="J71" s="2">
        <f>+[1]V1413Aql!P60</f>
        <v>3900</v>
      </c>
      <c r="K71" s="2">
        <f>+[1]V1413Aql!Q60</f>
        <v>7380</v>
      </c>
      <c r="M71" s="11">
        <f t="shared" si="3"/>
        <v>9132.3848000001162</v>
      </c>
      <c r="N71">
        <f t="shared" si="1"/>
        <v>6</v>
      </c>
    </row>
    <row r="72" spans="2:14" x14ac:dyDescent="0.25">
      <c r="B72" s="5">
        <f>+[1]V1413Aql!B61</f>
        <v>49</v>
      </c>
      <c r="C72" s="7">
        <f>+[1]V1413Aql!C61</f>
        <v>44116</v>
      </c>
      <c r="D72" s="12">
        <f>+[1]V1413Aql!D61</f>
        <v>0.12222222222222223</v>
      </c>
      <c r="E72" s="5">
        <f>+[1]V1413Aql!E61</f>
        <v>2459134.6349999998</v>
      </c>
      <c r="F72" s="5" t="str">
        <f>+[1]V1413Aql!F61</f>
        <v>FAS</v>
      </c>
      <c r="G72" s="5" t="str">
        <f>+[1]V1413Aql!G61</f>
        <v>DCO-US</v>
      </c>
      <c r="H72" s="5" t="str">
        <f>+[1]V1413Aql!H61</f>
        <v>CDK14 LISA Atik414ex</v>
      </c>
      <c r="I72" s="6">
        <f>+[1]V1413Aql!I61</f>
        <v>1062</v>
      </c>
      <c r="J72" s="2">
        <f>+[1]V1413Aql!P61</f>
        <v>3710</v>
      </c>
      <c r="K72" s="2">
        <f>+[1]V1413Aql!Q61</f>
        <v>7297</v>
      </c>
      <c r="M72" s="11">
        <f t="shared" si="3"/>
        <v>9134.6349999997765</v>
      </c>
      <c r="N72">
        <f t="shared" si="1"/>
        <v>6</v>
      </c>
    </row>
    <row r="73" spans="2:14" x14ac:dyDescent="0.25">
      <c r="B73" s="5">
        <f>+[1]V1413Aql!B62</f>
        <v>50</v>
      </c>
      <c r="C73" s="7">
        <f>+[1]V1413Aql!C62</f>
        <v>44123</v>
      </c>
      <c r="D73" s="12">
        <f>+[1]V1413Aql!D62</f>
        <v>0.17708333333333334</v>
      </c>
      <c r="E73" s="5">
        <f>+[1]V1413Aql!E62</f>
        <v>2459141.6864999998</v>
      </c>
      <c r="F73" s="5" t="str">
        <f>+[1]V1413Aql!F62</f>
        <v>CUR</v>
      </c>
      <c r="G73" s="5" t="str">
        <f>+[1]V1413Aql!G62</f>
        <v>YGU-US</v>
      </c>
      <c r="H73" s="5" t="str">
        <f>+[1]V1413Aql!H62</f>
        <v>YG ALPY</v>
      </c>
      <c r="I73" s="6">
        <f>+[1]V1413Aql!I62</f>
        <v>566</v>
      </c>
      <c r="J73" s="2">
        <f>+[1]V1413Aql!P62</f>
        <v>3900</v>
      </c>
      <c r="K73" s="2">
        <f>+[1]V1413Aql!Q62</f>
        <v>7405</v>
      </c>
      <c r="M73" s="11">
        <f t="shared" ref="M73:M82" si="4">+E73-2450000</f>
        <v>9141.6864999998361</v>
      </c>
      <c r="N73">
        <f t="shared" ref="N73:N82" si="5">+O$22</f>
        <v>6</v>
      </c>
    </row>
    <row r="74" spans="2:14" x14ac:dyDescent="0.25">
      <c r="B74" s="5">
        <f>+[1]V1413Aql!B63</f>
        <v>51</v>
      </c>
      <c r="C74" s="7">
        <f>+[1]V1413Aql!C63</f>
        <v>44126</v>
      </c>
      <c r="D74" s="12">
        <f>+[1]V1413Aql!D63</f>
        <v>0.68680555555555556</v>
      </c>
      <c r="E74" s="5">
        <f>+[1]V1413Aql!E63</f>
        <v>2459145.2217999999</v>
      </c>
      <c r="F74" s="5" t="str">
        <f>+[1]V1413Aql!F63</f>
        <v>PAD</v>
      </c>
      <c r="G74" s="5" t="str">
        <f>+[1]V1413Aql!G63</f>
        <v>KOL-SK</v>
      </c>
      <c r="H74" s="5" t="str">
        <f>+[1]V1413Aql!H63</f>
        <v>C11+LISA+Atik 460EX</v>
      </c>
      <c r="I74" s="6">
        <f>+[1]V1413Aql!I63</f>
        <v>889</v>
      </c>
      <c r="J74" s="2">
        <f>+[1]V1413Aql!P63</f>
        <v>3900</v>
      </c>
      <c r="K74" s="2">
        <f>+[1]V1413Aql!Q63</f>
        <v>7590</v>
      </c>
      <c r="M74" s="11">
        <f t="shared" si="4"/>
        <v>9145.2217999999411</v>
      </c>
      <c r="N74">
        <f t="shared" si="5"/>
        <v>6</v>
      </c>
    </row>
    <row r="75" spans="2:14" x14ac:dyDescent="0.25">
      <c r="B75" s="5">
        <f>+[1]V1413Aql!B64</f>
        <v>52</v>
      </c>
      <c r="C75" s="7">
        <f>+[1]V1413Aql!C64</f>
        <v>44131</v>
      </c>
      <c r="D75" s="12">
        <f>+[1]V1413Aql!D64</f>
        <v>0.68611111111111101</v>
      </c>
      <c r="E75" s="5">
        <f>+[1]V1413Aql!E64</f>
        <v>2459150.2215</v>
      </c>
      <c r="F75" s="5" t="str">
        <f>+[1]V1413Aql!F64</f>
        <v>PAD</v>
      </c>
      <c r="G75" s="5" t="str">
        <f>+[1]V1413Aql!G64</f>
        <v>KOL-SK</v>
      </c>
      <c r="H75" s="5" t="str">
        <f>+[1]V1413Aql!H64</f>
        <v>C11+LISA+Atik 460EX</v>
      </c>
      <c r="I75" s="6">
        <f>+[1]V1413Aql!I64</f>
        <v>913</v>
      </c>
      <c r="J75" s="2">
        <f>+[1]V1413Aql!P64</f>
        <v>3900</v>
      </c>
      <c r="K75" s="2">
        <f>+[1]V1413Aql!Q64</f>
        <v>7590</v>
      </c>
      <c r="M75" s="11">
        <f t="shared" si="4"/>
        <v>9150.2214999999851</v>
      </c>
      <c r="N75">
        <f t="shared" si="5"/>
        <v>6</v>
      </c>
    </row>
    <row r="76" spans="2:14" x14ac:dyDescent="0.25">
      <c r="B76" s="5">
        <f>+[1]V1413Aql!B65</f>
        <v>53</v>
      </c>
      <c r="C76" s="7">
        <f>+[1]V1413Aql!C65</f>
        <v>44140</v>
      </c>
      <c r="D76" s="12">
        <f>+[1]V1413Aql!D65</f>
        <v>9.2361111111111116E-2</v>
      </c>
      <c r="E76" s="5">
        <f>+[1]V1413Aql!E65</f>
        <v>2459158.6080999998</v>
      </c>
      <c r="F76" s="5" t="str">
        <f>+[1]V1413Aql!F65</f>
        <v>FAS</v>
      </c>
      <c r="G76" s="5" t="str">
        <f>+[1]V1413Aql!G65</f>
        <v>DCO-US</v>
      </c>
      <c r="H76" s="5" t="str">
        <f>+[1]V1413Aql!H65</f>
        <v>CDK14 LISA Atik414ex</v>
      </c>
      <c r="I76" s="6">
        <f>+[1]V1413Aql!I65</f>
        <v>923</v>
      </c>
      <c r="J76" s="2">
        <f>+[1]V1413Aql!P65</f>
        <v>3715</v>
      </c>
      <c r="K76" s="2">
        <f>+[1]V1413Aql!Q65</f>
        <v>7302</v>
      </c>
      <c r="M76" s="11">
        <f t="shared" si="4"/>
        <v>9158.6080999998376</v>
      </c>
      <c r="N76">
        <f t="shared" si="5"/>
        <v>6</v>
      </c>
    </row>
    <row r="77" spans="2:14" x14ac:dyDescent="0.25">
      <c r="B77" s="5">
        <f>+[1]V1413Aql!B66</f>
        <v>54</v>
      </c>
      <c r="C77" s="7">
        <f>+[1]V1413Aql!C66</f>
        <v>44139</v>
      </c>
      <c r="D77" s="12">
        <f>+[1]V1413Aql!D66</f>
        <v>0.79652777777777783</v>
      </c>
      <c r="E77" s="5">
        <f>+[1]V1413Aql!E66</f>
        <v>2459158.3185999999</v>
      </c>
      <c r="F77" s="5" t="str">
        <f>+[1]V1413Aql!F66</f>
        <v>DBO</v>
      </c>
      <c r="G77" s="5" t="str">
        <f>+[1]V1413Aql!G66</f>
        <v>WCO-UK</v>
      </c>
      <c r="H77" s="5" t="str">
        <f>+[1]V1413Aql!H66</f>
        <v>C11 + LISA + SXVR-H694</v>
      </c>
      <c r="I77" s="6">
        <f>+[1]V1413Aql!I66</f>
        <v>1128</v>
      </c>
      <c r="J77" s="2">
        <f>+[1]V1413Aql!P66</f>
        <v>3900</v>
      </c>
      <c r="K77" s="2">
        <f>+[1]V1413Aql!Q66</f>
        <v>7380</v>
      </c>
      <c r="M77" s="11">
        <f t="shared" si="4"/>
        <v>9158.3185999998823</v>
      </c>
      <c r="N77">
        <f t="shared" si="5"/>
        <v>6</v>
      </c>
    </row>
    <row r="78" spans="2:14" x14ac:dyDescent="0.25">
      <c r="B78" s="5">
        <f>+[1]V1413Aql!B67</f>
        <v>55</v>
      </c>
      <c r="C78" s="7">
        <f>+[1]V1413Aql!C67</f>
        <v>44142</v>
      </c>
      <c r="D78" s="12">
        <f>+[1]V1413Aql!D67</f>
        <v>0.6777777777777777</v>
      </c>
      <c r="E78" s="5">
        <f>+[1]V1413Aql!E67</f>
        <v>2459161.2236000001</v>
      </c>
      <c r="F78" s="5" t="str">
        <f>+[1]V1413Aql!F67</f>
        <v>PAD</v>
      </c>
      <c r="G78" s="5" t="str">
        <f>+[1]V1413Aql!G67</f>
        <v>KOL-SK</v>
      </c>
      <c r="H78" s="5" t="str">
        <f>+[1]V1413Aql!H67</f>
        <v>C11+LISA+Atik 460EX</v>
      </c>
      <c r="I78" s="6">
        <f>+[1]V1413Aql!I67</f>
        <v>812</v>
      </c>
      <c r="J78" s="2">
        <f>+[1]V1413Aql!P67</f>
        <v>3900</v>
      </c>
      <c r="K78" s="2">
        <f>+[1]V1413Aql!Q67</f>
        <v>7590</v>
      </c>
      <c r="M78" s="11">
        <f t="shared" si="4"/>
        <v>9161.2236000001431</v>
      </c>
      <c r="N78">
        <f t="shared" si="5"/>
        <v>6</v>
      </c>
    </row>
    <row r="79" spans="2:14" x14ac:dyDescent="0.25">
      <c r="B79" s="5">
        <f>+[1]V1413Aql!B68</f>
        <v>56</v>
      </c>
      <c r="C79" s="7">
        <f>+[1]V1413Aql!C68</f>
        <v>44152</v>
      </c>
      <c r="D79" s="12">
        <f>+[1]V1413Aql!D68</f>
        <v>6.6666666666666666E-2</v>
      </c>
      <c r="E79" s="5">
        <f>+[1]V1413Aql!E68</f>
        <v>2459170.5825</v>
      </c>
      <c r="F79" s="5" t="str">
        <f>+[1]V1413Aql!F68</f>
        <v>FAS</v>
      </c>
      <c r="G79" s="5" t="str">
        <f>+[1]V1413Aql!G68</f>
        <v>DCO-US</v>
      </c>
      <c r="H79" s="5" t="str">
        <f>+[1]V1413Aql!H68</f>
        <v>CDK14 LISA Atik414ex</v>
      </c>
      <c r="I79" s="6">
        <f>+[1]V1413Aql!I68</f>
        <v>942</v>
      </c>
      <c r="J79" s="2">
        <f>+[1]V1413Aql!P68</f>
        <v>3714</v>
      </c>
      <c r="K79" s="2">
        <f>+[1]V1413Aql!Q68</f>
        <v>7302</v>
      </c>
      <c r="M79" s="11">
        <f t="shared" si="4"/>
        <v>9170.5825000000186</v>
      </c>
      <c r="N79">
        <f t="shared" si="5"/>
        <v>6</v>
      </c>
    </row>
    <row r="80" spans="2:14" x14ac:dyDescent="0.25">
      <c r="B80" s="5">
        <f>+[1]V1413Aql!B69</f>
        <v>57</v>
      </c>
      <c r="C80" s="7">
        <f>+[1]V1413Aql!C69</f>
        <v>44160</v>
      </c>
      <c r="D80" s="12">
        <f>+[1]V1413Aql!D69</f>
        <v>6.805555555555555E-2</v>
      </c>
      <c r="E80" s="5">
        <f>+[1]V1413Aql!E69</f>
        <v>2459178.5854000002</v>
      </c>
      <c r="F80" s="5" t="str">
        <f>+[1]V1413Aql!F69</f>
        <v>FAS</v>
      </c>
      <c r="G80" s="5" t="str">
        <f>+[1]V1413Aql!G69</f>
        <v>DCO-US</v>
      </c>
      <c r="H80" s="5" t="str">
        <f>+[1]V1413Aql!H69</f>
        <v>CDK14 LISA Atik414ex</v>
      </c>
      <c r="I80" s="6">
        <f>+[1]V1413Aql!I69</f>
        <v>1042</v>
      </c>
      <c r="J80" s="2">
        <f>+[1]V1413Aql!P69</f>
        <v>3713</v>
      </c>
      <c r="K80" s="2">
        <f>+[1]V1413Aql!Q69</f>
        <v>7303</v>
      </c>
      <c r="M80" s="11">
        <f t="shared" si="4"/>
        <v>9178.5854000002146</v>
      </c>
      <c r="N80">
        <f t="shared" si="5"/>
        <v>6</v>
      </c>
    </row>
    <row r="81" spans="2:14" x14ac:dyDescent="0.25">
      <c r="B81" s="5">
        <f>+[1]V1413Aql!B70</f>
        <v>58</v>
      </c>
      <c r="C81" s="7">
        <f>+[1]V1413Aql!C70</f>
        <v>44165</v>
      </c>
      <c r="D81" s="12">
        <f>+[1]V1413Aql!D70</f>
        <v>6.3194444444444442E-2</v>
      </c>
      <c r="E81" s="5">
        <f>+[1]V1413Aql!E70</f>
        <v>2459183.5791000002</v>
      </c>
      <c r="F81" s="5" t="str">
        <f>+[1]V1413Aql!F70</f>
        <v>FAS</v>
      </c>
      <c r="G81" s="5" t="str">
        <f>+[1]V1413Aql!G70</f>
        <v>DCO-US</v>
      </c>
      <c r="H81" s="5" t="str">
        <f>+[1]V1413Aql!H70</f>
        <v>CDK14 LISA Atik414ex</v>
      </c>
      <c r="I81" s="6">
        <f>+[1]V1413Aql!I70</f>
        <v>1000</v>
      </c>
      <c r="J81" s="2">
        <f>+[1]V1413Aql!P70</f>
        <v>3714</v>
      </c>
      <c r="K81" s="2">
        <f>+[1]V1413Aql!Q70</f>
        <v>7302</v>
      </c>
      <c r="M81" s="11">
        <f t="shared" si="4"/>
        <v>9183.5791000002064</v>
      </c>
      <c r="N81">
        <f t="shared" si="5"/>
        <v>6</v>
      </c>
    </row>
    <row r="82" spans="2:14" x14ac:dyDescent="0.25">
      <c r="B82" s="5">
        <f>+[1]V1413Aql!B71</f>
        <v>59</v>
      </c>
      <c r="C82" s="7">
        <f>+[1]V1413Aql!C71</f>
        <v>44177</v>
      </c>
      <c r="D82" s="12">
        <f>+[1]V1413Aql!D71</f>
        <v>0.67152777777777783</v>
      </c>
      <c r="E82" s="5">
        <f>+[1]V1413Aql!E71</f>
        <v>2459196.1893000002</v>
      </c>
      <c r="F82" s="5" t="str">
        <f>+[1]V1413Aql!F71</f>
        <v>PAD</v>
      </c>
      <c r="G82" s="5" t="str">
        <f>+[1]V1413Aql!G71</f>
        <v>KOL-SK</v>
      </c>
      <c r="H82" s="5" t="str">
        <f>+[1]V1413Aql!H71</f>
        <v>C11+LISA+Atik 460EX</v>
      </c>
      <c r="I82" s="6">
        <f>+[1]V1413Aql!I71</f>
        <v>885</v>
      </c>
      <c r="J82" s="2">
        <f>+[1]V1413Aql!P71</f>
        <v>4000</v>
      </c>
      <c r="K82" s="2">
        <f>+[1]V1413Aql!Q71</f>
        <v>7590</v>
      </c>
      <c r="M82" s="11">
        <f t="shared" si="4"/>
        <v>9196.1893000002019</v>
      </c>
      <c r="N82">
        <f t="shared" si="5"/>
        <v>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Y368"/>
  <sheetViews>
    <sheetView workbookViewId="0">
      <selection activeCell="H33" sqref="H33"/>
    </sheetView>
  </sheetViews>
  <sheetFormatPr baseColWidth="10" defaultColWidth="19.5703125" defaultRowHeight="15" x14ac:dyDescent="0.25"/>
  <sheetData>
    <row r="1" spans="1:25" x14ac:dyDescent="0.25">
      <c r="A1" s="1">
        <v>2458635.5200200002</v>
      </c>
      <c r="B1" s="1" t="s">
        <v>257</v>
      </c>
      <c r="C1" s="1">
        <v>11.895</v>
      </c>
      <c r="D1" s="1">
        <v>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x14ac:dyDescent="0.25">
      <c r="A2" s="1">
        <v>2458943.6444899999</v>
      </c>
      <c r="B2" s="1" t="s">
        <v>226</v>
      </c>
      <c r="C2" s="1">
        <v>13.353</v>
      </c>
      <c r="D2" s="1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x14ac:dyDescent="0.25">
      <c r="A3" s="1">
        <v>2458947.6375000002</v>
      </c>
      <c r="B3" s="1" t="s">
        <v>232</v>
      </c>
      <c r="C3" s="1">
        <v>13.388</v>
      </c>
      <c r="D3" s="1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25">
      <c r="A4" s="1">
        <v>2459014.4256899999</v>
      </c>
      <c r="B4" s="1" t="s">
        <v>233</v>
      </c>
      <c r="C4" s="1">
        <v>13</v>
      </c>
      <c r="D4" s="1"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25">
      <c r="A5" s="1">
        <v>2459039.37708</v>
      </c>
      <c r="B5" s="1" t="s">
        <v>234</v>
      </c>
      <c r="C5" s="1">
        <v>12.42</v>
      </c>
      <c r="D5" s="1"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25">
      <c r="A6" s="1">
        <v>2459048.3916699998</v>
      </c>
      <c r="B6" s="1" t="s">
        <v>231</v>
      </c>
      <c r="C6" s="1">
        <v>11.603999999999999</v>
      </c>
      <c r="D6" s="1"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25">
      <c r="A7" s="1">
        <v>2459082.8881899999</v>
      </c>
      <c r="B7" s="1" t="s">
        <v>235</v>
      </c>
      <c r="C7" s="1">
        <v>10.439500000000001</v>
      </c>
      <c r="D7" s="1">
        <v>1.15E-2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25">
      <c r="A8" s="1">
        <v>2459094.7725399998</v>
      </c>
      <c r="B8" s="1" t="s">
        <v>236</v>
      </c>
      <c r="C8" s="1">
        <v>10.496499999999999</v>
      </c>
      <c r="D8" s="1">
        <v>5.0000000000000001E-4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25">
      <c r="A9" s="1">
        <v>2459095.7857400002</v>
      </c>
      <c r="B9" s="1" t="s">
        <v>237</v>
      </c>
      <c r="C9" s="1">
        <v>10.4655</v>
      </c>
      <c r="D9" s="1">
        <v>2.2499999999999999E-2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25">
      <c r="A10" s="1">
        <v>2459098.2717800001</v>
      </c>
      <c r="B10" s="1" t="s">
        <v>238</v>
      </c>
      <c r="C10" s="1">
        <v>10.516999999999999</v>
      </c>
      <c r="D10" s="1"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25">
      <c r="A11" s="1">
        <v>2459100.3239199999</v>
      </c>
      <c r="B11" s="1" t="s">
        <v>239</v>
      </c>
      <c r="C11" s="1">
        <v>10.4255</v>
      </c>
      <c r="D11" s="1">
        <v>0.15049999999999999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25">
      <c r="A12" s="1">
        <v>2459103.7893500002</v>
      </c>
      <c r="B12" s="1" t="s">
        <v>241</v>
      </c>
      <c r="C12" s="1">
        <v>10.5585</v>
      </c>
      <c r="D12" s="1">
        <v>4.2500000000000003E-2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25">
      <c r="A13" s="1">
        <v>2459105.6271299999</v>
      </c>
      <c r="B13" s="1" t="s">
        <v>242</v>
      </c>
      <c r="C13" s="1">
        <v>10.6395</v>
      </c>
      <c r="D13" s="1">
        <v>5.7229999999999998E-3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25">
      <c r="A14" s="1">
        <v>2459107.75202</v>
      </c>
      <c r="B14" s="1" t="s">
        <v>243</v>
      </c>
      <c r="C14" s="1">
        <v>10.6165</v>
      </c>
      <c r="D14" s="1">
        <v>1.15E-2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25">
      <c r="A15" s="1">
        <v>2459109.2553099999</v>
      </c>
      <c r="B15" s="1" t="s">
        <v>244</v>
      </c>
      <c r="C15" s="1">
        <v>10.602</v>
      </c>
      <c r="D15" s="1"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25">
      <c r="A16" s="1">
        <v>2459110.8550200001</v>
      </c>
      <c r="B16" s="1" t="s">
        <v>240</v>
      </c>
      <c r="C16" s="1">
        <v>10.5585</v>
      </c>
      <c r="D16" s="1">
        <v>3.3500000000000002E-2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25">
      <c r="A17" s="1">
        <v>2459111.7927899999</v>
      </c>
      <c r="B17" s="1" t="s">
        <v>245</v>
      </c>
      <c r="C17" s="1">
        <v>10.617000000000001</v>
      </c>
      <c r="D17" s="1">
        <v>4.0000000000000001E-3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25">
      <c r="A18" s="1">
        <v>2459113.2780900002</v>
      </c>
      <c r="B18" s="1" t="s">
        <v>246</v>
      </c>
      <c r="C18" s="1">
        <v>10.621</v>
      </c>
      <c r="D18" s="1">
        <v>0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25">
      <c r="A19" s="1">
        <v>2459119.8632999999</v>
      </c>
      <c r="B19" s="1" t="s">
        <v>247</v>
      </c>
      <c r="C19" s="1">
        <v>10.654999999999999</v>
      </c>
      <c r="D19" s="1">
        <v>2.1999999999999999E-2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25">
      <c r="A20" s="1">
        <v>2459121.3297100002</v>
      </c>
      <c r="B20" s="1" t="s">
        <v>248</v>
      </c>
      <c r="C20" s="1">
        <v>10.669</v>
      </c>
      <c r="D20" s="1">
        <v>0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25">
      <c r="A21" s="1">
        <v>2459123.7712300001</v>
      </c>
      <c r="B21" s="1" t="s">
        <v>249</v>
      </c>
      <c r="C21" s="1">
        <v>10.644500000000001</v>
      </c>
      <c r="D21" s="1">
        <v>3.15E-2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25">
      <c r="A22" s="1">
        <v>2459125.26615</v>
      </c>
      <c r="B22" s="1" t="s">
        <v>250</v>
      </c>
      <c r="C22" s="1">
        <v>10.744999999999999</v>
      </c>
      <c r="D22" s="1">
        <v>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25">
      <c r="A23" s="1">
        <v>2459126.4156599999</v>
      </c>
      <c r="B23" s="1" t="s">
        <v>251</v>
      </c>
      <c r="C23" s="1">
        <v>10.8025</v>
      </c>
      <c r="D23" s="1">
        <v>3.5499999999999997E-2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25">
      <c r="A24" s="1">
        <v>2459127.3034700002</v>
      </c>
      <c r="B24" s="1" t="s">
        <v>252</v>
      </c>
      <c r="C24" s="1">
        <v>10.606</v>
      </c>
      <c r="D24" s="1">
        <v>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25">
      <c r="A25" s="1">
        <v>2459130.2516600001</v>
      </c>
      <c r="B25" s="1" t="s">
        <v>253</v>
      </c>
      <c r="C25" s="1">
        <v>10.837</v>
      </c>
      <c r="D25" s="1">
        <v>0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>
        <v>2459131.2916700002</v>
      </c>
      <c r="B26" s="1" t="s">
        <v>254</v>
      </c>
      <c r="C26" s="1">
        <v>10.757999999999999</v>
      </c>
      <c r="D26" s="1">
        <v>0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>
        <v>2459132.3625599998</v>
      </c>
      <c r="B27" s="1" t="s">
        <v>255</v>
      </c>
      <c r="C27" s="1">
        <v>10.848000000000001</v>
      </c>
      <c r="D27" s="1">
        <v>0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>
        <v>2459134.9542800002</v>
      </c>
      <c r="B28" s="1" t="s">
        <v>256</v>
      </c>
      <c r="C28" s="1">
        <v>10.872999999999999</v>
      </c>
      <c r="D28" s="1">
        <v>1.2999999999999999E-2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>
        <v>2459137.2687499998</v>
      </c>
      <c r="B29" s="1" t="s">
        <v>258</v>
      </c>
      <c r="C29" s="1">
        <v>10.766</v>
      </c>
      <c r="D29" s="1">
        <v>0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>
        <v>2459141.2409700002</v>
      </c>
      <c r="B30" s="1" t="s">
        <v>259</v>
      </c>
      <c r="C30" s="1">
        <v>10.856</v>
      </c>
      <c r="D30" s="1">
        <v>0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1">
        <v>2459146.30632</v>
      </c>
      <c r="B31" s="1" t="s">
        <v>260</v>
      </c>
      <c r="C31" s="1">
        <v>10.989000000000001</v>
      </c>
      <c r="D31" s="1">
        <v>0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25">
      <c r="A32" s="1">
        <v>2459158.4512999998</v>
      </c>
      <c r="B32" s="1" t="s">
        <v>261</v>
      </c>
      <c r="C32" s="1">
        <v>11.026999999999999</v>
      </c>
      <c r="D32" s="1">
        <v>5.0000000000000001E-3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25">
      <c r="A33" s="1">
        <v>2459170.59</v>
      </c>
      <c r="B33" s="1" t="s">
        <v>262</v>
      </c>
      <c r="C33" s="1">
        <v>11.151999999999999</v>
      </c>
      <c r="D33" s="1">
        <v>0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25">
      <c r="A34" s="1">
        <v>2459172.25</v>
      </c>
      <c r="B34" s="1" t="s">
        <v>263</v>
      </c>
      <c r="C34" s="1">
        <v>11.018000000000001</v>
      </c>
      <c r="D34" s="1">
        <v>0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25">
      <c r="A35" s="1">
        <v>2459178.5860000001</v>
      </c>
      <c r="B35" s="1" t="s">
        <v>264</v>
      </c>
      <c r="C35" s="1">
        <v>11.193</v>
      </c>
      <c r="D35" s="1">
        <v>0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25">
      <c r="A36" s="1">
        <v>2459366.4873500001</v>
      </c>
      <c r="B36" s="1" t="s">
        <v>265</v>
      </c>
      <c r="C36" s="1">
        <v>11.776999999999999</v>
      </c>
      <c r="D36" s="1">
        <v>0</v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25">
      <c r="A37" s="1"/>
      <c r="B37" s="1"/>
      <c r="C37" s="1"/>
    </row>
    <row r="38" spans="1:25" x14ac:dyDescent="0.25">
      <c r="A38" s="1"/>
      <c r="B38" s="1"/>
      <c r="C38" s="1"/>
    </row>
    <row r="39" spans="1:25" x14ac:dyDescent="0.25">
      <c r="A39" s="1"/>
      <c r="B39" s="1"/>
      <c r="C39" s="1"/>
    </row>
    <row r="40" spans="1:25" x14ac:dyDescent="0.25">
      <c r="A40" s="1"/>
      <c r="B40" s="1"/>
      <c r="C40" s="1"/>
    </row>
    <row r="41" spans="1:25" x14ac:dyDescent="0.25">
      <c r="A41" s="1"/>
      <c r="B41" s="1"/>
      <c r="C41" s="1"/>
    </row>
    <row r="42" spans="1:25" x14ac:dyDescent="0.25">
      <c r="A42" s="1"/>
      <c r="B42" s="1"/>
      <c r="C42" s="1"/>
    </row>
    <row r="43" spans="1:25" x14ac:dyDescent="0.25">
      <c r="A43" s="1"/>
      <c r="B43" s="1"/>
      <c r="C43" s="1"/>
    </row>
    <row r="44" spans="1:25" x14ac:dyDescent="0.25">
      <c r="A44" s="1"/>
      <c r="B44" s="1"/>
      <c r="C44" s="1"/>
    </row>
    <row r="45" spans="1:25" x14ac:dyDescent="0.25">
      <c r="A45" s="1"/>
      <c r="B45" s="1"/>
      <c r="C45" s="1"/>
    </row>
    <row r="46" spans="1:25" x14ac:dyDescent="0.25">
      <c r="A46" s="1"/>
      <c r="B46" s="1"/>
      <c r="C46" s="1"/>
    </row>
    <row r="47" spans="1:25" x14ac:dyDescent="0.25">
      <c r="A47" s="1"/>
      <c r="B47" s="1"/>
      <c r="C47" s="1"/>
    </row>
    <row r="48" spans="1:25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3" spans="1:3" x14ac:dyDescent="0.25">
      <c r="A103" s="1"/>
      <c r="B103" s="1"/>
      <c r="C103" s="1"/>
    </row>
    <row r="104" spans="1:3" x14ac:dyDescent="0.25">
      <c r="A104" s="1"/>
      <c r="B104" s="1"/>
      <c r="C104" s="1"/>
    </row>
    <row r="105" spans="1:3" x14ac:dyDescent="0.25">
      <c r="A105" s="1"/>
      <c r="B105" s="1"/>
      <c r="C105" s="1"/>
    </row>
    <row r="106" spans="1:3" x14ac:dyDescent="0.25">
      <c r="A106" s="1"/>
      <c r="B106" s="1"/>
      <c r="C106" s="1"/>
    </row>
    <row r="107" spans="1:3" x14ac:dyDescent="0.25">
      <c r="A107" s="1"/>
      <c r="B107" s="1"/>
      <c r="C107" s="1"/>
    </row>
    <row r="108" spans="1:3" x14ac:dyDescent="0.25">
      <c r="A108" s="1"/>
      <c r="B108" s="1"/>
      <c r="C108" s="1"/>
    </row>
    <row r="109" spans="1:3" x14ac:dyDescent="0.25">
      <c r="A109" s="1"/>
      <c r="B109" s="1"/>
      <c r="C109" s="1"/>
    </row>
    <row r="110" spans="1:3" x14ac:dyDescent="0.25">
      <c r="A110" s="1"/>
      <c r="B110" s="1"/>
      <c r="C110" s="1"/>
    </row>
    <row r="111" spans="1:3" x14ac:dyDescent="0.25">
      <c r="A111" s="1"/>
      <c r="B111" s="1"/>
      <c r="C111" s="1"/>
    </row>
    <row r="112" spans="1:3" x14ac:dyDescent="0.25">
      <c r="A112" s="1"/>
      <c r="B112" s="1"/>
      <c r="C112" s="1"/>
    </row>
    <row r="113" spans="1:3" x14ac:dyDescent="0.25">
      <c r="A113" s="1"/>
      <c r="B113" s="1"/>
      <c r="C113" s="1"/>
    </row>
    <row r="114" spans="1:3" x14ac:dyDescent="0.25">
      <c r="A114" s="1"/>
      <c r="B114" s="1"/>
      <c r="C114" s="1"/>
    </row>
    <row r="115" spans="1:3" x14ac:dyDescent="0.25">
      <c r="A115" s="1"/>
      <c r="B115" s="1"/>
      <c r="C115" s="1"/>
    </row>
    <row r="116" spans="1:3" x14ac:dyDescent="0.25">
      <c r="A116" s="1"/>
      <c r="B116" s="1"/>
      <c r="C116" s="1"/>
    </row>
    <row r="117" spans="1:3" x14ac:dyDescent="0.25">
      <c r="A117" s="1"/>
      <c r="B117" s="1"/>
      <c r="C117" s="1"/>
    </row>
    <row r="118" spans="1:3" x14ac:dyDescent="0.25">
      <c r="A118" s="1"/>
      <c r="B118" s="1"/>
      <c r="C118" s="1"/>
    </row>
    <row r="119" spans="1:3" x14ac:dyDescent="0.25">
      <c r="A119" s="1"/>
      <c r="B119" s="1"/>
      <c r="C119" s="1"/>
    </row>
    <row r="120" spans="1:3" x14ac:dyDescent="0.25">
      <c r="A120" s="1"/>
      <c r="B120" s="1"/>
      <c r="C120" s="1"/>
    </row>
    <row r="121" spans="1:3" x14ac:dyDescent="0.25">
      <c r="A121" s="1"/>
      <c r="B121" s="1"/>
      <c r="C121" s="1"/>
    </row>
    <row r="122" spans="1:3" x14ac:dyDescent="0.25">
      <c r="A122" s="1"/>
      <c r="B122" s="1"/>
      <c r="C122" s="1"/>
    </row>
    <row r="123" spans="1:3" x14ac:dyDescent="0.25">
      <c r="A123" s="1"/>
      <c r="B123" s="1"/>
      <c r="C123" s="1"/>
    </row>
    <row r="124" spans="1:3" x14ac:dyDescent="0.25">
      <c r="A124" s="1"/>
      <c r="B124" s="1"/>
      <c r="C124" s="1"/>
    </row>
    <row r="125" spans="1:3" x14ac:dyDescent="0.25">
      <c r="A125" s="1"/>
      <c r="B125" s="1"/>
      <c r="C125" s="1"/>
    </row>
    <row r="126" spans="1:3" x14ac:dyDescent="0.25">
      <c r="A126" s="1"/>
      <c r="B126" s="1"/>
      <c r="C126" s="1"/>
    </row>
    <row r="127" spans="1:3" x14ac:dyDescent="0.25">
      <c r="A127" s="1"/>
      <c r="B127" s="1"/>
      <c r="C127" s="1"/>
    </row>
    <row r="128" spans="1:3" x14ac:dyDescent="0.25">
      <c r="A128" s="1"/>
      <c r="B128" s="1"/>
      <c r="C128" s="1"/>
    </row>
    <row r="129" spans="1:3" x14ac:dyDescent="0.25">
      <c r="A129" s="1"/>
      <c r="B129" s="1"/>
      <c r="C129" s="1"/>
    </row>
    <row r="130" spans="1:3" x14ac:dyDescent="0.25">
      <c r="A130" s="1"/>
      <c r="B130" s="1"/>
      <c r="C130" s="1"/>
    </row>
    <row r="131" spans="1:3" x14ac:dyDescent="0.25">
      <c r="A131" s="1"/>
      <c r="B131" s="1"/>
      <c r="C131" s="1"/>
    </row>
    <row r="132" spans="1:3" x14ac:dyDescent="0.25">
      <c r="A132" s="1"/>
      <c r="B132" s="1"/>
      <c r="C132" s="1"/>
    </row>
    <row r="133" spans="1:3" x14ac:dyDescent="0.25">
      <c r="A133" s="1"/>
      <c r="B133" s="1"/>
      <c r="C133" s="1"/>
    </row>
    <row r="134" spans="1:3" x14ac:dyDescent="0.25">
      <c r="A134" s="1"/>
      <c r="B134" s="1"/>
      <c r="C134" s="1"/>
    </row>
    <row r="135" spans="1:3" x14ac:dyDescent="0.25">
      <c r="A135" s="1"/>
      <c r="B135" s="1"/>
      <c r="C135" s="1"/>
    </row>
    <row r="136" spans="1:3" x14ac:dyDescent="0.25">
      <c r="A136" s="1"/>
      <c r="B136" s="1"/>
      <c r="C136" s="1"/>
    </row>
    <row r="137" spans="1:3" x14ac:dyDescent="0.25">
      <c r="A137" s="1"/>
      <c r="B137" s="1"/>
      <c r="C137" s="1"/>
    </row>
    <row r="138" spans="1:3" x14ac:dyDescent="0.25">
      <c r="A138" s="1"/>
      <c r="B138" s="1"/>
      <c r="C138" s="1"/>
    </row>
    <row r="139" spans="1:3" x14ac:dyDescent="0.25">
      <c r="A139" s="1"/>
      <c r="B139" s="1"/>
      <c r="C139" s="1"/>
    </row>
    <row r="140" spans="1:3" x14ac:dyDescent="0.25">
      <c r="A140" s="1"/>
      <c r="B140" s="1"/>
      <c r="C140" s="1"/>
    </row>
    <row r="141" spans="1:3" x14ac:dyDescent="0.25">
      <c r="A141" s="1"/>
      <c r="B141" s="1"/>
      <c r="C141" s="1"/>
    </row>
    <row r="142" spans="1:3" x14ac:dyDescent="0.25">
      <c r="A142" s="1"/>
      <c r="B142" s="1"/>
      <c r="C142" s="1"/>
    </row>
    <row r="143" spans="1:3" x14ac:dyDescent="0.25">
      <c r="A143" s="1"/>
      <c r="B143" s="1"/>
      <c r="C143" s="1"/>
    </row>
    <row r="144" spans="1:3" x14ac:dyDescent="0.25">
      <c r="A144" s="1"/>
      <c r="B144" s="1"/>
      <c r="C144" s="1"/>
    </row>
    <row r="145" spans="1:3" x14ac:dyDescent="0.25">
      <c r="A145" s="1"/>
      <c r="B145" s="1"/>
      <c r="C145" s="1"/>
    </row>
    <row r="146" spans="1:3" x14ac:dyDescent="0.25">
      <c r="A146" s="1"/>
      <c r="B146" s="1"/>
      <c r="C146" s="1"/>
    </row>
    <row r="147" spans="1:3" x14ac:dyDescent="0.25">
      <c r="A147" s="1"/>
      <c r="B147" s="1"/>
      <c r="C147" s="1"/>
    </row>
    <row r="148" spans="1:3" x14ac:dyDescent="0.25">
      <c r="A148" s="1"/>
      <c r="B148" s="1"/>
      <c r="C148" s="1"/>
    </row>
    <row r="149" spans="1:3" x14ac:dyDescent="0.25">
      <c r="A149" s="1"/>
      <c r="B149" s="1"/>
      <c r="C149" s="1"/>
    </row>
    <row r="150" spans="1:3" x14ac:dyDescent="0.25">
      <c r="A150" s="1"/>
      <c r="B150" s="1"/>
      <c r="C150" s="1"/>
    </row>
    <row r="151" spans="1:3" x14ac:dyDescent="0.25">
      <c r="A151" s="1"/>
      <c r="B151" s="1"/>
      <c r="C151" s="1"/>
    </row>
    <row r="152" spans="1:3" x14ac:dyDescent="0.25">
      <c r="A152" s="1"/>
      <c r="B152" s="1"/>
      <c r="C152" s="1"/>
    </row>
    <row r="153" spans="1:3" x14ac:dyDescent="0.25">
      <c r="A153" s="1"/>
      <c r="B153" s="1"/>
      <c r="C153" s="1"/>
    </row>
    <row r="154" spans="1:3" x14ac:dyDescent="0.25">
      <c r="A154" s="1"/>
      <c r="B154" s="1"/>
      <c r="C154" s="1"/>
    </row>
    <row r="155" spans="1:3" x14ac:dyDescent="0.25">
      <c r="A155" s="1"/>
      <c r="B155" s="1"/>
      <c r="C155" s="1"/>
    </row>
    <row r="156" spans="1:3" x14ac:dyDescent="0.25">
      <c r="A156" s="1"/>
      <c r="B156" s="1"/>
      <c r="C156" s="1"/>
    </row>
    <row r="157" spans="1:3" x14ac:dyDescent="0.25">
      <c r="A157" s="1"/>
      <c r="B157" s="1"/>
      <c r="C157" s="1"/>
    </row>
    <row r="158" spans="1:3" x14ac:dyDescent="0.25">
      <c r="A158" s="1"/>
      <c r="B158" s="1"/>
      <c r="C158" s="1"/>
    </row>
    <row r="159" spans="1:3" x14ac:dyDescent="0.25">
      <c r="A159" s="1"/>
      <c r="B159" s="1"/>
      <c r="C159" s="1"/>
    </row>
    <row r="160" spans="1:3" x14ac:dyDescent="0.25">
      <c r="A160" s="1"/>
      <c r="B160" s="1"/>
      <c r="C160" s="1"/>
    </row>
    <row r="161" spans="1:3" x14ac:dyDescent="0.25">
      <c r="A161" s="1"/>
      <c r="B161" s="1"/>
      <c r="C161" s="1"/>
    </row>
    <row r="162" spans="1:3" x14ac:dyDescent="0.25">
      <c r="A162" s="1"/>
      <c r="B162" s="1"/>
      <c r="C162" s="1"/>
    </row>
    <row r="163" spans="1:3" x14ac:dyDescent="0.25">
      <c r="A163" s="1"/>
      <c r="B163" s="1"/>
      <c r="C163" s="1"/>
    </row>
    <row r="164" spans="1:3" x14ac:dyDescent="0.25">
      <c r="A164" s="1"/>
      <c r="B164" s="1"/>
      <c r="C164" s="1"/>
    </row>
    <row r="165" spans="1:3" x14ac:dyDescent="0.25">
      <c r="A165" s="1"/>
      <c r="B165" s="1"/>
      <c r="C165" s="1"/>
    </row>
    <row r="166" spans="1:3" x14ac:dyDescent="0.25">
      <c r="A166" s="1"/>
      <c r="B166" s="1"/>
      <c r="C166" s="1"/>
    </row>
    <row r="167" spans="1:3" x14ac:dyDescent="0.25">
      <c r="A167" s="1"/>
      <c r="B167" s="1"/>
      <c r="C167" s="1"/>
    </row>
    <row r="168" spans="1:3" x14ac:dyDescent="0.25">
      <c r="A168" s="1"/>
      <c r="B168" s="1"/>
      <c r="C168" s="1"/>
    </row>
    <row r="169" spans="1:3" x14ac:dyDescent="0.25">
      <c r="A169" s="1"/>
      <c r="B169" s="1"/>
      <c r="C169" s="1"/>
    </row>
    <row r="170" spans="1:3" x14ac:dyDescent="0.25">
      <c r="A170" s="1"/>
      <c r="B170" s="1"/>
      <c r="C170" s="1"/>
    </row>
    <row r="171" spans="1:3" x14ac:dyDescent="0.25">
      <c r="A171" s="1"/>
      <c r="B171" s="1"/>
      <c r="C171" s="1"/>
    </row>
    <row r="172" spans="1:3" x14ac:dyDescent="0.25">
      <c r="A172" s="1"/>
      <c r="B172" s="1"/>
      <c r="C172" s="1"/>
    </row>
    <row r="173" spans="1:3" x14ac:dyDescent="0.25">
      <c r="A173" s="1"/>
      <c r="B173" s="1"/>
      <c r="C173" s="1"/>
    </row>
    <row r="174" spans="1:3" x14ac:dyDescent="0.25">
      <c r="A174" s="1"/>
      <c r="B174" s="1"/>
      <c r="C174" s="1"/>
    </row>
    <row r="175" spans="1:3" x14ac:dyDescent="0.25">
      <c r="A175" s="1"/>
      <c r="B175" s="1"/>
      <c r="C175" s="1"/>
    </row>
    <row r="176" spans="1:3" x14ac:dyDescent="0.25">
      <c r="A176" s="1"/>
      <c r="B176" s="1"/>
      <c r="C176" s="1"/>
    </row>
    <row r="177" spans="1:3" x14ac:dyDescent="0.25">
      <c r="A177" s="1"/>
      <c r="B177" s="1"/>
      <c r="C177" s="1"/>
    </row>
    <row r="178" spans="1:3" x14ac:dyDescent="0.25">
      <c r="A178" s="1"/>
      <c r="B178" s="1"/>
      <c r="C178" s="1"/>
    </row>
    <row r="179" spans="1:3" x14ac:dyDescent="0.25">
      <c r="A179" s="1"/>
      <c r="B179" s="1"/>
      <c r="C179" s="1"/>
    </row>
    <row r="180" spans="1:3" x14ac:dyDescent="0.25">
      <c r="A180" s="1"/>
      <c r="B180" s="1"/>
      <c r="C180" s="1"/>
    </row>
    <row r="181" spans="1:3" x14ac:dyDescent="0.25">
      <c r="A181" s="1"/>
      <c r="B181" s="1"/>
      <c r="C181" s="1"/>
    </row>
    <row r="182" spans="1:3" x14ac:dyDescent="0.25">
      <c r="A182" s="1"/>
      <c r="B182" s="1"/>
      <c r="C182" s="1"/>
    </row>
    <row r="183" spans="1:3" x14ac:dyDescent="0.25">
      <c r="A183" s="1"/>
      <c r="B183" s="1"/>
      <c r="C183" s="1"/>
    </row>
    <row r="184" spans="1:3" x14ac:dyDescent="0.25">
      <c r="A184" s="1"/>
      <c r="B184" s="1"/>
      <c r="C184" s="1"/>
    </row>
    <row r="185" spans="1:3" x14ac:dyDescent="0.25">
      <c r="A185" s="1"/>
      <c r="B185" s="1"/>
      <c r="C185" s="1"/>
    </row>
    <row r="186" spans="1:3" x14ac:dyDescent="0.25">
      <c r="A186" s="1"/>
      <c r="B186" s="1"/>
      <c r="C186" s="1"/>
    </row>
    <row r="187" spans="1:3" x14ac:dyDescent="0.25">
      <c r="A187" s="1"/>
      <c r="B187" s="1"/>
      <c r="C187" s="1"/>
    </row>
    <row r="188" spans="1:3" x14ac:dyDescent="0.25">
      <c r="A188" s="1"/>
      <c r="B188" s="1"/>
      <c r="C188" s="1"/>
    </row>
    <row r="189" spans="1:3" x14ac:dyDescent="0.25">
      <c r="A189" s="1"/>
      <c r="B189" s="1"/>
      <c r="C189" s="1"/>
    </row>
    <row r="190" spans="1:3" x14ac:dyDescent="0.25">
      <c r="A190" s="1"/>
      <c r="B190" s="1"/>
      <c r="C190" s="1"/>
    </row>
    <row r="191" spans="1:3" x14ac:dyDescent="0.25">
      <c r="A191" s="1"/>
      <c r="B191" s="1"/>
      <c r="C191" s="1"/>
    </row>
    <row r="192" spans="1:3" x14ac:dyDescent="0.25">
      <c r="A192" s="1"/>
      <c r="B192" s="1"/>
      <c r="C192" s="1"/>
    </row>
    <row r="193" spans="1:3" x14ac:dyDescent="0.25">
      <c r="A193" s="1"/>
      <c r="B193" s="1"/>
      <c r="C193" s="1"/>
    </row>
    <row r="194" spans="1:3" x14ac:dyDescent="0.25">
      <c r="A194" s="1"/>
      <c r="B194" s="1"/>
      <c r="C194" s="1"/>
    </row>
    <row r="195" spans="1:3" x14ac:dyDescent="0.25">
      <c r="A195" s="1"/>
      <c r="B195" s="1"/>
      <c r="C195" s="1"/>
    </row>
    <row r="196" spans="1:3" x14ac:dyDescent="0.25">
      <c r="A196" s="1"/>
      <c r="B196" s="1"/>
      <c r="C196" s="1"/>
    </row>
    <row r="197" spans="1:3" x14ac:dyDescent="0.25">
      <c r="A197" s="1"/>
      <c r="B197" s="1"/>
      <c r="C197" s="1"/>
    </row>
    <row r="198" spans="1:3" x14ac:dyDescent="0.25">
      <c r="A198" s="1"/>
      <c r="B198" s="1"/>
      <c r="C198" s="1"/>
    </row>
    <row r="199" spans="1:3" x14ac:dyDescent="0.25">
      <c r="A199" s="1"/>
      <c r="B199" s="1"/>
      <c r="C199" s="1"/>
    </row>
    <row r="200" spans="1:3" x14ac:dyDescent="0.25">
      <c r="A200" s="1"/>
      <c r="B200" s="1"/>
      <c r="C200" s="1"/>
    </row>
    <row r="201" spans="1:3" x14ac:dyDescent="0.25">
      <c r="A201" s="1"/>
      <c r="B201" s="1"/>
      <c r="C201" s="1"/>
    </row>
    <row r="202" spans="1:3" x14ac:dyDescent="0.25">
      <c r="A202" s="1"/>
      <c r="B202" s="1"/>
      <c r="C202" s="1"/>
    </row>
    <row r="203" spans="1:3" x14ac:dyDescent="0.25">
      <c r="A203" s="1"/>
      <c r="B203" s="1"/>
      <c r="C203" s="1"/>
    </row>
    <row r="204" spans="1:3" x14ac:dyDescent="0.25">
      <c r="A204" s="1"/>
      <c r="B204" s="1"/>
      <c r="C204" s="1"/>
    </row>
    <row r="205" spans="1:3" x14ac:dyDescent="0.25">
      <c r="A205" s="1"/>
      <c r="B205" s="1"/>
      <c r="C205" s="1"/>
    </row>
    <row r="206" spans="1:3" x14ac:dyDescent="0.25">
      <c r="A206" s="1"/>
      <c r="B206" s="1"/>
      <c r="C206" s="1"/>
    </row>
    <row r="207" spans="1:3" x14ac:dyDescent="0.25">
      <c r="A207" s="1"/>
      <c r="B207" s="1"/>
      <c r="C207" s="1"/>
    </row>
    <row r="208" spans="1:3" x14ac:dyDescent="0.25">
      <c r="A208" s="1"/>
      <c r="B208" s="1"/>
      <c r="C208" s="1"/>
    </row>
    <row r="209" spans="1:3" x14ac:dyDescent="0.25">
      <c r="A209" s="1"/>
      <c r="B209" s="1"/>
      <c r="C209" s="1"/>
    </row>
    <row r="210" spans="1:3" x14ac:dyDescent="0.25">
      <c r="A210" s="1"/>
      <c r="B210" s="1"/>
      <c r="C210" s="1"/>
    </row>
    <row r="211" spans="1:3" x14ac:dyDescent="0.25">
      <c r="A211" s="1"/>
      <c r="B211" s="1"/>
      <c r="C211" s="1"/>
    </row>
    <row r="212" spans="1:3" x14ac:dyDescent="0.25">
      <c r="A212" s="1"/>
      <c r="B212" s="1"/>
      <c r="C212" s="1"/>
    </row>
    <row r="213" spans="1:3" x14ac:dyDescent="0.25">
      <c r="A213" s="1"/>
      <c r="B213" s="1"/>
      <c r="C213" s="1"/>
    </row>
    <row r="214" spans="1:3" x14ac:dyDescent="0.25">
      <c r="A214" s="1"/>
      <c r="B214" s="1"/>
      <c r="C214" s="1"/>
    </row>
    <row r="215" spans="1:3" x14ac:dyDescent="0.25">
      <c r="A215" s="1"/>
      <c r="B215" s="1"/>
      <c r="C215" s="1"/>
    </row>
    <row r="216" spans="1:3" x14ac:dyDescent="0.25">
      <c r="A216" s="1"/>
      <c r="B216" s="1"/>
      <c r="C216" s="1"/>
    </row>
    <row r="217" spans="1:3" x14ac:dyDescent="0.25">
      <c r="A217" s="1"/>
      <c r="B217" s="1"/>
      <c r="C217" s="1"/>
    </row>
    <row r="218" spans="1:3" x14ac:dyDescent="0.25">
      <c r="A218" s="1"/>
      <c r="B218" s="1"/>
      <c r="C218" s="1"/>
    </row>
    <row r="219" spans="1:3" x14ac:dyDescent="0.25">
      <c r="A219" s="1"/>
      <c r="B219" s="1"/>
      <c r="C219" s="1"/>
    </row>
    <row r="220" spans="1:3" x14ac:dyDescent="0.25">
      <c r="A220" s="1"/>
      <c r="B220" s="1"/>
      <c r="C220" s="1"/>
    </row>
    <row r="221" spans="1:3" x14ac:dyDescent="0.25">
      <c r="A221" s="1"/>
      <c r="B221" s="1"/>
      <c r="C221" s="1"/>
    </row>
    <row r="222" spans="1:3" x14ac:dyDescent="0.25">
      <c r="A222" s="1"/>
      <c r="B222" s="1"/>
      <c r="C222" s="1"/>
    </row>
    <row r="223" spans="1:3" x14ac:dyDescent="0.25">
      <c r="A223" s="1"/>
      <c r="B223" s="1"/>
      <c r="C223" s="1"/>
    </row>
    <row r="224" spans="1:3" x14ac:dyDescent="0.25">
      <c r="A224" s="1"/>
      <c r="B224" s="1"/>
      <c r="C224" s="1"/>
    </row>
    <row r="225" spans="1:3" x14ac:dyDescent="0.25">
      <c r="A225" s="1"/>
      <c r="B225" s="1"/>
      <c r="C225" s="1"/>
    </row>
    <row r="226" spans="1:3" x14ac:dyDescent="0.25">
      <c r="A226" s="1"/>
      <c r="B226" s="1"/>
      <c r="C226" s="1"/>
    </row>
    <row r="227" spans="1:3" x14ac:dyDescent="0.25">
      <c r="A227" s="1"/>
      <c r="B227" s="1"/>
      <c r="C227" s="1"/>
    </row>
    <row r="228" spans="1:3" x14ac:dyDescent="0.25">
      <c r="A228" s="1"/>
      <c r="B228" s="1"/>
      <c r="C228" s="1"/>
    </row>
    <row r="229" spans="1:3" x14ac:dyDescent="0.25">
      <c r="A229" s="1"/>
      <c r="B229" s="1"/>
      <c r="C229" s="1"/>
    </row>
    <row r="230" spans="1:3" x14ac:dyDescent="0.25">
      <c r="A230" s="1"/>
      <c r="B230" s="1"/>
      <c r="C230" s="1"/>
    </row>
    <row r="231" spans="1:3" x14ac:dyDescent="0.25">
      <c r="A231" s="1"/>
      <c r="B231" s="1"/>
      <c r="C231" s="1"/>
    </row>
    <row r="232" spans="1:3" x14ac:dyDescent="0.25">
      <c r="A232" s="1"/>
      <c r="B232" s="1"/>
      <c r="C232" s="1"/>
    </row>
    <row r="233" spans="1:3" x14ac:dyDescent="0.25">
      <c r="A233" s="1"/>
      <c r="B233" s="1"/>
      <c r="C233" s="1"/>
    </row>
    <row r="234" spans="1:3" x14ac:dyDescent="0.25">
      <c r="A234" s="1"/>
      <c r="B234" s="1"/>
      <c r="C234" s="1"/>
    </row>
    <row r="235" spans="1:3" x14ac:dyDescent="0.25">
      <c r="A235" s="1"/>
      <c r="B235" s="1"/>
      <c r="C235" s="1"/>
    </row>
    <row r="236" spans="1:3" x14ac:dyDescent="0.25">
      <c r="A236" s="1"/>
      <c r="B236" s="1"/>
      <c r="C236" s="1"/>
    </row>
    <row r="237" spans="1:3" x14ac:dyDescent="0.25">
      <c r="A237" s="1"/>
      <c r="B237" s="1"/>
      <c r="C237" s="1"/>
    </row>
    <row r="238" spans="1:3" x14ac:dyDescent="0.25">
      <c r="A238" s="1"/>
      <c r="B238" s="1"/>
      <c r="C238" s="1"/>
    </row>
    <row r="239" spans="1:3" x14ac:dyDescent="0.25">
      <c r="A239" s="1"/>
      <c r="B239" s="1"/>
      <c r="C239" s="1"/>
    </row>
    <row r="240" spans="1:3" x14ac:dyDescent="0.25">
      <c r="A240" s="1"/>
      <c r="B240" s="1"/>
      <c r="C240" s="1"/>
    </row>
    <row r="241" spans="1:3" x14ac:dyDescent="0.25">
      <c r="A241" s="1"/>
      <c r="B241" s="1"/>
      <c r="C241" s="1"/>
    </row>
    <row r="242" spans="1:3" x14ac:dyDescent="0.25">
      <c r="A242" s="1"/>
      <c r="B242" s="1"/>
      <c r="C242" s="1"/>
    </row>
    <row r="243" spans="1:3" x14ac:dyDescent="0.25">
      <c r="A243" s="1"/>
      <c r="B243" s="1"/>
      <c r="C243" s="1"/>
    </row>
    <row r="244" spans="1:3" x14ac:dyDescent="0.25">
      <c r="A244" s="1"/>
      <c r="B244" s="1"/>
      <c r="C244" s="1"/>
    </row>
    <row r="245" spans="1:3" x14ac:dyDescent="0.25">
      <c r="A245" s="1"/>
      <c r="B245" s="1"/>
      <c r="C245" s="1"/>
    </row>
    <row r="246" spans="1:3" x14ac:dyDescent="0.25">
      <c r="A246" s="1"/>
      <c r="B246" s="1"/>
      <c r="C246" s="1"/>
    </row>
    <row r="247" spans="1:3" x14ac:dyDescent="0.25">
      <c r="A247" s="1"/>
      <c r="B247" s="1"/>
      <c r="C247" s="1"/>
    </row>
    <row r="248" spans="1:3" x14ac:dyDescent="0.25">
      <c r="A248" s="1"/>
      <c r="B248" s="1"/>
      <c r="C248" s="1"/>
    </row>
    <row r="249" spans="1:3" x14ac:dyDescent="0.25">
      <c r="A249" s="1"/>
      <c r="B249" s="1"/>
      <c r="C249" s="1"/>
    </row>
    <row r="250" spans="1:3" x14ac:dyDescent="0.25">
      <c r="A250" s="1"/>
      <c r="B250" s="1"/>
      <c r="C250" s="1"/>
    </row>
    <row r="251" spans="1:3" x14ac:dyDescent="0.25">
      <c r="A251" s="1"/>
      <c r="B251" s="1"/>
      <c r="C251" s="1"/>
    </row>
    <row r="252" spans="1:3" x14ac:dyDescent="0.25">
      <c r="A252" s="1"/>
      <c r="B252" s="1"/>
      <c r="C252" s="1"/>
    </row>
    <row r="253" spans="1:3" x14ac:dyDescent="0.25">
      <c r="A253" s="1"/>
      <c r="B253" s="1"/>
      <c r="C253" s="1"/>
    </row>
    <row r="254" spans="1:3" x14ac:dyDescent="0.25">
      <c r="A254" s="1"/>
      <c r="B254" s="1"/>
      <c r="C254" s="1"/>
    </row>
    <row r="255" spans="1:3" x14ac:dyDescent="0.25">
      <c r="A255" s="1"/>
      <c r="B255" s="1"/>
      <c r="C255" s="1"/>
    </row>
    <row r="256" spans="1:3" x14ac:dyDescent="0.25">
      <c r="A256" s="1"/>
      <c r="B256" s="1"/>
      <c r="C256" s="1"/>
    </row>
    <row r="257" spans="1:3" x14ac:dyDescent="0.25">
      <c r="A257" s="1"/>
      <c r="B257" s="1"/>
      <c r="C257" s="1"/>
    </row>
    <row r="258" spans="1:3" x14ac:dyDescent="0.25">
      <c r="A258" s="1"/>
      <c r="B258" s="1"/>
      <c r="C258" s="1"/>
    </row>
    <row r="259" spans="1:3" x14ac:dyDescent="0.25">
      <c r="A259" s="1"/>
      <c r="B259" s="1"/>
      <c r="C259" s="1"/>
    </row>
    <row r="260" spans="1:3" x14ac:dyDescent="0.25">
      <c r="A260" s="1"/>
      <c r="B260" s="1"/>
      <c r="C260" s="1"/>
    </row>
    <row r="261" spans="1:3" x14ac:dyDescent="0.25">
      <c r="A261" s="1"/>
      <c r="B261" s="1"/>
      <c r="C261" s="1"/>
    </row>
    <row r="262" spans="1:3" x14ac:dyDescent="0.25">
      <c r="A262" s="1"/>
      <c r="B262" s="1"/>
      <c r="C262" s="1"/>
    </row>
    <row r="263" spans="1:3" x14ac:dyDescent="0.25">
      <c r="A263" s="1"/>
      <c r="B263" s="1"/>
      <c r="C263" s="1"/>
    </row>
    <row r="264" spans="1:3" x14ac:dyDescent="0.25">
      <c r="A264" s="1"/>
      <c r="B264" s="1"/>
      <c r="C264" s="1"/>
    </row>
    <row r="265" spans="1:3" x14ac:dyDescent="0.25">
      <c r="A265" s="1"/>
      <c r="B265" s="1"/>
      <c r="C265" s="1"/>
    </row>
    <row r="266" spans="1:3" x14ac:dyDescent="0.25">
      <c r="A266" s="1"/>
      <c r="B266" s="1"/>
      <c r="C266" s="1"/>
    </row>
    <row r="267" spans="1:3" x14ac:dyDescent="0.25">
      <c r="A267" s="1"/>
      <c r="B267" s="1"/>
      <c r="C267" s="1"/>
    </row>
    <row r="268" spans="1:3" x14ac:dyDescent="0.25">
      <c r="A268" s="1"/>
      <c r="B268" s="1"/>
      <c r="C268" s="1"/>
    </row>
    <row r="269" spans="1:3" x14ac:dyDescent="0.25">
      <c r="A269" s="1"/>
      <c r="B269" s="1"/>
      <c r="C269" s="1"/>
    </row>
    <row r="270" spans="1:3" x14ac:dyDescent="0.25">
      <c r="A270" s="1"/>
      <c r="B270" s="1"/>
      <c r="C270" s="1"/>
    </row>
    <row r="271" spans="1:3" x14ac:dyDescent="0.25">
      <c r="A271" s="1"/>
      <c r="B271" s="1"/>
      <c r="C271" s="1"/>
    </row>
    <row r="272" spans="1:3" x14ac:dyDescent="0.25">
      <c r="A272" s="1"/>
      <c r="B272" s="1"/>
      <c r="C272" s="1"/>
    </row>
    <row r="273" spans="1:3" x14ac:dyDescent="0.25">
      <c r="A273" s="1"/>
      <c r="B273" s="1"/>
      <c r="C273" s="1"/>
    </row>
    <row r="274" spans="1:3" x14ac:dyDescent="0.25">
      <c r="A274" s="1"/>
      <c r="B274" s="1"/>
      <c r="C274" s="1"/>
    </row>
    <row r="275" spans="1:3" x14ac:dyDescent="0.25">
      <c r="A275" s="1"/>
      <c r="B275" s="1"/>
      <c r="C275" s="1"/>
    </row>
    <row r="276" spans="1:3" x14ac:dyDescent="0.25">
      <c r="A276" s="1"/>
      <c r="B276" s="1"/>
      <c r="C276" s="1"/>
    </row>
    <row r="277" spans="1:3" x14ac:dyDescent="0.25">
      <c r="A277" s="1"/>
      <c r="B277" s="1"/>
      <c r="C277" s="1"/>
    </row>
    <row r="278" spans="1:3" x14ac:dyDescent="0.25">
      <c r="A278" s="1"/>
      <c r="B278" s="1"/>
      <c r="C278" s="1"/>
    </row>
    <row r="279" spans="1:3" x14ac:dyDescent="0.25">
      <c r="A279" s="1"/>
      <c r="B279" s="1"/>
      <c r="C279" s="1"/>
    </row>
    <row r="280" spans="1:3" x14ac:dyDescent="0.25">
      <c r="A280" s="1"/>
      <c r="B280" s="1"/>
      <c r="C280" s="1"/>
    </row>
    <row r="281" spans="1:3" x14ac:dyDescent="0.25">
      <c r="A281" s="1"/>
      <c r="B281" s="1"/>
      <c r="C281" s="1"/>
    </row>
    <row r="282" spans="1:3" x14ac:dyDescent="0.25">
      <c r="A282" s="1"/>
      <c r="B282" s="1"/>
      <c r="C282" s="1"/>
    </row>
    <row r="283" spans="1:3" x14ac:dyDescent="0.25">
      <c r="A283" s="1"/>
      <c r="B283" s="1"/>
      <c r="C283" s="1"/>
    </row>
    <row r="284" spans="1:3" x14ac:dyDescent="0.25">
      <c r="A284" s="1"/>
      <c r="B284" s="1"/>
      <c r="C284" s="1"/>
    </row>
    <row r="285" spans="1:3" x14ac:dyDescent="0.25">
      <c r="A285" s="1"/>
      <c r="B285" s="1"/>
      <c r="C285" s="1"/>
    </row>
    <row r="286" spans="1:3" x14ac:dyDescent="0.25">
      <c r="A286" s="1"/>
      <c r="B286" s="1"/>
      <c r="C286" s="1"/>
    </row>
    <row r="287" spans="1:3" x14ac:dyDescent="0.25">
      <c r="A287" s="1"/>
      <c r="B287" s="1"/>
      <c r="C287" s="1"/>
    </row>
    <row r="288" spans="1:3" x14ac:dyDescent="0.25">
      <c r="A288" s="1"/>
      <c r="B288" s="1"/>
      <c r="C288" s="1"/>
    </row>
    <row r="289" spans="1:3" x14ac:dyDescent="0.25">
      <c r="A289" s="1"/>
      <c r="B289" s="1"/>
      <c r="C289" s="1"/>
    </row>
    <row r="290" spans="1:3" x14ac:dyDescent="0.25">
      <c r="A290" s="1"/>
      <c r="B290" s="1"/>
      <c r="C290" s="1"/>
    </row>
    <row r="291" spans="1:3" x14ac:dyDescent="0.25">
      <c r="A291" s="1"/>
      <c r="B291" s="1"/>
      <c r="C291" s="1"/>
    </row>
    <row r="292" spans="1:3" x14ac:dyDescent="0.25">
      <c r="A292" s="1"/>
      <c r="B292" s="1"/>
      <c r="C292" s="1"/>
    </row>
    <row r="293" spans="1:3" x14ac:dyDescent="0.25">
      <c r="A293" s="1"/>
      <c r="B293" s="1"/>
      <c r="C293" s="1"/>
    </row>
    <row r="294" spans="1:3" x14ac:dyDescent="0.25">
      <c r="A294" s="1"/>
      <c r="B294" s="1"/>
      <c r="C294" s="1"/>
    </row>
    <row r="295" spans="1:3" x14ac:dyDescent="0.25">
      <c r="A295" s="1"/>
      <c r="B295" s="1"/>
      <c r="C295" s="1"/>
    </row>
    <row r="296" spans="1:3" x14ac:dyDescent="0.25">
      <c r="A296" s="1"/>
      <c r="B296" s="1"/>
      <c r="C296" s="1"/>
    </row>
    <row r="297" spans="1:3" x14ac:dyDescent="0.25">
      <c r="A297" s="1"/>
      <c r="B297" s="1"/>
      <c r="C297" s="1"/>
    </row>
    <row r="298" spans="1:3" x14ac:dyDescent="0.25">
      <c r="A298" s="1"/>
      <c r="B298" s="1"/>
      <c r="C298" s="1"/>
    </row>
    <row r="299" spans="1:3" x14ac:dyDescent="0.25">
      <c r="A299" s="1"/>
      <c r="B299" s="1"/>
      <c r="C299" s="1"/>
    </row>
    <row r="300" spans="1:3" x14ac:dyDescent="0.25">
      <c r="A300" s="1"/>
      <c r="B300" s="1"/>
      <c r="C300" s="1"/>
    </row>
    <row r="301" spans="1:3" x14ac:dyDescent="0.25">
      <c r="A301" s="1"/>
      <c r="B301" s="1"/>
      <c r="C301" s="1"/>
    </row>
    <row r="302" spans="1:3" x14ac:dyDescent="0.25">
      <c r="A302" s="1"/>
      <c r="B302" s="1"/>
      <c r="C302" s="1"/>
    </row>
    <row r="303" spans="1:3" x14ac:dyDescent="0.25">
      <c r="A303" s="1"/>
      <c r="B303" s="1"/>
      <c r="C303" s="1"/>
    </row>
    <row r="304" spans="1:3" x14ac:dyDescent="0.25">
      <c r="A304" s="1"/>
      <c r="B304" s="1"/>
      <c r="C304" s="1"/>
    </row>
    <row r="305" spans="1:3" x14ac:dyDescent="0.25">
      <c r="A305" s="1"/>
      <c r="B305" s="1"/>
      <c r="C305" s="1"/>
    </row>
    <row r="306" spans="1:3" x14ac:dyDescent="0.25">
      <c r="A306" s="1"/>
      <c r="B306" s="1"/>
      <c r="C306" s="1"/>
    </row>
    <row r="307" spans="1:3" x14ac:dyDescent="0.25">
      <c r="A307" s="1"/>
      <c r="B307" s="1"/>
      <c r="C307" s="1"/>
    </row>
    <row r="308" spans="1:3" x14ac:dyDescent="0.25">
      <c r="A308" s="1"/>
      <c r="B308" s="1"/>
      <c r="C308" s="1"/>
    </row>
    <row r="309" spans="1:3" x14ac:dyDescent="0.25">
      <c r="A309" s="1"/>
      <c r="B309" s="1"/>
      <c r="C309" s="1"/>
    </row>
    <row r="310" spans="1:3" x14ac:dyDescent="0.25">
      <c r="A310" s="1"/>
      <c r="B310" s="1"/>
      <c r="C310" s="1"/>
    </row>
    <row r="311" spans="1:3" x14ac:dyDescent="0.25">
      <c r="A311" s="1"/>
      <c r="B311" s="1"/>
      <c r="C311" s="1"/>
    </row>
    <row r="312" spans="1:3" x14ac:dyDescent="0.25">
      <c r="A312" s="1"/>
      <c r="B312" s="1"/>
      <c r="C312" s="1"/>
    </row>
    <row r="313" spans="1:3" x14ac:dyDescent="0.25">
      <c r="A313" s="1"/>
      <c r="B313" s="1"/>
      <c r="C313" s="1"/>
    </row>
    <row r="314" spans="1:3" x14ac:dyDescent="0.25">
      <c r="A314" s="1"/>
      <c r="B314" s="1"/>
      <c r="C314" s="1"/>
    </row>
    <row r="315" spans="1:3" x14ac:dyDescent="0.25">
      <c r="A315" s="1"/>
      <c r="B315" s="1"/>
      <c r="C315" s="1"/>
    </row>
    <row r="316" spans="1:3" x14ac:dyDescent="0.25">
      <c r="A316" s="1"/>
      <c r="B316" s="1"/>
      <c r="C316" s="1"/>
    </row>
    <row r="317" spans="1:3" x14ac:dyDescent="0.25">
      <c r="A317" s="1"/>
      <c r="B317" s="1"/>
      <c r="C317" s="1"/>
    </row>
    <row r="318" spans="1:3" x14ac:dyDescent="0.25">
      <c r="A318" s="1"/>
      <c r="B318" s="1"/>
      <c r="C318" s="1"/>
    </row>
    <row r="319" spans="1:3" x14ac:dyDescent="0.25">
      <c r="A319" s="1"/>
      <c r="B319" s="1"/>
      <c r="C319" s="1"/>
    </row>
    <row r="320" spans="1:3" x14ac:dyDescent="0.25">
      <c r="A320" s="1"/>
      <c r="B320" s="1"/>
      <c r="C320" s="1"/>
    </row>
    <row r="321" spans="1:3" x14ac:dyDescent="0.25">
      <c r="A321" s="1"/>
      <c r="B321" s="1"/>
      <c r="C321" s="1"/>
    </row>
    <row r="322" spans="1:3" x14ac:dyDescent="0.25">
      <c r="A322" s="1"/>
      <c r="B322" s="1"/>
      <c r="C322" s="1"/>
    </row>
    <row r="323" spans="1:3" x14ac:dyDescent="0.25">
      <c r="A323" s="1"/>
      <c r="B323" s="1"/>
      <c r="C323" s="1"/>
    </row>
    <row r="324" spans="1:3" x14ac:dyDescent="0.25">
      <c r="A324" s="1"/>
      <c r="B324" s="1"/>
      <c r="C324" s="1"/>
    </row>
    <row r="325" spans="1:3" x14ac:dyDescent="0.25">
      <c r="A325" s="1"/>
      <c r="B325" s="1"/>
      <c r="C325" s="1"/>
    </row>
    <row r="326" spans="1:3" x14ac:dyDescent="0.25">
      <c r="A326" s="1"/>
      <c r="B326" s="1"/>
      <c r="C326" s="1"/>
    </row>
    <row r="327" spans="1:3" x14ac:dyDescent="0.25">
      <c r="A327" s="1"/>
      <c r="B327" s="1"/>
      <c r="C327" s="1"/>
    </row>
    <row r="328" spans="1:3" x14ac:dyDescent="0.25">
      <c r="A328" s="1"/>
      <c r="B328" s="1"/>
      <c r="C328" s="1"/>
    </row>
    <row r="329" spans="1:3" x14ac:dyDescent="0.25">
      <c r="A329" s="1"/>
      <c r="B329" s="1"/>
      <c r="C329" s="1"/>
    </row>
    <row r="330" spans="1:3" x14ac:dyDescent="0.25">
      <c r="A330" s="1"/>
      <c r="B330" s="1"/>
      <c r="C330" s="1"/>
    </row>
    <row r="331" spans="1:3" x14ac:dyDescent="0.25">
      <c r="A331" s="1"/>
      <c r="B331" s="1"/>
      <c r="C331" s="1"/>
    </row>
    <row r="332" spans="1:3" x14ac:dyDescent="0.25">
      <c r="A332" s="1"/>
      <c r="B332" s="1"/>
      <c r="C332" s="1"/>
    </row>
    <row r="333" spans="1:3" x14ac:dyDescent="0.25">
      <c r="A333" s="1"/>
      <c r="B333" s="1"/>
      <c r="C333" s="1"/>
    </row>
    <row r="334" spans="1:3" x14ac:dyDescent="0.25">
      <c r="A334" s="1"/>
      <c r="B334" s="1"/>
      <c r="C334" s="1"/>
    </row>
    <row r="335" spans="1:3" x14ac:dyDescent="0.25">
      <c r="A335" s="1"/>
      <c r="B335" s="1"/>
      <c r="C335" s="1"/>
    </row>
    <row r="336" spans="1:3" x14ac:dyDescent="0.25">
      <c r="A336" s="1"/>
      <c r="B336" s="1"/>
      <c r="C336" s="1"/>
    </row>
    <row r="337" spans="1:3" x14ac:dyDescent="0.25">
      <c r="A337" s="1"/>
      <c r="B337" s="1"/>
      <c r="C337" s="1"/>
    </row>
    <row r="338" spans="1:3" x14ac:dyDescent="0.25">
      <c r="A338" s="1"/>
      <c r="B338" s="1"/>
      <c r="C338" s="1"/>
    </row>
    <row r="339" spans="1:3" x14ac:dyDescent="0.25">
      <c r="A339" s="1"/>
      <c r="B339" s="1"/>
      <c r="C339" s="1"/>
    </row>
    <row r="340" spans="1:3" x14ac:dyDescent="0.25">
      <c r="A340" s="1"/>
      <c r="B340" s="1"/>
      <c r="C340" s="1"/>
    </row>
    <row r="341" spans="1:3" x14ac:dyDescent="0.25">
      <c r="A341" s="1"/>
      <c r="B341" s="1"/>
      <c r="C341" s="1"/>
    </row>
    <row r="342" spans="1:3" x14ac:dyDescent="0.25">
      <c r="A342" s="1"/>
      <c r="B342" s="1"/>
      <c r="C342" s="1"/>
    </row>
    <row r="343" spans="1:3" x14ac:dyDescent="0.25">
      <c r="A343" s="1"/>
      <c r="B343" s="1"/>
      <c r="C343" s="1"/>
    </row>
    <row r="344" spans="1:3" x14ac:dyDescent="0.25">
      <c r="A344" s="1"/>
      <c r="B344" s="1"/>
      <c r="C344" s="1"/>
    </row>
    <row r="345" spans="1:3" x14ac:dyDescent="0.25">
      <c r="A345" s="1"/>
      <c r="B345" s="1"/>
      <c r="C345" s="1"/>
    </row>
    <row r="346" spans="1:3" x14ac:dyDescent="0.25">
      <c r="A346" s="1"/>
      <c r="B346" s="1"/>
      <c r="C346" s="1"/>
    </row>
    <row r="347" spans="1:3" x14ac:dyDescent="0.25">
      <c r="A347" s="1"/>
      <c r="B347" s="1"/>
      <c r="C347" s="1"/>
    </row>
    <row r="348" spans="1:3" x14ac:dyDescent="0.25">
      <c r="A348" s="1"/>
      <c r="B348" s="1"/>
      <c r="C348" s="1"/>
    </row>
    <row r="349" spans="1:3" x14ac:dyDescent="0.25">
      <c r="A349" s="1"/>
      <c r="B349" s="1"/>
      <c r="C349" s="1"/>
    </row>
    <row r="350" spans="1:3" x14ac:dyDescent="0.25">
      <c r="A350" s="1"/>
      <c r="B350" s="1"/>
      <c r="C350" s="1"/>
    </row>
    <row r="351" spans="1:3" x14ac:dyDescent="0.25">
      <c r="A351" s="1"/>
      <c r="B351" s="1"/>
      <c r="C351" s="1"/>
    </row>
    <row r="352" spans="1:3" x14ac:dyDescent="0.25">
      <c r="A352" s="1"/>
      <c r="B352" s="1"/>
      <c r="C352" s="1"/>
    </row>
    <row r="353" spans="1:3" x14ac:dyDescent="0.25">
      <c r="A353" s="1"/>
      <c r="B353" s="1"/>
      <c r="C353" s="1"/>
    </row>
    <row r="354" spans="1:3" x14ac:dyDescent="0.25">
      <c r="A354" s="1"/>
      <c r="B354" s="1"/>
      <c r="C354" s="1"/>
    </row>
    <row r="355" spans="1:3" x14ac:dyDescent="0.25">
      <c r="A355" s="1"/>
      <c r="B355" s="1"/>
      <c r="C355" s="1"/>
    </row>
    <row r="356" spans="1:3" x14ac:dyDescent="0.25">
      <c r="A356" s="1"/>
      <c r="B356" s="1"/>
      <c r="C356" s="1"/>
    </row>
    <row r="357" spans="1:3" x14ac:dyDescent="0.25">
      <c r="A357" s="1"/>
      <c r="B357" s="1"/>
      <c r="C357" s="1"/>
    </row>
    <row r="358" spans="1:3" x14ac:dyDescent="0.25">
      <c r="A358" s="1"/>
      <c r="B358" s="1"/>
      <c r="C358" s="1"/>
    </row>
    <row r="359" spans="1:3" x14ac:dyDescent="0.25">
      <c r="A359" s="1"/>
      <c r="B359" s="1"/>
      <c r="C359" s="1"/>
    </row>
    <row r="360" spans="1:3" x14ac:dyDescent="0.25">
      <c r="A360" s="1"/>
      <c r="B360" s="1"/>
      <c r="C360" s="1"/>
    </row>
    <row r="361" spans="1:3" x14ac:dyDescent="0.25">
      <c r="A361" s="1"/>
      <c r="B361" s="1"/>
      <c r="C361" s="1"/>
    </row>
    <row r="362" spans="1:3" x14ac:dyDescent="0.25">
      <c r="A362" s="1"/>
      <c r="B362" s="1"/>
      <c r="C362" s="1"/>
    </row>
    <row r="363" spans="1:3" x14ac:dyDescent="0.25">
      <c r="A363" s="1"/>
      <c r="B363" s="1"/>
      <c r="C363" s="1"/>
    </row>
    <row r="364" spans="1:3" x14ac:dyDescent="0.25">
      <c r="A364" s="1"/>
      <c r="B364" s="1"/>
      <c r="C364" s="1"/>
    </row>
    <row r="365" spans="1:3" x14ac:dyDescent="0.25">
      <c r="A365" s="1"/>
      <c r="B365" s="1"/>
      <c r="C365" s="1"/>
    </row>
    <row r="366" spans="1:3" x14ac:dyDescent="0.25">
      <c r="A366" s="1"/>
      <c r="B366" s="1"/>
      <c r="C366" s="1"/>
    </row>
    <row r="367" spans="1:3" x14ac:dyDescent="0.25">
      <c r="A367" s="1"/>
      <c r="B367" s="1"/>
      <c r="C367" s="1"/>
    </row>
    <row r="368" spans="1:3" x14ac:dyDescent="0.25">
      <c r="A368" s="1"/>
      <c r="B368" s="1"/>
      <c r="C36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3938"/>
  <sheetViews>
    <sheetView tabSelected="1" topLeftCell="A4" workbookViewId="0">
      <selection activeCell="I10" sqref="I10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9.5703125" bestFit="1" customWidth="1"/>
    <col min="4" max="4" width="8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2447695</v>
      </c>
      <c r="B1" s="1" t="s">
        <v>8</v>
      </c>
      <c r="C1" s="1">
        <v>12.775</v>
      </c>
      <c r="D1" s="1">
        <v>0.20966199999999999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8" customHeight="1" x14ac:dyDescent="0.25">
      <c r="A2" s="1">
        <v>2447717.8428600002</v>
      </c>
      <c r="B2" s="1" t="s">
        <v>266</v>
      </c>
      <c r="C2" s="1">
        <v>13.514286</v>
      </c>
      <c r="D2" s="1">
        <v>4.0405999999999997E-2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 x14ac:dyDescent="0.25">
      <c r="A3" s="1">
        <v>2447734.145</v>
      </c>
      <c r="B3" s="1" t="s">
        <v>9</v>
      </c>
      <c r="C3" s="1">
        <v>13.237500000000001</v>
      </c>
      <c r="D3" s="1">
        <v>0.105115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8" customHeight="1" x14ac:dyDescent="0.25">
      <c r="A4" s="1">
        <v>2447751.8293699999</v>
      </c>
      <c r="B4" s="1" t="s">
        <v>10</v>
      </c>
      <c r="C4" s="1">
        <v>12.981249999999999</v>
      </c>
      <c r="D4" s="1">
        <v>5.5691999999999998E-2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8" customHeight="1" x14ac:dyDescent="0.25">
      <c r="A5" s="1">
        <v>2447765.7906200001</v>
      </c>
      <c r="B5" s="1" t="s">
        <v>11</v>
      </c>
      <c r="C5" s="1">
        <v>13.09375</v>
      </c>
      <c r="D5" s="1">
        <v>8.1889000000000003E-2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8" customHeight="1" x14ac:dyDescent="0.25">
      <c r="A6" s="1">
        <v>2447781.25</v>
      </c>
      <c r="B6" s="1" t="s">
        <v>267</v>
      </c>
      <c r="C6" s="1">
        <v>12.887499999999999</v>
      </c>
      <c r="D6" s="1">
        <v>2.2658000000000001E-2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8" customHeight="1" x14ac:dyDescent="0.25">
      <c r="A7" s="1">
        <v>2447798.1363599999</v>
      </c>
      <c r="B7" s="1" t="s">
        <v>268</v>
      </c>
      <c r="C7" s="1">
        <v>13.036364000000001</v>
      </c>
      <c r="D7" s="1">
        <v>5.9195999999999999E-2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8" customHeight="1" x14ac:dyDescent="0.25">
      <c r="A8" s="1">
        <v>2447822.4857100002</v>
      </c>
      <c r="B8" s="1" t="s">
        <v>12</v>
      </c>
      <c r="C8" s="1">
        <v>12.935714000000001</v>
      </c>
      <c r="D8" s="1">
        <v>4.0065000000000003E-2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8" customHeight="1" x14ac:dyDescent="0.25">
      <c r="A9" s="1">
        <v>2447848.2000000002</v>
      </c>
      <c r="B9" s="1" t="s">
        <v>13</v>
      </c>
      <c r="C9" s="1">
        <v>12.9</v>
      </c>
      <c r="D9" s="1"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8" customHeight="1" x14ac:dyDescent="0.25">
      <c r="A10" s="1">
        <v>2447858.4033300001</v>
      </c>
      <c r="B10" s="1" t="s">
        <v>269</v>
      </c>
      <c r="C10" s="1">
        <v>13.366667</v>
      </c>
      <c r="D10" s="1">
        <v>0.117379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8" customHeight="1" x14ac:dyDescent="0.25">
      <c r="A11" s="1">
        <v>2448013.6</v>
      </c>
      <c r="B11" s="1" t="s">
        <v>14</v>
      </c>
      <c r="C11" s="1">
        <v>13</v>
      </c>
      <c r="D11" s="1"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8" customHeight="1" x14ac:dyDescent="0.25">
      <c r="A12" s="1">
        <v>2448042</v>
      </c>
      <c r="B12" s="1" t="s">
        <v>15</v>
      </c>
      <c r="C12" s="1">
        <v>13.35</v>
      </c>
      <c r="D12" s="1">
        <v>0.05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8" customHeight="1" x14ac:dyDescent="0.25">
      <c r="A13" s="1">
        <v>2448067.6120000002</v>
      </c>
      <c r="B13" s="1" t="s">
        <v>270</v>
      </c>
      <c r="C13" s="1">
        <v>13.34</v>
      </c>
      <c r="D13" s="1">
        <v>0.136382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8" customHeight="1" x14ac:dyDescent="0.25">
      <c r="A14" s="1">
        <v>2448089.7583300001</v>
      </c>
      <c r="B14" s="1" t="s">
        <v>16</v>
      </c>
      <c r="C14" s="1">
        <v>13.15</v>
      </c>
      <c r="D14" s="1">
        <v>7.6375999999999999E-2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8" customHeight="1" x14ac:dyDescent="0.25">
      <c r="A15" s="1">
        <v>2448099.9075000002</v>
      </c>
      <c r="B15" s="1" t="s">
        <v>271</v>
      </c>
      <c r="C15" s="1">
        <v>13.137499999999999</v>
      </c>
      <c r="D15" s="1">
        <v>8.4383E-2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8" customHeight="1" x14ac:dyDescent="0.25">
      <c r="A16" s="1">
        <v>2448122.3712499999</v>
      </c>
      <c r="B16" s="1" t="s">
        <v>17</v>
      </c>
      <c r="C16" s="1">
        <v>12.987500000000001</v>
      </c>
      <c r="D16" s="1">
        <v>5.1539000000000001E-2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18" customHeight="1" x14ac:dyDescent="0.25">
      <c r="A17" s="1">
        <v>2448135.0499999998</v>
      </c>
      <c r="B17" s="1" t="s">
        <v>272</v>
      </c>
      <c r="C17" s="1">
        <v>13</v>
      </c>
      <c r="D17" s="1">
        <v>0.1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8" customHeight="1" x14ac:dyDescent="0.25">
      <c r="A18" s="1">
        <v>2448154.3650000002</v>
      </c>
      <c r="B18" s="1" t="s">
        <v>273</v>
      </c>
      <c r="C18" s="1">
        <v>13.166667</v>
      </c>
      <c r="D18" s="1">
        <v>3.3333000000000002E-2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8" customHeight="1" x14ac:dyDescent="0.25">
      <c r="A19" s="1">
        <v>2448175.5449999999</v>
      </c>
      <c r="B19" s="1" t="s">
        <v>274</v>
      </c>
      <c r="C19" s="1">
        <v>13.125</v>
      </c>
      <c r="D19" s="1">
        <v>2.5000000000000001E-2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customHeight="1" x14ac:dyDescent="0.25">
      <c r="A20" s="1">
        <v>2448197.2799999998</v>
      </c>
      <c r="B20" s="1" t="s">
        <v>275</v>
      </c>
      <c r="C20" s="1">
        <v>13.366667</v>
      </c>
      <c r="D20" s="1">
        <v>0.218581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8" customHeight="1" x14ac:dyDescent="0.25">
      <c r="A21" s="1">
        <v>2448419.41</v>
      </c>
      <c r="B21" s="1" t="s">
        <v>18</v>
      </c>
      <c r="C21" s="1">
        <v>13.5</v>
      </c>
      <c r="D21" s="1">
        <v>0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customHeight="1" x14ac:dyDescent="0.25">
      <c r="A22" s="1">
        <v>2448431.23</v>
      </c>
      <c r="B22" s="1" t="s">
        <v>276</v>
      </c>
      <c r="C22" s="1">
        <v>13.32</v>
      </c>
      <c r="D22" s="1">
        <v>3.7416999999999999E-2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8" customHeight="1" x14ac:dyDescent="0.25">
      <c r="A23" s="1">
        <v>2448450.0699999998</v>
      </c>
      <c r="B23" s="1" t="s">
        <v>19</v>
      </c>
      <c r="C23" s="1">
        <v>13.341666999999999</v>
      </c>
      <c r="D23" s="1">
        <v>8.0206E-2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8" customHeight="1" x14ac:dyDescent="0.25">
      <c r="A24" s="1">
        <v>2448474.1549999998</v>
      </c>
      <c r="B24" s="1" t="s">
        <v>277</v>
      </c>
      <c r="C24" s="1">
        <v>13.2</v>
      </c>
      <c r="D24" s="1">
        <v>0.14719599999999999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8" customHeight="1" x14ac:dyDescent="0.25">
      <c r="A25" s="1">
        <v>2448487.1588900001</v>
      </c>
      <c r="B25" s="1" t="s">
        <v>20</v>
      </c>
      <c r="C25" s="1">
        <v>13.088889</v>
      </c>
      <c r="D25" s="1">
        <v>6.1110999999999999E-2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8" customHeight="1" x14ac:dyDescent="0.25">
      <c r="A26" s="1">
        <v>2448507.34583</v>
      </c>
      <c r="B26" s="1" t="s">
        <v>21</v>
      </c>
      <c r="C26" s="1">
        <v>13.05</v>
      </c>
      <c r="D26" s="1">
        <v>8.0245999999999998E-2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8" customHeight="1" x14ac:dyDescent="0.25">
      <c r="A27" s="1">
        <v>2448535.2799999998</v>
      </c>
      <c r="B27" s="1" t="s">
        <v>278</v>
      </c>
      <c r="C27" s="1">
        <v>13.225</v>
      </c>
      <c r="D27" s="1">
        <v>4.7870999999999997E-2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8" customHeight="1" x14ac:dyDescent="0.25">
      <c r="A28" s="1">
        <v>2448549.25</v>
      </c>
      <c r="B28" s="1" t="s">
        <v>279</v>
      </c>
      <c r="C28" s="1">
        <v>13.35</v>
      </c>
      <c r="D28" s="1">
        <v>0.05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customHeight="1" x14ac:dyDescent="0.25">
      <c r="A29" s="1">
        <v>2448562.7599999998</v>
      </c>
      <c r="B29" s="1" t="s">
        <v>280</v>
      </c>
      <c r="C29" s="1">
        <v>13.35</v>
      </c>
      <c r="D29" s="1">
        <v>0.05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customHeight="1" x14ac:dyDescent="0.25">
      <c r="A30" s="1">
        <v>2448593.8459999999</v>
      </c>
      <c r="B30" s="1" t="s">
        <v>281</v>
      </c>
      <c r="C30" s="1">
        <v>13.36</v>
      </c>
      <c r="D30" s="1">
        <v>6.7822999999999994E-2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customHeight="1" x14ac:dyDescent="0.25">
      <c r="A31" s="1">
        <v>2448727.6</v>
      </c>
      <c r="B31" s="1" t="s">
        <v>22</v>
      </c>
      <c r="C31" s="1">
        <v>13.3</v>
      </c>
      <c r="D31" s="1">
        <v>0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customHeight="1" x14ac:dyDescent="0.25">
      <c r="A32" s="1">
        <v>2448793.94</v>
      </c>
      <c r="B32" s="1" t="s">
        <v>23</v>
      </c>
      <c r="C32" s="1">
        <v>13.3</v>
      </c>
      <c r="D32" s="1">
        <v>0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customHeight="1" x14ac:dyDescent="0.25">
      <c r="A33" s="1">
        <v>2448806.55125</v>
      </c>
      <c r="B33" s="1" t="s">
        <v>24</v>
      </c>
      <c r="C33" s="1">
        <v>13.45</v>
      </c>
      <c r="D33" s="1">
        <v>5.6695000000000002E-2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customHeight="1" x14ac:dyDescent="0.25">
      <c r="A34" s="1">
        <v>2448821.412</v>
      </c>
      <c r="B34" s="1" t="s">
        <v>282</v>
      </c>
      <c r="C34" s="1">
        <v>13.52</v>
      </c>
      <c r="D34" s="1">
        <v>4.8989999999999999E-2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customHeight="1" x14ac:dyDescent="0.25">
      <c r="A35" s="1">
        <v>2448833.2439999999</v>
      </c>
      <c r="B35" s="1" t="s">
        <v>283</v>
      </c>
      <c r="C35" s="1">
        <v>13.52</v>
      </c>
      <c r="D35" s="1">
        <v>3.7416999999999999E-2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customHeight="1" x14ac:dyDescent="0.25">
      <c r="A36" s="1">
        <v>2448860.08</v>
      </c>
      <c r="B36" s="1" t="s">
        <v>25</v>
      </c>
      <c r="C36" s="1">
        <v>12.022221999999999</v>
      </c>
      <c r="D36" s="1">
        <v>0.122222</v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customHeight="1" x14ac:dyDescent="0.25">
      <c r="A37" s="1">
        <v>2448882.2000000002</v>
      </c>
      <c r="B37" s="1" t="s">
        <v>26</v>
      </c>
      <c r="C37" s="1">
        <v>12.9</v>
      </c>
      <c r="D37" s="1">
        <v>0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customHeight="1" x14ac:dyDescent="0.25">
      <c r="A38" s="1">
        <v>2448914.2999999998</v>
      </c>
      <c r="B38" s="1" t="s">
        <v>27</v>
      </c>
      <c r="C38" s="1">
        <v>11.8</v>
      </c>
      <c r="D38" s="1">
        <v>0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customHeight="1" x14ac:dyDescent="0.25">
      <c r="A39" s="1">
        <v>2448955.2200000002</v>
      </c>
      <c r="B39" s="1" t="s">
        <v>284</v>
      </c>
      <c r="C39" s="1">
        <v>12.95</v>
      </c>
      <c r="D39" s="1">
        <v>0.15</v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customHeight="1" x14ac:dyDescent="0.25">
      <c r="A40" s="1">
        <v>2449066.5</v>
      </c>
      <c r="B40" s="1" t="s">
        <v>28</v>
      </c>
      <c r="C40" s="1">
        <v>13.4</v>
      </c>
      <c r="D40" s="1">
        <v>0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customHeight="1" x14ac:dyDescent="0.25">
      <c r="A41" s="1">
        <v>2449099.25</v>
      </c>
      <c r="B41" s="1" t="s">
        <v>29</v>
      </c>
      <c r="C41" s="1">
        <v>13.475</v>
      </c>
      <c r="D41" s="1">
        <v>4.7870999999999997E-2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customHeight="1" x14ac:dyDescent="0.25">
      <c r="A42" s="1">
        <v>2449116.1</v>
      </c>
      <c r="B42" s="1" t="s">
        <v>285</v>
      </c>
      <c r="C42" s="1">
        <v>13.5</v>
      </c>
      <c r="D42" s="1">
        <v>0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customHeight="1" x14ac:dyDescent="0.25">
      <c r="A43" s="1">
        <v>2449130.1666700002</v>
      </c>
      <c r="B43" s="1" t="s">
        <v>286</v>
      </c>
      <c r="C43" s="1">
        <v>13.433332999999999</v>
      </c>
      <c r="D43" s="1">
        <v>2.1082E-2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customHeight="1" x14ac:dyDescent="0.25">
      <c r="A44" s="1">
        <v>2449148.4355600001</v>
      </c>
      <c r="B44" s="1" t="s">
        <v>30</v>
      </c>
      <c r="C44" s="1">
        <v>13.533333000000001</v>
      </c>
      <c r="D44" s="1">
        <v>3.3333000000000002E-2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customHeight="1" x14ac:dyDescent="0.25">
      <c r="A45" s="1">
        <v>2449161.2441699998</v>
      </c>
      <c r="B45" s="1" t="s">
        <v>31</v>
      </c>
      <c r="C45" s="1">
        <v>13.45</v>
      </c>
      <c r="D45" s="1">
        <v>3.7939000000000001E-2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customHeight="1" x14ac:dyDescent="0.25">
      <c r="A46" s="1">
        <v>2449182.7285699998</v>
      </c>
      <c r="B46" s="1" t="s">
        <v>287</v>
      </c>
      <c r="C46" s="1">
        <v>13.4</v>
      </c>
      <c r="D46" s="1">
        <v>3.0861E-2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customHeight="1" x14ac:dyDescent="0.25">
      <c r="A47" s="1">
        <v>2449198.2999999998</v>
      </c>
      <c r="B47" s="1" t="s">
        <v>288</v>
      </c>
      <c r="C47" s="1">
        <v>13.4</v>
      </c>
      <c r="D47" s="1">
        <v>0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customHeight="1" x14ac:dyDescent="0.25">
      <c r="A48" s="1">
        <v>2449214.3111100001</v>
      </c>
      <c r="B48" s="1" t="s">
        <v>289</v>
      </c>
      <c r="C48" s="1">
        <v>13.422222</v>
      </c>
      <c r="D48" s="1">
        <v>3.2393999999999999E-2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customHeight="1" x14ac:dyDescent="0.25">
      <c r="A49" s="1">
        <v>2449234.8050000002</v>
      </c>
      <c r="B49" s="1" t="s">
        <v>290</v>
      </c>
      <c r="C49" s="1">
        <v>13.7</v>
      </c>
      <c r="D49" s="1">
        <v>0.4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customHeight="1" x14ac:dyDescent="0.25">
      <c r="A50" s="1">
        <v>2449248.1</v>
      </c>
      <c r="B50" s="1" t="s">
        <v>291</v>
      </c>
      <c r="C50" s="1">
        <v>14.26</v>
      </c>
      <c r="D50" s="1">
        <v>2.4494999999999999E-2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customHeight="1" x14ac:dyDescent="0.25">
      <c r="A51" s="1">
        <v>2449271.2000000002</v>
      </c>
      <c r="B51" s="1" t="s">
        <v>292</v>
      </c>
      <c r="C51" s="1">
        <v>14.3</v>
      </c>
      <c r="D51" s="1">
        <v>0.1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customHeight="1" x14ac:dyDescent="0.25">
      <c r="A52" s="1">
        <v>2449305.2200000002</v>
      </c>
      <c r="B52" s="1" t="s">
        <v>293</v>
      </c>
      <c r="C52" s="1">
        <v>12.26</v>
      </c>
      <c r="D52" s="1">
        <v>0.04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customHeight="1" x14ac:dyDescent="0.25">
      <c r="A53" s="1">
        <v>2449327.9649999999</v>
      </c>
      <c r="B53" s="1" t="s">
        <v>32</v>
      </c>
      <c r="C53" s="1">
        <v>11.875</v>
      </c>
      <c r="D53" s="1">
        <v>0.125</v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customHeight="1" x14ac:dyDescent="0.25">
      <c r="A54" s="1">
        <v>2449422.6</v>
      </c>
      <c r="B54" s="1" t="s">
        <v>294</v>
      </c>
      <c r="C54" s="1">
        <v>12.366667</v>
      </c>
      <c r="D54" s="1">
        <v>8.8192000000000006E-2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customHeight="1" x14ac:dyDescent="0.25">
      <c r="A55" s="1">
        <v>2449447</v>
      </c>
      <c r="B55" s="1" t="s">
        <v>33</v>
      </c>
      <c r="C55" s="1">
        <v>12.55</v>
      </c>
      <c r="D55" s="1">
        <v>0.15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customHeight="1" x14ac:dyDescent="0.25">
      <c r="A56" s="1">
        <v>2449464.7000000002</v>
      </c>
      <c r="B56" s="1" t="s">
        <v>295</v>
      </c>
      <c r="C56" s="1">
        <v>12.4</v>
      </c>
      <c r="D56" s="1">
        <v>0.2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customHeight="1" x14ac:dyDescent="0.25">
      <c r="A57" s="1">
        <v>2449479.3250000002</v>
      </c>
      <c r="B57" s="1" t="s">
        <v>34</v>
      </c>
      <c r="C57" s="1">
        <v>12.775</v>
      </c>
      <c r="D57" s="1">
        <v>2.5000000000000001E-2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customHeight="1" x14ac:dyDescent="0.25">
      <c r="A58" s="1">
        <v>2449494.5499999998</v>
      </c>
      <c r="B58" s="1" t="s">
        <v>296</v>
      </c>
      <c r="C58" s="1">
        <v>12.75</v>
      </c>
      <c r="D58" s="1">
        <v>0.05</v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customHeight="1" x14ac:dyDescent="0.25">
      <c r="A59" s="1">
        <v>2449511.0954499999</v>
      </c>
      <c r="B59" s="1" t="s">
        <v>35</v>
      </c>
      <c r="C59" s="1">
        <v>13.145455</v>
      </c>
      <c r="D59" s="1">
        <v>0.11627800000000001</v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customHeight="1" x14ac:dyDescent="0.25">
      <c r="A60" s="1">
        <v>2449524.14286</v>
      </c>
      <c r="B60" s="1" t="s">
        <v>36</v>
      </c>
      <c r="C60" s="1">
        <v>13</v>
      </c>
      <c r="D60" s="1">
        <v>0.157359</v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customHeight="1" x14ac:dyDescent="0.25">
      <c r="A61" s="1">
        <v>2449543.8495</v>
      </c>
      <c r="B61" s="1" t="s">
        <v>37</v>
      </c>
      <c r="C61" s="1">
        <v>13.02</v>
      </c>
      <c r="D61" s="1">
        <v>4.7903000000000001E-2</v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customHeight="1" x14ac:dyDescent="0.25">
      <c r="A62" s="1">
        <v>2449565.6181800002</v>
      </c>
      <c r="B62" s="1" t="s">
        <v>297</v>
      </c>
      <c r="C62" s="1">
        <v>13.154545000000001</v>
      </c>
      <c r="D62" s="1">
        <v>3.6589999999999998E-2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customHeight="1" x14ac:dyDescent="0.25">
      <c r="A63" s="1">
        <v>2449577.8846200001</v>
      </c>
      <c r="B63" s="1" t="s">
        <v>38</v>
      </c>
      <c r="C63" s="1">
        <v>13.107692</v>
      </c>
      <c r="D63" s="1">
        <v>8.2011000000000001E-2</v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customHeight="1" x14ac:dyDescent="0.25">
      <c r="A64" s="1">
        <v>2449595.7159199999</v>
      </c>
      <c r="B64" s="1" t="s">
        <v>39</v>
      </c>
      <c r="C64" s="1">
        <v>13.183332999999999</v>
      </c>
      <c r="D64" s="1">
        <v>6.4939999999999998E-2</v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customHeight="1" x14ac:dyDescent="0.25">
      <c r="A65" s="1">
        <v>2449609.125</v>
      </c>
      <c r="B65" s="1" t="s">
        <v>298</v>
      </c>
      <c r="C65" s="1">
        <v>13.074999999999999</v>
      </c>
      <c r="D65" s="1">
        <v>6.1962000000000003E-2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customHeight="1" x14ac:dyDescent="0.25">
      <c r="A66" s="1">
        <v>2449628.8428600002</v>
      </c>
      <c r="B66" s="1" t="s">
        <v>299</v>
      </c>
      <c r="C66" s="1">
        <v>13.014286</v>
      </c>
      <c r="D66" s="1">
        <v>4.0405999999999997E-2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customHeight="1" x14ac:dyDescent="0.25">
      <c r="A67" s="1">
        <v>2449659.4833300002</v>
      </c>
      <c r="B67" s="1" t="s">
        <v>300</v>
      </c>
      <c r="C67" s="1">
        <v>13.116667</v>
      </c>
      <c r="D67" s="1">
        <v>4.0139000000000001E-2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customHeight="1" x14ac:dyDescent="0.25">
      <c r="A68" s="1">
        <v>2449684.3652499998</v>
      </c>
      <c r="B68" s="1" t="s">
        <v>301</v>
      </c>
      <c r="C68" s="1">
        <v>14.612500000000001</v>
      </c>
      <c r="D68" s="1">
        <v>0.23485400000000001</v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customHeight="1" x14ac:dyDescent="0.25">
      <c r="A69" s="1">
        <v>2449709.27</v>
      </c>
      <c r="B69" s="1" t="s">
        <v>302</v>
      </c>
      <c r="C69" s="1">
        <v>13.96</v>
      </c>
      <c r="D69" s="1">
        <v>0.31241000000000002</v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customHeight="1" x14ac:dyDescent="0.25">
      <c r="A70" s="1">
        <v>2449721.4914000002</v>
      </c>
      <c r="B70" s="1" t="s">
        <v>40</v>
      </c>
      <c r="C70" s="1">
        <v>13.2</v>
      </c>
      <c r="D70" s="1">
        <v>7.0710999999999996E-2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customHeight="1" x14ac:dyDescent="0.25">
      <c r="A71" s="1">
        <v>2449755.7250000001</v>
      </c>
      <c r="B71" s="1" t="s">
        <v>303</v>
      </c>
      <c r="C71" s="1">
        <v>12.25</v>
      </c>
      <c r="D71" s="1">
        <v>0.25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customHeight="1" x14ac:dyDescent="0.25">
      <c r="A72" s="1">
        <v>2449778.8333299998</v>
      </c>
      <c r="B72" s="1" t="s">
        <v>41</v>
      </c>
      <c r="C72" s="1">
        <v>11.766667</v>
      </c>
      <c r="D72" s="1">
        <v>0.218581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customHeight="1" x14ac:dyDescent="0.25">
      <c r="A73" s="1">
        <v>2449808.375</v>
      </c>
      <c r="B73" s="1" t="s">
        <v>304</v>
      </c>
      <c r="C73" s="1">
        <v>11.5</v>
      </c>
      <c r="D73" s="1">
        <v>0.108012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customHeight="1" x14ac:dyDescent="0.25">
      <c r="A74" s="1">
        <v>2449824.9405999999</v>
      </c>
      <c r="B74" s="1" t="s">
        <v>305</v>
      </c>
      <c r="C74" s="1">
        <v>11.24</v>
      </c>
      <c r="D74" s="1">
        <v>0.16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customHeight="1" x14ac:dyDescent="0.25">
      <c r="A75" s="1">
        <v>2449841.9123</v>
      </c>
      <c r="B75" s="1" t="s">
        <v>42</v>
      </c>
      <c r="C75" s="1">
        <v>11.192308000000001</v>
      </c>
      <c r="D75" s="1">
        <v>9.2308000000000001E-2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30" x14ac:dyDescent="0.25">
      <c r="A76" s="1">
        <v>2449864.4088599999</v>
      </c>
      <c r="B76" s="1" t="s">
        <v>43</v>
      </c>
      <c r="C76" s="1">
        <v>11.28</v>
      </c>
      <c r="D76" s="1">
        <v>9.0430999999999997E-2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30" x14ac:dyDescent="0.25">
      <c r="A77" s="1">
        <v>2449873.5295299999</v>
      </c>
      <c r="B77" s="1" t="s">
        <v>44</v>
      </c>
      <c r="C77" s="1">
        <v>11.35</v>
      </c>
      <c r="D77" s="1">
        <v>0.106904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30" x14ac:dyDescent="0.25">
      <c r="A78" s="1">
        <v>2449896.39726</v>
      </c>
      <c r="B78" s="1" t="s">
        <v>306</v>
      </c>
      <c r="C78" s="1">
        <v>11.366667</v>
      </c>
      <c r="D78" s="1">
        <v>7.6269000000000003E-2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30" x14ac:dyDescent="0.25">
      <c r="A79" s="1">
        <v>2449908.3558899998</v>
      </c>
      <c r="B79" s="1" t="s">
        <v>45</v>
      </c>
      <c r="C79" s="1">
        <v>11.3</v>
      </c>
      <c r="D79" s="1">
        <v>8.8372000000000006E-2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30" x14ac:dyDescent="0.25">
      <c r="A80" s="1">
        <v>2449924.6209399998</v>
      </c>
      <c r="B80" s="1" t="s">
        <v>46</v>
      </c>
      <c r="C80" s="1">
        <v>11.329412</v>
      </c>
      <c r="D80" s="1">
        <v>5.0931999999999998E-2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30" x14ac:dyDescent="0.25">
      <c r="A81" s="1">
        <v>2449938.0127599998</v>
      </c>
      <c r="B81" s="1" t="s">
        <v>47</v>
      </c>
      <c r="C81" s="1">
        <v>11.469231000000001</v>
      </c>
      <c r="D81" s="1">
        <v>0.101517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30" x14ac:dyDescent="0.25">
      <c r="A82" s="1">
        <v>2449955.6285199998</v>
      </c>
      <c r="B82" s="1" t="s">
        <v>48</v>
      </c>
      <c r="C82" s="1">
        <v>11.714286</v>
      </c>
      <c r="D82" s="1">
        <v>7.1757000000000001E-2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30" x14ac:dyDescent="0.25">
      <c r="A83" s="1">
        <v>2449971.8801899999</v>
      </c>
      <c r="B83" s="1" t="s">
        <v>307</v>
      </c>
      <c r="C83" s="1">
        <v>11.7</v>
      </c>
      <c r="D83" s="1">
        <v>7.5592999999999994E-2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30" x14ac:dyDescent="0.25">
      <c r="A84" s="1">
        <v>2449986.4857100002</v>
      </c>
      <c r="B84" s="1" t="s">
        <v>308</v>
      </c>
      <c r="C84" s="1">
        <v>11.857143000000001</v>
      </c>
      <c r="D84" s="1">
        <v>7.1902999999999995E-2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30" x14ac:dyDescent="0.25">
      <c r="A85" s="1">
        <v>2450010.4624999999</v>
      </c>
      <c r="B85" s="1" t="s">
        <v>309</v>
      </c>
      <c r="C85" s="1">
        <v>11.8125</v>
      </c>
      <c r="D85" s="1">
        <v>5.1539000000000001E-2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30" x14ac:dyDescent="0.25">
      <c r="A86" s="1">
        <v>2450025.8333299998</v>
      </c>
      <c r="B86" s="1" t="s">
        <v>310</v>
      </c>
      <c r="C86" s="1">
        <v>11.966666999999999</v>
      </c>
      <c r="D86" s="1">
        <v>8.8192000000000006E-2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30" x14ac:dyDescent="0.25">
      <c r="A87" s="1">
        <v>2450046</v>
      </c>
      <c r="B87" s="1" t="s">
        <v>311</v>
      </c>
      <c r="C87" s="1">
        <v>11.85</v>
      </c>
      <c r="D87" s="1">
        <v>9.5742999999999995E-2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30" x14ac:dyDescent="0.25">
      <c r="A88" s="1">
        <v>2450071.75</v>
      </c>
      <c r="B88" s="1" t="s">
        <v>312</v>
      </c>
      <c r="C88" s="1">
        <v>11.9</v>
      </c>
      <c r="D88" s="1">
        <v>0.11547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2450139.9</v>
      </c>
      <c r="B89" s="1" t="s">
        <v>49</v>
      </c>
      <c r="C89" s="1">
        <v>12.9</v>
      </c>
      <c r="D89" s="1">
        <v>0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2450181.5</v>
      </c>
      <c r="B90" s="1" t="s">
        <v>50</v>
      </c>
      <c r="C90" s="1">
        <v>11.7</v>
      </c>
      <c r="D90" s="1">
        <v>0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30" x14ac:dyDescent="0.25">
      <c r="A91" s="1">
        <v>2450193.1816699998</v>
      </c>
      <c r="B91" s="1" t="s">
        <v>51</v>
      </c>
      <c r="C91" s="1">
        <v>11.5</v>
      </c>
      <c r="D91" s="1">
        <v>8.3333000000000004E-2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30" x14ac:dyDescent="0.25">
      <c r="A92" s="1">
        <v>2450204.69686</v>
      </c>
      <c r="B92" s="1" t="s">
        <v>313</v>
      </c>
      <c r="C92" s="1">
        <v>11.1</v>
      </c>
      <c r="D92" s="1">
        <v>8.4515000000000007E-2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30" x14ac:dyDescent="0.25">
      <c r="A93" s="1">
        <v>2450222.9603300001</v>
      </c>
      <c r="B93" s="1" t="s">
        <v>52</v>
      </c>
      <c r="C93" s="1">
        <v>11.441667000000001</v>
      </c>
      <c r="D93" s="1">
        <v>0.10692599999999999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30" x14ac:dyDescent="0.25">
      <c r="A94" s="1">
        <v>2450240.2787500001</v>
      </c>
      <c r="B94" s="1" t="s">
        <v>53</v>
      </c>
      <c r="C94" s="1">
        <v>11.4625</v>
      </c>
      <c r="D94" s="1">
        <v>0.110093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30" x14ac:dyDescent="0.25">
      <c r="A95" s="1">
        <v>2450252.5012699999</v>
      </c>
      <c r="B95" s="1" t="s">
        <v>54</v>
      </c>
      <c r="C95" s="1">
        <v>11.463635999999999</v>
      </c>
      <c r="D95" s="1">
        <v>0.10115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30" x14ac:dyDescent="0.25">
      <c r="A96" s="1">
        <v>2450273.9466300001</v>
      </c>
      <c r="B96" s="1" t="s">
        <v>314</v>
      </c>
      <c r="C96" s="1">
        <v>11.191667000000001</v>
      </c>
      <c r="D96" s="1">
        <v>0.103322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30" x14ac:dyDescent="0.25">
      <c r="A97" s="1">
        <v>2450286.5287899999</v>
      </c>
      <c r="B97" s="1" t="s">
        <v>55</v>
      </c>
      <c r="C97" s="1">
        <v>11.435714000000001</v>
      </c>
      <c r="D97" s="1">
        <v>0.12474499999999999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30" x14ac:dyDescent="0.25">
      <c r="A98" s="1">
        <v>2450305.7561699999</v>
      </c>
      <c r="B98" s="1" t="s">
        <v>315</v>
      </c>
      <c r="C98" s="1">
        <v>11.428571</v>
      </c>
      <c r="D98" s="1">
        <v>0.10505299999999999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30" x14ac:dyDescent="0.25">
      <c r="A99" s="1">
        <v>2450318.6931599998</v>
      </c>
      <c r="B99" s="1" t="s">
        <v>56</v>
      </c>
      <c r="C99" s="1">
        <v>11.577778</v>
      </c>
      <c r="D99" s="1">
        <v>6.6937999999999998E-2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30" x14ac:dyDescent="0.25">
      <c r="A100" s="1">
        <v>2450338.8522700001</v>
      </c>
      <c r="B100" s="1" t="s">
        <v>57</v>
      </c>
      <c r="C100" s="1">
        <v>11.786667</v>
      </c>
      <c r="D100" s="1">
        <v>7.5509000000000007E-2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30" x14ac:dyDescent="0.25">
      <c r="A101" s="1">
        <v>2450353.97798</v>
      </c>
      <c r="B101" s="1" t="s">
        <v>316</v>
      </c>
      <c r="C101" s="1">
        <v>11.883333</v>
      </c>
      <c r="D101" s="1">
        <v>0.124944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30" x14ac:dyDescent="0.25">
      <c r="A102" s="1">
        <v>2450370.8446999998</v>
      </c>
      <c r="B102" s="1" t="s">
        <v>317</v>
      </c>
      <c r="C102" s="1">
        <v>11.92</v>
      </c>
      <c r="D102" s="1">
        <v>0.10413699999999999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30" x14ac:dyDescent="0.25">
      <c r="A103" s="1">
        <v>2450391.8861699998</v>
      </c>
      <c r="B103" s="1" t="s">
        <v>318</v>
      </c>
      <c r="C103" s="1">
        <v>12.116667</v>
      </c>
      <c r="D103" s="1">
        <v>8.7242E-2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30" x14ac:dyDescent="0.25">
      <c r="A104" s="1">
        <v>2450401.2804999999</v>
      </c>
      <c r="B104" s="1" t="s">
        <v>58</v>
      </c>
      <c r="C104" s="1">
        <v>12</v>
      </c>
      <c r="D104" s="1">
        <v>6.1545999999999997E-2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30" x14ac:dyDescent="0.25">
      <c r="A105" s="1">
        <v>2450422.3794999998</v>
      </c>
      <c r="B105" s="1" t="s">
        <v>59</v>
      </c>
      <c r="C105" s="1">
        <v>12.15</v>
      </c>
      <c r="D105" s="1">
        <v>2.8868000000000001E-2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2450508.7050000001</v>
      </c>
      <c r="B106" s="1" t="s">
        <v>60</v>
      </c>
      <c r="C106" s="1">
        <v>12.1</v>
      </c>
      <c r="D106" s="1">
        <v>0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2450534.6345000002</v>
      </c>
      <c r="B107" s="1" t="s">
        <v>61</v>
      </c>
      <c r="C107" s="1">
        <v>12.225</v>
      </c>
      <c r="D107" s="1">
        <v>2.5000000000000001E-2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30" x14ac:dyDescent="0.25">
      <c r="A108" s="1">
        <v>2450553.9503299999</v>
      </c>
      <c r="B108" s="1" t="s">
        <v>319</v>
      </c>
      <c r="C108" s="1">
        <v>14.033333000000001</v>
      </c>
      <c r="D108" s="1">
        <v>0.18559200000000001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30" x14ac:dyDescent="0.25">
      <c r="A109" s="1">
        <v>2450575.949</v>
      </c>
      <c r="B109" s="1" t="s">
        <v>62</v>
      </c>
      <c r="C109" s="1">
        <v>13.92</v>
      </c>
      <c r="D109" s="1">
        <v>0.16719899999999999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30" x14ac:dyDescent="0.25">
      <c r="A110" s="1">
        <v>2450596.5125000002</v>
      </c>
      <c r="B110" s="1" t="s">
        <v>320</v>
      </c>
      <c r="C110" s="1">
        <v>12.32</v>
      </c>
      <c r="D110" s="1">
        <v>5.5377000000000003E-2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30" x14ac:dyDescent="0.25">
      <c r="A111" s="1">
        <v>2450612.0336699998</v>
      </c>
      <c r="B111" s="1" t="s">
        <v>321</v>
      </c>
      <c r="C111" s="1">
        <v>12.283333000000001</v>
      </c>
      <c r="D111" s="1">
        <v>3.0731999999999999E-2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30" x14ac:dyDescent="0.25">
      <c r="A112" s="1">
        <v>2450630.87634</v>
      </c>
      <c r="B112" s="1" t="s">
        <v>322</v>
      </c>
      <c r="C112" s="1">
        <v>12.362500000000001</v>
      </c>
      <c r="D112" s="1">
        <v>4.1993000000000003E-2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30" x14ac:dyDescent="0.25">
      <c r="A113" s="1">
        <v>2450645.5866100001</v>
      </c>
      <c r="B113" s="1" t="s">
        <v>323</v>
      </c>
      <c r="C113" s="1">
        <v>12.3</v>
      </c>
      <c r="D113" s="1">
        <v>2.3570000000000001E-2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30" x14ac:dyDescent="0.25">
      <c r="A114" s="1">
        <v>2450662.0152199999</v>
      </c>
      <c r="B114" s="1" t="s">
        <v>63</v>
      </c>
      <c r="C114" s="1">
        <v>12.29</v>
      </c>
      <c r="D114" s="1">
        <v>2.7688999999999998E-2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30" x14ac:dyDescent="0.25">
      <c r="A115" s="1">
        <v>2450676.3591999998</v>
      </c>
      <c r="B115" s="1" t="s">
        <v>64</v>
      </c>
      <c r="C115" s="1">
        <v>12.355556</v>
      </c>
      <c r="D115" s="1">
        <v>5.0307999999999999E-2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30" x14ac:dyDescent="0.25">
      <c r="A116" s="1">
        <v>2450696.5786299999</v>
      </c>
      <c r="B116" s="1" t="s">
        <v>65</v>
      </c>
      <c r="C116" s="1">
        <v>12.36</v>
      </c>
      <c r="D116" s="1">
        <v>6.6762000000000002E-2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30" x14ac:dyDescent="0.25">
      <c r="A117" s="1">
        <v>2450711.9912200002</v>
      </c>
      <c r="B117" s="1" t="s">
        <v>324</v>
      </c>
      <c r="C117" s="1">
        <v>12.428571</v>
      </c>
      <c r="D117" s="1">
        <v>6.5823999999999994E-2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30" x14ac:dyDescent="0.25">
      <c r="A118" s="1">
        <v>2450725.0598800001</v>
      </c>
      <c r="B118" s="1" t="s">
        <v>325</v>
      </c>
      <c r="C118" s="1">
        <v>12.266667</v>
      </c>
      <c r="D118" s="1">
        <v>6.7793999999999993E-2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30" x14ac:dyDescent="0.25">
      <c r="A119" s="1">
        <v>2450742.6779900002</v>
      </c>
      <c r="B119" s="1" t="s">
        <v>66</v>
      </c>
      <c r="C119" s="1">
        <v>12.32</v>
      </c>
      <c r="D119" s="1">
        <v>5.9255000000000002E-2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30" x14ac:dyDescent="0.25">
      <c r="A120" s="1">
        <v>2450756.7642000001</v>
      </c>
      <c r="B120" s="1" t="s">
        <v>67</v>
      </c>
      <c r="C120" s="1">
        <v>12.33</v>
      </c>
      <c r="D120" s="1">
        <v>3.9580999999999998E-2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30" x14ac:dyDescent="0.25">
      <c r="A121" s="1">
        <v>2450773.0092000002</v>
      </c>
      <c r="B121" s="1" t="s">
        <v>326</v>
      </c>
      <c r="C121" s="1">
        <v>12.36</v>
      </c>
      <c r="D121" s="1">
        <v>5.0990000000000001E-2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30" x14ac:dyDescent="0.25">
      <c r="A122" s="1">
        <v>2450790.7806000002</v>
      </c>
      <c r="B122" s="1" t="s">
        <v>68</v>
      </c>
      <c r="C122" s="1">
        <v>12.38</v>
      </c>
      <c r="D122" s="1">
        <v>6.6332000000000002E-2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2450816.3220000002</v>
      </c>
      <c r="B123" s="1" t="s">
        <v>69</v>
      </c>
      <c r="C123" s="1">
        <v>12.5</v>
      </c>
      <c r="D123" s="1">
        <v>0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2450866.7239999999</v>
      </c>
      <c r="B124" s="1" t="s">
        <v>70</v>
      </c>
      <c r="C124" s="1">
        <v>12.3</v>
      </c>
      <c r="D124" s="1">
        <v>0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2450884.6850000001</v>
      </c>
      <c r="B125" s="1" t="s">
        <v>71</v>
      </c>
      <c r="C125" s="1">
        <v>12.2</v>
      </c>
      <c r="D125" s="1">
        <v>0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2450903.625</v>
      </c>
      <c r="B126" s="1" t="s">
        <v>72</v>
      </c>
      <c r="C126" s="1">
        <v>12.45</v>
      </c>
      <c r="D126" s="1">
        <v>0.25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30" x14ac:dyDescent="0.25">
      <c r="A127" s="1">
        <v>2450926.4170200001</v>
      </c>
      <c r="B127" s="1" t="s">
        <v>327</v>
      </c>
      <c r="C127" s="1">
        <v>12.375</v>
      </c>
      <c r="D127" s="1">
        <v>0.14361399999999999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30" x14ac:dyDescent="0.25">
      <c r="A128" s="1">
        <v>2450949.57333</v>
      </c>
      <c r="B128" s="1" t="s">
        <v>328</v>
      </c>
      <c r="C128" s="1">
        <v>12.433332999999999</v>
      </c>
      <c r="D128" s="1">
        <v>0.18559200000000001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30" x14ac:dyDescent="0.25">
      <c r="A129" s="1">
        <v>2450962.7396300002</v>
      </c>
      <c r="B129" s="1" t="s">
        <v>73</v>
      </c>
      <c r="C129" s="1">
        <v>12.671429</v>
      </c>
      <c r="D129" s="1">
        <v>0.13401199999999999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30" x14ac:dyDescent="0.25">
      <c r="A130" s="1">
        <v>2450988.7310000001</v>
      </c>
      <c r="B130" s="1" t="s">
        <v>329</v>
      </c>
      <c r="C130" s="1">
        <v>14.2</v>
      </c>
      <c r="D130" s="1">
        <v>0.35777100000000001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30" x14ac:dyDescent="0.25">
      <c r="A131" s="1">
        <v>2451005.3994999998</v>
      </c>
      <c r="B131" s="1" t="s">
        <v>330</v>
      </c>
      <c r="C131" s="1">
        <v>14.512499999999999</v>
      </c>
      <c r="D131" s="1">
        <v>3.9809999999999998E-2</v>
      </c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30" x14ac:dyDescent="0.25">
      <c r="A132" s="1">
        <v>2451017.8290800001</v>
      </c>
      <c r="B132" s="1" t="s">
        <v>74</v>
      </c>
      <c r="C132" s="1">
        <v>13.515385</v>
      </c>
      <c r="D132" s="1">
        <v>0.16086600000000001</v>
      </c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30" x14ac:dyDescent="0.25">
      <c r="A133" s="1">
        <v>2451034.71539</v>
      </c>
      <c r="B133" s="1" t="s">
        <v>75</v>
      </c>
      <c r="C133" s="1">
        <v>12.688235000000001</v>
      </c>
      <c r="D133" s="1">
        <v>2.5555999999999999E-2</v>
      </c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30" x14ac:dyDescent="0.25">
      <c r="A134" s="1">
        <v>2451051.0326399999</v>
      </c>
      <c r="B134" s="1" t="s">
        <v>331</v>
      </c>
      <c r="C134" s="1">
        <v>12.75</v>
      </c>
      <c r="D134" s="1">
        <v>2.2846999999999999E-2</v>
      </c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30" x14ac:dyDescent="0.25">
      <c r="A135" s="1">
        <v>2451071.7979600001</v>
      </c>
      <c r="B135" s="1" t="s">
        <v>76</v>
      </c>
      <c r="C135" s="1">
        <v>12.7</v>
      </c>
      <c r="D135" s="1">
        <v>3.3333000000000002E-2</v>
      </c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30" x14ac:dyDescent="0.25">
      <c r="A136" s="1">
        <v>2451089.0622</v>
      </c>
      <c r="B136" s="1" t="s">
        <v>332</v>
      </c>
      <c r="C136" s="1">
        <v>12.58</v>
      </c>
      <c r="D136" s="1">
        <v>9.1651999999999997E-2</v>
      </c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30" x14ac:dyDescent="0.25">
      <c r="A137" s="1">
        <v>2451106.2022799999</v>
      </c>
      <c r="B137" s="1" t="s">
        <v>333</v>
      </c>
      <c r="C137" s="1">
        <v>12.6</v>
      </c>
      <c r="D137" s="1">
        <v>3.5674999999999998E-2</v>
      </c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30" x14ac:dyDescent="0.25">
      <c r="A138" s="1">
        <v>2451124.8207399999</v>
      </c>
      <c r="B138" s="1" t="s">
        <v>334</v>
      </c>
      <c r="C138" s="1">
        <v>12.666667</v>
      </c>
      <c r="D138" s="1">
        <v>3.7268000000000003E-2</v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30" x14ac:dyDescent="0.25">
      <c r="A139" s="1">
        <v>2451139.0083300001</v>
      </c>
      <c r="B139" s="1" t="s">
        <v>335</v>
      </c>
      <c r="C139" s="1">
        <v>12.7</v>
      </c>
      <c r="D139" s="1">
        <v>5.7735000000000002E-2</v>
      </c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2451162.5</v>
      </c>
      <c r="B140" s="1" t="s">
        <v>77</v>
      </c>
      <c r="C140" s="1">
        <v>12.8</v>
      </c>
      <c r="D140" s="1">
        <v>0</v>
      </c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2451293.58</v>
      </c>
      <c r="B141" s="1" t="s">
        <v>78</v>
      </c>
      <c r="C141" s="1">
        <v>12.6</v>
      </c>
      <c r="D141" s="1">
        <v>0</v>
      </c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2451303.0745000001</v>
      </c>
      <c r="B142" s="1" t="s">
        <v>336</v>
      </c>
      <c r="C142" s="1">
        <v>12.85</v>
      </c>
      <c r="D142" s="1">
        <v>0.35</v>
      </c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2451320.3848299999</v>
      </c>
      <c r="B143" s="1" t="s">
        <v>79</v>
      </c>
      <c r="C143" s="1">
        <v>12.9</v>
      </c>
      <c r="D143" s="1">
        <v>0.1</v>
      </c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30" x14ac:dyDescent="0.25">
      <c r="A144" s="1">
        <v>2451341.4474599999</v>
      </c>
      <c r="B144" s="1" t="s">
        <v>80</v>
      </c>
      <c r="C144" s="1">
        <v>12.8</v>
      </c>
      <c r="D144" s="1">
        <v>4.3853000000000003E-2</v>
      </c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30" x14ac:dyDescent="0.25">
      <c r="A145" s="1">
        <v>2451355.8906700001</v>
      </c>
      <c r="B145" s="1" t="s">
        <v>337</v>
      </c>
      <c r="C145" s="1">
        <v>12.833333</v>
      </c>
      <c r="D145" s="1">
        <v>0.13333300000000001</v>
      </c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30" x14ac:dyDescent="0.25">
      <c r="A146" s="1">
        <v>2451374.0922500002</v>
      </c>
      <c r="B146" s="1" t="s">
        <v>81</v>
      </c>
      <c r="C146" s="1">
        <v>12.984615</v>
      </c>
      <c r="D146" s="1">
        <v>4.5073000000000002E-2</v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30" x14ac:dyDescent="0.25">
      <c r="A147" s="1">
        <v>2451389.97914</v>
      </c>
      <c r="B147" s="1" t="s">
        <v>82</v>
      </c>
      <c r="C147" s="1">
        <v>13.055555999999999</v>
      </c>
      <c r="D147" s="1">
        <v>5.8001999999999998E-2</v>
      </c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30" x14ac:dyDescent="0.25">
      <c r="A148" s="1">
        <v>2451408.2532700002</v>
      </c>
      <c r="B148" s="1" t="s">
        <v>338</v>
      </c>
      <c r="C148" s="1">
        <v>13.963635999999999</v>
      </c>
      <c r="D148" s="1">
        <v>0.18304100000000001</v>
      </c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30" x14ac:dyDescent="0.25">
      <c r="A149" s="1">
        <v>2451423.3865</v>
      </c>
      <c r="B149" s="1" t="s">
        <v>339</v>
      </c>
      <c r="C149" s="1">
        <v>14.824999999999999</v>
      </c>
      <c r="D149" s="1">
        <v>0.131498</v>
      </c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30" x14ac:dyDescent="0.25">
      <c r="A150" s="1">
        <v>2451438.9295600001</v>
      </c>
      <c r="B150" s="1" t="s">
        <v>83</v>
      </c>
      <c r="C150" s="1">
        <v>14.944444000000001</v>
      </c>
      <c r="D150" s="1">
        <v>0.104231</v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30" x14ac:dyDescent="0.25">
      <c r="A151" s="1">
        <v>2451459.2247000001</v>
      </c>
      <c r="B151" s="1" t="s">
        <v>84</v>
      </c>
      <c r="C151" s="1">
        <v>13.21</v>
      </c>
      <c r="D151" s="1">
        <v>9.3630000000000005E-2</v>
      </c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2451474.8978300001</v>
      </c>
      <c r="B152" s="1" t="s">
        <v>340</v>
      </c>
      <c r="C152" s="1">
        <v>13</v>
      </c>
      <c r="D152" s="1">
        <v>0</v>
      </c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30" x14ac:dyDescent="0.25">
      <c r="A153" s="1">
        <v>2451490.2657099999</v>
      </c>
      <c r="B153" s="1" t="s">
        <v>341</v>
      </c>
      <c r="C153" s="1">
        <v>13</v>
      </c>
      <c r="D153" s="1">
        <v>3.0861E-2</v>
      </c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2451507.3901999998</v>
      </c>
      <c r="B154" s="1" t="s">
        <v>342</v>
      </c>
      <c r="C154" s="1">
        <v>13.08</v>
      </c>
      <c r="D154" s="1">
        <v>0.08</v>
      </c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30" x14ac:dyDescent="0.25">
      <c r="A155" s="1">
        <v>2451524.36</v>
      </c>
      <c r="B155" s="1" t="s">
        <v>343</v>
      </c>
      <c r="C155" s="1">
        <v>12.988889</v>
      </c>
      <c r="D155" s="1">
        <v>4.8432000000000003E-2</v>
      </c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2451641.63</v>
      </c>
      <c r="B156" s="1" t="s">
        <v>85</v>
      </c>
      <c r="C156" s="1">
        <v>12.9</v>
      </c>
      <c r="D156" s="1">
        <v>0</v>
      </c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2451665.3689999999</v>
      </c>
      <c r="B157" s="1" t="s">
        <v>86</v>
      </c>
      <c r="C157" s="1">
        <v>12.92</v>
      </c>
      <c r="D157" s="1">
        <v>0.02</v>
      </c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2451686.548</v>
      </c>
      <c r="B158" s="1" t="s">
        <v>87</v>
      </c>
      <c r="C158" s="1">
        <v>12.9</v>
      </c>
      <c r="D158" s="1">
        <v>0</v>
      </c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30" x14ac:dyDescent="0.25">
      <c r="A159" s="1">
        <v>2451698.20988</v>
      </c>
      <c r="B159" s="1" t="s">
        <v>344</v>
      </c>
      <c r="C159" s="1">
        <v>13.0375</v>
      </c>
      <c r="D159" s="1">
        <v>4.6049E-2</v>
      </c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30" x14ac:dyDescent="0.25">
      <c r="A160" s="1">
        <v>2451715.8197499998</v>
      </c>
      <c r="B160" s="1" t="s">
        <v>345</v>
      </c>
      <c r="C160" s="1">
        <v>13.025</v>
      </c>
      <c r="D160" s="1">
        <v>4.7870999999999997E-2</v>
      </c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2451728.3887999998</v>
      </c>
      <c r="B161" s="1" t="s">
        <v>88</v>
      </c>
      <c r="C161" s="1">
        <v>13.08</v>
      </c>
      <c r="D161" s="1">
        <v>0.02</v>
      </c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2451741.9599199998</v>
      </c>
      <c r="B162" s="1" t="s">
        <v>346</v>
      </c>
      <c r="C162" s="1">
        <v>13.1</v>
      </c>
      <c r="D162" s="1">
        <v>0</v>
      </c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30" x14ac:dyDescent="0.25">
      <c r="A163" s="1">
        <v>2451763.0070000002</v>
      </c>
      <c r="B163" s="1" t="s">
        <v>89</v>
      </c>
      <c r="C163" s="1">
        <v>13.083333</v>
      </c>
      <c r="D163" s="1">
        <v>1.6667000000000001E-2</v>
      </c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30" x14ac:dyDescent="0.25">
      <c r="A164" s="1">
        <v>2451779.14555</v>
      </c>
      <c r="B164" s="1" t="s">
        <v>90</v>
      </c>
      <c r="C164" s="1">
        <v>13.1</v>
      </c>
      <c r="D164" s="1">
        <v>1.3483999999999999E-2</v>
      </c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30" x14ac:dyDescent="0.25">
      <c r="A165" s="1">
        <v>2451790.6712099998</v>
      </c>
      <c r="B165" s="1" t="s">
        <v>347</v>
      </c>
      <c r="C165" s="1">
        <v>13.142856999999999</v>
      </c>
      <c r="D165" s="1">
        <v>3.0945E-2</v>
      </c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30" x14ac:dyDescent="0.25">
      <c r="A166" s="1">
        <v>2451811.1544499998</v>
      </c>
      <c r="B166" s="1" t="s">
        <v>91</v>
      </c>
      <c r="C166" s="1">
        <v>13.107692</v>
      </c>
      <c r="D166" s="1">
        <v>2.1066000000000001E-2</v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30" x14ac:dyDescent="0.25">
      <c r="A167" s="1">
        <v>2451822.4297699998</v>
      </c>
      <c r="B167" s="1" t="s">
        <v>92</v>
      </c>
      <c r="C167" s="1">
        <v>13.06</v>
      </c>
      <c r="D167" s="1">
        <v>1.3093E-2</v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30" x14ac:dyDescent="0.25">
      <c r="A168" s="1">
        <v>2451839.3971899999</v>
      </c>
      <c r="B168" s="1" t="s">
        <v>93</v>
      </c>
      <c r="C168" s="1">
        <v>13.910526000000001</v>
      </c>
      <c r="D168" s="1">
        <v>6.1603999999999999E-2</v>
      </c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30" x14ac:dyDescent="0.25">
      <c r="A169" s="1">
        <v>2451855.0753199998</v>
      </c>
      <c r="B169" s="1" t="s">
        <v>348</v>
      </c>
      <c r="C169" s="1">
        <v>15.02</v>
      </c>
      <c r="D169" s="1">
        <v>0.13727500000000001</v>
      </c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30" x14ac:dyDescent="0.25">
      <c r="A170" s="1">
        <v>2451875.69398</v>
      </c>
      <c r="B170" s="1" t="s">
        <v>349</v>
      </c>
      <c r="C170" s="1">
        <v>15.18</v>
      </c>
      <c r="D170" s="1">
        <v>0.270924</v>
      </c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2451959.6757</v>
      </c>
      <c r="B171" s="1" t="s">
        <v>94</v>
      </c>
      <c r="C171" s="1">
        <v>12.6</v>
      </c>
      <c r="D171" s="1">
        <v>0</v>
      </c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2451970.11045</v>
      </c>
      <c r="B172" s="1" t="s">
        <v>350</v>
      </c>
      <c r="C172" s="1">
        <v>12.7</v>
      </c>
      <c r="D172" s="1">
        <v>0.1</v>
      </c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30" x14ac:dyDescent="0.25">
      <c r="A173" s="1">
        <v>2452013.0200299998</v>
      </c>
      <c r="B173" s="1" t="s">
        <v>351</v>
      </c>
      <c r="C173" s="1">
        <v>12.966666999999999</v>
      </c>
      <c r="D173" s="1">
        <v>3.3333000000000002E-2</v>
      </c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30" x14ac:dyDescent="0.25">
      <c r="A174" s="1">
        <v>2452027.11124</v>
      </c>
      <c r="B174" s="1" t="s">
        <v>95</v>
      </c>
      <c r="C174" s="1">
        <v>12.936363999999999</v>
      </c>
      <c r="D174" s="1">
        <v>2.7872000000000001E-2</v>
      </c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30" x14ac:dyDescent="0.25">
      <c r="A175" s="1">
        <v>2452042.7365199998</v>
      </c>
      <c r="B175" s="1" t="s">
        <v>96</v>
      </c>
      <c r="C175" s="1">
        <v>12.755556</v>
      </c>
      <c r="D175" s="1">
        <v>2.9397E-2</v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30" x14ac:dyDescent="0.25">
      <c r="A176" s="1">
        <v>2452055.76774</v>
      </c>
      <c r="B176" s="1" t="s">
        <v>352</v>
      </c>
      <c r="C176" s="1">
        <v>12.911765000000001</v>
      </c>
      <c r="D176" s="1">
        <v>3.0776999999999999E-2</v>
      </c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30" x14ac:dyDescent="0.25">
      <c r="A177" s="1">
        <v>2452071.19991</v>
      </c>
      <c r="B177" s="1" t="s">
        <v>97</v>
      </c>
      <c r="C177" s="1">
        <v>12.975</v>
      </c>
      <c r="D177" s="1">
        <v>7.2580000000000006E-2</v>
      </c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30" x14ac:dyDescent="0.25">
      <c r="A178" s="1">
        <v>2452088.4390500002</v>
      </c>
      <c r="B178" s="1" t="s">
        <v>98</v>
      </c>
      <c r="C178" s="1">
        <v>12.95</v>
      </c>
      <c r="D178" s="1">
        <v>2.9183000000000001E-2</v>
      </c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30" x14ac:dyDescent="0.25">
      <c r="A179" s="1">
        <v>2452106.5765499999</v>
      </c>
      <c r="B179" s="1" t="s">
        <v>99</v>
      </c>
      <c r="C179" s="1">
        <v>12.904166999999999</v>
      </c>
      <c r="D179" s="1">
        <v>3.7338999999999997E-2</v>
      </c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30" x14ac:dyDescent="0.25">
      <c r="A180" s="1">
        <v>2452121.8394999998</v>
      </c>
      <c r="B180" s="1" t="s">
        <v>100</v>
      </c>
      <c r="C180" s="1">
        <v>12.942857</v>
      </c>
      <c r="D180" s="1">
        <v>2.5059000000000001E-2</v>
      </c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30" x14ac:dyDescent="0.25">
      <c r="A181" s="1">
        <v>2452138.03406</v>
      </c>
      <c r="B181" s="1" t="s">
        <v>101</v>
      </c>
      <c r="C181" s="1">
        <v>12.953571</v>
      </c>
      <c r="D181" s="1">
        <v>3.4687999999999997E-2</v>
      </c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30" x14ac:dyDescent="0.25">
      <c r="A182" s="1">
        <v>2452153.0733699999</v>
      </c>
      <c r="B182" s="1" t="s">
        <v>102</v>
      </c>
      <c r="C182" s="1">
        <v>12.824999999999999</v>
      </c>
      <c r="D182" s="1">
        <v>4.2842999999999999E-2</v>
      </c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30" x14ac:dyDescent="0.25">
      <c r="A183" s="1">
        <v>2452169.8511399999</v>
      </c>
      <c r="B183" s="1" t="s">
        <v>103</v>
      </c>
      <c r="C183" s="1">
        <v>13</v>
      </c>
      <c r="D183" s="1">
        <v>3.2337999999999999E-2</v>
      </c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30" x14ac:dyDescent="0.25">
      <c r="A184" s="1">
        <v>2452188.6257099998</v>
      </c>
      <c r="B184" s="1" t="s">
        <v>104</v>
      </c>
      <c r="C184" s="1">
        <v>13.013332999999999</v>
      </c>
      <c r="D184" s="1">
        <v>4.2389000000000003E-2</v>
      </c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30" x14ac:dyDescent="0.25">
      <c r="A185" s="1">
        <v>2452199.8888900001</v>
      </c>
      <c r="B185" s="1" t="s">
        <v>353</v>
      </c>
      <c r="C185" s="1">
        <v>13.12</v>
      </c>
      <c r="D185" s="1">
        <v>3.5901000000000002E-2</v>
      </c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30" x14ac:dyDescent="0.25">
      <c r="A186" s="1">
        <v>2452218.7610900002</v>
      </c>
      <c r="B186" s="1" t="s">
        <v>354</v>
      </c>
      <c r="C186" s="1">
        <v>13.036364000000001</v>
      </c>
      <c r="D186" s="1">
        <v>3.0963000000000001E-2</v>
      </c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30" x14ac:dyDescent="0.25">
      <c r="A187" s="1">
        <v>2452230.3717299998</v>
      </c>
      <c r="B187" s="1" t="s">
        <v>105</v>
      </c>
      <c r="C187" s="1">
        <v>13.1</v>
      </c>
      <c r="D187" s="1">
        <v>2.1319999999999999E-2</v>
      </c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30" x14ac:dyDescent="0.25">
      <c r="A188" s="1">
        <v>2452251.41475</v>
      </c>
      <c r="B188" s="1" t="s">
        <v>106</v>
      </c>
      <c r="C188" s="1">
        <v>13.172727</v>
      </c>
      <c r="D188" s="1">
        <v>4.8786999999999997E-2</v>
      </c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30" x14ac:dyDescent="0.25">
      <c r="A189" s="1">
        <v>2452270.04568</v>
      </c>
      <c r="B189" s="1" t="s">
        <v>355</v>
      </c>
      <c r="C189" s="1">
        <v>13.275</v>
      </c>
      <c r="D189" s="1">
        <v>0.13768900000000001</v>
      </c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2452321.6305999998</v>
      </c>
      <c r="B190" s="1" t="s">
        <v>107</v>
      </c>
      <c r="C190" s="1">
        <v>12.9</v>
      </c>
      <c r="D190" s="1">
        <v>0</v>
      </c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2452396.0161000001</v>
      </c>
      <c r="B191" s="1" t="s">
        <v>356</v>
      </c>
      <c r="C191" s="1">
        <v>13</v>
      </c>
      <c r="D191" s="1">
        <v>0</v>
      </c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30" x14ac:dyDescent="0.25">
      <c r="A192" s="1">
        <v>2452428.78529</v>
      </c>
      <c r="B192" s="1" t="s">
        <v>108</v>
      </c>
      <c r="C192" s="1">
        <v>13</v>
      </c>
      <c r="D192" s="1">
        <v>6.5464999999999995E-2</v>
      </c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30" x14ac:dyDescent="0.25">
      <c r="A193" s="1">
        <v>2452448.32302</v>
      </c>
      <c r="B193" s="1" t="s">
        <v>357</v>
      </c>
      <c r="C193" s="1">
        <v>13.1</v>
      </c>
      <c r="D193" s="1">
        <v>4.7140000000000001E-2</v>
      </c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30" x14ac:dyDescent="0.25">
      <c r="A194" s="1">
        <v>2452468.41505</v>
      </c>
      <c r="B194" s="1" t="s">
        <v>109</v>
      </c>
      <c r="C194" s="1">
        <v>13.231249999999999</v>
      </c>
      <c r="D194" s="1">
        <v>2.9887E-2</v>
      </c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30" x14ac:dyDescent="0.25">
      <c r="A195" s="1">
        <v>2452483.1828299998</v>
      </c>
      <c r="B195" s="1" t="s">
        <v>110</v>
      </c>
      <c r="C195" s="1">
        <v>13.15</v>
      </c>
      <c r="D195" s="1">
        <v>3.2732999999999998E-2</v>
      </c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30" x14ac:dyDescent="0.25">
      <c r="A196" s="1">
        <v>2452498.7748099999</v>
      </c>
      <c r="B196" s="1" t="s">
        <v>111</v>
      </c>
      <c r="C196" s="1">
        <v>13.16</v>
      </c>
      <c r="D196" s="1">
        <v>2.7255000000000001E-2</v>
      </c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30" x14ac:dyDescent="0.25">
      <c r="A197" s="1">
        <v>2452517.1052999999</v>
      </c>
      <c r="B197" s="1" t="s">
        <v>358</v>
      </c>
      <c r="C197" s="1">
        <v>13.146153999999999</v>
      </c>
      <c r="D197" s="1">
        <v>3.5110000000000002E-2</v>
      </c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2452530.0499</v>
      </c>
      <c r="B198" s="1" t="s">
        <v>112</v>
      </c>
      <c r="C198" s="1">
        <v>13.175000000000001</v>
      </c>
      <c r="D198" s="1">
        <v>2.5000000000000001E-2</v>
      </c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30" x14ac:dyDescent="0.25">
      <c r="A199" s="1">
        <v>2452548.8327000001</v>
      </c>
      <c r="B199" s="1" t="s">
        <v>113</v>
      </c>
      <c r="C199" s="1">
        <v>13.208696</v>
      </c>
      <c r="D199" s="1">
        <v>3.0744E-2</v>
      </c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30" x14ac:dyDescent="0.25">
      <c r="A200" s="1">
        <v>2452564.7217000001</v>
      </c>
      <c r="B200" s="1" t="s">
        <v>359</v>
      </c>
      <c r="C200" s="1">
        <v>13.233333</v>
      </c>
      <c r="D200" s="1">
        <v>4.2164E-2</v>
      </c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30" x14ac:dyDescent="0.25">
      <c r="A201" s="1">
        <v>2452583.8562099999</v>
      </c>
      <c r="B201" s="1" t="s">
        <v>114</v>
      </c>
      <c r="C201" s="1">
        <v>13.181818</v>
      </c>
      <c r="D201" s="1">
        <v>4.0041E-2</v>
      </c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30" x14ac:dyDescent="0.25">
      <c r="A202" s="1">
        <v>2452602.6173899998</v>
      </c>
      <c r="B202" s="1" t="s">
        <v>115</v>
      </c>
      <c r="C202" s="1">
        <v>13.285714</v>
      </c>
      <c r="D202" s="1">
        <v>5.9476000000000001E-2</v>
      </c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30" x14ac:dyDescent="0.25">
      <c r="A203" s="1">
        <v>2452618.5704999999</v>
      </c>
      <c r="B203" s="1" t="s">
        <v>360</v>
      </c>
      <c r="C203" s="1">
        <v>13.225</v>
      </c>
      <c r="D203" s="1">
        <v>4.7870999999999997E-2</v>
      </c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2452762.1899700002</v>
      </c>
      <c r="B204" s="1" t="s">
        <v>361</v>
      </c>
      <c r="C204" s="1">
        <v>13.775</v>
      </c>
      <c r="D204" s="1">
        <v>0.22500000000000001</v>
      </c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30" x14ac:dyDescent="0.25">
      <c r="A205" s="1">
        <v>2452780.2804700001</v>
      </c>
      <c r="B205" s="1" t="s">
        <v>362</v>
      </c>
      <c r="C205" s="1">
        <v>13.233333</v>
      </c>
      <c r="D205" s="1">
        <v>6.6667000000000004E-2</v>
      </c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2452795.3731</v>
      </c>
      <c r="B206" s="1" t="s">
        <v>363</v>
      </c>
      <c r="C206" s="1">
        <v>13.36</v>
      </c>
      <c r="D206" s="1">
        <v>0.04</v>
      </c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30" x14ac:dyDescent="0.25">
      <c r="A207" s="1">
        <v>2452819.7886999999</v>
      </c>
      <c r="B207" s="1" t="s">
        <v>364</v>
      </c>
      <c r="C207" s="1">
        <v>13.416667</v>
      </c>
      <c r="D207" s="1">
        <v>0.13519500000000001</v>
      </c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30" x14ac:dyDescent="0.25">
      <c r="A208" s="1">
        <v>2452835.1096399999</v>
      </c>
      <c r="B208" s="1" t="s">
        <v>116</v>
      </c>
      <c r="C208" s="1">
        <v>13.691667000000001</v>
      </c>
      <c r="D208" s="1">
        <v>6.5665000000000001E-2</v>
      </c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30" x14ac:dyDescent="0.25">
      <c r="A209" s="1">
        <v>2452850.60525</v>
      </c>
      <c r="B209" s="1" t="s">
        <v>117</v>
      </c>
      <c r="C209" s="1">
        <v>13.595454999999999</v>
      </c>
      <c r="D209" s="1">
        <v>6.1185000000000003E-2</v>
      </c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30" x14ac:dyDescent="0.25">
      <c r="A210" s="1">
        <v>2452866.4138400001</v>
      </c>
      <c r="B210" s="1" t="s">
        <v>118</v>
      </c>
      <c r="C210" s="1">
        <v>13.557143</v>
      </c>
      <c r="D210" s="1">
        <v>6.1556E-2</v>
      </c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30" x14ac:dyDescent="0.25">
      <c r="A211" s="1">
        <v>2452879.8011599998</v>
      </c>
      <c r="B211" s="1" t="s">
        <v>119</v>
      </c>
      <c r="C211" s="1">
        <v>13.531034</v>
      </c>
      <c r="D211" s="1">
        <v>3.4777000000000002E-2</v>
      </c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30" x14ac:dyDescent="0.25">
      <c r="A212" s="1">
        <v>2452899.9110900001</v>
      </c>
      <c r="B212" s="1" t="s">
        <v>120</v>
      </c>
      <c r="C212" s="1">
        <v>13.504761999999999</v>
      </c>
      <c r="D212" s="1">
        <v>5.1397999999999999E-2</v>
      </c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30" x14ac:dyDescent="0.25">
      <c r="A213" s="1">
        <v>2452912.52507</v>
      </c>
      <c r="B213" s="1" t="s">
        <v>121</v>
      </c>
      <c r="C213" s="1">
        <v>13.372222000000001</v>
      </c>
      <c r="D213" s="1">
        <v>5.4716000000000001E-2</v>
      </c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30" x14ac:dyDescent="0.25">
      <c r="A214" s="1">
        <v>2452930.1778600002</v>
      </c>
      <c r="B214" s="1" t="s">
        <v>122</v>
      </c>
      <c r="C214" s="1">
        <v>13.363158</v>
      </c>
      <c r="D214" s="1">
        <v>2.6721999999999999E-2</v>
      </c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30" x14ac:dyDescent="0.25">
      <c r="A215" s="1">
        <v>2452944.2261800002</v>
      </c>
      <c r="B215" s="1" t="s">
        <v>365</v>
      </c>
      <c r="C215" s="1">
        <v>13.44</v>
      </c>
      <c r="D215" s="1">
        <v>3.3993000000000002E-2</v>
      </c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30" x14ac:dyDescent="0.25">
      <c r="A216" s="1">
        <v>2452961.8959400002</v>
      </c>
      <c r="B216" s="1" t="s">
        <v>366</v>
      </c>
      <c r="C216" s="1">
        <v>13.385714</v>
      </c>
      <c r="D216" s="1">
        <v>5.5328000000000002E-2</v>
      </c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30" x14ac:dyDescent="0.25">
      <c r="A217" s="1">
        <v>2452978.7829499999</v>
      </c>
      <c r="B217" s="1" t="s">
        <v>367</v>
      </c>
      <c r="C217" s="1">
        <v>13.4</v>
      </c>
      <c r="D217" s="1">
        <v>2.5819999999999999E-2</v>
      </c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2453115.5860000001</v>
      </c>
      <c r="B218" s="1" t="s">
        <v>123</v>
      </c>
      <c r="C218" s="1">
        <v>13.6</v>
      </c>
      <c r="D218" s="1">
        <v>0</v>
      </c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30" x14ac:dyDescent="0.25">
      <c r="A219" s="1">
        <v>2453149.1700499998</v>
      </c>
      <c r="B219" s="1" t="s">
        <v>124</v>
      </c>
      <c r="C219" s="1">
        <v>15.074999999999999</v>
      </c>
      <c r="D219" s="1">
        <v>0.111403</v>
      </c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30" x14ac:dyDescent="0.25">
      <c r="A220" s="1">
        <v>2453171.6611100002</v>
      </c>
      <c r="B220" s="1" t="s">
        <v>125</v>
      </c>
      <c r="C220" s="1">
        <v>15.642856999999999</v>
      </c>
      <c r="D220" s="1">
        <v>5.2811999999999998E-2</v>
      </c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30" x14ac:dyDescent="0.25">
      <c r="A221" s="1">
        <v>2453189.5416000001</v>
      </c>
      <c r="B221" s="1" t="s">
        <v>368</v>
      </c>
      <c r="C221" s="1">
        <v>14.33</v>
      </c>
      <c r="D221" s="1">
        <v>8.3066000000000001E-2</v>
      </c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30" x14ac:dyDescent="0.25">
      <c r="A222" s="1">
        <v>2453201.8150399998</v>
      </c>
      <c r="B222" s="1" t="s">
        <v>126</v>
      </c>
      <c r="C222" s="1">
        <v>13.568421000000001</v>
      </c>
      <c r="D222" s="1">
        <v>4.2613999999999999E-2</v>
      </c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30" x14ac:dyDescent="0.25">
      <c r="A223" s="1">
        <v>2453218.7996100001</v>
      </c>
      <c r="B223" s="1" t="s">
        <v>127</v>
      </c>
      <c r="C223" s="1">
        <v>13.422222</v>
      </c>
      <c r="D223" s="1">
        <v>4.6481000000000001E-2</v>
      </c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30" x14ac:dyDescent="0.25">
      <c r="A224" s="1">
        <v>2453232.08824</v>
      </c>
      <c r="B224" s="1" t="s">
        <v>128</v>
      </c>
      <c r="C224" s="1">
        <v>13.471429000000001</v>
      </c>
      <c r="D224" s="1">
        <v>3.6956000000000003E-2</v>
      </c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30" x14ac:dyDescent="0.25">
      <c r="A225" s="1">
        <v>2453251.8822599999</v>
      </c>
      <c r="B225" s="1" t="s">
        <v>129</v>
      </c>
      <c r="C225" s="1">
        <v>13.357143000000001</v>
      </c>
      <c r="D225" s="1">
        <v>7.6109999999999997E-2</v>
      </c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30" x14ac:dyDescent="0.25">
      <c r="A226" s="1">
        <v>2453264.3534499998</v>
      </c>
      <c r="B226" s="1" t="s">
        <v>369</v>
      </c>
      <c r="C226" s="1">
        <v>13.589473999999999</v>
      </c>
      <c r="D226" s="1">
        <v>4.3860000000000003E-2</v>
      </c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30" x14ac:dyDescent="0.25">
      <c r="A227" s="1">
        <v>2453284.2501599998</v>
      </c>
      <c r="B227" s="1" t="s">
        <v>130</v>
      </c>
      <c r="C227" s="1">
        <v>13.557895</v>
      </c>
      <c r="D227" s="1">
        <v>5.5312E-2</v>
      </c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30" x14ac:dyDescent="0.25">
      <c r="A228" s="1">
        <v>2453299.9202700001</v>
      </c>
      <c r="B228" s="1" t="s">
        <v>370</v>
      </c>
      <c r="C228" s="1">
        <v>13.43</v>
      </c>
      <c r="D228" s="1">
        <v>7.6085E-2</v>
      </c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30" x14ac:dyDescent="0.25">
      <c r="A229" s="1">
        <v>2453319.9928899999</v>
      </c>
      <c r="B229" s="1" t="s">
        <v>131</v>
      </c>
      <c r="C229" s="1">
        <v>13.593332999999999</v>
      </c>
      <c r="D229" s="1">
        <v>5.8931999999999998E-2</v>
      </c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2453338.0677999998</v>
      </c>
      <c r="B230" s="1" t="s">
        <v>371</v>
      </c>
      <c r="C230" s="1">
        <v>13.425000000000001</v>
      </c>
      <c r="D230" s="1">
        <v>2.5000000000000001E-2</v>
      </c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30" x14ac:dyDescent="0.25">
      <c r="A231" s="1">
        <v>2453361.5639</v>
      </c>
      <c r="B231" s="1" t="s">
        <v>372</v>
      </c>
      <c r="C231" s="1">
        <v>13.7</v>
      </c>
      <c r="D231" s="1">
        <v>0.152753</v>
      </c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2453477.6189999999</v>
      </c>
      <c r="B232" s="1" t="s">
        <v>132</v>
      </c>
      <c r="C232" s="1">
        <v>13.7</v>
      </c>
      <c r="D232" s="1">
        <v>0</v>
      </c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2453503.0559999999</v>
      </c>
      <c r="B233" s="1" t="s">
        <v>373</v>
      </c>
      <c r="C233" s="1">
        <v>13.75</v>
      </c>
      <c r="D233" s="1">
        <v>0.05</v>
      </c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30" x14ac:dyDescent="0.25">
      <c r="A234" s="1">
        <v>2453532.3291699998</v>
      </c>
      <c r="B234" s="1" t="s">
        <v>133</v>
      </c>
      <c r="C234" s="1">
        <v>13.830769</v>
      </c>
      <c r="D234" s="1">
        <v>3.9847E-2</v>
      </c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30" x14ac:dyDescent="0.25">
      <c r="A235" s="1">
        <v>2453548.0471700002</v>
      </c>
      <c r="B235" s="1" t="s">
        <v>374</v>
      </c>
      <c r="C235" s="1">
        <v>13.783333000000001</v>
      </c>
      <c r="D235" s="1">
        <v>3.0731999999999999E-2</v>
      </c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30" x14ac:dyDescent="0.25">
      <c r="A236" s="1">
        <v>2453565.7442399999</v>
      </c>
      <c r="B236" s="1" t="s">
        <v>134</v>
      </c>
      <c r="C236" s="1">
        <v>13.883333</v>
      </c>
      <c r="D236" s="1">
        <v>7.2648000000000004E-2</v>
      </c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30" x14ac:dyDescent="0.25">
      <c r="A237" s="1">
        <v>2453593.00239</v>
      </c>
      <c r="B237" s="1" t="s">
        <v>135</v>
      </c>
      <c r="C237" s="1">
        <v>15.355556</v>
      </c>
      <c r="D237" s="1">
        <v>9.5904000000000003E-2</v>
      </c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30" x14ac:dyDescent="0.25">
      <c r="A238" s="1">
        <v>2453612.6045499998</v>
      </c>
      <c r="B238" s="1" t="s">
        <v>375</v>
      </c>
      <c r="C238" s="1">
        <v>15.163636</v>
      </c>
      <c r="D238" s="1">
        <v>0.195993</v>
      </c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30" x14ac:dyDescent="0.25">
      <c r="A239" s="1">
        <v>2453627.2182900002</v>
      </c>
      <c r="B239" s="1" t="s">
        <v>136</v>
      </c>
      <c r="C239" s="1">
        <v>14.135714</v>
      </c>
      <c r="D239" s="1">
        <v>5.0932999999999999E-2</v>
      </c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30" x14ac:dyDescent="0.25">
      <c r="A240" s="1">
        <v>2453642.4712399999</v>
      </c>
      <c r="B240" s="1" t="s">
        <v>137</v>
      </c>
      <c r="C240" s="1">
        <v>13.995455</v>
      </c>
      <c r="D240" s="1">
        <v>4.7662999999999997E-2</v>
      </c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30" x14ac:dyDescent="0.25">
      <c r="A241" s="1">
        <v>2453659.4782400001</v>
      </c>
      <c r="B241" s="1" t="s">
        <v>138</v>
      </c>
      <c r="C241" s="1">
        <v>13.9</v>
      </c>
      <c r="D241" s="1">
        <v>4.3644000000000002E-2</v>
      </c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30" x14ac:dyDescent="0.25">
      <c r="A242" s="1">
        <v>2453677.2652400001</v>
      </c>
      <c r="B242" s="1" t="s">
        <v>376</v>
      </c>
      <c r="C242" s="1">
        <v>13.833333</v>
      </c>
      <c r="D242" s="1">
        <v>3.9567999999999999E-2</v>
      </c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30" x14ac:dyDescent="0.25">
      <c r="A243" s="1">
        <v>2453691.1146</v>
      </c>
      <c r="B243" s="1" t="s">
        <v>139</v>
      </c>
      <c r="C243" s="1">
        <v>13.74</v>
      </c>
      <c r="D243" s="1">
        <v>3.0550999999999998E-2</v>
      </c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2453700.3824999998</v>
      </c>
      <c r="B244" s="1" t="s">
        <v>140</v>
      </c>
      <c r="C244" s="1">
        <v>13.85</v>
      </c>
      <c r="D244" s="1">
        <v>0.05</v>
      </c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2453721.2310000001</v>
      </c>
      <c r="B245" s="1" t="s">
        <v>141</v>
      </c>
      <c r="C245" s="1">
        <v>13.8</v>
      </c>
      <c r="D245" s="1">
        <v>0</v>
      </c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30" x14ac:dyDescent="0.25">
      <c r="A246" s="1">
        <v>2453897.17191</v>
      </c>
      <c r="B246" s="1" t="s">
        <v>142</v>
      </c>
      <c r="C246" s="1">
        <v>13.536364000000001</v>
      </c>
      <c r="D246" s="1">
        <v>4.1059999999999999E-2</v>
      </c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30" x14ac:dyDescent="0.25">
      <c r="A247" s="1">
        <v>2453915.48685</v>
      </c>
      <c r="B247" s="1" t="s">
        <v>143</v>
      </c>
      <c r="C247" s="1">
        <v>13.509091</v>
      </c>
      <c r="D247" s="1">
        <v>9.0910000000000001E-3</v>
      </c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30" x14ac:dyDescent="0.25">
      <c r="A248" s="1">
        <v>2453932.5841199998</v>
      </c>
      <c r="B248" s="1" t="s">
        <v>144</v>
      </c>
      <c r="C248" s="1">
        <v>13.431578999999999</v>
      </c>
      <c r="D248" s="1">
        <v>2.0308E-2</v>
      </c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30" x14ac:dyDescent="0.25">
      <c r="A249" s="1">
        <v>2453949.0069300001</v>
      </c>
      <c r="B249" s="1" t="s">
        <v>377</v>
      </c>
      <c r="C249" s="1">
        <v>13.428571</v>
      </c>
      <c r="D249" s="1">
        <v>2.8570999999999999E-2</v>
      </c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30" x14ac:dyDescent="0.25">
      <c r="A250" s="1">
        <v>2453973.4422399998</v>
      </c>
      <c r="B250" s="1" t="s">
        <v>378</v>
      </c>
      <c r="C250" s="1">
        <v>13.408333000000001</v>
      </c>
      <c r="D250" s="1">
        <v>1.9300000000000001E-2</v>
      </c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30" x14ac:dyDescent="0.25">
      <c r="A251" s="1">
        <v>2453984.9211900001</v>
      </c>
      <c r="B251" s="1" t="s">
        <v>379</v>
      </c>
      <c r="C251" s="1">
        <v>13.418182</v>
      </c>
      <c r="D251" s="1">
        <v>5.1906000000000001E-2</v>
      </c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30" x14ac:dyDescent="0.25">
      <c r="A252" s="1">
        <v>2454001.5599799999</v>
      </c>
      <c r="B252" s="1" t="s">
        <v>380</v>
      </c>
      <c r="C252" s="1">
        <v>13.445455000000001</v>
      </c>
      <c r="D252" s="1">
        <v>5.6187000000000001E-2</v>
      </c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30" x14ac:dyDescent="0.25">
      <c r="A253" s="1">
        <v>2454017.9516599998</v>
      </c>
      <c r="B253" s="1" t="s">
        <v>145</v>
      </c>
      <c r="C253" s="1">
        <v>14.2</v>
      </c>
      <c r="D253" s="1">
        <v>0.19548499999999999</v>
      </c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30" x14ac:dyDescent="0.25">
      <c r="A254" s="1">
        <v>2454037.307</v>
      </c>
      <c r="B254" s="1" t="s">
        <v>381</v>
      </c>
      <c r="C254" s="1">
        <v>15.266667</v>
      </c>
      <c r="D254" s="1">
        <v>2.1082E-2</v>
      </c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2454056.9174199998</v>
      </c>
      <c r="B255" s="1" t="s">
        <v>146</v>
      </c>
      <c r="C255" s="1">
        <v>14.78</v>
      </c>
      <c r="D255" s="1">
        <v>0.1772</v>
      </c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2454074.8412000001</v>
      </c>
      <c r="B256" s="1" t="s">
        <v>382</v>
      </c>
      <c r="C256" s="1">
        <v>13.98</v>
      </c>
      <c r="D256" s="1">
        <v>0.1772</v>
      </c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2454086.2393999998</v>
      </c>
      <c r="B257" s="1" t="s">
        <v>147</v>
      </c>
      <c r="C257" s="1">
        <v>13.4</v>
      </c>
      <c r="D257" s="1">
        <v>0</v>
      </c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2454224.3753499999</v>
      </c>
      <c r="B258" s="1" t="s">
        <v>383</v>
      </c>
      <c r="C258" s="1">
        <v>13.55</v>
      </c>
      <c r="D258" s="1">
        <v>0.05</v>
      </c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30" x14ac:dyDescent="0.25">
      <c r="A259" s="1">
        <v>2454243.5237699999</v>
      </c>
      <c r="B259" s="1" t="s">
        <v>148</v>
      </c>
      <c r="C259" s="1">
        <v>13.371428999999999</v>
      </c>
      <c r="D259" s="1">
        <v>2.8570999999999999E-2</v>
      </c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30" x14ac:dyDescent="0.25">
      <c r="A260" s="1">
        <v>2454258.7500499999</v>
      </c>
      <c r="B260" s="1" t="s">
        <v>384</v>
      </c>
      <c r="C260" s="1">
        <v>13.4</v>
      </c>
      <c r="D260" s="1">
        <v>2.1822000000000001E-2</v>
      </c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30" x14ac:dyDescent="0.25">
      <c r="A261" s="1">
        <v>2454277.5646700002</v>
      </c>
      <c r="B261" s="1" t="s">
        <v>385</v>
      </c>
      <c r="C261" s="1">
        <v>13.4</v>
      </c>
      <c r="D261" s="1">
        <v>4.0825E-2</v>
      </c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2454296.7903399998</v>
      </c>
      <c r="B262" s="1" t="s">
        <v>149</v>
      </c>
      <c r="C262" s="1">
        <v>13.4</v>
      </c>
      <c r="D262" s="1">
        <v>0</v>
      </c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30" x14ac:dyDescent="0.25">
      <c r="A263" s="1">
        <v>2454312.1122099999</v>
      </c>
      <c r="B263" s="1" t="s">
        <v>150</v>
      </c>
      <c r="C263" s="1">
        <v>13.375</v>
      </c>
      <c r="D263" s="1">
        <v>4.9098999999999997E-2</v>
      </c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30" x14ac:dyDescent="0.25">
      <c r="A264" s="1">
        <v>2454329.6767500001</v>
      </c>
      <c r="B264" s="1" t="s">
        <v>151</v>
      </c>
      <c r="C264" s="1">
        <v>13.377777999999999</v>
      </c>
      <c r="D264" s="1">
        <v>5.4716000000000001E-2</v>
      </c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30" x14ac:dyDescent="0.25">
      <c r="A265" s="1">
        <v>2454344.3876</v>
      </c>
      <c r="B265" s="1" t="s">
        <v>386</v>
      </c>
      <c r="C265" s="1">
        <v>13.262499999999999</v>
      </c>
      <c r="D265" s="1">
        <v>6.5295000000000006E-2</v>
      </c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30" x14ac:dyDescent="0.25">
      <c r="A266" s="1">
        <v>2454361.2824499998</v>
      </c>
      <c r="B266" s="1" t="s">
        <v>387</v>
      </c>
      <c r="C266" s="1">
        <v>13.371428999999999</v>
      </c>
      <c r="D266" s="1">
        <v>4.7379999999999999E-2</v>
      </c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30" x14ac:dyDescent="0.25">
      <c r="A267" s="1">
        <v>2454382.1921299999</v>
      </c>
      <c r="B267" s="1" t="s">
        <v>152</v>
      </c>
      <c r="C267" s="1">
        <v>13.330769</v>
      </c>
      <c r="D267" s="1">
        <v>5.7048000000000001E-2</v>
      </c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30" x14ac:dyDescent="0.25">
      <c r="A268" s="1">
        <v>2454396.6318199998</v>
      </c>
      <c r="B268" s="1" t="s">
        <v>153</v>
      </c>
      <c r="C268" s="1">
        <v>13.433332999999999</v>
      </c>
      <c r="D268" s="1">
        <v>2.1082E-2</v>
      </c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30" x14ac:dyDescent="0.25">
      <c r="A269" s="1">
        <v>2454419.8736800002</v>
      </c>
      <c r="B269" s="1" t="s">
        <v>154</v>
      </c>
      <c r="C269" s="1">
        <v>13.45</v>
      </c>
      <c r="D269" s="1">
        <v>3.4157E-2</v>
      </c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>
        <v>2454448.2310000001</v>
      </c>
      <c r="B270" s="1" t="s">
        <v>388</v>
      </c>
      <c r="C270" s="1">
        <v>14.1</v>
      </c>
      <c r="D270" s="1">
        <v>0.6</v>
      </c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>
        <v>2454588.571</v>
      </c>
      <c r="B271" s="1" t="s">
        <v>155</v>
      </c>
      <c r="C271" s="1">
        <v>13.4</v>
      </c>
      <c r="D271" s="1">
        <v>0</v>
      </c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30" x14ac:dyDescent="0.25">
      <c r="A272" s="1">
        <v>2454627.83109</v>
      </c>
      <c r="B272" s="1" t="s">
        <v>156</v>
      </c>
      <c r="C272" s="1">
        <v>13.428571</v>
      </c>
      <c r="D272" s="1">
        <v>1.8443000000000001E-2</v>
      </c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30" x14ac:dyDescent="0.25">
      <c r="A273" s="1">
        <v>2454648.35751</v>
      </c>
      <c r="B273" s="1" t="s">
        <v>157</v>
      </c>
      <c r="C273" s="1">
        <v>13.378571000000001</v>
      </c>
      <c r="D273" s="1">
        <v>3.6582999999999997E-2</v>
      </c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30" x14ac:dyDescent="0.25">
      <c r="A274" s="1">
        <v>2454668.3880799999</v>
      </c>
      <c r="B274" s="1" t="s">
        <v>158</v>
      </c>
      <c r="C274" s="1">
        <v>13.492308</v>
      </c>
      <c r="D274" s="1">
        <v>3.9969999999999999E-2</v>
      </c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30" x14ac:dyDescent="0.25">
      <c r="A275" s="1">
        <v>2454681.2030699998</v>
      </c>
      <c r="B275" s="1" t="s">
        <v>159</v>
      </c>
      <c r="C275" s="1">
        <v>13.516667</v>
      </c>
      <c r="D275" s="1">
        <v>4.2342999999999999E-2</v>
      </c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30" x14ac:dyDescent="0.25">
      <c r="A276" s="1">
        <v>2454700.90564</v>
      </c>
      <c r="B276" s="1" t="s">
        <v>160</v>
      </c>
      <c r="C276" s="1">
        <v>13.737500000000001</v>
      </c>
      <c r="D276" s="1">
        <v>0.123834</v>
      </c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30" x14ac:dyDescent="0.25">
      <c r="A277" s="1">
        <v>2454711.8187199999</v>
      </c>
      <c r="B277" s="1" t="s">
        <v>389</v>
      </c>
      <c r="C277" s="1">
        <v>13.655556000000001</v>
      </c>
      <c r="D277" s="1">
        <v>2.4216000000000001E-2</v>
      </c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30" x14ac:dyDescent="0.25">
      <c r="A278" s="1">
        <v>2454734.9443999999</v>
      </c>
      <c r="B278" s="1" t="s">
        <v>390</v>
      </c>
      <c r="C278" s="1">
        <v>13.614286</v>
      </c>
      <c r="D278" s="1">
        <v>1.4286E-2</v>
      </c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>
        <v>2454752.5257999999</v>
      </c>
      <c r="B279" s="1" t="s">
        <v>391</v>
      </c>
      <c r="C279" s="1">
        <v>13.46</v>
      </c>
      <c r="D279" s="1">
        <v>0.04</v>
      </c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30" x14ac:dyDescent="0.25">
      <c r="A280" s="1">
        <v>2454764.9114399999</v>
      </c>
      <c r="B280" s="1" t="s">
        <v>392</v>
      </c>
      <c r="C280" s="1">
        <v>13.336364</v>
      </c>
      <c r="D280" s="1">
        <v>2.0327999999999999E-2</v>
      </c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30" x14ac:dyDescent="0.25">
      <c r="A281" s="1">
        <v>2454780.0259799999</v>
      </c>
      <c r="B281" s="1" t="s">
        <v>393</v>
      </c>
      <c r="C281" s="1">
        <v>13.025</v>
      </c>
      <c r="D281" s="1">
        <v>6.2914999999999999E-2</v>
      </c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30" x14ac:dyDescent="0.25">
      <c r="A282" s="1">
        <v>2454802.00532</v>
      </c>
      <c r="B282" s="1" t="s">
        <v>394</v>
      </c>
      <c r="C282" s="1">
        <v>12.875</v>
      </c>
      <c r="D282" s="1">
        <v>6.2914999999999999E-2</v>
      </c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>
        <v>2454813.2415</v>
      </c>
      <c r="B283" s="1" t="s">
        <v>395</v>
      </c>
      <c r="C283" s="1">
        <v>12.5</v>
      </c>
      <c r="D283" s="1">
        <v>0</v>
      </c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30" x14ac:dyDescent="0.25">
      <c r="A284" s="1">
        <v>2454945.4484600001</v>
      </c>
      <c r="B284" s="1" t="s">
        <v>161</v>
      </c>
      <c r="C284" s="1">
        <v>12.78</v>
      </c>
      <c r="D284" s="1">
        <v>3.7416999999999999E-2</v>
      </c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2454970.94692</v>
      </c>
      <c r="B285" s="1" t="s">
        <v>396</v>
      </c>
      <c r="C285" s="1">
        <v>12.76</v>
      </c>
      <c r="D285" s="1">
        <v>0.04</v>
      </c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30" x14ac:dyDescent="0.25">
      <c r="A286" s="1">
        <v>2454984.4225900001</v>
      </c>
      <c r="B286" s="1" t="s">
        <v>163</v>
      </c>
      <c r="C286" s="1">
        <v>12.742857000000001</v>
      </c>
      <c r="D286" s="1">
        <v>2.0202999999999999E-2</v>
      </c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30" x14ac:dyDescent="0.25">
      <c r="A287" s="1">
        <v>2455001.39206</v>
      </c>
      <c r="B287" s="1" t="s">
        <v>164</v>
      </c>
      <c r="C287" s="1">
        <v>12.671429</v>
      </c>
      <c r="D287" s="1">
        <v>2.8570999999999999E-2</v>
      </c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30" x14ac:dyDescent="0.25">
      <c r="A288" s="1">
        <v>2455020.6705700001</v>
      </c>
      <c r="B288" s="1" t="s">
        <v>165</v>
      </c>
      <c r="C288" s="1">
        <v>12.742857000000001</v>
      </c>
      <c r="D288" s="1">
        <v>2.9738000000000001E-2</v>
      </c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30" x14ac:dyDescent="0.25">
      <c r="A289" s="1">
        <v>2455033.5020699999</v>
      </c>
      <c r="B289" s="1" t="s">
        <v>397</v>
      </c>
      <c r="C289" s="1">
        <v>12.754545</v>
      </c>
      <c r="D289" s="1">
        <v>4.9292999999999997E-2</v>
      </c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30" x14ac:dyDescent="0.25">
      <c r="A290" s="1">
        <v>2455054.6611299999</v>
      </c>
      <c r="B290" s="1" t="s">
        <v>166</v>
      </c>
      <c r="C290" s="1">
        <v>12.616667</v>
      </c>
      <c r="D290" s="1">
        <v>8.7242E-2</v>
      </c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30" x14ac:dyDescent="0.25">
      <c r="A291" s="1">
        <v>2455066.1478900001</v>
      </c>
      <c r="B291" s="1" t="s">
        <v>398</v>
      </c>
      <c r="C291" s="1">
        <v>12.74</v>
      </c>
      <c r="D291" s="1">
        <v>0.10872999999999999</v>
      </c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30" x14ac:dyDescent="0.25">
      <c r="A292" s="1">
        <v>2455082.2078499999</v>
      </c>
      <c r="B292" s="1" t="s">
        <v>399</v>
      </c>
      <c r="C292" s="1">
        <v>12.775</v>
      </c>
      <c r="D292" s="1">
        <v>8.5390999999999995E-2</v>
      </c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30" x14ac:dyDescent="0.25">
      <c r="A293" s="1">
        <v>2455096.6977499998</v>
      </c>
      <c r="B293" s="1" t="s">
        <v>400</v>
      </c>
      <c r="C293" s="1">
        <v>12.8</v>
      </c>
      <c r="D293" s="1">
        <v>4.0825E-2</v>
      </c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2455119.1998000001</v>
      </c>
      <c r="B294" s="1" t="s">
        <v>401</v>
      </c>
      <c r="C294" s="1">
        <v>12.76</v>
      </c>
      <c r="D294" s="1">
        <v>0.04</v>
      </c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30" x14ac:dyDescent="0.25">
      <c r="A295" s="1">
        <v>2455141.8898299998</v>
      </c>
      <c r="B295" s="1" t="s">
        <v>402</v>
      </c>
      <c r="C295" s="1">
        <v>12.816667000000001</v>
      </c>
      <c r="D295" s="1">
        <v>7.0317000000000005E-2</v>
      </c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30" x14ac:dyDescent="0.25">
      <c r="A296" s="1">
        <v>2455158.5274</v>
      </c>
      <c r="B296" s="1" t="s">
        <v>167</v>
      </c>
      <c r="C296" s="1">
        <v>12.77</v>
      </c>
      <c r="D296" s="1">
        <v>2.1343999999999998E-2</v>
      </c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2455173.7259999998</v>
      </c>
      <c r="B297" s="1" t="s">
        <v>403</v>
      </c>
      <c r="C297" s="1">
        <v>12.65</v>
      </c>
      <c r="D297" s="1">
        <v>0.05</v>
      </c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2455188.2250000001</v>
      </c>
      <c r="B298" s="1" t="s">
        <v>168</v>
      </c>
      <c r="C298" s="1">
        <v>12.7</v>
      </c>
      <c r="D298" s="1">
        <v>0</v>
      </c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2455303.1545699998</v>
      </c>
      <c r="B299" s="1" t="s">
        <v>169</v>
      </c>
      <c r="C299" s="1">
        <v>11.45</v>
      </c>
      <c r="D299" s="1">
        <v>0.05</v>
      </c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2455347.3029299998</v>
      </c>
      <c r="B300" s="1" t="s">
        <v>170</v>
      </c>
      <c r="C300" s="1">
        <v>12.925000000000001</v>
      </c>
      <c r="D300" s="1">
        <v>2.5000000000000001E-2</v>
      </c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30" x14ac:dyDescent="0.25">
      <c r="A301" s="1">
        <v>2455368.5275699999</v>
      </c>
      <c r="B301" s="1" t="s">
        <v>171</v>
      </c>
      <c r="C301" s="1">
        <v>12.028570999999999</v>
      </c>
      <c r="D301" s="1">
        <v>0.19725999999999999</v>
      </c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30" x14ac:dyDescent="0.25">
      <c r="A302" s="1">
        <v>2455389.8825400001</v>
      </c>
      <c r="B302" s="1" t="s">
        <v>404</v>
      </c>
      <c r="C302" s="1">
        <v>11.572727</v>
      </c>
      <c r="D302" s="1">
        <v>6.8875000000000006E-2</v>
      </c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30" x14ac:dyDescent="0.25">
      <c r="A303" s="1">
        <v>2455413.64757</v>
      </c>
      <c r="B303" s="1" t="s">
        <v>172</v>
      </c>
      <c r="C303" s="1">
        <v>11.585713999999999</v>
      </c>
      <c r="D303" s="1">
        <v>4.4297999999999997E-2</v>
      </c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30" x14ac:dyDescent="0.25">
      <c r="A304" s="1">
        <v>2455427.7281999998</v>
      </c>
      <c r="B304" s="1" t="s">
        <v>173</v>
      </c>
      <c r="C304" s="1">
        <v>11.466666999999999</v>
      </c>
      <c r="D304" s="1">
        <v>3.7605E-2</v>
      </c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30" x14ac:dyDescent="0.25">
      <c r="A305" s="1">
        <v>2455442.9770499999</v>
      </c>
      <c r="B305" s="1" t="s">
        <v>174</v>
      </c>
      <c r="C305" s="1">
        <v>11.525</v>
      </c>
      <c r="D305" s="1">
        <v>3.2856000000000003E-2</v>
      </c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30" x14ac:dyDescent="0.25">
      <c r="A306" s="1">
        <v>2455456.6391500002</v>
      </c>
      <c r="B306" s="1" t="s">
        <v>405</v>
      </c>
      <c r="C306" s="1">
        <v>11.387499999999999</v>
      </c>
      <c r="D306" s="1">
        <v>3.5038E-2</v>
      </c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30" x14ac:dyDescent="0.25">
      <c r="A307" s="1">
        <v>2455476.22083</v>
      </c>
      <c r="B307" s="1" t="s">
        <v>175</v>
      </c>
      <c r="C307" s="1">
        <v>11.390909000000001</v>
      </c>
      <c r="D307" s="1">
        <v>2.5062000000000001E-2</v>
      </c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30" x14ac:dyDescent="0.25">
      <c r="A308" s="1">
        <v>2455491.9379400001</v>
      </c>
      <c r="B308" s="1" t="s">
        <v>406</v>
      </c>
      <c r="C308" s="1">
        <v>11.45</v>
      </c>
      <c r="D308" s="1">
        <v>2.6873999999999999E-2</v>
      </c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30" x14ac:dyDescent="0.25">
      <c r="A309" s="1">
        <v>2455503.6659200001</v>
      </c>
      <c r="B309" s="1" t="s">
        <v>176</v>
      </c>
      <c r="C309" s="1">
        <v>11.407692000000001</v>
      </c>
      <c r="D309" s="1">
        <v>1.3689E-2</v>
      </c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2455519.5</v>
      </c>
      <c r="B310" s="1" t="s">
        <v>407</v>
      </c>
      <c r="C310" s="1">
        <v>11.4</v>
      </c>
      <c r="D310" s="1">
        <v>0</v>
      </c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2455532</v>
      </c>
      <c r="B311" s="1" t="s">
        <v>408</v>
      </c>
      <c r="C311" s="1">
        <v>11.4</v>
      </c>
      <c r="D311" s="1">
        <v>0</v>
      </c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30" x14ac:dyDescent="0.25">
      <c r="A312" s="1">
        <v>2455714.7634700001</v>
      </c>
      <c r="B312" s="1" t="s">
        <v>177</v>
      </c>
      <c r="C312" s="1">
        <v>12.122222000000001</v>
      </c>
      <c r="D312" s="1">
        <v>0.14508399999999999</v>
      </c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30" x14ac:dyDescent="0.25">
      <c r="A313" s="1">
        <v>2455734.5150199998</v>
      </c>
      <c r="B313" s="1" t="s">
        <v>409</v>
      </c>
      <c r="C313" s="1">
        <v>12.533333000000001</v>
      </c>
      <c r="D313" s="1">
        <v>0.14529700000000001</v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30" x14ac:dyDescent="0.25">
      <c r="A314" s="1">
        <v>2455747.0828399998</v>
      </c>
      <c r="B314" s="1" t="s">
        <v>410</v>
      </c>
      <c r="C314" s="1">
        <v>12.88</v>
      </c>
      <c r="D314" s="1">
        <v>0.121838</v>
      </c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30" x14ac:dyDescent="0.25">
      <c r="A315" s="1">
        <v>2455763.7633000002</v>
      </c>
      <c r="B315" s="1" t="s">
        <v>178</v>
      </c>
      <c r="C315" s="1">
        <v>13.75</v>
      </c>
      <c r="D315" s="1">
        <v>0.15545600000000001</v>
      </c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30" x14ac:dyDescent="0.25">
      <c r="A316" s="1">
        <v>2455778.8615000001</v>
      </c>
      <c r="B316" s="1" t="s">
        <v>179</v>
      </c>
      <c r="C316" s="1">
        <v>14.112500000000001</v>
      </c>
      <c r="D316" s="1">
        <v>9.7170000000000006E-2</v>
      </c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30" x14ac:dyDescent="0.25">
      <c r="A317" s="1">
        <v>2455797.6825100002</v>
      </c>
      <c r="B317" s="1" t="s">
        <v>180</v>
      </c>
      <c r="C317" s="1">
        <v>12.784615000000001</v>
      </c>
      <c r="D317" s="1">
        <v>6.8319000000000005E-2</v>
      </c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30" x14ac:dyDescent="0.25">
      <c r="A318" s="1">
        <v>2455813.9648000002</v>
      </c>
      <c r="B318" s="1" t="s">
        <v>181</v>
      </c>
      <c r="C318" s="1">
        <v>12.314285999999999</v>
      </c>
      <c r="D318" s="1">
        <v>3.4007000000000003E-2</v>
      </c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30" x14ac:dyDescent="0.25">
      <c r="A319" s="1">
        <v>2455830.0381800001</v>
      </c>
      <c r="B319" s="1" t="s">
        <v>182</v>
      </c>
      <c r="C319" s="1">
        <v>12.221738999999999</v>
      </c>
      <c r="D319" s="1">
        <v>2.8781000000000001E-2</v>
      </c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30" x14ac:dyDescent="0.25">
      <c r="A320" s="1">
        <v>2455843.4064000002</v>
      </c>
      <c r="B320" s="1" t="s">
        <v>183</v>
      </c>
      <c r="C320" s="1">
        <v>12.171429</v>
      </c>
      <c r="D320" s="1">
        <v>2.8570999999999999E-2</v>
      </c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30" x14ac:dyDescent="0.25">
      <c r="A321" s="1">
        <v>2455859.7634700001</v>
      </c>
      <c r="B321" s="1" t="s">
        <v>184</v>
      </c>
      <c r="C321" s="1">
        <v>12.194444000000001</v>
      </c>
      <c r="D321" s="1">
        <v>2.0566999999999998E-2</v>
      </c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30" x14ac:dyDescent="0.25">
      <c r="A322" s="1">
        <v>2455872.54213</v>
      </c>
      <c r="B322" s="1" t="s">
        <v>185</v>
      </c>
      <c r="C322" s="1">
        <v>12.118181999999999</v>
      </c>
      <c r="D322" s="1">
        <v>1.8182E-2</v>
      </c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30" x14ac:dyDescent="0.25">
      <c r="A323" s="1">
        <v>2455890.0495000002</v>
      </c>
      <c r="B323" s="1" t="s">
        <v>411</v>
      </c>
      <c r="C323" s="1">
        <v>12.083333</v>
      </c>
      <c r="D323" s="1">
        <v>3.0731999999999999E-2</v>
      </c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2455905.2599999998</v>
      </c>
      <c r="B324" s="1" t="s">
        <v>186</v>
      </c>
      <c r="C324" s="1">
        <v>12.1</v>
      </c>
      <c r="D324" s="1">
        <v>0</v>
      </c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2455922.5208000001</v>
      </c>
      <c r="B325" s="1" t="s">
        <v>187</v>
      </c>
      <c r="C325" s="1">
        <v>12.1</v>
      </c>
      <c r="D325" s="1">
        <v>0</v>
      </c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2455985.66</v>
      </c>
      <c r="B326" s="1" t="s">
        <v>412</v>
      </c>
      <c r="C326" s="1">
        <v>12.3</v>
      </c>
      <c r="D326" s="1">
        <v>0.1</v>
      </c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2456009.625</v>
      </c>
      <c r="B327" s="1" t="s">
        <v>413</v>
      </c>
      <c r="C327" s="1">
        <v>12.05</v>
      </c>
      <c r="D327" s="1">
        <v>0.05</v>
      </c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2456048.5299999998</v>
      </c>
      <c r="B328" s="1" t="s">
        <v>188</v>
      </c>
      <c r="C328" s="1">
        <v>12.1</v>
      </c>
      <c r="D328" s="1">
        <v>0</v>
      </c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30" x14ac:dyDescent="0.25">
      <c r="A329" s="1">
        <v>2456071.7113299998</v>
      </c>
      <c r="B329" s="1" t="s">
        <v>414</v>
      </c>
      <c r="C329" s="1">
        <v>12.35</v>
      </c>
      <c r="D329" s="1">
        <v>4.2817000000000001E-2</v>
      </c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30" x14ac:dyDescent="0.25">
      <c r="A330" s="1">
        <v>2456097.0311799999</v>
      </c>
      <c r="B330" s="1" t="s">
        <v>189</v>
      </c>
      <c r="C330" s="1">
        <v>12.5375</v>
      </c>
      <c r="D330" s="1">
        <v>6.5295000000000006E-2</v>
      </c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2456113.6115000001</v>
      </c>
      <c r="B331" s="1" t="s">
        <v>415</v>
      </c>
      <c r="C331" s="1">
        <v>12.525</v>
      </c>
      <c r="D331" s="1">
        <v>2.5000000000000001E-2</v>
      </c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30" x14ac:dyDescent="0.25">
      <c r="A332" s="1">
        <v>2456129.51406</v>
      </c>
      <c r="B332" s="1" t="s">
        <v>190</v>
      </c>
      <c r="C332" s="1">
        <v>12.478947</v>
      </c>
      <c r="D332" s="1">
        <v>4.6878999999999997E-2</v>
      </c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30" x14ac:dyDescent="0.25">
      <c r="A333" s="1">
        <v>2456144.4707499999</v>
      </c>
      <c r="B333" s="1" t="s">
        <v>191</v>
      </c>
      <c r="C333" s="1">
        <v>12.343477999999999</v>
      </c>
      <c r="D333" s="1">
        <v>4.0170999999999998E-2</v>
      </c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30" x14ac:dyDescent="0.25">
      <c r="A334" s="1">
        <v>2456159.3223600001</v>
      </c>
      <c r="B334" s="1" t="s">
        <v>192</v>
      </c>
      <c r="C334" s="1">
        <v>12.586207</v>
      </c>
      <c r="D334" s="1">
        <v>4.5138999999999999E-2</v>
      </c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30" x14ac:dyDescent="0.25">
      <c r="A335" s="1">
        <v>2456178.0795</v>
      </c>
      <c r="B335" s="1" t="s">
        <v>416</v>
      </c>
      <c r="C335" s="1">
        <v>12.663157999999999</v>
      </c>
      <c r="D335" s="1">
        <v>8.0644999999999994E-2</v>
      </c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30" x14ac:dyDescent="0.25">
      <c r="A336" s="1">
        <v>2456189.1077299998</v>
      </c>
      <c r="B336" s="1" t="s">
        <v>193</v>
      </c>
      <c r="C336" s="1">
        <v>13.068421000000001</v>
      </c>
      <c r="D336" s="1">
        <v>0.121167</v>
      </c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30" x14ac:dyDescent="0.25">
      <c r="A337" s="1">
        <v>2456205.0674299998</v>
      </c>
      <c r="B337" s="1" t="s">
        <v>417</v>
      </c>
      <c r="C337" s="1">
        <v>13.766667</v>
      </c>
      <c r="D337" s="1">
        <v>0.264575</v>
      </c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30" x14ac:dyDescent="0.25">
      <c r="A338" s="1">
        <v>2456218.5439499998</v>
      </c>
      <c r="B338" s="1" t="s">
        <v>194</v>
      </c>
      <c r="C338" s="1">
        <v>13.683332999999999</v>
      </c>
      <c r="D338" s="1">
        <v>0.26635399999999998</v>
      </c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30" x14ac:dyDescent="0.25">
      <c r="A339" s="1">
        <v>2456241.1986699998</v>
      </c>
      <c r="B339" s="1" t="s">
        <v>195</v>
      </c>
      <c r="C339" s="1">
        <v>12.4</v>
      </c>
      <c r="D339" s="1">
        <v>4.0825E-2</v>
      </c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30" x14ac:dyDescent="0.25">
      <c r="A340" s="1">
        <v>2456255.3333000001</v>
      </c>
      <c r="B340" s="1" t="s">
        <v>196</v>
      </c>
      <c r="C340" s="1">
        <v>12.47</v>
      </c>
      <c r="D340" s="1">
        <v>1.5275E-2</v>
      </c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30" x14ac:dyDescent="0.25">
      <c r="A341" s="1">
        <v>2456270.1749999998</v>
      </c>
      <c r="B341" s="1" t="s">
        <v>418</v>
      </c>
      <c r="C341" s="1">
        <v>12.4</v>
      </c>
      <c r="D341" s="1">
        <v>7.0710999999999996E-2</v>
      </c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2456281.5</v>
      </c>
      <c r="B342" s="1" t="s">
        <v>197</v>
      </c>
      <c r="C342" s="1">
        <v>12.4</v>
      </c>
      <c r="D342" s="1">
        <v>0</v>
      </c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2456355.64</v>
      </c>
      <c r="B343" s="1" t="s">
        <v>198</v>
      </c>
      <c r="C343" s="1">
        <v>12.2</v>
      </c>
      <c r="D343" s="1">
        <v>0</v>
      </c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30" x14ac:dyDescent="0.25">
      <c r="A344" s="1">
        <v>2456404.4870699998</v>
      </c>
      <c r="B344" s="1" t="s">
        <v>419</v>
      </c>
      <c r="C344" s="1">
        <v>12.22</v>
      </c>
      <c r="D344" s="1">
        <v>9.6953999999999999E-2</v>
      </c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30" x14ac:dyDescent="0.25">
      <c r="A345" s="1">
        <v>2456417.6996499998</v>
      </c>
      <c r="B345" s="1" t="s">
        <v>199</v>
      </c>
      <c r="C345" s="1">
        <v>12.327273</v>
      </c>
      <c r="D345" s="1">
        <v>3.0424E-2</v>
      </c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30" x14ac:dyDescent="0.25">
      <c r="A346" s="1">
        <v>2456444.3524699998</v>
      </c>
      <c r="B346" s="1" t="s">
        <v>200</v>
      </c>
      <c r="C346" s="1">
        <v>12.183332999999999</v>
      </c>
      <c r="D346" s="1">
        <v>3.0731999999999999E-2</v>
      </c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30" x14ac:dyDescent="0.25">
      <c r="A347" s="1">
        <v>2456463.3135500001</v>
      </c>
      <c r="B347" s="1" t="s">
        <v>420</v>
      </c>
      <c r="C347" s="1">
        <v>12.0875</v>
      </c>
      <c r="D347" s="1">
        <v>4.7948999999999999E-2</v>
      </c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30" x14ac:dyDescent="0.25">
      <c r="A348" s="1">
        <v>2456479.59522</v>
      </c>
      <c r="B348" s="1" t="s">
        <v>201</v>
      </c>
      <c r="C348" s="1">
        <v>12.382609</v>
      </c>
      <c r="D348" s="1">
        <v>7.8938999999999995E-2</v>
      </c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30" x14ac:dyDescent="0.25">
      <c r="A349" s="1">
        <v>2456492.0924300002</v>
      </c>
      <c r="B349" s="1" t="s">
        <v>421</v>
      </c>
      <c r="C349" s="1">
        <v>12.35</v>
      </c>
      <c r="D349" s="1">
        <v>9.6422999999999995E-2</v>
      </c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30" x14ac:dyDescent="0.25">
      <c r="A350" s="1">
        <v>2456509.8280199999</v>
      </c>
      <c r="B350" s="1" t="s">
        <v>202</v>
      </c>
      <c r="C350" s="1">
        <v>12.295237999999999</v>
      </c>
      <c r="D350" s="1">
        <v>6.5638000000000002E-2</v>
      </c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30" x14ac:dyDescent="0.25">
      <c r="A351" s="1">
        <v>2456523.2809600001</v>
      </c>
      <c r="B351" s="1" t="s">
        <v>422</v>
      </c>
      <c r="C351" s="1">
        <v>12.154348000000001</v>
      </c>
      <c r="D351" s="1">
        <v>7.4845999999999996E-2</v>
      </c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30" x14ac:dyDescent="0.25">
      <c r="A352" s="1">
        <v>2456539.4704800001</v>
      </c>
      <c r="B352" s="1" t="s">
        <v>5</v>
      </c>
      <c r="C352" s="1">
        <v>12.251351</v>
      </c>
      <c r="D352" s="1">
        <v>6.3271999999999995E-2</v>
      </c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30" x14ac:dyDescent="0.25">
      <c r="A353" s="1">
        <v>2456558.3252699999</v>
      </c>
      <c r="B353" s="1" t="s">
        <v>203</v>
      </c>
      <c r="C353" s="1">
        <v>12.046154</v>
      </c>
      <c r="D353" s="1">
        <v>3.1245999999999999E-2</v>
      </c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30" x14ac:dyDescent="0.25">
      <c r="A354" s="1">
        <v>2456571.2219500002</v>
      </c>
      <c r="B354" s="1" t="s">
        <v>423</v>
      </c>
      <c r="C354" s="1">
        <v>12.079167</v>
      </c>
      <c r="D354" s="1">
        <v>2.6904999999999998E-2</v>
      </c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30" x14ac:dyDescent="0.25">
      <c r="A355" s="1">
        <v>2456588.5325199999</v>
      </c>
      <c r="B355" s="1" t="s">
        <v>204</v>
      </c>
      <c r="C355" s="1">
        <v>12.145455</v>
      </c>
      <c r="D355" s="1">
        <v>9.7573999999999994E-2</v>
      </c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30" x14ac:dyDescent="0.25">
      <c r="A356" s="1">
        <v>2456600.4842699999</v>
      </c>
      <c r="B356" s="1" t="s">
        <v>205</v>
      </c>
      <c r="C356" s="1">
        <v>12.223077</v>
      </c>
      <c r="D356" s="1">
        <v>9.9456000000000003E-2</v>
      </c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2456625.5574699999</v>
      </c>
      <c r="B357" s="1" t="s">
        <v>424</v>
      </c>
      <c r="C357" s="1">
        <v>12.8</v>
      </c>
      <c r="D357" s="1">
        <v>0.3</v>
      </c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2456704.7220000001</v>
      </c>
      <c r="B358" s="1" t="s">
        <v>206</v>
      </c>
      <c r="C358" s="1">
        <v>12.4</v>
      </c>
      <c r="D358" s="1">
        <v>0</v>
      </c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2456725.9560199999</v>
      </c>
      <c r="B359" s="1" t="s">
        <v>425</v>
      </c>
      <c r="C359" s="1">
        <v>12.574999999999999</v>
      </c>
      <c r="D359" s="1">
        <v>2.5000000000000001E-2</v>
      </c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2456740.6779999998</v>
      </c>
      <c r="B360" s="1" t="s">
        <v>207</v>
      </c>
      <c r="C360" s="1">
        <v>12.6</v>
      </c>
      <c r="D360" s="1">
        <v>0</v>
      </c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2456756.6318999999</v>
      </c>
      <c r="B361" s="1" t="s">
        <v>208</v>
      </c>
      <c r="C361" s="1">
        <v>12.5</v>
      </c>
      <c r="D361" s="1">
        <v>0</v>
      </c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30" x14ac:dyDescent="0.25">
      <c r="A362" s="1">
        <v>2456787.18928</v>
      </c>
      <c r="B362" s="1" t="s">
        <v>209</v>
      </c>
      <c r="C362" s="1">
        <v>12.46</v>
      </c>
      <c r="D362" s="1">
        <v>2.4494999999999999E-2</v>
      </c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30" x14ac:dyDescent="0.25">
      <c r="A363" s="1">
        <v>2456810.61148</v>
      </c>
      <c r="B363" s="1" t="s">
        <v>210</v>
      </c>
      <c r="C363" s="1">
        <v>12.471429000000001</v>
      </c>
      <c r="D363" s="1">
        <v>6.0609000000000003E-2</v>
      </c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30" x14ac:dyDescent="0.25">
      <c r="A364" s="1">
        <v>2456826.59143</v>
      </c>
      <c r="B364" s="1" t="s">
        <v>211</v>
      </c>
      <c r="C364" s="1">
        <v>12.344443999999999</v>
      </c>
      <c r="D364" s="1">
        <v>4.4443999999999997E-2</v>
      </c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30" x14ac:dyDescent="0.25">
      <c r="A365" s="1">
        <v>2456841.68181</v>
      </c>
      <c r="B365" s="1" t="s">
        <v>212</v>
      </c>
      <c r="C365" s="1">
        <v>12.38</v>
      </c>
      <c r="D365" s="1">
        <v>4.0473000000000002E-2</v>
      </c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30" x14ac:dyDescent="0.25">
      <c r="A366" s="1">
        <v>2456860.0407199999</v>
      </c>
      <c r="B366" s="1" t="s">
        <v>213</v>
      </c>
      <c r="C366" s="1">
        <v>12.261290000000001</v>
      </c>
      <c r="D366" s="1">
        <v>2.4833999999999998E-2</v>
      </c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30" x14ac:dyDescent="0.25">
      <c r="A367" s="1">
        <v>2456871.6740600001</v>
      </c>
      <c r="B367" s="1" t="s">
        <v>214</v>
      </c>
      <c r="C367" s="1">
        <v>12.161538</v>
      </c>
      <c r="D367" s="1">
        <v>2.1298999999999998E-2</v>
      </c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30" x14ac:dyDescent="0.25">
      <c r="A368" s="1">
        <v>2456891.8224200001</v>
      </c>
      <c r="B368" s="1" t="s">
        <v>215</v>
      </c>
      <c r="C368" s="1">
        <v>12.277143000000001</v>
      </c>
      <c r="D368" s="1">
        <v>2.6277999999999999E-2</v>
      </c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30" x14ac:dyDescent="0.25">
      <c r="A369" s="1">
        <v>2456904.5761000002</v>
      </c>
      <c r="B369" s="1" t="s">
        <v>2</v>
      </c>
      <c r="C369" s="1">
        <v>12.261905</v>
      </c>
      <c r="D369" s="1">
        <v>2.5332E-2</v>
      </c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30" x14ac:dyDescent="0.25">
      <c r="A370" s="1">
        <v>2456920.8242000001</v>
      </c>
      <c r="B370" s="1" t="s">
        <v>3</v>
      </c>
      <c r="C370" s="1">
        <v>12.281480999999999</v>
      </c>
      <c r="D370" s="1">
        <v>2.6707999999999999E-2</v>
      </c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30" x14ac:dyDescent="0.25">
      <c r="A371" s="1">
        <v>2456936.7181099998</v>
      </c>
      <c r="B371" s="1" t="s">
        <v>4</v>
      </c>
      <c r="C371" s="1">
        <v>12.308695999999999</v>
      </c>
      <c r="D371" s="1">
        <v>3.0744E-2</v>
      </c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30" x14ac:dyDescent="0.25">
      <c r="A372" s="1">
        <v>2456952.1694399999</v>
      </c>
      <c r="B372" s="1" t="s">
        <v>216</v>
      </c>
      <c r="C372" s="1">
        <v>12.3</v>
      </c>
      <c r="D372" s="1">
        <v>3.1578000000000002E-2</v>
      </c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30" x14ac:dyDescent="0.25">
      <c r="A373" s="1">
        <v>2456968.9819499999</v>
      </c>
      <c r="B373" s="1" t="s">
        <v>426</v>
      </c>
      <c r="C373" s="1">
        <v>12.269231</v>
      </c>
      <c r="D373" s="1">
        <v>2.0830999999999999E-2</v>
      </c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30" x14ac:dyDescent="0.25">
      <c r="A374" s="1">
        <v>2456982.3829999999</v>
      </c>
      <c r="B374" s="1" t="s">
        <v>427</v>
      </c>
      <c r="C374" s="1">
        <v>12.4375</v>
      </c>
      <c r="D374" s="1">
        <v>1.8297999999999998E-2</v>
      </c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2457115.17325</v>
      </c>
      <c r="B375" s="1" t="s">
        <v>0</v>
      </c>
      <c r="C375" s="1">
        <v>12.4</v>
      </c>
      <c r="D375" s="1">
        <v>0</v>
      </c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30" x14ac:dyDescent="0.25">
      <c r="A376" s="1">
        <v>2457135.4397</v>
      </c>
      <c r="B376" s="1" t="s">
        <v>1</v>
      </c>
      <c r="C376" s="1">
        <v>12.36</v>
      </c>
      <c r="D376" s="1">
        <v>2.4494999999999999E-2</v>
      </c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30" x14ac:dyDescent="0.25">
      <c r="A377" s="1">
        <v>2457163.9373699999</v>
      </c>
      <c r="B377" s="1" t="s">
        <v>428</v>
      </c>
      <c r="C377" s="1">
        <v>12.309091</v>
      </c>
      <c r="D377" s="1">
        <v>2.1125000000000001E-2</v>
      </c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30" x14ac:dyDescent="0.25">
      <c r="A378" s="1">
        <v>2457178.5644299998</v>
      </c>
      <c r="B378" s="1" t="s">
        <v>429</v>
      </c>
      <c r="C378" s="1">
        <v>12.314285999999999</v>
      </c>
      <c r="D378" s="1">
        <v>2.6082000000000001E-2</v>
      </c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30" x14ac:dyDescent="0.25">
      <c r="A379" s="1">
        <v>2457193.8480799999</v>
      </c>
      <c r="B379" s="1" t="s">
        <v>217</v>
      </c>
      <c r="C379" s="1">
        <v>12.33</v>
      </c>
      <c r="D379" s="1">
        <v>1.5275E-2</v>
      </c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30" x14ac:dyDescent="0.25">
      <c r="A380" s="1">
        <v>2457215.7200500001</v>
      </c>
      <c r="B380" s="1" t="s">
        <v>6</v>
      </c>
      <c r="C380" s="1">
        <v>12.36</v>
      </c>
      <c r="D380" s="1">
        <v>1.6330000000000001E-2</v>
      </c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2457228.0300199999</v>
      </c>
      <c r="B381" s="1" t="s">
        <v>430</v>
      </c>
      <c r="C381" s="1">
        <v>12.375</v>
      </c>
      <c r="D381" s="1">
        <v>7.4999999999999997E-2</v>
      </c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30" x14ac:dyDescent="0.25">
      <c r="A382" s="1">
        <v>2457247.4174000002</v>
      </c>
      <c r="B382" s="1" t="s">
        <v>7</v>
      </c>
      <c r="C382" s="1">
        <v>12.35</v>
      </c>
      <c r="D382" s="1">
        <v>2.6873999999999999E-2</v>
      </c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30" x14ac:dyDescent="0.25">
      <c r="A383" s="1">
        <v>2457266.9265100001</v>
      </c>
      <c r="B383" s="1" t="s">
        <v>431</v>
      </c>
      <c r="C383" s="1">
        <v>12.391667</v>
      </c>
      <c r="D383" s="1">
        <v>2.2891000000000002E-2</v>
      </c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30" x14ac:dyDescent="0.25">
      <c r="A384" s="1">
        <v>2457281.4854100002</v>
      </c>
      <c r="B384" s="1" t="s">
        <v>432</v>
      </c>
      <c r="C384" s="1">
        <v>12.3375</v>
      </c>
      <c r="D384" s="1">
        <v>3.2390000000000002E-2</v>
      </c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30" x14ac:dyDescent="0.25">
      <c r="A385" s="1">
        <v>2457299.70677</v>
      </c>
      <c r="B385" s="1" t="s">
        <v>433</v>
      </c>
      <c r="C385" s="1">
        <v>12.290908999999999</v>
      </c>
      <c r="D385" s="1">
        <v>1.6261999999999999E-2</v>
      </c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30" x14ac:dyDescent="0.25">
      <c r="A386" s="1">
        <v>2457314.97101</v>
      </c>
      <c r="B386" s="1" t="s">
        <v>434</v>
      </c>
      <c r="C386" s="1">
        <v>12.168182</v>
      </c>
      <c r="D386" s="1">
        <v>3.5055000000000003E-2</v>
      </c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30" x14ac:dyDescent="0.25">
      <c r="A387" s="1">
        <v>2457331.4111000001</v>
      </c>
      <c r="B387" s="1" t="s">
        <v>435</v>
      </c>
      <c r="C387" s="1">
        <v>12.175000000000001</v>
      </c>
      <c r="D387" s="1">
        <v>4.5316000000000002E-2</v>
      </c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30" x14ac:dyDescent="0.25">
      <c r="A388" s="1">
        <v>2457346.6752399998</v>
      </c>
      <c r="B388" s="1" t="s">
        <v>436</v>
      </c>
      <c r="C388" s="1">
        <v>12.1</v>
      </c>
      <c r="D388" s="1">
        <v>6.8312999999999999E-2</v>
      </c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30" x14ac:dyDescent="0.25">
      <c r="A389" s="1">
        <v>2457362.0285899998</v>
      </c>
      <c r="B389" s="1" t="s">
        <v>437</v>
      </c>
      <c r="C389" s="1">
        <v>12.05</v>
      </c>
      <c r="D389" s="1">
        <v>2.2360999999999999E-2</v>
      </c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30" x14ac:dyDescent="0.25">
      <c r="A390" s="1">
        <v>2457376.3604199998</v>
      </c>
      <c r="B390" s="1" t="s">
        <v>438</v>
      </c>
      <c r="C390" s="1">
        <v>12.05</v>
      </c>
      <c r="D390" s="1">
        <v>2.8868000000000001E-2</v>
      </c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30" x14ac:dyDescent="0.25">
      <c r="A391" s="1">
        <v>2457528.2039999999</v>
      </c>
      <c r="B391" s="1" t="s">
        <v>439</v>
      </c>
      <c r="C391" s="1">
        <v>12.5</v>
      </c>
      <c r="D391" s="1">
        <v>5.7735000000000002E-2</v>
      </c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2457541.7708399999</v>
      </c>
      <c r="B392" s="1" t="s">
        <v>440</v>
      </c>
      <c r="C392" s="1">
        <v>12.56</v>
      </c>
      <c r="D392" s="1">
        <v>0.04</v>
      </c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30" x14ac:dyDescent="0.25">
      <c r="A393" s="1">
        <v>2457573.27526</v>
      </c>
      <c r="B393" s="1" t="s">
        <v>441</v>
      </c>
      <c r="C393" s="1">
        <v>12.608333</v>
      </c>
      <c r="D393" s="1">
        <v>2.5989999999999999E-2</v>
      </c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30" x14ac:dyDescent="0.25">
      <c r="A394" s="1">
        <v>2457589.8051700001</v>
      </c>
      <c r="B394" s="1" t="s">
        <v>442</v>
      </c>
      <c r="C394" s="1">
        <v>12.290908999999999</v>
      </c>
      <c r="D394" s="1">
        <v>2.5062000000000001E-2</v>
      </c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30" x14ac:dyDescent="0.25">
      <c r="A395" s="1">
        <v>2457606.1367899999</v>
      </c>
      <c r="B395" s="1" t="s">
        <v>443</v>
      </c>
      <c r="C395" s="1">
        <v>12.3</v>
      </c>
      <c r="D395" s="1">
        <v>3.2444000000000001E-2</v>
      </c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30" x14ac:dyDescent="0.25">
      <c r="A396" s="1">
        <v>2457622.6133699999</v>
      </c>
      <c r="B396" s="1" t="s">
        <v>444</v>
      </c>
      <c r="C396" s="1">
        <v>12.354545</v>
      </c>
      <c r="D396" s="1">
        <v>2.8167000000000001E-2</v>
      </c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30" x14ac:dyDescent="0.25">
      <c r="A397" s="1">
        <v>2457637.0800299998</v>
      </c>
      <c r="B397" s="1" t="s">
        <v>445</v>
      </c>
      <c r="C397" s="1">
        <v>12.333333</v>
      </c>
      <c r="D397" s="1">
        <v>2.3570000000000001E-2</v>
      </c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30" x14ac:dyDescent="0.25">
      <c r="A398" s="1">
        <v>2457657.2190800002</v>
      </c>
      <c r="B398" s="1" t="s">
        <v>446</v>
      </c>
      <c r="C398" s="1">
        <v>12.4</v>
      </c>
      <c r="D398" s="1">
        <v>5.4772000000000001E-2</v>
      </c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30" x14ac:dyDescent="0.25">
      <c r="A399" s="1">
        <v>2457668.4613100002</v>
      </c>
      <c r="B399" s="1" t="s">
        <v>447</v>
      </c>
      <c r="C399" s="1">
        <v>12.533333000000001</v>
      </c>
      <c r="D399" s="1">
        <v>4.0825E-2</v>
      </c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30" x14ac:dyDescent="0.25">
      <c r="A400" s="1">
        <v>2457686.8614400001</v>
      </c>
      <c r="B400" s="1" t="s">
        <v>448</v>
      </c>
      <c r="C400" s="1">
        <v>12.488889</v>
      </c>
      <c r="D400" s="1">
        <v>1.1110999999999999E-2</v>
      </c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>
        <v>2457723.7494999999</v>
      </c>
      <c r="B401" s="1" t="s">
        <v>449</v>
      </c>
      <c r="C401" s="1">
        <v>12.45</v>
      </c>
      <c r="D401" s="1">
        <v>0.05</v>
      </c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>
        <v>2457750.2510000002</v>
      </c>
      <c r="B402" s="1" t="s">
        <v>450</v>
      </c>
      <c r="C402" s="1">
        <v>12.5</v>
      </c>
      <c r="D402" s="1">
        <v>0</v>
      </c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>
        <v>2457814.95903</v>
      </c>
      <c r="B403" s="1" t="s">
        <v>451</v>
      </c>
      <c r="C403" s="1">
        <v>13.4</v>
      </c>
      <c r="D403" s="1">
        <v>0</v>
      </c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>
        <v>2457926.5554999998</v>
      </c>
      <c r="B404" s="1" t="s">
        <v>452</v>
      </c>
      <c r="C404" s="1">
        <v>14.3</v>
      </c>
      <c r="D404" s="1">
        <v>0.1</v>
      </c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>
        <v>2457945.5355000002</v>
      </c>
      <c r="B405" s="1" t="s">
        <v>453</v>
      </c>
      <c r="C405" s="1">
        <v>14.5</v>
      </c>
      <c r="D405" s="1">
        <v>0.3</v>
      </c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30" x14ac:dyDescent="0.25">
      <c r="A406" s="1">
        <v>2457964.5261200001</v>
      </c>
      <c r="B406" s="1" t="s">
        <v>454</v>
      </c>
      <c r="C406" s="1">
        <v>14.45</v>
      </c>
      <c r="D406" s="1">
        <v>0.23979200000000001</v>
      </c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30" x14ac:dyDescent="0.25">
      <c r="A407" s="1">
        <v>2457982.2372499998</v>
      </c>
      <c r="B407" s="1" t="s">
        <v>455</v>
      </c>
      <c r="C407" s="1">
        <v>13.9</v>
      </c>
      <c r="D407" s="1">
        <v>0.204124</v>
      </c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30" x14ac:dyDescent="0.25">
      <c r="A408" s="1">
        <v>2457997.41</v>
      </c>
      <c r="B408" s="1" t="s">
        <v>456</v>
      </c>
      <c r="C408" s="1">
        <v>13.8</v>
      </c>
      <c r="D408" s="1">
        <v>5.7735000000000002E-2</v>
      </c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30" x14ac:dyDescent="0.25">
      <c r="A409" s="1">
        <v>2458016.1085299999</v>
      </c>
      <c r="B409" s="1" t="s">
        <v>457</v>
      </c>
      <c r="C409" s="1">
        <v>13.633333</v>
      </c>
      <c r="D409" s="1">
        <v>0.18559200000000001</v>
      </c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>
        <v>2458033.8635</v>
      </c>
      <c r="B410" s="1" t="s">
        <v>458</v>
      </c>
      <c r="C410" s="1">
        <v>13.85</v>
      </c>
      <c r="D410" s="1">
        <v>0.05</v>
      </c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30" x14ac:dyDescent="0.25">
      <c r="A411" s="1">
        <v>2458057.9700000002</v>
      </c>
      <c r="B411" s="1" t="s">
        <v>459</v>
      </c>
      <c r="C411" s="1">
        <v>13.633333</v>
      </c>
      <c r="D411" s="1">
        <v>6.6667000000000004E-2</v>
      </c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>
        <v>2458072.2940000002</v>
      </c>
      <c r="B412" s="1" t="s">
        <v>460</v>
      </c>
      <c r="C412" s="1">
        <v>13.55</v>
      </c>
      <c r="D412" s="1">
        <v>0.05</v>
      </c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30" x14ac:dyDescent="0.25">
      <c r="A413" s="1">
        <v>2458242.0698600002</v>
      </c>
      <c r="B413" s="1" t="s">
        <v>218</v>
      </c>
      <c r="C413" s="1">
        <v>12.3</v>
      </c>
      <c r="D413" s="1">
        <v>5.4772000000000001E-2</v>
      </c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>
        <v>2458255.554</v>
      </c>
      <c r="B414" s="1" t="s">
        <v>219</v>
      </c>
      <c r="C414" s="1">
        <v>12.35</v>
      </c>
      <c r="D414" s="1">
        <v>0.05</v>
      </c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30" x14ac:dyDescent="0.25">
      <c r="A415" s="1">
        <v>2458290.0611</v>
      </c>
      <c r="B415" s="1" t="s">
        <v>220</v>
      </c>
      <c r="C415" s="1">
        <v>12.433332999999999</v>
      </c>
      <c r="D415" s="1">
        <v>3.3333000000000002E-2</v>
      </c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30" x14ac:dyDescent="0.25">
      <c r="A416" s="1">
        <v>2458305.0823300001</v>
      </c>
      <c r="B416" s="1" t="s">
        <v>461</v>
      </c>
      <c r="C416" s="1">
        <v>12.883333</v>
      </c>
      <c r="D416" s="1">
        <v>0.100629</v>
      </c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30" x14ac:dyDescent="0.25">
      <c r="A417" s="1">
        <v>2458318.6047899998</v>
      </c>
      <c r="B417" s="1" t="s">
        <v>462</v>
      </c>
      <c r="C417" s="1">
        <v>13.377777999999999</v>
      </c>
      <c r="D417" s="1">
        <v>4.3389999999999998E-2</v>
      </c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30" x14ac:dyDescent="0.25">
      <c r="A418" s="1">
        <v>2458338.1538900002</v>
      </c>
      <c r="B418" s="1" t="s">
        <v>463</v>
      </c>
      <c r="C418" s="1">
        <v>13.4</v>
      </c>
      <c r="D418" s="1">
        <v>4.0423000000000001E-2</v>
      </c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30" x14ac:dyDescent="0.25">
      <c r="A419" s="1">
        <v>2458354.1647999999</v>
      </c>
      <c r="B419" s="1" t="s">
        <v>221</v>
      </c>
      <c r="C419" s="1">
        <v>13.372726999999999</v>
      </c>
      <c r="D419" s="1">
        <v>2.3706000000000001E-2</v>
      </c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30" x14ac:dyDescent="0.25">
      <c r="A420" s="1">
        <v>2458371.4815500001</v>
      </c>
      <c r="B420" s="1" t="s">
        <v>464</v>
      </c>
      <c r="C420" s="1">
        <v>13.372726999999999</v>
      </c>
      <c r="D420" s="1">
        <v>1.4083999999999999E-2</v>
      </c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30" x14ac:dyDescent="0.25">
      <c r="A421" s="1">
        <v>2458385.9545999998</v>
      </c>
      <c r="B421" s="1" t="s">
        <v>465</v>
      </c>
      <c r="C421" s="1">
        <v>13.92</v>
      </c>
      <c r="D421" s="1">
        <v>7.3484999999999995E-2</v>
      </c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30" x14ac:dyDescent="0.25">
      <c r="A422" s="1">
        <v>2458404.3595799999</v>
      </c>
      <c r="B422" s="1" t="s">
        <v>466</v>
      </c>
      <c r="C422" s="1">
        <v>14.125</v>
      </c>
      <c r="D422" s="1">
        <v>0.103078</v>
      </c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30" x14ac:dyDescent="0.25">
      <c r="A423" s="1">
        <v>2458420.1368300002</v>
      </c>
      <c r="B423" s="1" t="s">
        <v>222</v>
      </c>
      <c r="C423" s="1">
        <v>13.883333</v>
      </c>
      <c r="D423" s="1">
        <v>3.0731999999999999E-2</v>
      </c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>
        <v>2458437.7725</v>
      </c>
      <c r="B424" s="1" t="s">
        <v>467</v>
      </c>
      <c r="C424" s="1">
        <v>13.6</v>
      </c>
      <c r="D424" s="1">
        <v>0.1</v>
      </c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30" x14ac:dyDescent="0.25">
      <c r="A425" s="1">
        <v>2458671.9604500001</v>
      </c>
      <c r="B425" s="1" t="s">
        <v>223</v>
      </c>
      <c r="C425" s="1">
        <v>12.581818</v>
      </c>
      <c r="D425" s="1">
        <v>2.2636E-2</v>
      </c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30" x14ac:dyDescent="0.25">
      <c r="A426" s="1">
        <v>2458691.7302600001</v>
      </c>
      <c r="B426" s="1" t="s">
        <v>224</v>
      </c>
      <c r="C426" s="1">
        <v>12.553846</v>
      </c>
      <c r="D426" s="1">
        <v>3.6891E-2</v>
      </c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30" x14ac:dyDescent="0.25">
      <c r="A427" s="1">
        <v>2458712.0268399999</v>
      </c>
      <c r="B427" s="1" t="s">
        <v>468</v>
      </c>
      <c r="C427" s="1">
        <v>12.571429</v>
      </c>
      <c r="D427" s="1">
        <v>2.8570999999999999E-2</v>
      </c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30" x14ac:dyDescent="0.25">
      <c r="A428" s="1">
        <v>2458726.74444</v>
      </c>
      <c r="B428" s="1" t="s">
        <v>225</v>
      </c>
      <c r="C428" s="1">
        <v>12.706250000000001</v>
      </c>
      <c r="D428" s="1">
        <v>3.7046000000000003E-2</v>
      </c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30" x14ac:dyDescent="0.25">
      <c r="A429" s="1">
        <v>2458742.9259000001</v>
      </c>
      <c r="B429" s="1" t="s">
        <v>469</v>
      </c>
      <c r="C429" s="1">
        <v>12.9375</v>
      </c>
      <c r="D429" s="1">
        <v>3.2390000000000002E-2</v>
      </c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30" x14ac:dyDescent="0.25">
      <c r="A430" s="1">
        <v>2458758.0392999998</v>
      </c>
      <c r="B430" s="1" t="s">
        <v>470</v>
      </c>
      <c r="C430" s="1">
        <v>12.833333</v>
      </c>
      <c r="D430" s="1">
        <v>2.1082E-2</v>
      </c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30" x14ac:dyDescent="0.25">
      <c r="A431" s="1">
        <v>2458778.4595400002</v>
      </c>
      <c r="B431" s="1" t="s">
        <v>471</v>
      </c>
      <c r="C431" s="1">
        <v>12.737500000000001</v>
      </c>
      <c r="D431" s="1">
        <v>4.1993000000000003E-2</v>
      </c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30" x14ac:dyDescent="0.25">
      <c r="A432" s="1">
        <v>2458791.9413299998</v>
      </c>
      <c r="B432" s="1" t="s">
        <v>472</v>
      </c>
      <c r="C432" s="1">
        <v>12.733333</v>
      </c>
      <c r="D432" s="1">
        <v>3.3333000000000002E-2</v>
      </c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2458945.4015500001</v>
      </c>
      <c r="B433" s="1" t="s">
        <v>473</v>
      </c>
      <c r="C433" s="1">
        <v>13.4</v>
      </c>
      <c r="D433" s="1">
        <v>0</v>
      </c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30" x14ac:dyDescent="0.25">
      <c r="A434" s="1">
        <v>2458968.9800800001</v>
      </c>
      <c r="B434" s="1" t="s">
        <v>474</v>
      </c>
      <c r="C434" s="1">
        <v>13.318182</v>
      </c>
      <c r="D434" s="1">
        <v>1.8182E-2</v>
      </c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30" x14ac:dyDescent="0.25">
      <c r="A435" s="1">
        <v>2458985.7066799998</v>
      </c>
      <c r="B435" s="1" t="s">
        <v>227</v>
      </c>
      <c r="C435" s="1">
        <v>13.255556</v>
      </c>
      <c r="D435" s="1">
        <v>1.7568E-2</v>
      </c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30" x14ac:dyDescent="0.25">
      <c r="A436" s="1">
        <v>2458996.46502</v>
      </c>
      <c r="B436" s="1" t="s">
        <v>228</v>
      </c>
      <c r="C436" s="1">
        <v>13.23</v>
      </c>
      <c r="D436" s="1">
        <v>1.6383999999999999E-2</v>
      </c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30" x14ac:dyDescent="0.25">
      <c r="A437" s="1">
        <v>2459020.6236299998</v>
      </c>
      <c r="B437" s="1" t="s">
        <v>229</v>
      </c>
      <c r="C437" s="1">
        <v>13.028570999999999</v>
      </c>
      <c r="D437" s="1">
        <v>1.6336E-2</v>
      </c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30" x14ac:dyDescent="0.25">
      <c r="A438" s="1">
        <v>2459036.7919700001</v>
      </c>
      <c r="B438" s="1" t="s">
        <v>230</v>
      </c>
      <c r="C438" s="1">
        <v>12.598182</v>
      </c>
      <c r="D438" s="1">
        <v>8.5289000000000004E-2</v>
      </c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30" x14ac:dyDescent="0.25">
      <c r="A439" s="1">
        <v>2459050.2745599998</v>
      </c>
      <c r="B439" s="1" t="s">
        <v>475</v>
      </c>
      <c r="C439" s="1">
        <v>11.991053000000001</v>
      </c>
      <c r="D439" s="1">
        <v>6.0393000000000002E-2</v>
      </c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30" x14ac:dyDescent="0.25">
      <c r="A440" s="1">
        <v>2459064.6936400002</v>
      </c>
      <c r="B440" s="1" t="s">
        <v>476</v>
      </c>
      <c r="C440" s="1">
        <v>11.256667</v>
      </c>
      <c r="D440" s="1">
        <v>7.6691999999999996E-2</v>
      </c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30" x14ac:dyDescent="0.25">
      <c r="A441" s="1">
        <v>2459082.9770300002</v>
      </c>
      <c r="B441" s="1" t="s">
        <v>235</v>
      </c>
      <c r="C441" s="1">
        <v>10.727646999999999</v>
      </c>
      <c r="D441" s="1">
        <v>5.2226000000000002E-2</v>
      </c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30" x14ac:dyDescent="0.25">
      <c r="A442" s="1">
        <v>2459100.5414900002</v>
      </c>
      <c r="B442" s="1" t="s">
        <v>477</v>
      </c>
      <c r="C442" s="1">
        <v>10.504231000000001</v>
      </c>
      <c r="D442" s="1">
        <v>2.7869000000000001E-2</v>
      </c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30" x14ac:dyDescent="0.25">
      <c r="A443" s="1">
        <v>2459111.94105</v>
      </c>
      <c r="B443" s="1" t="s">
        <v>245</v>
      </c>
      <c r="C443" s="1">
        <v>10.839</v>
      </c>
      <c r="D443" s="1">
        <v>4.1103000000000001E-2</v>
      </c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30" x14ac:dyDescent="0.25">
      <c r="A444" s="1">
        <v>2459132.2392099998</v>
      </c>
      <c r="B444" s="1" t="s">
        <v>255</v>
      </c>
      <c r="C444" s="1">
        <v>10.871428999999999</v>
      </c>
      <c r="D444" s="1">
        <v>1.941E-2</v>
      </c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30" x14ac:dyDescent="0.25">
      <c r="A445" s="1">
        <v>2459148.4482200001</v>
      </c>
      <c r="B445" s="1" t="s">
        <v>478</v>
      </c>
      <c r="C445" s="1">
        <v>11.033333000000001</v>
      </c>
      <c r="D445" s="1">
        <v>2.3570000000000001E-2</v>
      </c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30" x14ac:dyDescent="0.25">
      <c r="A446" s="1">
        <v>2459161.2995600002</v>
      </c>
      <c r="B446" s="1" t="s">
        <v>479</v>
      </c>
      <c r="C446" s="1">
        <v>11.122222000000001</v>
      </c>
      <c r="D446" s="1">
        <v>4.6481000000000001E-2</v>
      </c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2459176.77244</v>
      </c>
      <c r="B447" s="1" t="s">
        <v>480</v>
      </c>
      <c r="C447" s="1">
        <v>11.2125</v>
      </c>
      <c r="D447" s="1">
        <v>1.2500000000000001E-2</v>
      </c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2459273.7089999998</v>
      </c>
      <c r="B448" s="1" t="s">
        <v>481</v>
      </c>
      <c r="C448" s="1">
        <v>11.3</v>
      </c>
      <c r="D448" s="1">
        <v>0</v>
      </c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2459365.108</v>
      </c>
      <c r="B449" s="1" t="s">
        <v>482</v>
      </c>
      <c r="C449" s="1">
        <v>11.75</v>
      </c>
      <c r="D449" s="1">
        <v>0.05</v>
      </c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1:27" x14ac:dyDescent="0.25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1:27" x14ac:dyDescent="0.25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1:27" x14ac:dyDescent="0.25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1:27" x14ac:dyDescent="0.25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1:27" x14ac:dyDescent="0.25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1:27" x14ac:dyDescent="0.25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1:27" x14ac:dyDescent="0.25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1:27" x14ac:dyDescent="0.25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1:27" x14ac:dyDescent="0.25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1:27" x14ac:dyDescent="0.25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1:27" x14ac:dyDescent="0.25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1:27" x14ac:dyDescent="0.25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1:27" x14ac:dyDescent="0.25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1:27" x14ac:dyDescent="0.25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1:27" x14ac:dyDescent="0.25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1:27" x14ac:dyDescent="0.25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1:27" x14ac:dyDescent="0.25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1:27" x14ac:dyDescent="0.25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1:27" x14ac:dyDescent="0.25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1:27" x14ac:dyDescent="0.25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1:27" x14ac:dyDescent="0.25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1:27" x14ac:dyDescent="0.25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1:27" x14ac:dyDescent="0.25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1:27" x14ac:dyDescent="0.25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1:27" x14ac:dyDescent="0.25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1:27" x14ac:dyDescent="0.25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1:27" x14ac:dyDescent="0.25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1:27" x14ac:dyDescent="0.25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1:27" x14ac:dyDescent="0.25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1:27" x14ac:dyDescent="0.25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1:27" x14ac:dyDescent="0.25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1:27" x14ac:dyDescent="0.25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1:27" x14ac:dyDescent="0.25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1:27" x14ac:dyDescent="0.25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1:27" x14ac:dyDescent="0.25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1:27" x14ac:dyDescent="0.25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1:27" x14ac:dyDescent="0.25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1:27" x14ac:dyDescent="0.25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1:27" x14ac:dyDescent="0.25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1:27" x14ac:dyDescent="0.25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1:27" x14ac:dyDescent="0.25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1:27" x14ac:dyDescent="0.25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1:27" x14ac:dyDescent="0.25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1:27" x14ac:dyDescent="0.25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1:27" x14ac:dyDescent="0.25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1:27" x14ac:dyDescent="0.25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1:27" x14ac:dyDescent="0.25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1:27" x14ac:dyDescent="0.25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1:27" x14ac:dyDescent="0.25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1:27" x14ac:dyDescent="0.25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1:27" x14ac:dyDescent="0.25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1:27" x14ac:dyDescent="0.25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1:27" x14ac:dyDescent="0.25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1:27" x14ac:dyDescent="0.25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1:27" x14ac:dyDescent="0.25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1:27" x14ac:dyDescent="0.25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1:27" x14ac:dyDescent="0.25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1:27" x14ac:dyDescent="0.25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1:27" x14ac:dyDescent="0.25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1:27" x14ac:dyDescent="0.25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1:27" x14ac:dyDescent="0.25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1:27" x14ac:dyDescent="0.25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1:27" x14ac:dyDescent="0.25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1:27" x14ac:dyDescent="0.25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1:27" x14ac:dyDescent="0.25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1:27" x14ac:dyDescent="0.25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1:27" x14ac:dyDescent="0.25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1:27" x14ac:dyDescent="0.25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1:27" x14ac:dyDescent="0.25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1:27" x14ac:dyDescent="0.25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1:27" x14ac:dyDescent="0.25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1:27" x14ac:dyDescent="0.25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1:27" x14ac:dyDescent="0.25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1:27" x14ac:dyDescent="0.25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1:27" x14ac:dyDescent="0.25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1:27" x14ac:dyDescent="0.25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1:27" x14ac:dyDescent="0.25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1:27" x14ac:dyDescent="0.25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1:27" x14ac:dyDescent="0.25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1:27" x14ac:dyDescent="0.25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1:27" x14ac:dyDescent="0.25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1:27" x14ac:dyDescent="0.25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1:27" x14ac:dyDescent="0.25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1:27" x14ac:dyDescent="0.25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1:27" x14ac:dyDescent="0.25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1:27" x14ac:dyDescent="0.25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1:27" x14ac:dyDescent="0.25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1:27" x14ac:dyDescent="0.25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1:27" x14ac:dyDescent="0.25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1:27" x14ac:dyDescent="0.25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1:27" x14ac:dyDescent="0.25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1:27" x14ac:dyDescent="0.25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1:27" x14ac:dyDescent="0.25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1:27" x14ac:dyDescent="0.25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1:27" x14ac:dyDescent="0.25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1:27" x14ac:dyDescent="0.25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1:27" x14ac:dyDescent="0.25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1:27" x14ac:dyDescent="0.25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1:27" x14ac:dyDescent="0.25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1:27" x14ac:dyDescent="0.25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1:27" x14ac:dyDescent="0.25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1:27" x14ac:dyDescent="0.25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1:27" x14ac:dyDescent="0.25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1:27" x14ac:dyDescent="0.25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1:27" x14ac:dyDescent="0.25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1:27" x14ac:dyDescent="0.25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1:27" x14ac:dyDescent="0.25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1:27" x14ac:dyDescent="0.25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1:27" x14ac:dyDescent="0.25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1:27" x14ac:dyDescent="0.25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1:27" x14ac:dyDescent="0.25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1:27" x14ac:dyDescent="0.25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1:27" x14ac:dyDescent="0.25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1:27" x14ac:dyDescent="0.25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1:27" x14ac:dyDescent="0.25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1:27" x14ac:dyDescent="0.25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1:27" x14ac:dyDescent="0.25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1:27" x14ac:dyDescent="0.25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1:27" x14ac:dyDescent="0.25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1:27" x14ac:dyDescent="0.25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1:27" x14ac:dyDescent="0.25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1:27" x14ac:dyDescent="0.25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1:27" x14ac:dyDescent="0.25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1:27" x14ac:dyDescent="0.25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1:27" x14ac:dyDescent="0.25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1:27" x14ac:dyDescent="0.25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1:27" x14ac:dyDescent="0.25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1:27" x14ac:dyDescent="0.25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1:27" x14ac:dyDescent="0.25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1:27" x14ac:dyDescent="0.25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1:27" x14ac:dyDescent="0.25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1:27" x14ac:dyDescent="0.25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1:27" x14ac:dyDescent="0.25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1:27" x14ac:dyDescent="0.25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1:27" x14ac:dyDescent="0.25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1:27" x14ac:dyDescent="0.25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1:27" x14ac:dyDescent="0.25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1:27" x14ac:dyDescent="0.25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1:27" x14ac:dyDescent="0.25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1:27" x14ac:dyDescent="0.25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1:27" x14ac:dyDescent="0.25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1:27" x14ac:dyDescent="0.25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1:27" x14ac:dyDescent="0.25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1:27" x14ac:dyDescent="0.25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1:27" x14ac:dyDescent="0.25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1:27" x14ac:dyDescent="0.25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1:27" x14ac:dyDescent="0.25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1:27" x14ac:dyDescent="0.25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1:27" x14ac:dyDescent="0.25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1:27" x14ac:dyDescent="0.25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1:27" x14ac:dyDescent="0.25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1:27" x14ac:dyDescent="0.25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1:27" x14ac:dyDescent="0.25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1:27" x14ac:dyDescent="0.25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1:27" x14ac:dyDescent="0.25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1:27" x14ac:dyDescent="0.25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1:27" x14ac:dyDescent="0.25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1:27" x14ac:dyDescent="0.25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1:27" x14ac:dyDescent="0.25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1:27" x14ac:dyDescent="0.25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1:27" x14ac:dyDescent="0.25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1:27" x14ac:dyDescent="0.25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1:27" x14ac:dyDescent="0.25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1:27" x14ac:dyDescent="0.25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1:27" x14ac:dyDescent="0.25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1:27" x14ac:dyDescent="0.25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1:27" x14ac:dyDescent="0.25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1:27" x14ac:dyDescent="0.25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1:27" x14ac:dyDescent="0.25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1:27" x14ac:dyDescent="0.25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1:27" x14ac:dyDescent="0.25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1:27" x14ac:dyDescent="0.25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1:27" x14ac:dyDescent="0.25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1:27" x14ac:dyDescent="0.25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1:27" x14ac:dyDescent="0.25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1:27" x14ac:dyDescent="0.25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1:27" x14ac:dyDescent="0.25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1:27" x14ac:dyDescent="0.25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1:27" x14ac:dyDescent="0.25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1:27" x14ac:dyDescent="0.25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1:27" x14ac:dyDescent="0.25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1:27" x14ac:dyDescent="0.25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1:27" x14ac:dyDescent="0.25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1:27" x14ac:dyDescent="0.25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1:27" x14ac:dyDescent="0.25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1:27" x14ac:dyDescent="0.25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1:27" x14ac:dyDescent="0.25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1:27" x14ac:dyDescent="0.25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1:27" x14ac:dyDescent="0.25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1:27" x14ac:dyDescent="0.25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1:27" x14ac:dyDescent="0.25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1:27" x14ac:dyDescent="0.25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1:27" x14ac:dyDescent="0.25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1:27" x14ac:dyDescent="0.25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1:27" x14ac:dyDescent="0.25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1:27" x14ac:dyDescent="0.25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1:27" x14ac:dyDescent="0.25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1:27" x14ac:dyDescent="0.25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1:27" x14ac:dyDescent="0.25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1:27" x14ac:dyDescent="0.25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1:27" x14ac:dyDescent="0.25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1:27" x14ac:dyDescent="0.25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1:27" x14ac:dyDescent="0.25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1:27" x14ac:dyDescent="0.25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1:27" x14ac:dyDescent="0.25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1:27" x14ac:dyDescent="0.25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1:27" x14ac:dyDescent="0.25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1:27" x14ac:dyDescent="0.25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1:27" x14ac:dyDescent="0.25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1:27" x14ac:dyDescent="0.25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1:27" x14ac:dyDescent="0.25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1:27" x14ac:dyDescent="0.25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1:27" x14ac:dyDescent="0.25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1:27" x14ac:dyDescent="0.25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1:27" x14ac:dyDescent="0.25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1:27" x14ac:dyDescent="0.25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1:27" x14ac:dyDescent="0.25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1:27" x14ac:dyDescent="0.25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1:27" x14ac:dyDescent="0.25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1:27" x14ac:dyDescent="0.25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1:27" x14ac:dyDescent="0.25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1:27" x14ac:dyDescent="0.25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1:27" x14ac:dyDescent="0.25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1:27" x14ac:dyDescent="0.25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1:27" x14ac:dyDescent="0.25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1:27" x14ac:dyDescent="0.25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1:27" x14ac:dyDescent="0.25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1:27" x14ac:dyDescent="0.25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1:27" x14ac:dyDescent="0.25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1:27" x14ac:dyDescent="0.25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1:27" x14ac:dyDescent="0.25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1:27" x14ac:dyDescent="0.25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1:27" x14ac:dyDescent="0.25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1:27" x14ac:dyDescent="0.25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1:27" x14ac:dyDescent="0.25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1:27" x14ac:dyDescent="0.25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1:27" x14ac:dyDescent="0.25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1:27" x14ac:dyDescent="0.25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1:27" x14ac:dyDescent="0.25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1:27" x14ac:dyDescent="0.25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1:27" x14ac:dyDescent="0.25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1:27" x14ac:dyDescent="0.25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1:27" x14ac:dyDescent="0.25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1:27" x14ac:dyDescent="0.25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1:27" x14ac:dyDescent="0.25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1:27" x14ac:dyDescent="0.25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1:27" x14ac:dyDescent="0.25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1:27" x14ac:dyDescent="0.25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1:27" x14ac:dyDescent="0.25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1:27" x14ac:dyDescent="0.25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1:27" x14ac:dyDescent="0.25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1:27" x14ac:dyDescent="0.25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1:27" x14ac:dyDescent="0.25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1:27" x14ac:dyDescent="0.25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1:27" x14ac:dyDescent="0.25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1:27" x14ac:dyDescent="0.25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1:27" x14ac:dyDescent="0.25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1:27" x14ac:dyDescent="0.25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1:27" x14ac:dyDescent="0.25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1:27" x14ac:dyDescent="0.25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1:27" x14ac:dyDescent="0.25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1:27" x14ac:dyDescent="0.25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1:27" x14ac:dyDescent="0.25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1:27" x14ac:dyDescent="0.25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1:27" x14ac:dyDescent="0.25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1:27" x14ac:dyDescent="0.25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1:27" x14ac:dyDescent="0.25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1:27" x14ac:dyDescent="0.25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1:27" x14ac:dyDescent="0.25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1:27" x14ac:dyDescent="0.25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1:27" x14ac:dyDescent="0.25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1:27" x14ac:dyDescent="0.25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1:27" x14ac:dyDescent="0.25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1:27" x14ac:dyDescent="0.25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1:27" x14ac:dyDescent="0.25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1:27" x14ac:dyDescent="0.25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1:27" x14ac:dyDescent="0.25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1:27" x14ac:dyDescent="0.25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1:27" x14ac:dyDescent="0.25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1:27" x14ac:dyDescent="0.25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1:27" x14ac:dyDescent="0.25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1:27" x14ac:dyDescent="0.25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1:27" x14ac:dyDescent="0.25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1:27" x14ac:dyDescent="0.25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1:27" x14ac:dyDescent="0.25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1:27" x14ac:dyDescent="0.25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1:27" x14ac:dyDescent="0.25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1:27" x14ac:dyDescent="0.25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1:27" x14ac:dyDescent="0.25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1:27" x14ac:dyDescent="0.25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1:27" x14ac:dyDescent="0.25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1:27" x14ac:dyDescent="0.25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1:27" x14ac:dyDescent="0.25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1:27" x14ac:dyDescent="0.25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1:27" x14ac:dyDescent="0.25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1:27" x14ac:dyDescent="0.25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1:27" x14ac:dyDescent="0.25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1:27" x14ac:dyDescent="0.25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1:27" x14ac:dyDescent="0.25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1:27" x14ac:dyDescent="0.25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1:27" x14ac:dyDescent="0.25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1:27" x14ac:dyDescent="0.25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1:27" x14ac:dyDescent="0.25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1:27" x14ac:dyDescent="0.25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1:27" x14ac:dyDescent="0.25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1:27" x14ac:dyDescent="0.25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1:27" x14ac:dyDescent="0.25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1:27" x14ac:dyDescent="0.25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1:27" x14ac:dyDescent="0.25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1:27" x14ac:dyDescent="0.25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1:27" x14ac:dyDescent="0.25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1:27" x14ac:dyDescent="0.25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1:27" x14ac:dyDescent="0.25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1:27" x14ac:dyDescent="0.25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1:27" x14ac:dyDescent="0.25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1:27" x14ac:dyDescent="0.25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1:27" x14ac:dyDescent="0.25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1:27" x14ac:dyDescent="0.25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1:27" x14ac:dyDescent="0.25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1:27" x14ac:dyDescent="0.25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1:27" x14ac:dyDescent="0.25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1:27" x14ac:dyDescent="0.25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1:27" x14ac:dyDescent="0.25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1:27" x14ac:dyDescent="0.25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1:27" x14ac:dyDescent="0.25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1:27" x14ac:dyDescent="0.25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1:27" x14ac:dyDescent="0.25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1:27" x14ac:dyDescent="0.25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1:27" x14ac:dyDescent="0.25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1:27" x14ac:dyDescent="0.25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1:27" x14ac:dyDescent="0.25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1:27" x14ac:dyDescent="0.25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1:27" x14ac:dyDescent="0.25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1:27" x14ac:dyDescent="0.25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1:27" x14ac:dyDescent="0.25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1:27" x14ac:dyDescent="0.25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1:27" x14ac:dyDescent="0.25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1:27" x14ac:dyDescent="0.25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1:27" x14ac:dyDescent="0.25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1:27" x14ac:dyDescent="0.25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1:27" x14ac:dyDescent="0.25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1:27" x14ac:dyDescent="0.25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1:27" x14ac:dyDescent="0.25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1:27" x14ac:dyDescent="0.25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1:27" x14ac:dyDescent="0.25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1:27" x14ac:dyDescent="0.25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1:27" x14ac:dyDescent="0.25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1:27" x14ac:dyDescent="0.25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1:27" x14ac:dyDescent="0.25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1:27" x14ac:dyDescent="0.25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1:27" x14ac:dyDescent="0.25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1:27" x14ac:dyDescent="0.25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1:27" x14ac:dyDescent="0.25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1:27" x14ac:dyDescent="0.25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1:27" x14ac:dyDescent="0.25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1:27" x14ac:dyDescent="0.25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1:27" x14ac:dyDescent="0.25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1:27" x14ac:dyDescent="0.25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1:27" x14ac:dyDescent="0.25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1:27" x14ac:dyDescent="0.25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1:27" x14ac:dyDescent="0.25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1:27" x14ac:dyDescent="0.25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1:27" x14ac:dyDescent="0.25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1:27" x14ac:dyDescent="0.25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1:27" x14ac:dyDescent="0.25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1:27" x14ac:dyDescent="0.25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1:27" x14ac:dyDescent="0.25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1:27" x14ac:dyDescent="0.25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1:27" x14ac:dyDescent="0.25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1:27" x14ac:dyDescent="0.25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1:27" x14ac:dyDescent="0.25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1:27" x14ac:dyDescent="0.25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1:27" x14ac:dyDescent="0.25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1:27" x14ac:dyDescent="0.25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1:27" x14ac:dyDescent="0.25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1:27" x14ac:dyDescent="0.25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1:27" x14ac:dyDescent="0.25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1:27" x14ac:dyDescent="0.25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1:27" x14ac:dyDescent="0.25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1:27" x14ac:dyDescent="0.25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1:27" x14ac:dyDescent="0.25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1:27" x14ac:dyDescent="0.25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1:27" x14ac:dyDescent="0.25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1:27" x14ac:dyDescent="0.25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1:27" x14ac:dyDescent="0.25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1:27" x14ac:dyDescent="0.25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1:27" x14ac:dyDescent="0.25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1:27" x14ac:dyDescent="0.25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1:27" x14ac:dyDescent="0.25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1:27" x14ac:dyDescent="0.25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1:27" x14ac:dyDescent="0.25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1:27" x14ac:dyDescent="0.25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1:27" x14ac:dyDescent="0.25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1:27" x14ac:dyDescent="0.25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1:27" x14ac:dyDescent="0.25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1:27" x14ac:dyDescent="0.25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1:27" x14ac:dyDescent="0.25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1:27" x14ac:dyDescent="0.25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1:27" x14ac:dyDescent="0.25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1:27" x14ac:dyDescent="0.25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1:27" x14ac:dyDescent="0.25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1:27" x14ac:dyDescent="0.25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1:27" x14ac:dyDescent="0.25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1:27" x14ac:dyDescent="0.25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1:27" x14ac:dyDescent="0.25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1:27" x14ac:dyDescent="0.25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1:27" x14ac:dyDescent="0.25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1:27" x14ac:dyDescent="0.25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1:27" x14ac:dyDescent="0.25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1:27" x14ac:dyDescent="0.25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1:27" x14ac:dyDescent="0.25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1:27" x14ac:dyDescent="0.25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1:27" x14ac:dyDescent="0.25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1:27" x14ac:dyDescent="0.25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1:27" x14ac:dyDescent="0.25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1:27" x14ac:dyDescent="0.25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1:27" x14ac:dyDescent="0.25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1:27" x14ac:dyDescent="0.25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1:27" x14ac:dyDescent="0.25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1:27" x14ac:dyDescent="0.25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1:27" x14ac:dyDescent="0.25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1:27" x14ac:dyDescent="0.25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1:27" x14ac:dyDescent="0.25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1:27" x14ac:dyDescent="0.25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1:27" x14ac:dyDescent="0.25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1:27" x14ac:dyDescent="0.25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1:27" x14ac:dyDescent="0.25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1:27" x14ac:dyDescent="0.25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1:27" x14ac:dyDescent="0.25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1:27" x14ac:dyDescent="0.25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1:27" x14ac:dyDescent="0.25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1:27" x14ac:dyDescent="0.25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1:27" x14ac:dyDescent="0.25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1:27" x14ac:dyDescent="0.25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1:27" x14ac:dyDescent="0.25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1:27" x14ac:dyDescent="0.25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1:27" x14ac:dyDescent="0.25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1:27" x14ac:dyDescent="0.25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1:27" x14ac:dyDescent="0.25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1:27" x14ac:dyDescent="0.25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1:27" x14ac:dyDescent="0.25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1:27" x14ac:dyDescent="0.25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1:27" x14ac:dyDescent="0.25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1:27" x14ac:dyDescent="0.25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1:27" x14ac:dyDescent="0.25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1:27" x14ac:dyDescent="0.25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1:27" x14ac:dyDescent="0.25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1:27" x14ac:dyDescent="0.25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1:27" x14ac:dyDescent="0.25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1:27" x14ac:dyDescent="0.25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1:27" x14ac:dyDescent="0.25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1:27" x14ac:dyDescent="0.25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1:27" x14ac:dyDescent="0.25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1:27" x14ac:dyDescent="0.25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1:27" x14ac:dyDescent="0.25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1:27" x14ac:dyDescent="0.25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1:27" x14ac:dyDescent="0.25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1:27" x14ac:dyDescent="0.25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1:27" x14ac:dyDescent="0.25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1:27" x14ac:dyDescent="0.25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1:27" x14ac:dyDescent="0.25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1:27" x14ac:dyDescent="0.25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1:27" x14ac:dyDescent="0.25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1:27" x14ac:dyDescent="0.25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1:27" x14ac:dyDescent="0.25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1:27" x14ac:dyDescent="0.25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1:27" x14ac:dyDescent="0.25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1:27" x14ac:dyDescent="0.25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1:27" x14ac:dyDescent="0.25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1:27" x14ac:dyDescent="0.25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1:27" x14ac:dyDescent="0.25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1:27" x14ac:dyDescent="0.25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1:27" x14ac:dyDescent="0.25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1:27" x14ac:dyDescent="0.25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1:27" x14ac:dyDescent="0.25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1:27" x14ac:dyDescent="0.25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1:27" x14ac:dyDescent="0.25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1:27" x14ac:dyDescent="0.25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1:27" x14ac:dyDescent="0.25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1:27" x14ac:dyDescent="0.25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1:27" x14ac:dyDescent="0.25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1:27" x14ac:dyDescent="0.25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1:27" x14ac:dyDescent="0.25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1:27" x14ac:dyDescent="0.25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1:27" x14ac:dyDescent="0.25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1:27" x14ac:dyDescent="0.25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1:27" x14ac:dyDescent="0.25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1:27" x14ac:dyDescent="0.25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1:27" x14ac:dyDescent="0.25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1:27" x14ac:dyDescent="0.25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1:27" x14ac:dyDescent="0.25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1:27" x14ac:dyDescent="0.25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1:27" x14ac:dyDescent="0.25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1:27" x14ac:dyDescent="0.25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1:27" x14ac:dyDescent="0.25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1:27" x14ac:dyDescent="0.25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1:27" x14ac:dyDescent="0.25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1:27" x14ac:dyDescent="0.25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1:27" x14ac:dyDescent="0.25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1:27" x14ac:dyDescent="0.25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1:27" x14ac:dyDescent="0.25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1:27" x14ac:dyDescent="0.25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1:27" x14ac:dyDescent="0.25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1:27" x14ac:dyDescent="0.25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1:27" x14ac:dyDescent="0.25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1:27" x14ac:dyDescent="0.25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1:27" x14ac:dyDescent="0.25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1:27" x14ac:dyDescent="0.25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1:27" x14ac:dyDescent="0.25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1:27" x14ac:dyDescent="0.25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1:27" x14ac:dyDescent="0.25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1:27" x14ac:dyDescent="0.25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1:27" x14ac:dyDescent="0.25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1:27" x14ac:dyDescent="0.25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1:27" x14ac:dyDescent="0.25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1:27" x14ac:dyDescent="0.25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1:27" x14ac:dyDescent="0.25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1:27" x14ac:dyDescent="0.25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1:27" x14ac:dyDescent="0.25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1:27" x14ac:dyDescent="0.25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1:27" x14ac:dyDescent="0.25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1:27" x14ac:dyDescent="0.25">
      <c r="A2016" s="1"/>
      <c r="B2016" s="1"/>
      <c r="C2016" s="1"/>
      <c r="D2016" s="1"/>
      <c r="E2016" s="1"/>
      <c r="F2016" s="1"/>
      <c r="G2016" s="1"/>
      <c r="H2016" s="10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1:27" x14ac:dyDescent="0.25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1:27" x14ac:dyDescent="0.25">
      <c r="A2018" s="1"/>
      <c r="B2018" s="1"/>
      <c r="C2018" s="1"/>
      <c r="D2018" s="1"/>
      <c r="E2018" s="1"/>
      <c r="F2018" s="1"/>
      <c r="G2018" s="1"/>
      <c r="H2018" s="10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1:27" x14ac:dyDescent="0.25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1:27" x14ac:dyDescent="0.25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1:27" x14ac:dyDescent="0.25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1:27" x14ac:dyDescent="0.25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1:27" x14ac:dyDescent="0.25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1:27" x14ac:dyDescent="0.25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1:27" x14ac:dyDescent="0.25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1:27" x14ac:dyDescent="0.25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1:27" x14ac:dyDescent="0.25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1:27" x14ac:dyDescent="0.25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1:27" x14ac:dyDescent="0.25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1:27" x14ac:dyDescent="0.25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1:27" x14ac:dyDescent="0.25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1:27" x14ac:dyDescent="0.25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1:27" x14ac:dyDescent="0.25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1:27" x14ac:dyDescent="0.25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1:27" x14ac:dyDescent="0.25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1:27" x14ac:dyDescent="0.25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1:27" x14ac:dyDescent="0.25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1:27" x14ac:dyDescent="0.25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1:27" x14ac:dyDescent="0.25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1:27" x14ac:dyDescent="0.25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1:27" x14ac:dyDescent="0.25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1:27" x14ac:dyDescent="0.25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1:27" x14ac:dyDescent="0.25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1:27" x14ac:dyDescent="0.25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1:27" x14ac:dyDescent="0.25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1:27" x14ac:dyDescent="0.25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1:27" x14ac:dyDescent="0.25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1:27" x14ac:dyDescent="0.25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1:27" x14ac:dyDescent="0.25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1:27" x14ac:dyDescent="0.25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1:27" x14ac:dyDescent="0.25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1:27" x14ac:dyDescent="0.25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1:27" x14ac:dyDescent="0.25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1:27" x14ac:dyDescent="0.25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1:27" x14ac:dyDescent="0.25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1:27" x14ac:dyDescent="0.25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1:27" x14ac:dyDescent="0.25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1:27" x14ac:dyDescent="0.25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1:27" x14ac:dyDescent="0.25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1:27" x14ac:dyDescent="0.25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1:27" x14ac:dyDescent="0.25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1:27" x14ac:dyDescent="0.25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1:27" x14ac:dyDescent="0.25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1:27" x14ac:dyDescent="0.25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1:27" x14ac:dyDescent="0.25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1:27" x14ac:dyDescent="0.25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1:27" x14ac:dyDescent="0.25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1:27" x14ac:dyDescent="0.25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1:27" x14ac:dyDescent="0.25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1:27" x14ac:dyDescent="0.25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1:27" x14ac:dyDescent="0.25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1:27" x14ac:dyDescent="0.25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1:27" x14ac:dyDescent="0.25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1:27" x14ac:dyDescent="0.25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1:27" x14ac:dyDescent="0.25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1:27" x14ac:dyDescent="0.25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1:27" x14ac:dyDescent="0.25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1:27" x14ac:dyDescent="0.25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1:27" x14ac:dyDescent="0.25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1:27" x14ac:dyDescent="0.25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1:27" x14ac:dyDescent="0.25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1:27" x14ac:dyDescent="0.25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1:27" x14ac:dyDescent="0.25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1:27" x14ac:dyDescent="0.25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1:27" x14ac:dyDescent="0.25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1:27" x14ac:dyDescent="0.25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1:27" x14ac:dyDescent="0.25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1:27" x14ac:dyDescent="0.25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1:27" x14ac:dyDescent="0.25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1:27" x14ac:dyDescent="0.25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1:27" x14ac:dyDescent="0.25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1:27" x14ac:dyDescent="0.25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1:27" x14ac:dyDescent="0.25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1:27" x14ac:dyDescent="0.25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1:27" x14ac:dyDescent="0.25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1:27" x14ac:dyDescent="0.25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1:27" x14ac:dyDescent="0.25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1:27" x14ac:dyDescent="0.25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1:27" x14ac:dyDescent="0.25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1:27" x14ac:dyDescent="0.25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1:27" x14ac:dyDescent="0.25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1:27" x14ac:dyDescent="0.25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1:27" x14ac:dyDescent="0.25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1:27" x14ac:dyDescent="0.25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1:27" x14ac:dyDescent="0.25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1:27" x14ac:dyDescent="0.25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1:27" x14ac:dyDescent="0.25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1:27" x14ac:dyDescent="0.25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1:27" x14ac:dyDescent="0.25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1:27" x14ac:dyDescent="0.25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1:27" x14ac:dyDescent="0.25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1:27" x14ac:dyDescent="0.25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1:27" x14ac:dyDescent="0.25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1:27" x14ac:dyDescent="0.25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1:27" x14ac:dyDescent="0.25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1:27" x14ac:dyDescent="0.25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1:27" x14ac:dyDescent="0.25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1:27" x14ac:dyDescent="0.25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1:27" x14ac:dyDescent="0.25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1:27" x14ac:dyDescent="0.25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1:27" x14ac:dyDescent="0.25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1:27" x14ac:dyDescent="0.25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1:27" x14ac:dyDescent="0.25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1:27" x14ac:dyDescent="0.25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1:27" x14ac:dyDescent="0.25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1:27" x14ac:dyDescent="0.25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1:27" x14ac:dyDescent="0.25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1:27" x14ac:dyDescent="0.25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1:27" x14ac:dyDescent="0.25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1:27" x14ac:dyDescent="0.25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1:27" x14ac:dyDescent="0.25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1:27" x14ac:dyDescent="0.25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1:27" x14ac:dyDescent="0.25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1:27" x14ac:dyDescent="0.25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1:27" x14ac:dyDescent="0.25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1:27" x14ac:dyDescent="0.25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1:27" x14ac:dyDescent="0.25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1:27" x14ac:dyDescent="0.25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1:27" x14ac:dyDescent="0.25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1:27" x14ac:dyDescent="0.25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1:27" x14ac:dyDescent="0.25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1:27" x14ac:dyDescent="0.25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1:27" x14ac:dyDescent="0.25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1:27" x14ac:dyDescent="0.25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1:27" x14ac:dyDescent="0.25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1:27" x14ac:dyDescent="0.25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1:27" x14ac:dyDescent="0.25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1:27" x14ac:dyDescent="0.25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1:27" x14ac:dyDescent="0.25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1:27" x14ac:dyDescent="0.25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1:27" x14ac:dyDescent="0.25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1:27" x14ac:dyDescent="0.25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1:27" x14ac:dyDescent="0.25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1:27" x14ac:dyDescent="0.25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1:27" x14ac:dyDescent="0.25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1:27" x14ac:dyDescent="0.25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1:27" x14ac:dyDescent="0.25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1:27" x14ac:dyDescent="0.25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1:27" x14ac:dyDescent="0.25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1:27" x14ac:dyDescent="0.25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1:27" x14ac:dyDescent="0.25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1:27" x14ac:dyDescent="0.25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1:27" x14ac:dyDescent="0.25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1:27" x14ac:dyDescent="0.25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1:27" x14ac:dyDescent="0.25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1:27" x14ac:dyDescent="0.25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1:27" x14ac:dyDescent="0.25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1:27" x14ac:dyDescent="0.25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1:27" x14ac:dyDescent="0.25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1:27" x14ac:dyDescent="0.25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1:27" x14ac:dyDescent="0.25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1:27" x14ac:dyDescent="0.25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1:27" x14ac:dyDescent="0.25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1:27" x14ac:dyDescent="0.25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1:27" x14ac:dyDescent="0.25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1:27" x14ac:dyDescent="0.25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1:27" x14ac:dyDescent="0.25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1:27" x14ac:dyDescent="0.25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1:27" x14ac:dyDescent="0.25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1:27" x14ac:dyDescent="0.25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1:27" x14ac:dyDescent="0.25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1:27" x14ac:dyDescent="0.25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1:27" x14ac:dyDescent="0.25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1:27" x14ac:dyDescent="0.25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1:27" x14ac:dyDescent="0.25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1:27" x14ac:dyDescent="0.25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1:27" x14ac:dyDescent="0.25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1:27" x14ac:dyDescent="0.25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1:27" x14ac:dyDescent="0.25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1:27" x14ac:dyDescent="0.25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1:27" x14ac:dyDescent="0.25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1:27" x14ac:dyDescent="0.25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1:27" x14ac:dyDescent="0.25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1:27" x14ac:dyDescent="0.25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1:27" x14ac:dyDescent="0.25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1:27" x14ac:dyDescent="0.25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1:27" x14ac:dyDescent="0.25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1:27" x14ac:dyDescent="0.25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1:27" x14ac:dyDescent="0.25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1:27" x14ac:dyDescent="0.25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1:27" x14ac:dyDescent="0.25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1:27" x14ac:dyDescent="0.25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1:27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1:27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1:27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1:27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1:27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1:27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1:27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1:27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1:27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1:27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1:27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1:27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1:27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1:27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1:27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1:27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1:27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1:27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1:27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1:27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1:27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1:27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1:27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1:27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1:27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1:27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1:27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1:27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1:27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1:27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1:27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1:27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1:27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1:27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1:27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1:27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1:27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1:27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1:27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1:27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1:27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1:27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1:27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1:27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1:27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1:27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1:27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1:27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1:27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1:27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1:27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1:27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1:27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1:27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1:27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1:27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1:27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1:27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1:27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1:27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1:27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1:27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1:27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1:27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1:27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1:27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1:27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1:27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1:27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1:27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1:27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1:27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1:27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1:27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1:27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1:27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1:27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1:27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1:27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1:27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1:27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1:27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1:27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1:27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1:27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1:27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1:27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1:27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1:27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1:27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1:27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1:27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1:27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1:27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1:27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1:27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1:27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1:27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1:27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1:27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1:27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1:27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1:27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1:27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1:27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1:27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1:27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1:27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1:27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1:27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1:27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1:27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1:27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1:27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1:27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1:27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1:27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1:27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1:27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1:27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1:27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1:27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1:27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1:27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1:27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1:27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1:27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1:27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1:27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1:27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1:27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1:27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1:27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1:27" x14ac:dyDescent="0.25">
      <c r="A2336" s="1"/>
      <c r="B2336" s="1"/>
      <c r="C2336" s="1"/>
      <c r="D2336" s="1"/>
      <c r="E2336" s="1"/>
      <c r="F2336" s="1"/>
      <c r="G2336" s="1"/>
      <c r="H2336" s="10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1:27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1:27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1:27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1:27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1:27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1:27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1:27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1:27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1:27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1:27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1:27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1:27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1:27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1:27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1:27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1:27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1:27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1:27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1:27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1:27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1:27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1:27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1:27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1:27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1:27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1:27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1:27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1:27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1:27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1:27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1:27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1:27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1:27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1:27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1:27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1:27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1:27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1:27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1:27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1:27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1:27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1:27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1:27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1:27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1:27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1:27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1:27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1:27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1:27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1:27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1:27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1:27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1:27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1:27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1:27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1:27" x14ac:dyDescent="0.25">
      <c r="A2392" s="1"/>
      <c r="B2392" s="1"/>
      <c r="C2392" s="1"/>
      <c r="D2392" s="1"/>
      <c r="E2392" s="1"/>
      <c r="F2392" s="1"/>
      <c r="G2392" s="1"/>
      <c r="H2392" s="10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1:27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1:27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1:27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1:27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1:27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1:27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1:27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1:27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1:27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1:27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1:27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1:27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1:27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1:27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1:27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1:27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1:27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1:27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1:27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1:27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1:27" x14ac:dyDescent="0.25">
      <c r="A2413" s="1"/>
      <c r="B2413" s="1"/>
      <c r="C2413" s="1"/>
      <c r="D2413" s="1"/>
      <c r="E2413" s="1"/>
      <c r="F2413" s="1"/>
      <c r="G2413" s="1"/>
      <c r="H2413" s="10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1:27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1:27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1:27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1:27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1:27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1:27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1:27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1:27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1:27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1:27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1:27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1:27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1:27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1:27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1:27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1:27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1:27" x14ac:dyDescent="0.25">
      <c r="A2430" s="1"/>
      <c r="B2430" s="1"/>
      <c r="C2430" s="1"/>
      <c r="D2430" s="1"/>
      <c r="E2430" s="1"/>
      <c r="F2430" s="1"/>
      <c r="G2430" s="1"/>
      <c r="H2430" s="10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1:27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1:27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1:27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1:27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1:27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1:27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1:27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1:27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1:27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1:27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1:27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1:27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1:27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1:27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1:27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1:27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1:27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1:27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1:27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1:27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1:27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1:27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1:27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1:27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1:27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1:27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1:27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1:27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1:27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1:27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1:27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1:27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1:27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1:27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1:27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1:27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1:27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1:27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1:27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1:27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1:27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1:27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1:27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1:27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1:27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1:27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1:27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1:27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1:27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1:27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1:27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1:27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1:27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1:27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1:27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1:27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1:27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1:27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1:27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1:27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1:27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1:27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1:27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1:27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1:27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1:27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1:27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1:27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1:27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1:27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1:27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1:27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1:27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1:27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1:27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1:27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1:27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1:27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1:27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1:27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1:27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1:27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1:27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1:27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1:27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1:27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1:27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1:27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1:27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1:27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1:27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1:27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1:27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1:27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1:27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1:27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1:27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1:27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1:27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1:27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1:27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1:27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1:27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1:27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1:27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1:27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1:27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1:27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1:27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1:27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1:27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1:27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1:27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1:27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1:27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1:27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1:27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1:27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1:27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1:27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1:27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1:27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1:27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1:27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1:27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1:27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1:27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1:27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1:27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1:27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1:27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1:27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1:27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1:27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1:27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1:27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1:27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1:27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1:27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1:27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1:27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1:27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1:27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1:27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1:27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1:27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1:27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1:27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1:27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1:27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1:27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1:27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1:27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1:27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1:27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1:27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1:27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1:27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1:27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1:27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1:27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1:27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1:27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1:27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1:27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1:27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1:27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1:27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1:27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1:27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1:27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1:27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1:27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1:27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1:27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1:27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1:27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1:27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1:27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1:27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1:27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1:27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1:27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1:27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1:27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1:27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1:27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1:27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1:27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1:27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1:27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1:27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1:27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1:27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1:27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1:27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1:27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1:27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1:27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1:27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1:27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1:27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1:27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1:27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1:27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1:27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1:27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1:27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1:27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1:27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1:27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1:27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1:27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1:27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1:27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1:27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1:27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1:27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1:27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1:27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1:27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1:27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1:27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1:27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1:27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1:27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1:27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1:27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1:27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1:27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1:27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1:27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1:27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1:27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1:27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1:27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1:27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1:27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1:27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1:27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1:27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1:27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1:27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1:27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1:27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1:27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1:27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1:27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1:27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1:27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1:27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1:27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1:27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1:27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1:27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1:27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1:27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1:27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1:27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1:27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1:27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1:27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1:27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1:27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1:27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1:27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1:27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1:27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1:27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1:27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1:27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1:27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1:27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1:27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1:27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1:27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1:27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1:27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1:27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1:27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1:27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1:27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1:27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1:27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1:27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1:27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1:27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1:27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1:27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1:27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1:27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1:27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1:27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1:27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1:27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1:27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1:27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1:27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1:27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1:27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1:27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1:27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1:27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1:27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1:27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1:27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1:27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1:27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1:27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1:27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1:27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1:27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1:27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1:27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1:27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1:27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1:27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1:27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1:27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1:27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1:27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1:27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1:27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1:27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1:27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1:27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1:27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1:27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1:27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1:27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1:27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1:27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1:27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1:27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1:27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1:27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1:27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1:27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1:27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1:27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1:27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1:27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1:27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1:27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1:27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1:27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1:27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1:27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1:27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1:27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1:27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1:27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1:27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1:27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1:27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1:27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1:27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1:27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1:27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1:27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1:27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1:27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1:27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1:27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1:27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1:27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1:27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1:27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1:27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1:27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1:27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1:27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1:27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1:27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1:27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1:27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1:27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1:27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1:27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1:27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1:27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1:27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1:27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1:27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1:27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1:27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1:27" x14ac:dyDescent="0.25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1:27" x14ac:dyDescent="0.25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1:27" x14ac:dyDescent="0.25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1:27" x14ac:dyDescent="0.25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1:27" x14ac:dyDescent="0.25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1:27" x14ac:dyDescent="0.25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1:27" x14ac:dyDescent="0.25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1:27" x14ac:dyDescent="0.25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1:27" x14ac:dyDescent="0.25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1:27" x14ac:dyDescent="0.25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1:27" x14ac:dyDescent="0.25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1:27" x14ac:dyDescent="0.25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1:27" x14ac:dyDescent="0.25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1:27" x14ac:dyDescent="0.25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1:27" x14ac:dyDescent="0.25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1:27" x14ac:dyDescent="0.25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1:27" x14ac:dyDescent="0.25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1:27" x14ac:dyDescent="0.25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1:27" x14ac:dyDescent="0.25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1:27" x14ac:dyDescent="0.25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1:27" x14ac:dyDescent="0.25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1:27" x14ac:dyDescent="0.25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1:27" x14ac:dyDescent="0.25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1:27" x14ac:dyDescent="0.25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1:27" x14ac:dyDescent="0.25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1:27" x14ac:dyDescent="0.25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1:27" x14ac:dyDescent="0.25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1:27" x14ac:dyDescent="0.25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1:27" x14ac:dyDescent="0.25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1:27" x14ac:dyDescent="0.25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1:27" x14ac:dyDescent="0.25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1:27" x14ac:dyDescent="0.25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1:27" x14ac:dyDescent="0.25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1:27" x14ac:dyDescent="0.25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1:27" x14ac:dyDescent="0.25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1:27" x14ac:dyDescent="0.25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1:27" x14ac:dyDescent="0.25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1:27" x14ac:dyDescent="0.25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1:27" x14ac:dyDescent="0.25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1:27" x14ac:dyDescent="0.25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1:27" x14ac:dyDescent="0.25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1:27" x14ac:dyDescent="0.25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1:27" x14ac:dyDescent="0.25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1:27" x14ac:dyDescent="0.25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1:27" x14ac:dyDescent="0.25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1:27" x14ac:dyDescent="0.25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1:27" x14ac:dyDescent="0.25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1:27" x14ac:dyDescent="0.25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1:27" x14ac:dyDescent="0.25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1:27" x14ac:dyDescent="0.25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1:27" x14ac:dyDescent="0.25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1:27" x14ac:dyDescent="0.25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1:27" x14ac:dyDescent="0.25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1:27" x14ac:dyDescent="0.25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1:27" x14ac:dyDescent="0.25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1:27" x14ac:dyDescent="0.25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1:27" x14ac:dyDescent="0.25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1:27" x14ac:dyDescent="0.25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1:27" x14ac:dyDescent="0.25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1:27" x14ac:dyDescent="0.25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1:27" x14ac:dyDescent="0.25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1:27" x14ac:dyDescent="0.25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1:27" x14ac:dyDescent="0.25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1:27" x14ac:dyDescent="0.25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1:27" x14ac:dyDescent="0.25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1:27" x14ac:dyDescent="0.25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1:27" x14ac:dyDescent="0.25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1:27" x14ac:dyDescent="0.25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1:27" x14ac:dyDescent="0.25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1:27" x14ac:dyDescent="0.25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1:27" x14ac:dyDescent="0.25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1:27" x14ac:dyDescent="0.25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1:27" x14ac:dyDescent="0.25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1:27" x14ac:dyDescent="0.25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1:27" x14ac:dyDescent="0.25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1:27" x14ac:dyDescent="0.25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1:27" x14ac:dyDescent="0.25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1:27" x14ac:dyDescent="0.25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1:27" x14ac:dyDescent="0.25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1:27" x14ac:dyDescent="0.25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1:27" x14ac:dyDescent="0.25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1:27" x14ac:dyDescent="0.25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1:27" x14ac:dyDescent="0.25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1:27" x14ac:dyDescent="0.25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1:27" x14ac:dyDescent="0.25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1:27" x14ac:dyDescent="0.25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1:27" x14ac:dyDescent="0.25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1:27" x14ac:dyDescent="0.25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1:27" x14ac:dyDescent="0.25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1:27" x14ac:dyDescent="0.25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1:27" x14ac:dyDescent="0.25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1:27" x14ac:dyDescent="0.25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1:27" x14ac:dyDescent="0.25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1:27" x14ac:dyDescent="0.25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1:27" x14ac:dyDescent="0.25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1:27" x14ac:dyDescent="0.25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1:27" x14ac:dyDescent="0.25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1:27" x14ac:dyDescent="0.25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1:27" x14ac:dyDescent="0.25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1:27" x14ac:dyDescent="0.25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1:27" x14ac:dyDescent="0.25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1:27" x14ac:dyDescent="0.25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1:27" x14ac:dyDescent="0.25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1:27" x14ac:dyDescent="0.25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1:27" x14ac:dyDescent="0.25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1:27" x14ac:dyDescent="0.25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1:27" x14ac:dyDescent="0.25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1:27" x14ac:dyDescent="0.25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1:27" x14ac:dyDescent="0.25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1:27" x14ac:dyDescent="0.25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1:27" x14ac:dyDescent="0.25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1:27" x14ac:dyDescent="0.25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1:27" x14ac:dyDescent="0.25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1:27" x14ac:dyDescent="0.25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1:27" x14ac:dyDescent="0.25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1:27" x14ac:dyDescent="0.25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1:27" x14ac:dyDescent="0.25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1:27" x14ac:dyDescent="0.25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1:27" x14ac:dyDescent="0.25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1:27" x14ac:dyDescent="0.25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1:27" x14ac:dyDescent="0.25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1:27" x14ac:dyDescent="0.25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1:27" x14ac:dyDescent="0.25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1:27" x14ac:dyDescent="0.25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1:27" x14ac:dyDescent="0.25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1:27" x14ac:dyDescent="0.25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1:27" x14ac:dyDescent="0.25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1:27" x14ac:dyDescent="0.25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1:27" x14ac:dyDescent="0.25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1:27" x14ac:dyDescent="0.25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1:27" x14ac:dyDescent="0.25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1:27" x14ac:dyDescent="0.25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1:27" x14ac:dyDescent="0.25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1:27" x14ac:dyDescent="0.25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1:27" x14ac:dyDescent="0.25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1:27" x14ac:dyDescent="0.25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1:27" x14ac:dyDescent="0.25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1:27" x14ac:dyDescent="0.25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1:27" x14ac:dyDescent="0.25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1:27" x14ac:dyDescent="0.25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1:27" x14ac:dyDescent="0.25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1:27" x14ac:dyDescent="0.25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1:27" x14ac:dyDescent="0.25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1:27" x14ac:dyDescent="0.25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1:27" x14ac:dyDescent="0.25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1:27" x14ac:dyDescent="0.25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1:27" x14ac:dyDescent="0.25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1:27" x14ac:dyDescent="0.25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1:27" x14ac:dyDescent="0.25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1:27" x14ac:dyDescent="0.25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1:27" x14ac:dyDescent="0.25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1:27" x14ac:dyDescent="0.25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1:27" x14ac:dyDescent="0.25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1:27" x14ac:dyDescent="0.25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1:27" x14ac:dyDescent="0.25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1:27" x14ac:dyDescent="0.25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1:27" x14ac:dyDescent="0.25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1:27" x14ac:dyDescent="0.25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1:27" x14ac:dyDescent="0.25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1:27" x14ac:dyDescent="0.25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1:27" x14ac:dyDescent="0.25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1:27" x14ac:dyDescent="0.25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1:27" x14ac:dyDescent="0.25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1:27" x14ac:dyDescent="0.25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1:27" x14ac:dyDescent="0.25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1:27" x14ac:dyDescent="0.25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1:27" x14ac:dyDescent="0.25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1:27" x14ac:dyDescent="0.25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1:27" x14ac:dyDescent="0.25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1:27" x14ac:dyDescent="0.25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1:27" x14ac:dyDescent="0.25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1:27" x14ac:dyDescent="0.25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1:27" x14ac:dyDescent="0.25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1:27" x14ac:dyDescent="0.25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1:27" x14ac:dyDescent="0.25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1:27" x14ac:dyDescent="0.25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1:27" x14ac:dyDescent="0.25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1:27" x14ac:dyDescent="0.25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1:27" x14ac:dyDescent="0.25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1:27" x14ac:dyDescent="0.25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1:27" x14ac:dyDescent="0.25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1:27" x14ac:dyDescent="0.25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1:27" x14ac:dyDescent="0.25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1:27" x14ac:dyDescent="0.25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1:27" x14ac:dyDescent="0.25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1:27" x14ac:dyDescent="0.25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1:27" x14ac:dyDescent="0.25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1:27" x14ac:dyDescent="0.25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1:27" x14ac:dyDescent="0.25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1:27" x14ac:dyDescent="0.25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1:27" x14ac:dyDescent="0.25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1:27" x14ac:dyDescent="0.25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1:27" x14ac:dyDescent="0.25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1:27" x14ac:dyDescent="0.25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1:27" x14ac:dyDescent="0.25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1:27" x14ac:dyDescent="0.25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1:27" x14ac:dyDescent="0.25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1:27" x14ac:dyDescent="0.25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1:27" x14ac:dyDescent="0.25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1:27" x14ac:dyDescent="0.25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1:27" x14ac:dyDescent="0.25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1:27" x14ac:dyDescent="0.25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1:27" x14ac:dyDescent="0.25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1:27" x14ac:dyDescent="0.25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1:27" x14ac:dyDescent="0.25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1:27" x14ac:dyDescent="0.25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1:27" x14ac:dyDescent="0.25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1:27" x14ac:dyDescent="0.25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1:27" x14ac:dyDescent="0.25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1:27" x14ac:dyDescent="0.25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1:27" x14ac:dyDescent="0.25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1:27" x14ac:dyDescent="0.25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1:27" x14ac:dyDescent="0.25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1:27" x14ac:dyDescent="0.25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1:27" x14ac:dyDescent="0.25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1:27" x14ac:dyDescent="0.25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1:27" x14ac:dyDescent="0.25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1:27" x14ac:dyDescent="0.25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1:27" x14ac:dyDescent="0.25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1:27" x14ac:dyDescent="0.25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1:27" x14ac:dyDescent="0.25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1:27" x14ac:dyDescent="0.25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1:27" x14ac:dyDescent="0.25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1:27" x14ac:dyDescent="0.25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1:27" x14ac:dyDescent="0.25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1:27" x14ac:dyDescent="0.25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1:27" x14ac:dyDescent="0.25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1:27" x14ac:dyDescent="0.25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1:27" x14ac:dyDescent="0.25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1:27" x14ac:dyDescent="0.25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1:27" x14ac:dyDescent="0.25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1:27" x14ac:dyDescent="0.25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1:27" x14ac:dyDescent="0.25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1:27" x14ac:dyDescent="0.25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1:27" x14ac:dyDescent="0.25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1:27" x14ac:dyDescent="0.25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1:27" x14ac:dyDescent="0.25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1:27" x14ac:dyDescent="0.25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1:27" x14ac:dyDescent="0.25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1:27" x14ac:dyDescent="0.25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1:27" x14ac:dyDescent="0.25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1:27" x14ac:dyDescent="0.25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1:27" x14ac:dyDescent="0.25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1:27" x14ac:dyDescent="0.25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1:27" x14ac:dyDescent="0.25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1:27" x14ac:dyDescent="0.25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1:27" x14ac:dyDescent="0.25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1:27" x14ac:dyDescent="0.25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1:27" x14ac:dyDescent="0.25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1:27" x14ac:dyDescent="0.25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1:27" x14ac:dyDescent="0.25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1:27" x14ac:dyDescent="0.25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1:27" x14ac:dyDescent="0.25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1:27" x14ac:dyDescent="0.25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1:27" x14ac:dyDescent="0.25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1:27" x14ac:dyDescent="0.25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1:27" x14ac:dyDescent="0.25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1:27" x14ac:dyDescent="0.25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1:27" x14ac:dyDescent="0.25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1:27" x14ac:dyDescent="0.25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1:27" x14ac:dyDescent="0.25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1:27" x14ac:dyDescent="0.25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1:27" x14ac:dyDescent="0.25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1:27" x14ac:dyDescent="0.25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1:27" x14ac:dyDescent="0.25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1:27" x14ac:dyDescent="0.25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1:27" x14ac:dyDescent="0.25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1:27" x14ac:dyDescent="0.25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1:27" x14ac:dyDescent="0.25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1:27" x14ac:dyDescent="0.25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1:27" x14ac:dyDescent="0.25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1:27" x14ac:dyDescent="0.25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1:27" x14ac:dyDescent="0.25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1:27" x14ac:dyDescent="0.25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1:27" x14ac:dyDescent="0.25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1:27" x14ac:dyDescent="0.25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1:27" x14ac:dyDescent="0.25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1:27" x14ac:dyDescent="0.25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1:27" x14ac:dyDescent="0.25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1:27" x14ac:dyDescent="0.25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1:27" x14ac:dyDescent="0.25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1:27" x14ac:dyDescent="0.25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1:27" x14ac:dyDescent="0.25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1:27" x14ac:dyDescent="0.25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1:27" x14ac:dyDescent="0.25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1:27" x14ac:dyDescent="0.25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1:27" x14ac:dyDescent="0.25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1:27" x14ac:dyDescent="0.25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1:27" x14ac:dyDescent="0.25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1:27" x14ac:dyDescent="0.25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1:27" x14ac:dyDescent="0.25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1:27" x14ac:dyDescent="0.25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1:27" x14ac:dyDescent="0.25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1:27" x14ac:dyDescent="0.25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1:27" x14ac:dyDescent="0.25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1:27" x14ac:dyDescent="0.25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1:27" x14ac:dyDescent="0.25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1:27" x14ac:dyDescent="0.25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1:27" x14ac:dyDescent="0.25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1:27" x14ac:dyDescent="0.25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1:27" x14ac:dyDescent="0.25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1:27" x14ac:dyDescent="0.25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1:27" x14ac:dyDescent="0.25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1:27" x14ac:dyDescent="0.25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1:27" x14ac:dyDescent="0.25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1:27" x14ac:dyDescent="0.25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1:27" x14ac:dyDescent="0.25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1:27" x14ac:dyDescent="0.25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1:27" x14ac:dyDescent="0.25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1:27" x14ac:dyDescent="0.25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1:27" x14ac:dyDescent="0.25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1:27" x14ac:dyDescent="0.25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1:27" x14ac:dyDescent="0.25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1:27" x14ac:dyDescent="0.25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1:27" x14ac:dyDescent="0.25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1:27" x14ac:dyDescent="0.25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1:27" x14ac:dyDescent="0.25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1:27" x14ac:dyDescent="0.25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1:27" x14ac:dyDescent="0.25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1:27" x14ac:dyDescent="0.25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1:27" x14ac:dyDescent="0.25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1:27" x14ac:dyDescent="0.25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1:27" x14ac:dyDescent="0.25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1:27" x14ac:dyDescent="0.25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1:27" x14ac:dyDescent="0.25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1:27" x14ac:dyDescent="0.25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1:27" x14ac:dyDescent="0.25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1:27" x14ac:dyDescent="0.25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1:27" x14ac:dyDescent="0.25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1:27" x14ac:dyDescent="0.25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1:27" x14ac:dyDescent="0.25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1:27" x14ac:dyDescent="0.25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1:27" x14ac:dyDescent="0.25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1:27" x14ac:dyDescent="0.25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1:27" x14ac:dyDescent="0.25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1:27" x14ac:dyDescent="0.25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1:27" x14ac:dyDescent="0.25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1:27" x14ac:dyDescent="0.25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1:27" x14ac:dyDescent="0.25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1:27" x14ac:dyDescent="0.25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1:27" x14ac:dyDescent="0.25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1:27" x14ac:dyDescent="0.25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1:27" x14ac:dyDescent="0.25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1:27" x14ac:dyDescent="0.25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1:27" x14ac:dyDescent="0.25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1:27" x14ac:dyDescent="0.25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1:27" x14ac:dyDescent="0.25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1:27" x14ac:dyDescent="0.25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1:27" x14ac:dyDescent="0.25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1:27" x14ac:dyDescent="0.25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1:27" x14ac:dyDescent="0.25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1:27" x14ac:dyDescent="0.25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1:27" x14ac:dyDescent="0.25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1:27" x14ac:dyDescent="0.25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1:27" x14ac:dyDescent="0.25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1:27" x14ac:dyDescent="0.25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1:27" x14ac:dyDescent="0.25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1:27" x14ac:dyDescent="0.25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1:27" x14ac:dyDescent="0.25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1:27" x14ac:dyDescent="0.25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1:27" x14ac:dyDescent="0.25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1:27" x14ac:dyDescent="0.25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1:27" x14ac:dyDescent="0.25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1:27" x14ac:dyDescent="0.25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1:27" x14ac:dyDescent="0.25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1:27" x14ac:dyDescent="0.25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1:27" x14ac:dyDescent="0.25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1:27" x14ac:dyDescent="0.25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1:27" x14ac:dyDescent="0.25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1:27" x14ac:dyDescent="0.25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1:27" x14ac:dyDescent="0.25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1:27" x14ac:dyDescent="0.25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1:27" x14ac:dyDescent="0.25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1:27" x14ac:dyDescent="0.25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1:27" x14ac:dyDescent="0.25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1:27" x14ac:dyDescent="0.25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1:27" x14ac:dyDescent="0.25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1:27" x14ac:dyDescent="0.25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1:27" x14ac:dyDescent="0.25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1:27" x14ac:dyDescent="0.25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1:27" x14ac:dyDescent="0.25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1:27" x14ac:dyDescent="0.25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1:27" x14ac:dyDescent="0.25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1:27" x14ac:dyDescent="0.25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1:27" x14ac:dyDescent="0.25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1:27" x14ac:dyDescent="0.25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1:27" x14ac:dyDescent="0.25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1:27" x14ac:dyDescent="0.25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1:27" x14ac:dyDescent="0.25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1:27" x14ac:dyDescent="0.25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1:27" x14ac:dyDescent="0.25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1:27" x14ac:dyDescent="0.25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1:27" x14ac:dyDescent="0.25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1:27" x14ac:dyDescent="0.25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1:27" x14ac:dyDescent="0.25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1:27" x14ac:dyDescent="0.25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1:27" x14ac:dyDescent="0.25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1:27" x14ac:dyDescent="0.25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1:27" x14ac:dyDescent="0.25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1:27" x14ac:dyDescent="0.25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1:27" x14ac:dyDescent="0.25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1:27" x14ac:dyDescent="0.25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1:27" x14ac:dyDescent="0.25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1:27" x14ac:dyDescent="0.25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1:27" x14ac:dyDescent="0.25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1:27" x14ac:dyDescent="0.25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1:27" x14ac:dyDescent="0.25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1:27" x14ac:dyDescent="0.25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1:27" x14ac:dyDescent="0.25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1:27" x14ac:dyDescent="0.25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1:27" x14ac:dyDescent="0.25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1:27" x14ac:dyDescent="0.25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1:27" x14ac:dyDescent="0.25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1:27" x14ac:dyDescent="0.25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1:27" x14ac:dyDescent="0.25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1:27" x14ac:dyDescent="0.25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1:27" x14ac:dyDescent="0.25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1:27" x14ac:dyDescent="0.25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1:27" x14ac:dyDescent="0.25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1:27" x14ac:dyDescent="0.25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1:27" x14ac:dyDescent="0.25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1:27" x14ac:dyDescent="0.25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1:27" x14ac:dyDescent="0.25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1:27" x14ac:dyDescent="0.25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1:27" x14ac:dyDescent="0.25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1:27" x14ac:dyDescent="0.25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1:27" x14ac:dyDescent="0.25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1:27" x14ac:dyDescent="0.25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1:27" x14ac:dyDescent="0.25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1:27" x14ac:dyDescent="0.25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1:27" x14ac:dyDescent="0.25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1:27" x14ac:dyDescent="0.25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1:27" x14ac:dyDescent="0.25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1:27" x14ac:dyDescent="0.25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1:27" x14ac:dyDescent="0.25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1:27" x14ac:dyDescent="0.25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1:27" x14ac:dyDescent="0.25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1:27" x14ac:dyDescent="0.25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1:27" x14ac:dyDescent="0.25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1:27" x14ac:dyDescent="0.25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1:27" x14ac:dyDescent="0.25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1:27" x14ac:dyDescent="0.25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1:27" x14ac:dyDescent="0.25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1:27" x14ac:dyDescent="0.25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1:27" x14ac:dyDescent="0.25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1:27" x14ac:dyDescent="0.25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1:27" x14ac:dyDescent="0.25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1:27" x14ac:dyDescent="0.25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1:27" x14ac:dyDescent="0.25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1:27" x14ac:dyDescent="0.25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1:27" x14ac:dyDescent="0.25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1:27" x14ac:dyDescent="0.25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1:27" x14ac:dyDescent="0.25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1:27" x14ac:dyDescent="0.25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1:27" x14ac:dyDescent="0.25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1:27" x14ac:dyDescent="0.25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1:27" x14ac:dyDescent="0.25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1:27" x14ac:dyDescent="0.25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1:27" x14ac:dyDescent="0.25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1:27" x14ac:dyDescent="0.25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1:27" x14ac:dyDescent="0.25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1:27" x14ac:dyDescent="0.25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1:27" x14ac:dyDescent="0.25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1:27" x14ac:dyDescent="0.25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1:27" x14ac:dyDescent="0.25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1:27" x14ac:dyDescent="0.25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1:27" x14ac:dyDescent="0.25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1:27" x14ac:dyDescent="0.25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1:27" x14ac:dyDescent="0.25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1:27" x14ac:dyDescent="0.25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1:27" x14ac:dyDescent="0.25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1:27" x14ac:dyDescent="0.25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1:27" x14ac:dyDescent="0.25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1:27" x14ac:dyDescent="0.25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1:27" x14ac:dyDescent="0.25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1:27" x14ac:dyDescent="0.25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1:27" x14ac:dyDescent="0.25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1:27" x14ac:dyDescent="0.25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1:27" x14ac:dyDescent="0.25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1:27" x14ac:dyDescent="0.25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1:27" x14ac:dyDescent="0.25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1:27" x14ac:dyDescent="0.25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1:27" x14ac:dyDescent="0.25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1:27" x14ac:dyDescent="0.25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1:27" x14ac:dyDescent="0.25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1:27" x14ac:dyDescent="0.25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1:27" x14ac:dyDescent="0.25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1:27" x14ac:dyDescent="0.25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1:27" x14ac:dyDescent="0.25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1:27" x14ac:dyDescent="0.25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1:27" x14ac:dyDescent="0.25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1:27" x14ac:dyDescent="0.25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1:27" x14ac:dyDescent="0.25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1:27" x14ac:dyDescent="0.25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1:27" x14ac:dyDescent="0.25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1:27" x14ac:dyDescent="0.25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1:27" x14ac:dyDescent="0.25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1:27" x14ac:dyDescent="0.25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1:27" x14ac:dyDescent="0.25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1:27" x14ac:dyDescent="0.25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1:27" x14ac:dyDescent="0.25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1:27" x14ac:dyDescent="0.25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1:27" x14ac:dyDescent="0.25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1:27" x14ac:dyDescent="0.25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1:27" x14ac:dyDescent="0.25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1:27" x14ac:dyDescent="0.25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1:27" x14ac:dyDescent="0.25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1:27" x14ac:dyDescent="0.25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1:27" x14ac:dyDescent="0.25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1:27" x14ac:dyDescent="0.25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1:27" x14ac:dyDescent="0.25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1:27" x14ac:dyDescent="0.25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1:27" x14ac:dyDescent="0.25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1:27" x14ac:dyDescent="0.25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1:27" x14ac:dyDescent="0.25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1:27" x14ac:dyDescent="0.25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1:27" x14ac:dyDescent="0.25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1:27" x14ac:dyDescent="0.25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1:27" x14ac:dyDescent="0.25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1:27" x14ac:dyDescent="0.25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1:27" x14ac:dyDescent="0.25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1:27" x14ac:dyDescent="0.25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1:27" x14ac:dyDescent="0.25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1:27" x14ac:dyDescent="0.25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1:27" x14ac:dyDescent="0.25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1:27" x14ac:dyDescent="0.25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1:27" x14ac:dyDescent="0.25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1:27" x14ac:dyDescent="0.25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1:27" x14ac:dyDescent="0.25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1:27" x14ac:dyDescent="0.25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1:27" x14ac:dyDescent="0.25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1:27" x14ac:dyDescent="0.25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1:27" x14ac:dyDescent="0.25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1:27" x14ac:dyDescent="0.25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1:27" x14ac:dyDescent="0.25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1:27" x14ac:dyDescent="0.25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1:27" x14ac:dyDescent="0.25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1:27" x14ac:dyDescent="0.25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1:27" x14ac:dyDescent="0.25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1:27" x14ac:dyDescent="0.25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1:27" x14ac:dyDescent="0.25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1:27" x14ac:dyDescent="0.25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1:27" x14ac:dyDescent="0.25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1:27" x14ac:dyDescent="0.25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1:27" x14ac:dyDescent="0.25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1:27" x14ac:dyDescent="0.25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1:27" x14ac:dyDescent="0.25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1:27" x14ac:dyDescent="0.25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1:27" x14ac:dyDescent="0.25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1:27" x14ac:dyDescent="0.25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1:27" x14ac:dyDescent="0.25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1:27" x14ac:dyDescent="0.25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1:27" x14ac:dyDescent="0.25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1:27" x14ac:dyDescent="0.25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1:27" x14ac:dyDescent="0.25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1:27" x14ac:dyDescent="0.25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1:27" x14ac:dyDescent="0.25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1:27" x14ac:dyDescent="0.25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1:27" x14ac:dyDescent="0.25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1:27" x14ac:dyDescent="0.25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1:27" x14ac:dyDescent="0.25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1:27" x14ac:dyDescent="0.25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1:27" x14ac:dyDescent="0.25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1:27" x14ac:dyDescent="0.25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1:27" x14ac:dyDescent="0.25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1:27" x14ac:dyDescent="0.25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1:27" x14ac:dyDescent="0.25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1:27" x14ac:dyDescent="0.25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1:27" x14ac:dyDescent="0.25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1:27" x14ac:dyDescent="0.25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1:27" x14ac:dyDescent="0.25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1:27" x14ac:dyDescent="0.25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1:27" x14ac:dyDescent="0.25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1:27" x14ac:dyDescent="0.25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1:27" x14ac:dyDescent="0.25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1:27" x14ac:dyDescent="0.25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1:27" x14ac:dyDescent="0.25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1:27" x14ac:dyDescent="0.25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1:27" x14ac:dyDescent="0.25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1:27" x14ac:dyDescent="0.25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1:27" x14ac:dyDescent="0.25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1:27" x14ac:dyDescent="0.25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1:27" x14ac:dyDescent="0.25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1:27" x14ac:dyDescent="0.25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1:27" x14ac:dyDescent="0.25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1:27" x14ac:dyDescent="0.25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1:27" x14ac:dyDescent="0.25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1:27" x14ac:dyDescent="0.25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1:27" x14ac:dyDescent="0.25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1:27" x14ac:dyDescent="0.25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1:27" x14ac:dyDescent="0.25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1:27" x14ac:dyDescent="0.25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1:27" x14ac:dyDescent="0.25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1:27" x14ac:dyDescent="0.25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1:27" x14ac:dyDescent="0.25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1:27" x14ac:dyDescent="0.25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1:27" x14ac:dyDescent="0.25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1:27" x14ac:dyDescent="0.25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1:27" x14ac:dyDescent="0.25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1:27" x14ac:dyDescent="0.25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1:27" x14ac:dyDescent="0.25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1:27" x14ac:dyDescent="0.25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1:27" x14ac:dyDescent="0.25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1:27" x14ac:dyDescent="0.25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1:27" x14ac:dyDescent="0.25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1:27" x14ac:dyDescent="0.25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1:27" x14ac:dyDescent="0.25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1:27" x14ac:dyDescent="0.25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1:27" x14ac:dyDescent="0.25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1:27" x14ac:dyDescent="0.25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1:27" x14ac:dyDescent="0.25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1:27" x14ac:dyDescent="0.25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1:27" x14ac:dyDescent="0.25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1:27" x14ac:dyDescent="0.25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1:27" x14ac:dyDescent="0.25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1:27" x14ac:dyDescent="0.25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1:27" x14ac:dyDescent="0.25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1:27" x14ac:dyDescent="0.25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1:27" x14ac:dyDescent="0.25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1:27" x14ac:dyDescent="0.25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1:27" x14ac:dyDescent="0.25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1:27" x14ac:dyDescent="0.25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1:27" x14ac:dyDescent="0.25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1:27" x14ac:dyDescent="0.25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1:27" x14ac:dyDescent="0.25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1:27" x14ac:dyDescent="0.25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1:27" x14ac:dyDescent="0.25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1:27" x14ac:dyDescent="0.25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1:27" x14ac:dyDescent="0.25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1:27" x14ac:dyDescent="0.25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1:27" x14ac:dyDescent="0.25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1:27" x14ac:dyDescent="0.25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1:27" x14ac:dyDescent="0.25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1:27" x14ac:dyDescent="0.25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1:27" x14ac:dyDescent="0.25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1:27" x14ac:dyDescent="0.25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1:27" x14ac:dyDescent="0.25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1:27" x14ac:dyDescent="0.25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1:27" x14ac:dyDescent="0.25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1:27" x14ac:dyDescent="0.25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1:27" x14ac:dyDescent="0.25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1:27" x14ac:dyDescent="0.25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1:27" x14ac:dyDescent="0.25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1:27" x14ac:dyDescent="0.25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1:27" x14ac:dyDescent="0.25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1:27" x14ac:dyDescent="0.25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1:27" x14ac:dyDescent="0.25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1:27" x14ac:dyDescent="0.25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1:27" x14ac:dyDescent="0.25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1:27" x14ac:dyDescent="0.25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1:27" x14ac:dyDescent="0.25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1:27" x14ac:dyDescent="0.25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1:27" x14ac:dyDescent="0.25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1:27" x14ac:dyDescent="0.25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1:27" x14ac:dyDescent="0.25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1:27" x14ac:dyDescent="0.25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1:27" x14ac:dyDescent="0.25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1:27" x14ac:dyDescent="0.25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1:27" x14ac:dyDescent="0.25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1:27" x14ac:dyDescent="0.25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1:27" x14ac:dyDescent="0.25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1:27" x14ac:dyDescent="0.25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1:27" x14ac:dyDescent="0.25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1:27" x14ac:dyDescent="0.25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1:27" x14ac:dyDescent="0.25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1:27" x14ac:dyDescent="0.25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1:27" x14ac:dyDescent="0.25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1:27" x14ac:dyDescent="0.25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1:27" x14ac:dyDescent="0.25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1:27" x14ac:dyDescent="0.25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1:27" x14ac:dyDescent="0.25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1:27" x14ac:dyDescent="0.25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1:27" x14ac:dyDescent="0.25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1:27" x14ac:dyDescent="0.25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1:27" x14ac:dyDescent="0.25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1:27" x14ac:dyDescent="0.25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1:27" x14ac:dyDescent="0.25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1:27" x14ac:dyDescent="0.25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1:27" x14ac:dyDescent="0.25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1:27" x14ac:dyDescent="0.25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1:27" x14ac:dyDescent="0.25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1:27" x14ac:dyDescent="0.25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1:27" x14ac:dyDescent="0.25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1:27" x14ac:dyDescent="0.25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1:27" x14ac:dyDescent="0.25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1:27" x14ac:dyDescent="0.25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1:27" x14ac:dyDescent="0.25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1:27" x14ac:dyDescent="0.25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1:27" x14ac:dyDescent="0.25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1:27" x14ac:dyDescent="0.25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1:27" x14ac:dyDescent="0.25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1:27" x14ac:dyDescent="0.25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1:27" x14ac:dyDescent="0.25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1:27" x14ac:dyDescent="0.25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1:27" x14ac:dyDescent="0.25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1:27" x14ac:dyDescent="0.25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1:27" x14ac:dyDescent="0.25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1:27" x14ac:dyDescent="0.25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1:27" x14ac:dyDescent="0.25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1:27" x14ac:dyDescent="0.25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1:27" x14ac:dyDescent="0.25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1:27" x14ac:dyDescent="0.25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1:27" x14ac:dyDescent="0.25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1:27" x14ac:dyDescent="0.25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1:27" x14ac:dyDescent="0.25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1:27" x14ac:dyDescent="0.25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1:27" x14ac:dyDescent="0.25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1:27" x14ac:dyDescent="0.25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1:27" x14ac:dyDescent="0.25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1:27" x14ac:dyDescent="0.25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1:27" x14ac:dyDescent="0.25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1:27" x14ac:dyDescent="0.25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1:27" x14ac:dyDescent="0.25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1:27" x14ac:dyDescent="0.25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1:27" x14ac:dyDescent="0.25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1:27" x14ac:dyDescent="0.25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1:27" x14ac:dyDescent="0.25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1:27" x14ac:dyDescent="0.25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1:27" x14ac:dyDescent="0.25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1:27" x14ac:dyDescent="0.25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1:27" x14ac:dyDescent="0.25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1:27" x14ac:dyDescent="0.25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1:27" x14ac:dyDescent="0.25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1:27" x14ac:dyDescent="0.25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1:27" x14ac:dyDescent="0.25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1:27" x14ac:dyDescent="0.25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1:27" x14ac:dyDescent="0.25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1:27" x14ac:dyDescent="0.25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1:27" x14ac:dyDescent="0.25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1:27" x14ac:dyDescent="0.25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1:27" x14ac:dyDescent="0.25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1:27" x14ac:dyDescent="0.25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1:27" x14ac:dyDescent="0.25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1:27" x14ac:dyDescent="0.25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1:27" x14ac:dyDescent="0.25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1:27" x14ac:dyDescent="0.25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1:27" x14ac:dyDescent="0.25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1:27" x14ac:dyDescent="0.25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1:27" x14ac:dyDescent="0.25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1:27" x14ac:dyDescent="0.25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1:27" x14ac:dyDescent="0.25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1:27" x14ac:dyDescent="0.25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1:27" x14ac:dyDescent="0.25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1:27" x14ac:dyDescent="0.25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1:27" x14ac:dyDescent="0.25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1:27" x14ac:dyDescent="0.25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1:27" x14ac:dyDescent="0.25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1:27" x14ac:dyDescent="0.25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1:27" x14ac:dyDescent="0.25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1:27" x14ac:dyDescent="0.25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1:27" x14ac:dyDescent="0.25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1:27" x14ac:dyDescent="0.25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1:27" x14ac:dyDescent="0.25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1:27" x14ac:dyDescent="0.25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1:27" x14ac:dyDescent="0.25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1:27" x14ac:dyDescent="0.25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1:27" x14ac:dyDescent="0.25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1:27" x14ac:dyDescent="0.25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1:27" x14ac:dyDescent="0.25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1:27" x14ac:dyDescent="0.25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1:27" x14ac:dyDescent="0.25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1:27" x14ac:dyDescent="0.25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1:27" x14ac:dyDescent="0.25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1:27" x14ac:dyDescent="0.25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1:27" x14ac:dyDescent="0.25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1:27" x14ac:dyDescent="0.25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1:27" x14ac:dyDescent="0.25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1:27" x14ac:dyDescent="0.25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1:27" x14ac:dyDescent="0.25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1:27" x14ac:dyDescent="0.25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1:27" x14ac:dyDescent="0.25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1:27" x14ac:dyDescent="0.25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1:27" x14ac:dyDescent="0.25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1:27" x14ac:dyDescent="0.25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1:27" x14ac:dyDescent="0.25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1:27" x14ac:dyDescent="0.25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1:27" x14ac:dyDescent="0.25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1:27" x14ac:dyDescent="0.25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1:27" x14ac:dyDescent="0.25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1:27" x14ac:dyDescent="0.25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1:27" x14ac:dyDescent="0.25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1:27" x14ac:dyDescent="0.25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1:27" x14ac:dyDescent="0.25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1:27" x14ac:dyDescent="0.25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1:27" x14ac:dyDescent="0.25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1:27" x14ac:dyDescent="0.25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1:27" x14ac:dyDescent="0.25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1:27" x14ac:dyDescent="0.25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1:27" x14ac:dyDescent="0.25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1:27" x14ac:dyDescent="0.25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1:27" x14ac:dyDescent="0.25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1:27" x14ac:dyDescent="0.25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1:27" x14ac:dyDescent="0.25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1:27" x14ac:dyDescent="0.25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1:27" x14ac:dyDescent="0.25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1:27" x14ac:dyDescent="0.25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1:27" x14ac:dyDescent="0.25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1:27" x14ac:dyDescent="0.25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1:27" x14ac:dyDescent="0.25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1:27" x14ac:dyDescent="0.25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1:27" x14ac:dyDescent="0.25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1:27" x14ac:dyDescent="0.25">
      <c r="A3618" s="1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1:27" x14ac:dyDescent="0.25">
      <c r="A3619" s="1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1:27" x14ac:dyDescent="0.25">
      <c r="A3620" s="1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1:27" x14ac:dyDescent="0.25">
      <c r="A3621" s="1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1:27" x14ac:dyDescent="0.25">
      <c r="A3622" s="1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1:27" x14ac:dyDescent="0.25">
      <c r="A3623" s="1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1:27" x14ac:dyDescent="0.25">
      <c r="A3624" s="1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1:27" x14ac:dyDescent="0.25">
      <c r="A3625" s="1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1:27" x14ac:dyDescent="0.25">
      <c r="A3626" s="1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1:27" x14ac:dyDescent="0.25">
      <c r="A3627" s="1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1:27" x14ac:dyDescent="0.25">
      <c r="A3628" s="1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1:27" x14ac:dyDescent="0.25">
      <c r="A3629" s="1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1:27" x14ac:dyDescent="0.25">
      <c r="A3630" s="1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1:27" x14ac:dyDescent="0.25">
      <c r="A3631" s="1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1:27" x14ac:dyDescent="0.25">
      <c r="A3632" s="1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1:27" x14ac:dyDescent="0.25">
      <c r="A3633" s="1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1:27" x14ac:dyDescent="0.25">
      <c r="A3634" s="1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1:27" x14ac:dyDescent="0.25">
      <c r="A3635" s="1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1:27" x14ac:dyDescent="0.25">
      <c r="A3636" s="1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1:27" x14ac:dyDescent="0.25">
      <c r="A3637" s="1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1:27" x14ac:dyDescent="0.25">
      <c r="A3638" s="1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1:27" x14ac:dyDescent="0.25">
      <c r="A3639" s="1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1:27" x14ac:dyDescent="0.25">
      <c r="A3640" s="1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1:27" x14ac:dyDescent="0.25">
      <c r="A3641" s="1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1:27" x14ac:dyDescent="0.25">
      <c r="A3642" s="1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1:27" x14ac:dyDescent="0.25">
      <c r="A3643" s="1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1:27" x14ac:dyDescent="0.25">
      <c r="A3644" s="1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1:27" x14ac:dyDescent="0.25">
      <c r="A3645" s="1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1:27" x14ac:dyDescent="0.25">
      <c r="A3646" s="1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1:27" x14ac:dyDescent="0.25">
      <c r="A3647" s="1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1:27" x14ac:dyDescent="0.25">
      <c r="A3648" s="1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1:27" x14ac:dyDescent="0.25">
      <c r="A3649" s="1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1:27" x14ac:dyDescent="0.25">
      <c r="A3650" s="1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1:27" x14ac:dyDescent="0.25">
      <c r="A3651" s="1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1:27" x14ac:dyDescent="0.25">
      <c r="A3652" s="1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1:27" x14ac:dyDescent="0.25">
      <c r="A3653" s="1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1:27" x14ac:dyDescent="0.25">
      <c r="A3654" s="1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1:27" x14ac:dyDescent="0.25">
      <c r="A3655" s="1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1:27" x14ac:dyDescent="0.25">
      <c r="A3656" s="1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1:27" x14ac:dyDescent="0.25">
      <c r="A3657" s="1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1:27" x14ac:dyDescent="0.25">
      <c r="A3658" s="1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1:27" x14ac:dyDescent="0.25">
      <c r="A3659" s="1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1:27" x14ac:dyDescent="0.25">
      <c r="A3660" s="1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1:27" x14ac:dyDescent="0.25">
      <c r="A3661" s="1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1:27" x14ac:dyDescent="0.25">
      <c r="A3662" s="1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1:27" x14ac:dyDescent="0.25">
      <c r="A3663" s="1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1:27" x14ac:dyDescent="0.25">
      <c r="A3664" s="1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1:27" x14ac:dyDescent="0.25">
      <c r="A3665" s="1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1:27" x14ac:dyDescent="0.25">
      <c r="A3666" s="1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1:27" x14ac:dyDescent="0.25">
      <c r="A3667" s="1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1:27" x14ac:dyDescent="0.25">
      <c r="A3668" s="1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1:27" x14ac:dyDescent="0.25">
      <c r="A3669" s="1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1:27" x14ac:dyDescent="0.25">
      <c r="A3670" s="1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1:27" x14ac:dyDescent="0.25">
      <c r="A3671" s="1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1:27" x14ac:dyDescent="0.25">
      <c r="A3672" s="1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1:27" x14ac:dyDescent="0.25">
      <c r="A3673" s="1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1:27" x14ac:dyDescent="0.25">
      <c r="A3674" s="1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1:27" x14ac:dyDescent="0.25">
      <c r="A3675" s="1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1:27" x14ac:dyDescent="0.25">
      <c r="A3676" s="1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1:27" x14ac:dyDescent="0.25">
      <c r="A3677" s="1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1:27" x14ac:dyDescent="0.25">
      <c r="A3678" s="1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1:27" x14ac:dyDescent="0.25">
      <c r="A3679" s="1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1:27" x14ac:dyDescent="0.25">
      <c r="A3680" s="1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1:27" x14ac:dyDescent="0.25">
      <c r="A3681" s="1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1:27" x14ac:dyDescent="0.25">
      <c r="A3682" s="1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1:27" x14ac:dyDescent="0.25">
      <c r="A3683" s="1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1:27" x14ac:dyDescent="0.25">
      <c r="A3684" s="1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1:27" x14ac:dyDescent="0.25">
      <c r="A3685" s="1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1:27" x14ac:dyDescent="0.25">
      <c r="A3686" s="1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1:27" x14ac:dyDescent="0.25">
      <c r="A3687" s="1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1:27" x14ac:dyDescent="0.25">
      <c r="A3688" s="1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1:27" x14ac:dyDescent="0.25">
      <c r="A3689" s="1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1:27" x14ac:dyDescent="0.25">
      <c r="A3690" s="1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1:27" x14ac:dyDescent="0.25">
      <c r="A3691" s="1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1:27" x14ac:dyDescent="0.25">
      <c r="A3692" s="1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1:27" x14ac:dyDescent="0.25">
      <c r="A3693" s="1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1:27" x14ac:dyDescent="0.25">
      <c r="A3694" s="1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1:27" x14ac:dyDescent="0.25">
      <c r="A3695" s="1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1:27" x14ac:dyDescent="0.25">
      <c r="A3696" s="1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1:27" x14ac:dyDescent="0.25">
      <c r="A3697" s="1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1:27" x14ac:dyDescent="0.25">
      <c r="A3698" s="1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1:27" x14ac:dyDescent="0.25">
      <c r="A3699" s="1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1:27" x14ac:dyDescent="0.25">
      <c r="A3700" s="1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1:27" x14ac:dyDescent="0.25">
      <c r="A3701" s="1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1:27" x14ac:dyDescent="0.25">
      <c r="A3702" s="1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1:27" x14ac:dyDescent="0.25">
      <c r="A3703" s="1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1:27" x14ac:dyDescent="0.25">
      <c r="A3704" s="1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1:27" x14ac:dyDescent="0.25">
      <c r="A3705" s="1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1:27" x14ac:dyDescent="0.25">
      <c r="A3706" s="1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1:27" x14ac:dyDescent="0.25">
      <c r="A3707" s="1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1:27" x14ac:dyDescent="0.25">
      <c r="A3708" s="1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1:27" x14ac:dyDescent="0.25">
      <c r="A3709" s="1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1:27" x14ac:dyDescent="0.25">
      <c r="A3710" s="1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1:27" x14ac:dyDescent="0.25">
      <c r="A3711" s="1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1:27" x14ac:dyDescent="0.25">
      <c r="A3712" s="1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1:27" x14ac:dyDescent="0.25">
      <c r="A3713" s="1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1:27" x14ac:dyDescent="0.25">
      <c r="A3714" s="1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1:27" x14ac:dyDescent="0.25">
      <c r="A3715" s="1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1:27" x14ac:dyDescent="0.25">
      <c r="A3716" s="1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1:27" x14ac:dyDescent="0.25">
      <c r="A3717" s="1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1:27" x14ac:dyDescent="0.25">
      <c r="A3718" s="1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1:27" x14ac:dyDescent="0.25">
      <c r="A3719" s="1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1:27" x14ac:dyDescent="0.25">
      <c r="A3720" s="1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1:27" x14ac:dyDescent="0.25">
      <c r="A3721" s="1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1:27" x14ac:dyDescent="0.25">
      <c r="A3722" s="1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1:27" x14ac:dyDescent="0.25">
      <c r="A3723" s="1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1:27" x14ac:dyDescent="0.25">
      <c r="A3724" s="1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1:27" x14ac:dyDescent="0.25">
      <c r="A3725" s="1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1:27" x14ac:dyDescent="0.25">
      <c r="A3726" s="1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1:27" x14ac:dyDescent="0.25">
      <c r="A3727" s="1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1:27" x14ac:dyDescent="0.25">
      <c r="A3728" s="1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1:27" x14ac:dyDescent="0.25">
      <c r="A3729" s="1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1:27" x14ac:dyDescent="0.25">
      <c r="A3730" s="1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1:27" x14ac:dyDescent="0.25">
      <c r="A3731" s="1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1:27" x14ac:dyDescent="0.25">
      <c r="A3732" s="1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1:27" x14ac:dyDescent="0.25">
      <c r="A3733" s="1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1:27" x14ac:dyDescent="0.25">
      <c r="A3734" s="1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1:27" x14ac:dyDescent="0.25">
      <c r="A3735" s="1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1:27" x14ac:dyDescent="0.25">
      <c r="A3736" s="1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1:27" x14ac:dyDescent="0.25">
      <c r="A3737" s="1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1:27" x14ac:dyDescent="0.25">
      <c r="A3738" s="1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1:27" x14ac:dyDescent="0.25">
      <c r="A3739" s="1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1:27" x14ac:dyDescent="0.25">
      <c r="A3740" s="1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1:27" x14ac:dyDescent="0.25">
      <c r="A3741" s="1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1:27" x14ac:dyDescent="0.25">
      <c r="A3742" s="1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1:27" x14ac:dyDescent="0.25">
      <c r="A3743" s="1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1:27" x14ac:dyDescent="0.25">
      <c r="A3744" s="1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1:27" x14ac:dyDescent="0.25">
      <c r="A3745" s="1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1:27" x14ac:dyDescent="0.25">
      <c r="A3746" s="1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1:27" x14ac:dyDescent="0.25">
      <c r="A3747" s="1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1:27" x14ac:dyDescent="0.25">
      <c r="A3748" s="1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1:27" x14ac:dyDescent="0.25">
      <c r="A3749" s="1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1:27" x14ac:dyDescent="0.25">
      <c r="A3750" s="1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1:27" x14ac:dyDescent="0.25">
      <c r="A3751" s="1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1:27" x14ac:dyDescent="0.25">
      <c r="A3752" s="1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1:27" x14ac:dyDescent="0.25">
      <c r="A3753" s="1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1:27" x14ac:dyDescent="0.25">
      <c r="A3754" s="1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1:27" x14ac:dyDescent="0.25">
      <c r="A3755" s="1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1:27" x14ac:dyDescent="0.25">
      <c r="A3756" s="1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1:27" x14ac:dyDescent="0.25">
      <c r="A3757" s="1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1:27" x14ac:dyDescent="0.25">
      <c r="A3758" s="1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1:27" x14ac:dyDescent="0.25">
      <c r="A3759" s="1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1:27" x14ac:dyDescent="0.25">
      <c r="A3760" s="1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1:27" x14ac:dyDescent="0.25">
      <c r="A3761" s="1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1:27" x14ac:dyDescent="0.25">
      <c r="A3762" s="1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1:27" x14ac:dyDescent="0.25">
      <c r="A3763" s="1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1:27" x14ac:dyDescent="0.25">
      <c r="A3764" s="1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1:27" x14ac:dyDescent="0.25">
      <c r="A3765" s="1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1:27" x14ac:dyDescent="0.25">
      <c r="A3766" s="1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1:27" x14ac:dyDescent="0.25">
      <c r="A3767" s="1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1:27" x14ac:dyDescent="0.25">
      <c r="A3768" s="1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1:27" x14ac:dyDescent="0.25">
      <c r="A3769" s="1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1:27" x14ac:dyDescent="0.25">
      <c r="A3770" s="1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1:27" x14ac:dyDescent="0.25">
      <c r="A3771" s="1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1:27" x14ac:dyDescent="0.25">
      <c r="A3772" s="1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1:27" x14ac:dyDescent="0.25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1:27" x14ac:dyDescent="0.25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1:27" x14ac:dyDescent="0.25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1:27" x14ac:dyDescent="0.25">
      <c r="A3776" s="1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1:27" x14ac:dyDescent="0.25">
      <c r="A3777" s="1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1:27" x14ac:dyDescent="0.25">
      <c r="A3778" s="1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1:27" x14ac:dyDescent="0.25">
      <c r="A3779" s="1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1:27" x14ac:dyDescent="0.25">
      <c r="A3780" s="1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1:27" x14ac:dyDescent="0.25">
      <c r="A3781" s="1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1:27" x14ac:dyDescent="0.25">
      <c r="A3782" s="1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1:27" x14ac:dyDescent="0.25">
      <c r="A3783" s="1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1:27" x14ac:dyDescent="0.25">
      <c r="A3784" s="1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1:27" x14ac:dyDescent="0.25">
      <c r="A3785" s="1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1:27" x14ac:dyDescent="0.25">
      <c r="A3786" s="1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1:27" x14ac:dyDescent="0.25">
      <c r="A3787" s="1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1:27" x14ac:dyDescent="0.25">
      <c r="A3788" s="1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1:27" x14ac:dyDescent="0.25">
      <c r="A3789" s="1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1:27" x14ac:dyDescent="0.25">
      <c r="A3790" s="1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1:27" x14ac:dyDescent="0.25">
      <c r="A3791" s="1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1:27" x14ac:dyDescent="0.25">
      <c r="A3792" s="1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1:27" x14ac:dyDescent="0.25">
      <c r="A3793" s="1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1:27" x14ac:dyDescent="0.25">
      <c r="A3794" s="1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1:27" x14ac:dyDescent="0.25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1:27" x14ac:dyDescent="0.25">
      <c r="A3796" s="1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1:27" x14ac:dyDescent="0.25">
      <c r="A3797" s="1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1:27" x14ac:dyDescent="0.25">
      <c r="A3798" s="1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1:27" x14ac:dyDescent="0.25">
      <c r="A3799" s="1"/>
      <c r="B3799" s="1"/>
      <c r="C3799" s="1"/>
      <c r="D3799" s="1"/>
    </row>
    <row r="3800" spans="1:27" x14ac:dyDescent="0.25">
      <c r="A3800" s="1"/>
      <c r="B3800" s="1"/>
      <c r="C3800" s="1"/>
      <c r="D3800" s="1"/>
    </row>
    <row r="3801" spans="1:27" x14ac:dyDescent="0.25">
      <c r="A3801" s="1"/>
      <c r="B3801" s="1"/>
      <c r="C3801" s="1"/>
      <c r="D3801" s="1"/>
    </row>
    <row r="3802" spans="1:27" x14ac:dyDescent="0.25">
      <c r="A3802" s="1"/>
      <c r="B3802" s="1"/>
      <c r="C3802" s="1"/>
      <c r="D3802" s="1"/>
    </row>
    <row r="3803" spans="1:27" x14ac:dyDescent="0.25">
      <c r="A3803" s="1"/>
      <c r="B3803" s="1"/>
      <c r="C3803" s="1"/>
      <c r="D3803" s="1"/>
    </row>
    <row r="3804" spans="1:27" x14ac:dyDescent="0.25">
      <c r="A3804" s="1"/>
      <c r="B3804" s="1"/>
      <c r="C3804" s="1"/>
      <c r="D3804" s="1"/>
    </row>
    <row r="3805" spans="1:27" x14ac:dyDescent="0.25">
      <c r="A3805" s="1"/>
      <c r="B3805" s="1"/>
      <c r="C3805" s="1"/>
      <c r="D3805" s="1"/>
    </row>
    <row r="3806" spans="1:27" x14ac:dyDescent="0.25">
      <c r="A3806" s="1"/>
      <c r="B3806" s="1"/>
      <c r="C3806" s="1"/>
      <c r="D3806" s="1"/>
    </row>
    <row r="3807" spans="1:27" x14ac:dyDescent="0.25">
      <c r="A3807" s="1"/>
      <c r="B3807" s="1"/>
      <c r="C3807" s="1"/>
      <c r="D3807" s="1"/>
    </row>
    <row r="3808" spans="1:27" x14ac:dyDescent="0.25">
      <c r="A3808" s="1"/>
      <c r="B3808" s="1"/>
      <c r="C3808" s="1"/>
      <c r="D3808" s="1"/>
    </row>
    <row r="3809" spans="1:4" x14ac:dyDescent="0.25">
      <c r="A3809" s="1"/>
      <c r="B3809" s="1"/>
      <c r="C3809" s="1"/>
      <c r="D3809" s="1"/>
    </row>
    <row r="3810" spans="1:4" x14ac:dyDescent="0.25">
      <c r="A3810" s="1"/>
      <c r="B3810" s="1"/>
      <c r="C3810" s="1"/>
      <c r="D3810" s="1"/>
    </row>
    <row r="3811" spans="1:4" x14ac:dyDescent="0.25">
      <c r="A3811" s="1"/>
      <c r="B3811" s="1"/>
      <c r="C3811" s="1"/>
      <c r="D3811" s="1"/>
    </row>
    <row r="3812" spans="1:4" x14ac:dyDescent="0.25">
      <c r="A3812" s="1"/>
      <c r="B3812" s="1"/>
      <c r="C3812" s="1"/>
      <c r="D3812" s="1"/>
    </row>
    <row r="3813" spans="1:4" x14ac:dyDescent="0.25">
      <c r="A3813" s="1"/>
      <c r="B3813" s="1"/>
      <c r="C3813" s="1"/>
      <c r="D3813" s="1"/>
    </row>
    <row r="3814" spans="1:4" x14ac:dyDescent="0.25">
      <c r="A3814" s="1"/>
      <c r="B3814" s="1"/>
      <c r="C3814" s="1"/>
      <c r="D3814" s="1"/>
    </row>
    <row r="3815" spans="1:4" x14ac:dyDescent="0.25">
      <c r="A3815" s="1"/>
      <c r="B3815" s="1"/>
      <c r="C3815" s="1"/>
      <c r="D3815" s="1"/>
    </row>
    <row r="3816" spans="1:4" x14ac:dyDescent="0.25">
      <c r="A3816" s="1"/>
      <c r="B3816" s="1"/>
      <c r="C3816" s="1"/>
      <c r="D3816" s="1"/>
    </row>
    <row r="3817" spans="1:4" x14ac:dyDescent="0.25">
      <c r="A3817" s="1"/>
      <c r="B3817" s="1"/>
      <c r="C3817" s="1"/>
      <c r="D3817" s="1"/>
    </row>
    <row r="3818" spans="1:4" x14ac:dyDescent="0.25">
      <c r="A3818" s="1"/>
      <c r="B3818" s="1"/>
      <c r="C3818" s="1"/>
      <c r="D3818" s="1"/>
    </row>
    <row r="3819" spans="1:4" x14ac:dyDescent="0.25">
      <c r="A3819" s="1"/>
      <c r="B3819" s="1"/>
      <c r="C3819" s="1"/>
      <c r="D3819" s="1"/>
    </row>
    <row r="3820" spans="1:4" x14ac:dyDescent="0.25">
      <c r="A3820" s="1"/>
      <c r="B3820" s="1"/>
      <c r="C3820" s="1"/>
      <c r="D3820" s="1"/>
    </row>
    <row r="3821" spans="1:4" x14ac:dyDescent="0.25">
      <c r="A3821" s="1"/>
      <c r="B3821" s="1"/>
      <c r="C3821" s="1"/>
      <c r="D3821" s="1"/>
    </row>
    <row r="3822" spans="1:4" x14ac:dyDescent="0.25">
      <c r="A3822" s="1"/>
      <c r="B3822" s="1"/>
      <c r="C3822" s="1"/>
      <c r="D3822" s="1"/>
    </row>
    <row r="3823" spans="1:4" x14ac:dyDescent="0.25">
      <c r="A3823" s="1"/>
      <c r="B3823" s="1"/>
      <c r="C3823" s="1"/>
      <c r="D3823" s="1"/>
    </row>
    <row r="3824" spans="1:4" x14ac:dyDescent="0.25">
      <c r="A3824" s="1"/>
      <c r="B3824" s="1"/>
      <c r="C3824" s="1"/>
      <c r="D3824" s="1"/>
    </row>
    <row r="3825" spans="1:4" x14ac:dyDescent="0.25">
      <c r="A3825" s="1"/>
      <c r="B3825" s="1"/>
      <c r="C3825" s="1"/>
      <c r="D3825" s="1"/>
    </row>
    <row r="3826" spans="1:4" x14ac:dyDescent="0.25">
      <c r="A3826" s="1"/>
      <c r="B3826" s="1"/>
      <c r="C3826" s="1"/>
      <c r="D3826" s="1"/>
    </row>
    <row r="3827" spans="1:4" x14ac:dyDescent="0.25">
      <c r="A3827" s="1"/>
      <c r="B3827" s="1"/>
      <c r="C3827" s="1"/>
      <c r="D3827" s="1"/>
    </row>
    <row r="3828" spans="1:4" x14ac:dyDescent="0.25">
      <c r="A3828" s="1"/>
      <c r="B3828" s="1"/>
      <c r="C3828" s="1"/>
      <c r="D3828" s="1"/>
    </row>
    <row r="3829" spans="1:4" x14ac:dyDescent="0.25">
      <c r="A3829" s="1"/>
      <c r="B3829" s="1"/>
      <c r="C3829" s="1"/>
      <c r="D3829" s="1"/>
    </row>
    <row r="3830" spans="1:4" x14ac:dyDescent="0.25">
      <c r="A3830" s="1"/>
      <c r="B3830" s="1"/>
      <c r="C3830" s="1"/>
      <c r="D3830" s="1"/>
    </row>
    <row r="3831" spans="1:4" x14ac:dyDescent="0.25">
      <c r="A3831" s="1"/>
      <c r="B3831" s="1"/>
      <c r="C3831" s="1"/>
      <c r="D3831" s="1"/>
    </row>
    <row r="3832" spans="1:4" x14ac:dyDescent="0.25">
      <c r="A3832" s="1"/>
      <c r="B3832" s="1"/>
      <c r="C3832" s="1"/>
      <c r="D3832" s="1"/>
    </row>
    <row r="3833" spans="1:4" x14ac:dyDescent="0.25">
      <c r="A3833" s="1"/>
      <c r="B3833" s="1"/>
      <c r="C3833" s="1"/>
      <c r="D3833" s="1"/>
    </row>
    <row r="3834" spans="1:4" x14ac:dyDescent="0.25">
      <c r="A3834" s="1"/>
      <c r="B3834" s="1"/>
      <c r="C3834" s="1"/>
      <c r="D3834" s="1"/>
    </row>
    <row r="3835" spans="1:4" x14ac:dyDescent="0.25">
      <c r="A3835" s="1"/>
      <c r="B3835" s="1"/>
      <c r="C3835" s="1"/>
      <c r="D3835" s="1"/>
    </row>
    <row r="3836" spans="1:4" x14ac:dyDescent="0.25">
      <c r="A3836" s="1"/>
      <c r="B3836" s="1"/>
      <c r="C3836" s="1"/>
      <c r="D3836" s="1"/>
    </row>
    <row r="3837" spans="1:4" x14ac:dyDescent="0.25">
      <c r="A3837" s="1"/>
      <c r="B3837" s="1"/>
      <c r="C3837" s="1"/>
      <c r="D3837" s="1"/>
    </row>
    <row r="3838" spans="1:4" x14ac:dyDescent="0.25">
      <c r="A3838" s="1"/>
      <c r="B3838" s="1"/>
      <c r="C3838" s="1"/>
      <c r="D3838" s="1"/>
    </row>
    <row r="3839" spans="1:4" x14ac:dyDescent="0.25">
      <c r="A3839" s="1"/>
      <c r="B3839" s="1"/>
      <c r="C3839" s="1"/>
      <c r="D3839" s="1"/>
    </row>
    <row r="3840" spans="1:4" x14ac:dyDescent="0.25">
      <c r="A3840" s="1"/>
      <c r="B3840" s="1"/>
      <c r="C3840" s="1"/>
      <c r="D3840" s="1"/>
    </row>
    <row r="3841" spans="1:4" x14ac:dyDescent="0.25">
      <c r="A3841" s="1"/>
      <c r="B3841" s="1"/>
      <c r="C3841" s="1"/>
      <c r="D3841" s="1"/>
    </row>
    <row r="3842" spans="1:4" x14ac:dyDescent="0.25">
      <c r="A3842" s="1"/>
      <c r="B3842" s="1"/>
      <c r="C3842" s="1"/>
      <c r="D3842" s="1"/>
    </row>
    <row r="3843" spans="1:4" x14ac:dyDescent="0.25">
      <c r="A3843" s="1"/>
      <c r="B3843" s="1"/>
      <c r="C3843" s="1"/>
      <c r="D3843" s="1"/>
    </row>
    <row r="3844" spans="1:4" x14ac:dyDescent="0.25">
      <c r="A3844" s="1"/>
      <c r="B3844" s="1"/>
      <c r="C3844" s="1"/>
      <c r="D3844" s="1"/>
    </row>
    <row r="3845" spans="1:4" x14ac:dyDescent="0.25">
      <c r="A3845" s="1"/>
      <c r="B3845" s="1"/>
      <c r="C3845" s="1"/>
      <c r="D3845" s="1"/>
    </row>
    <row r="3846" spans="1:4" x14ac:dyDescent="0.25">
      <c r="A3846" s="1"/>
      <c r="B3846" s="1"/>
      <c r="C3846" s="1"/>
      <c r="D3846" s="1"/>
    </row>
    <row r="3847" spans="1:4" x14ac:dyDescent="0.25">
      <c r="A3847" s="1"/>
      <c r="B3847" s="1"/>
      <c r="C3847" s="1"/>
      <c r="D3847" s="1"/>
    </row>
    <row r="3848" spans="1:4" x14ac:dyDescent="0.25">
      <c r="A3848" s="1"/>
      <c r="B3848" s="1"/>
      <c r="C3848" s="1"/>
      <c r="D3848" s="1"/>
    </row>
    <row r="3849" spans="1:4" x14ac:dyDescent="0.25">
      <c r="A3849" s="1"/>
      <c r="B3849" s="1"/>
      <c r="C3849" s="1"/>
      <c r="D3849" s="1"/>
    </row>
    <row r="3850" spans="1:4" x14ac:dyDescent="0.25">
      <c r="A3850" s="1"/>
      <c r="B3850" s="1"/>
      <c r="C3850" s="1"/>
      <c r="D3850" s="1"/>
    </row>
    <row r="3851" spans="1:4" x14ac:dyDescent="0.25">
      <c r="A3851" s="1"/>
      <c r="B3851" s="1"/>
      <c r="C3851" s="1"/>
      <c r="D3851" s="1"/>
    </row>
    <row r="3852" spans="1:4" x14ac:dyDescent="0.25">
      <c r="A3852" s="1"/>
      <c r="B3852" s="1"/>
      <c r="C3852" s="1"/>
      <c r="D3852" s="1"/>
    </row>
    <row r="3853" spans="1:4" x14ac:dyDescent="0.25">
      <c r="A3853" s="1"/>
      <c r="B3853" s="1"/>
      <c r="C3853" s="1"/>
      <c r="D3853" s="1"/>
    </row>
    <row r="3854" spans="1:4" x14ac:dyDescent="0.25">
      <c r="A3854" s="1"/>
      <c r="B3854" s="1"/>
      <c r="C3854" s="1"/>
      <c r="D3854" s="1"/>
    </row>
    <row r="3855" spans="1:4" x14ac:dyDescent="0.25">
      <c r="A3855" s="1"/>
      <c r="B3855" s="1"/>
      <c r="C3855" s="1"/>
      <c r="D3855" s="1"/>
    </row>
    <row r="3856" spans="1:4" x14ac:dyDescent="0.25">
      <c r="A3856" s="1"/>
      <c r="B3856" s="1"/>
      <c r="C3856" s="1"/>
      <c r="D3856" s="1"/>
    </row>
    <row r="3857" spans="1:4" x14ac:dyDescent="0.25">
      <c r="A3857" s="1"/>
      <c r="B3857" s="1"/>
      <c r="C3857" s="1"/>
      <c r="D3857" s="1"/>
    </row>
    <row r="3858" spans="1:4" x14ac:dyDescent="0.25">
      <c r="A3858" s="1"/>
      <c r="B3858" s="1"/>
      <c r="C3858" s="1"/>
      <c r="D3858" s="1"/>
    </row>
    <row r="3859" spans="1:4" x14ac:dyDescent="0.25">
      <c r="A3859" s="1"/>
      <c r="B3859" s="1"/>
      <c r="C3859" s="1"/>
      <c r="D3859" s="1"/>
    </row>
    <row r="3860" spans="1:4" x14ac:dyDescent="0.25">
      <c r="A3860" s="1"/>
      <c r="B3860" s="1"/>
      <c r="C3860" s="1"/>
      <c r="D3860" s="1"/>
    </row>
    <row r="3861" spans="1:4" x14ac:dyDescent="0.25">
      <c r="A3861" s="1"/>
      <c r="B3861" s="1"/>
      <c r="C3861" s="1"/>
      <c r="D3861" s="1"/>
    </row>
    <row r="3862" spans="1:4" x14ac:dyDescent="0.25">
      <c r="A3862" s="1"/>
      <c r="B3862" s="1"/>
      <c r="C3862" s="1"/>
      <c r="D3862" s="1"/>
    </row>
    <row r="3863" spans="1:4" x14ac:dyDescent="0.25">
      <c r="A3863" s="1"/>
      <c r="B3863" s="1"/>
      <c r="C3863" s="1"/>
      <c r="D3863" s="1"/>
    </row>
    <row r="3864" spans="1:4" x14ac:dyDescent="0.25">
      <c r="A3864" s="1"/>
      <c r="B3864" s="1"/>
      <c r="C3864" s="1"/>
      <c r="D3864" s="1"/>
    </row>
    <row r="3865" spans="1:4" x14ac:dyDescent="0.25">
      <c r="A3865" s="1"/>
      <c r="B3865" s="1"/>
      <c r="C3865" s="1"/>
      <c r="D3865" s="1"/>
    </row>
    <row r="3866" spans="1:4" x14ac:dyDescent="0.25">
      <c r="A3866" s="1"/>
      <c r="B3866" s="1"/>
      <c r="C3866" s="1"/>
      <c r="D3866" s="1"/>
    </row>
    <row r="3867" spans="1:4" x14ac:dyDescent="0.25">
      <c r="A3867" s="1"/>
      <c r="B3867" s="1"/>
      <c r="C3867" s="1"/>
      <c r="D3867" s="1"/>
    </row>
    <row r="3868" spans="1:4" x14ac:dyDescent="0.25">
      <c r="A3868" s="1"/>
      <c r="B3868" s="1"/>
      <c r="C3868" s="1"/>
      <c r="D3868" s="1"/>
    </row>
    <row r="3869" spans="1:4" x14ac:dyDescent="0.25">
      <c r="A3869" s="1"/>
      <c r="B3869" s="1"/>
      <c r="C3869" s="1"/>
      <c r="D3869" s="1"/>
    </row>
    <row r="3870" spans="1:4" x14ac:dyDescent="0.25">
      <c r="A3870" s="1"/>
      <c r="B3870" s="1"/>
      <c r="C3870" s="1"/>
      <c r="D3870" s="1"/>
    </row>
    <row r="3871" spans="1:4" x14ac:dyDescent="0.25">
      <c r="A3871" s="1"/>
      <c r="B3871" s="1"/>
      <c r="C3871" s="1"/>
      <c r="D3871" s="1"/>
    </row>
    <row r="3872" spans="1:4" x14ac:dyDescent="0.25">
      <c r="A3872" s="1"/>
      <c r="B3872" s="1"/>
      <c r="C3872" s="1"/>
      <c r="D3872" s="1"/>
    </row>
    <row r="3873" spans="1:4" x14ac:dyDescent="0.25">
      <c r="A3873" s="1"/>
      <c r="B3873" s="1"/>
      <c r="C3873" s="1"/>
      <c r="D3873" s="1"/>
    </row>
    <row r="3874" spans="1:4" x14ac:dyDescent="0.25">
      <c r="A3874" s="1"/>
      <c r="B3874" s="1"/>
      <c r="C3874" s="1"/>
      <c r="D3874" s="1"/>
    </row>
    <row r="3875" spans="1:4" x14ac:dyDescent="0.25">
      <c r="A3875" s="1"/>
      <c r="B3875" s="1"/>
      <c r="C3875" s="1"/>
      <c r="D3875" s="1"/>
    </row>
    <row r="3876" spans="1:4" x14ac:dyDescent="0.25">
      <c r="A3876" s="1"/>
      <c r="B3876" s="1"/>
      <c r="C3876" s="1"/>
      <c r="D3876" s="1"/>
    </row>
    <row r="3877" spans="1:4" x14ac:dyDescent="0.25">
      <c r="A3877" s="1"/>
      <c r="B3877" s="1"/>
      <c r="C3877" s="1"/>
      <c r="D3877" s="1"/>
    </row>
    <row r="3878" spans="1:4" x14ac:dyDescent="0.25">
      <c r="A3878" s="1"/>
      <c r="B3878" s="1"/>
      <c r="C3878" s="1"/>
      <c r="D3878" s="1"/>
    </row>
    <row r="3879" spans="1:4" x14ac:dyDescent="0.25">
      <c r="A3879" s="1"/>
      <c r="B3879" s="1"/>
      <c r="C3879" s="1"/>
      <c r="D3879" s="1"/>
    </row>
    <row r="3880" spans="1:4" x14ac:dyDescent="0.25">
      <c r="A3880" s="1"/>
      <c r="B3880" s="1"/>
      <c r="C3880" s="1"/>
      <c r="D3880" s="1"/>
    </row>
    <row r="3881" spans="1:4" x14ac:dyDescent="0.25">
      <c r="A3881" s="1"/>
      <c r="B3881" s="1"/>
      <c r="C3881" s="1"/>
      <c r="D3881" s="1"/>
    </row>
    <row r="3882" spans="1:4" x14ac:dyDescent="0.25">
      <c r="A3882" s="1"/>
      <c r="B3882" s="1"/>
      <c r="C3882" s="1"/>
      <c r="D3882" s="1"/>
    </row>
    <row r="3883" spans="1:4" x14ac:dyDescent="0.25">
      <c r="A3883" s="1"/>
      <c r="B3883" s="1"/>
      <c r="C3883" s="1"/>
      <c r="D3883" s="1"/>
    </row>
    <row r="3884" spans="1:4" x14ac:dyDescent="0.25">
      <c r="A3884" s="1"/>
      <c r="B3884" s="1"/>
      <c r="C3884" s="1"/>
      <c r="D3884" s="1"/>
    </row>
    <row r="3885" spans="1:4" x14ac:dyDescent="0.25">
      <c r="A3885" s="1"/>
      <c r="B3885" s="1"/>
      <c r="C3885" s="1"/>
      <c r="D3885" s="1"/>
    </row>
    <row r="3886" spans="1:4" x14ac:dyDescent="0.25">
      <c r="A3886" s="1"/>
      <c r="B3886" s="1"/>
      <c r="C3886" s="1"/>
      <c r="D3886" s="1"/>
    </row>
    <row r="3887" spans="1:4" x14ac:dyDescent="0.25">
      <c r="A3887" s="1"/>
      <c r="B3887" s="1"/>
      <c r="C3887" s="1"/>
      <c r="D3887" s="1"/>
    </row>
    <row r="3888" spans="1:4" x14ac:dyDescent="0.25">
      <c r="A3888" s="1"/>
      <c r="B3888" s="1"/>
      <c r="C3888" s="1"/>
      <c r="D3888" s="1"/>
    </row>
    <row r="3889" spans="1:4" x14ac:dyDescent="0.25">
      <c r="A3889" s="1"/>
      <c r="B3889" s="1"/>
      <c r="C3889" s="1"/>
      <c r="D3889" s="1"/>
    </row>
    <row r="3890" spans="1:4" x14ac:dyDescent="0.25">
      <c r="A3890" s="1"/>
      <c r="B3890" s="1"/>
      <c r="C3890" s="1"/>
      <c r="D3890" s="1"/>
    </row>
    <row r="3891" spans="1:4" x14ac:dyDescent="0.25">
      <c r="A3891" s="1"/>
      <c r="B3891" s="1"/>
      <c r="C3891" s="1"/>
      <c r="D3891" s="1"/>
    </row>
    <row r="3892" spans="1:4" x14ac:dyDescent="0.25">
      <c r="A3892" s="1"/>
      <c r="B3892" s="1"/>
      <c r="C3892" s="1"/>
      <c r="D3892" s="1"/>
    </row>
    <row r="3893" spans="1:4" x14ac:dyDescent="0.25">
      <c r="A3893" s="1"/>
      <c r="B3893" s="1"/>
      <c r="C3893" s="1"/>
      <c r="D3893" s="1"/>
    </row>
    <row r="3894" spans="1:4" x14ac:dyDescent="0.25">
      <c r="A3894" s="1"/>
      <c r="B3894" s="1"/>
      <c r="C3894" s="1"/>
      <c r="D3894" s="1"/>
    </row>
    <row r="3895" spans="1:4" x14ac:dyDescent="0.25">
      <c r="A3895" s="1"/>
      <c r="B3895" s="1"/>
      <c r="C3895" s="1"/>
      <c r="D3895" s="1"/>
    </row>
    <row r="3896" spans="1:4" x14ac:dyDescent="0.25">
      <c r="A3896" s="1"/>
      <c r="B3896" s="1"/>
      <c r="C3896" s="1"/>
      <c r="D3896" s="1"/>
    </row>
    <row r="3897" spans="1:4" x14ac:dyDescent="0.25">
      <c r="A3897" s="1"/>
      <c r="B3897" s="1"/>
      <c r="C3897" s="1"/>
      <c r="D3897" s="1"/>
    </row>
    <row r="3898" spans="1:4" x14ac:dyDescent="0.25">
      <c r="A3898" s="1"/>
      <c r="B3898" s="1"/>
      <c r="C3898" s="1"/>
      <c r="D3898" s="1"/>
    </row>
    <row r="3899" spans="1:4" x14ac:dyDescent="0.25">
      <c r="A3899" s="1"/>
      <c r="B3899" s="1"/>
      <c r="C3899" s="1"/>
      <c r="D3899" s="1"/>
    </row>
    <row r="3900" spans="1:4" x14ac:dyDescent="0.25">
      <c r="A3900" s="1"/>
      <c r="B3900" s="1"/>
      <c r="C3900" s="1"/>
      <c r="D3900" s="1"/>
    </row>
    <row r="3901" spans="1:4" x14ac:dyDescent="0.25">
      <c r="A3901" s="1"/>
      <c r="B3901" s="1"/>
      <c r="C3901" s="1"/>
      <c r="D3901" s="1"/>
    </row>
    <row r="3902" spans="1:4" x14ac:dyDescent="0.25">
      <c r="A3902" s="1"/>
      <c r="B3902" s="1"/>
      <c r="C3902" s="1"/>
      <c r="D3902" s="1"/>
    </row>
    <row r="3903" spans="1:4" x14ac:dyDescent="0.25">
      <c r="A3903" s="1"/>
      <c r="B3903" s="1"/>
      <c r="C3903" s="1"/>
      <c r="D3903" s="1"/>
    </row>
    <row r="3904" spans="1:4" x14ac:dyDescent="0.25">
      <c r="A3904" s="1"/>
      <c r="B3904" s="1"/>
      <c r="C3904" s="1"/>
      <c r="D3904" s="1"/>
    </row>
    <row r="3905" spans="1:4" x14ac:dyDescent="0.25">
      <c r="A3905" s="1"/>
      <c r="B3905" s="1"/>
      <c r="C3905" s="1"/>
      <c r="D3905" s="1"/>
    </row>
    <row r="3906" spans="1:4" x14ac:dyDescent="0.25">
      <c r="A3906" s="1"/>
      <c r="B3906" s="1"/>
      <c r="C3906" s="1"/>
      <c r="D3906" s="1"/>
    </row>
    <row r="3907" spans="1:4" x14ac:dyDescent="0.25">
      <c r="A3907" s="1"/>
      <c r="B3907" s="1"/>
      <c r="C3907" s="1"/>
      <c r="D3907" s="1"/>
    </row>
    <row r="3908" spans="1:4" x14ac:dyDescent="0.25">
      <c r="A3908" s="1"/>
      <c r="B3908" s="1"/>
      <c r="C3908" s="1"/>
      <c r="D3908" s="1"/>
    </row>
    <row r="3909" spans="1:4" x14ac:dyDescent="0.25">
      <c r="A3909" s="1"/>
      <c r="B3909" s="1"/>
      <c r="C3909" s="1"/>
      <c r="D3909" s="1"/>
    </row>
    <row r="3910" spans="1:4" x14ac:dyDescent="0.25">
      <c r="A3910" s="1"/>
      <c r="B3910" s="1"/>
      <c r="C3910" s="1"/>
      <c r="D3910" s="1"/>
    </row>
    <row r="3911" spans="1:4" x14ac:dyDescent="0.25">
      <c r="A3911" s="1"/>
      <c r="B3911" s="1"/>
      <c r="C3911" s="1"/>
      <c r="D3911" s="1"/>
    </row>
    <row r="3912" spans="1:4" x14ac:dyDescent="0.25">
      <c r="A3912" s="1"/>
      <c r="B3912" s="1"/>
      <c r="C3912" s="1"/>
      <c r="D3912" s="1"/>
    </row>
    <row r="3913" spans="1:4" x14ac:dyDescent="0.25">
      <c r="A3913" s="1"/>
      <c r="B3913" s="1"/>
      <c r="C3913" s="1"/>
      <c r="D3913" s="1"/>
    </row>
    <row r="3914" spans="1:4" x14ac:dyDescent="0.25">
      <c r="A3914" s="1"/>
      <c r="B3914" s="1"/>
      <c r="C3914" s="1"/>
      <c r="D3914" s="1"/>
    </row>
    <row r="3915" spans="1:4" x14ac:dyDescent="0.25">
      <c r="A3915" s="1"/>
      <c r="B3915" s="1"/>
      <c r="C3915" s="1"/>
      <c r="D3915" s="1"/>
    </row>
    <row r="3916" spans="1:4" x14ac:dyDescent="0.25">
      <c r="A3916" s="1"/>
      <c r="B3916" s="1"/>
      <c r="C3916" s="1"/>
      <c r="D3916" s="1"/>
    </row>
    <row r="3917" spans="1:4" x14ac:dyDescent="0.25">
      <c r="A3917" s="1"/>
      <c r="B3917" s="1"/>
      <c r="C3917" s="1"/>
      <c r="D3917" s="1"/>
    </row>
    <row r="3918" spans="1:4" x14ac:dyDescent="0.25">
      <c r="A3918" s="1"/>
      <c r="B3918" s="1"/>
      <c r="C3918" s="1"/>
      <c r="D3918" s="1"/>
    </row>
    <row r="3919" spans="1:4" x14ac:dyDescent="0.25">
      <c r="A3919" s="1"/>
      <c r="B3919" s="1"/>
      <c r="C3919" s="1"/>
      <c r="D3919" s="1"/>
    </row>
    <row r="3920" spans="1:4" x14ac:dyDescent="0.25">
      <c r="A3920" s="1"/>
      <c r="B3920" s="1"/>
      <c r="C3920" s="1"/>
      <c r="D3920" s="1"/>
    </row>
    <row r="3921" spans="1:4" x14ac:dyDescent="0.25">
      <c r="A3921" s="1"/>
      <c r="B3921" s="1"/>
      <c r="C3921" s="1"/>
      <c r="D3921" s="1"/>
    </row>
    <row r="3922" spans="1:4" x14ac:dyDescent="0.25">
      <c r="A3922" s="1"/>
      <c r="B3922" s="1"/>
      <c r="C3922" s="1"/>
      <c r="D3922" s="1"/>
    </row>
    <row r="3923" spans="1:4" x14ac:dyDescent="0.25">
      <c r="A3923" s="1"/>
      <c r="B3923" s="1"/>
      <c r="C3923" s="1"/>
      <c r="D3923" s="1"/>
    </row>
    <row r="3924" spans="1:4" x14ac:dyDescent="0.25">
      <c r="A3924" s="1"/>
      <c r="B3924" s="1"/>
      <c r="C3924" s="1"/>
      <c r="D3924" s="1"/>
    </row>
    <row r="3925" spans="1:4" x14ac:dyDescent="0.25">
      <c r="A3925" s="1"/>
      <c r="B3925" s="1"/>
      <c r="C3925" s="1"/>
      <c r="D3925" s="1"/>
    </row>
    <row r="3926" spans="1:4" x14ac:dyDescent="0.25">
      <c r="A3926" s="1"/>
      <c r="B3926" s="1"/>
      <c r="C3926" s="1"/>
      <c r="D3926" s="1"/>
    </row>
    <row r="3927" spans="1:4" x14ac:dyDescent="0.25">
      <c r="A3927" s="1"/>
      <c r="B3927" s="1"/>
      <c r="C3927" s="1"/>
      <c r="D3927" s="1"/>
    </row>
    <row r="3928" spans="1:4" x14ac:dyDescent="0.25">
      <c r="A3928" s="1"/>
      <c r="B3928" s="1"/>
      <c r="C3928" s="1"/>
      <c r="D3928" s="1"/>
    </row>
    <row r="3929" spans="1:4" x14ac:dyDescent="0.25">
      <c r="A3929" s="1"/>
      <c r="B3929" s="1"/>
      <c r="C3929" s="1"/>
      <c r="D3929" s="1"/>
    </row>
    <row r="3930" spans="1:4" x14ac:dyDescent="0.25">
      <c r="A3930" s="1"/>
      <c r="B3930" s="1"/>
      <c r="C3930" s="1"/>
      <c r="D3930" s="1"/>
    </row>
    <row r="3931" spans="1:4" x14ac:dyDescent="0.25">
      <c r="A3931" s="1"/>
      <c r="B3931" s="1"/>
      <c r="C3931" s="1"/>
      <c r="D3931" s="1"/>
    </row>
    <row r="3932" spans="1:4" x14ac:dyDescent="0.25">
      <c r="A3932" s="1"/>
      <c r="B3932" s="1"/>
      <c r="C3932" s="1"/>
      <c r="D3932" s="1"/>
    </row>
    <row r="3933" spans="1:4" x14ac:dyDescent="0.25">
      <c r="A3933" s="1"/>
      <c r="B3933" s="1"/>
      <c r="C3933" s="1"/>
      <c r="D3933" s="1"/>
    </row>
    <row r="3934" spans="1:4" x14ac:dyDescent="0.25">
      <c r="A3934" s="1"/>
      <c r="B3934" s="1"/>
      <c r="C3934" s="1"/>
      <c r="D3934" s="1"/>
    </row>
    <row r="3935" spans="1:4" x14ac:dyDescent="0.25">
      <c r="A3935" s="1"/>
      <c r="B3935" s="1"/>
      <c r="C3935" s="1"/>
      <c r="D3935" s="1"/>
    </row>
    <row r="3936" spans="1:4" x14ac:dyDescent="0.25">
      <c r="A3936" s="1"/>
      <c r="B3936" s="1"/>
      <c r="C3936" s="1"/>
      <c r="D3936" s="1"/>
    </row>
    <row r="3937" spans="1:4" x14ac:dyDescent="0.25">
      <c r="A3937" s="1"/>
      <c r="B3937" s="1"/>
      <c r="C3937" s="1"/>
      <c r="D3937" s="1"/>
    </row>
    <row r="3938" spans="1:4" x14ac:dyDescent="0.25">
      <c r="A3938" s="1"/>
      <c r="B3938" s="1"/>
      <c r="C3938" s="1"/>
      <c r="D3938" s="1"/>
    </row>
  </sheetData>
  <sortState xmlns:xlrd2="http://schemas.microsoft.com/office/spreadsheetml/2017/richdata2" ref="A1:F1316">
    <sortCondition ref="F1:F131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489"/>
  <sheetViews>
    <sheetView workbookViewId="0">
      <selection sqref="A1:XFD1048576"/>
    </sheetView>
  </sheetViews>
  <sheetFormatPr baseColWidth="10"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Index</vt:lpstr>
      <vt:lpstr>V</vt:lpstr>
      <vt:lpstr>Vis</vt:lpstr>
      <vt:lpstr>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2021-06-02T19:36:24Z</dcterms:modified>
</cp:coreProperties>
</file>