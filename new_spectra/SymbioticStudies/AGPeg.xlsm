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SymbioticStudies\"/>
    </mc:Choice>
  </mc:AlternateContent>
  <xr:revisionPtr revIDLastSave="0" documentId="13_ncr:1_{23A02188-0E5D-4E50-AE85-DF55C4938205}" xr6:coauthVersionLast="46" xr6:coauthVersionMax="46" xr10:uidLastSave="{00000000-0000-0000-0000-000000000000}"/>
  <bookViews>
    <workbookView xWindow="-120" yWindow="-120" windowWidth="29040" windowHeight="15840" activeTab="2" xr2:uid="{00000000-000D-0000-FFFF-FFFF00000000}"/>
  </bookViews>
  <sheets>
    <sheet name="Index" sheetId="2" r:id="rId1"/>
    <sheet name="Feuil1" sheetId="3" r:id="rId2"/>
    <sheet name="Feuil2" sheetId="11" r:id="rId3"/>
    <sheet name="m_phot" sheetId="9" r:id="rId4"/>
    <sheet name="V" sheetId="1" r:id="rId5"/>
    <sheet name="Vis" sheetId="7" r:id="rId6"/>
    <sheet name="Perenso" sheetId="10" r:id="rId7"/>
    <sheet name="B-V" sheetId="8" r:id="rId8"/>
    <sheet name="B" sheetId="4" r:id="rId9"/>
    <sheet name="M" sheetId="6" r:id="rId10"/>
  </sheets>
  <externalReferences>
    <externalReference r:id="rId11"/>
    <externalReference r:id="rId12"/>
    <externalReference r:id="rId13"/>
    <externalReference r:id="rId14"/>
    <externalReference r:id="rId15"/>
  </externalReferences>
  <definedNames>
    <definedName name="Date0">[1]SySt_Orb!$Q$30</definedName>
    <definedName name="JD0">[1]SySt_Orb!$Q$29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69" i="2" l="1"/>
  <c r="C369" i="2"/>
  <c r="D369" i="2"/>
  <c r="E369" i="2"/>
  <c r="A369" i="2" s="1"/>
  <c r="F369" i="2"/>
  <c r="G369" i="2"/>
  <c r="H369" i="2"/>
  <c r="I369" i="2"/>
  <c r="J369" i="2"/>
  <c r="O369" i="2"/>
  <c r="B356" i="2"/>
  <c r="C356" i="2"/>
  <c r="D356" i="2"/>
  <c r="E356" i="2"/>
  <c r="A356" i="2" s="1"/>
  <c r="G356" i="2"/>
  <c r="H356" i="2"/>
  <c r="I356" i="2"/>
  <c r="J356" i="2"/>
  <c r="O356" i="2"/>
  <c r="B357" i="2"/>
  <c r="C357" i="2"/>
  <c r="D357" i="2"/>
  <c r="E357" i="2"/>
  <c r="A357" i="2" s="1"/>
  <c r="F357" i="2"/>
  <c r="G357" i="2"/>
  <c r="H357" i="2"/>
  <c r="I357" i="2"/>
  <c r="J357" i="2"/>
  <c r="O357" i="2"/>
  <c r="A358" i="2"/>
  <c r="B358" i="2"/>
  <c r="C358" i="2"/>
  <c r="D358" i="2"/>
  <c r="E358" i="2"/>
  <c r="N358" i="2" s="1"/>
  <c r="F358" i="2"/>
  <c r="G358" i="2"/>
  <c r="H358" i="2"/>
  <c r="I358" i="2"/>
  <c r="J358" i="2"/>
  <c r="O358" i="2"/>
  <c r="B359" i="2"/>
  <c r="C359" i="2"/>
  <c r="D359" i="2"/>
  <c r="E359" i="2"/>
  <c r="A359" i="2" s="1"/>
  <c r="G359" i="2"/>
  <c r="H359" i="2"/>
  <c r="I359" i="2"/>
  <c r="J359" i="2"/>
  <c r="O359" i="2"/>
  <c r="B360" i="2"/>
  <c r="C360" i="2"/>
  <c r="D360" i="2"/>
  <c r="E360" i="2"/>
  <c r="N360" i="2" s="1"/>
  <c r="F360" i="2"/>
  <c r="G360" i="2"/>
  <c r="H360" i="2"/>
  <c r="I360" i="2"/>
  <c r="J360" i="2"/>
  <c r="O360" i="2"/>
  <c r="B361" i="2"/>
  <c r="C361" i="2"/>
  <c r="D361" i="2"/>
  <c r="E361" i="2"/>
  <c r="A361" i="2" s="1"/>
  <c r="G361" i="2"/>
  <c r="H361" i="2"/>
  <c r="I361" i="2"/>
  <c r="J361" i="2"/>
  <c r="O361" i="2"/>
  <c r="B362" i="2"/>
  <c r="C362" i="2"/>
  <c r="D362" i="2"/>
  <c r="E362" i="2"/>
  <c r="N362" i="2" s="1"/>
  <c r="G362" i="2"/>
  <c r="H362" i="2"/>
  <c r="I362" i="2"/>
  <c r="J362" i="2"/>
  <c r="O362" i="2"/>
  <c r="B363" i="2"/>
  <c r="C363" i="2"/>
  <c r="D363" i="2"/>
  <c r="E363" i="2"/>
  <c r="A363" i="2" s="1"/>
  <c r="G363" i="2"/>
  <c r="H363" i="2"/>
  <c r="I363" i="2"/>
  <c r="J363" i="2"/>
  <c r="O363" i="2"/>
  <c r="B364" i="2"/>
  <c r="C364" i="2"/>
  <c r="D364" i="2"/>
  <c r="E364" i="2"/>
  <c r="N364" i="2" s="1"/>
  <c r="G364" i="2"/>
  <c r="H364" i="2"/>
  <c r="I364" i="2"/>
  <c r="J364" i="2"/>
  <c r="O364" i="2"/>
  <c r="B365" i="2"/>
  <c r="C365" i="2"/>
  <c r="D365" i="2"/>
  <c r="E365" i="2"/>
  <c r="A365" i="2" s="1"/>
  <c r="F365" i="2"/>
  <c r="G365" i="2"/>
  <c r="H365" i="2"/>
  <c r="I365" i="2"/>
  <c r="J365" i="2"/>
  <c r="O365" i="2"/>
  <c r="B366" i="2"/>
  <c r="C366" i="2"/>
  <c r="D366" i="2"/>
  <c r="E366" i="2"/>
  <c r="N366" i="2" s="1"/>
  <c r="G366" i="2"/>
  <c r="H366" i="2"/>
  <c r="I366" i="2"/>
  <c r="J366" i="2"/>
  <c r="O366" i="2"/>
  <c r="B367" i="2"/>
  <c r="C367" i="2"/>
  <c r="D367" i="2"/>
  <c r="E367" i="2"/>
  <c r="A367" i="2" s="1"/>
  <c r="G367" i="2"/>
  <c r="H367" i="2"/>
  <c r="I367" i="2"/>
  <c r="J367" i="2"/>
  <c r="O367" i="2"/>
  <c r="B368" i="2"/>
  <c r="C368" i="2"/>
  <c r="D368" i="2"/>
  <c r="E368" i="2"/>
  <c r="N368" i="2" s="1"/>
  <c r="F368" i="2"/>
  <c r="G368" i="2"/>
  <c r="H368" i="2"/>
  <c r="I368" i="2"/>
  <c r="J368" i="2"/>
  <c r="O368" i="2"/>
  <c r="B342" i="2"/>
  <c r="C342" i="2"/>
  <c r="D342" i="2"/>
  <c r="E342" i="2"/>
  <c r="F342" i="2" s="1"/>
  <c r="G342" i="2"/>
  <c r="H342" i="2"/>
  <c r="I342" i="2"/>
  <c r="J342" i="2"/>
  <c r="N342" i="2"/>
  <c r="O342" i="2"/>
  <c r="B343" i="2"/>
  <c r="C343" i="2"/>
  <c r="D343" i="2"/>
  <c r="E343" i="2"/>
  <c r="F343" i="2" s="1"/>
  <c r="G343" i="2"/>
  <c r="H343" i="2"/>
  <c r="I343" i="2"/>
  <c r="J343" i="2"/>
  <c r="O343" i="2"/>
  <c r="B344" i="2"/>
  <c r="C344" i="2"/>
  <c r="D344" i="2"/>
  <c r="E344" i="2"/>
  <c r="F344" i="2" s="1"/>
  <c r="G344" i="2"/>
  <c r="H344" i="2"/>
  <c r="I344" i="2"/>
  <c r="J344" i="2"/>
  <c r="O344" i="2"/>
  <c r="B345" i="2"/>
  <c r="C345" i="2"/>
  <c r="D345" i="2"/>
  <c r="E345" i="2"/>
  <c r="F345" i="2" s="1"/>
  <c r="G345" i="2"/>
  <c r="H345" i="2"/>
  <c r="I345" i="2"/>
  <c r="J345" i="2"/>
  <c r="N345" i="2"/>
  <c r="O345" i="2"/>
  <c r="B346" i="2"/>
  <c r="C346" i="2"/>
  <c r="D346" i="2"/>
  <c r="E346" i="2"/>
  <c r="A346" i="2" s="1"/>
  <c r="G346" i="2"/>
  <c r="H346" i="2"/>
  <c r="I346" i="2"/>
  <c r="J346" i="2"/>
  <c r="N346" i="2"/>
  <c r="O346" i="2"/>
  <c r="B347" i="2"/>
  <c r="C347" i="2"/>
  <c r="D347" i="2"/>
  <c r="E347" i="2"/>
  <c r="F347" i="2" s="1"/>
  <c r="G347" i="2"/>
  <c r="H347" i="2"/>
  <c r="I347" i="2"/>
  <c r="J347" i="2"/>
  <c r="N347" i="2"/>
  <c r="O347" i="2"/>
  <c r="A348" i="2"/>
  <c r="B348" i="2"/>
  <c r="C348" i="2"/>
  <c r="D348" i="2"/>
  <c r="E348" i="2"/>
  <c r="N348" i="2" s="1"/>
  <c r="G348" i="2"/>
  <c r="H348" i="2"/>
  <c r="I348" i="2"/>
  <c r="J348" i="2"/>
  <c r="O348" i="2"/>
  <c r="B349" i="2"/>
  <c r="C349" i="2"/>
  <c r="D349" i="2"/>
  <c r="E349" i="2"/>
  <c r="F349" i="2" s="1"/>
  <c r="G349" i="2"/>
  <c r="H349" i="2"/>
  <c r="I349" i="2"/>
  <c r="J349" i="2"/>
  <c r="N349" i="2"/>
  <c r="O349" i="2"/>
  <c r="B350" i="2"/>
  <c r="C350" i="2"/>
  <c r="D350" i="2"/>
  <c r="E350" i="2"/>
  <c r="F350" i="2" s="1"/>
  <c r="G350" i="2"/>
  <c r="H350" i="2"/>
  <c r="I350" i="2"/>
  <c r="J350" i="2"/>
  <c r="N350" i="2"/>
  <c r="O350" i="2"/>
  <c r="B351" i="2"/>
  <c r="C351" i="2"/>
  <c r="D351" i="2"/>
  <c r="E351" i="2"/>
  <c r="F351" i="2" s="1"/>
  <c r="G351" i="2"/>
  <c r="H351" i="2"/>
  <c r="I351" i="2"/>
  <c r="J351" i="2"/>
  <c r="O351" i="2"/>
  <c r="B352" i="2"/>
  <c r="C352" i="2"/>
  <c r="D352" i="2"/>
  <c r="E352" i="2"/>
  <c r="F352" i="2" s="1"/>
  <c r="G352" i="2"/>
  <c r="H352" i="2"/>
  <c r="I352" i="2"/>
  <c r="J352" i="2"/>
  <c r="O352" i="2"/>
  <c r="B353" i="2"/>
  <c r="C353" i="2"/>
  <c r="D353" i="2"/>
  <c r="E353" i="2"/>
  <c r="F353" i="2" s="1"/>
  <c r="G353" i="2"/>
  <c r="H353" i="2"/>
  <c r="I353" i="2"/>
  <c r="J353" i="2"/>
  <c r="N353" i="2"/>
  <c r="O353" i="2"/>
  <c r="B354" i="2"/>
  <c r="C354" i="2"/>
  <c r="D354" i="2"/>
  <c r="E354" i="2"/>
  <c r="A354" i="2" s="1"/>
  <c r="G354" i="2"/>
  <c r="H354" i="2"/>
  <c r="I354" i="2"/>
  <c r="J354" i="2"/>
  <c r="N354" i="2"/>
  <c r="O354" i="2"/>
  <c r="B355" i="2"/>
  <c r="C355" i="2"/>
  <c r="D355" i="2"/>
  <c r="E355" i="2"/>
  <c r="F355" i="2" s="1"/>
  <c r="G355" i="2"/>
  <c r="H355" i="2"/>
  <c r="I355" i="2"/>
  <c r="J355" i="2"/>
  <c r="N355" i="2"/>
  <c r="O355" i="2"/>
  <c r="B329" i="2"/>
  <c r="C329" i="2"/>
  <c r="D329" i="2"/>
  <c r="E329" i="2"/>
  <c r="A329" i="2" s="1"/>
  <c r="G329" i="2"/>
  <c r="H329" i="2"/>
  <c r="I329" i="2"/>
  <c r="J329" i="2"/>
  <c r="B330" i="2"/>
  <c r="C330" i="2"/>
  <c r="D330" i="2"/>
  <c r="E330" i="2"/>
  <c r="F330" i="2" s="1"/>
  <c r="G330" i="2"/>
  <c r="H330" i="2"/>
  <c r="I330" i="2"/>
  <c r="J330" i="2"/>
  <c r="B331" i="2"/>
  <c r="C331" i="2"/>
  <c r="D331" i="2"/>
  <c r="E331" i="2"/>
  <c r="A331" i="2" s="1"/>
  <c r="G331" i="2"/>
  <c r="H331" i="2"/>
  <c r="I331" i="2"/>
  <c r="J331" i="2"/>
  <c r="B332" i="2"/>
  <c r="C332" i="2"/>
  <c r="D332" i="2"/>
  <c r="E332" i="2"/>
  <c r="F332" i="2" s="1"/>
  <c r="G332" i="2"/>
  <c r="H332" i="2"/>
  <c r="I332" i="2"/>
  <c r="J332" i="2"/>
  <c r="B333" i="2"/>
  <c r="C333" i="2"/>
  <c r="D333" i="2"/>
  <c r="E333" i="2"/>
  <c r="A333" i="2" s="1"/>
  <c r="G333" i="2"/>
  <c r="H333" i="2"/>
  <c r="I333" i="2"/>
  <c r="J333" i="2"/>
  <c r="B334" i="2"/>
  <c r="C334" i="2"/>
  <c r="D334" i="2"/>
  <c r="E334" i="2"/>
  <c r="F334" i="2" s="1"/>
  <c r="G334" i="2"/>
  <c r="H334" i="2"/>
  <c r="I334" i="2"/>
  <c r="J334" i="2"/>
  <c r="B335" i="2"/>
  <c r="C335" i="2"/>
  <c r="D335" i="2"/>
  <c r="E335" i="2"/>
  <c r="A335" i="2" s="1"/>
  <c r="G335" i="2"/>
  <c r="H335" i="2"/>
  <c r="I335" i="2"/>
  <c r="J335" i="2"/>
  <c r="B336" i="2"/>
  <c r="C336" i="2"/>
  <c r="D336" i="2"/>
  <c r="E336" i="2"/>
  <c r="F336" i="2" s="1"/>
  <c r="G336" i="2"/>
  <c r="H336" i="2"/>
  <c r="I336" i="2"/>
  <c r="J336" i="2"/>
  <c r="B337" i="2"/>
  <c r="C337" i="2"/>
  <c r="D337" i="2"/>
  <c r="E337" i="2"/>
  <c r="A337" i="2" s="1"/>
  <c r="G337" i="2"/>
  <c r="H337" i="2"/>
  <c r="I337" i="2"/>
  <c r="J337" i="2"/>
  <c r="B338" i="2"/>
  <c r="C338" i="2"/>
  <c r="D338" i="2"/>
  <c r="E338" i="2"/>
  <c r="F338" i="2" s="1"/>
  <c r="G338" i="2"/>
  <c r="H338" i="2"/>
  <c r="I338" i="2"/>
  <c r="J338" i="2"/>
  <c r="B339" i="2"/>
  <c r="C339" i="2"/>
  <c r="D339" i="2"/>
  <c r="E339" i="2"/>
  <c r="A339" i="2" s="1"/>
  <c r="G339" i="2"/>
  <c r="H339" i="2"/>
  <c r="I339" i="2"/>
  <c r="J339" i="2"/>
  <c r="B340" i="2"/>
  <c r="C340" i="2"/>
  <c r="D340" i="2"/>
  <c r="E340" i="2"/>
  <c r="F340" i="2" s="1"/>
  <c r="G340" i="2"/>
  <c r="H340" i="2"/>
  <c r="I340" i="2"/>
  <c r="J340" i="2"/>
  <c r="B341" i="2"/>
  <c r="C341" i="2"/>
  <c r="D341" i="2"/>
  <c r="E341" i="2"/>
  <c r="A341" i="2" s="1"/>
  <c r="G341" i="2"/>
  <c r="H341" i="2"/>
  <c r="I341" i="2"/>
  <c r="J341" i="2"/>
  <c r="O341" i="2"/>
  <c r="B318" i="2"/>
  <c r="C318" i="2"/>
  <c r="D318" i="2"/>
  <c r="E318" i="2"/>
  <c r="A318" i="2" s="1"/>
  <c r="G318" i="2"/>
  <c r="H318" i="2"/>
  <c r="I318" i="2"/>
  <c r="J318" i="2"/>
  <c r="B319" i="2"/>
  <c r="C319" i="2"/>
  <c r="D319" i="2"/>
  <c r="E319" i="2"/>
  <c r="F319" i="2" s="1"/>
  <c r="G319" i="2"/>
  <c r="H319" i="2"/>
  <c r="I319" i="2"/>
  <c r="J319" i="2"/>
  <c r="B320" i="2"/>
  <c r="C320" i="2"/>
  <c r="D320" i="2"/>
  <c r="E320" i="2"/>
  <c r="A320" i="2" s="1"/>
  <c r="G320" i="2"/>
  <c r="H320" i="2"/>
  <c r="I320" i="2"/>
  <c r="J320" i="2"/>
  <c r="B321" i="2"/>
  <c r="C321" i="2"/>
  <c r="D321" i="2"/>
  <c r="E321" i="2"/>
  <c r="A321" i="2" s="1"/>
  <c r="G321" i="2"/>
  <c r="H321" i="2"/>
  <c r="I321" i="2"/>
  <c r="J321" i="2"/>
  <c r="B322" i="2"/>
  <c r="C322" i="2"/>
  <c r="D322" i="2"/>
  <c r="E322" i="2"/>
  <c r="A322" i="2" s="1"/>
  <c r="G322" i="2"/>
  <c r="H322" i="2"/>
  <c r="I322" i="2"/>
  <c r="J322" i="2"/>
  <c r="B323" i="2"/>
  <c r="C323" i="2"/>
  <c r="D323" i="2"/>
  <c r="E323" i="2"/>
  <c r="F323" i="2" s="1"/>
  <c r="G323" i="2"/>
  <c r="H323" i="2"/>
  <c r="I323" i="2"/>
  <c r="J323" i="2"/>
  <c r="B324" i="2"/>
  <c r="C324" i="2"/>
  <c r="D324" i="2"/>
  <c r="E324" i="2"/>
  <c r="A324" i="2" s="1"/>
  <c r="G324" i="2"/>
  <c r="H324" i="2"/>
  <c r="I324" i="2"/>
  <c r="J324" i="2"/>
  <c r="A325" i="2"/>
  <c r="B325" i="2"/>
  <c r="C325" i="2"/>
  <c r="D325" i="2"/>
  <c r="E325" i="2"/>
  <c r="F325" i="2"/>
  <c r="G325" i="2"/>
  <c r="H325" i="2"/>
  <c r="I325" i="2"/>
  <c r="J325" i="2"/>
  <c r="B326" i="2"/>
  <c r="C326" i="2"/>
  <c r="D326" i="2"/>
  <c r="E326" i="2"/>
  <c r="A326" i="2" s="1"/>
  <c r="G326" i="2"/>
  <c r="H326" i="2"/>
  <c r="I326" i="2"/>
  <c r="J326" i="2"/>
  <c r="A327" i="2"/>
  <c r="B327" i="2"/>
  <c r="C327" i="2"/>
  <c r="D327" i="2"/>
  <c r="E327" i="2"/>
  <c r="F327" i="2" s="1"/>
  <c r="G327" i="2"/>
  <c r="H327" i="2"/>
  <c r="I327" i="2"/>
  <c r="J327" i="2"/>
  <c r="B328" i="2"/>
  <c r="C328" i="2"/>
  <c r="D328" i="2"/>
  <c r="E328" i="2"/>
  <c r="A328" i="2" s="1"/>
  <c r="G328" i="2"/>
  <c r="H328" i="2"/>
  <c r="I328" i="2"/>
  <c r="J328" i="2"/>
  <c r="B299" i="2"/>
  <c r="C299" i="2"/>
  <c r="D299" i="2"/>
  <c r="E299" i="2"/>
  <c r="A299" i="2" s="1"/>
  <c r="G299" i="2"/>
  <c r="H299" i="2"/>
  <c r="I299" i="2"/>
  <c r="J299" i="2"/>
  <c r="B300" i="2"/>
  <c r="C300" i="2"/>
  <c r="D300" i="2"/>
  <c r="E300" i="2"/>
  <c r="A300" i="2" s="1"/>
  <c r="G300" i="2"/>
  <c r="H300" i="2"/>
  <c r="I300" i="2"/>
  <c r="J300" i="2"/>
  <c r="B301" i="2"/>
  <c r="C301" i="2"/>
  <c r="D301" i="2"/>
  <c r="E301" i="2"/>
  <c r="A301" i="2" s="1"/>
  <c r="F301" i="2"/>
  <c r="G301" i="2"/>
  <c r="H301" i="2"/>
  <c r="I301" i="2"/>
  <c r="J301" i="2"/>
  <c r="B302" i="2"/>
  <c r="C302" i="2"/>
  <c r="D302" i="2"/>
  <c r="E302" i="2"/>
  <c r="A302" i="2" s="1"/>
  <c r="G302" i="2"/>
  <c r="H302" i="2"/>
  <c r="I302" i="2"/>
  <c r="J302" i="2"/>
  <c r="B303" i="2"/>
  <c r="C303" i="2"/>
  <c r="D303" i="2"/>
  <c r="E303" i="2"/>
  <c r="A303" i="2" s="1"/>
  <c r="G303" i="2"/>
  <c r="H303" i="2"/>
  <c r="I303" i="2"/>
  <c r="J303" i="2"/>
  <c r="B304" i="2"/>
  <c r="C304" i="2"/>
  <c r="D304" i="2"/>
  <c r="E304" i="2"/>
  <c r="A304" i="2" s="1"/>
  <c r="F304" i="2"/>
  <c r="G304" i="2"/>
  <c r="H304" i="2"/>
  <c r="I304" i="2"/>
  <c r="J304" i="2"/>
  <c r="B305" i="2"/>
  <c r="C305" i="2"/>
  <c r="D305" i="2"/>
  <c r="E305" i="2"/>
  <c r="A305" i="2" s="1"/>
  <c r="F305" i="2"/>
  <c r="G305" i="2"/>
  <c r="H305" i="2"/>
  <c r="I305" i="2"/>
  <c r="J305" i="2"/>
  <c r="B306" i="2"/>
  <c r="C306" i="2"/>
  <c r="D306" i="2"/>
  <c r="E306" i="2"/>
  <c r="A306" i="2" s="1"/>
  <c r="F306" i="2"/>
  <c r="G306" i="2"/>
  <c r="H306" i="2"/>
  <c r="I306" i="2"/>
  <c r="J306" i="2"/>
  <c r="B307" i="2"/>
  <c r="C307" i="2"/>
  <c r="D307" i="2"/>
  <c r="E307" i="2"/>
  <c r="A307" i="2" s="1"/>
  <c r="G307" i="2"/>
  <c r="H307" i="2"/>
  <c r="I307" i="2"/>
  <c r="J307" i="2"/>
  <c r="B308" i="2"/>
  <c r="C308" i="2"/>
  <c r="D308" i="2"/>
  <c r="E308" i="2"/>
  <c r="A308" i="2" s="1"/>
  <c r="G308" i="2"/>
  <c r="H308" i="2"/>
  <c r="I308" i="2"/>
  <c r="J308" i="2"/>
  <c r="B309" i="2"/>
  <c r="C309" i="2"/>
  <c r="D309" i="2"/>
  <c r="E309" i="2"/>
  <c r="A309" i="2" s="1"/>
  <c r="F309" i="2"/>
  <c r="G309" i="2"/>
  <c r="H309" i="2"/>
  <c r="I309" i="2"/>
  <c r="J309" i="2"/>
  <c r="B310" i="2"/>
  <c r="C310" i="2"/>
  <c r="D310" i="2"/>
  <c r="E310" i="2"/>
  <c r="A310" i="2" s="1"/>
  <c r="G310" i="2"/>
  <c r="H310" i="2"/>
  <c r="I310" i="2"/>
  <c r="J310" i="2"/>
  <c r="B311" i="2"/>
  <c r="C311" i="2"/>
  <c r="D311" i="2"/>
  <c r="E311" i="2"/>
  <c r="A311" i="2" s="1"/>
  <c r="G311" i="2"/>
  <c r="H311" i="2"/>
  <c r="I311" i="2"/>
  <c r="J311" i="2"/>
  <c r="B312" i="2"/>
  <c r="C312" i="2"/>
  <c r="D312" i="2"/>
  <c r="E312" i="2"/>
  <c r="A312" i="2" s="1"/>
  <c r="G312" i="2"/>
  <c r="H312" i="2"/>
  <c r="I312" i="2"/>
  <c r="J312" i="2"/>
  <c r="B313" i="2"/>
  <c r="C313" i="2"/>
  <c r="D313" i="2"/>
  <c r="E313" i="2"/>
  <c r="A313" i="2" s="1"/>
  <c r="F313" i="2"/>
  <c r="G313" i="2"/>
  <c r="H313" i="2"/>
  <c r="I313" i="2"/>
  <c r="J313" i="2"/>
  <c r="B314" i="2"/>
  <c r="C314" i="2"/>
  <c r="D314" i="2"/>
  <c r="E314" i="2"/>
  <c r="A314" i="2" s="1"/>
  <c r="F314" i="2"/>
  <c r="G314" i="2"/>
  <c r="H314" i="2"/>
  <c r="I314" i="2"/>
  <c r="J314" i="2"/>
  <c r="B315" i="2"/>
  <c r="C315" i="2"/>
  <c r="D315" i="2"/>
  <c r="E315" i="2"/>
  <c r="A315" i="2" s="1"/>
  <c r="G315" i="2"/>
  <c r="H315" i="2"/>
  <c r="I315" i="2"/>
  <c r="J315" i="2"/>
  <c r="B316" i="2"/>
  <c r="C316" i="2"/>
  <c r="D316" i="2"/>
  <c r="E316" i="2"/>
  <c r="A316" i="2" s="1"/>
  <c r="F316" i="2"/>
  <c r="G316" i="2"/>
  <c r="H316" i="2"/>
  <c r="I316" i="2"/>
  <c r="J316" i="2"/>
  <c r="A317" i="2"/>
  <c r="B317" i="2"/>
  <c r="C317" i="2"/>
  <c r="D317" i="2"/>
  <c r="E317" i="2"/>
  <c r="F317" i="2" s="1"/>
  <c r="G317" i="2"/>
  <c r="H317" i="2"/>
  <c r="I317" i="2"/>
  <c r="J317" i="2"/>
  <c r="F315" i="2" l="1"/>
  <c r="F308" i="2"/>
  <c r="F300" i="2"/>
  <c r="F321" i="2"/>
  <c r="F354" i="2"/>
  <c r="F346" i="2"/>
  <c r="A360" i="2"/>
  <c r="F307" i="2"/>
  <c r="F299" i="2"/>
  <c r="N352" i="2"/>
  <c r="A350" i="2"/>
  <c r="N344" i="2"/>
  <c r="A342" i="2"/>
  <c r="A366" i="2"/>
  <c r="F364" i="2"/>
  <c r="F361" i="2"/>
  <c r="F348" i="2"/>
  <c r="F367" i="2"/>
  <c r="A323" i="2"/>
  <c r="A352" i="2"/>
  <c r="A344" i="2"/>
  <c r="A362" i="2"/>
  <c r="F312" i="2"/>
  <c r="A368" i="2"/>
  <c r="F366" i="2"/>
  <c r="F363" i="2"/>
  <c r="F311" i="2"/>
  <c r="F303" i="2"/>
  <c r="N351" i="2"/>
  <c r="N343" i="2"/>
  <c r="F356" i="2"/>
  <c r="F310" i="2"/>
  <c r="F302" i="2"/>
  <c r="A319" i="2"/>
  <c r="A364" i="2"/>
  <c r="F362" i="2"/>
  <c r="F359" i="2"/>
  <c r="N369" i="2"/>
  <c r="N367" i="2"/>
  <c r="N365" i="2"/>
  <c r="N363" i="2"/>
  <c r="N361" i="2"/>
  <c r="N359" i="2"/>
  <c r="N357" i="2"/>
  <c r="N356" i="2"/>
  <c r="A355" i="2"/>
  <c r="A353" i="2"/>
  <c r="A351" i="2"/>
  <c r="A349" i="2"/>
  <c r="A347" i="2"/>
  <c r="A345" i="2"/>
  <c r="A343" i="2"/>
  <c r="F341" i="2"/>
  <c r="F339" i="2"/>
  <c r="F337" i="2"/>
  <c r="F335" i="2"/>
  <c r="F333" i="2"/>
  <c r="F331" i="2"/>
  <c r="F329" i="2"/>
  <c r="A340" i="2"/>
  <c r="A338" i="2"/>
  <c r="A336" i="2"/>
  <c r="A334" i="2"/>
  <c r="A332" i="2"/>
  <c r="A330" i="2"/>
  <c r="N341" i="2"/>
  <c r="F328" i="2"/>
  <c r="F326" i="2"/>
  <c r="F324" i="2"/>
  <c r="F322" i="2"/>
  <c r="F320" i="2"/>
  <c r="F318" i="2"/>
  <c r="B294" i="2" l="1"/>
  <c r="C294" i="2"/>
  <c r="D294" i="2"/>
  <c r="E294" i="2"/>
  <c r="G294" i="2"/>
  <c r="H294" i="2"/>
  <c r="I294" i="2"/>
  <c r="J294" i="2"/>
  <c r="B295" i="2"/>
  <c r="C295" i="2"/>
  <c r="D295" i="2"/>
  <c r="E295" i="2"/>
  <c r="G295" i="2"/>
  <c r="H295" i="2"/>
  <c r="I295" i="2"/>
  <c r="J295" i="2"/>
  <c r="B296" i="2"/>
  <c r="C296" i="2"/>
  <c r="D296" i="2"/>
  <c r="E296" i="2"/>
  <c r="G296" i="2"/>
  <c r="H296" i="2"/>
  <c r="I296" i="2"/>
  <c r="J296" i="2"/>
  <c r="B297" i="2"/>
  <c r="C297" i="2"/>
  <c r="D297" i="2"/>
  <c r="E297" i="2"/>
  <c r="G297" i="2"/>
  <c r="H297" i="2"/>
  <c r="I297" i="2"/>
  <c r="J297" i="2"/>
  <c r="B298" i="2"/>
  <c r="C298" i="2"/>
  <c r="D298" i="2"/>
  <c r="E298" i="2"/>
  <c r="G298" i="2"/>
  <c r="H298" i="2"/>
  <c r="I298" i="2"/>
  <c r="J298" i="2"/>
  <c r="F298" i="2" l="1"/>
  <c r="A298" i="2"/>
  <c r="F295" i="2"/>
  <c r="A295" i="2"/>
  <c r="A294" i="2"/>
  <c r="F294" i="2"/>
  <c r="F296" i="2"/>
  <c r="A296" i="2"/>
  <c r="A297" i="2"/>
  <c r="F297" i="2"/>
  <c r="B293" i="2"/>
  <c r="C293" i="2"/>
  <c r="D293" i="2"/>
  <c r="E293" i="2"/>
  <c r="G293" i="2"/>
  <c r="H293" i="2"/>
  <c r="I293" i="2"/>
  <c r="J293" i="2"/>
  <c r="K293" i="2"/>
  <c r="L293" i="2"/>
  <c r="F293" i="2" l="1"/>
  <c r="A293" i="2"/>
  <c r="B284" i="2"/>
  <c r="C284" i="2"/>
  <c r="D284" i="2"/>
  <c r="E284" i="2"/>
  <c r="G284" i="2"/>
  <c r="H284" i="2"/>
  <c r="I284" i="2"/>
  <c r="J284" i="2"/>
  <c r="K284" i="2"/>
  <c r="L284" i="2"/>
  <c r="B285" i="2"/>
  <c r="C285" i="2"/>
  <c r="D285" i="2"/>
  <c r="E285" i="2"/>
  <c r="G285" i="2"/>
  <c r="H285" i="2"/>
  <c r="I285" i="2"/>
  <c r="J285" i="2"/>
  <c r="K285" i="2"/>
  <c r="L285" i="2"/>
  <c r="B286" i="2"/>
  <c r="C286" i="2"/>
  <c r="D286" i="2"/>
  <c r="E286" i="2"/>
  <c r="G286" i="2"/>
  <c r="H286" i="2"/>
  <c r="I286" i="2"/>
  <c r="J286" i="2"/>
  <c r="K286" i="2"/>
  <c r="L286" i="2"/>
  <c r="B287" i="2"/>
  <c r="C287" i="2"/>
  <c r="D287" i="2"/>
  <c r="E287" i="2"/>
  <c r="G287" i="2"/>
  <c r="H287" i="2"/>
  <c r="I287" i="2"/>
  <c r="J287" i="2"/>
  <c r="K287" i="2"/>
  <c r="L287" i="2"/>
  <c r="B288" i="2"/>
  <c r="C288" i="2"/>
  <c r="D288" i="2"/>
  <c r="E288" i="2"/>
  <c r="G288" i="2"/>
  <c r="H288" i="2"/>
  <c r="I288" i="2"/>
  <c r="J288" i="2"/>
  <c r="K288" i="2"/>
  <c r="L288" i="2"/>
  <c r="B289" i="2"/>
  <c r="C289" i="2"/>
  <c r="D289" i="2"/>
  <c r="E289" i="2"/>
  <c r="G289" i="2"/>
  <c r="H289" i="2"/>
  <c r="I289" i="2"/>
  <c r="J289" i="2"/>
  <c r="K289" i="2"/>
  <c r="L289" i="2"/>
  <c r="B290" i="2"/>
  <c r="C290" i="2"/>
  <c r="D290" i="2"/>
  <c r="E290" i="2"/>
  <c r="G290" i="2"/>
  <c r="H290" i="2"/>
  <c r="I290" i="2"/>
  <c r="J290" i="2"/>
  <c r="K290" i="2"/>
  <c r="L290" i="2"/>
  <c r="B291" i="2"/>
  <c r="C291" i="2"/>
  <c r="D291" i="2"/>
  <c r="E291" i="2"/>
  <c r="G291" i="2"/>
  <c r="H291" i="2"/>
  <c r="I291" i="2"/>
  <c r="J291" i="2"/>
  <c r="K291" i="2"/>
  <c r="L291" i="2"/>
  <c r="B292" i="2"/>
  <c r="C292" i="2"/>
  <c r="D292" i="2"/>
  <c r="E292" i="2"/>
  <c r="G292" i="2"/>
  <c r="H292" i="2"/>
  <c r="I292" i="2"/>
  <c r="J292" i="2"/>
  <c r="K292" i="2"/>
  <c r="L292" i="2"/>
  <c r="A290" i="2" l="1"/>
  <c r="A286" i="2"/>
  <c r="A285" i="2"/>
  <c r="A291" i="2"/>
  <c r="A289" i="2"/>
  <c r="A292" i="2"/>
  <c r="A288" i="2"/>
  <c r="A284" i="2"/>
  <c r="A287" i="2"/>
  <c r="F285" i="2"/>
  <c r="F291" i="2"/>
  <c r="F288" i="2"/>
  <c r="F287" i="2"/>
  <c r="F284" i="2"/>
  <c r="F292" i="2"/>
  <c r="F290" i="2"/>
  <c r="F289" i="2"/>
  <c r="F286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B283" i="2" l="1"/>
  <c r="C283" i="2"/>
  <c r="D283" i="2"/>
  <c r="E283" i="2"/>
  <c r="G283" i="2"/>
  <c r="H283" i="2"/>
  <c r="I283" i="2"/>
  <c r="J283" i="2"/>
  <c r="K283" i="2"/>
  <c r="L283" i="2"/>
  <c r="B250" i="2"/>
  <c r="C250" i="2"/>
  <c r="D250" i="2"/>
  <c r="E250" i="2"/>
  <c r="G250" i="2"/>
  <c r="H250" i="2"/>
  <c r="I250" i="2"/>
  <c r="J250" i="2"/>
  <c r="K250" i="2"/>
  <c r="B251" i="2"/>
  <c r="C251" i="2"/>
  <c r="D251" i="2"/>
  <c r="E251" i="2"/>
  <c r="G251" i="2"/>
  <c r="H251" i="2"/>
  <c r="I251" i="2"/>
  <c r="J251" i="2"/>
  <c r="K251" i="2"/>
  <c r="B252" i="2"/>
  <c r="C252" i="2"/>
  <c r="D252" i="2"/>
  <c r="E252" i="2"/>
  <c r="A252" i="2" s="1"/>
  <c r="G252" i="2"/>
  <c r="H252" i="2"/>
  <c r="I252" i="2"/>
  <c r="J252" i="2"/>
  <c r="K252" i="2"/>
  <c r="B253" i="2"/>
  <c r="C253" i="2"/>
  <c r="D253" i="2"/>
  <c r="E253" i="2"/>
  <c r="G253" i="2"/>
  <c r="H253" i="2"/>
  <c r="I253" i="2"/>
  <c r="J253" i="2"/>
  <c r="K253" i="2"/>
  <c r="B254" i="2"/>
  <c r="C254" i="2"/>
  <c r="D254" i="2"/>
  <c r="E254" i="2"/>
  <c r="G254" i="2"/>
  <c r="H254" i="2"/>
  <c r="I254" i="2"/>
  <c r="J254" i="2"/>
  <c r="K254" i="2"/>
  <c r="B255" i="2"/>
  <c r="C255" i="2"/>
  <c r="D255" i="2"/>
  <c r="E255" i="2"/>
  <c r="A255" i="2" s="1"/>
  <c r="G255" i="2"/>
  <c r="H255" i="2"/>
  <c r="I255" i="2"/>
  <c r="J255" i="2"/>
  <c r="K255" i="2"/>
  <c r="B256" i="2"/>
  <c r="C256" i="2"/>
  <c r="D256" i="2"/>
  <c r="E256" i="2"/>
  <c r="G256" i="2"/>
  <c r="H256" i="2"/>
  <c r="I256" i="2"/>
  <c r="J256" i="2"/>
  <c r="K256" i="2"/>
  <c r="B257" i="2"/>
  <c r="C257" i="2"/>
  <c r="D257" i="2"/>
  <c r="E257" i="2"/>
  <c r="G257" i="2"/>
  <c r="H257" i="2"/>
  <c r="I257" i="2"/>
  <c r="J257" i="2"/>
  <c r="K257" i="2"/>
  <c r="B258" i="2"/>
  <c r="C258" i="2"/>
  <c r="D258" i="2"/>
  <c r="E258" i="2"/>
  <c r="G258" i="2"/>
  <c r="H258" i="2"/>
  <c r="I258" i="2"/>
  <c r="J258" i="2"/>
  <c r="K258" i="2"/>
  <c r="B259" i="2"/>
  <c r="C259" i="2"/>
  <c r="D259" i="2"/>
  <c r="E259" i="2"/>
  <c r="G259" i="2"/>
  <c r="H259" i="2"/>
  <c r="I259" i="2"/>
  <c r="J259" i="2"/>
  <c r="K259" i="2"/>
  <c r="B260" i="2"/>
  <c r="C260" i="2"/>
  <c r="D260" i="2"/>
  <c r="E260" i="2"/>
  <c r="G260" i="2"/>
  <c r="H260" i="2"/>
  <c r="I260" i="2"/>
  <c r="J260" i="2"/>
  <c r="K260" i="2"/>
  <c r="B261" i="2"/>
  <c r="C261" i="2"/>
  <c r="D261" i="2"/>
  <c r="E261" i="2"/>
  <c r="G261" i="2"/>
  <c r="H261" i="2"/>
  <c r="I261" i="2"/>
  <c r="J261" i="2"/>
  <c r="K261" i="2"/>
  <c r="B262" i="2"/>
  <c r="C262" i="2"/>
  <c r="D262" i="2"/>
  <c r="E262" i="2"/>
  <c r="A262" i="2" s="1"/>
  <c r="G262" i="2"/>
  <c r="H262" i="2"/>
  <c r="I262" i="2"/>
  <c r="J262" i="2"/>
  <c r="K262" i="2"/>
  <c r="B263" i="2"/>
  <c r="C263" i="2"/>
  <c r="D263" i="2"/>
  <c r="E263" i="2"/>
  <c r="A263" i="2" s="1"/>
  <c r="G263" i="2"/>
  <c r="H263" i="2"/>
  <c r="I263" i="2"/>
  <c r="J263" i="2"/>
  <c r="K263" i="2"/>
  <c r="B264" i="2"/>
  <c r="C264" i="2"/>
  <c r="D264" i="2"/>
  <c r="E264" i="2"/>
  <c r="G264" i="2"/>
  <c r="H264" i="2"/>
  <c r="I264" i="2"/>
  <c r="J264" i="2"/>
  <c r="K264" i="2"/>
  <c r="A283" i="2" l="1"/>
  <c r="F259" i="2"/>
  <c r="A259" i="2"/>
  <c r="F251" i="2"/>
  <c r="A251" i="2"/>
  <c r="F258" i="2"/>
  <c r="A258" i="2"/>
  <c r="F250" i="2"/>
  <c r="A250" i="2"/>
  <c r="F260" i="2"/>
  <c r="A260" i="2"/>
  <c r="F257" i="2"/>
  <c r="A257" i="2"/>
  <c r="F264" i="2"/>
  <c r="A264" i="2"/>
  <c r="F256" i="2"/>
  <c r="A256" i="2"/>
  <c r="F254" i="2"/>
  <c r="A254" i="2"/>
  <c r="F261" i="2"/>
  <c r="A261" i="2"/>
  <c r="F253" i="2"/>
  <c r="A253" i="2"/>
  <c r="F252" i="2"/>
  <c r="F262" i="2"/>
  <c r="F283" i="2"/>
  <c r="F263" i="2"/>
  <c r="F255" i="2"/>
  <c r="B245" i="2" l="1"/>
  <c r="C245" i="2"/>
  <c r="D245" i="2"/>
  <c r="E245" i="2"/>
  <c r="G245" i="2"/>
  <c r="H245" i="2"/>
  <c r="I245" i="2"/>
  <c r="J245" i="2"/>
  <c r="K245" i="2"/>
  <c r="B246" i="2"/>
  <c r="C246" i="2"/>
  <c r="D246" i="2"/>
  <c r="E246" i="2"/>
  <c r="A246" i="2" s="1"/>
  <c r="G246" i="2"/>
  <c r="H246" i="2"/>
  <c r="I246" i="2"/>
  <c r="J246" i="2"/>
  <c r="K246" i="2"/>
  <c r="B247" i="2"/>
  <c r="C247" i="2"/>
  <c r="D247" i="2"/>
  <c r="E247" i="2"/>
  <c r="G247" i="2"/>
  <c r="H247" i="2"/>
  <c r="I247" i="2"/>
  <c r="J247" i="2"/>
  <c r="K247" i="2"/>
  <c r="B248" i="2"/>
  <c r="C248" i="2"/>
  <c r="D248" i="2"/>
  <c r="E248" i="2"/>
  <c r="G248" i="2"/>
  <c r="H248" i="2"/>
  <c r="I248" i="2"/>
  <c r="J248" i="2"/>
  <c r="K248" i="2"/>
  <c r="B249" i="2"/>
  <c r="C249" i="2"/>
  <c r="D249" i="2"/>
  <c r="E249" i="2"/>
  <c r="A249" i="2" s="1"/>
  <c r="G249" i="2"/>
  <c r="H249" i="2"/>
  <c r="I249" i="2"/>
  <c r="J249" i="2"/>
  <c r="K249" i="2"/>
  <c r="B234" i="2"/>
  <c r="C234" i="2"/>
  <c r="D234" i="2"/>
  <c r="E234" i="2"/>
  <c r="A234" i="2" s="1"/>
  <c r="G234" i="2"/>
  <c r="H234" i="2"/>
  <c r="I234" i="2"/>
  <c r="J234" i="2"/>
  <c r="K234" i="2"/>
  <c r="B235" i="2"/>
  <c r="C235" i="2"/>
  <c r="D235" i="2"/>
  <c r="E235" i="2"/>
  <c r="A235" i="2" s="1"/>
  <c r="G235" i="2"/>
  <c r="H235" i="2"/>
  <c r="I235" i="2"/>
  <c r="J235" i="2"/>
  <c r="K235" i="2"/>
  <c r="B236" i="2"/>
  <c r="C236" i="2"/>
  <c r="D236" i="2"/>
  <c r="E236" i="2"/>
  <c r="G236" i="2"/>
  <c r="H236" i="2"/>
  <c r="I236" i="2"/>
  <c r="J236" i="2"/>
  <c r="K236" i="2"/>
  <c r="B237" i="2"/>
  <c r="C237" i="2"/>
  <c r="D237" i="2"/>
  <c r="E237" i="2"/>
  <c r="G237" i="2"/>
  <c r="H237" i="2"/>
  <c r="I237" i="2"/>
  <c r="J237" i="2"/>
  <c r="K237" i="2"/>
  <c r="B238" i="2"/>
  <c r="C238" i="2"/>
  <c r="D238" i="2"/>
  <c r="E238" i="2"/>
  <c r="A238" i="2" s="1"/>
  <c r="G238" i="2"/>
  <c r="H238" i="2"/>
  <c r="I238" i="2"/>
  <c r="J238" i="2"/>
  <c r="K238" i="2"/>
  <c r="B239" i="2"/>
  <c r="C239" i="2"/>
  <c r="D239" i="2"/>
  <c r="E239" i="2"/>
  <c r="G239" i="2"/>
  <c r="H239" i="2"/>
  <c r="I239" i="2"/>
  <c r="J239" i="2"/>
  <c r="K239" i="2"/>
  <c r="B240" i="2"/>
  <c r="C240" i="2"/>
  <c r="D240" i="2"/>
  <c r="E240" i="2"/>
  <c r="G240" i="2"/>
  <c r="H240" i="2"/>
  <c r="I240" i="2"/>
  <c r="J240" i="2"/>
  <c r="K240" i="2"/>
  <c r="B241" i="2"/>
  <c r="C241" i="2"/>
  <c r="D241" i="2"/>
  <c r="E241" i="2"/>
  <c r="G241" i="2"/>
  <c r="H241" i="2"/>
  <c r="I241" i="2"/>
  <c r="J241" i="2"/>
  <c r="K241" i="2"/>
  <c r="B242" i="2"/>
  <c r="C242" i="2"/>
  <c r="D242" i="2"/>
  <c r="E242" i="2"/>
  <c r="G242" i="2"/>
  <c r="H242" i="2"/>
  <c r="I242" i="2"/>
  <c r="J242" i="2"/>
  <c r="K242" i="2"/>
  <c r="B243" i="2"/>
  <c r="C243" i="2"/>
  <c r="D243" i="2"/>
  <c r="E243" i="2"/>
  <c r="A243" i="2" s="1"/>
  <c r="G243" i="2"/>
  <c r="H243" i="2"/>
  <c r="I243" i="2"/>
  <c r="J243" i="2"/>
  <c r="K243" i="2"/>
  <c r="B244" i="2"/>
  <c r="C244" i="2"/>
  <c r="D244" i="2"/>
  <c r="E244" i="2"/>
  <c r="G244" i="2"/>
  <c r="H244" i="2"/>
  <c r="I244" i="2"/>
  <c r="J244" i="2"/>
  <c r="K244" i="2"/>
  <c r="F240" i="2" l="1"/>
  <c r="A240" i="2"/>
  <c r="F248" i="2"/>
  <c r="A248" i="2"/>
  <c r="F247" i="2"/>
  <c r="A247" i="2"/>
  <c r="F239" i="2"/>
  <c r="A239" i="2"/>
  <c r="F237" i="2"/>
  <c r="A237" i="2"/>
  <c r="F245" i="2"/>
  <c r="A245" i="2"/>
  <c r="F241" i="2"/>
  <c r="A241" i="2"/>
  <c r="F244" i="2"/>
  <c r="A244" i="2"/>
  <c r="F236" i="2"/>
  <c r="A236" i="2"/>
  <c r="F242" i="2"/>
  <c r="A242" i="2"/>
  <c r="F249" i="2"/>
  <c r="F234" i="2"/>
  <c r="F246" i="2"/>
  <c r="F238" i="2"/>
  <c r="F243" i="2"/>
  <c r="F235" i="2"/>
  <c r="B229" i="2"/>
  <c r="C229" i="2"/>
  <c r="D229" i="2"/>
  <c r="E229" i="2"/>
  <c r="A229" i="2" s="1"/>
  <c r="G229" i="2"/>
  <c r="H229" i="2"/>
  <c r="I229" i="2"/>
  <c r="J229" i="2"/>
  <c r="K229" i="2"/>
  <c r="B230" i="2"/>
  <c r="C230" i="2"/>
  <c r="D230" i="2"/>
  <c r="E230" i="2"/>
  <c r="A230" i="2" s="1"/>
  <c r="G230" i="2"/>
  <c r="H230" i="2"/>
  <c r="I230" i="2"/>
  <c r="J230" i="2"/>
  <c r="K230" i="2"/>
  <c r="B231" i="2"/>
  <c r="C231" i="2"/>
  <c r="D231" i="2"/>
  <c r="E231" i="2"/>
  <c r="A231" i="2" s="1"/>
  <c r="G231" i="2"/>
  <c r="H231" i="2"/>
  <c r="I231" i="2"/>
  <c r="J231" i="2"/>
  <c r="K231" i="2"/>
  <c r="B232" i="2"/>
  <c r="C232" i="2"/>
  <c r="D232" i="2"/>
  <c r="E232" i="2"/>
  <c r="A232" i="2" s="1"/>
  <c r="G232" i="2"/>
  <c r="H232" i="2"/>
  <c r="I232" i="2"/>
  <c r="J232" i="2"/>
  <c r="K232" i="2"/>
  <c r="B233" i="2"/>
  <c r="C233" i="2"/>
  <c r="D233" i="2"/>
  <c r="E233" i="2"/>
  <c r="A233" i="2" s="1"/>
  <c r="G233" i="2"/>
  <c r="H233" i="2"/>
  <c r="I233" i="2"/>
  <c r="J233" i="2"/>
  <c r="K233" i="2"/>
  <c r="F233" i="2" l="1"/>
  <c r="F229" i="2"/>
  <c r="F230" i="2"/>
  <c r="F232" i="2"/>
  <c r="F231" i="2"/>
  <c r="B226" i="2"/>
  <c r="C226" i="2"/>
  <c r="D226" i="2"/>
  <c r="E226" i="2"/>
  <c r="G226" i="2"/>
  <c r="H226" i="2"/>
  <c r="I226" i="2"/>
  <c r="J226" i="2"/>
  <c r="K226" i="2"/>
  <c r="B227" i="2"/>
  <c r="C227" i="2"/>
  <c r="D227" i="2"/>
  <c r="E227" i="2"/>
  <c r="A227" i="2" s="1"/>
  <c r="G227" i="2"/>
  <c r="H227" i="2"/>
  <c r="I227" i="2"/>
  <c r="J227" i="2"/>
  <c r="K227" i="2"/>
  <c r="B228" i="2"/>
  <c r="C228" i="2"/>
  <c r="D228" i="2"/>
  <c r="E228" i="2"/>
  <c r="A228" i="2" s="1"/>
  <c r="G228" i="2"/>
  <c r="H228" i="2"/>
  <c r="I228" i="2"/>
  <c r="J228" i="2"/>
  <c r="K228" i="2"/>
  <c r="F226" i="2" l="1"/>
  <c r="A226" i="2"/>
  <c r="F227" i="2"/>
  <c r="F228" i="2"/>
  <c r="B225" i="2"/>
  <c r="C225" i="2"/>
  <c r="D225" i="2"/>
  <c r="E225" i="2"/>
  <c r="A225" i="2" s="1"/>
  <c r="G225" i="2"/>
  <c r="H225" i="2"/>
  <c r="I225" i="2"/>
  <c r="J225" i="2"/>
  <c r="K225" i="2"/>
  <c r="F225" i="2" l="1"/>
  <c r="B25" i="2"/>
  <c r="C25" i="2"/>
  <c r="D25" i="2"/>
  <c r="E25" i="2"/>
  <c r="G25" i="2"/>
  <c r="H25" i="2"/>
  <c r="I25" i="2"/>
  <c r="J25" i="2"/>
  <c r="K25" i="2"/>
  <c r="B26" i="2"/>
  <c r="C26" i="2"/>
  <c r="D26" i="2"/>
  <c r="E26" i="2"/>
  <c r="G26" i="2"/>
  <c r="H26" i="2"/>
  <c r="I26" i="2"/>
  <c r="J26" i="2"/>
  <c r="K26" i="2"/>
  <c r="B27" i="2"/>
  <c r="C27" i="2"/>
  <c r="D27" i="2"/>
  <c r="G27" i="2"/>
  <c r="H27" i="2"/>
  <c r="I27" i="2"/>
  <c r="J27" i="2"/>
  <c r="K27" i="2"/>
  <c r="B28" i="2"/>
  <c r="C28" i="2"/>
  <c r="D28" i="2"/>
  <c r="G28" i="2"/>
  <c r="H28" i="2"/>
  <c r="I28" i="2"/>
  <c r="J28" i="2"/>
  <c r="K28" i="2"/>
  <c r="B29" i="2"/>
  <c r="C29" i="2"/>
  <c r="D29" i="2"/>
  <c r="G29" i="2"/>
  <c r="H29" i="2"/>
  <c r="I29" i="2"/>
  <c r="J29" i="2"/>
  <c r="K29" i="2"/>
  <c r="B30" i="2"/>
  <c r="C30" i="2"/>
  <c r="D30" i="2"/>
  <c r="G30" i="2"/>
  <c r="H30" i="2"/>
  <c r="I30" i="2"/>
  <c r="J30" i="2"/>
  <c r="K30" i="2"/>
  <c r="B31" i="2"/>
  <c r="C31" i="2"/>
  <c r="D31" i="2"/>
  <c r="G31" i="2"/>
  <c r="H31" i="2"/>
  <c r="I31" i="2"/>
  <c r="J31" i="2"/>
  <c r="K31" i="2"/>
  <c r="B32" i="2"/>
  <c r="C32" i="2"/>
  <c r="D32" i="2"/>
  <c r="E32" i="2"/>
  <c r="G32" i="2"/>
  <c r="H32" i="2"/>
  <c r="I32" i="2"/>
  <c r="J32" i="2"/>
  <c r="K32" i="2"/>
  <c r="B33" i="2"/>
  <c r="C33" i="2"/>
  <c r="D33" i="2"/>
  <c r="E33" i="2"/>
  <c r="G33" i="2"/>
  <c r="H33" i="2"/>
  <c r="I33" i="2"/>
  <c r="J33" i="2"/>
  <c r="K33" i="2"/>
  <c r="B34" i="2"/>
  <c r="C34" i="2"/>
  <c r="D34" i="2"/>
  <c r="E34" i="2"/>
  <c r="G34" i="2"/>
  <c r="H34" i="2"/>
  <c r="I34" i="2"/>
  <c r="J34" i="2"/>
  <c r="K34" i="2"/>
  <c r="B35" i="2"/>
  <c r="C35" i="2"/>
  <c r="D35" i="2"/>
  <c r="E35" i="2"/>
  <c r="G35" i="2"/>
  <c r="H35" i="2"/>
  <c r="I35" i="2"/>
  <c r="J35" i="2"/>
  <c r="K35" i="2"/>
  <c r="B36" i="2"/>
  <c r="C36" i="2"/>
  <c r="D36" i="2"/>
  <c r="E36" i="2"/>
  <c r="G36" i="2"/>
  <c r="H36" i="2"/>
  <c r="I36" i="2"/>
  <c r="J36" i="2"/>
  <c r="K36" i="2"/>
  <c r="B37" i="2"/>
  <c r="C37" i="2"/>
  <c r="D37" i="2"/>
  <c r="E37" i="2"/>
  <c r="G37" i="2"/>
  <c r="H37" i="2"/>
  <c r="I37" i="2"/>
  <c r="J37" i="2"/>
  <c r="K37" i="2"/>
  <c r="B38" i="2"/>
  <c r="C38" i="2"/>
  <c r="D38" i="2"/>
  <c r="E38" i="2"/>
  <c r="G38" i="2"/>
  <c r="H38" i="2"/>
  <c r="I38" i="2"/>
  <c r="J38" i="2"/>
  <c r="K38" i="2"/>
  <c r="B39" i="2"/>
  <c r="C39" i="2"/>
  <c r="D39" i="2"/>
  <c r="E39" i="2"/>
  <c r="G39" i="2"/>
  <c r="H39" i="2"/>
  <c r="I39" i="2"/>
  <c r="J39" i="2"/>
  <c r="K39" i="2"/>
  <c r="B40" i="2"/>
  <c r="C40" i="2"/>
  <c r="D40" i="2"/>
  <c r="E40" i="2"/>
  <c r="G40" i="2"/>
  <c r="H40" i="2"/>
  <c r="I40" i="2"/>
  <c r="J40" i="2"/>
  <c r="K40" i="2"/>
  <c r="B41" i="2"/>
  <c r="C41" i="2"/>
  <c r="D41" i="2"/>
  <c r="E41" i="2"/>
  <c r="G41" i="2"/>
  <c r="H41" i="2"/>
  <c r="I41" i="2"/>
  <c r="J41" i="2"/>
  <c r="K41" i="2"/>
  <c r="B42" i="2"/>
  <c r="C42" i="2"/>
  <c r="D42" i="2"/>
  <c r="E42" i="2"/>
  <c r="G42" i="2"/>
  <c r="H42" i="2"/>
  <c r="I42" i="2"/>
  <c r="J42" i="2"/>
  <c r="K42" i="2"/>
  <c r="B43" i="2"/>
  <c r="C43" i="2"/>
  <c r="D43" i="2"/>
  <c r="E43" i="2"/>
  <c r="G43" i="2"/>
  <c r="H43" i="2"/>
  <c r="I43" i="2"/>
  <c r="J43" i="2"/>
  <c r="K43" i="2"/>
  <c r="B44" i="2"/>
  <c r="C44" i="2"/>
  <c r="D44" i="2"/>
  <c r="E44" i="2"/>
  <c r="G44" i="2"/>
  <c r="H44" i="2"/>
  <c r="I44" i="2"/>
  <c r="J44" i="2"/>
  <c r="K44" i="2"/>
  <c r="B45" i="2"/>
  <c r="C45" i="2"/>
  <c r="D45" i="2"/>
  <c r="E45" i="2"/>
  <c r="G45" i="2"/>
  <c r="H45" i="2"/>
  <c r="I45" i="2"/>
  <c r="J45" i="2"/>
  <c r="K45" i="2"/>
  <c r="B46" i="2"/>
  <c r="C46" i="2"/>
  <c r="D46" i="2"/>
  <c r="E46" i="2"/>
  <c r="G46" i="2"/>
  <c r="H46" i="2"/>
  <c r="I46" i="2"/>
  <c r="J46" i="2"/>
  <c r="K46" i="2"/>
  <c r="B47" i="2"/>
  <c r="C47" i="2"/>
  <c r="D47" i="2"/>
  <c r="E47" i="2"/>
  <c r="G47" i="2"/>
  <c r="H47" i="2"/>
  <c r="I47" i="2"/>
  <c r="J47" i="2"/>
  <c r="K47" i="2"/>
  <c r="B48" i="2"/>
  <c r="C48" i="2"/>
  <c r="D48" i="2"/>
  <c r="E48" i="2"/>
  <c r="G48" i="2"/>
  <c r="H48" i="2"/>
  <c r="I48" i="2"/>
  <c r="J48" i="2"/>
  <c r="K48" i="2"/>
  <c r="B49" i="2"/>
  <c r="C49" i="2"/>
  <c r="D49" i="2"/>
  <c r="E49" i="2"/>
  <c r="G49" i="2"/>
  <c r="H49" i="2"/>
  <c r="I49" i="2"/>
  <c r="J49" i="2"/>
  <c r="K49" i="2"/>
  <c r="B50" i="2"/>
  <c r="C50" i="2"/>
  <c r="D50" i="2"/>
  <c r="E50" i="2"/>
  <c r="G50" i="2"/>
  <c r="H50" i="2"/>
  <c r="I50" i="2"/>
  <c r="J50" i="2"/>
  <c r="K50" i="2"/>
  <c r="B51" i="2"/>
  <c r="C51" i="2"/>
  <c r="D51" i="2"/>
  <c r="E51" i="2"/>
  <c r="G51" i="2"/>
  <c r="H51" i="2"/>
  <c r="I51" i="2"/>
  <c r="J51" i="2"/>
  <c r="K51" i="2"/>
  <c r="B52" i="2"/>
  <c r="C52" i="2"/>
  <c r="D52" i="2"/>
  <c r="E52" i="2"/>
  <c r="G52" i="2"/>
  <c r="H52" i="2"/>
  <c r="I52" i="2"/>
  <c r="J52" i="2"/>
  <c r="K52" i="2"/>
  <c r="B53" i="2"/>
  <c r="C53" i="2"/>
  <c r="D53" i="2"/>
  <c r="E53" i="2"/>
  <c r="G53" i="2"/>
  <c r="H53" i="2"/>
  <c r="I53" i="2"/>
  <c r="J53" i="2"/>
  <c r="K53" i="2"/>
  <c r="B54" i="2"/>
  <c r="C54" i="2"/>
  <c r="D54" i="2"/>
  <c r="E54" i="2"/>
  <c r="G54" i="2"/>
  <c r="H54" i="2"/>
  <c r="I54" i="2"/>
  <c r="J54" i="2"/>
  <c r="K54" i="2"/>
  <c r="B55" i="2"/>
  <c r="C55" i="2"/>
  <c r="D55" i="2"/>
  <c r="E55" i="2"/>
  <c r="G55" i="2"/>
  <c r="H55" i="2"/>
  <c r="I55" i="2"/>
  <c r="J55" i="2"/>
  <c r="K55" i="2"/>
  <c r="B56" i="2"/>
  <c r="C56" i="2"/>
  <c r="D56" i="2"/>
  <c r="E56" i="2"/>
  <c r="G56" i="2"/>
  <c r="H56" i="2"/>
  <c r="I56" i="2"/>
  <c r="J56" i="2"/>
  <c r="K56" i="2"/>
  <c r="B57" i="2"/>
  <c r="C57" i="2"/>
  <c r="D57" i="2"/>
  <c r="E57" i="2"/>
  <c r="G57" i="2"/>
  <c r="H57" i="2"/>
  <c r="I57" i="2"/>
  <c r="J57" i="2"/>
  <c r="K57" i="2"/>
  <c r="B58" i="2"/>
  <c r="C58" i="2"/>
  <c r="D58" i="2"/>
  <c r="E58" i="2"/>
  <c r="G58" i="2"/>
  <c r="H58" i="2"/>
  <c r="I58" i="2"/>
  <c r="J58" i="2"/>
  <c r="K58" i="2"/>
  <c r="B59" i="2"/>
  <c r="C59" i="2"/>
  <c r="D59" i="2"/>
  <c r="E59" i="2"/>
  <c r="G59" i="2"/>
  <c r="H59" i="2"/>
  <c r="I59" i="2"/>
  <c r="J59" i="2"/>
  <c r="K59" i="2"/>
  <c r="B60" i="2"/>
  <c r="C60" i="2"/>
  <c r="D60" i="2"/>
  <c r="E60" i="2"/>
  <c r="G60" i="2"/>
  <c r="H60" i="2"/>
  <c r="I60" i="2"/>
  <c r="J60" i="2"/>
  <c r="K60" i="2"/>
  <c r="B61" i="2"/>
  <c r="C61" i="2"/>
  <c r="D61" i="2"/>
  <c r="E61" i="2"/>
  <c r="G61" i="2"/>
  <c r="H61" i="2"/>
  <c r="I61" i="2"/>
  <c r="J61" i="2"/>
  <c r="K61" i="2"/>
  <c r="B62" i="2"/>
  <c r="C62" i="2"/>
  <c r="D62" i="2"/>
  <c r="E62" i="2"/>
  <c r="G62" i="2"/>
  <c r="H62" i="2"/>
  <c r="I62" i="2"/>
  <c r="J62" i="2"/>
  <c r="K62" i="2"/>
  <c r="B63" i="2"/>
  <c r="C63" i="2"/>
  <c r="D63" i="2"/>
  <c r="E63" i="2"/>
  <c r="G63" i="2"/>
  <c r="H63" i="2"/>
  <c r="I63" i="2"/>
  <c r="J63" i="2"/>
  <c r="K63" i="2"/>
  <c r="B64" i="2"/>
  <c r="C64" i="2"/>
  <c r="D64" i="2"/>
  <c r="E64" i="2"/>
  <c r="G64" i="2"/>
  <c r="H64" i="2"/>
  <c r="I64" i="2"/>
  <c r="J64" i="2"/>
  <c r="K64" i="2"/>
  <c r="B65" i="2"/>
  <c r="C65" i="2"/>
  <c r="D65" i="2"/>
  <c r="E65" i="2"/>
  <c r="G65" i="2"/>
  <c r="H65" i="2"/>
  <c r="I65" i="2"/>
  <c r="J65" i="2"/>
  <c r="K65" i="2"/>
  <c r="B66" i="2"/>
  <c r="C66" i="2"/>
  <c r="D66" i="2"/>
  <c r="E66" i="2"/>
  <c r="G66" i="2"/>
  <c r="H66" i="2"/>
  <c r="I66" i="2"/>
  <c r="J66" i="2"/>
  <c r="K66" i="2"/>
  <c r="B67" i="2"/>
  <c r="C67" i="2"/>
  <c r="D67" i="2"/>
  <c r="E67" i="2"/>
  <c r="G67" i="2"/>
  <c r="H67" i="2"/>
  <c r="I67" i="2"/>
  <c r="J67" i="2"/>
  <c r="K67" i="2"/>
  <c r="B68" i="2"/>
  <c r="C68" i="2"/>
  <c r="D68" i="2"/>
  <c r="E68" i="2"/>
  <c r="G68" i="2"/>
  <c r="H68" i="2"/>
  <c r="I68" i="2"/>
  <c r="J68" i="2"/>
  <c r="K68" i="2"/>
  <c r="B69" i="2"/>
  <c r="C69" i="2"/>
  <c r="D69" i="2"/>
  <c r="E69" i="2"/>
  <c r="G69" i="2"/>
  <c r="H69" i="2"/>
  <c r="I69" i="2"/>
  <c r="J69" i="2"/>
  <c r="K69" i="2"/>
  <c r="B70" i="2"/>
  <c r="C70" i="2"/>
  <c r="D70" i="2"/>
  <c r="E70" i="2"/>
  <c r="G70" i="2"/>
  <c r="H70" i="2"/>
  <c r="I70" i="2"/>
  <c r="J70" i="2"/>
  <c r="K70" i="2"/>
  <c r="B71" i="2"/>
  <c r="C71" i="2"/>
  <c r="D71" i="2"/>
  <c r="E71" i="2"/>
  <c r="G71" i="2"/>
  <c r="H71" i="2"/>
  <c r="I71" i="2"/>
  <c r="J71" i="2"/>
  <c r="K71" i="2"/>
  <c r="B72" i="2"/>
  <c r="C72" i="2"/>
  <c r="D72" i="2"/>
  <c r="E72" i="2"/>
  <c r="G72" i="2"/>
  <c r="H72" i="2"/>
  <c r="I72" i="2"/>
  <c r="J72" i="2"/>
  <c r="K72" i="2"/>
  <c r="B73" i="2"/>
  <c r="C73" i="2"/>
  <c r="D73" i="2"/>
  <c r="E73" i="2"/>
  <c r="G73" i="2"/>
  <c r="H73" i="2"/>
  <c r="I73" i="2"/>
  <c r="J73" i="2"/>
  <c r="K73" i="2"/>
  <c r="B74" i="2"/>
  <c r="C74" i="2"/>
  <c r="D74" i="2"/>
  <c r="E74" i="2"/>
  <c r="G74" i="2"/>
  <c r="H74" i="2"/>
  <c r="I74" i="2"/>
  <c r="J74" i="2"/>
  <c r="K74" i="2"/>
  <c r="B75" i="2"/>
  <c r="C75" i="2"/>
  <c r="D75" i="2"/>
  <c r="E75" i="2"/>
  <c r="G75" i="2"/>
  <c r="H75" i="2"/>
  <c r="I75" i="2"/>
  <c r="J75" i="2"/>
  <c r="K75" i="2"/>
  <c r="B76" i="2"/>
  <c r="C76" i="2"/>
  <c r="D76" i="2"/>
  <c r="E76" i="2"/>
  <c r="G76" i="2"/>
  <c r="H76" i="2"/>
  <c r="I76" i="2"/>
  <c r="J76" i="2"/>
  <c r="K76" i="2"/>
  <c r="B77" i="2"/>
  <c r="C77" i="2"/>
  <c r="D77" i="2"/>
  <c r="E77" i="2"/>
  <c r="G77" i="2"/>
  <c r="H77" i="2"/>
  <c r="I77" i="2"/>
  <c r="J77" i="2"/>
  <c r="K77" i="2"/>
  <c r="B78" i="2"/>
  <c r="C78" i="2"/>
  <c r="D78" i="2"/>
  <c r="E78" i="2"/>
  <c r="G78" i="2"/>
  <c r="H78" i="2"/>
  <c r="I78" i="2"/>
  <c r="J78" i="2"/>
  <c r="K78" i="2"/>
  <c r="B79" i="2"/>
  <c r="C79" i="2"/>
  <c r="D79" i="2"/>
  <c r="E79" i="2"/>
  <c r="G79" i="2"/>
  <c r="H79" i="2"/>
  <c r="I79" i="2"/>
  <c r="J79" i="2"/>
  <c r="K79" i="2"/>
  <c r="B80" i="2"/>
  <c r="C80" i="2"/>
  <c r="D80" i="2"/>
  <c r="E80" i="2"/>
  <c r="G80" i="2"/>
  <c r="H80" i="2"/>
  <c r="I80" i="2"/>
  <c r="J80" i="2"/>
  <c r="K80" i="2"/>
  <c r="B81" i="2"/>
  <c r="C81" i="2"/>
  <c r="D81" i="2"/>
  <c r="E81" i="2"/>
  <c r="G81" i="2"/>
  <c r="H81" i="2"/>
  <c r="I81" i="2"/>
  <c r="J81" i="2"/>
  <c r="K81" i="2"/>
  <c r="B82" i="2"/>
  <c r="C82" i="2"/>
  <c r="D82" i="2"/>
  <c r="E82" i="2"/>
  <c r="G82" i="2"/>
  <c r="H82" i="2"/>
  <c r="I82" i="2"/>
  <c r="J82" i="2"/>
  <c r="K82" i="2"/>
  <c r="B83" i="2"/>
  <c r="C83" i="2"/>
  <c r="D83" i="2"/>
  <c r="E83" i="2"/>
  <c r="G83" i="2"/>
  <c r="H83" i="2"/>
  <c r="I83" i="2"/>
  <c r="J83" i="2"/>
  <c r="K83" i="2"/>
  <c r="B84" i="2"/>
  <c r="C84" i="2"/>
  <c r="D84" i="2"/>
  <c r="E84" i="2"/>
  <c r="G84" i="2"/>
  <c r="H84" i="2"/>
  <c r="I84" i="2"/>
  <c r="J84" i="2"/>
  <c r="K84" i="2"/>
  <c r="B85" i="2"/>
  <c r="C85" i="2"/>
  <c r="D85" i="2"/>
  <c r="E85" i="2"/>
  <c r="G85" i="2"/>
  <c r="H85" i="2"/>
  <c r="I85" i="2"/>
  <c r="J85" i="2"/>
  <c r="K85" i="2"/>
  <c r="B86" i="2"/>
  <c r="C86" i="2"/>
  <c r="D86" i="2"/>
  <c r="E86" i="2"/>
  <c r="G86" i="2"/>
  <c r="H86" i="2"/>
  <c r="I86" i="2"/>
  <c r="J86" i="2"/>
  <c r="K86" i="2"/>
  <c r="B87" i="2"/>
  <c r="C87" i="2"/>
  <c r="D87" i="2"/>
  <c r="G87" i="2"/>
  <c r="H87" i="2"/>
  <c r="I87" i="2"/>
  <c r="J87" i="2"/>
  <c r="K87" i="2"/>
  <c r="B88" i="2"/>
  <c r="C88" i="2"/>
  <c r="D88" i="2"/>
  <c r="G88" i="2"/>
  <c r="H88" i="2"/>
  <c r="I88" i="2"/>
  <c r="J88" i="2"/>
  <c r="K88" i="2"/>
  <c r="B89" i="2"/>
  <c r="C89" i="2"/>
  <c r="D89" i="2"/>
  <c r="E89" i="2"/>
  <c r="G89" i="2"/>
  <c r="H89" i="2"/>
  <c r="I89" i="2"/>
  <c r="J89" i="2"/>
  <c r="K89" i="2"/>
  <c r="B90" i="2"/>
  <c r="C90" i="2"/>
  <c r="D90" i="2"/>
  <c r="E90" i="2"/>
  <c r="G90" i="2"/>
  <c r="H90" i="2"/>
  <c r="I90" i="2"/>
  <c r="J90" i="2"/>
  <c r="K90" i="2"/>
  <c r="B91" i="2"/>
  <c r="C91" i="2"/>
  <c r="D91" i="2"/>
  <c r="E91" i="2"/>
  <c r="G91" i="2"/>
  <c r="H91" i="2"/>
  <c r="I91" i="2"/>
  <c r="J91" i="2"/>
  <c r="K91" i="2"/>
  <c r="B92" i="2"/>
  <c r="C92" i="2"/>
  <c r="D92" i="2"/>
  <c r="E92" i="2"/>
  <c r="G92" i="2"/>
  <c r="H92" i="2"/>
  <c r="I92" i="2"/>
  <c r="J92" i="2"/>
  <c r="K92" i="2"/>
  <c r="B93" i="2"/>
  <c r="C93" i="2"/>
  <c r="D93" i="2"/>
  <c r="E93" i="2"/>
  <c r="G93" i="2"/>
  <c r="H93" i="2"/>
  <c r="I93" i="2"/>
  <c r="J93" i="2"/>
  <c r="K93" i="2"/>
  <c r="B94" i="2"/>
  <c r="C94" i="2"/>
  <c r="D94" i="2"/>
  <c r="E94" i="2"/>
  <c r="G94" i="2"/>
  <c r="H94" i="2"/>
  <c r="I94" i="2"/>
  <c r="J94" i="2"/>
  <c r="K94" i="2"/>
  <c r="B95" i="2"/>
  <c r="C95" i="2"/>
  <c r="D95" i="2"/>
  <c r="E95" i="2"/>
  <c r="G95" i="2"/>
  <c r="H95" i="2"/>
  <c r="I95" i="2"/>
  <c r="J95" i="2"/>
  <c r="K95" i="2"/>
  <c r="B96" i="2"/>
  <c r="C96" i="2"/>
  <c r="D96" i="2"/>
  <c r="E96" i="2"/>
  <c r="G96" i="2"/>
  <c r="H96" i="2"/>
  <c r="I96" i="2"/>
  <c r="J96" i="2"/>
  <c r="K96" i="2"/>
  <c r="B97" i="2"/>
  <c r="C97" i="2"/>
  <c r="D97" i="2"/>
  <c r="E97" i="2"/>
  <c r="G97" i="2"/>
  <c r="H97" i="2"/>
  <c r="I97" i="2"/>
  <c r="J97" i="2"/>
  <c r="K97" i="2"/>
  <c r="B98" i="2"/>
  <c r="C98" i="2"/>
  <c r="D98" i="2"/>
  <c r="E98" i="2"/>
  <c r="G98" i="2"/>
  <c r="H98" i="2"/>
  <c r="I98" i="2"/>
  <c r="J98" i="2"/>
  <c r="K98" i="2"/>
  <c r="B99" i="2"/>
  <c r="C99" i="2"/>
  <c r="D99" i="2"/>
  <c r="E99" i="2"/>
  <c r="G99" i="2"/>
  <c r="H99" i="2"/>
  <c r="I99" i="2"/>
  <c r="J99" i="2"/>
  <c r="K99" i="2"/>
  <c r="B100" i="2"/>
  <c r="C100" i="2"/>
  <c r="D100" i="2"/>
  <c r="E100" i="2"/>
  <c r="G100" i="2"/>
  <c r="H100" i="2"/>
  <c r="I100" i="2"/>
  <c r="J100" i="2"/>
  <c r="K100" i="2"/>
  <c r="B101" i="2"/>
  <c r="C101" i="2"/>
  <c r="D101" i="2"/>
  <c r="E101" i="2"/>
  <c r="G101" i="2"/>
  <c r="H101" i="2"/>
  <c r="I101" i="2"/>
  <c r="J101" i="2"/>
  <c r="K101" i="2"/>
  <c r="B102" i="2"/>
  <c r="C102" i="2"/>
  <c r="D102" i="2"/>
  <c r="E102" i="2"/>
  <c r="G102" i="2"/>
  <c r="H102" i="2"/>
  <c r="I102" i="2"/>
  <c r="J102" i="2"/>
  <c r="K102" i="2"/>
  <c r="B103" i="2"/>
  <c r="C103" i="2"/>
  <c r="D103" i="2"/>
  <c r="E103" i="2"/>
  <c r="G103" i="2"/>
  <c r="H103" i="2"/>
  <c r="I103" i="2"/>
  <c r="J103" i="2"/>
  <c r="K103" i="2"/>
  <c r="B104" i="2"/>
  <c r="C104" i="2"/>
  <c r="D104" i="2"/>
  <c r="E104" i="2"/>
  <c r="G104" i="2"/>
  <c r="H104" i="2"/>
  <c r="I104" i="2"/>
  <c r="J104" i="2"/>
  <c r="K104" i="2"/>
  <c r="B105" i="2"/>
  <c r="C105" i="2"/>
  <c r="D105" i="2"/>
  <c r="E105" i="2"/>
  <c r="G105" i="2"/>
  <c r="H105" i="2"/>
  <c r="I105" i="2"/>
  <c r="J105" i="2"/>
  <c r="K105" i="2"/>
  <c r="B106" i="2"/>
  <c r="C106" i="2"/>
  <c r="D106" i="2"/>
  <c r="E106" i="2"/>
  <c r="G106" i="2"/>
  <c r="H106" i="2"/>
  <c r="I106" i="2"/>
  <c r="J106" i="2"/>
  <c r="K106" i="2"/>
  <c r="B107" i="2"/>
  <c r="C107" i="2"/>
  <c r="D107" i="2"/>
  <c r="E107" i="2"/>
  <c r="G107" i="2"/>
  <c r="H107" i="2"/>
  <c r="I107" i="2"/>
  <c r="J107" i="2"/>
  <c r="K107" i="2"/>
  <c r="B108" i="2"/>
  <c r="C108" i="2"/>
  <c r="D108" i="2"/>
  <c r="E108" i="2"/>
  <c r="G108" i="2"/>
  <c r="H108" i="2"/>
  <c r="I108" i="2"/>
  <c r="J108" i="2"/>
  <c r="K108" i="2"/>
  <c r="B109" i="2"/>
  <c r="C109" i="2"/>
  <c r="D109" i="2"/>
  <c r="E109" i="2"/>
  <c r="G109" i="2"/>
  <c r="H109" i="2"/>
  <c r="I109" i="2"/>
  <c r="J109" i="2"/>
  <c r="K109" i="2"/>
  <c r="B110" i="2"/>
  <c r="C110" i="2"/>
  <c r="D110" i="2"/>
  <c r="E110" i="2"/>
  <c r="G110" i="2"/>
  <c r="H110" i="2"/>
  <c r="I110" i="2"/>
  <c r="J110" i="2"/>
  <c r="K110" i="2"/>
  <c r="B111" i="2"/>
  <c r="C111" i="2"/>
  <c r="D111" i="2"/>
  <c r="E111" i="2"/>
  <c r="G111" i="2"/>
  <c r="H111" i="2"/>
  <c r="I111" i="2"/>
  <c r="J111" i="2"/>
  <c r="K111" i="2"/>
  <c r="B112" i="2"/>
  <c r="C112" i="2"/>
  <c r="D112" i="2"/>
  <c r="E112" i="2"/>
  <c r="G112" i="2"/>
  <c r="H112" i="2"/>
  <c r="I112" i="2"/>
  <c r="J112" i="2"/>
  <c r="K112" i="2"/>
  <c r="B113" i="2"/>
  <c r="C113" i="2"/>
  <c r="D113" i="2"/>
  <c r="E113" i="2"/>
  <c r="G113" i="2"/>
  <c r="H113" i="2"/>
  <c r="I113" i="2"/>
  <c r="J113" i="2"/>
  <c r="K113" i="2"/>
  <c r="B114" i="2"/>
  <c r="C114" i="2"/>
  <c r="D114" i="2"/>
  <c r="E114" i="2"/>
  <c r="G114" i="2"/>
  <c r="H114" i="2"/>
  <c r="I114" i="2"/>
  <c r="J114" i="2"/>
  <c r="K114" i="2"/>
  <c r="B115" i="2"/>
  <c r="C115" i="2"/>
  <c r="D115" i="2"/>
  <c r="E115" i="2"/>
  <c r="G115" i="2"/>
  <c r="H115" i="2"/>
  <c r="I115" i="2"/>
  <c r="J115" i="2"/>
  <c r="K115" i="2"/>
  <c r="B116" i="2"/>
  <c r="C116" i="2"/>
  <c r="D116" i="2"/>
  <c r="E116" i="2"/>
  <c r="G116" i="2"/>
  <c r="H116" i="2"/>
  <c r="I116" i="2"/>
  <c r="J116" i="2"/>
  <c r="K116" i="2"/>
  <c r="B117" i="2"/>
  <c r="C117" i="2"/>
  <c r="D117" i="2"/>
  <c r="E117" i="2"/>
  <c r="G117" i="2"/>
  <c r="H117" i="2"/>
  <c r="I117" i="2"/>
  <c r="J117" i="2"/>
  <c r="K117" i="2"/>
  <c r="B118" i="2"/>
  <c r="C118" i="2"/>
  <c r="D118" i="2"/>
  <c r="E118" i="2"/>
  <c r="G118" i="2"/>
  <c r="H118" i="2"/>
  <c r="I118" i="2"/>
  <c r="J118" i="2"/>
  <c r="K118" i="2"/>
  <c r="B119" i="2"/>
  <c r="C119" i="2"/>
  <c r="D119" i="2"/>
  <c r="E119" i="2"/>
  <c r="G119" i="2"/>
  <c r="H119" i="2"/>
  <c r="I119" i="2"/>
  <c r="J119" i="2"/>
  <c r="K119" i="2"/>
  <c r="B120" i="2"/>
  <c r="C120" i="2"/>
  <c r="D120" i="2"/>
  <c r="E120" i="2"/>
  <c r="G120" i="2"/>
  <c r="H120" i="2"/>
  <c r="I120" i="2"/>
  <c r="J120" i="2"/>
  <c r="K120" i="2"/>
  <c r="B121" i="2"/>
  <c r="C121" i="2"/>
  <c r="D121" i="2"/>
  <c r="E121" i="2"/>
  <c r="G121" i="2"/>
  <c r="H121" i="2"/>
  <c r="I121" i="2"/>
  <c r="J121" i="2"/>
  <c r="K121" i="2"/>
  <c r="B122" i="2"/>
  <c r="C122" i="2"/>
  <c r="D122" i="2"/>
  <c r="E122" i="2"/>
  <c r="G122" i="2"/>
  <c r="H122" i="2"/>
  <c r="I122" i="2"/>
  <c r="J122" i="2"/>
  <c r="K122" i="2"/>
  <c r="B123" i="2"/>
  <c r="C123" i="2"/>
  <c r="D123" i="2"/>
  <c r="E123" i="2"/>
  <c r="G123" i="2"/>
  <c r="H123" i="2"/>
  <c r="I123" i="2"/>
  <c r="J123" i="2"/>
  <c r="K123" i="2"/>
  <c r="B124" i="2"/>
  <c r="C124" i="2"/>
  <c r="D124" i="2"/>
  <c r="E124" i="2"/>
  <c r="G124" i="2"/>
  <c r="H124" i="2"/>
  <c r="I124" i="2"/>
  <c r="J124" i="2"/>
  <c r="K124" i="2"/>
  <c r="B125" i="2"/>
  <c r="C125" i="2"/>
  <c r="D125" i="2"/>
  <c r="E125" i="2"/>
  <c r="G125" i="2"/>
  <c r="H125" i="2"/>
  <c r="I125" i="2"/>
  <c r="J125" i="2"/>
  <c r="K125" i="2"/>
  <c r="B126" i="2"/>
  <c r="C126" i="2"/>
  <c r="D126" i="2"/>
  <c r="E126" i="2"/>
  <c r="G126" i="2"/>
  <c r="H126" i="2"/>
  <c r="I126" i="2"/>
  <c r="J126" i="2"/>
  <c r="K126" i="2"/>
  <c r="B127" i="2"/>
  <c r="C127" i="2"/>
  <c r="D127" i="2"/>
  <c r="E127" i="2"/>
  <c r="G127" i="2"/>
  <c r="H127" i="2"/>
  <c r="I127" i="2"/>
  <c r="J127" i="2"/>
  <c r="K127" i="2"/>
  <c r="B128" i="2"/>
  <c r="C128" i="2"/>
  <c r="D128" i="2"/>
  <c r="E128" i="2"/>
  <c r="G128" i="2"/>
  <c r="H128" i="2"/>
  <c r="I128" i="2"/>
  <c r="J128" i="2"/>
  <c r="K128" i="2"/>
  <c r="B129" i="2"/>
  <c r="C129" i="2"/>
  <c r="D129" i="2"/>
  <c r="E129" i="2"/>
  <c r="G129" i="2"/>
  <c r="H129" i="2"/>
  <c r="I129" i="2"/>
  <c r="J129" i="2"/>
  <c r="K129" i="2"/>
  <c r="B130" i="2"/>
  <c r="C130" i="2"/>
  <c r="D130" i="2"/>
  <c r="E130" i="2"/>
  <c r="G130" i="2"/>
  <c r="H130" i="2"/>
  <c r="I130" i="2"/>
  <c r="J130" i="2"/>
  <c r="K130" i="2"/>
  <c r="B131" i="2"/>
  <c r="C131" i="2"/>
  <c r="D131" i="2"/>
  <c r="E131" i="2"/>
  <c r="G131" i="2"/>
  <c r="H131" i="2"/>
  <c r="I131" i="2"/>
  <c r="J131" i="2"/>
  <c r="K131" i="2"/>
  <c r="B132" i="2"/>
  <c r="C132" i="2"/>
  <c r="D132" i="2"/>
  <c r="E132" i="2"/>
  <c r="G132" i="2"/>
  <c r="H132" i="2"/>
  <c r="I132" i="2"/>
  <c r="J132" i="2"/>
  <c r="K132" i="2"/>
  <c r="B133" i="2"/>
  <c r="C133" i="2"/>
  <c r="D133" i="2"/>
  <c r="E133" i="2"/>
  <c r="G133" i="2"/>
  <c r="H133" i="2"/>
  <c r="I133" i="2"/>
  <c r="J133" i="2"/>
  <c r="K133" i="2"/>
  <c r="B134" i="2"/>
  <c r="C134" i="2"/>
  <c r="D134" i="2"/>
  <c r="E134" i="2"/>
  <c r="G134" i="2"/>
  <c r="H134" i="2"/>
  <c r="I134" i="2"/>
  <c r="J134" i="2"/>
  <c r="K134" i="2"/>
  <c r="B135" i="2"/>
  <c r="C135" i="2"/>
  <c r="D135" i="2"/>
  <c r="E135" i="2"/>
  <c r="G135" i="2"/>
  <c r="H135" i="2"/>
  <c r="I135" i="2"/>
  <c r="J135" i="2"/>
  <c r="K135" i="2"/>
  <c r="B136" i="2"/>
  <c r="C136" i="2"/>
  <c r="D136" i="2"/>
  <c r="E136" i="2"/>
  <c r="G136" i="2"/>
  <c r="H136" i="2"/>
  <c r="I136" i="2"/>
  <c r="J136" i="2"/>
  <c r="K136" i="2"/>
  <c r="B137" i="2"/>
  <c r="C137" i="2"/>
  <c r="D137" i="2"/>
  <c r="E137" i="2"/>
  <c r="G137" i="2"/>
  <c r="H137" i="2"/>
  <c r="I137" i="2"/>
  <c r="J137" i="2"/>
  <c r="K137" i="2"/>
  <c r="B138" i="2"/>
  <c r="C138" i="2"/>
  <c r="D138" i="2"/>
  <c r="E138" i="2"/>
  <c r="G138" i="2"/>
  <c r="H138" i="2"/>
  <c r="I138" i="2"/>
  <c r="J138" i="2"/>
  <c r="K138" i="2"/>
  <c r="B139" i="2"/>
  <c r="C139" i="2"/>
  <c r="D139" i="2"/>
  <c r="E139" i="2"/>
  <c r="G139" i="2"/>
  <c r="H139" i="2"/>
  <c r="I139" i="2"/>
  <c r="J139" i="2"/>
  <c r="K139" i="2"/>
  <c r="B140" i="2"/>
  <c r="C140" i="2"/>
  <c r="D140" i="2"/>
  <c r="E140" i="2"/>
  <c r="G140" i="2"/>
  <c r="H140" i="2"/>
  <c r="I140" i="2"/>
  <c r="J140" i="2"/>
  <c r="K140" i="2"/>
  <c r="B141" i="2"/>
  <c r="C141" i="2"/>
  <c r="D141" i="2"/>
  <c r="E141" i="2"/>
  <c r="G141" i="2"/>
  <c r="H141" i="2"/>
  <c r="I141" i="2"/>
  <c r="J141" i="2"/>
  <c r="K141" i="2"/>
  <c r="B142" i="2"/>
  <c r="C142" i="2"/>
  <c r="D142" i="2"/>
  <c r="E142" i="2"/>
  <c r="G142" i="2"/>
  <c r="H142" i="2"/>
  <c r="I142" i="2"/>
  <c r="J142" i="2"/>
  <c r="K142" i="2"/>
  <c r="B143" i="2"/>
  <c r="C143" i="2"/>
  <c r="D143" i="2"/>
  <c r="E143" i="2"/>
  <c r="G143" i="2"/>
  <c r="H143" i="2"/>
  <c r="I143" i="2"/>
  <c r="J143" i="2"/>
  <c r="K143" i="2"/>
  <c r="B144" i="2"/>
  <c r="C144" i="2"/>
  <c r="D144" i="2"/>
  <c r="E144" i="2"/>
  <c r="G144" i="2"/>
  <c r="H144" i="2"/>
  <c r="I144" i="2"/>
  <c r="J144" i="2"/>
  <c r="K144" i="2"/>
  <c r="B145" i="2"/>
  <c r="C145" i="2"/>
  <c r="D145" i="2"/>
  <c r="E145" i="2"/>
  <c r="G145" i="2"/>
  <c r="H145" i="2"/>
  <c r="I145" i="2"/>
  <c r="J145" i="2"/>
  <c r="K145" i="2"/>
  <c r="B146" i="2"/>
  <c r="C146" i="2"/>
  <c r="D146" i="2"/>
  <c r="E146" i="2"/>
  <c r="G146" i="2"/>
  <c r="H146" i="2"/>
  <c r="I146" i="2"/>
  <c r="J146" i="2"/>
  <c r="K146" i="2"/>
  <c r="B147" i="2"/>
  <c r="C147" i="2"/>
  <c r="D147" i="2"/>
  <c r="E147" i="2"/>
  <c r="G147" i="2"/>
  <c r="H147" i="2"/>
  <c r="I147" i="2"/>
  <c r="J147" i="2"/>
  <c r="K147" i="2"/>
  <c r="B148" i="2"/>
  <c r="C148" i="2"/>
  <c r="D148" i="2"/>
  <c r="E148" i="2"/>
  <c r="G148" i="2"/>
  <c r="H148" i="2"/>
  <c r="I148" i="2"/>
  <c r="J148" i="2"/>
  <c r="K148" i="2"/>
  <c r="B149" i="2"/>
  <c r="C149" i="2"/>
  <c r="D149" i="2"/>
  <c r="E149" i="2"/>
  <c r="G149" i="2"/>
  <c r="H149" i="2"/>
  <c r="I149" i="2"/>
  <c r="J149" i="2"/>
  <c r="K149" i="2"/>
  <c r="B150" i="2"/>
  <c r="C150" i="2"/>
  <c r="D150" i="2"/>
  <c r="E150" i="2"/>
  <c r="G150" i="2"/>
  <c r="H150" i="2"/>
  <c r="I150" i="2"/>
  <c r="J150" i="2"/>
  <c r="K150" i="2"/>
  <c r="B151" i="2"/>
  <c r="C151" i="2"/>
  <c r="D151" i="2"/>
  <c r="E151" i="2"/>
  <c r="G151" i="2"/>
  <c r="H151" i="2"/>
  <c r="I151" i="2"/>
  <c r="J151" i="2"/>
  <c r="K151" i="2"/>
  <c r="B152" i="2"/>
  <c r="C152" i="2"/>
  <c r="D152" i="2"/>
  <c r="E152" i="2"/>
  <c r="G152" i="2"/>
  <c r="H152" i="2"/>
  <c r="I152" i="2"/>
  <c r="J152" i="2"/>
  <c r="K152" i="2"/>
  <c r="B153" i="2"/>
  <c r="C153" i="2"/>
  <c r="D153" i="2"/>
  <c r="E153" i="2"/>
  <c r="G153" i="2"/>
  <c r="H153" i="2"/>
  <c r="I153" i="2"/>
  <c r="J153" i="2"/>
  <c r="K153" i="2"/>
  <c r="B154" i="2"/>
  <c r="C154" i="2"/>
  <c r="D154" i="2"/>
  <c r="E154" i="2"/>
  <c r="G154" i="2"/>
  <c r="H154" i="2"/>
  <c r="I154" i="2"/>
  <c r="J154" i="2"/>
  <c r="K154" i="2"/>
  <c r="B155" i="2"/>
  <c r="C155" i="2"/>
  <c r="D155" i="2"/>
  <c r="E155" i="2"/>
  <c r="G155" i="2"/>
  <c r="H155" i="2"/>
  <c r="I155" i="2"/>
  <c r="J155" i="2"/>
  <c r="K155" i="2"/>
  <c r="B156" i="2"/>
  <c r="C156" i="2"/>
  <c r="D156" i="2"/>
  <c r="E156" i="2"/>
  <c r="G156" i="2"/>
  <c r="H156" i="2"/>
  <c r="I156" i="2"/>
  <c r="J156" i="2"/>
  <c r="K156" i="2"/>
  <c r="B157" i="2"/>
  <c r="C157" i="2"/>
  <c r="D157" i="2"/>
  <c r="E157" i="2"/>
  <c r="G157" i="2"/>
  <c r="H157" i="2"/>
  <c r="I157" i="2"/>
  <c r="J157" i="2"/>
  <c r="K157" i="2"/>
  <c r="B158" i="2"/>
  <c r="C158" i="2"/>
  <c r="D158" i="2"/>
  <c r="E158" i="2"/>
  <c r="G158" i="2"/>
  <c r="H158" i="2"/>
  <c r="I158" i="2"/>
  <c r="J158" i="2"/>
  <c r="K158" i="2"/>
  <c r="B159" i="2"/>
  <c r="C159" i="2"/>
  <c r="D159" i="2"/>
  <c r="E159" i="2"/>
  <c r="G159" i="2"/>
  <c r="H159" i="2"/>
  <c r="I159" i="2"/>
  <c r="J159" i="2"/>
  <c r="K159" i="2"/>
  <c r="B160" i="2"/>
  <c r="C160" i="2"/>
  <c r="D160" i="2"/>
  <c r="E160" i="2"/>
  <c r="G160" i="2"/>
  <c r="H160" i="2"/>
  <c r="I160" i="2"/>
  <c r="J160" i="2"/>
  <c r="K160" i="2"/>
  <c r="B161" i="2"/>
  <c r="C161" i="2"/>
  <c r="D161" i="2"/>
  <c r="E161" i="2"/>
  <c r="G161" i="2"/>
  <c r="H161" i="2"/>
  <c r="I161" i="2"/>
  <c r="J161" i="2"/>
  <c r="K161" i="2"/>
  <c r="B162" i="2"/>
  <c r="C162" i="2"/>
  <c r="D162" i="2"/>
  <c r="E162" i="2"/>
  <c r="G162" i="2"/>
  <c r="H162" i="2"/>
  <c r="I162" i="2"/>
  <c r="J162" i="2"/>
  <c r="K162" i="2"/>
  <c r="B163" i="2"/>
  <c r="C163" i="2"/>
  <c r="D163" i="2"/>
  <c r="E163" i="2"/>
  <c r="G163" i="2"/>
  <c r="H163" i="2"/>
  <c r="I163" i="2"/>
  <c r="J163" i="2"/>
  <c r="K163" i="2"/>
  <c r="B164" i="2"/>
  <c r="C164" i="2"/>
  <c r="D164" i="2"/>
  <c r="E164" i="2"/>
  <c r="G164" i="2"/>
  <c r="H164" i="2"/>
  <c r="I164" i="2"/>
  <c r="J164" i="2"/>
  <c r="K164" i="2"/>
  <c r="B165" i="2"/>
  <c r="C165" i="2"/>
  <c r="D165" i="2"/>
  <c r="E165" i="2"/>
  <c r="G165" i="2"/>
  <c r="H165" i="2"/>
  <c r="I165" i="2"/>
  <c r="J165" i="2"/>
  <c r="K165" i="2"/>
  <c r="B166" i="2"/>
  <c r="C166" i="2"/>
  <c r="D166" i="2"/>
  <c r="E166" i="2"/>
  <c r="G166" i="2"/>
  <c r="H166" i="2"/>
  <c r="I166" i="2"/>
  <c r="J166" i="2"/>
  <c r="K166" i="2"/>
  <c r="B167" i="2"/>
  <c r="C167" i="2"/>
  <c r="D167" i="2"/>
  <c r="E167" i="2"/>
  <c r="G167" i="2"/>
  <c r="H167" i="2"/>
  <c r="I167" i="2"/>
  <c r="J167" i="2"/>
  <c r="K167" i="2"/>
  <c r="B168" i="2"/>
  <c r="C168" i="2"/>
  <c r="D168" i="2"/>
  <c r="E168" i="2"/>
  <c r="G168" i="2"/>
  <c r="H168" i="2"/>
  <c r="I168" i="2"/>
  <c r="J168" i="2"/>
  <c r="K168" i="2"/>
  <c r="B169" i="2"/>
  <c r="C169" i="2"/>
  <c r="D169" i="2"/>
  <c r="E169" i="2"/>
  <c r="G169" i="2"/>
  <c r="H169" i="2"/>
  <c r="I169" i="2"/>
  <c r="J169" i="2"/>
  <c r="K169" i="2"/>
  <c r="B170" i="2"/>
  <c r="C170" i="2"/>
  <c r="D170" i="2"/>
  <c r="E170" i="2"/>
  <c r="G170" i="2"/>
  <c r="H170" i="2"/>
  <c r="I170" i="2"/>
  <c r="J170" i="2"/>
  <c r="K170" i="2"/>
  <c r="B171" i="2"/>
  <c r="C171" i="2"/>
  <c r="D171" i="2"/>
  <c r="E171" i="2"/>
  <c r="G171" i="2"/>
  <c r="H171" i="2"/>
  <c r="I171" i="2"/>
  <c r="J171" i="2"/>
  <c r="K171" i="2"/>
  <c r="B172" i="2"/>
  <c r="C172" i="2"/>
  <c r="D172" i="2"/>
  <c r="E172" i="2"/>
  <c r="G172" i="2"/>
  <c r="H172" i="2"/>
  <c r="I172" i="2"/>
  <c r="J172" i="2"/>
  <c r="K172" i="2"/>
  <c r="B173" i="2"/>
  <c r="C173" i="2"/>
  <c r="D173" i="2"/>
  <c r="E173" i="2"/>
  <c r="G173" i="2"/>
  <c r="H173" i="2"/>
  <c r="I173" i="2"/>
  <c r="J173" i="2"/>
  <c r="K173" i="2"/>
  <c r="B174" i="2"/>
  <c r="C174" i="2"/>
  <c r="D174" i="2"/>
  <c r="E174" i="2"/>
  <c r="G174" i="2"/>
  <c r="H174" i="2"/>
  <c r="I174" i="2"/>
  <c r="J174" i="2"/>
  <c r="K174" i="2"/>
  <c r="B175" i="2"/>
  <c r="C175" i="2"/>
  <c r="D175" i="2"/>
  <c r="E175" i="2"/>
  <c r="G175" i="2"/>
  <c r="H175" i="2"/>
  <c r="I175" i="2"/>
  <c r="J175" i="2"/>
  <c r="K175" i="2"/>
  <c r="B176" i="2"/>
  <c r="C176" i="2"/>
  <c r="D176" i="2"/>
  <c r="E176" i="2"/>
  <c r="G176" i="2"/>
  <c r="H176" i="2"/>
  <c r="I176" i="2"/>
  <c r="J176" i="2"/>
  <c r="K176" i="2"/>
  <c r="B177" i="2"/>
  <c r="C177" i="2"/>
  <c r="D177" i="2"/>
  <c r="E177" i="2"/>
  <c r="G177" i="2"/>
  <c r="H177" i="2"/>
  <c r="I177" i="2"/>
  <c r="J177" i="2"/>
  <c r="K177" i="2"/>
  <c r="B178" i="2"/>
  <c r="C178" i="2"/>
  <c r="D178" i="2"/>
  <c r="E178" i="2"/>
  <c r="G178" i="2"/>
  <c r="H178" i="2"/>
  <c r="I178" i="2"/>
  <c r="J178" i="2"/>
  <c r="K178" i="2"/>
  <c r="B179" i="2"/>
  <c r="C179" i="2"/>
  <c r="D179" i="2"/>
  <c r="E179" i="2"/>
  <c r="G179" i="2"/>
  <c r="H179" i="2"/>
  <c r="I179" i="2"/>
  <c r="J179" i="2"/>
  <c r="K179" i="2"/>
  <c r="B180" i="2"/>
  <c r="C180" i="2"/>
  <c r="D180" i="2"/>
  <c r="E180" i="2"/>
  <c r="G180" i="2"/>
  <c r="H180" i="2"/>
  <c r="I180" i="2"/>
  <c r="J180" i="2"/>
  <c r="K180" i="2"/>
  <c r="B181" i="2"/>
  <c r="C181" i="2"/>
  <c r="D181" i="2"/>
  <c r="E181" i="2"/>
  <c r="G181" i="2"/>
  <c r="H181" i="2"/>
  <c r="I181" i="2"/>
  <c r="J181" i="2"/>
  <c r="K181" i="2"/>
  <c r="B182" i="2"/>
  <c r="C182" i="2"/>
  <c r="D182" i="2"/>
  <c r="E182" i="2"/>
  <c r="G182" i="2"/>
  <c r="H182" i="2"/>
  <c r="I182" i="2"/>
  <c r="J182" i="2"/>
  <c r="K182" i="2"/>
  <c r="B183" i="2"/>
  <c r="C183" i="2"/>
  <c r="D183" i="2"/>
  <c r="E183" i="2"/>
  <c r="G183" i="2"/>
  <c r="H183" i="2"/>
  <c r="I183" i="2"/>
  <c r="J183" i="2"/>
  <c r="K183" i="2"/>
  <c r="B184" i="2"/>
  <c r="C184" i="2"/>
  <c r="D184" i="2"/>
  <c r="E184" i="2"/>
  <c r="G184" i="2"/>
  <c r="H184" i="2"/>
  <c r="I184" i="2"/>
  <c r="J184" i="2"/>
  <c r="K184" i="2"/>
  <c r="B185" i="2"/>
  <c r="C185" i="2"/>
  <c r="D185" i="2"/>
  <c r="E185" i="2"/>
  <c r="G185" i="2"/>
  <c r="H185" i="2"/>
  <c r="I185" i="2"/>
  <c r="J185" i="2"/>
  <c r="K185" i="2"/>
  <c r="B186" i="2"/>
  <c r="C186" i="2"/>
  <c r="D186" i="2"/>
  <c r="E186" i="2"/>
  <c r="G186" i="2"/>
  <c r="H186" i="2"/>
  <c r="I186" i="2"/>
  <c r="J186" i="2"/>
  <c r="K186" i="2"/>
  <c r="B187" i="2"/>
  <c r="C187" i="2"/>
  <c r="D187" i="2"/>
  <c r="E187" i="2"/>
  <c r="G187" i="2"/>
  <c r="H187" i="2"/>
  <c r="I187" i="2"/>
  <c r="J187" i="2"/>
  <c r="K187" i="2"/>
  <c r="B188" i="2"/>
  <c r="C188" i="2"/>
  <c r="D188" i="2"/>
  <c r="E188" i="2"/>
  <c r="G188" i="2"/>
  <c r="H188" i="2"/>
  <c r="I188" i="2"/>
  <c r="J188" i="2"/>
  <c r="K188" i="2"/>
  <c r="B189" i="2"/>
  <c r="C189" i="2"/>
  <c r="D189" i="2"/>
  <c r="E189" i="2"/>
  <c r="G189" i="2"/>
  <c r="H189" i="2"/>
  <c r="I189" i="2"/>
  <c r="J189" i="2"/>
  <c r="K189" i="2"/>
  <c r="B190" i="2"/>
  <c r="C190" i="2"/>
  <c r="D190" i="2"/>
  <c r="E190" i="2"/>
  <c r="G190" i="2"/>
  <c r="H190" i="2"/>
  <c r="I190" i="2"/>
  <c r="J190" i="2"/>
  <c r="K190" i="2"/>
  <c r="B191" i="2"/>
  <c r="C191" i="2"/>
  <c r="D191" i="2"/>
  <c r="E191" i="2"/>
  <c r="G191" i="2"/>
  <c r="H191" i="2"/>
  <c r="I191" i="2"/>
  <c r="J191" i="2"/>
  <c r="K191" i="2"/>
  <c r="B192" i="2"/>
  <c r="C192" i="2"/>
  <c r="D192" i="2"/>
  <c r="E192" i="2"/>
  <c r="G192" i="2"/>
  <c r="H192" i="2"/>
  <c r="I192" i="2"/>
  <c r="J192" i="2"/>
  <c r="K192" i="2"/>
  <c r="B193" i="2"/>
  <c r="C193" i="2"/>
  <c r="D193" i="2"/>
  <c r="E193" i="2"/>
  <c r="G193" i="2"/>
  <c r="H193" i="2"/>
  <c r="I193" i="2"/>
  <c r="J193" i="2"/>
  <c r="K193" i="2"/>
  <c r="B194" i="2"/>
  <c r="C194" i="2"/>
  <c r="D194" i="2"/>
  <c r="E194" i="2"/>
  <c r="G194" i="2"/>
  <c r="H194" i="2"/>
  <c r="I194" i="2"/>
  <c r="J194" i="2"/>
  <c r="K194" i="2"/>
  <c r="B195" i="2"/>
  <c r="C195" i="2"/>
  <c r="D195" i="2"/>
  <c r="E195" i="2"/>
  <c r="G195" i="2"/>
  <c r="H195" i="2"/>
  <c r="I195" i="2"/>
  <c r="J195" i="2"/>
  <c r="K195" i="2"/>
  <c r="B196" i="2"/>
  <c r="C196" i="2"/>
  <c r="D196" i="2"/>
  <c r="E196" i="2"/>
  <c r="G196" i="2"/>
  <c r="H196" i="2"/>
  <c r="I196" i="2"/>
  <c r="J196" i="2"/>
  <c r="K196" i="2"/>
  <c r="B197" i="2"/>
  <c r="C197" i="2"/>
  <c r="D197" i="2"/>
  <c r="E197" i="2"/>
  <c r="G197" i="2"/>
  <c r="H197" i="2"/>
  <c r="I197" i="2"/>
  <c r="J197" i="2"/>
  <c r="K197" i="2"/>
  <c r="B198" i="2"/>
  <c r="C198" i="2"/>
  <c r="D198" i="2"/>
  <c r="E198" i="2"/>
  <c r="G198" i="2"/>
  <c r="H198" i="2"/>
  <c r="I198" i="2"/>
  <c r="J198" i="2"/>
  <c r="K198" i="2"/>
  <c r="B199" i="2"/>
  <c r="C199" i="2"/>
  <c r="D199" i="2"/>
  <c r="E199" i="2"/>
  <c r="G199" i="2"/>
  <c r="H199" i="2"/>
  <c r="I199" i="2"/>
  <c r="J199" i="2"/>
  <c r="K199" i="2"/>
  <c r="B200" i="2"/>
  <c r="C200" i="2"/>
  <c r="D200" i="2"/>
  <c r="E200" i="2"/>
  <c r="G200" i="2"/>
  <c r="H200" i="2"/>
  <c r="I200" i="2"/>
  <c r="J200" i="2"/>
  <c r="K200" i="2"/>
  <c r="B201" i="2"/>
  <c r="C201" i="2"/>
  <c r="D201" i="2"/>
  <c r="E201" i="2"/>
  <c r="G201" i="2"/>
  <c r="H201" i="2"/>
  <c r="I201" i="2"/>
  <c r="J201" i="2"/>
  <c r="K201" i="2"/>
  <c r="B202" i="2"/>
  <c r="C202" i="2"/>
  <c r="D202" i="2"/>
  <c r="E202" i="2"/>
  <c r="G202" i="2"/>
  <c r="H202" i="2"/>
  <c r="I202" i="2"/>
  <c r="J202" i="2"/>
  <c r="K202" i="2"/>
  <c r="B203" i="2"/>
  <c r="C203" i="2"/>
  <c r="D203" i="2"/>
  <c r="E203" i="2"/>
  <c r="G203" i="2"/>
  <c r="H203" i="2"/>
  <c r="I203" i="2"/>
  <c r="J203" i="2"/>
  <c r="K203" i="2"/>
  <c r="B204" i="2"/>
  <c r="C204" i="2"/>
  <c r="D204" i="2"/>
  <c r="E204" i="2"/>
  <c r="G204" i="2"/>
  <c r="H204" i="2"/>
  <c r="I204" i="2"/>
  <c r="J204" i="2"/>
  <c r="K204" i="2"/>
  <c r="B205" i="2"/>
  <c r="C205" i="2"/>
  <c r="D205" i="2"/>
  <c r="E205" i="2"/>
  <c r="G205" i="2"/>
  <c r="H205" i="2"/>
  <c r="I205" i="2"/>
  <c r="J205" i="2"/>
  <c r="K205" i="2"/>
  <c r="B206" i="2"/>
  <c r="C206" i="2"/>
  <c r="D206" i="2"/>
  <c r="E206" i="2"/>
  <c r="G206" i="2"/>
  <c r="H206" i="2"/>
  <c r="I206" i="2"/>
  <c r="J206" i="2"/>
  <c r="K206" i="2"/>
  <c r="E28" i="2"/>
  <c r="E29" i="2"/>
  <c r="E31" i="2"/>
  <c r="E30" i="2"/>
  <c r="E27" i="2"/>
  <c r="F33" i="2" l="1"/>
  <c r="A33" i="2"/>
  <c r="F201" i="2"/>
  <c r="A201" i="2"/>
  <c r="F193" i="2"/>
  <c r="A193" i="2"/>
  <c r="F185" i="2"/>
  <c r="A185" i="2"/>
  <c r="F177" i="2"/>
  <c r="A177" i="2"/>
  <c r="F169" i="2"/>
  <c r="A169" i="2"/>
  <c r="F161" i="2"/>
  <c r="A161" i="2"/>
  <c r="F153" i="2"/>
  <c r="A153" i="2"/>
  <c r="F145" i="2"/>
  <c r="A145" i="2"/>
  <c r="F137" i="2"/>
  <c r="A137" i="2"/>
  <c r="F129" i="2"/>
  <c r="A129" i="2"/>
  <c r="F121" i="2"/>
  <c r="A121" i="2"/>
  <c r="F113" i="2"/>
  <c r="A113" i="2"/>
  <c r="F105" i="2"/>
  <c r="A105" i="2"/>
  <c r="F97" i="2"/>
  <c r="A97" i="2"/>
  <c r="F89" i="2"/>
  <c r="A89" i="2"/>
  <c r="F80" i="2"/>
  <c r="A80" i="2"/>
  <c r="F72" i="2"/>
  <c r="A72" i="2"/>
  <c r="F64" i="2"/>
  <c r="A64" i="2"/>
  <c r="F56" i="2"/>
  <c r="A56" i="2"/>
  <c r="F48" i="2"/>
  <c r="A48" i="2"/>
  <c r="F40" i="2"/>
  <c r="A40" i="2"/>
  <c r="F32" i="2"/>
  <c r="A32" i="2"/>
  <c r="F202" i="2"/>
  <c r="A202" i="2"/>
  <c r="F114" i="2"/>
  <c r="A114" i="2"/>
  <c r="F41" i="2"/>
  <c r="A41" i="2"/>
  <c r="F200" i="2"/>
  <c r="A200" i="2"/>
  <c r="F192" i="2"/>
  <c r="A192" i="2"/>
  <c r="F184" i="2"/>
  <c r="A184" i="2"/>
  <c r="F176" i="2"/>
  <c r="A176" i="2"/>
  <c r="F168" i="2"/>
  <c r="A168" i="2"/>
  <c r="F160" i="2"/>
  <c r="A160" i="2"/>
  <c r="F152" i="2"/>
  <c r="A152" i="2"/>
  <c r="F144" i="2"/>
  <c r="A144" i="2"/>
  <c r="F136" i="2"/>
  <c r="A136" i="2"/>
  <c r="F128" i="2"/>
  <c r="A128" i="2"/>
  <c r="F120" i="2"/>
  <c r="A120" i="2"/>
  <c r="F112" i="2"/>
  <c r="A112" i="2"/>
  <c r="F104" i="2"/>
  <c r="A104" i="2"/>
  <c r="F96" i="2"/>
  <c r="A96" i="2"/>
  <c r="F79" i="2"/>
  <c r="A79" i="2"/>
  <c r="F71" i="2"/>
  <c r="A71" i="2"/>
  <c r="F63" i="2"/>
  <c r="A63" i="2"/>
  <c r="F55" i="2"/>
  <c r="A55" i="2"/>
  <c r="F47" i="2"/>
  <c r="A47" i="2"/>
  <c r="F39" i="2"/>
  <c r="A39" i="2"/>
  <c r="F73" i="2"/>
  <c r="A73" i="2"/>
  <c r="F199" i="2"/>
  <c r="A199" i="2"/>
  <c r="F191" i="2"/>
  <c r="A191" i="2"/>
  <c r="F183" i="2"/>
  <c r="A183" i="2"/>
  <c r="F175" i="2"/>
  <c r="A175" i="2"/>
  <c r="F167" i="2"/>
  <c r="A167" i="2"/>
  <c r="F159" i="2"/>
  <c r="A159" i="2"/>
  <c r="F151" i="2"/>
  <c r="A151" i="2"/>
  <c r="F143" i="2"/>
  <c r="A143" i="2"/>
  <c r="F135" i="2"/>
  <c r="A135" i="2"/>
  <c r="F127" i="2"/>
  <c r="A127" i="2"/>
  <c r="F119" i="2"/>
  <c r="A119" i="2"/>
  <c r="F111" i="2"/>
  <c r="A111" i="2"/>
  <c r="F103" i="2"/>
  <c r="A103" i="2"/>
  <c r="F95" i="2"/>
  <c r="A95" i="2"/>
  <c r="F86" i="2"/>
  <c r="A86" i="2"/>
  <c r="F78" i="2"/>
  <c r="A78" i="2"/>
  <c r="F70" i="2"/>
  <c r="A70" i="2"/>
  <c r="F62" i="2"/>
  <c r="A62" i="2"/>
  <c r="F54" i="2"/>
  <c r="A54" i="2"/>
  <c r="F46" i="2"/>
  <c r="A46" i="2"/>
  <c r="F38" i="2"/>
  <c r="A38" i="2"/>
  <c r="F178" i="2"/>
  <c r="A178" i="2"/>
  <c r="F138" i="2"/>
  <c r="A138" i="2"/>
  <c r="F106" i="2"/>
  <c r="A106" i="2"/>
  <c r="F90" i="2"/>
  <c r="A90" i="2"/>
  <c r="F57" i="2"/>
  <c r="A57" i="2"/>
  <c r="F206" i="2"/>
  <c r="A206" i="2"/>
  <c r="F198" i="2"/>
  <c r="A198" i="2"/>
  <c r="F190" i="2"/>
  <c r="A190" i="2"/>
  <c r="F182" i="2"/>
  <c r="A182" i="2"/>
  <c r="F174" i="2"/>
  <c r="A174" i="2"/>
  <c r="F166" i="2"/>
  <c r="A166" i="2"/>
  <c r="F158" i="2"/>
  <c r="A158" i="2"/>
  <c r="F150" i="2"/>
  <c r="A150" i="2"/>
  <c r="F142" i="2"/>
  <c r="A142" i="2"/>
  <c r="F134" i="2"/>
  <c r="A134" i="2"/>
  <c r="F126" i="2"/>
  <c r="A126" i="2"/>
  <c r="F118" i="2"/>
  <c r="A118" i="2"/>
  <c r="F110" i="2"/>
  <c r="A110" i="2"/>
  <c r="F102" i="2"/>
  <c r="A102" i="2"/>
  <c r="F94" i="2"/>
  <c r="A94" i="2"/>
  <c r="F85" i="2"/>
  <c r="A85" i="2"/>
  <c r="F77" i="2"/>
  <c r="A77" i="2"/>
  <c r="F69" i="2"/>
  <c r="A69" i="2"/>
  <c r="F61" i="2"/>
  <c r="A61" i="2"/>
  <c r="F53" i="2"/>
  <c r="A53" i="2"/>
  <c r="F45" i="2"/>
  <c r="A45" i="2"/>
  <c r="F37" i="2"/>
  <c r="A37" i="2"/>
  <c r="F186" i="2"/>
  <c r="A186" i="2"/>
  <c r="F162" i="2"/>
  <c r="A162" i="2"/>
  <c r="F197" i="2"/>
  <c r="A197" i="2"/>
  <c r="F189" i="2"/>
  <c r="A189" i="2"/>
  <c r="F181" i="2"/>
  <c r="A181" i="2"/>
  <c r="F173" i="2"/>
  <c r="A173" i="2"/>
  <c r="F165" i="2"/>
  <c r="A165" i="2"/>
  <c r="F157" i="2"/>
  <c r="A157" i="2"/>
  <c r="F149" i="2"/>
  <c r="A149" i="2"/>
  <c r="F141" i="2"/>
  <c r="A141" i="2"/>
  <c r="F133" i="2"/>
  <c r="A133" i="2"/>
  <c r="F125" i="2"/>
  <c r="A125" i="2"/>
  <c r="F117" i="2"/>
  <c r="A117" i="2"/>
  <c r="F109" i="2"/>
  <c r="A109" i="2"/>
  <c r="F101" i="2"/>
  <c r="A101" i="2"/>
  <c r="F93" i="2"/>
  <c r="A93" i="2"/>
  <c r="F84" i="2"/>
  <c r="A84" i="2"/>
  <c r="F76" i="2"/>
  <c r="A76" i="2"/>
  <c r="F68" i="2"/>
  <c r="A68" i="2"/>
  <c r="F60" i="2"/>
  <c r="A60" i="2"/>
  <c r="F52" i="2"/>
  <c r="A52" i="2"/>
  <c r="F44" i="2"/>
  <c r="A44" i="2"/>
  <c r="F36" i="2"/>
  <c r="A36" i="2"/>
  <c r="F170" i="2"/>
  <c r="A170" i="2"/>
  <c r="F154" i="2"/>
  <c r="A154" i="2"/>
  <c r="F122" i="2"/>
  <c r="A122" i="2"/>
  <c r="F98" i="2"/>
  <c r="A98" i="2"/>
  <c r="F49" i="2"/>
  <c r="A49" i="2"/>
  <c r="F204" i="2"/>
  <c r="A204" i="2"/>
  <c r="F196" i="2"/>
  <c r="A196" i="2"/>
  <c r="F188" i="2"/>
  <c r="A188" i="2"/>
  <c r="A180" i="2"/>
  <c r="F172" i="2"/>
  <c r="A172" i="2"/>
  <c r="F164" i="2"/>
  <c r="A164" i="2"/>
  <c r="F156" i="2"/>
  <c r="A156" i="2"/>
  <c r="F148" i="2"/>
  <c r="A148" i="2"/>
  <c r="F140" i="2"/>
  <c r="A140" i="2"/>
  <c r="F132" i="2"/>
  <c r="A132" i="2"/>
  <c r="F124" i="2"/>
  <c r="A124" i="2"/>
  <c r="F116" i="2"/>
  <c r="A116" i="2"/>
  <c r="F108" i="2"/>
  <c r="A108" i="2"/>
  <c r="F100" i="2"/>
  <c r="A100" i="2"/>
  <c r="F92" i="2"/>
  <c r="A92" i="2"/>
  <c r="F83" i="2"/>
  <c r="A83" i="2"/>
  <c r="F75" i="2"/>
  <c r="A75" i="2"/>
  <c r="F67" i="2"/>
  <c r="A67" i="2"/>
  <c r="F59" i="2"/>
  <c r="A59" i="2"/>
  <c r="F51" i="2"/>
  <c r="A51" i="2"/>
  <c r="F43" i="2"/>
  <c r="A43" i="2"/>
  <c r="F35" i="2"/>
  <c r="A35" i="2"/>
  <c r="F194" i="2"/>
  <c r="A194" i="2"/>
  <c r="F146" i="2"/>
  <c r="A146" i="2"/>
  <c r="F130" i="2"/>
  <c r="A130" i="2"/>
  <c r="F81" i="2"/>
  <c r="A81" i="2"/>
  <c r="F65" i="2"/>
  <c r="A65" i="2"/>
  <c r="F205" i="2"/>
  <c r="A205" i="2"/>
  <c r="F203" i="2"/>
  <c r="A203" i="2"/>
  <c r="F195" i="2"/>
  <c r="A195" i="2"/>
  <c r="F187" i="2"/>
  <c r="A187" i="2"/>
  <c r="F179" i="2"/>
  <c r="A179" i="2"/>
  <c r="F171" i="2"/>
  <c r="A171" i="2"/>
  <c r="F163" i="2"/>
  <c r="A163" i="2"/>
  <c r="F155" i="2"/>
  <c r="A155" i="2"/>
  <c r="F147" i="2"/>
  <c r="A147" i="2"/>
  <c r="F139" i="2"/>
  <c r="A139" i="2"/>
  <c r="F131" i="2"/>
  <c r="A131" i="2"/>
  <c r="F123" i="2"/>
  <c r="A123" i="2"/>
  <c r="F115" i="2"/>
  <c r="A115" i="2"/>
  <c r="F107" i="2"/>
  <c r="A107" i="2"/>
  <c r="F99" i="2"/>
  <c r="A99" i="2"/>
  <c r="F91" i="2"/>
  <c r="A91" i="2"/>
  <c r="F82" i="2"/>
  <c r="A82" i="2"/>
  <c r="F74" i="2"/>
  <c r="A74" i="2"/>
  <c r="F66" i="2"/>
  <c r="A66" i="2"/>
  <c r="F58" i="2"/>
  <c r="A58" i="2"/>
  <c r="F50" i="2"/>
  <c r="A50" i="2"/>
  <c r="F42" i="2"/>
  <c r="A42" i="2"/>
  <c r="F34" i="2"/>
  <c r="A34" i="2"/>
  <c r="F27" i="2"/>
  <c r="F31" i="2"/>
  <c r="F29" i="2"/>
  <c r="F30" i="2"/>
  <c r="F28" i="2"/>
  <c r="J570" i="7" l="1"/>
  <c r="J586" i="7"/>
  <c r="J593" i="7"/>
  <c r="J594" i="7"/>
  <c r="J598" i="7"/>
  <c r="J601" i="7"/>
  <c r="I562" i="7"/>
  <c r="J563" i="7" s="1"/>
  <c r="I561" i="7"/>
  <c r="E406" i="7"/>
  <c r="H406" i="7" s="1"/>
  <c r="J585" i="7" l="1"/>
  <c r="J578" i="7"/>
  <c r="J602" i="7"/>
  <c r="J577" i="7"/>
  <c r="J569" i="7"/>
  <c r="J600" i="7"/>
  <c r="J568" i="7"/>
  <c r="J592" i="7"/>
  <c r="J584" i="7"/>
  <c r="J576" i="7"/>
  <c r="J599" i="7"/>
  <c r="J591" i="7"/>
  <c r="J583" i="7"/>
  <c r="J575" i="7"/>
  <c r="J567" i="7"/>
  <c r="J566" i="7"/>
  <c r="J590" i="7"/>
  <c r="J582" i="7"/>
  <c r="J574" i="7"/>
  <c r="J562" i="7"/>
  <c r="J597" i="7"/>
  <c r="J589" i="7"/>
  <c r="J581" i="7"/>
  <c r="J573" i="7"/>
  <c r="J565" i="7"/>
  <c r="J564" i="7"/>
  <c r="J604" i="7"/>
  <c r="J596" i="7"/>
  <c r="J588" i="7"/>
  <c r="J580" i="7"/>
  <c r="J572" i="7"/>
  <c r="J603" i="7"/>
  <c r="J595" i="7"/>
  <c r="J587" i="7"/>
  <c r="J579" i="7"/>
  <c r="J571" i="7"/>
  <c r="E407" i="7"/>
  <c r="H407" i="7" s="1"/>
  <c r="E408" i="7"/>
  <c r="H408" i="7" s="1"/>
  <c r="E409" i="7"/>
  <c r="H409" i="7" s="1"/>
  <c r="E410" i="7"/>
  <c r="H410" i="7" s="1"/>
  <c r="E411" i="7"/>
  <c r="H411" i="7" s="1"/>
  <c r="E412" i="7"/>
  <c r="H412" i="7" s="1"/>
  <c r="E413" i="7"/>
  <c r="H413" i="7" s="1"/>
  <c r="E414" i="7"/>
  <c r="H414" i="7" s="1"/>
  <c r="E415" i="7"/>
  <c r="H415" i="7" s="1"/>
  <c r="E416" i="7"/>
  <c r="H416" i="7" s="1"/>
  <c r="E417" i="7"/>
  <c r="H417" i="7" s="1"/>
  <c r="E418" i="7"/>
  <c r="H418" i="7" s="1"/>
  <c r="E419" i="7"/>
  <c r="H419" i="7" s="1"/>
  <c r="E420" i="7"/>
  <c r="H420" i="7" s="1"/>
  <c r="E421" i="7"/>
  <c r="H421" i="7" s="1"/>
  <c r="E422" i="7"/>
  <c r="H422" i="7" s="1"/>
  <c r="E423" i="7"/>
  <c r="H423" i="7" s="1"/>
  <c r="E424" i="7"/>
  <c r="H424" i="7" s="1"/>
  <c r="E425" i="7"/>
  <c r="H425" i="7" s="1"/>
  <c r="I425" i="7" s="1"/>
  <c r="E426" i="7"/>
  <c r="H426" i="7" s="1"/>
  <c r="I426" i="7" s="1"/>
  <c r="E427" i="7"/>
  <c r="H427" i="7" s="1"/>
  <c r="I427" i="7" s="1"/>
  <c r="E428" i="7"/>
  <c r="H428" i="7" s="1"/>
  <c r="I428" i="7" s="1"/>
  <c r="E429" i="7"/>
  <c r="H429" i="7" s="1"/>
  <c r="I429" i="7" s="1"/>
  <c r="E430" i="7"/>
  <c r="H430" i="7" s="1"/>
  <c r="I430" i="7" s="1"/>
  <c r="E431" i="7"/>
  <c r="H431" i="7" s="1"/>
  <c r="I431" i="7" s="1"/>
  <c r="E432" i="7"/>
  <c r="H432" i="7" s="1"/>
  <c r="I432" i="7" s="1"/>
  <c r="E433" i="7"/>
  <c r="H433" i="7" s="1"/>
  <c r="I433" i="7" s="1"/>
  <c r="E434" i="7"/>
  <c r="H434" i="7" s="1"/>
  <c r="I434" i="7" s="1"/>
  <c r="E435" i="7"/>
  <c r="H435" i="7" s="1"/>
  <c r="I435" i="7" s="1"/>
  <c r="E436" i="7"/>
  <c r="H436" i="7" s="1"/>
  <c r="I436" i="7" s="1"/>
  <c r="E437" i="7"/>
  <c r="H437" i="7" s="1"/>
  <c r="I437" i="7" s="1"/>
  <c r="E438" i="7"/>
  <c r="H438" i="7" s="1"/>
  <c r="I438" i="7" s="1"/>
  <c r="E439" i="7"/>
  <c r="H439" i="7" s="1"/>
  <c r="I439" i="7" s="1"/>
  <c r="E440" i="7"/>
  <c r="H440" i="7" s="1"/>
  <c r="I440" i="7" s="1"/>
  <c r="E441" i="7"/>
  <c r="H441" i="7" s="1"/>
  <c r="I441" i="7" s="1"/>
  <c r="E442" i="7"/>
  <c r="H442" i="7" s="1"/>
  <c r="I442" i="7" s="1"/>
  <c r="E443" i="7"/>
  <c r="H443" i="7" s="1"/>
  <c r="I443" i="7" s="1"/>
  <c r="E444" i="7"/>
  <c r="H444" i="7" s="1"/>
  <c r="I444" i="7" s="1"/>
  <c r="E445" i="7"/>
  <c r="H445" i="7" s="1"/>
  <c r="I445" i="7" s="1"/>
  <c r="E446" i="7"/>
  <c r="H446" i="7" s="1"/>
  <c r="I446" i="7" s="1"/>
  <c r="E447" i="7"/>
  <c r="H447" i="7" s="1"/>
  <c r="I447" i="7" s="1"/>
  <c r="E448" i="7"/>
  <c r="H448" i="7" s="1"/>
  <c r="I448" i="7" s="1"/>
  <c r="E449" i="7"/>
  <c r="H449" i="7" s="1"/>
  <c r="I449" i="7" s="1"/>
  <c r="E450" i="7"/>
  <c r="H450" i="7" s="1"/>
  <c r="I450" i="7" s="1"/>
  <c r="E451" i="7"/>
  <c r="H451" i="7" s="1"/>
  <c r="I451" i="7" s="1"/>
  <c r="E452" i="7"/>
  <c r="H452" i="7" s="1"/>
  <c r="I452" i="7" s="1"/>
  <c r="E453" i="7"/>
  <c r="H453" i="7" s="1"/>
  <c r="I453" i="7" s="1"/>
  <c r="E454" i="7"/>
  <c r="H454" i="7" s="1"/>
  <c r="I454" i="7" s="1"/>
  <c r="E455" i="7"/>
  <c r="H455" i="7" s="1"/>
  <c r="I455" i="7" s="1"/>
  <c r="E456" i="7"/>
  <c r="H456" i="7" s="1"/>
  <c r="I456" i="7" s="1"/>
  <c r="E457" i="7"/>
  <c r="H457" i="7" s="1"/>
  <c r="I457" i="7" s="1"/>
  <c r="E458" i="7"/>
  <c r="H458" i="7" s="1"/>
  <c r="I458" i="7" s="1"/>
  <c r="E459" i="7"/>
  <c r="H459" i="7" s="1"/>
  <c r="I459" i="7" s="1"/>
  <c r="E460" i="7"/>
  <c r="H460" i="7" s="1"/>
  <c r="I460" i="7" s="1"/>
  <c r="E461" i="7"/>
  <c r="H461" i="7" s="1"/>
  <c r="I461" i="7" s="1"/>
  <c r="E462" i="7"/>
  <c r="H462" i="7" s="1"/>
  <c r="I462" i="7" s="1"/>
  <c r="E463" i="7"/>
  <c r="H463" i="7" s="1"/>
  <c r="I463" i="7" s="1"/>
  <c r="E464" i="7"/>
  <c r="H464" i="7" s="1"/>
  <c r="I464" i="7" s="1"/>
  <c r="E465" i="7"/>
  <c r="H465" i="7" s="1"/>
  <c r="I465" i="7" s="1"/>
  <c r="E466" i="7"/>
  <c r="H466" i="7" s="1"/>
  <c r="I466" i="7" s="1"/>
  <c r="E467" i="7"/>
  <c r="H467" i="7" s="1"/>
  <c r="I467" i="7" s="1"/>
  <c r="E468" i="7"/>
  <c r="H468" i="7" s="1"/>
  <c r="I468" i="7" s="1"/>
  <c r="E469" i="7"/>
  <c r="H469" i="7" s="1"/>
  <c r="I469" i="7" s="1"/>
  <c r="E470" i="7"/>
  <c r="H470" i="7" s="1"/>
  <c r="I470" i="7" s="1"/>
  <c r="E471" i="7"/>
  <c r="H471" i="7" s="1"/>
  <c r="I471" i="7" s="1"/>
  <c r="E472" i="7"/>
  <c r="H472" i="7" s="1"/>
  <c r="I472" i="7" s="1"/>
  <c r="E473" i="7"/>
  <c r="H473" i="7" s="1"/>
  <c r="I473" i="7" s="1"/>
  <c r="E474" i="7"/>
  <c r="H474" i="7" s="1"/>
  <c r="I474" i="7" s="1"/>
  <c r="E475" i="7"/>
  <c r="H475" i="7" s="1"/>
  <c r="I475" i="7" s="1"/>
  <c r="E476" i="7"/>
  <c r="H476" i="7" s="1"/>
  <c r="I476" i="7" s="1"/>
  <c r="E477" i="7"/>
  <c r="H477" i="7" s="1"/>
  <c r="I477" i="7" s="1"/>
  <c r="E478" i="7"/>
  <c r="H478" i="7" s="1"/>
  <c r="I478" i="7" s="1"/>
  <c r="E479" i="7"/>
  <c r="H479" i="7" s="1"/>
  <c r="I479" i="7" s="1"/>
  <c r="E480" i="7"/>
  <c r="H480" i="7" s="1"/>
  <c r="I480" i="7" s="1"/>
  <c r="E481" i="7"/>
  <c r="H481" i="7" s="1"/>
  <c r="I481" i="7" s="1"/>
  <c r="E482" i="7"/>
  <c r="H482" i="7" s="1"/>
  <c r="I482" i="7" s="1"/>
  <c r="E483" i="7"/>
  <c r="H483" i="7" s="1"/>
  <c r="I483" i="7" s="1"/>
  <c r="E484" i="7"/>
  <c r="H484" i="7" s="1"/>
  <c r="I484" i="7" s="1"/>
  <c r="E485" i="7"/>
  <c r="H485" i="7" s="1"/>
  <c r="I485" i="7" s="1"/>
  <c r="E486" i="7"/>
  <c r="H486" i="7" s="1"/>
  <c r="I486" i="7" s="1"/>
  <c r="E487" i="7"/>
  <c r="H487" i="7" s="1"/>
  <c r="I487" i="7" s="1"/>
  <c r="E488" i="7"/>
  <c r="H488" i="7" s="1"/>
  <c r="I488" i="7" s="1"/>
  <c r="E489" i="7"/>
  <c r="H489" i="7" s="1"/>
  <c r="I489" i="7" s="1"/>
  <c r="E490" i="7"/>
  <c r="H490" i="7" s="1"/>
  <c r="I490" i="7" s="1"/>
  <c r="E491" i="7"/>
  <c r="H491" i="7" s="1"/>
  <c r="I491" i="7" s="1"/>
  <c r="E492" i="7"/>
  <c r="H492" i="7" s="1"/>
  <c r="I492" i="7" s="1"/>
  <c r="E493" i="7"/>
  <c r="H493" i="7" s="1"/>
  <c r="I493" i="7" s="1"/>
  <c r="E494" i="7"/>
  <c r="H494" i="7" s="1"/>
  <c r="I494" i="7" s="1"/>
  <c r="E495" i="7"/>
  <c r="H495" i="7" s="1"/>
  <c r="I495" i="7" s="1"/>
  <c r="E496" i="7"/>
  <c r="H496" i="7" s="1"/>
  <c r="I496" i="7" s="1"/>
  <c r="E497" i="7"/>
  <c r="H497" i="7" s="1"/>
  <c r="I497" i="7" s="1"/>
  <c r="E498" i="7"/>
  <c r="H498" i="7" s="1"/>
  <c r="I498" i="7" s="1"/>
  <c r="E499" i="7"/>
  <c r="H499" i="7" s="1"/>
  <c r="I499" i="7" s="1"/>
  <c r="E500" i="7"/>
  <c r="H500" i="7" s="1"/>
  <c r="I500" i="7" s="1"/>
  <c r="E501" i="7"/>
  <c r="H501" i="7" s="1"/>
  <c r="I501" i="7" s="1"/>
  <c r="E502" i="7"/>
  <c r="H502" i="7" s="1"/>
  <c r="I502" i="7" s="1"/>
  <c r="E503" i="7"/>
  <c r="H503" i="7" s="1"/>
  <c r="I503" i="7" s="1"/>
  <c r="E504" i="7"/>
  <c r="H504" i="7" s="1"/>
  <c r="I504" i="7" s="1"/>
  <c r="E505" i="7"/>
  <c r="H505" i="7" s="1"/>
  <c r="I505" i="7" s="1"/>
  <c r="E506" i="7"/>
  <c r="H506" i="7" s="1"/>
  <c r="I506" i="7" s="1"/>
  <c r="E507" i="7"/>
  <c r="H507" i="7" s="1"/>
  <c r="I507" i="7" s="1"/>
  <c r="E508" i="7"/>
  <c r="H508" i="7" s="1"/>
  <c r="I508" i="7" s="1"/>
  <c r="E509" i="7"/>
  <c r="H509" i="7" s="1"/>
  <c r="I509" i="7" s="1"/>
  <c r="E510" i="7"/>
  <c r="H510" i="7" s="1"/>
  <c r="I510" i="7" s="1"/>
  <c r="E511" i="7"/>
  <c r="H511" i="7" s="1"/>
  <c r="I511" i="7" s="1"/>
  <c r="E512" i="7"/>
  <c r="H512" i="7" s="1"/>
  <c r="I512" i="7" s="1"/>
  <c r="E513" i="7"/>
  <c r="H513" i="7" s="1"/>
  <c r="I513" i="7" s="1"/>
  <c r="E514" i="7"/>
  <c r="H514" i="7" s="1"/>
  <c r="I514" i="7" s="1"/>
  <c r="E515" i="7"/>
  <c r="H515" i="7" s="1"/>
  <c r="I515" i="7" s="1"/>
  <c r="E516" i="7"/>
  <c r="H516" i="7" s="1"/>
  <c r="I516" i="7" s="1"/>
  <c r="E517" i="7"/>
  <c r="H517" i="7" s="1"/>
  <c r="I517" i="7" s="1"/>
  <c r="E518" i="7"/>
  <c r="H518" i="7" s="1"/>
  <c r="I518" i="7" s="1"/>
  <c r="E519" i="7"/>
  <c r="H519" i="7" s="1"/>
  <c r="I519" i="7" s="1"/>
  <c r="E520" i="7"/>
  <c r="H520" i="7" s="1"/>
  <c r="I520" i="7" s="1"/>
  <c r="E521" i="7"/>
  <c r="H521" i="7" s="1"/>
  <c r="I521" i="7" s="1"/>
  <c r="E522" i="7"/>
  <c r="H522" i="7" s="1"/>
  <c r="I522" i="7" s="1"/>
  <c r="E523" i="7"/>
  <c r="H523" i="7" s="1"/>
  <c r="I523" i="7" s="1"/>
  <c r="E524" i="7"/>
  <c r="H524" i="7" s="1"/>
  <c r="I524" i="7" s="1"/>
  <c r="E525" i="7"/>
  <c r="H525" i="7" s="1"/>
  <c r="I525" i="7" s="1"/>
  <c r="E526" i="7"/>
  <c r="H526" i="7" s="1"/>
  <c r="I526" i="7" s="1"/>
  <c r="E527" i="7"/>
  <c r="H527" i="7" s="1"/>
  <c r="I527" i="7" s="1"/>
  <c r="E528" i="7"/>
  <c r="H528" i="7" s="1"/>
  <c r="I528" i="7" s="1"/>
  <c r="E529" i="7"/>
  <c r="H529" i="7" s="1"/>
  <c r="I529" i="7" s="1"/>
  <c r="E530" i="7"/>
  <c r="H530" i="7" s="1"/>
  <c r="I530" i="7" s="1"/>
  <c r="E531" i="7"/>
  <c r="H531" i="7" s="1"/>
  <c r="I531" i="7" s="1"/>
  <c r="E532" i="7"/>
  <c r="H532" i="7" s="1"/>
  <c r="I532" i="7" s="1"/>
  <c r="E533" i="7"/>
  <c r="H533" i="7" s="1"/>
  <c r="I533" i="7" s="1"/>
  <c r="E534" i="7"/>
  <c r="H534" i="7" s="1"/>
  <c r="I534" i="7" s="1"/>
  <c r="E535" i="7"/>
  <c r="H535" i="7" s="1"/>
  <c r="I535" i="7" s="1"/>
  <c r="E536" i="7"/>
  <c r="H536" i="7" s="1"/>
  <c r="I536" i="7" s="1"/>
  <c r="E537" i="7"/>
  <c r="H537" i="7" s="1"/>
  <c r="I537" i="7" s="1"/>
  <c r="E538" i="7"/>
  <c r="H538" i="7" s="1"/>
  <c r="I538" i="7" s="1"/>
  <c r="E539" i="7"/>
  <c r="H539" i="7" s="1"/>
  <c r="I539" i="7" s="1"/>
  <c r="E540" i="7"/>
  <c r="H540" i="7" s="1"/>
  <c r="I540" i="7" s="1"/>
  <c r="E541" i="7"/>
  <c r="H541" i="7" s="1"/>
  <c r="I541" i="7" s="1"/>
  <c r="E542" i="7"/>
  <c r="H542" i="7" s="1"/>
  <c r="I542" i="7" s="1"/>
  <c r="E543" i="7"/>
  <c r="H543" i="7" s="1"/>
  <c r="I543" i="7" s="1"/>
  <c r="E544" i="7"/>
  <c r="H544" i="7" s="1"/>
  <c r="I544" i="7" s="1"/>
  <c r="E545" i="7"/>
  <c r="H545" i="7" s="1"/>
  <c r="I545" i="7" s="1"/>
  <c r="E546" i="7"/>
  <c r="H546" i="7" s="1"/>
  <c r="I546" i="7" s="1"/>
  <c r="E547" i="7"/>
  <c r="H547" i="7" s="1"/>
  <c r="I547" i="7" s="1"/>
  <c r="E548" i="7"/>
  <c r="H548" i="7" s="1"/>
  <c r="I548" i="7" s="1"/>
  <c r="E549" i="7"/>
  <c r="H549" i="7" s="1"/>
  <c r="I549" i="7" s="1"/>
  <c r="E550" i="7"/>
  <c r="H550" i="7" s="1"/>
  <c r="I550" i="7" s="1"/>
  <c r="E551" i="7"/>
  <c r="H551" i="7" s="1"/>
  <c r="I551" i="7" s="1"/>
  <c r="E552" i="7"/>
  <c r="H552" i="7" s="1"/>
  <c r="I552" i="7" s="1"/>
  <c r="E553" i="7"/>
  <c r="H553" i="7" s="1"/>
  <c r="I553" i="7" s="1"/>
  <c r="E554" i="7"/>
  <c r="H554" i="7" s="1"/>
  <c r="I554" i="7" s="1"/>
  <c r="E555" i="7"/>
  <c r="H555" i="7" s="1"/>
  <c r="I555" i="7" s="1"/>
  <c r="E556" i="7"/>
  <c r="H556" i="7" s="1"/>
  <c r="I556" i="7" s="1"/>
  <c r="E557" i="7"/>
  <c r="H557" i="7" s="1"/>
  <c r="I557" i="7" s="1"/>
  <c r="E558" i="7"/>
  <c r="H558" i="7" s="1"/>
  <c r="I558" i="7" s="1"/>
  <c r="E559" i="7"/>
  <c r="H559" i="7" s="1"/>
  <c r="I559" i="7" s="1"/>
  <c r="E560" i="7"/>
  <c r="H560" i="7" s="1"/>
  <c r="I560" i="7" s="1"/>
  <c r="E561" i="7"/>
  <c r="H561" i="7" s="1"/>
  <c r="E562" i="7"/>
  <c r="H562" i="7" s="1"/>
  <c r="E563" i="7"/>
  <c r="H563" i="7" s="1"/>
  <c r="I563" i="7" s="1"/>
  <c r="E564" i="7"/>
  <c r="H564" i="7" s="1"/>
  <c r="I564" i="7" s="1"/>
  <c r="E565" i="7"/>
  <c r="H565" i="7" s="1"/>
  <c r="I565" i="7" s="1"/>
  <c r="E566" i="7"/>
  <c r="H566" i="7" s="1"/>
  <c r="I566" i="7" s="1"/>
  <c r="E567" i="7"/>
  <c r="H567" i="7" s="1"/>
  <c r="I567" i="7" s="1"/>
  <c r="E568" i="7"/>
  <c r="H568" i="7" s="1"/>
  <c r="I568" i="7" s="1"/>
  <c r="E569" i="7"/>
  <c r="H569" i="7" s="1"/>
  <c r="I569" i="7" s="1"/>
  <c r="E570" i="7"/>
  <c r="H570" i="7" s="1"/>
  <c r="I570" i="7" s="1"/>
  <c r="E571" i="7"/>
  <c r="H571" i="7" s="1"/>
  <c r="I571" i="7" s="1"/>
  <c r="E572" i="7"/>
  <c r="H572" i="7" s="1"/>
  <c r="I572" i="7" s="1"/>
  <c r="E573" i="7"/>
  <c r="H573" i="7" s="1"/>
  <c r="I573" i="7" s="1"/>
  <c r="E574" i="7"/>
  <c r="H574" i="7" s="1"/>
  <c r="I574" i="7" s="1"/>
  <c r="E575" i="7"/>
  <c r="H575" i="7" s="1"/>
  <c r="I575" i="7" s="1"/>
  <c r="E576" i="7"/>
  <c r="H576" i="7" s="1"/>
  <c r="I576" i="7" s="1"/>
  <c r="E577" i="7"/>
  <c r="H577" i="7" s="1"/>
  <c r="I577" i="7" s="1"/>
  <c r="E578" i="7"/>
  <c r="H578" i="7" s="1"/>
  <c r="I578" i="7" s="1"/>
  <c r="E579" i="7"/>
  <c r="H579" i="7" s="1"/>
  <c r="I579" i="7" s="1"/>
  <c r="E580" i="7"/>
  <c r="H580" i="7" s="1"/>
  <c r="I580" i="7" s="1"/>
  <c r="E581" i="7"/>
  <c r="H581" i="7" s="1"/>
  <c r="I581" i="7" s="1"/>
  <c r="E582" i="7"/>
  <c r="H582" i="7" s="1"/>
  <c r="I582" i="7" s="1"/>
  <c r="E583" i="7"/>
  <c r="H583" i="7" s="1"/>
  <c r="I583" i="7" s="1"/>
  <c r="E584" i="7"/>
  <c r="H584" i="7" s="1"/>
  <c r="I584" i="7" s="1"/>
  <c r="E585" i="7"/>
  <c r="H585" i="7" s="1"/>
  <c r="I585" i="7" s="1"/>
  <c r="E586" i="7"/>
  <c r="H586" i="7" s="1"/>
  <c r="I586" i="7" s="1"/>
  <c r="E587" i="7"/>
  <c r="H587" i="7" s="1"/>
  <c r="I587" i="7" s="1"/>
  <c r="E588" i="7"/>
  <c r="H588" i="7" s="1"/>
  <c r="I588" i="7" s="1"/>
  <c r="E589" i="7"/>
  <c r="H589" i="7" s="1"/>
  <c r="I589" i="7" s="1"/>
  <c r="E590" i="7"/>
  <c r="H590" i="7" s="1"/>
  <c r="I590" i="7" s="1"/>
  <c r="E591" i="7"/>
  <c r="H591" i="7" s="1"/>
  <c r="I591" i="7" s="1"/>
  <c r="E592" i="7"/>
  <c r="H592" i="7" s="1"/>
  <c r="I592" i="7" s="1"/>
  <c r="E593" i="7"/>
  <c r="H593" i="7" s="1"/>
  <c r="I593" i="7" s="1"/>
  <c r="E594" i="7"/>
  <c r="H594" i="7" s="1"/>
  <c r="I594" i="7" s="1"/>
  <c r="E595" i="7"/>
  <c r="H595" i="7" s="1"/>
  <c r="I595" i="7" s="1"/>
  <c r="E596" i="7"/>
  <c r="H596" i="7" s="1"/>
  <c r="I596" i="7" s="1"/>
  <c r="E597" i="7"/>
  <c r="H597" i="7" s="1"/>
  <c r="I597" i="7" s="1"/>
  <c r="E598" i="7"/>
  <c r="H598" i="7" s="1"/>
  <c r="I598" i="7" s="1"/>
  <c r="E599" i="7"/>
  <c r="H599" i="7" s="1"/>
  <c r="I599" i="7" s="1"/>
  <c r="E600" i="7"/>
  <c r="H600" i="7" s="1"/>
  <c r="I600" i="7" s="1"/>
  <c r="E601" i="7"/>
  <c r="H601" i="7" s="1"/>
  <c r="I601" i="7" s="1"/>
  <c r="E602" i="7"/>
  <c r="H602" i="7" s="1"/>
  <c r="I602" i="7" s="1"/>
  <c r="E603" i="7"/>
  <c r="H603" i="7" s="1"/>
  <c r="I603" i="7" s="1"/>
  <c r="E604" i="7"/>
  <c r="H604" i="7" s="1"/>
  <c r="I604" i="7" s="1"/>
  <c r="E605" i="7"/>
  <c r="H605" i="7" s="1"/>
  <c r="I605" i="7" s="1"/>
  <c r="E606" i="7"/>
  <c r="H606" i="7" s="1"/>
  <c r="I606" i="7" s="1"/>
  <c r="E607" i="7"/>
  <c r="H607" i="7" s="1"/>
  <c r="I607" i="7" s="1"/>
  <c r="E608" i="7"/>
  <c r="H608" i="7" s="1"/>
  <c r="I608" i="7" s="1"/>
  <c r="E609" i="7"/>
  <c r="H609" i="7" s="1"/>
  <c r="I609" i="7" s="1"/>
  <c r="E610" i="7"/>
  <c r="H610" i="7" s="1"/>
  <c r="I610" i="7" s="1"/>
  <c r="E611" i="7"/>
  <c r="H611" i="7" s="1"/>
  <c r="I611" i="7" s="1"/>
  <c r="E612" i="7"/>
  <c r="H612" i="7" s="1"/>
  <c r="I612" i="7" s="1"/>
  <c r="E613" i="7"/>
  <c r="H613" i="7" s="1"/>
  <c r="I613" i="7" s="1"/>
  <c r="E614" i="7"/>
  <c r="H614" i="7" s="1"/>
  <c r="I614" i="7" s="1"/>
  <c r="E615" i="7"/>
  <c r="H615" i="7" s="1"/>
  <c r="I615" i="7" s="1"/>
  <c r="E616" i="7"/>
  <c r="H616" i="7" s="1"/>
  <c r="I616" i="7" s="1"/>
  <c r="E617" i="7"/>
  <c r="H617" i="7" s="1"/>
  <c r="I617" i="7" s="1"/>
  <c r="E618" i="7"/>
  <c r="H618" i="7" s="1"/>
  <c r="I618" i="7" s="1"/>
  <c r="E619" i="7"/>
  <c r="H619" i="7" s="1"/>
  <c r="I619" i="7" s="1"/>
  <c r="E620" i="7"/>
  <c r="H620" i="7" s="1"/>
  <c r="I620" i="7" s="1"/>
  <c r="E621" i="7"/>
  <c r="H621" i="7" s="1"/>
  <c r="I621" i="7" s="1"/>
  <c r="E622" i="7"/>
  <c r="H622" i="7" s="1"/>
  <c r="I622" i="7" s="1"/>
  <c r="E623" i="7"/>
  <c r="H623" i="7" s="1"/>
  <c r="I623" i="7" s="1"/>
  <c r="E624" i="7"/>
  <c r="H624" i="7" s="1"/>
  <c r="I624" i="7" s="1"/>
  <c r="E625" i="7"/>
  <c r="H625" i="7" s="1"/>
  <c r="I625" i="7" s="1"/>
  <c r="E626" i="7"/>
  <c r="H626" i="7" s="1"/>
  <c r="I626" i="7" s="1"/>
  <c r="E627" i="7"/>
  <c r="H627" i="7" s="1"/>
  <c r="I627" i="7" s="1"/>
  <c r="E628" i="7"/>
  <c r="H628" i="7" s="1"/>
  <c r="I628" i="7" s="1"/>
  <c r="E629" i="7"/>
  <c r="H629" i="7" s="1"/>
  <c r="I629" i="7" s="1"/>
  <c r="E630" i="7"/>
  <c r="H630" i="7" s="1"/>
  <c r="I630" i="7" s="1"/>
  <c r="E631" i="7"/>
  <c r="H631" i="7" s="1"/>
  <c r="I631" i="7" s="1"/>
  <c r="E632" i="7"/>
  <c r="H632" i="7" s="1"/>
  <c r="I632" i="7" s="1"/>
  <c r="E633" i="7"/>
  <c r="H633" i="7" s="1"/>
  <c r="I633" i="7" s="1"/>
  <c r="E634" i="7"/>
  <c r="H634" i="7" s="1"/>
  <c r="I634" i="7" s="1"/>
  <c r="E635" i="7"/>
  <c r="H635" i="7" s="1"/>
  <c r="I635" i="7" s="1"/>
  <c r="E636" i="7"/>
  <c r="H636" i="7" s="1"/>
  <c r="I636" i="7" s="1"/>
  <c r="E637" i="7"/>
  <c r="H637" i="7" s="1"/>
  <c r="I637" i="7" s="1"/>
  <c r="E638" i="7"/>
  <c r="H638" i="7" s="1"/>
  <c r="I638" i="7" s="1"/>
  <c r="E639" i="7"/>
  <c r="H639" i="7" s="1"/>
  <c r="I639" i="7" s="1"/>
  <c r="E640" i="7"/>
  <c r="H640" i="7" s="1"/>
  <c r="I640" i="7" s="1"/>
  <c r="E641" i="7"/>
  <c r="H641" i="7" s="1"/>
  <c r="I641" i="7" s="1"/>
  <c r="E642" i="7"/>
  <c r="H642" i="7" s="1"/>
  <c r="I642" i="7" s="1"/>
  <c r="E643" i="7"/>
  <c r="H643" i="7" s="1"/>
  <c r="I643" i="7" s="1"/>
  <c r="E644" i="7"/>
  <c r="H644" i="7" s="1"/>
  <c r="I644" i="7" s="1"/>
  <c r="E645" i="7"/>
  <c r="H645" i="7" s="1"/>
  <c r="I645" i="7" s="1"/>
  <c r="E646" i="7"/>
  <c r="H646" i="7" s="1"/>
  <c r="I646" i="7" s="1"/>
  <c r="E647" i="7"/>
  <c r="H647" i="7" s="1"/>
  <c r="I647" i="7" s="1"/>
  <c r="E648" i="7"/>
  <c r="H648" i="7" s="1"/>
  <c r="I648" i="7" s="1"/>
  <c r="E649" i="7"/>
  <c r="H649" i="7" s="1"/>
  <c r="I649" i="7" s="1"/>
  <c r="E650" i="7"/>
  <c r="H650" i="7" s="1"/>
  <c r="I650" i="7" s="1"/>
  <c r="E651" i="7"/>
  <c r="H651" i="7" s="1"/>
  <c r="I651" i="7" s="1"/>
  <c r="E652" i="7"/>
  <c r="H652" i="7" s="1"/>
  <c r="I652" i="7" s="1"/>
  <c r="E653" i="7"/>
  <c r="H653" i="7" s="1"/>
  <c r="I653" i="7" s="1"/>
  <c r="E654" i="7"/>
  <c r="H654" i="7" s="1"/>
  <c r="I654" i="7" s="1"/>
  <c r="E655" i="7"/>
  <c r="H655" i="7" s="1"/>
  <c r="I655" i="7" s="1"/>
  <c r="E656" i="7"/>
  <c r="H656" i="7" s="1"/>
  <c r="I656" i="7" s="1"/>
  <c r="E657" i="7"/>
  <c r="H657" i="7" s="1"/>
  <c r="I657" i="7" s="1"/>
  <c r="E658" i="7"/>
  <c r="H658" i="7" s="1"/>
  <c r="I658" i="7" s="1"/>
  <c r="E659" i="7"/>
  <c r="H659" i="7" s="1"/>
  <c r="I659" i="7" s="1"/>
  <c r="E660" i="7"/>
  <c r="H660" i="7" s="1"/>
  <c r="I660" i="7" s="1"/>
  <c r="E661" i="7"/>
  <c r="H661" i="7" s="1"/>
  <c r="I661" i="7" s="1"/>
  <c r="E662" i="7"/>
  <c r="H662" i="7" s="1"/>
  <c r="I662" i="7" s="1"/>
  <c r="E663" i="7"/>
  <c r="H663" i="7" s="1"/>
  <c r="I663" i="7" s="1"/>
  <c r="E664" i="7"/>
  <c r="H664" i="7" s="1"/>
  <c r="I664" i="7" s="1"/>
  <c r="E665" i="7"/>
  <c r="H665" i="7" s="1"/>
  <c r="I665" i="7" s="1"/>
  <c r="E666" i="7"/>
  <c r="H666" i="7" s="1"/>
  <c r="I666" i="7" s="1"/>
  <c r="E667" i="7"/>
  <c r="H667" i="7" s="1"/>
  <c r="I667" i="7" s="1"/>
  <c r="E668" i="7"/>
  <c r="H668" i="7" s="1"/>
  <c r="I668" i="7" s="1"/>
  <c r="E669" i="7"/>
  <c r="H669" i="7" s="1"/>
  <c r="I669" i="7" s="1"/>
  <c r="E670" i="7"/>
  <c r="H670" i="7" s="1"/>
  <c r="I670" i="7" s="1"/>
  <c r="E671" i="7"/>
  <c r="H671" i="7" s="1"/>
  <c r="I671" i="7" s="1"/>
  <c r="E672" i="7"/>
  <c r="H672" i="7" s="1"/>
  <c r="I672" i="7" s="1"/>
  <c r="E673" i="7"/>
  <c r="H673" i="7" s="1"/>
  <c r="I673" i="7" s="1"/>
  <c r="E674" i="7"/>
  <c r="H674" i="7" s="1"/>
  <c r="I674" i="7" s="1"/>
  <c r="E675" i="7"/>
  <c r="H675" i="7" s="1"/>
  <c r="I675" i="7" s="1"/>
  <c r="E676" i="7"/>
  <c r="H676" i="7" s="1"/>
  <c r="I676" i="7" s="1"/>
  <c r="E677" i="7"/>
  <c r="H677" i="7" s="1"/>
  <c r="I677" i="7" s="1"/>
  <c r="E678" i="7"/>
  <c r="H678" i="7" s="1"/>
  <c r="I678" i="7" s="1"/>
  <c r="E679" i="7"/>
  <c r="H679" i="7" s="1"/>
  <c r="I679" i="7" s="1"/>
  <c r="E680" i="7"/>
  <c r="H680" i="7" s="1"/>
  <c r="I680" i="7" s="1"/>
  <c r="E681" i="7"/>
  <c r="H681" i="7" s="1"/>
  <c r="I681" i="7" s="1"/>
  <c r="E682" i="7"/>
  <c r="H682" i="7" s="1"/>
  <c r="I682" i="7" s="1"/>
  <c r="E683" i="7"/>
  <c r="H683" i="7" s="1"/>
  <c r="I683" i="7" s="1"/>
  <c r="E684" i="7"/>
  <c r="H684" i="7" s="1"/>
  <c r="I684" i="7" s="1"/>
  <c r="E685" i="7"/>
  <c r="H685" i="7" s="1"/>
  <c r="I685" i="7" s="1"/>
  <c r="E686" i="7"/>
  <c r="H686" i="7" s="1"/>
  <c r="I686" i="7" s="1"/>
  <c r="E687" i="7"/>
  <c r="H687" i="7" s="1"/>
  <c r="I687" i="7" s="1"/>
  <c r="E688" i="7"/>
  <c r="H688" i="7" s="1"/>
  <c r="I688" i="7" s="1"/>
  <c r="E689" i="7"/>
  <c r="H689" i="7" s="1"/>
  <c r="I689" i="7" s="1"/>
  <c r="E690" i="7"/>
  <c r="H690" i="7" s="1"/>
  <c r="I690" i="7" s="1"/>
  <c r="E691" i="7"/>
  <c r="H691" i="7" s="1"/>
  <c r="I691" i="7" s="1"/>
  <c r="E692" i="7"/>
  <c r="H692" i="7" s="1"/>
  <c r="I692" i="7" s="1"/>
  <c r="E693" i="7"/>
  <c r="H693" i="7" s="1"/>
  <c r="I693" i="7" s="1"/>
  <c r="E694" i="7"/>
  <c r="H694" i="7" s="1"/>
  <c r="I694" i="7" s="1"/>
  <c r="E695" i="7"/>
  <c r="H695" i="7" s="1"/>
  <c r="I695" i="7" s="1"/>
  <c r="E696" i="7"/>
  <c r="H696" i="7" s="1"/>
  <c r="I696" i="7" s="1"/>
  <c r="E697" i="7"/>
  <c r="H697" i="7" s="1"/>
  <c r="I697" i="7" s="1"/>
  <c r="E698" i="7"/>
  <c r="H698" i="7" s="1"/>
  <c r="I698" i="7" s="1"/>
  <c r="E699" i="7"/>
  <c r="H699" i="7" s="1"/>
  <c r="I699" i="7" s="1"/>
  <c r="E700" i="7"/>
  <c r="H700" i="7" s="1"/>
  <c r="I700" i="7" s="1"/>
  <c r="E701" i="7"/>
  <c r="H701" i="7" s="1"/>
  <c r="I701" i="7" s="1"/>
  <c r="E702" i="7"/>
  <c r="H702" i="7" s="1"/>
  <c r="I702" i="7" s="1"/>
  <c r="E703" i="7"/>
  <c r="H703" i="7" s="1"/>
  <c r="I703" i="7" s="1"/>
  <c r="E704" i="7"/>
  <c r="H704" i="7" s="1"/>
  <c r="I704" i="7" s="1"/>
  <c r="E705" i="7"/>
  <c r="H705" i="7" s="1"/>
  <c r="I705" i="7" s="1"/>
  <c r="E706" i="7"/>
  <c r="H706" i="7" s="1"/>
  <c r="I706" i="7" s="1"/>
  <c r="E707" i="7"/>
  <c r="H707" i="7" s="1"/>
  <c r="I707" i="7" s="1"/>
  <c r="E708" i="7"/>
  <c r="H708" i="7" s="1"/>
  <c r="I708" i="7" s="1"/>
  <c r="E709" i="7"/>
  <c r="H709" i="7" s="1"/>
  <c r="I709" i="7" s="1"/>
  <c r="E710" i="7"/>
  <c r="H710" i="7" s="1"/>
  <c r="I710" i="7" s="1"/>
  <c r="E711" i="7"/>
  <c r="H711" i="7" s="1"/>
  <c r="I711" i="7" s="1"/>
  <c r="E712" i="7"/>
  <c r="H712" i="7" s="1"/>
  <c r="I712" i="7" s="1"/>
  <c r="E713" i="7"/>
  <c r="H713" i="7" s="1"/>
  <c r="I713" i="7" s="1"/>
  <c r="E714" i="7"/>
  <c r="H714" i="7" s="1"/>
  <c r="I714" i="7" s="1"/>
  <c r="E715" i="7"/>
  <c r="H715" i="7" s="1"/>
  <c r="I715" i="7" s="1"/>
  <c r="E716" i="7"/>
  <c r="H716" i="7" s="1"/>
  <c r="I716" i="7" s="1"/>
  <c r="E717" i="7"/>
  <c r="H717" i="7" s="1"/>
  <c r="I717" i="7" s="1"/>
  <c r="E718" i="7"/>
  <c r="H718" i="7" s="1"/>
  <c r="I718" i="7" s="1"/>
  <c r="E719" i="7"/>
  <c r="H719" i="7" s="1"/>
  <c r="I719" i="7" s="1"/>
  <c r="E720" i="7"/>
  <c r="H720" i="7" s="1"/>
  <c r="I720" i="7" s="1"/>
  <c r="E721" i="7"/>
  <c r="H721" i="7" s="1"/>
  <c r="I721" i="7" s="1"/>
  <c r="E722" i="7"/>
  <c r="H722" i="7" s="1"/>
  <c r="I722" i="7" s="1"/>
  <c r="E723" i="7"/>
  <c r="H723" i="7" s="1"/>
  <c r="I723" i="7" s="1"/>
  <c r="E724" i="7"/>
  <c r="H724" i="7" s="1"/>
  <c r="I724" i="7" s="1"/>
  <c r="E725" i="7"/>
  <c r="H725" i="7" s="1"/>
  <c r="I725" i="7" s="1"/>
  <c r="E726" i="7"/>
  <c r="H726" i="7" s="1"/>
  <c r="I726" i="7" s="1"/>
  <c r="E727" i="7"/>
  <c r="H727" i="7" s="1"/>
  <c r="I727" i="7" s="1"/>
  <c r="E728" i="7"/>
  <c r="H728" i="7" s="1"/>
  <c r="I728" i="7" s="1"/>
  <c r="E729" i="7"/>
  <c r="H729" i="7" s="1"/>
  <c r="I729" i="7" s="1"/>
  <c r="E730" i="7"/>
  <c r="H730" i="7" s="1"/>
  <c r="I730" i="7" s="1"/>
  <c r="E731" i="7"/>
  <c r="H731" i="7" s="1"/>
  <c r="I731" i="7" s="1"/>
  <c r="E732" i="7"/>
  <c r="H732" i="7" s="1"/>
  <c r="I732" i="7" s="1"/>
  <c r="E733" i="7"/>
  <c r="H733" i="7" s="1"/>
  <c r="I733" i="7" s="1"/>
  <c r="E734" i="7"/>
  <c r="H734" i="7" s="1"/>
  <c r="I734" i="7" s="1"/>
  <c r="E735" i="7"/>
  <c r="H735" i="7" s="1"/>
  <c r="I735" i="7" s="1"/>
  <c r="E736" i="7"/>
  <c r="H736" i="7" s="1"/>
  <c r="I736" i="7" s="1"/>
  <c r="E737" i="7"/>
  <c r="H737" i="7" s="1"/>
  <c r="I737" i="7" s="1"/>
  <c r="E738" i="7"/>
  <c r="H738" i="7" s="1"/>
  <c r="I738" i="7" s="1"/>
  <c r="E739" i="7"/>
  <c r="H739" i="7" s="1"/>
  <c r="I739" i="7" s="1"/>
  <c r="E740" i="7"/>
  <c r="H740" i="7" s="1"/>
  <c r="I740" i="7" s="1"/>
  <c r="E741" i="7"/>
  <c r="H741" i="7" s="1"/>
  <c r="I741" i="7" s="1"/>
  <c r="E742" i="7"/>
  <c r="H742" i="7" s="1"/>
  <c r="I742" i="7" s="1"/>
  <c r="E743" i="7"/>
  <c r="H743" i="7" s="1"/>
  <c r="I743" i="7" s="1"/>
  <c r="E744" i="7"/>
  <c r="H744" i="7" s="1"/>
  <c r="I744" i="7" s="1"/>
  <c r="E745" i="7"/>
  <c r="H745" i="7" s="1"/>
  <c r="I745" i="7" s="1"/>
  <c r="E746" i="7"/>
  <c r="H746" i="7" s="1"/>
  <c r="I746" i="7" s="1"/>
  <c r="E747" i="7"/>
  <c r="H747" i="7" s="1"/>
  <c r="I747" i="7" s="1"/>
  <c r="E748" i="7"/>
  <c r="H748" i="7" s="1"/>
  <c r="I748" i="7" s="1"/>
  <c r="E749" i="7"/>
  <c r="H749" i="7" s="1"/>
  <c r="I749" i="7" s="1"/>
  <c r="E750" i="7"/>
  <c r="H750" i="7" s="1"/>
  <c r="I750" i="7" s="1"/>
  <c r="E751" i="7"/>
  <c r="H751" i="7" s="1"/>
  <c r="I751" i="7" s="1"/>
  <c r="E752" i="7"/>
  <c r="H752" i="7" s="1"/>
  <c r="I752" i="7" s="1"/>
  <c r="E753" i="7"/>
  <c r="H753" i="7" s="1"/>
  <c r="I753" i="7" s="1"/>
  <c r="E754" i="7"/>
  <c r="H754" i="7" s="1"/>
  <c r="I754" i="7" s="1"/>
  <c r="E755" i="7"/>
  <c r="H755" i="7" s="1"/>
  <c r="I755" i="7" s="1"/>
  <c r="E756" i="7"/>
  <c r="H756" i="7" s="1"/>
  <c r="I756" i="7" s="1"/>
  <c r="E757" i="7"/>
  <c r="H757" i="7" s="1"/>
  <c r="I757" i="7" s="1"/>
  <c r="E758" i="7"/>
  <c r="H758" i="7" s="1"/>
  <c r="I758" i="7" s="1"/>
  <c r="E759" i="7"/>
  <c r="H759" i="7" s="1"/>
  <c r="I759" i="7" s="1"/>
  <c r="E760" i="7"/>
  <c r="H760" i="7" s="1"/>
  <c r="I760" i="7" s="1"/>
  <c r="E761" i="7"/>
  <c r="H761" i="7" s="1"/>
  <c r="I761" i="7" s="1"/>
  <c r="E762" i="7"/>
  <c r="H762" i="7" s="1"/>
  <c r="I762" i="7" s="1"/>
  <c r="E763" i="7"/>
  <c r="H763" i="7" s="1"/>
  <c r="I763" i="7" s="1"/>
  <c r="E764" i="7"/>
  <c r="H764" i="7" s="1"/>
  <c r="I764" i="7" s="1"/>
  <c r="E765" i="7"/>
  <c r="H765" i="7" s="1"/>
  <c r="I765" i="7" s="1"/>
  <c r="E766" i="7"/>
  <c r="H766" i="7" s="1"/>
  <c r="I766" i="7" s="1"/>
  <c r="E767" i="7"/>
  <c r="H767" i="7" s="1"/>
  <c r="I767" i="7" s="1"/>
  <c r="E768" i="7"/>
  <c r="H768" i="7" s="1"/>
  <c r="I768" i="7" s="1"/>
  <c r="E769" i="7"/>
  <c r="H769" i="7" s="1"/>
  <c r="I769" i="7" s="1"/>
  <c r="E770" i="7"/>
  <c r="H770" i="7" s="1"/>
  <c r="I770" i="7" s="1"/>
  <c r="E771" i="7"/>
  <c r="H771" i="7" s="1"/>
  <c r="I771" i="7" s="1"/>
  <c r="E772" i="7"/>
  <c r="H772" i="7" s="1"/>
  <c r="I772" i="7" s="1"/>
  <c r="E773" i="7"/>
  <c r="H773" i="7" s="1"/>
  <c r="I773" i="7" s="1"/>
  <c r="E774" i="7"/>
  <c r="H774" i="7" s="1"/>
  <c r="I774" i="7" s="1"/>
  <c r="E775" i="7"/>
  <c r="H775" i="7" s="1"/>
  <c r="I775" i="7" s="1"/>
  <c r="E776" i="7"/>
  <c r="H776" i="7" s="1"/>
  <c r="I776" i="7" s="1"/>
  <c r="E777" i="7"/>
  <c r="H777" i="7" s="1"/>
  <c r="I777" i="7" s="1"/>
  <c r="E778" i="7"/>
  <c r="H778" i="7" s="1"/>
  <c r="I778" i="7" s="1"/>
  <c r="E779" i="7"/>
  <c r="H779" i="7" s="1"/>
  <c r="I779" i="7" s="1"/>
  <c r="E780" i="7"/>
  <c r="H780" i="7" s="1"/>
  <c r="I780" i="7" s="1"/>
  <c r="E781" i="7"/>
  <c r="H781" i="7" s="1"/>
  <c r="I781" i="7" s="1"/>
  <c r="E782" i="7"/>
  <c r="H782" i="7" s="1"/>
  <c r="I782" i="7" s="1"/>
  <c r="E783" i="7"/>
  <c r="H783" i="7" s="1"/>
  <c r="I783" i="7" s="1"/>
  <c r="E784" i="7"/>
  <c r="H784" i="7" s="1"/>
  <c r="I784" i="7" s="1"/>
  <c r="E785" i="7"/>
  <c r="H785" i="7" s="1"/>
  <c r="I785" i="7" s="1"/>
  <c r="E786" i="7"/>
  <c r="H786" i="7" s="1"/>
  <c r="I786" i="7" s="1"/>
  <c r="E787" i="7"/>
  <c r="H787" i="7" s="1"/>
  <c r="I787" i="7" s="1"/>
  <c r="E788" i="7"/>
  <c r="H788" i="7" s="1"/>
  <c r="I788" i="7" s="1"/>
  <c r="E789" i="7"/>
  <c r="H789" i="7" s="1"/>
  <c r="I789" i="7" s="1"/>
  <c r="E790" i="7"/>
  <c r="H790" i="7" s="1"/>
  <c r="I790" i="7" s="1"/>
  <c r="E791" i="7"/>
  <c r="H791" i="7" s="1"/>
  <c r="I791" i="7" s="1"/>
  <c r="E792" i="7"/>
  <c r="H792" i="7" s="1"/>
  <c r="I792" i="7" s="1"/>
  <c r="E793" i="7"/>
  <c r="H793" i="7" s="1"/>
  <c r="I793" i="7" s="1"/>
  <c r="E794" i="7"/>
  <c r="H794" i="7" s="1"/>
  <c r="I794" i="7" s="1"/>
  <c r="E795" i="7"/>
  <c r="H795" i="7" s="1"/>
  <c r="I795" i="7" s="1"/>
  <c r="E796" i="7"/>
  <c r="H796" i="7" s="1"/>
  <c r="I796" i="7" s="1"/>
  <c r="E797" i="7"/>
  <c r="H797" i="7" s="1"/>
  <c r="I797" i="7" s="1"/>
  <c r="E798" i="7"/>
  <c r="H798" i="7" s="1"/>
  <c r="I798" i="7" s="1"/>
  <c r="E799" i="7"/>
  <c r="H799" i="7" s="1"/>
  <c r="I799" i="7" s="1"/>
  <c r="E800" i="7"/>
  <c r="H800" i="7" s="1"/>
  <c r="I800" i="7" s="1"/>
  <c r="E801" i="7"/>
  <c r="H801" i="7" s="1"/>
  <c r="I801" i="7" s="1"/>
  <c r="E802" i="7"/>
  <c r="H802" i="7" s="1"/>
  <c r="I802" i="7" s="1"/>
  <c r="E803" i="7"/>
  <c r="H803" i="7" s="1"/>
  <c r="I803" i="7" s="1"/>
  <c r="E804" i="7"/>
  <c r="H804" i="7" s="1"/>
  <c r="I804" i="7" s="1"/>
  <c r="E805" i="7"/>
  <c r="H805" i="7" s="1"/>
  <c r="I805" i="7" s="1"/>
  <c r="E806" i="7"/>
  <c r="H806" i="7" s="1"/>
  <c r="I806" i="7" s="1"/>
  <c r="E807" i="7"/>
  <c r="H807" i="7" s="1"/>
  <c r="I807" i="7" s="1"/>
  <c r="E808" i="7"/>
  <c r="H808" i="7" s="1"/>
  <c r="I808" i="7" s="1"/>
  <c r="E809" i="7"/>
  <c r="H809" i="7" s="1"/>
  <c r="I809" i="7" s="1"/>
  <c r="E810" i="7"/>
  <c r="H810" i="7" s="1"/>
  <c r="I810" i="7" s="1"/>
  <c r="E811" i="7"/>
  <c r="H811" i="7" s="1"/>
  <c r="I811" i="7" s="1"/>
  <c r="E812" i="7"/>
  <c r="H812" i="7" s="1"/>
  <c r="I812" i="7" s="1"/>
  <c r="E813" i="7"/>
  <c r="H813" i="7" s="1"/>
  <c r="I813" i="7" s="1"/>
  <c r="E814" i="7"/>
  <c r="H814" i="7" s="1"/>
  <c r="I814" i="7" s="1"/>
  <c r="E815" i="7"/>
  <c r="H815" i="7" s="1"/>
  <c r="I815" i="7" s="1"/>
  <c r="E816" i="7"/>
  <c r="H816" i="7" s="1"/>
  <c r="I816" i="7" s="1"/>
  <c r="E817" i="7"/>
  <c r="H817" i="7" s="1"/>
  <c r="I817" i="7" s="1"/>
  <c r="E818" i="7"/>
  <c r="H818" i="7" s="1"/>
  <c r="I818" i="7" s="1"/>
  <c r="E819" i="7"/>
  <c r="H819" i="7" s="1"/>
  <c r="I819" i="7" s="1"/>
  <c r="E820" i="7"/>
  <c r="H820" i="7" s="1"/>
  <c r="I820" i="7" s="1"/>
  <c r="E821" i="7"/>
  <c r="H821" i="7" s="1"/>
  <c r="I821" i="7" s="1"/>
  <c r="E822" i="7"/>
  <c r="H822" i="7" s="1"/>
  <c r="I822" i="7" s="1"/>
  <c r="E823" i="7"/>
  <c r="H823" i="7" s="1"/>
  <c r="I823" i="7" s="1"/>
  <c r="E824" i="7"/>
  <c r="H824" i="7" s="1"/>
  <c r="I824" i="7" s="1"/>
  <c r="E825" i="7"/>
  <c r="H825" i="7" s="1"/>
  <c r="I825" i="7" s="1"/>
  <c r="E826" i="7"/>
  <c r="H826" i="7" s="1"/>
  <c r="I826" i="7" s="1"/>
  <c r="E827" i="7"/>
  <c r="H827" i="7" s="1"/>
  <c r="I827" i="7" s="1"/>
  <c r="E828" i="7"/>
  <c r="H828" i="7" s="1"/>
  <c r="I828" i="7" s="1"/>
  <c r="E829" i="7"/>
  <c r="H829" i="7" s="1"/>
  <c r="I829" i="7" s="1"/>
  <c r="E830" i="7"/>
  <c r="H830" i="7" s="1"/>
  <c r="I830" i="7" s="1"/>
  <c r="E831" i="7"/>
  <c r="H831" i="7" s="1"/>
  <c r="I831" i="7" s="1"/>
  <c r="E832" i="7"/>
  <c r="H832" i="7" s="1"/>
  <c r="I832" i="7" s="1"/>
  <c r="E833" i="7"/>
  <c r="H833" i="7" s="1"/>
  <c r="I833" i="7" s="1"/>
  <c r="E834" i="7"/>
  <c r="H834" i="7" s="1"/>
  <c r="I834" i="7" s="1"/>
  <c r="E835" i="7"/>
  <c r="H835" i="7" s="1"/>
  <c r="I835" i="7" s="1"/>
  <c r="E836" i="7"/>
  <c r="H836" i="7" s="1"/>
  <c r="I836" i="7" s="1"/>
  <c r="E837" i="7"/>
  <c r="H837" i="7" s="1"/>
  <c r="I837" i="7" s="1"/>
  <c r="E838" i="7"/>
  <c r="H838" i="7" s="1"/>
  <c r="I838" i="7" s="1"/>
  <c r="E839" i="7"/>
  <c r="H839" i="7" s="1"/>
  <c r="I839" i="7" s="1"/>
  <c r="E840" i="7"/>
  <c r="H840" i="7" s="1"/>
  <c r="I840" i="7" s="1"/>
  <c r="E841" i="7"/>
  <c r="H841" i="7" s="1"/>
  <c r="I841" i="7" s="1"/>
  <c r="E842" i="7"/>
  <c r="H842" i="7" s="1"/>
  <c r="I842" i="7" s="1"/>
  <c r="E843" i="7"/>
  <c r="H843" i="7" s="1"/>
  <c r="I843" i="7" s="1"/>
  <c r="E844" i="7"/>
  <c r="H844" i="7" s="1"/>
  <c r="I844" i="7" s="1"/>
  <c r="E845" i="7"/>
  <c r="H845" i="7" s="1"/>
  <c r="I845" i="7" s="1"/>
  <c r="E846" i="7"/>
  <c r="H846" i="7" s="1"/>
  <c r="I846" i="7" s="1"/>
  <c r="E847" i="7"/>
  <c r="H847" i="7" s="1"/>
  <c r="I847" i="7" s="1"/>
  <c r="E848" i="7"/>
  <c r="H848" i="7" s="1"/>
  <c r="I848" i="7" s="1"/>
  <c r="E849" i="7"/>
  <c r="H849" i="7" s="1"/>
  <c r="I849" i="7" s="1"/>
  <c r="E850" i="7"/>
  <c r="H850" i="7" s="1"/>
  <c r="I850" i="7" s="1"/>
  <c r="E851" i="7"/>
  <c r="H851" i="7" s="1"/>
  <c r="I851" i="7" s="1"/>
  <c r="E852" i="7"/>
  <c r="H852" i="7" s="1"/>
  <c r="I852" i="7" s="1"/>
  <c r="E853" i="7"/>
  <c r="H853" i="7" s="1"/>
  <c r="I853" i="7" s="1"/>
  <c r="E854" i="7"/>
  <c r="H854" i="7" s="1"/>
  <c r="I854" i="7" s="1"/>
  <c r="E855" i="7"/>
  <c r="H855" i="7" s="1"/>
  <c r="I855" i="7" s="1"/>
  <c r="E856" i="7"/>
  <c r="H856" i="7" s="1"/>
  <c r="I856" i="7" s="1"/>
  <c r="E857" i="7"/>
  <c r="H857" i="7" s="1"/>
  <c r="I857" i="7" s="1"/>
  <c r="E858" i="7"/>
  <c r="H858" i="7" s="1"/>
  <c r="I858" i="7" s="1"/>
  <c r="E859" i="7"/>
  <c r="H859" i="7" s="1"/>
  <c r="I859" i="7" s="1"/>
  <c r="E860" i="7"/>
  <c r="H860" i="7" s="1"/>
  <c r="I860" i="7" s="1"/>
  <c r="E861" i="7"/>
  <c r="H861" i="7" s="1"/>
  <c r="I861" i="7" s="1"/>
  <c r="E862" i="7"/>
  <c r="H862" i="7" s="1"/>
  <c r="I862" i="7" s="1"/>
  <c r="E863" i="7"/>
  <c r="H863" i="7" s="1"/>
  <c r="I863" i="7" s="1"/>
  <c r="E864" i="7"/>
  <c r="H864" i="7" s="1"/>
  <c r="I864" i="7" s="1"/>
  <c r="E865" i="7"/>
  <c r="H865" i="7" s="1"/>
  <c r="I865" i="7" s="1"/>
  <c r="E866" i="7"/>
  <c r="H866" i="7" s="1"/>
  <c r="I866" i="7" s="1"/>
  <c r="E867" i="7"/>
  <c r="H867" i="7" s="1"/>
  <c r="I867" i="7" s="1"/>
  <c r="E868" i="7"/>
  <c r="H868" i="7" s="1"/>
  <c r="I868" i="7" s="1"/>
  <c r="E869" i="7"/>
  <c r="H869" i="7" s="1"/>
  <c r="I869" i="7" s="1"/>
  <c r="E870" i="7"/>
  <c r="H870" i="7" s="1"/>
  <c r="I870" i="7" s="1"/>
  <c r="E871" i="7"/>
  <c r="H871" i="7" s="1"/>
  <c r="I871" i="7" s="1"/>
  <c r="E872" i="7"/>
  <c r="H872" i="7" s="1"/>
  <c r="I872" i="7" s="1"/>
  <c r="E873" i="7"/>
  <c r="H873" i="7" s="1"/>
  <c r="I873" i="7" s="1"/>
  <c r="E874" i="7"/>
  <c r="H874" i="7" s="1"/>
  <c r="I874" i="7" s="1"/>
  <c r="E875" i="7"/>
  <c r="H875" i="7" s="1"/>
  <c r="I875" i="7" s="1"/>
  <c r="E876" i="7"/>
  <c r="H876" i="7" s="1"/>
  <c r="I876" i="7" s="1"/>
  <c r="E877" i="7"/>
  <c r="H877" i="7" s="1"/>
  <c r="I877" i="7" s="1"/>
  <c r="E878" i="7"/>
  <c r="H878" i="7" s="1"/>
  <c r="I878" i="7" s="1"/>
  <c r="E879" i="7"/>
  <c r="H879" i="7" s="1"/>
  <c r="I879" i="7" s="1"/>
  <c r="E880" i="7"/>
  <c r="H880" i="7" s="1"/>
  <c r="I880" i="7" s="1"/>
  <c r="E881" i="7"/>
  <c r="H881" i="7" s="1"/>
  <c r="I881" i="7" s="1"/>
  <c r="E882" i="7"/>
  <c r="H882" i="7" s="1"/>
  <c r="I882" i="7" s="1"/>
  <c r="E883" i="7"/>
  <c r="H883" i="7" s="1"/>
  <c r="I883" i="7" s="1"/>
  <c r="E884" i="7"/>
  <c r="H884" i="7" s="1"/>
  <c r="I884" i="7" s="1"/>
  <c r="E885" i="7"/>
  <c r="H885" i="7" s="1"/>
  <c r="I885" i="7" s="1"/>
  <c r="E886" i="7"/>
  <c r="H886" i="7" s="1"/>
  <c r="I886" i="7" s="1"/>
  <c r="E887" i="7"/>
  <c r="H887" i="7" s="1"/>
  <c r="I887" i="7" s="1"/>
  <c r="E888" i="7"/>
  <c r="H888" i="7" s="1"/>
  <c r="I888" i="7" s="1"/>
  <c r="E889" i="7"/>
  <c r="H889" i="7" s="1"/>
  <c r="I889" i="7" s="1"/>
  <c r="E890" i="7"/>
  <c r="H890" i="7" s="1"/>
  <c r="I890" i="7" s="1"/>
  <c r="E891" i="7"/>
  <c r="H891" i="7" s="1"/>
  <c r="I891" i="7" s="1"/>
  <c r="E892" i="7"/>
  <c r="H892" i="7" s="1"/>
  <c r="I892" i="7" s="1"/>
  <c r="E893" i="7"/>
  <c r="H893" i="7" s="1"/>
  <c r="I893" i="7" s="1"/>
  <c r="E894" i="7"/>
  <c r="H894" i="7" s="1"/>
  <c r="I894" i="7" s="1"/>
  <c r="E895" i="7"/>
  <c r="H895" i="7" s="1"/>
  <c r="I895" i="7" s="1"/>
  <c r="E896" i="7"/>
  <c r="H896" i="7" s="1"/>
  <c r="I896" i="7" s="1"/>
  <c r="E897" i="7"/>
  <c r="H897" i="7" s="1"/>
  <c r="I897" i="7" s="1"/>
  <c r="E898" i="7"/>
  <c r="H898" i="7" s="1"/>
  <c r="I898" i="7" s="1"/>
  <c r="E899" i="7"/>
  <c r="H899" i="7" s="1"/>
  <c r="I899" i="7" s="1"/>
  <c r="E900" i="7"/>
  <c r="H900" i="7" s="1"/>
  <c r="I900" i="7" s="1"/>
  <c r="E901" i="7"/>
  <c r="H901" i="7" s="1"/>
  <c r="I901" i="7" s="1"/>
  <c r="E902" i="7"/>
  <c r="H902" i="7" s="1"/>
  <c r="I902" i="7" s="1"/>
  <c r="E903" i="7"/>
  <c r="H903" i="7" s="1"/>
  <c r="I903" i="7" s="1"/>
  <c r="E904" i="7"/>
  <c r="H904" i="7" s="1"/>
  <c r="I904" i="7" s="1"/>
  <c r="E905" i="7"/>
  <c r="H905" i="7" s="1"/>
  <c r="I905" i="7" s="1"/>
  <c r="E906" i="7"/>
  <c r="H906" i="7" s="1"/>
  <c r="I906" i="7" s="1"/>
  <c r="E907" i="7"/>
  <c r="H907" i="7" s="1"/>
  <c r="I907" i="7" s="1"/>
  <c r="E908" i="7"/>
  <c r="H908" i="7" s="1"/>
  <c r="I908" i="7" s="1"/>
  <c r="E909" i="7"/>
  <c r="H909" i="7" s="1"/>
  <c r="I909" i="7" s="1"/>
  <c r="E910" i="7"/>
  <c r="H910" i="7" s="1"/>
  <c r="I910" i="7" s="1"/>
  <c r="E911" i="7"/>
  <c r="H911" i="7" s="1"/>
  <c r="I911" i="7" s="1"/>
  <c r="E912" i="7"/>
  <c r="H912" i="7" s="1"/>
  <c r="I912" i="7" s="1"/>
  <c r="E913" i="7"/>
  <c r="H913" i="7" s="1"/>
  <c r="I913" i="7" s="1"/>
  <c r="E914" i="7"/>
  <c r="H914" i="7" s="1"/>
  <c r="I914" i="7" s="1"/>
  <c r="E915" i="7"/>
  <c r="H915" i="7" s="1"/>
  <c r="I915" i="7" s="1"/>
  <c r="E916" i="7"/>
  <c r="H916" i="7" s="1"/>
  <c r="I916" i="7" s="1"/>
  <c r="E917" i="7"/>
  <c r="H917" i="7" s="1"/>
  <c r="I917" i="7" s="1"/>
  <c r="E918" i="7"/>
  <c r="H918" i="7" s="1"/>
  <c r="I918" i="7" s="1"/>
  <c r="E919" i="7"/>
  <c r="H919" i="7" s="1"/>
  <c r="I919" i="7" s="1"/>
  <c r="E920" i="7"/>
  <c r="H920" i="7" s="1"/>
  <c r="I920" i="7" s="1"/>
  <c r="E921" i="7"/>
  <c r="H921" i="7" s="1"/>
  <c r="I921" i="7" s="1"/>
  <c r="E922" i="7"/>
  <c r="H922" i="7" s="1"/>
  <c r="I922" i="7" s="1"/>
  <c r="E923" i="7"/>
  <c r="H923" i="7" s="1"/>
  <c r="I923" i="7" s="1"/>
  <c r="E924" i="7"/>
  <c r="H924" i="7" s="1"/>
  <c r="I924" i="7" s="1"/>
  <c r="E925" i="7"/>
  <c r="H925" i="7" s="1"/>
  <c r="I925" i="7" s="1"/>
  <c r="E926" i="7"/>
  <c r="H926" i="7" s="1"/>
  <c r="I926" i="7" s="1"/>
  <c r="E927" i="7"/>
  <c r="H927" i="7" s="1"/>
  <c r="I927" i="7" s="1"/>
  <c r="E928" i="7"/>
  <c r="H928" i="7" s="1"/>
  <c r="I928" i="7" s="1"/>
  <c r="E929" i="7"/>
  <c r="H929" i="7" s="1"/>
  <c r="I929" i="7" s="1"/>
  <c r="E930" i="7"/>
  <c r="H930" i="7" s="1"/>
  <c r="I930" i="7" s="1"/>
  <c r="E931" i="7"/>
  <c r="H931" i="7" s="1"/>
  <c r="I931" i="7" s="1"/>
  <c r="E932" i="7"/>
  <c r="H932" i="7" s="1"/>
  <c r="I932" i="7" s="1"/>
  <c r="E933" i="7"/>
  <c r="H933" i="7" s="1"/>
  <c r="I933" i="7" s="1"/>
  <c r="E934" i="7"/>
  <c r="H934" i="7" s="1"/>
  <c r="I934" i="7" s="1"/>
  <c r="E935" i="7"/>
  <c r="H935" i="7" s="1"/>
  <c r="I935" i="7" s="1"/>
  <c r="E936" i="7"/>
  <c r="H936" i="7" s="1"/>
  <c r="I936" i="7" s="1"/>
  <c r="E937" i="7"/>
  <c r="H937" i="7" s="1"/>
  <c r="I937" i="7" s="1"/>
  <c r="E938" i="7"/>
  <c r="H938" i="7" s="1"/>
  <c r="I938" i="7" s="1"/>
  <c r="E939" i="7"/>
  <c r="H939" i="7" s="1"/>
  <c r="I939" i="7" s="1"/>
  <c r="E940" i="7"/>
  <c r="H940" i="7" s="1"/>
  <c r="I940" i="7" s="1"/>
  <c r="E941" i="7"/>
  <c r="H941" i="7" s="1"/>
  <c r="I941" i="7" s="1"/>
  <c r="E942" i="7"/>
  <c r="H942" i="7" s="1"/>
  <c r="I942" i="7" s="1"/>
  <c r="E943" i="7"/>
  <c r="H943" i="7" s="1"/>
  <c r="I943" i="7" s="1"/>
  <c r="E944" i="7"/>
  <c r="H944" i="7" s="1"/>
  <c r="I944" i="7" s="1"/>
  <c r="E945" i="7"/>
  <c r="H945" i="7" s="1"/>
  <c r="I945" i="7" s="1"/>
  <c r="E946" i="7"/>
  <c r="H946" i="7" s="1"/>
  <c r="I946" i="7" s="1"/>
  <c r="E947" i="7"/>
  <c r="H947" i="7" s="1"/>
  <c r="I947" i="7" s="1"/>
  <c r="E948" i="7"/>
  <c r="H948" i="7" s="1"/>
  <c r="I948" i="7" s="1"/>
  <c r="E949" i="7"/>
  <c r="H949" i="7" s="1"/>
  <c r="I949" i="7" s="1"/>
  <c r="E950" i="7"/>
  <c r="H950" i="7" s="1"/>
  <c r="I950" i="7" s="1"/>
  <c r="E951" i="7"/>
  <c r="H951" i="7" s="1"/>
  <c r="I951" i="7" s="1"/>
  <c r="E952" i="7"/>
  <c r="H952" i="7" s="1"/>
  <c r="I952" i="7" s="1"/>
  <c r="E953" i="7"/>
  <c r="H953" i="7" s="1"/>
  <c r="I953" i="7" s="1"/>
  <c r="E954" i="7"/>
  <c r="H954" i="7" s="1"/>
  <c r="I954" i="7" s="1"/>
  <c r="E955" i="7"/>
  <c r="H955" i="7" s="1"/>
  <c r="I955" i="7" s="1"/>
  <c r="E956" i="7"/>
  <c r="H956" i="7" s="1"/>
  <c r="I956" i="7" s="1"/>
  <c r="E957" i="7"/>
  <c r="H957" i="7" s="1"/>
  <c r="I957" i="7" s="1"/>
  <c r="E958" i="7"/>
  <c r="H958" i="7" s="1"/>
  <c r="I958" i="7" s="1"/>
  <c r="E959" i="7"/>
  <c r="H959" i="7" s="1"/>
  <c r="I959" i="7" s="1"/>
  <c r="E960" i="7"/>
  <c r="H960" i="7" s="1"/>
  <c r="I960" i="7" s="1"/>
  <c r="E961" i="7"/>
  <c r="H961" i="7" s="1"/>
  <c r="I961" i="7" s="1"/>
  <c r="E962" i="7"/>
  <c r="H962" i="7" s="1"/>
  <c r="I962" i="7" s="1"/>
  <c r="E963" i="7"/>
  <c r="H963" i="7" s="1"/>
  <c r="I963" i="7" s="1"/>
  <c r="E964" i="7"/>
  <c r="H964" i="7" s="1"/>
  <c r="I964" i="7" s="1"/>
  <c r="E965" i="7"/>
  <c r="H965" i="7" s="1"/>
  <c r="I965" i="7" s="1"/>
  <c r="E966" i="7"/>
  <c r="H966" i="7" s="1"/>
  <c r="I966" i="7" s="1"/>
  <c r="E967" i="7"/>
  <c r="H967" i="7" s="1"/>
  <c r="I967" i="7" s="1"/>
  <c r="E968" i="7"/>
  <c r="H968" i="7" s="1"/>
  <c r="I968" i="7" s="1"/>
  <c r="E969" i="7"/>
  <c r="H969" i="7" s="1"/>
  <c r="I969" i="7" s="1"/>
  <c r="E970" i="7"/>
  <c r="H970" i="7" s="1"/>
  <c r="I970" i="7" s="1"/>
  <c r="E971" i="7"/>
  <c r="H971" i="7" s="1"/>
  <c r="I971" i="7" s="1"/>
  <c r="E972" i="7"/>
  <c r="H972" i="7" s="1"/>
  <c r="I972" i="7" s="1"/>
  <c r="E973" i="7"/>
  <c r="H973" i="7" s="1"/>
  <c r="I973" i="7" s="1"/>
  <c r="E974" i="7"/>
  <c r="H974" i="7" s="1"/>
  <c r="I974" i="7" s="1"/>
  <c r="E975" i="7"/>
  <c r="H975" i="7" s="1"/>
  <c r="I975" i="7" s="1"/>
  <c r="E976" i="7"/>
  <c r="H976" i="7" s="1"/>
  <c r="I976" i="7" s="1"/>
  <c r="E977" i="7"/>
  <c r="H977" i="7" s="1"/>
  <c r="I977" i="7" s="1"/>
  <c r="E978" i="7"/>
  <c r="H978" i="7" s="1"/>
  <c r="I978" i="7" s="1"/>
  <c r="E979" i="7"/>
  <c r="H979" i="7" s="1"/>
  <c r="I979" i="7" s="1"/>
  <c r="E980" i="7"/>
  <c r="H980" i="7" s="1"/>
  <c r="I980" i="7" s="1"/>
  <c r="E981" i="7"/>
  <c r="H981" i="7" s="1"/>
  <c r="I981" i="7" s="1"/>
  <c r="E982" i="7"/>
  <c r="H982" i="7" s="1"/>
  <c r="I982" i="7" s="1"/>
  <c r="E983" i="7"/>
  <c r="H983" i="7" s="1"/>
  <c r="I983" i="7" s="1"/>
  <c r="E984" i="7"/>
  <c r="H984" i="7" s="1"/>
  <c r="I984" i="7" s="1"/>
  <c r="E985" i="7"/>
  <c r="H985" i="7" s="1"/>
  <c r="I985" i="7" s="1"/>
  <c r="E986" i="7"/>
  <c r="H986" i="7" s="1"/>
  <c r="I986" i="7" s="1"/>
  <c r="E987" i="7"/>
  <c r="H987" i="7" s="1"/>
  <c r="I987" i="7" s="1"/>
  <c r="E988" i="7"/>
  <c r="H988" i="7" s="1"/>
  <c r="I988" i="7" s="1"/>
  <c r="E989" i="7"/>
  <c r="H989" i="7" s="1"/>
  <c r="I989" i="7" s="1"/>
  <c r="E990" i="7"/>
  <c r="H990" i="7" s="1"/>
  <c r="I990" i="7" s="1"/>
  <c r="E991" i="7"/>
  <c r="H991" i="7" s="1"/>
  <c r="I991" i="7" s="1"/>
  <c r="E992" i="7"/>
  <c r="H992" i="7" s="1"/>
  <c r="I992" i="7" s="1"/>
  <c r="E993" i="7"/>
  <c r="H993" i="7" s="1"/>
  <c r="I993" i="7" s="1"/>
  <c r="E994" i="7"/>
  <c r="H994" i="7" s="1"/>
  <c r="I994" i="7" s="1"/>
  <c r="E995" i="7"/>
  <c r="H995" i="7" s="1"/>
  <c r="I995" i="7" s="1"/>
  <c r="E996" i="7"/>
  <c r="H996" i="7" s="1"/>
  <c r="I996" i="7" s="1"/>
  <c r="E997" i="7"/>
  <c r="H997" i="7" s="1"/>
  <c r="I997" i="7" s="1"/>
  <c r="E998" i="7"/>
  <c r="H998" i="7" s="1"/>
  <c r="I998" i="7" s="1"/>
  <c r="E999" i="7"/>
  <c r="H999" i="7" s="1"/>
  <c r="I999" i="7" s="1"/>
  <c r="E1000" i="7"/>
  <c r="H1000" i="7" s="1"/>
  <c r="I1000" i="7" s="1"/>
  <c r="E1001" i="7"/>
  <c r="H1001" i="7" s="1"/>
  <c r="I1001" i="7" s="1"/>
  <c r="E1002" i="7"/>
  <c r="H1002" i="7" s="1"/>
  <c r="I1002" i="7" s="1"/>
  <c r="E1003" i="7"/>
  <c r="H1003" i="7" s="1"/>
  <c r="I1003" i="7" s="1"/>
  <c r="E1004" i="7"/>
  <c r="H1004" i="7" s="1"/>
  <c r="I1004" i="7" s="1"/>
  <c r="E1005" i="7"/>
  <c r="H1005" i="7" s="1"/>
  <c r="I1005" i="7" s="1"/>
  <c r="E1006" i="7"/>
  <c r="H1006" i="7" s="1"/>
  <c r="I1006" i="7" s="1"/>
  <c r="E1007" i="7"/>
  <c r="H1007" i="7" s="1"/>
  <c r="I1007" i="7" s="1"/>
  <c r="E1008" i="7"/>
  <c r="H1008" i="7" s="1"/>
  <c r="I1008" i="7" s="1"/>
  <c r="E1009" i="7"/>
  <c r="H1009" i="7" s="1"/>
  <c r="I1009" i="7" s="1"/>
  <c r="E1010" i="7"/>
  <c r="H1010" i="7" s="1"/>
  <c r="I1010" i="7" s="1"/>
  <c r="E1011" i="7"/>
  <c r="H1011" i="7" s="1"/>
  <c r="I1011" i="7" s="1"/>
  <c r="E1012" i="7"/>
  <c r="H1012" i="7" s="1"/>
  <c r="I1012" i="7" s="1"/>
  <c r="E1013" i="7"/>
  <c r="H1013" i="7" s="1"/>
  <c r="I1013" i="7" s="1"/>
  <c r="E1014" i="7"/>
  <c r="H1014" i="7" s="1"/>
  <c r="I1014" i="7" s="1"/>
  <c r="E1015" i="7"/>
  <c r="H1015" i="7" s="1"/>
  <c r="I1015" i="7" s="1"/>
  <c r="E1016" i="7"/>
  <c r="H1016" i="7" s="1"/>
  <c r="I1016" i="7" s="1"/>
  <c r="E1017" i="7"/>
  <c r="H1017" i="7" s="1"/>
  <c r="I1017" i="7" s="1"/>
  <c r="E1018" i="7"/>
  <c r="H1018" i="7" s="1"/>
  <c r="I1018" i="7" s="1"/>
  <c r="E1019" i="7"/>
  <c r="H1019" i="7" s="1"/>
  <c r="I1019" i="7" s="1"/>
  <c r="E1020" i="7"/>
  <c r="H1020" i="7" s="1"/>
  <c r="I1020" i="7" s="1"/>
  <c r="E1021" i="7"/>
  <c r="H1021" i="7" s="1"/>
  <c r="I1021" i="7" s="1"/>
  <c r="E1022" i="7"/>
  <c r="H1022" i="7" s="1"/>
  <c r="I1022" i="7" s="1"/>
  <c r="E1023" i="7"/>
  <c r="H1023" i="7" s="1"/>
  <c r="I1023" i="7" s="1"/>
  <c r="E1024" i="7"/>
  <c r="H1024" i="7" s="1"/>
  <c r="I1024" i="7" s="1"/>
  <c r="E1025" i="7"/>
  <c r="H1025" i="7" s="1"/>
  <c r="I1025" i="7" s="1"/>
  <c r="E1026" i="7"/>
  <c r="H1026" i="7" s="1"/>
  <c r="I1026" i="7" s="1"/>
  <c r="E1027" i="7"/>
  <c r="H1027" i="7" s="1"/>
  <c r="I1027" i="7" s="1"/>
  <c r="E1028" i="7"/>
  <c r="H1028" i="7" s="1"/>
  <c r="I1028" i="7" s="1"/>
  <c r="E1029" i="7"/>
  <c r="H1029" i="7" s="1"/>
  <c r="I1029" i="7" s="1"/>
  <c r="E1030" i="7"/>
  <c r="H1030" i="7" s="1"/>
  <c r="I1030" i="7" s="1"/>
  <c r="E1031" i="7"/>
  <c r="H1031" i="7" s="1"/>
  <c r="I1031" i="7" s="1"/>
  <c r="E1032" i="7"/>
  <c r="H1032" i="7" s="1"/>
  <c r="I1032" i="7" s="1"/>
  <c r="E1033" i="7"/>
  <c r="H1033" i="7" s="1"/>
  <c r="I1033" i="7" s="1"/>
  <c r="E1034" i="7"/>
  <c r="H1034" i="7" s="1"/>
  <c r="I1034" i="7" s="1"/>
  <c r="E1035" i="7"/>
  <c r="H1035" i="7" s="1"/>
  <c r="I1035" i="7" s="1"/>
  <c r="E1036" i="7"/>
  <c r="H1036" i="7" s="1"/>
  <c r="I1036" i="7" s="1"/>
  <c r="E1037" i="7"/>
  <c r="H1037" i="7" s="1"/>
  <c r="I1037" i="7" s="1"/>
  <c r="E1038" i="7"/>
  <c r="H1038" i="7" s="1"/>
  <c r="I1038" i="7" s="1"/>
  <c r="E1039" i="7"/>
  <c r="H1039" i="7" s="1"/>
  <c r="I1039" i="7" s="1"/>
  <c r="E1040" i="7"/>
  <c r="H1040" i="7" s="1"/>
  <c r="I1040" i="7" s="1"/>
  <c r="E1041" i="7"/>
  <c r="H1041" i="7" s="1"/>
  <c r="I1041" i="7" s="1"/>
  <c r="E1042" i="7"/>
  <c r="H1042" i="7" s="1"/>
  <c r="I1042" i="7" s="1"/>
  <c r="E1043" i="7"/>
  <c r="H1043" i="7" s="1"/>
  <c r="I1043" i="7" s="1"/>
  <c r="E1044" i="7"/>
  <c r="H1044" i="7" s="1"/>
  <c r="I1044" i="7" s="1"/>
  <c r="E1045" i="7"/>
  <c r="H1045" i="7" s="1"/>
  <c r="I1045" i="7" s="1"/>
  <c r="E1046" i="7"/>
  <c r="H1046" i="7" s="1"/>
  <c r="I1046" i="7" s="1"/>
  <c r="E1047" i="7"/>
  <c r="H1047" i="7" s="1"/>
  <c r="I1047" i="7" s="1"/>
  <c r="E1048" i="7"/>
  <c r="H1048" i="7" s="1"/>
  <c r="I1048" i="7" s="1"/>
  <c r="E1049" i="7"/>
  <c r="H1049" i="7" s="1"/>
  <c r="I1049" i="7" s="1"/>
  <c r="E1050" i="7"/>
  <c r="H1050" i="7" s="1"/>
  <c r="I1050" i="7" s="1"/>
  <c r="E1051" i="7"/>
  <c r="H1051" i="7" s="1"/>
  <c r="I1051" i="7" s="1"/>
  <c r="E1052" i="7"/>
  <c r="H1052" i="7" s="1"/>
  <c r="I1052" i="7" s="1"/>
  <c r="E1053" i="7"/>
  <c r="H1053" i="7" s="1"/>
  <c r="I1053" i="7" s="1"/>
  <c r="E1054" i="7"/>
  <c r="H1054" i="7" s="1"/>
  <c r="I1054" i="7" s="1"/>
  <c r="E1055" i="7"/>
  <c r="H1055" i="7" s="1"/>
  <c r="I1055" i="7" s="1"/>
  <c r="E1056" i="7"/>
  <c r="H1056" i="7" s="1"/>
  <c r="I1056" i="7" s="1"/>
  <c r="E1057" i="7"/>
  <c r="H1057" i="7" s="1"/>
  <c r="I1057" i="7" s="1"/>
  <c r="E1058" i="7"/>
  <c r="H1058" i="7" s="1"/>
  <c r="I1058" i="7" s="1"/>
  <c r="E1059" i="7"/>
  <c r="H1059" i="7" s="1"/>
  <c r="I1059" i="7" s="1"/>
  <c r="E1060" i="7"/>
  <c r="H1060" i="7" s="1"/>
  <c r="I1060" i="7" s="1"/>
  <c r="E1061" i="7"/>
  <c r="H1061" i="7" s="1"/>
  <c r="I1061" i="7" s="1"/>
  <c r="E1062" i="7"/>
  <c r="H1062" i="7" s="1"/>
  <c r="I1062" i="7" s="1"/>
  <c r="E1063" i="7"/>
  <c r="H1063" i="7" s="1"/>
  <c r="I1063" i="7" s="1"/>
  <c r="E1064" i="7"/>
  <c r="H1064" i="7" s="1"/>
  <c r="I1064" i="7" s="1"/>
  <c r="E1065" i="7"/>
  <c r="H1065" i="7" s="1"/>
  <c r="I1065" i="7" s="1"/>
  <c r="E1066" i="7"/>
  <c r="H1066" i="7" s="1"/>
  <c r="I1066" i="7" s="1"/>
  <c r="E1067" i="7"/>
  <c r="H1067" i="7" s="1"/>
  <c r="I1067" i="7" s="1"/>
  <c r="E1068" i="7"/>
  <c r="H1068" i="7" s="1"/>
  <c r="I1068" i="7" s="1"/>
  <c r="E1069" i="7"/>
  <c r="H1069" i="7" s="1"/>
  <c r="I1069" i="7" s="1"/>
  <c r="E1070" i="7"/>
  <c r="H1070" i="7" s="1"/>
  <c r="I1070" i="7" s="1"/>
  <c r="E1071" i="7"/>
  <c r="H1071" i="7" s="1"/>
  <c r="I1071" i="7" s="1"/>
  <c r="E1072" i="7"/>
  <c r="H1072" i="7" s="1"/>
  <c r="I1072" i="7" s="1"/>
  <c r="E1073" i="7"/>
  <c r="H1073" i="7" s="1"/>
  <c r="I1073" i="7" s="1"/>
  <c r="E1074" i="7"/>
  <c r="H1074" i="7" s="1"/>
  <c r="I1074" i="7" s="1"/>
  <c r="E1075" i="7"/>
  <c r="H1075" i="7" s="1"/>
  <c r="I1075" i="7" s="1"/>
  <c r="E1076" i="7"/>
  <c r="H1076" i="7" s="1"/>
  <c r="I1076" i="7" s="1"/>
  <c r="E1077" i="7"/>
  <c r="H1077" i="7" s="1"/>
  <c r="I1077" i="7" s="1"/>
  <c r="E1078" i="7"/>
  <c r="H1078" i="7" s="1"/>
  <c r="I1078" i="7" s="1"/>
  <c r="E1079" i="7"/>
  <c r="H1079" i="7" s="1"/>
  <c r="I1079" i="7" s="1"/>
  <c r="E1080" i="7"/>
  <c r="H1080" i="7" s="1"/>
  <c r="I1080" i="7" s="1"/>
  <c r="E1081" i="7"/>
  <c r="H1081" i="7" s="1"/>
  <c r="I1081" i="7" s="1"/>
  <c r="E1082" i="7"/>
  <c r="H1082" i="7" s="1"/>
  <c r="I1082" i="7" s="1"/>
  <c r="E1083" i="7"/>
  <c r="H1083" i="7" s="1"/>
  <c r="I1083" i="7" s="1"/>
  <c r="E1084" i="7"/>
  <c r="H1084" i="7" s="1"/>
  <c r="I1084" i="7" s="1"/>
  <c r="E1085" i="7"/>
  <c r="H1085" i="7" s="1"/>
  <c r="I1085" i="7" s="1"/>
  <c r="E1086" i="7"/>
  <c r="H1086" i="7" s="1"/>
  <c r="I1086" i="7" s="1"/>
  <c r="E1087" i="7"/>
  <c r="H1087" i="7" s="1"/>
  <c r="I1087" i="7" s="1"/>
  <c r="E1088" i="7"/>
  <c r="H1088" i="7" s="1"/>
  <c r="I1088" i="7" s="1"/>
  <c r="E1089" i="7"/>
  <c r="H1089" i="7" s="1"/>
  <c r="I1089" i="7" s="1"/>
  <c r="E1090" i="7"/>
  <c r="H1090" i="7" s="1"/>
  <c r="I1090" i="7" s="1"/>
  <c r="E1091" i="7"/>
  <c r="H1091" i="7" s="1"/>
  <c r="I1091" i="7" s="1"/>
  <c r="E1092" i="7"/>
  <c r="H1092" i="7" s="1"/>
  <c r="I1092" i="7" s="1"/>
  <c r="E1093" i="7"/>
  <c r="H1093" i="7" s="1"/>
  <c r="I1093" i="7" s="1"/>
  <c r="E1094" i="7"/>
  <c r="H1094" i="7" s="1"/>
  <c r="I1094" i="7" s="1"/>
  <c r="E1095" i="7"/>
  <c r="H1095" i="7" s="1"/>
  <c r="I1095" i="7" s="1"/>
  <c r="E1096" i="7"/>
  <c r="H1096" i="7" s="1"/>
  <c r="I1096" i="7" s="1"/>
  <c r="E1097" i="7"/>
  <c r="H1097" i="7" s="1"/>
  <c r="I1097" i="7" s="1"/>
  <c r="E1098" i="7"/>
  <c r="H1098" i="7" s="1"/>
  <c r="I1098" i="7" s="1"/>
  <c r="E1099" i="7"/>
  <c r="H1099" i="7" s="1"/>
  <c r="I1099" i="7" s="1"/>
  <c r="E1100" i="7"/>
  <c r="H1100" i="7" s="1"/>
  <c r="I1100" i="7" s="1"/>
  <c r="E1101" i="7"/>
  <c r="H1101" i="7" s="1"/>
  <c r="I1101" i="7" s="1"/>
  <c r="E1102" i="7"/>
  <c r="H1102" i="7" s="1"/>
  <c r="I1102" i="7" s="1"/>
  <c r="E1103" i="7"/>
  <c r="H1103" i="7" s="1"/>
  <c r="I1103" i="7" s="1"/>
  <c r="E1104" i="7"/>
  <c r="H1104" i="7" s="1"/>
  <c r="I1104" i="7" s="1"/>
  <c r="E1105" i="7"/>
  <c r="H1105" i="7" s="1"/>
  <c r="I1105" i="7" s="1"/>
  <c r="E1106" i="7"/>
  <c r="H1106" i="7" s="1"/>
  <c r="I1106" i="7" s="1"/>
  <c r="E1107" i="7"/>
  <c r="H1107" i="7" s="1"/>
  <c r="I1107" i="7" s="1"/>
  <c r="E1108" i="7"/>
  <c r="H1108" i="7" s="1"/>
  <c r="I1108" i="7" s="1"/>
  <c r="E1109" i="7"/>
  <c r="H1109" i="7" s="1"/>
  <c r="I1109" i="7" s="1"/>
  <c r="E1110" i="7"/>
  <c r="H1110" i="7" s="1"/>
  <c r="I1110" i="7" s="1"/>
  <c r="E1111" i="7"/>
  <c r="H1111" i="7" s="1"/>
  <c r="I1111" i="7" s="1"/>
  <c r="E1112" i="7"/>
  <c r="H1112" i="7" s="1"/>
  <c r="I1112" i="7" s="1"/>
  <c r="E1113" i="7"/>
  <c r="H1113" i="7" s="1"/>
  <c r="I1113" i="7" s="1"/>
  <c r="E1114" i="7"/>
  <c r="H1114" i="7" s="1"/>
  <c r="I1114" i="7" s="1"/>
  <c r="E1115" i="7"/>
  <c r="H1115" i="7" s="1"/>
  <c r="I1115" i="7" s="1"/>
  <c r="E1116" i="7"/>
  <c r="H1116" i="7" s="1"/>
  <c r="I1116" i="7" s="1"/>
  <c r="E1117" i="7"/>
  <c r="H1117" i="7" s="1"/>
  <c r="I1117" i="7" s="1"/>
  <c r="E1118" i="7"/>
  <c r="H1118" i="7" s="1"/>
  <c r="I1118" i="7" s="1"/>
  <c r="E1119" i="7"/>
  <c r="H1119" i="7" s="1"/>
  <c r="I1119" i="7" s="1"/>
  <c r="E1120" i="7"/>
  <c r="H1120" i="7" s="1"/>
  <c r="I1120" i="7" s="1"/>
  <c r="E1121" i="7"/>
  <c r="H1121" i="7" s="1"/>
  <c r="I1121" i="7" s="1"/>
  <c r="E1122" i="7"/>
  <c r="H1122" i="7" s="1"/>
  <c r="I1122" i="7" s="1"/>
  <c r="E1123" i="7"/>
  <c r="H1123" i="7" s="1"/>
  <c r="I1123" i="7" s="1"/>
  <c r="E1124" i="7"/>
  <c r="H1124" i="7" s="1"/>
  <c r="I1124" i="7" s="1"/>
  <c r="E1125" i="7"/>
  <c r="H1125" i="7" s="1"/>
  <c r="I1125" i="7" s="1"/>
  <c r="E1126" i="7"/>
  <c r="H1126" i="7" s="1"/>
  <c r="I1126" i="7" s="1"/>
  <c r="E1127" i="7"/>
  <c r="H1127" i="7" s="1"/>
  <c r="I1127" i="7" s="1"/>
  <c r="E1128" i="7"/>
  <c r="H1128" i="7" s="1"/>
  <c r="I1128" i="7" s="1"/>
  <c r="E1129" i="7"/>
  <c r="H1129" i="7" s="1"/>
  <c r="I1129" i="7" s="1"/>
  <c r="E1130" i="7"/>
  <c r="H1130" i="7" s="1"/>
  <c r="I1130" i="7" s="1"/>
  <c r="E1131" i="7"/>
  <c r="H1131" i="7" s="1"/>
  <c r="I1131" i="7" s="1"/>
  <c r="E1132" i="7"/>
  <c r="H1132" i="7" s="1"/>
  <c r="I1132" i="7" s="1"/>
  <c r="E1133" i="7"/>
  <c r="H1133" i="7" s="1"/>
  <c r="I1133" i="7" s="1"/>
  <c r="E1134" i="7"/>
  <c r="H1134" i="7" s="1"/>
  <c r="I1134" i="7" s="1"/>
  <c r="E1135" i="7"/>
  <c r="H1135" i="7" s="1"/>
  <c r="I1135" i="7" s="1"/>
  <c r="E1136" i="7"/>
  <c r="H1136" i="7" s="1"/>
  <c r="I1136" i="7" s="1"/>
  <c r="E1137" i="7"/>
  <c r="H1137" i="7" s="1"/>
  <c r="I1137" i="7" s="1"/>
  <c r="E1138" i="7"/>
  <c r="H1138" i="7" s="1"/>
  <c r="I1138" i="7" s="1"/>
  <c r="E1139" i="7"/>
  <c r="H1139" i="7" s="1"/>
  <c r="I1139" i="7" s="1"/>
  <c r="E1140" i="7"/>
  <c r="H1140" i="7" s="1"/>
  <c r="I1140" i="7" s="1"/>
  <c r="E1141" i="7"/>
  <c r="H1141" i="7" s="1"/>
  <c r="I1141" i="7" s="1"/>
  <c r="E1142" i="7"/>
  <c r="H1142" i="7" s="1"/>
  <c r="I1142" i="7" s="1"/>
  <c r="E1143" i="7"/>
  <c r="H1143" i="7" s="1"/>
  <c r="I1143" i="7" s="1"/>
  <c r="E1144" i="7"/>
  <c r="H1144" i="7" s="1"/>
  <c r="I1144" i="7" s="1"/>
  <c r="E1145" i="7"/>
  <c r="H1145" i="7" s="1"/>
  <c r="I1145" i="7" s="1"/>
  <c r="E1146" i="7"/>
  <c r="H1146" i="7" s="1"/>
  <c r="I1146" i="7" s="1"/>
  <c r="E1147" i="7"/>
  <c r="H1147" i="7" s="1"/>
  <c r="I1147" i="7" s="1"/>
  <c r="E1148" i="7"/>
  <c r="H1148" i="7" s="1"/>
  <c r="I1148" i="7" s="1"/>
  <c r="E1149" i="7"/>
  <c r="H1149" i="7" s="1"/>
  <c r="I1149" i="7" s="1"/>
  <c r="E1150" i="7"/>
  <c r="H1150" i="7" s="1"/>
  <c r="I1150" i="7" s="1"/>
  <c r="E1151" i="7"/>
  <c r="H1151" i="7" s="1"/>
  <c r="I1151" i="7" s="1"/>
  <c r="E1152" i="7"/>
  <c r="H1152" i="7" s="1"/>
  <c r="I1152" i="7" s="1"/>
  <c r="E1153" i="7"/>
  <c r="H1153" i="7" s="1"/>
  <c r="I1153" i="7" s="1"/>
  <c r="E1154" i="7"/>
  <c r="H1154" i="7" s="1"/>
  <c r="I1154" i="7" s="1"/>
  <c r="E1155" i="7"/>
  <c r="H1155" i="7" s="1"/>
  <c r="I1155" i="7" s="1"/>
  <c r="E1156" i="7"/>
  <c r="H1156" i="7" s="1"/>
  <c r="I1156" i="7" s="1"/>
  <c r="E1157" i="7"/>
  <c r="H1157" i="7" s="1"/>
  <c r="I1157" i="7" s="1"/>
  <c r="E1158" i="7"/>
  <c r="H1158" i="7" s="1"/>
  <c r="I1158" i="7" s="1"/>
  <c r="E1159" i="7"/>
  <c r="H1159" i="7" s="1"/>
  <c r="I1159" i="7" s="1"/>
  <c r="E1160" i="7"/>
  <c r="H1160" i="7" s="1"/>
  <c r="I1160" i="7" s="1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501" i="7"/>
  <c r="F502" i="7"/>
  <c r="F503" i="7"/>
  <c r="F504" i="7"/>
  <c r="F505" i="7"/>
  <c r="F506" i="7"/>
  <c r="F507" i="7"/>
  <c r="F508" i="7"/>
  <c r="F509" i="7"/>
  <c r="F510" i="7"/>
  <c r="F511" i="7"/>
  <c r="F512" i="7"/>
  <c r="F513" i="7"/>
  <c r="F514" i="7"/>
  <c r="F515" i="7"/>
  <c r="F516" i="7"/>
  <c r="F517" i="7"/>
  <c r="F518" i="7"/>
  <c r="F519" i="7"/>
  <c r="F520" i="7"/>
  <c r="F521" i="7"/>
  <c r="F522" i="7"/>
  <c r="F523" i="7"/>
  <c r="F524" i="7"/>
  <c r="F525" i="7"/>
  <c r="F526" i="7"/>
  <c r="F527" i="7"/>
  <c r="F528" i="7"/>
  <c r="F529" i="7"/>
  <c r="F530" i="7"/>
  <c r="F531" i="7"/>
  <c r="F532" i="7"/>
  <c r="F533" i="7"/>
  <c r="F534" i="7"/>
  <c r="F535" i="7"/>
  <c r="F536" i="7"/>
  <c r="F537" i="7"/>
  <c r="F538" i="7"/>
  <c r="F539" i="7"/>
  <c r="F540" i="7"/>
  <c r="F541" i="7"/>
  <c r="F542" i="7"/>
  <c r="F543" i="7"/>
  <c r="F544" i="7"/>
  <c r="F545" i="7"/>
  <c r="F546" i="7"/>
  <c r="F547" i="7"/>
  <c r="F548" i="7"/>
  <c r="F549" i="7"/>
  <c r="F550" i="7"/>
  <c r="F551" i="7"/>
  <c r="F552" i="7"/>
  <c r="F553" i="7"/>
  <c r="F554" i="7"/>
  <c r="F555" i="7"/>
  <c r="F556" i="7"/>
  <c r="F557" i="7"/>
  <c r="F558" i="7"/>
  <c r="F559" i="7"/>
  <c r="F560" i="7"/>
  <c r="F561" i="7"/>
  <c r="F562" i="7"/>
  <c r="F563" i="7"/>
  <c r="F564" i="7"/>
  <c r="F565" i="7"/>
  <c r="F566" i="7"/>
  <c r="F567" i="7"/>
  <c r="F568" i="7"/>
  <c r="F569" i="7"/>
  <c r="F570" i="7"/>
  <c r="F571" i="7"/>
  <c r="F572" i="7"/>
  <c r="F573" i="7"/>
  <c r="F574" i="7"/>
  <c r="F575" i="7"/>
  <c r="F576" i="7"/>
  <c r="F577" i="7"/>
  <c r="F578" i="7"/>
  <c r="F579" i="7"/>
  <c r="F580" i="7"/>
  <c r="F581" i="7"/>
  <c r="F582" i="7"/>
  <c r="F583" i="7"/>
  <c r="F584" i="7"/>
  <c r="F585" i="7"/>
  <c r="F586" i="7"/>
  <c r="F587" i="7"/>
  <c r="F588" i="7"/>
  <c r="F589" i="7"/>
  <c r="F590" i="7"/>
  <c r="F591" i="7"/>
  <c r="F592" i="7"/>
  <c r="F593" i="7"/>
  <c r="F594" i="7"/>
  <c r="F595" i="7"/>
  <c r="F596" i="7"/>
  <c r="F597" i="7"/>
  <c r="F598" i="7"/>
  <c r="F599" i="7"/>
  <c r="F600" i="7"/>
  <c r="F601" i="7"/>
  <c r="F602" i="7"/>
  <c r="F603" i="7"/>
  <c r="F604" i="7"/>
  <c r="F605" i="7"/>
  <c r="F606" i="7"/>
  <c r="F607" i="7"/>
  <c r="F608" i="7"/>
  <c r="F609" i="7"/>
  <c r="F610" i="7"/>
  <c r="F611" i="7"/>
  <c r="F612" i="7"/>
  <c r="F613" i="7"/>
  <c r="F614" i="7"/>
  <c r="F615" i="7"/>
  <c r="F616" i="7"/>
  <c r="F617" i="7"/>
  <c r="F618" i="7"/>
  <c r="F619" i="7"/>
  <c r="F620" i="7"/>
  <c r="F621" i="7"/>
  <c r="F622" i="7"/>
  <c r="F623" i="7"/>
  <c r="F624" i="7"/>
  <c r="F625" i="7"/>
  <c r="F626" i="7"/>
  <c r="F627" i="7"/>
  <c r="F628" i="7"/>
  <c r="F629" i="7"/>
  <c r="F630" i="7"/>
  <c r="F631" i="7"/>
  <c r="F632" i="7"/>
  <c r="F633" i="7"/>
  <c r="F634" i="7"/>
  <c r="F635" i="7"/>
  <c r="F636" i="7"/>
  <c r="F637" i="7"/>
  <c r="F638" i="7"/>
  <c r="F639" i="7"/>
  <c r="F640" i="7"/>
  <c r="F641" i="7"/>
  <c r="F642" i="7"/>
  <c r="F643" i="7"/>
  <c r="F644" i="7"/>
  <c r="F645" i="7"/>
  <c r="F646" i="7"/>
  <c r="F647" i="7"/>
  <c r="F648" i="7"/>
  <c r="F649" i="7"/>
  <c r="F650" i="7"/>
  <c r="F651" i="7"/>
  <c r="F652" i="7"/>
  <c r="F653" i="7"/>
  <c r="F654" i="7"/>
  <c r="F655" i="7"/>
  <c r="F656" i="7"/>
  <c r="F657" i="7"/>
  <c r="F658" i="7"/>
  <c r="F659" i="7"/>
  <c r="F660" i="7"/>
  <c r="F661" i="7"/>
  <c r="F662" i="7"/>
  <c r="F663" i="7"/>
  <c r="F664" i="7"/>
  <c r="F665" i="7"/>
  <c r="F666" i="7"/>
  <c r="F667" i="7"/>
  <c r="F668" i="7"/>
  <c r="F669" i="7"/>
  <c r="F670" i="7"/>
  <c r="F671" i="7"/>
  <c r="F672" i="7"/>
  <c r="F673" i="7"/>
  <c r="F674" i="7"/>
  <c r="F675" i="7"/>
  <c r="F676" i="7"/>
  <c r="F677" i="7"/>
  <c r="F678" i="7"/>
  <c r="F679" i="7"/>
  <c r="F680" i="7"/>
  <c r="F681" i="7"/>
  <c r="F682" i="7"/>
  <c r="F683" i="7"/>
  <c r="F684" i="7"/>
  <c r="F685" i="7"/>
  <c r="F686" i="7"/>
  <c r="F687" i="7"/>
  <c r="F688" i="7"/>
  <c r="F689" i="7"/>
  <c r="F690" i="7"/>
  <c r="F691" i="7"/>
  <c r="F692" i="7"/>
  <c r="F693" i="7"/>
  <c r="F694" i="7"/>
  <c r="F695" i="7"/>
  <c r="F696" i="7"/>
  <c r="F697" i="7"/>
  <c r="F698" i="7"/>
  <c r="F699" i="7"/>
  <c r="F700" i="7"/>
  <c r="F701" i="7"/>
  <c r="F702" i="7"/>
  <c r="F703" i="7"/>
  <c r="F704" i="7"/>
  <c r="F705" i="7"/>
  <c r="F706" i="7"/>
  <c r="F707" i="7"/>
  <c r="F708" i="7"/>
  <c r="F709" i="7"/>
  <c r="F710" i="7"/>
  <c r="F711" i="7"/>
  <c r="F712" i="7"/>
  <c r="F713" i="7"/>
  <c r="F714" i="7"/>
  <c r="F715" i="7"/>
  <c r="F716" i="7"/>
  <c r="F717" i="7"/>
  <c r="F718" i="7"/>
  <c r="F719" i="7"/>
  <c r="F720" i="7"/>
  <c r="F721" i="7"/>
  <c r="F722" i="7"/>
  <c r="F723" i="7"/>
  <c r="F724" i="7"/>
  <c r="F725" i="7"/>
  <c r="F726" i="7"/>
  <c r="F727" i="7"/>
  <c r="F728" i="7"/>
  <c r="F729" i="7"/>
  <c r="F730" i="7"/>
  <c r="F731" i="7"/>
  <c r="F732" i="7"/>
  <c r="F733" i="7"/>
  <c r="F734" i="7"/>
  <c r="F735" i="7"/>
  <c r="F736" i="7"/>
  <c r="F737" i="7"/>
  <c r="F738" i="7"/>
  <c r="F739" i="7"/>
  <c r="F740" i="7"/>
  <c r="F741" i="7"/>
  <c r="F742" i="7"/>
  <c r="F743" i="7"/>
  <c r="F744" i="7"/>
  <c r="F745" i="7"/>
  <c r="F746" i="7"/>
  <c r="F747" i="7"/>
  <c r="F748" i="7"/>
  <c r="F749" i="7"/>
  <c r="F750" i="7"/>
  <c r="F751" i="7"/>
  <c r="F752" i="7"/>
  <c r="F753" i="7"/>
  <c r="F754" i="7"/>
  <c r="F755" i="7"/>
  <c r="F756" i="7"/>
  <c r="F757" i="7"/>
  <c r="F758" i="7"/>
  <c r="F759" i="7"/>
  <c r="F760" i="7"/>
  <c r="F761" i="7"/>
  <c r="F762" i="7"/>
  <c r="F763" i="7"/>
  <c r="F764" i="7"/>
  <c r="F765" i="7"/>
  <c r="F766" i="7"/>
  <c r="F767" i="7"/>
  <c r="F768" i="7"/>
  <c r="F769" i="7"/>
  <c r="F770" i="7"/>
  <c r="F771" i="7"/>
  <c r="F772" i="7"/>
  <c r="F773" i="7"/>
  <c r="F774" i="7"/>
  <c r="F775" i="7"/>
  <c r="F776" i="7"/>
  <c r="F777" i="7"/>
  <c r="F778" i="7"/>
  <c r="F779" i="7"/>
  <c r="F780" i="7"/>
  <c r="F781" i="7"/>
  <c r="F782" i="7"/>
  <c r="F783" i="7"/>
  <c r="F784" i="7"/>
  <c r="F785" i="7"/>
  <c r="F786" i="7"/>
  <c r="F787" i="7"/>
  <c r="F788" i="7"/>
  <c r="F789" i="7"/>
  <c r="F790" i="7"/>
  <c r="F791" i="7"/>
  <c r="F792" i="7"/>
  <c r="F793" i="7"/>
  <c r="F794" i="7"/>
  <c r="F795" i="7"/>
  <c r="F796" i="7"/>
  <c r="F797" i="7"/>
  <c r="F798" i="7"/>
  <c r="F799" i="7"/>
  <c r="F800" i="7"/>
  <c r="F801" i="7"/>
  <c r="F802" i="7"/>
  <c r="F803" i="7"/>
  <c r="F804" i="7"/>
  <c r="F805" i="7"/>
  <c r="F806" i="7"/>
  <c r="F807" i="7"/>
  <c r="F808" i="7"/>
  <c r="F809" i="7"/>
  <c r="F810" i="7"/>
  <c r="F811" i="7"/>
  <c r="F812" i="7"/>
  <c r="F813" i="7"/>
  <c r="F814" i="7"/>
  <c r="F815" i="7"/>
  <c r="F816" i="7"/>
  <c r="F817" i="7"/>
  <c r="F818" i="7"/>
  <c r="F819" i="7"/>
  <c r="F820" i="7"/>
  <c r="F821" i="7"/>
  <c r="F822" i="7"/>
  <c r="F823" i="7"/>
  <c r="F824" i="7"/>
  <c r="F825" i="7"/>
  <c r="F826" i="7"/>
  <c r="F827" i="7"/>
  <c r="F828" i="7"/>
  <c r="F829" i="7"/>
  <c r="F830" i="7"/>
  <c r="F831" i="7"/>
  <c r="F832" i="7"/>
  <c r="F833" i="7"/>
  <c r="F834" i="7"/>
  <c r="F835" i="7"/>
  <c r="F836" i="7"/>
  <c r="F837" i="7"/>
  <c r="F838" i="7"/>
  <c r="F839" i="7"/>
  <c r="F840" i="7"/>
  <c r="F841" i="7"/>
  <c r="F842" i="7"/>
  <c r="F843" i="7"/>
  <c r="F844" i="7"/>
  <c r="F845" i="7"/>
  <c r="F846" i="7"/>
  <c r="F847" i="7"/>
  <c r="F848" i="7"/>
  <c r="F849" i="7"/>
  <c r="F850" i="7"/>
  <c r="F851" i="7"/>
  <c r="F852" i="7"/>
  <c r="F853" i="7"/>
  <c r="F854" i="7"/>
  <c r="F855" i="7"/>
  <c r="F856" i="7"/>
  <c r="F857" i="7"/>
  <c r="F858" i="7"/>
  <c r="F859" i="7"/>
  <c r="F860" i="7"/>
  <c r="F861" i="7"/>
  <c r="F862" i="7"/>
  <c r="F863" i="7"/>
  <c r="F864" i="7"/>
  <c r="F865" i="7"/>
  <c r="F866" i="7"/>
  <c r="F867" i="7"/>
  <c r="F868" i="7"/>
  <c r="F869" i="7"/>
  <c r="F870" i="7"/>
  <c r="F871" i="7"/>
  <c r="F872" i="7"/>
  <c r="F873" i="7"/>
  <c r="F874" i="7"/>
  <c r="F875" i="7"/>
  <c r="F876" i="7"/>
  <c r="F877" i="7"/>
  <c r="F878" i="7"/>
  <c r="F879" i="7"/>
  <c r="F880" i="7"/>
  <c r="F881" i="7"/>
  <c r="F882" i="7"/>
  <c r="F883" i="7"/>
  <c r="F884" i="7"/>
  <c r="F885" i="7"/>
  <c r="F886" i="7"/>
  <c r="F887" i="7"/>
  <c r="F888" i="7"/>
  <c r="F889" i="7"/>
  <c r="F890" i="7"/>
  <c r="F891" i="7"/>
  <c r="F892" i="7"/>
  <c r="F893" i="7"/>
  <c r="F894" i="7"/>
  <c r="F895" i="7"/>
  <c r="F896" i="7"/>
  <c r="F897" i="7"/>
  <c r="F898" i="7"/>
  <c r="F899" i="7"/>
  <c r="F900" i="7"/>
  <c r="F901" i="7"/>
  <c r="F902" i="7"/>
  <c r="F903" i="7"/>
  <c r="F904" i="7"/>
  <c r="F905" i="7"/>
  <c r="F906" i="7"/>
  <c r="F907" i="7"/>
  <c r="F908" i="7"/>
  <c r="F909" i="7"/>
  <c r="F910" i="7"/>
  <c r="F911" i="7"/>
  <c r="F912" i="7"/>
  <c r="F913" i="7"/>
  <c r="F914" i="7"/>
  <c r="F915" i="7"/>
  <c r="F916" i="7"/>
  <c r="F917" i="7"/>
  <c r="F918" i="7"/>
  <c r="F919" i="7"/>
  <c r="F920" i="7"/>
  <c r="F921" i="7"/>
  <c r="F922" i="7"/>
  <c r="F923" i="7"/>
  <c r="F924" i="7"/>
  <c r="F925" i="7"/>
  <c r="F926" i="7"/>
  <c r="F927" i="7"/>
  <c r="F928" i="7"/>
  <c r="F929" i="7"/>
  <c r="F930" i="7"/>
  <c r="F931" i="7"/>
  <c r="F932" i="7"/>
  <c r="F933" i="7"/>
  <c r="F934" i="7"/>
  <c r="F935" i="7"/>
  <c r="F936" i="7"/>
  <c r="F937" i="7"/>
  <c r="F938" i="7"/>
  <c r="F939" i="7"/>
  <c r="F940" i="7"/>
  <c r="F941" i="7"/>
  <c r="F942" i="7"/>
  <c r="F943" i="7"/>
  <c r="F944" i="7"/>
  <c r="F945" i="7"/>
  <c r="F946" i="7"/>
  <c r="F947" i="7"/>
  <c r="F948" i="7"/>
  <c r="F949" i="7"/>
  <c r="F950" i="7"/>
  <c r="F951" i="7"/>
  <c r="F952" i="7"/>
  <c r="F953" i="7"/>
  <c r="F954" i="7"/>
  <c r="F955" i="7"/>
  <c r="F956" i="7"/>
  <c r="F957" i="7"/>
  <c r="F958" i="7"/>
  <c r="F959" i="7"/>
  <c r="F960" i="7"/>
  <c r="F961" i="7"/>
  <c r="F962" i="7"/>
  <c r="F963" i="7"/>
  <c r="F964" i="7"/>
  <c r="F965" i="7"/>
  <c r="F966" i="7"/>
  <c r="F967" i="7"/>
  <c r="F968" i="7"/>
  <c r="F969" i="7"/>
  <c r="F970" i="7"/>
  <c r="F971" i="7"/>
  <c r="F972" i="7"/>
  <c r="F973" i="7"/>
  <c r="F974" i="7"/>
  <c r="F975" i="7"/>
  <c r="F976" i="7"/>
  <c r="F977" i="7"/>
  <c r="F978" i="7"/>
  <c r="F979" i="7"/>
  <c r="F980" i="7"/>
  <c r="F981" i="7"/>
  <c r="F982" i="7"/>
  <c r="F983" i="7"/>
  <c r="F984" i="7"/>
  <c r="F985" i="7"/>
  <c r="F986" i="7"/>
  <c r="F987" i="7"/>
  <c r="F988" i="7"/>
  <c r="F989" i="7"/>
  <c r="F990" i="7"/>
  <c r="F991" i="7"/>
  <c r="F992" i="7"/>
  <c r="F993" i="7"/>
  <c r="F994" i="7"/>
  <c r="F995" i="7"/>
  <c r="F996" i="7"/>
  <c r="F997" i="7"/>
  <c r="F998" i="7"/>
  <c r="F999" i="7"/>
  <c r="F1000" i="7"/>
  <c r="F1001" i="7"/>
  <c r="F1002" i="7"/>
  <c r="F1003" i="7"/>
  <c r="F1004" i="7"/>
  <c r="F1005" i="7"/>
  <c r="F1006" i="7"/>
  <c r="F1007" i="7"/>
  <c r="F1008" i="7"/>
  <c r="F1009" i="7"/>
  <c r="F1010" i="7"/>
  <c r="F1011" i="7"/>
  <c r="F1012" i="7"/>
  <c r="F1013" i="7"/>
  <c r="F1014" i="7"/>
  <c r="F1015" i="7"/>
  <c r="F1016" i="7"/>
  <c r="F1017" i="7"/>
  <c r="F1018" i="7"/>
  <c r="F1019" i="7"/>
  <c r="F1020" i="7"/>
  <c r="F1021" i="7"/>
  <c r="F1022" i="7"/>
  <c r="F1023" i="7"/>
  <c r="F1024" i="7"/>
  <c r="F1025" i="7"/>
  <c r="F1026" i="7"/>
  <c r="F1027" i="7"/>
  <c r="F1028" i="7"/>
  <c r="F1029" i="7"/>
  <c r="F1030" i="7"/>
  <c r="F1031" i="7"/>
  <c r="F1032" i="7"/>
  <c r="F1033" i="7"/>
  <c r="F1034" i="7"/>
  <c r="F1035" i="7"/>
  <c r="F1036" i="7"/>
  <c r="F1037" i="7"/>
  <c r="F1038" i="7"/>
  <c r="F1039" i="7"/>
  <c r="F1040" i="7"/>
  <c r="F1041" i="7"/>
  <c r="F1042" i="7"/>
  <c r="F1043" i="7"/>
  <c r="F1044" i="7"/>
  <c r="F1045" i="7"/>
  <c r="F1046" i="7"/>
  <c r="F1047" i="7"/>
  <c r="F1048" i="7"/>
  <c r="F1049" i="7"/>
  <c r="F1050" i="7"/>
  <c r="F1051" i="7"/>
  <c r="F1052" i="7"/>
  <c r="F1053" i="7"/>
  <c r="F1054" i="7"/>
  <c r="F1055" i="7"/>
  <c r="F1056" i="7"/>
  <c r="F1057" i="7"/>
  <c r="F1058" i="7"/>
  <c r="F1059" i="7"/>
  <c r="F1060" i="7"/>
  <c r="F1061" i="7"/>
  <c r="F1062" i="7"/>
  <c r="F1063" i="7"/>
  <c r="F1064" i="7"/>
  <c r="F1065" i="7"/>
  <c r="F1066" i="7"/>
  <c r="F1067" i="7"/>
  <c r="F1068" i="7"/>
  <c r="F1069" i="7"/>
  <c r="F1070" i="7"/>
  <c r="F1071" i="7"/>
  <c r="F1072" i="7"/>
  <c r="F1073" i="7"/>
  <c r="F1074" i="7"/>
  <c r="F1075" i="7"/>
  <c r="F1076" i="7"/>
  <c r="F1077" i="7"/>
  <c r="F1078" i="7"/>
  <c r="F1079" i="7"/>
  <c r="F1080" i="7"/>
  <c r="F1081" i="7"/>
  <c r="F1082" i="7"/>
  <c r="F1083" i="7"/>
  <c r="F1084" i="7"/>
  <c r="F1085" i="7"/>
  <c r="F1086" i="7"/>
  <c r="F1087" i="7"/>
  <c r="F1088" i="7"/>
  <c r="F1089" i="7"/>
  <c r="F1090" i="7"/>
  <c r="F1091" i="7"/>
  <c r="F1092" i="7"/>
  <c r="F1093" i="7"/>
  <c r="F1094" i="7"/>
  <c r="F1095" i="7"/>
  <c r="F1096" i="7"/>
  <c r="F1097" i="7"/>
  <c r="F1098" i="7"/>
  <c r="F1099" i="7"/>
  <c r="F1100" i="7"/>
  <c r="F1101" i="7"/>
  <c r="F1102" i="7"/>
  <c r="F1103" i="7"/>
  <c r="F1104" i="7"/>
  <c r="F1105" i="7"/>
  <c r="F1106" i="7"/>
  <c r="F1107" i="7"/>
  <c r="F1108" i="7"/>
  <c r="F1109" i="7"/>
  <c r="F1110" i="7"/>
  <c r="F1111" i="7"/>
  <c r="F1112" i="7"/>
  <c r="F1113" i="7"/>
  <c r="F1114" i="7"/>
  <c r="F1115" i="7"/>
  <c r="F1116" i="7"/>
  <c r="F1117" i="7"/>
  <c r="F1118" i="7"/>
  <c r="F1119" i="7"/>
  <c r="F1120" i="7"/>
  <c r="F1121" i="7"/>
  <c r="F1122" i="7"/>
  <c r="F1123" i="7"/>
  <c r="F1124" i="7"/>
  <c r="F1125" i="7"/>
  <c r="F1126" i="7"/>
  <c r="F1127" i="7"/>
  <c r="F1128" i="7"/>
  <c r="F1129" i="7"/>
  <c r="F1130" i="7"/>
  <c r="F1131" i="7"/>
  <c r="F1132" i="7"/>
  <c r="F1133" i="7"/>
  <c r="F1134" i="7"/>
  <c r="F1135" i="7"/>
  <c r="F1136" i="7"/>
  <c r="F1137" i="7"/>
  <c r="F1138" i="7"/>
  <c r="F1139" i="7"/>
  <c r="F1140" i="7"/>
  <c r="F1141" i="7"/>
  <c r="F1142" i="7"/>
  <c r="F1143" i="7"/>
  <c r="F1144" i="7"/>
  <c r="F1145" i="7"/>
  <c r="F1146" i="7"/>
  <c r="F1147" i="7"/>
  <c r="F1148" i="7"/>
  <c r="F1149" i="7"/>
  <c r="F1150" i="7"/>
  <c r="F1151" i="7"/>
  <c r="F1152" i="7"/>
  <c r="F1153" i="7"/>
  <c r="F1154" i="7"/>
  <c r="F1155" i="7"/>
  <c r="F1156" i="7"/>
  <c r="F1157" i="7"/>
  <c r="F1158" i="7"/>
  <c r="F1159" i="7"/>
  <c r="F1160" i="7"/>
  <c r="F406" i="7"/>
  <c r="J1118" i="7" l="1"/>
  <c r="J1120" i="7"/>
  <c r="J1122" i="7"/>
  <c r="J1124" i="7"/>
  <c r="J1126" i="7"/>
  <c r="J1128" i="7"/>
  <c r="J1130" i="7"/>
  <c r="J1132" i="7"/>
  <c r="J1134" i="7"/>
  <c r="J1136" i="7"/>
  <c r="J1138" i="7"/>
  <c r="J1140" i="7"/>
  <c r="J1142" i="7"/>
  <c r="J1144" i="7"/>
  <c r="J1146" i="7"/>
  <c r="J1148" i="7"/>
  <c r="J1150" i="7"/>
  <c r="J1152" i="7"/>
  <c r="J1154" i="7"/>
  <c r="J1156" i="7"/>
  <c r="J1158" i="7"/>
  <c r="J1160" i="7"/>
  <c r="J1117" i="7"/>
  <c r="J1119" i="7"/>
  <c r="J1121" i="7"/>
  <c r="J1123" i="7"/>
  <c r="J1125" i="7"/>
  <c r="J1127" i="7"/>
  <c r="J1129" i="7"/>
  <c r="J1131" i="7"/>
  <c r="J1133" i="7"/>
  <c r="J1137" i="7"/>
  <c r="J1141" i="7"/>
  <c r="J1145" i="7"/>
  <c r="J1149" i="7"/>
  <c r="J1153" i="7"/>
  <c r="J1157" i="7"/>
  <c r="J1116" i="7"/>
  <c r="J1135" i="7"/>
  <c r="J1139" i="7"/>
  <c r="J1143" i="7"/>
  <c r="J1147" i="7"/>
  <c r="J1151" i="7"/>
  <c r="J1155" i="7"/>
  <c r="J1159" i="7"/>
  <c r="J1024" i="7"/>
  <c r="J1026" i="7"/>
  <c r="J1028" i="7"/>
  <c r="J1030" i="7"/>
  <c r="J1032" i="7"/>
  <c r="J1034" i="7"/>
  <c r="J1036" i="7"/>
  <c r="J1038" i="7"/>
  <c r="J1040" i="7"/>
  <c r="J1042" i="7"/>
  <c r="J1044" i="7"/>
  <c r="J1046" i="7"/>
  <c r="J1048" i="7"/>
  <c r="J1050" i="7"/>
  <c r="J1052" i="7"/>
  <c r="J1054" i="7"/>
  <c r="J1056" i="7"/>
  <c r="J1058" i="7"/>
  <c r="J1060" i="7"/>
  <c r="J1062" i="7"/>
  <c r="J1064" i="7"/>
  <c r="J1066" i="7"/>
  <c r="J1068" i="7"/>
  <c r="J1070" i="7"/>
  <c r="J1025" i="7"/>
  <c r="J1029" i="7"/>
  <c r="J1033" i="7"/>
  <c r="J1037" i="7"/>
  <c r="J1041" i="7"/>
  <c r="J1045" i="7"/>
  <c r="J1049" i="7"/>
  <c r="J1053" i="7"/>
  <c r="J1057" i="7"/>
  <c r="J1061" i="7"/>
  <c r="J1065" i="7"/>
  <c r="J1069" i="7"/>
  <c r="J1023" i="7"/>
  <c r="J1027" i="7"/>
  <c r="J1031" i="7"/>
  <c r="J1035" i="7"/>
  <c r="J1039" i="7"/>
  <c r="J1043" i="7"/>
  <c r="J1047" i="7"/>
  <c r="J1051" i="7"/>
  <c r="J1055" i="7"/>
  <c r="J1059" i="7"/>
  <c r="J1063" i="7"/>
  <c r="J1067" i="7"/>
  <c r="J1022" i="7"/>
  <c r="J977" i="7"/>
  <c r="J979" i="7"/>
  <c r="J981" i="7"/>
  <c r="J983" i="7"/>
  <c r="J985" i="7"/>
  <c r="J987" i="7"/>
  <c r="J989" i="7"/>
  <c r="J991" i="7"/>
  <c r="J993" i="7"/>
  <c r="J995" i="7"/>
  <c r="J997" i="7"/>
  <c r="J999" i="7"/>
  <c r="J1001" i="7"/>
  <c r="J1003" i="7"/>
  <c r="J1005" i="7"/>
  <c r="J1007" i="7"/>
  <c r="J978" i="7"/>
  <c r="J982" i="7"/>
  <c r="J986" i="7"/>
  <c r="J990" i="7"/>
  <c r="J994" i="7"/>
  <c r="J998" i="7"/>
  <c r="J1002" i="7"/>
  <c r="J1006" i="7"/>
  <c r="J1009" i="7"/>
  <c r="J1011" i="7"/>
  <c r="J1013" i="7"/>
  <c r="J1015" i="7"/>
  <c r="J1017" i="7"/>
  <c r="J1019" i="7"/>
  <c r="J1021" i="7"/>
  <c r="J980" i="7"/>
  <c r="J984" i="7"/>
  <c r="J988" i="7"/>
  <c r="J992" i="7"/>
  <c r="J996" i="7"/>
  <c r="J1000" i="7"/>
  <c r="J1004" i="7"/>
  <c r="J1008" i="7"/>
  <c r="J1010" i="7"/>
  <c r="J1012" i="7"/>
  <c r="J1014" i="7"/>
  <c r="J1016" i="7"/>
  <c r="J1018" i="7"/>
  <c r="J1020" i="7"/>
  <c r="J976" i="7"/>
  <c r="J885" i="7"/>
  <c r="J887" i="7"/>
  <c r="J889" i="7"/>
  <c r="J891" i="7"/>
  <c r="J893" i="7"/>
  <c r="J895" i="7"/>
  <c r="J897" i="7"/>
  <c r="J899" i="7"/>
  <c r="J901" i="7"/>
  <c r="J903" i="7"/>
  <c r="J905" i="7"/>
  <c r="J907" i="7"/>
  <c r="J909" i="7"/>
  <c r="J911" i="7"/>
  <c r="J913" i="7"/>
  <c r="J915" i="7"/>
  <c r="J917" i="7"/>
  <c r="J886" i="7"/>
  <c r="J890" i="7"/>
  <c r="J894" i="7"/>
  <c r="J898" i="7"/>
  <c r="J902" i="7"/>
  <c r="J906" i="7"/>
  <c r="J910" i="7"/>
  <c r="J914" i="7"/>
  <c r="J918" i="7"/>
  <c r="J920" i="7"/>
  <c r="J922" i="7"/>
  <c r="J924" i="7"/>
  <c r="J926" i="7"/>
  <c r="J928" i="7"/>
  <c r="J930" i="7"/>
  <c r="J888" i="7"/>
  <c r="J892" i="7"/>
  <c r="J896" i="7"/>
  <c r="J900" i="7"/>
  <c r="J904" i="7"/>
  <c r="J908" i="7"/>
  <c r="J912" i="7"/>
  <c r="J916" i="7"/>
  <c r="J919" i="7"/>
  <c r="J921" i="7"/>
  <c r="J923" i="7"/>
  <c r="J925" i="7"/>
  <c r="J927" i="7"/>
  <c r="J929" i="7"/>
  <c r="J884" i="7"/>
  <c r="J839" i="7"/>
  <c r="J841" i="7"/>
  <c r="J843" i="7"/>
  <c r="J845" i="7"/>
  <c r="J847" i="7"/>
  <c r="J849" i="7"/>
  <c r="J851" i="7"/>
  <c r="J853" i="7"/>
  <c r="J855" i="7"/>
  <c r="J857" i="7"/>
  <c r="J859" i="7"/>
  <c r="J861" i="7"/>
  <c r="J863" i="7"/>
  <c r="J865" i="7"/>
  <c r="J867" i="7"/>
  <c r="J869" i="7"/>
  <c r="J871" i="7"/>
  <c r="J873" i="7"/>
  <c r="J875" i="7"/>
  <c r="J877" i="7"/>
  <c r="J879" i="7"/>
  <c r="J881" i="7"/>
  <c r="J883" i="7"/>
  <c r="J840" i="7"/>
  <c r="J842" i="7"/>
  <c r="J844" i="7"/>
  <c r="J846" i="7"/>
  <c r="J848" i="7"/>
  <c r="J850" i="7"/>
  <c r="J852" i="7"/>
  <c r="J854" i="7"/>
  <c r="J856" i="7"/>
  <c r="J858" i="7"/>
  <c r="J860" i="7"/>
  <c r="J862" i="7"/>
  <c r="J864" i="7"/>
  <c r="J866" i="7"/>
  <c r="J868" i="7"/>
  <c r="J870" i="7"/>
  <c r="J872" i="7"/>
  <c r="J874" i="7"/>
  <c r="J876" i="7"/>
  <c r="J878" i="7"/>
  <c r="J880" i="7"/>
  <c r="J882" i="7"/>
  <c r="J838" i="7"/>
  <c r="J748" i="7"/>
  <c r="J750" i="7"/>
  <c r="J752" i="7"/>
  <c r="J754" i="7"/>
  <c r="J756" i="7"/>
  <c r="J758" i="7"/>
  <c r="J760" i="7"/>
  <c r="J762" i="7"/>
  <c r="J764" i="7"/>
  <c r="J766" i="7"/>
  <c r="J768" i="7"/>
  <c r="J770" i="7"/>
  <c r="J772" i="7"/>
  <c r="J774" i="7"/>
  <c r="J776" i="7"/>
  <c r="J778" i="7"/>
  <c r="J780" i="7"/>
  <c r="J782" i="7"/>
  <c r="J784" i="7"/>
  <c r="J786" i="7"/>
  <c r="J788" i="7"/>
  <c r="J790" i="7"/>
  <c r="J792" i="7"/>
  <c r="J747" i="7"/>
  <c r="J749" i="7"/>
  <c r="J751" i="7"/>
  <c r="J753" i="7"/>
  <c r="J755" i="7"/>
  <c r="J757" i="7"/>
  <c r="J759" i="7"/>
  <c r="J761" i="7"/>
  <c r="J763" i="7"/>
  <c r="J765" i="7"/>
  <c r="J767" i="7"/>
  <c r="J769" i="7"/>
  <c r="J771" i="7"/>
  <c r="J773" i="7"/>
  <c r="J775" i="7"/>
  <c r="J777" i="7"/>
  <c r="J779" i="7"/>
  <c r="J781" i="7"/>
  <c r="J783" i="7"/>
  <c r="J785" i="7"/>
  <c r="J787" i="7"/>
  <c r="J789" i="7"/>
  <c r="J791" i="7"/>
  <c r="J746" i="7"/>
  <c r="J516" i="7"/>
  <c r="J518" i="7"/>
  <c r="J520" i="7"/>
  <c r="J522" i="7"/>
  <c r="J524" i="7"/>
  <c r="J526" i="7"/>
  <c r="J528" i="7"/>
  <c r="J530" i="7"/>
  <c r="J517" i="7"/>
  <c r="J521" i="7"/>
  <c r="J525" i="7"/>
  <c r="J529" i="7"/>
  <c r="J532" i="7"/>
  <c r="J534" i="7"/>
  <c r="J536" i="7"/>
  <c r="J538" i="7"/>
  <c r="J540" i="7"/>
  <c r="J542" i="7"/>
  <c r="J544" i="7"/>
  <c r="J546" i="7"/>
  <c r="J548" i="7"/>
  <c r="J550" i="7"/>
  <c r="J552" i="7"/>
  <c r="J554" i="7"/>
  <c r="J556" i="7"/>
  <c r="J558" i="7"/>
  <c r="J560" i="7"/>
  <c r="J515" i="7"/>
  <c r="J519" i="7"/>
  <c r="J523" i="7"/>
  <c r="J527" i="7"/>
  <c r="J531" i="7"/>
  <c r="J533" i="7"/>
  <c r="J535" i="7"/>
  <c r="J537" i="7"/>
  <c r="J539" i="7"/>
  <c r="J541" i="7"/>
  <c r="J543" i="7"/>
  <c r="J545" i="7"/>
  <c r="J547" i="7"/>
  <c r="J549" i="7"/>
  <c r="J551" i="7"/>
  <c r="J553" i="7"/>
  <c r="J555" i="7"/>
  <c r="J557" i="7"/>
  <c r="J559" i="7"/>
  <c r="J514" i="7"/>
  <c r="J1072" i="7"/>
  <c r="J1074" i="7"/>
  <c r="J1076" i="7"/>
  <c r="J1078" i="7"/>
  <c r="J1080" i="7"/>
  <c r="J1082" i="7"/>
  <c r="J1084" i="7"/>
  <c r="J1086" i="7"/>
  <c r="J1088" i="7"/>
  <c r="J1090" i="7"/>
  <c r="J1092" i="7"/>
  <c r="J1094" i="7"/>
  <c r="J1096" i="7"/>
  <c r="J1098" i="7"/>
  <c r="J1100" i="7"/>
  <c r="J1102" i="7"/>
  <c r="J1104" i="7"/>
  <c r="J1106" i="7"/>
  <c r="J1108" i="7"/>
  <c r="J1110" i="7"/>
  <c r="J1112" i="7"/>
  <c r="J1114" i="7"/>
  <c r="J1071" i="7"/>
  <c r="J1075" i="7"/>
  <c r="J1079" i="7"/>
  <c r="J1083" i="7"/>
  <c r="J1087" i="7"/>
  <c r="J1091" i="7"/>
  <c r="J1095" i="7"/>
  <c r="J1099" i="7"/>
  <c r="J1103" i="7"/>
  <c r="J1107" i="7"/>
  <c r="J1111" i="7"/>
  <c r="J1115" i="7"/>
  <c r="J1073" i="7"/>
  <c r="J1077" i="7"/>
  <c r="J1081" i="7"/>
  <c r="J1085" i="7"/>
  <c r="J1089" i="7"/>
  <c r="J1093" i="7"/>
  <c r="J1097" i="7"/>
  <c r="J1101" i="7"/>
  <c r="J1105" i="7"/>
  <c r="J1109" i="7"/>
  <c r="J1113" i="7"/>
  <c r="J932" i="7"/>
  <c r="J934" i="7"/>
  <c r="J936" i="7"/>
  <c r="J938" i="7"/>
  <c r="J940" i="7"/>
  <c r="J942" i="7"/>
  <c r="J944" i="7"/>
  <c r="J946" i="7"/>
  <c r="J933" i="7"/>
  <c r="J935" i="7"/>
  <c r="J937" i="7"/>
  <c r="J939" i="7"/>
  <c r="J941" i="7"/>
  <c r="J943" i="7"/>
  <c r="J945" i="7"/>
  <c r="J947" i="7"/>
  <c r="J949" i="7"/>
  <c r="J951" i="7"/>
  <c r="J953" i="7"/>
  <c r="J955" i="7"/>
  <c r="J957" i="7"/>
  <c r="J959" i="7"/>
  <c r="J961" i="7"/>
  <c r="J963" i="7"/>
  <c r="J965" i="7"/>
  <c r="J967" i="7"/>
  <c r="J969" i="7"/>
  <c r="J971" i="7"/>
  <c r="J973" i="7"/>
  <c r="J975" i="7"/>
  <c r="J950" i="7"/>
  <c r="J954" i="7"/>
  <c r="J958" i="7"/>
  <c r="J962" i="7"/>
  <c r="J966" i="7"/>
  <c r="J970" i="7"/>
  <c r="J974" i="7"/>
  <c r="J948" i="7"/>
  <c r="J952" i="7"/>
  <c r="J956" i="7"/>
  <c r="J960" i="7"/>
  <c r="J964" i="7"/>
  <c r="J968" i="7"/>
  <c r="J972" i="7"/>
  <c r="J931" i="7"/>
  <c r="J794" i="7"/>
  <c r="J796" i="7"/>
  <c r="J798" i="7"/>
  <c r="J800" i="7"/>
  <c r="J802" i="7"/>
  <c r="J804" i="7"/>
  <c r="J806" i="7"/>
  <c r="J808" i="7"/>
  <c r="J810" i="7"/>
  <c r="J812" i="7"/>
  <c r="J814" i="7"/>
  <c r="J816" i="7"/>
  <c r="J818" i="7"/>
  <c r="J820" i="7"/>
  <c r="J822" i="7"/>
  <c r="J824" i="7"/>
  <c r="J826" i="7"/>
  <c r="J828" i="7"/>
  <c r="J830" i="7"/>
  <c r="J832" i="7"/>
  <c r="J834" i="7"/>
  <c r="J836" i="7"/>
  <c r="J793" i="7"/>
  <c r="J795" i="7"/>
  <c r="J797" i="7"/>
  <c r="J799" i="7"/>
  <c r="J801" i="7"/>
  <c r="J803" i="7"/>
  <c r="J805" i="7"/>
  <c r="J807" i="7"/>
  <c r="J809" i="7"/>
  <c r="J811" i="7"/>
  <c r="J813" i="7"/>
  <c r="J815" i="7"/>
  <c r="J817" i="7"/>
  <c r="J819" i="7"/>
  <c r="J821" i="7"/>
  <c r="J823" i="7"/>
  <c r="J825" i="7"/>
  <c r="J827" i="7"/>
  <c r="J829" i="7"/>
  <c r="J831" i="7"/>
  <c r="J833" i="7"/>
  <c r="J835" i="7"/>
  <c r="J837" i="7"/>
  <c r="J698" i="7"/>
  <c r="J700" i="7"/>
  <c r="J702" i="7"/>
  <c r="J704" i="7"/>
  <c r="J706" i="7"/>
  <c r="J708" i="7"/>
  <c r="J710" i="7"/>
  <c r="J712" i="7"/>
  <c r="J714" i="7"/>
  <c r="J716" i="7"/>
  <c r="J718" i="7"/>
  <c r="J720" i="7"/>
  <c r="J722" i="7"/>
  <c r="J724" i="7"/>
  <c r="J726" i="7"/>
  <c r="J728" i="7"/>
  <c r="J730" i="7"/>
  <c r="J732" i="7"/>
  <c r="J734" i="7"/>
  <c r="J736" i="7"/>
  <c r="J738" i="7"/>
  <c r="J740" i="7"/>
  <c r="J742" i="7"/>
  <c r="J744" i="7"/>
  <c r="J697" i="7"/>
  <c r="J699" i="7"/>
  <c r="J701" i="7"/>
  <c r="J703" i="7"/>
  <c r="J705" i="7"/>
  <c r="J707" i="7"/>
  <c r="J709" i="7"/>
  <c r="J711" i="7"/>
  <c r="J713" i="7"/>
  <c r="J715" i="7"/>
  <c r="J717" i="7"/>
  <c r="J719" i="7"/>
  <c r="J721" i="7"/>
  <c r="J723" i="7"/>
  <c r="J725" i="7"/>
  <c r="J727" i="7"/>
  <c r="J729" i="7"/>
  <c r="J731" i="7"/>
  <c r="J733" i="7"/>
  <c r="J735" i="7"/>
  <c r="J737" i="7"/>
  <c r="J739" i="7"/>
  <c r="J741" i="7"/>
  <c r="J743" i="7"/>
  <c r="J745" i="7"/>
  <c r="J651" i="7"/>
  <c r="J653" i="7"/>
  <c r="J655" i="7"/>
  <c r="J657" i="7"/>
  <c r="J659" i="7"/>
  <c r="J661" i="7"/>
  <c r="J663" i="7"/>
  <c r="J665" i="7"/>
  <c r="J667" i="7"/>
  <c r="J669" i="7"/>
  <c r="J671" i="7"/>
  <c r="J673" i="7"/>
  <c r="J675" i="7"/>
  <c r="J677" i="7"/>
  <c r="J679" i="7"/>
  <c r="J681" i="7"/>
  <c r="J683" i="7"/>
  <c r="J685" i="7"/>
  <c r="J687" i="7"/>
  <c r="J689" i="7"/>
  <c r="J691" i="7"/>
  <c r="J693" i="7"/>
  <c r="J695" i="7"/>
  <c r="J649" i="7"/>
  <c r="J650" i="7"/>
  <c r="J652" i="7"/>
  <c r="J654" i="7"/>
  <c r="J656" i="7"/>
  <c r="J658" i="7"/>
  <c r="J660" i="7"/>
  <c r="J662" i="7"/>
  <c r="J664" i="7"/>
  <c r="J666" i="7"/>
  <c r="J668" i="7"/>
  <c r="J670" i="7"/>
  <c r="J672" i="7"/>
  <c r="J674" i="7"/>
  <c r="J676" i="7"/>
  <c r="J678" i="7"/>
  <c r="J680" i="7"/>
  <c r="J682" i="7"/>
  <c r="J684" i="7"/>
  <c r="J686" i="7"/>
  <c r="J688" i="7"/>
  <c r="J690" i="7"/>
  <c r="J692" i="7"/>
  <c r="J694" i="7"/>
  <c r="J696" i="7"/>
  <c r="J607" i="7"/>
  <c r="J606" i="7"/>
  <c r="J608" i="7"/>
  <c r="J610" i="7"/>
  <c r="J612" i="7"/>
  <c r="J614" i="7"/>
  <c r="J616" i="7"/>
  <c r="J618" i="7"/>
  <c r="J620" i="7"/>
  <c r="J622" i="7"/>
  <c r="J624" i="7"/>
  <c r="J626" i="7"/>
  <c r="J628" i="7"/>
  <c r="J630" i="7"/>
  <c r="J632" i="7"/>
  <c r="J634" i="7"/>
  <c r="J636" i="7"/>
  <c r="J638" i="7"/>
  <c r="J640" i="7"/>
  <c r="J642" i="7"/>
  <c r="J644" i="7"/>
  <c r="J646" i="7"/>
  <c r="J648" i="7"/>
  <c r="J611" i="7"/>
  <c r="J615" i="7"/>
  <c r="J619" i="7"/>
  <c r="J623" i="7"/>
  <c r="J627" i="7"/>
  <c r="J631" i="7"/>
  <c r="J635" i="7"/>
  <c r="J639" i="7"/>
  <c r="J643" i="7"/>
  <c r="J647" i="7"/>
  <c r="J609" i="7"/>
  <c r="J613" i="7"/>
  <c r="J617" i="7"/>
  <c r="J621" i="7"/>
  <c r="J625" i="7"/>
  <c r="J629" i="7"/>
  <c r="J633" i="7"/>
  <c r="J637" i="7"/>
  <c r="J641" i="7"/>
  <c r="J645" i="7"/>
  <c r="J605" i="7"/>
  <c r="J468" i="7"/>
  <c r="J470" i="7"/>
  <c r="J472" i="7"/>
  <c r="J474" i="7"/>
  <c r="J476" i="7"/>
  <c r="J478" i="7"/>
  <c r="J480" i="7"/>
  <c r="J482" i="7"/>
  <c r="J484" i="7"/>
  <c r="J486" i="7"/>
  <c r="J488" i="7"/>
  <c r="J490" i="7"/>
  <c r="J492" i="7"/>
  <c r="J494" i="7"/>
  <c r="J496" i="7"/>
  <c r="J498" i="7"/>
  <c r="J500" i="7"/>
  <c r="J502" i="7"/>
  <c r="J504" i="7"/>
  <c r="J506" i="7"/>
  <c r="J508" i="7"/>
  <c r="J510" i="7"/>
  <c r="J512" i="7"/>
  <c r="J467" i="7"/>
  <c r="J469" i="7"/>
  <c r="J471" i="7"/>
  <c r="J473" i="7"/>
  <c r="J475" i="7"/>
  <c r="J477" i="7"/>
  <c r="J479" i="7"/>
  <c r="J481" i="7"/>
  <c r="J483" i="7"/>
  <c r="J485" i="7"/>
  <c r="J487" i="7"/>
  <c r="J489" i="7"/>
  <c r="J491" i="7"/>
  <c r="J493" i="7"/>
  <c r="J495" i="7"/>
  <c r="J497" i="7"/>
  <c r="J499" i="7"/>
  <c r="J501" i="7"/>
  <c r="J503" i="7"/>
  <c r="J505" i="7"/>
  <c r="J507" i="7"/>
  <c r="J509" i="7"/>
  <c r="J511" i="7"/>
  <c r="J513" i="7"/>
  <c r="J427" i="7"/>
  <c r="J429" i="7"/>
  <c r="J431" i="7"/>
  <c r="J433" i="7"/>
  <c r="J435" i="7"/>
  <c r="J437" i="7"/>
  <c r="J439" i="7"/>
  <c r="J441" i="7"/>
  <c r="J443" i="7"/>
  <c r="J445" i="7"/>
  <c r="J447" i="7"/>
  <c r="J449" i="7"/>
  <c r="J451" i="7"/>
  <c r="J453" i="7"/>
  <c r="J455" i="7"/>
  <c r="J457" i="7"/>
  <c r="J459" i="7"/>
  <c r="J461" i="7"/>
  <c r="J463" i="7"/>
  <c r="J465" i="7"/>
  <c r="J425" i="7"/>
  <c r="J426" i="7"/>
  <c r="J428" i="7"/>
  <c r="J430" i="7"/>
  <c r="J432" i="7"/>
  <c r="J434" i="7"/>
  <c r="J436" i="7"/>
  <c r="J438" i="7"/>
  <c r="J440" i="7"/>
  <c r="J442" i="7"/>
  <c r="J444" i="7"/>
  <c r="J446" i="7"/>
  <c r="J448" i="7"/>
  <c r="J450" i="7"/>
  <c r="J452" i="7"/>
  <c r="J454" i="7"/>
  <c r="J456" i="7"/>
  <c r="J458" i="7"/>
  <c r="J460" i="7"/>
  <c r="J462" i="7"/>
  <c r="J464" i="7"/>
  <c r="J466" i="7"/>
  <c r="D5" i="9"/>
  <c r="D4" i="9"/>
  <c r="B224" i="2" l="1"/>
  <c r="C224" i="2"/>
  <c r="D224" i="2"/>
  <c r="E224" i="2"/>
  <c r="A224" i="2" s="1"/>
  <c r="G224" i="2"/>
  <c r="H224" i="2"/>
  <c r="I224" i="2"/>
  <c r="J224" i="2"/>
  <c r="K224" i="2"/>
  <c r="F224" i="2" l="1"/>
  <c r="C31" i="6" l="1"/>
  <c r="B222" i="2" l="1"/>
  <c r="C222" i="2"/>
  <c r="D222" i="2"/>
  <c r="E222" i="2"/>
  <c r="A222" i="2" s="1"/>
  <c r="G222" i="2"/>
  <c r="H222" i="2"/>
  <c r="I222" i="2"/>
  <c r="J222" i="2"/>
  <c r="K222" i="2"/>
  <c r="B223" i="2"/>
  <c r="C223" i="2"/>
  <c r="D223" i="2"/>
  <c r="E223" i="2"/>
  <c r="A223" i="2" s="1"/>
  <c r="G223" i="2"/>
  <c r="H223" i="2"/>
  <c r="I223" i="2"/>
  <c r="J223" i="2"/>
  <c r="K223" i="2"/>
  <c r="F223" i="2" l="1"/>
  <c r="F222" i="2"/>
  <c r="D13" i="6"/>
  <c r="C34" i="6" l="1"/>
  <c r="C33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G14" i="6" s="1"/>
  <c r="G13" i="6"/>
  <c r="G12" i="6"/>
  <c r="G10" i="6"/>
  <c r="G9" i="6"/>
  <c r="G7" i="6"/>
  <c r="E5" i="6"/>
  <c r="H4" i="6" l="1"/>
  <c r="E4" i="6"/>
  <c r="B217" i="2"/>
  <c r="C217" i="2"/>
  <c r="D217" i="2"/>
  <c r="E217" i="2"/>
  <c r="A217" i="2" s="1"/>
  <c r="G217" i="2"/>
  <c r="H217" i="2"/>
  <c r="I217" i="2"/>
  <c r="J217" i="2"/>
  <c r="K217" i="2"/>
  <c r="B218" i="2"/>
  <c r="C218" i="2"/>
  <c r="D218" i="2"/>
  <c r="E218" i="2"/>
  <c r="A218" i="2" s="1"/>
  <c r="G218" i="2"/>
  <c r="H218" i="2"/>
  <c r="I218" i="2"/>
  <c r="J218" i="2"/>
  <c r="K218" i="2"/>
  <c r="B219" i="2"/>
  <c r="C219" i="2"/>
  <c r="D219" i="2"/>
  <c r="E219" i="2"/>
  <c r="A219" i="2" s="1"/>
  <c r="G219" i="2"/>
  <c r="H219" i="2"/>
  <c r="I219" i="2"/>
  <c r="J219" i="2"/>
  <c r="K219" i="2"/>
  <c r="B220" i="2"/>
  <c r="C220" i="2"/>
  <c r="D220" i="2"/>
  <c r="E220" i="2"/>
  <c r="A220" i="2" s="1"/>
  <c r="G220" i="2"/>
  <c r="H220" i="2"/>
  <c r="I220" i="2"/>
  <c r="J220" i="2"/>
  <c r="K220" i="2"/>
  <c r="B221" i="2"/>
  <c r="C221" i="2"/>
  <c r="D221" i="2"/>
  <c r="E221" i="2"/>
  <c r="A221" i="2" s="1"/>
  <c r="G221" i="2"/>
  <c r="H221" i="2"/>
  <c r="I221" i="2"/>
  <c r="J221" i="2"/>
  <c r="K221" i="2"/>
  <c r="B211" i="2"/>
  <c r="C211" i="2"/>
  <c r="D211" i="2"/>
  <c r="E211" i="2"/>
  <c r="A211" i="2" s="1"/>
  <c r="G211" i="2"/>
  <c r="H211" i="2"/>
  <c r="I211" i="2"/>
  <c r="J211" i="2"/>
  <c r="K211" i="2"/>
  <c r="B212" i="2"/>
  <c r="C212" i="2"/>
  <c r="D212" i="2"/>
  <c r="E212" i="2"/>
  <c r="A212" i="2" s="1"/>
  <c r="G212" i="2"/>
  <c r="H212" i="2"/>
  <c r="I212" i="2"/>
  <c r="J212" i="2"/>
  <c r="K212" i="2"/>
  <c r="B213" i="2"/>
  <c r="C213" i="2"/>
  <c r="D213" i="2"/>
  <c r="E213" i="2"/>
  <c r="A213" i="2" s="1"/>
  <c r="G213" i="2"/>
  <c r="H213" i="2"/>
  <c r="I213" i="2"/>
  <c r="J213" i="2"/>
  <c r="K213" i="2"/>
  <c r="B214" i="2"/>
  <c r="C214" i="2"/>
  <c r="D214" i="2"/>
  <c r="E214" i="2"/>
  <c r="A214" i="2" s="1"/>
  <c r="G214" i="2"/>
  <c r="H214" i="2"/>
  <c r="I214" i="2"/>
  <c r="J214" i="2"/>
  <c r="K214" i="2"/>
  <c r="B215" i="2"/>
  <c r="C215" i="2"/>
  <c r="D215" i="2"/>
  <c r="E215" i="2"/>
  <c r="A215" i="2" s="1"/>
  <c r="G215" i="2"/>
  <c r="H215" i="2"/>
  <c r="I215" i="2"/>
  <c r="J215" i="2"/>
  <c r="K215" i="2"/>
  <c r="B216" i="2"/>
  <c r="C216" i="2"/>
  <c r="D216" i="2"/>
  <c r="E216" i="2"/>
  <c r="A216" i="2" s="1"/>
  <c r="G216" i="2"/>
  <c r="H216" i="2"/>
  <c r="I216" i="2"/>
  <c r="J216" i="2"/>
  <c r="K216" i="2"/>
  <c r="B207" i="2"/>
  <c r="C207" i="2"/>
  <c r="D207" i="2"/>
  <c r="E207" i="2"/>
  <c r="A207" i="2" s="1"/>
  <c r="G207" i="2"/>
  <c r="H207" i="2"/>
  <c r="I207" i="2"/>
  <c r="J207" i="2"/>
  <c r="K207" i="2"/>
  <c r="B208" i="2"/>
  <c r="C208" i="2"/>
  <c r="D208" i="2"/>
  <c r="E208" i="2"/>
  <c r="A208" i="2" s="1"/>
  <c r="G208" i="2"/>
  <c r="H208" i="2"/>
  <c r="I208" i="2"/>
  <c r="J208" i="2"/>
  <c r="K208" i="2"/>
  <c r="B209" i="2"/>
  <c r="C209" i="2"/>
  <c r="D209" i="2"/>
  <c r="E209" i="2"/>
  <c r="A209" i="2" s="1"/>
  <c r="G209" i="2"/>
  <c r="H209" i="2"/>
  <c r="I209" i="2"/>
  <c r="J209" i="2"/>
  <c r="K209" i="2"/>
  <c r="B210" i="2"/>
  <c r="C210" i="2"/>
  <c r="D210" i="2"/>
  <c r="E210" i="2"/>
  <c r="A210" i="2" s="1"/>
  <c r="G210" i="2"/>
  <c r="H210" i="2"/>
  <c r="I210" i="2"/>
  <c r="J210" i="2"/>
  <c r="K210" i="2"/>
  <c r="F210" i="2" l="1"/>
  <c r="F208" i="2"/>
  <c r="F216" i="2"/>
  <c r="F214" i="2"/>
  <c r="F212" i="2"/>
  <c r="F221" i="2"/>
  <c r="F219" i="2"/>
  <c r="F217" i="2"/>
  <c r="F209" i="2"/>
  <c r="F207" i="2"/>
  <c r="F215" i="2"/>
  <c r="F213" i="2"/>
  <c r="F211" i="2"/>
  <c r="F220" i="2"/>
  <c r="F218" i="2"/>
  <c r="K17" i="2" l="1"/>
  <c r="D16" i="2"/>
  <c r="D17" i="2" s="1"/>
</calcChain>
</file>

<file path=xl/sharedStrings.xml><?xml version="1.0" encoding="utf-8"?>
<sst xmlns="http://schemas.openxmlformats.org/spreadsheetml/2006/main" count="3100" uniqueCount="1807">
  <si>
    <t>2015 APR 18</t>
  </si>
  <si>
    <t>date</t>
  </si>
  <si>
    <t>Johnson B</t>
  </si>
  <si>
    <t>BPO</t>
  </si>
  <si>
    <t>2014 DEC 26</t>
  </si>
  <si>
    <t>HQA</t>
  </si>
  <si>
    <t>2014 DEC 27</t>
  </si>
  <si>
    <t>2014 DEC 29</t>
  </si>
  <si>
    <t>2014 DEC 30</t>
  </si>
  <si>
    <t>2014 DEC 31</t>
  </si>
  <si>
    <t>2015 JAN 1</t>
  </si>
  <si>
    <t>2015 JAN 2</t>
  </si>
  <si>
    <t>2015 JAN 5</t>
  </si>
  <si>
    <t>SBL</t>
  </si>
  <si>
    <t>2015 APR 12</t>
  </si>
  <si>
    <t>2015 MAY 21</t>
  </si>
  <si>
    <t>BDG</t>
  </si>
  <si>
    <t>2015 MAY 24</t>
  </si>
  <si>
    <t>2015 JUN 14</t>
  </si>
  <si>
    <t>2015 JUN 22</t>
  </si>
  <si>
    <t>2015 APR 16</t>
  </si>
  <si>
    <t>2015 MAY 23</t>
  </si>
  <si>
    <t>2015 JUN 7</t>
  </si>
  <si>
    <t>2015 JUL 22</t>
  </si>
  <si>
    <t>2015 SEP 25</t>
  </si>
  <si>
    <t>2015 MAY 14</t>
  </si>
  <si>
    <t>2015 MAY 15</t>
  </si>
  <si>
    <t>2015 JUN 24</t>
  </si>
  <si>
    <t>2015 JUN 25</t>
  </si>
  <si>
    <t>2015 JUN 26</t>
  </si>
  <si>
    <t>2015 JUN 27</t>
  </si>
  <si>
    <t>2015 JUN 28</t>
  </si>
  <si>
    <t>2015 JUN 29</t>
  </si>
  <si>
    <t>2015 JUN 30</t>
  </si>
  <si>
    <t>2015 JUL 1</t>
  </si>
  <si>
    <t>2015 JUL 2</t>
  </si>
  <si>
    <t>2015 JUL 3</t>
  </si>
  <si>
    <t>2015 JUL 4</t>
  </si>
  <si>
    <t>2015 JUL 5</t>
  </si>
  <si>
    <t>2015 JUL 7</t>
  </si>
  <si>
    <t>2015 JUL 8</t>
  </si>
  <si>
    <t>2015 JUL 9</t>
  </si>
  <si>
    <t>2015 JUL 10</t>
  </si>
  <si>
    <t>2015 JUL 11</t>
  </si>
  <si>
    <t>2015 JUL 12</t>
  </si>
  <si>
    <t>2015 JUL 13</t>
  </si>
  <si>
    <t>2015 JUL 14</t>
  </si>
  <si>
    <t>2015 JUL 15</t>
  </si>
  <si>
    <t>2015 JUL 17</t>
  </si>
  <si>
    <t>2015 JUL 18</t>
  </si>
  <si>
    <t>2015 JUL 20</t>
  </si>
  <si>
    <t>2015 JUL 21</t>
  </si>
  <si>
    <t>2015 JUL 23</t>
  </si>
  <si>
    <t>2015 JUL 24</t>
  </si>
  <si>
    <t>2015 JUL 26</t>
  </si>
  <si>
    <t>2015 JUL 28</t>
  </si>
  <si>
    <t>2015 JUL 30</t>
  </si>
  <si>
    <t>2015 JUL 31</t>
  </si>
  <si>
    <t>2015 AUG 2</t>
  </si>
  <si>
    <t>2015 AUG 3</t>
  </si>
  <si>
    <t>2015 AUG 4</t>
  </si>
  <si>
    <t>2015 AUG 5</t>
  </si>
  <si>
    <t>2015 AUG 6</t>
  </si>
  <si>
    <t>2015 AUG 7</t>
  </si>
  <si>
    <t>2015 AUG 9</t>
  </si>
  <si>
    <t>2015 AUG 10</t>
  </si>
  <si>
    <t>2015 AUG 11</t>
  </si>
  <si>
    <t>2015 AUG 12</t>
  </si>
  <si>
    <t>2015 AUG 13</t>
  </si>
  <si>
    <t>2015 AUG 14</t>
  </si>
  <si>
    <t>2015 AUG 15</t>
  </si>
  <si>
    <t>2015 AUG 16</t>
  </si>
  <si>
    <t>2015 AUG 17</t>
  </si>
  <si>
    <t>2015 AUG 18</t>
  </si>
  <si>
    <t>2015 AUG 20</t>
  </si>
  <si>
    <t>2015 AUG 22</t>
  </si>
  <si>
    <t>2015 AUG 24</t>
  </si>
  <si>
    <t>2015 AUG 26</t>
  </si>
  <si>
    <t>2015 AUG 28</t>
  </si>
  <si>
    <t>2015 AUG 30</t>
  </si>
  <si>
    <t>2015 AUG 31</t>
  </si>
  <si>
    <t>2015 SEP 1</t>
  </si>
  <si>
    <t>2015 SEP 4</t>
  </si>
  <si>
    <t>2015 SEP 5</t>
  </si>
  <si>
    <t>2015 SEP 6</t>
  </si>
  <si>
    <t>2015 SEP 7</t>
  </si>
  <si>
    <t>2015 SEP 10</t>
  </si>
  <si>
    <t>2015 SEP 14</t>
  </si>
  <si>
    <t>2015 SEP 15</t>
  </si>
  <si>
    <t>2015 SEP 16</t>
  </si>
  <si>
    <t>2015 SEP 17</t>
  </si>
  <si>
    <t>2015 SEP 19</t>
  </si>
  <si>
    <t>2015 SEP 20</t>
  </si>
  <si>
    <t>2015 SEP 21</t>
  </si>
  <si>
    <t>2015 SEP 22</t>
  </si>
  <si>
    <t>2015 SEP 29</t>
  </si>
  <si>
    <t>2015 OCT 1</t>
  </si>
  <si>
    <t>AG Peg (V)</t>
  </si>
  <si>
    <t>2015 OCT 6</t>
  </si>
  <si>
    <t>2015 OCT 7</t>
  </si>
  <si>
    <t>2015 OCT 8</t>
  </si>
  <si>
    <t>2015 OCT 9</t>
  </si>
  <si>
    <t>2015 OCT 10</t>
  </si>
  <si>
    <t>2015 OCT 11</t>
  </si>
  <si>
    <t>GKA</t>
  </si>
  <si>
    <t>2013 NOV 8</t>
  </si>
  <si>
    <t>CTIA</t>
  </si>
  <si>
    <t>2013 NOV 15</t>
  </si>
  <si>
    <t>2013 NOV 17</t>
  </si>
  <si>
    <t>2013 NOV 19</t>
  </si>
  <si>
    <t>2013 NOV 20</t>
  </si>
  <si>
    <t>2013 NOV 21</t>
  </si>
  <si>
    <t>2013 NOV 29</t>
  </si>
  <si>
    <t>2013 DEC 18</t>
  </si>
  <si>
    <t>2014 JAN 30</t>
  </si>
  <si>
    <t>2014 APR 17</t>
  </si>
  <si>
    <t>2014 AUG 26</t>
  </si>
  <si>
    <t>2014 AUG 27</t>
  </si>
  <si>
    <t>2014 AUG 28</t>
  </si>
  <si>
    <t>2014 AUG 29</t>
  </si>
  <si>
    <t>2014 SEP 2</t>
  </si>
  <si>
    <t>2014 SEP 4</t>
  </si>
  <si>
    <t>2014 SEP 5</t>
  </si>
  <si>
    <t>2014 SEP 13</t>
  </si>
  <si>
    <t>2014 SEP 14</t>
  </si>
  <si>
    <t>2014 SEP 18</t>
  </si>
  <si>
    <t>2014 SEP 20</t>
  </si>
  <si>
    <t>2014 SEP 23</t>
  </si>
  <si>
    <t>2014 SEP 24</t>
  </si>
  <si>
    <t>2014 SEP 27</t>
  </si>
  <si>
    <t>2014 SEP 28</t>
  </si>
  <si>
    <t>2014 SEP 29</t>
  </si>
  <si>
    <t>2014 OCT 6</t>
  </si>
  <si>
    <t>2014 OCT 7</t>
  </si>
  <si>
    <t>2014 OCT 9</t>
  </si>
  <si>
    <t>2014 OCT 10</t>
  </si>
  <si>
    <t>2014 OCT 13</t>
  </si>
  <si>
    <t>2014 OCT 15</t>
  </si>
  <si>
    <t>2014 OCT 18</t>
  </si>
  <si>
    <t>2014 OCT 27</t>
  </si>
  <si>
    <t>2014 DEC 14</t>
  </si>
  <si>
    <t>2014 DEC 15</t>
  </si>
  <si>
    <t>OCN</t>
  </si>
  <si>
    <t>PGD</t>
  </si>
  <si>
    <t>SFRA</t>
  </si>
  <si>
    <t>AHM</t>
  </si>
  <si>
    <t>SJGA</t>
  </si>
  <si>
    <t>BPAD</t>
  </si>
  <si>
    <t>TIA</t>
  </si>
  <si>
    <t>2015 SEP 12</t>
  </si>
  <si>
    <t>2015 SEP 24</t>
  </si>
  <si>
    <t>2015 SEP 26</t>
  </si>
  <si>
    <t>2015 SEP 27</t>
  </si>
  <si>
    <t>2015 OCT 12</t>
  </si>
  <si>
    <t>2015 OCT 13</t>
  </si>
  <si>
    <t>2015 OCT 14</t>
  </si>
  <si>
    <t>2015 OCT 15</t>
  </si>
  <si>
    <t>2015 OCT 17</t>
  </si>
  <si>
    <t>2015 OCT 18</t>
  </si>
  <si>
    <t>2015 OCT 19</t>
  </si>
  <si>
    <t>2015 OCT 20</t>
  </si>
  <si>
    <t>2015 OCT 25</t>
  </si>
  <si>
    <t>2015 OCT 26</t>
  </si>
  <si>
    <t>2015 OCT 27</t>
  </si>
  <si>
    <t>2015 SEP 28</t>
  </si>
  <si>
    <t>2015 OCT 29</t>
  </si>
  <si>
    <t>2015 OCT 30</t>
  </si>
  <si>
    <t>2015 NOV 1</t>
  </si>
  <si>
    <t>2015 NOV 2</t>
  </si>
  <si>
    <t>2015 NOV 3</t>
  </si>
  <si>
    <t>2015 NOV 4</t>
  </si>
  <si>
    <t>2015 NOV 5</t>
  </si>
  <si>
    <t>2015 NOV 7</t>
  </si>
  <si>
    <t>2015 NOV 8</t>
  </si>
  <si>
    <t>2015 NOV 9</t>
  </si>
  <si>
    <t>2015 NOV 12</t>
  </si>
  <si>
    <t>2015 NOV 14</t>
  </si>
  <si>
    <t>2015 NOV 16</t>
  </si>
  <si>
    <t>2015 NOV 18</t>
  </si>
  <si>
    <t>2015 NOV 23</t>
  </si>
  <si>
    <t>2015 NOV 17</t>
  </si>
  <si>
    <t>2015 NOV 21</t>
  </si>
  <si>
    <t>2015 NOV 24</t>
  </si>
  <si>
    <t>2015 NOV 25</t>
  </si>
  <si>
    <t>2015 NOV 29</t>
  </si>
  <si>
    <t>2015 DEC 2</t>
  </si>
  <si>
    <t>2015 DEC 3</t>
  </si>
  <si>
    <t>2015 DEC 4</t>
  </si>
  <si>
    <t>2015 DEC 5</t>
  </si>
  <si>
    <t>2015 DEC 7</t>
  </si>
  <si>
    <t>2015 DEC 9</t>
  </si>
  <si>
    <t>2015 DEC 11</t>
  </si>
  <si>
    <t>2015 DEC 12</t>
  </si>
  <si>
    <t>2015 DEC 14</t>
  </si>
  <si>
    <t>2015 DEC 15</t>
  </si>
  <si>
    <t>2015 DEC 16</t>
  </si>
  <si>
    <t>2015 DEC 17</t>
  </si>
  <si>
    <t>2015 DEC 18</t>
  </si>
  <si>
    <t>2015 DEC 19</t>
  </si>
  <si>
    <t>2015 DEC 21</t>
  </si>
  <si>
    <t>2015 DEC 24</t>
  </si>
  <si>
    <t>2015 DEC 29</t>
  </si>
  <si>
    <t>2016 JAN 4</t>
  </si>
  <si>
    <t>2016 JAN 8</t>
  </si>
  <si>
    <t>2016 JAN 15</t>
  </si>
  <si>
    <t>2016 JAN 17</t>
  </si>
  <si>
    <t>2016 JAN 19</t>
  </si>
  <si>
    <t>2016 JAN 22</t>
  </si>
  <si>
    <t>2016 JAN 23</t>
  </si>
  <si>
    <t>2016 APR 6</t>
  </si>
  <si>
    <t>2016 APR 15</t>
  </si>
  <si>
    <t>2016 APR 21</t>
  </si>
  <si>
    <t>2016 APR 24</t>
  </si>
  <si>
    <t>2016 APR 28</t>
  </si>
  <si>
    <t>2016 MAY 26</t>
  </si>
  <si>
    <t>2016 MAY 30</t>
  </si>
  <si>
    <t>2016 JUN 1</t>
  </si>
  <si>
    <t>2016 JUN 3</t>
  </si>
  <si>
    <t>2016 JUN 5</t>
  </si>
  <si>
    <t>2016 JUN 13</t>
  </si>
  <si>
    <t>2016 JUN 14</t>
  </si>
  <si>
    <t>2016 JUN 15</t>
  </si>
  <si>
    <t>2016 JUN 18</t>
  </si>
  <si>
    <t>2016 JUN 19</t>
  </si>
  <si>
    <t>2016 JUN 21</t>
  </si>
  <si>
    <t>2016 JUN 22</t>
  </si>
  <si>
    <t>2016 JUN 26</t>
  </si>
  <si>
    <t>2016 JUN 27</t>
  </si>
  <si>
    <t>2016 JUN 28</t>
  </si>
  <si>
    <t>2016 JUN 30</t>
  </si>
  <si>
    <t>2016 JUL 1</t>
  </si>
  <si>
    <t>2016 JUL 3</t>
  </si>
  <si>
    <t>2016 JUL 4</t>
  </si>
  <si>
    <t>2016 JUL 5</t>
  </si>
  <si>
    <t>2016 JUL 6</t>
  </si>
  <si>
    <t>2016 JUL 7</t>
  </si>
  <si>
    <t>2016 JUL 10</t>
  </si>
  <si>
    <t>2016 JUL 12</t>
  </si>
  <si>
    <t>2016 JUL 13</t>
  </si>
  <si>
    <t>2016 JUL 15</t>
  </si>
  <si>
    <t>2016 JUL 16</t>
  </si>
  <si>
    <t>2016 JUL 19</t>
  </si>
  <si>
    <t>AG Peg</t>
  </si>
  <si>
    <t>2016 JUL 21</t>
  </si>
  <si>
    <t>2016 JUL 22</t>
  </si>
  <si>
    <t>2016 JUL 23</t>
  </si>
  <si>
    <t>2016 JUL 25</t>
  </si>
  <si>
    <t>2016 JUL 27</t>
  </si>
  <si>
    <t>2016 JUL 30</t>
  </si>
  <si>
    <t>2016 AUG 3</t>
  </si>
  <si>
    <t>2016 AUG 4</t>
  </si>
  <si>
    <t>2016 AUG 5</t>
  </si>
  <si>
    <t>2016 AUG 10</t>
  </si>
  <si>
    <t>2016 AUG 12</t>
  </si>
  <si>
    <t>2016 AUG 13</t>
  </si>
  <si>
    <t>2016 AUG 16</t>
  </si>
  <si>
    <t>2016 AUG 17</t>
  </si>
  <si>
    <t>2016 AUG 22</t>
  </si>
  <si>
    <t>2016 AUG 24</t>
  </si>
  <si>
    <t>2016 AUG 30</t>
  </si>
  <si>
    <t>2016 AUG 31</t>
  </si>
  <si>
    <t>2016 SEP 5</t>
  </si>
  <si>
    <t>2016 SEP 8</t>
  </si>
  <si>
    <t>2016 SEP 12</t>
  </si>
  <si>
    <t>2016 SEP 13</t>
  </si>
  <si>
    <t>2016 SEP 16</t>
  </si>
  <si>
    <t>2016 SEP 17</t>
  </si>
  <si>
    <t>2016 SEP 19</t>
  </si>
  <si>
    <t>2016 SEP 20</t>
  </si>
  <si>
    <t>2016 SEP 23</t>
  </si>
  <si>
    <t>NA</t>
  </si>
  <si>
    <t>2016 SEP 25</t>
  </si>
  <si>
    <t>2016 SEP 27</t>
  </si>
  <si>
    <t>2016 OCT 6</t>
  </si>
  <si>
    <t>2016 OCT 11</t>
  </si>
  <si>
    <t>2016 OCT 14</t>
  </si>
  <si>
    <t>2016 OCT 15</t>
  </si>
  <si>
    <t>2016 OCT 16</t>
  </si>
  <si>
    <t>2016 OCT 19</t>
  </si>
  <si>
    <t>2016 OCT 20</t>
  </si>
  <si>
    <t>2016 OCT 24</t>
  </si>
  <si>
    <t>2016 OCT 25</t>
  </si>
  <si>
    <t>2016 OCT 26</t>
  </si>
  <si>
    <t>2016 NOV 1</t>
  </si>
  <si>
    <t>2016 NOV 5</t>
  </si>
  <si>
    <t>2016 NOV 9</t>
  </si>
  <si>
    <t>2016 NOV 12</t>
  </si>
  <si>
    <t>2016 NOV 14</t>
  </si>
  <si>
    <t>2016 NOV 16</t>
  </si>
  <si>
    <t>2016 NOV 22</t>
  </si>
  <si>
    <t>2016 NOV 30</t>
  </si>
  <si>
    <t>Raie{1,1} = 'H alpha';</t>
  </si>
  <si>
    <t>Raie{1,2} = 6562.82;</t>
  </si>
  <si>
    <t>Objet</t>
  </si>
  <si>
    <t>Raie{2,1} = 'H beta';</t>
  </si>
  <si>
    <t>Folder</t>
  </si>
  <si>
    <t>Raie{2,2} = 4861.34;</t>
  </si>
  <si>
    <t>Obj</t>
  </si>
  <si>
    <t>Raie{3,1} = 'H gamma';</t>
  </si>
  <si>
    <t>Raie{3,2} = 4340.48;</t>
  </si>
  <si>
    <t>E</t>
  </si>
  <si>
    <t>Decalage</t>
  </si>
  <si>
    <t>Raie{4,1} = 'O[I] 6300';</t>
  </si>
  <si>
    <t>JD0</t>
  </si>
  <si>
    <t>xmax</t>
  </si>
  <si>
    <t>km/s</t>
  </si>
  <si>
    <t>Raie{4,2} = 6300.32;</t>
  </si>
  <si>
    <t>xLigne</t>
  </si>
  <si>
    <t>pas</t>
  </si>
  <si>
    <t>Raie{5,1} = 'O[I] 6363';</t>
  </si>
  <si>
    <t>ajust</t>
  </si>
  <si>
    <t>Raie{5,2} = 6363.81;</t>
  </si>
  <si>
    <t>x</t>
  </si>
  <si>
    <t>xdate</t>
  </si>
  <si>
    <t>Raie{6,1} = 'He I 5875';</t>
  </si>
  <si>
    <t>y</t>
  </si>
  <si>
    <t>ymax</t>
  </si>
  <si>
    <t>Raie{6,2} = 5875.65;</t>
  </si>
  <si>
    <t>couleur</t>
  </si>
  <si>
    <t>Lambda</t>
  </si>
  <si>
    <t>Raie{7,1} = 'He I 6678';</t>
  </si>
  <si>
    <t>Line</t>
  </si>
  <si>
    <t>Raie{7,2} = 6678.15;</t>
  </si>
  <si>
    <t>Raie{8,1} = 'He I 7065';</t>
  </si>
  <si>
    <t>Ha</t>
  </si>
  <si>
    <t>Raie{8,2} = 7065;</t>
  </si>
  <si>
    <t>Hb</t>
  </si>
  <si>
    <t>Raie {9,1} = 'He II 4686';</t>
  </si>
  <si>
    <t>Hg</t>
  </si>
  <si>
    <t>Raie {9,2} = 4685.68;</t>
  </si>
  <si>
    <t>[OI]</t>
  </si>
  <si>
    <t>Raie {10,1} = '[O III 5007]';</t>
  </si>
  <si>
    <t>Raie {10,2} = 5006.84;</t>
  </si>
  <si>
    <t>He I</t>
  </si>
  <si>
    <t>Raie {11,1} = '[O III 4363]';</t>
  </si>
  <si>
    <t>Raie {11,2} = 4363;</t>
  </si>
  <si>
    <t>Raie {13,1} = '[Fe VII 6087]';</t>
  </si>
  <si>
    <t>Raie {13,2} = 6087;</t>
  </si>
  <si>
    <t>He II</t>
  </si>
  <si>
    <t>Raie {14,1} = '[Fe VII 5721]';</t>
  </si>
  <si>
    <t>[O III]</t>
  </si>
  <si>
    <t>Raie {14,2} = 5721;</t>
  </si>
  <si>
    <t>Raie {15,1} = 'Raman OVI';</t>
  </si>
  <si>
    <t>Raie {15,2} = 6830;</t>
  </si>
  <si>
    <t>Fe II</t>
  </si>
  <si>
    <t>Raie {16,1} = 'Na I D';</t>
  </si>
  <si>
    <t>Raie {16,2} = 5889.95;</t>
  </si>
  <si>
    <t>Raie {17,1} = 'Fe II 4924';</t>
  </si>
  <si>
    <t>Raie {17,2} = 4923.92;</t>
  </si>
  <si>
    <t>[Fe VII]</t>
  </si>
  <si>
    <t>Raie {18,1} = 'He I 5016';</t>
  </si>
  <si>
    <t>Raie {18,2} = 5015.68;</t>
  </si>
  <si>
    <t>Raie {19,1} = 'Fe II 5018';</t>
  </si>
  <si>
    <t>Raman OVI</t>
  </si>
  <si>
    <t>Raie {19,2} = 5018.43;</t>
  </si>
  <si>
    <t>Raie {20,1} = '[N II] 5755';</t>
  </si>
  <si>
    <t>Raie {20,1} = 5755;</t>
  </si>
  <si>
    <t>\2016</t>
  </si>
  <si>
    <t>NaI D</t>
  </si>
  <si>
    <t>1941 JUL 7</t>
  </si>
  <si>
    <t>1941 JUL 26</t>
  </si>
  <si>
    <t>1941 AUG 12</t>
  </si>
  <si>
    <t>1941 AUG 28</t>
  </si>
  <si>
    <t>1941 SEP 16</t>
  </si>
  <si>
    <t>1941 OCT 2</t>
  </si>
  <si>
    <t>1941 OCT 17</t>
  </si>
  <si>
    <t>1947 JAN 11</t>
  </si>
  <si>
    <t>1947 JAN 22</t>
  </si>
  <si>
    <t>1953 MAY 1</t>
  </si>
  <si>
    <t>1953 MAY 10</t>
  </si>
  <si>
    <t>1953 JUN 2</t>
  </si>
  <si>
    <t>1953 JUN 22</t>
  </si>
  <si>
    <t>1953 JUL 7</t>
  </si>
  <si>
    <t>1953 JUL 20</t>
  </si>
  <si>
    <t>1953 AUG 5</t>
  </si>
  <si>
    <t>1953 AUG 20</t>
  </si>
  <si>
    <t>1953 SEP 6</t>
  </si>
  <si>
    <t>1953 SEP 21</t>
  </si>
  <si>
    <t>1953 OCT 7</t>
  </si>
  <si>
    <t>1953 OCT 30</t>
  </si>
  <si>
    <t>1953 NOV 27</t>
  </si>
  <si>
    <t>1954 JUL 22</t>
  </si>
  <si>
    <t>1954 JUL 30</t>
  </si>
  <si>
    <t>1954 AUG 28</t>
  </si>
  <si>
    <t>1954 SEP 24</t>
  </si>
  <si>
    <t>1954 OCT 24</t>
  </si>
  <si>
    <t>1954 NOV 19</t>
  </si>
  <si>
    <t>1954 DEC 12</t>
  </si>
  <si>
    <t>1954 DEC 19</t>
  </si>
  <si>
    <t>1955 JAN 5</t>
  </si>
  <si>
    <t>1955 JAN 22</t>
  </si>
  <si>
    <t>1955 MAY 18</t>
  </si>
  <si>
    <t>1955 JUN 17</t>
  </si>
  <si>
    <t>1955 JUN 29</t>
  </si>
  <si>
    <t>1955 JUL 20</t>
  </si>
  <si>
    <t>1955 AUG 4</t>
  </si>
  <si>
    <t>1955 AUG 22</t>
  </si>
  <si>
    <t>1955 SEP 13</t>
  </si>
  <si>
    <t>1955 OCT 2</t>
  </si>
  <si>
    <t>1955 OCT 17</t>
  </si>
  <si>
    <t>1955 NOV 3</t>
  </si>
  <si>
    <t>1955 NOV 20</t>
  </si>
  <si>
    <t>1955 DEC 11</t>
  </si>
  <si>
    <t>1955 DEC 29</t>
  </si>
  <si>
    <t>1956 JAN 13</t>
  </si>
  <si>
    <t>1956 JAN 28</t>
  </si>
  <si>
    <t>1956 JUN 15</t>
  </si>
  <si>
    <t>1956 JUL 19</t>
  </si>
  <si>
    <t>1956 AUG 3</t>
  </si>
  <si>
    <t>1956 SEP 4</t>
  </si>
  <si>
    <t>1956 SEP 21</t>
  </si>
  <si>
    <t>1956 OCT 5</t>
  </si>
  <si>
    <t>1956 OCT 30</t>
  </si>
  <si>
    <t>1956 NOV 21</t>
  </si>
  <si>
    <t>1956 DEC 17</t>
  </si>
  <si>
    <t>1956 DEC 29</t>
  </si>
  <si>
    <t>1957 JAN 24</t>
  </si>
  <si>
    <t>1957 MAR 31</t>
  </si>
  <si>
    <t>1957 JUN 28</t>
  </si>
  <si>
    <t>1957 JUL 28</t>
  </si>
  <si>
    <t>1957 AUG 11</t>
  </si>
  <si>
    <t>1957 AUG 29</t>
  </si>
  <si>
    <t>1957 SEP 24</t>
  </si>
  <si>
    <t>1957 OCT 17</t>
  </si>
  <si>
    <t>1957 NOV 4</t>
  </si>
  <si>
    <t>1957 NOV 23</t>
  </si>
  <si>
    <t>1957 DEC 20</t>
  </si>
  <si>
    <t>1958 JAN 15</t>
  </si>
  <si>
    <t>1958 JUN 15</t>
  </si>
  <si>
    <t>1958 JUL 15</t>
  </si>
  <si>
    <t>1958 AUG 13</t>
  </si>
  <si>
    <t>1958 AUG 26</t>
  </si>
  <si>
    <t>1958 SEP 16</t>
  </si>
  <si>
    <t>1958 OCT 12</t>
  </si>
  <si>
    <t>1958 NOV 4</t>
  </si>
  <si>
    <t>1958 NOV 18</t>
  </si>
  <si>
    <t>1958 DEC 11</t>
  </si>
  <si>
    <t>1959 JAN 8</t>
  </si>
  <si>
    <t>1959 FEB 2</t>
  </si>
  <si>
    <t>1959 AUG 7</t>
  </si>
  <si>
    <t>1959 AUG 31</t>
  </si>
  <si>
    <t>1959 SEP 24</t>
  </si>
  <si>
    <t>1959 OCT 20</t>
  </si>
  <si>
    <t>1959 NOV 5</t>
  </si>
  <si>
    <t>1959 NOV 26</t>
  </si>
  <si>
    <t>1959 DEC 15</t>
  </si>
  <si>
    <t>1959 DEC 31</t>
  </si>
  <si>
    <t>1960 JAN 16</t>
  </si>
  <si>
    <t>1960 JUN 26</t>
  </si>
  <si>
    <t>1960 JUL 23</t>
  </si>
  <si>
    <t>1960 AUG 17</t>
  </si>
  <si>
    <t>1960 AUG 29</t>
  </si>
  <si>
    <t>1960 SEP 19</t>
  </si>
  <si>
    <t>1960 OCT 8</t>
  </si>
  <si>
    <t>1960 OCT 21</t>
  </si>
  <si>
    <t>1960 NOV 13</t>
  </si>
  <si>
    <t>1960 NOV 30</t>
  </si>
  <si>
    <t>1960 DEC 19</t>
  </si>
  <si>
    <t>1961 JAN 9</t>
  </si>
  <si>
    <t>1961 JUL 20</t>
  </si>
  <si>
    <t>1961 AUG 10</t>
  </si>
  <si>
    <t>1961 AUG 30</t>
  </si>
  <si>
    <t>1961 SEP 8</t>
  </si>
  <si>
    <t>1961 SEP 22</t>
  </si>
  <si>
    <t>1961 OCT 11</t>
  </si>
  <si>
    <t>1961 OCT 30</t>
  </si>
  <si>
    <t>1961 NOV 13</t>
  </si>
  <si>
    <t>1961 DEC 2</t>
  </si>
  <si>
    <t>1961 DEC 20</t>
  </si>
  <si>
    <t>1962 JAN 6</t>
  </si>
  <si>
    <t>1962 JUN 8</t>
  </si>
  <si>
    <t>1962 JUL 6</t>
  </si>
  <si>
    <t>1962 AUG 3</t>
  </si>
  <si>
    <t>1962 AUG 18</t>
  </si>
  <si>
    <t>1962 AUG 31</t>
  </si>
  <si>
    <t>1962 SEP 26</t>
  </si>
  <si>
    <t>1962 OCT 10</t>
  </si>
  <si>
    <t>1962 OCT 26</t>
  </si>
  <si>
    <t>1962 NOV 13</t>
  </si>
  <si>
    <t>1962 NOV 25</t>
  </si>
  <si>
    <t>1962 DEC 6</t>
  </si>
  <si>
    <t>1962 DEC 28</t>
  </si>
  <si>
    <t>1963 JUN 7</t>
  </si>
  <si>
    <t>1963 JUL 2</t>
  </si>
  <si>
    <t>1963 JUL 30</t>
  </si>
  <si>
    <t>1963 AUG 17</t>
  </si>
  <si>
    <t>1963 SEP 2</t>
  </si>
  <si>
    <t>1963 SEP 21</t>
  </si>
  <si>
    <t>1963 OCT 11</t>
  </si>
  <si>
    <t>1963 OCT 28</t>
  </si>
  <si>
    <t>1963 NOV 20</t>
  </si>
  <si>
    <t>1963 DEC 16</t>
  </si>
  <si>
    <t>1964 JAN 11</t>
  </si>
  <si>
    <t>1964 JUN 11</t>
  </si>
  <si>
    <t>1964 JUL 6</t>
  </si>
  <si>
    <t>1964 AUG 6</t>
  </si>
  <si>
    <t>1964 SEP 3</t>
  </si>
  <si>
    <t>1964 SEP 26</t>
  </si>
  <si>
    <t>1964 OCT 10</t>
  </si>
  <si>
    <t>1964 OCT 27</t>
  </si>
  <si>
    <t>1964 NOV 11</t>
  </si>
  <si>
    <t>1964 NOV 29</t>
  </si>
  <si>
    <t>1965 JAN 1</t>
  </si>
  <si>
    <t>1965 JAN 23</t>
  </si>
  <si>
    <t>1965 MAY 9</t>
  </si>
  <si>
    <t>1965 JUN 8</t>
  </si>
  <si>
    <t>1965 JUN 29</t>
  </si>
  <si>
    <t>1965 JUL 22</t>
  </si>
  <si>
    <t>1965 AUG 24</t>
  </si>
  <si>
    <t>1965 SEP 6</t>
  </si>
  <si>
    <t>1965 SEP 27</t>
  </si>
  <si>
    <t>1965 OCT 20</t>
  </si>
  <si>
    <t>1965 NOV 26</t>
  </si>
  <si>
    <t>1965 DEC 19</t>
  </si>
  <si>
    <t>1966 JAN 13</t>
  </si>
  <si>
    <t>1966 MAY 30</t>
  </si>
  <si>
    <t>1966 JUL 11</t>
  </si>
  <si>
    <t>1966 JUL 25</t>
  </si>
  <si>
    <t>1966 AUG 16</t>
  </si>
  <si>
    <t>1966 AUG 31</t>
  </si>
  <si>
    <t>1966 SEP 17</t>
  </si>
  <si>
    <t>1966 OCT 7</t>
  </si>
  <si>
    <t>1966 OCT 23</t>
  </si>
  <si>
    <t>1966 NOV 12</t>
  </si>
  <si>
    <t>1966 DEC 8</t>
  </si>
  <si>
    <t>1966 DEC 24</t>
  </si>
  <si>
    <t>1967 MAY 11</t>
  </si>
  <si>
    <t>1967 JUN 3</t>
  </si>
  <si>
    <t>1967 JUN 27</t>
  </si>
  <si>
    <t>1967 JUL 10</t>
  </si>
  <si>
    <t>1967 JUL 31</t>
  </si>
  <si>
    <t>1967 AUG 12</t>
  </si>
  <si>
    <t>1967 SEP 5</t>
  </si>
  <si>
    <t>1967 SEP 25</t>
  </si>
  <si>
    <t>1967 OCT 5</t>
  </si>
  <si>
    <t>1967 NOV 1</t>
  </si>
  <si>
    <t>1967 NOV 22</t>
  </si>
  <si>
    <t>1967 DEC 13</t>
  </si>
  <si>
    <t>1967 DEC 26</t>
  </si>
  <si>
    <t>1968 JAN 16</t>
  </si>
  <si>
    <t>1968 JUN 6</t>
  </si>
  <si>
    <t>1968 JUN 30</t>
  </si>
  <si>
    <t>1968 JUL 15</t>
  </si>
  <si>
    <t>1968 AUG 3</t>
  </si>
  <si>
    <t>1968 AUG 24</t>
  </si>
  <si>
    <t>1968 SEP 11</t>
  </si>
  <si>
    <t>1968 SEP 25</t>
  </si>
  <si>
    <t>1968 OCT 22</t>
  </si>
  <si>
    <t>1968 NOV 18</t>
  </si>
  <si>
    <t>1968 DEC 8</t>
  </si>
  <si>
    <t>1968 DEC 24</t>
  </si>
  <si>
    <t>1969 JUN 8</t>
  </si>
  <si>
    <t>1969 JUN 24</t>
  </si>
  <si>
    <t>1969 JUL 13</t>
  </si>
  <si>
    <t>1969 JUL 30</t>
  </si>
  <si>
    <t>1969 AUG 13</t>
  </si>
  <si>
    <t>1969 AUG 28</t>
  </si>
  <si>
    <t>1969 SEP 15</t>
  </si>
  <si>
    <t>1969 OCT 2</t>
  </si>
  <si>
    <t>1969 OCT 15</t>
  </si>
  <si>
    <t>1969 NOV 1</t>
  </si>
  <si>
    <t>1969 NOV 17</t>
  </si>
  <si>
    <t>1969 DEC 2</t>
  </si>
  <si>
    <t>1969 DEC 17</t>
  </si>
  <si>
    <t>1970 JAN 2</t>
  </si>
  <si>
    <t>1970 JAN 20</t>
  </si>
  <si>
    <t>1970 APR 26</t>
  </si>
  <si>
    <t>1970 MAY 22</t>
  </si>
  <si>
    <t>1970 JUN 4</t>
  </si>
  <si>
    <t>1970 JUN 24</t>
  </si>
  <si>
    <t>1970 JUL 7</t>
  </si>
  <si>
    <t>1970 JUL 23</t>
  </si>
  <si>
    <t>1970 AUG 7</t>
  </si>
  <si>
    <t>1970 AUG 24</t>
  </si>
  <si>
    <t>1970 SEP 5</t>
  </si>
  <si>
    <t>1970 SEP 22</t>
  </si>
  <si>
    <t>1970 OCT 8</t>
  </si>
  <si>
    <t>1970 OCT 25</t>
  </si>
  <si>
    <t>1970 NOV 10</t>
  </si>
  <si>
    <t>1970 NOV 25</t>
  </si>
  <si>
    <t>1970 DEC 11</t>
  </si>
  <si>
    <t>1970 DEC 27</t>
  </si>
  <si>
    <t>1971 JAN 10</t>
  </si>
  <si>
    <t>1971 JAN 28</t>
  </si>
  <si>
    <t>1971 FEB 28</t>
  </si>
  <si>
    <t>1971 MAR 25</t>
  </si>
  <si>
    <t>1971 APR 23</t>
  </si>
  <si>
    <t>1971 MAY 11</t>
  </si>
  <si>
    <t>1971 MAY 29</t>
  </si>
  <si>
    <t>1971 JUN 17</t>
  </si>
  <si>
    <t>1971 JUN 29</t>
  </si>
  <si>
    <t>1971 JUL 15</t>
  </si>
  <si>
    <t>1971 AUG 2</t>
  </si>
  <si>
    <t>1971 AUG 15</t>
  </si>
  <si>
    <t>1971 AUG 30</t>
  </si>
  <si>
    <t>1971 SEP 15</t>
  </si>
  <si>
    <t>1971 OCT 2</t>
  </si>
  <si>
    <t>1971 OCT 17</t>
  </si>
  <si>
    <t>1971 OCT 31</t>
  </si>
  <si>
    <t>1971 NOV 16</t>
  </si>
  <si>
    <t>1971 NOV 30</t>
  </si>
  <si>
    <t>1971 DEC 16</t>
  </si>
  <si>
    <t>1972 JAN 1</t>
  </si>
  <si>
    <t>1972 JAN 15</t>
  </si>
  <si>
    <t>1972 FEB 2</t>
  </si>
  <si>
    <t>1972 MAR 12</t>
  </si>
  <si>
    <t>1972 APR 5</t>
  </si>
  <si>
    <t>1972 APR 28</t>
  </si>
  <si>
    <t>1972 MAY 15</t>
  </si>
  <si>
    <t>1972 MAY 29</t>
  </si>
  <si>
    <t>1972 JUN 16</t>
  </si>
  <si>
    <t>1972 JUL 4</t>
  </si>
  <si>
    <t>1972 JUL 22</t>
  </si>
  <si>
    <t>1972 AUG 6</t>
  </si>
  <si>
    <t>1972 AUG 18</t>
  </si>
  <si>
    <t>1972 SEP 5</t>
  </si>
  <si>
    <t>1972 SEP 17</t>
  </si>
  <si>
    <t>1972 OCT 5</t>
  </si>
  <si>
    <t>1972 OCT 20</t>
  </si>
  <si>
    <t>1972 NOV 5</t>
  </si>
  <si>
    <t>1972 NOV 21</t>
  </si>
  <si>
    <t>1972 DEC 4</t>
  </si>
  <si>
    <t>1972 DEC 19</t>
  </si>
  <si>
    <t>1973 JAN 5</t>
  </si>
  <si>
    <t>1973 JAN 20</t>
  </si>
  <si>
    <t>1973 FEB 20</t>
  </si>
  <si>
    <t>1973 APR 9</t>
  </si>
  <si>
    <t>1973 MAY 8</t>
  </si>
  <si>
    <t>1973 MAY 16</t>
  </si>
  <si>
    <t>1973 JUN 5</t>
  </si>
  <si>
    <t>1973 JUN 22</t>
  </si>
  <si>
    <t>1973 JUL 8</t>
  </si>
  <si>
    <t>1973 JUL 24</t>
  </si>
  <si>
    <t>1973 AUG 6</t>
  </si>
  <si>
    <t>1973 AUG 22</t>
  </si>
  <si>
    <t>1973 SEP 5</t>
  </si>
  <si>
    <t>1973 SEP 23</t>
  </si>
  <si>
    <t>1973 OCT 6</t>
  </si>
  <si>
    <t>1973 OCT 21</t>
  </si>
  <si>
    <t>1973 NOV 5</t>
  </si>
  <si>
    <t>1973 NOV 21</t>
  </si>
  <si>
    <t>1973 DEC 8</t>
  </si>
  <si>
    <t>1973 DEC 23</t>
  </si>
  <si>
    <t>1974 JAN 7</t>
  </si>
  <si>
    <t>1974 JAN 24</t>
  </si>
  <si>
    <t>1974 APR 10</t>
  </si>
  <si>
    <t>1974 APR 25</t>
  </si>
  <si>
    <t>1974 MAY 18</t>
  </si>
  <si>
    <t>1974 JUN 1</t>
  </si>
  <si>
    <t>1974 JUN 21</t>
  </si>
  <si>
    <t>1974 JUL 9</t>
  </si>
  <si>
    <t>1974 JUL 22</t>
  </si>
  <si>
    <t>1974 AUG 8</t>
  </si>
  <si>
    <t>1974 AUG 20</t>
  </si>
  <si>
    <t>1974 SEP 6</t>
  </si>
  <si>
    <t>1974 SEP 19</t>
  </si>
  <si>
    <t>1974 OCT 6</t>
  </si>
  <si>
    <t>1974 OCT 20</t>
  </si>
  <si>
    <t>1974 NOV 9</t>
  </si>
  <si>
    <t>1974 NOV 19</t>
  </si>
  <si>
    <t>1974 DEC 8</t>
  </si>
  <si>
    <t>1974 DEC 23</t>
  </si>
  <si>
    <t>1975 JAN 5</t>
  </si>
  <si>
    <t>1975 JAN 23</t>
  </si>
  <si>
    <t>1975 FEB 9</t>
  </si>
  <si>
    <t>1975 MAR 18</t>
  </si>
  <si>
    <t>1975 APR 7</t>
  </si>
  <si>
    <t>1975 APR 28</t>
  </si>
  <si>
    <t>1975 MAY 11</t>
  </si>
  <si>
    <t>1975 JUN 9</t>
  </si>
  <si>
    <t>1975 JUN 24</t>
  </si>
  <si>
    <t>1975 JUL 9</t>
  </si>
  <si>
    <t>1975 JUL 26</t>
  </si>
  <si>
    <t>1975 AUG 8</t>
  </si>
  <si>
    <t>1975 AUG 25</t>
  </si>
  <si>
    <t>1975 SEP 8</t>
  </si>
  <si>
    <t>1975 SEP 27</t>
  </si>
  <si>
    <t>1975 OCT 8</t>
  </si>
  <si>
    <t>1975 OCT 26</t>
  </si>
  <si>
    <t>1975 NOV 6</t>
  </si>
  <si>
    <t>1975 NOV 25</t>
  </si>
  <si>
    <t>1975 DEC 8</t>
  </si>
  <si>
    <t>1975 DEC 27</t>
  </si>
  <si>
    <t>1976 JAN 11</t>
  </si>
  <si>
    <t>1976 JAN 27</t>
  </si>
  <si>
    <t>1976 FEB 17</t>
  </si>
  <si>
    <t>1976 APR 4</t>
  </si>
  <si>
    <t>1976 APR 14</t>
  </si>
  <si>
    <t>1976 MAY 2</t>
  </si>
  <si>
    <t>1976 MAY 20</t>
  </si>
  <si>
    <t>1976 JUN 9</t>
  </si>
  <si>
    <t>1976 JUN 28</t>
  </si>
  <si>
    <t>1976 JUL 10</t>
  </si>
  <si>
    <t>1976 JUL 28</t>
  </si>
  <si>
    <t>1976 AUG 14</t>
  </si>
  <si>
    <t>1976 AUG 26</t>
  </si>
  <si>
    <t>1976 SEP 12</t>
  </si>
  <si>
    <t>1976 SEP 27</t>
  </si>
  <si>
    <t>1976 OCT 13</t>
  </si>
  <si>
    <t>1976 OCT 26</t>
  </si>
  <si>
    <t>1976 NOV 11</t>
  </si>
  <si>
    <t>1976 NOV 25</t>
  </si>
  <si>
    <t>1976 DEC 13</t>
  </si>
  <si>
    <t>1976 DEC 27</t>
  </si>
  <si>
    <t>1977 JAN 9</t>
  </si>
  <si>
    <t>1977 JAN 26</t>
  </si>
  <si>
    <t>1977 FEB 10</t>
  </si>
  <si>
    <t>1977 APR 20</t>
  </si>
  <si>
    <t>1977 MAY 24</t>
  </si>
  <si>
    <t>1977 JUN 14</t>
  </si>
  <si>
    <t>1977 JUN 26</t>
  </si>
  <si>
    <t>1977 JUL 10</t>
  </si>
  <si>
    <t>1977 JUL 23</t>
  </si>
  <si>
    <t>1977 AUG 10</t>
  </si>
  <si>
    <t>1977 AUG 26</t>
  </si>
  <si>
    <t>1977 SEP 10</t>
  </si>
  <si>
    <t>1977 SEP 25</t>
  </si>
  <si>
    <t>1977 OCT 9</t>
  </si>
  <si>
    <t>1977 OCT 25</t>
  </si>
  <si>
    <t>1977 NOV 9</t>
  </si>
  <si>
    <t>1977 NOV 26</t>
  </si>
  <si>
    <t>1977 DEC 12</t>
  </si>
  <si>
    <t>1977 DEC 31</t>
  </si>
  <si>
    <t>1978 JAN 13</t>
  </si>
  <si>
    <t>1978 FEB 14</t>
  </si>
  <si>
    <t>1978 MAR 20</t>
  </si>
  <si>
    <t>1978 APR 11</t>
  </si>
  <si>
    <t>1978 APR 26</t>
  </si>
  <si>
    <t>1978 MAY 22</t>
  </si>
  <si>
    <t>1978 JUN 3</t>
  </si>
  <si>
    <t>1978 JUN 25</t>
  </si>
  <si>
    <t>1978 JUL 10</t>
  </si>
  <si>
    <t>1978 JUL 28</t>
  </si>
  <si>
    <t>1978 AUG 10</t>
  </si>
  <si>
    <t>1978 AUG 27</t>
  </si>
  <si>
    <t>1978 SEP 9</t>
  </si>
  <si>
    <t>1978 SEP 26</t>
  </si>
  <si>
    <t>1978 OCT 10</t>
  </si>
  <si>
    <t>1978 OCT 28</t>
  </si>
  <si>
    <t>1978 NOV 10</t>
  </si>
  <si>
    <t>1978 NOV 26</t>
  </si>
  <si>
    <t>1978 DEC 13</t>
  </si>
  <si>
    <t>1978 DEC 28</t>
  </si>
  <si>
    <t>1979 JAN 13</t>
  </si>
  <si>
    <t>1979 JAN 29</t>
  </si>
  <si>
    <t>1979 FEB 28</t>
  </si>
  <si>
    <t>1979 APR 2</t>
  </si>
  <si>
    <t>1979 APR 25</t>
  </si>
  <si>
    <t>1979 MAY 9</t>
  </si>
  <si>
    <t>1979 MAY 26</t>
  </si>
  <si>
    <t>1979 JUN 14</t>
  </si>
  <si>
    <t>1979 JUN 26</t>
  </si>
  <si>
    <t>1979 JUL 12</t>
  </si>
  <si>
    <t>1979 JUL 27</t>
  </si>
  <si>
    <t>1979 AUG 12</t>
  </si>
  <si>
    <t>1979 AUG 26</t>
  </si>
  <si>
    <t>1979 SEP 14</t>
  </si>
  <si>
    <t>1979 SEP 24</t>
  </si>
  <si>
    <t>1979 OCT 13</t>
  </si>
  <si>
    <t>1979 OCT 25</t>
  </si>
  <si>
    <t>1979 NOV 13</t>
  </si>
  <si>
    <t>1979 NOV 27</t>
  </si>
  <si>
    <t>1979 DEC 12</t>
  </si>
  <si>
    <t>1979 DEC 27</t>
  </si>
  <si>
    <t>1980 JAN 12</t>
  </si>
  <si>
    <t>1980 JAN 26</t>
  </si>
  <si>
    <t>1980 MAY 16</t>
  </si>
  <si>
    <t>1980 JUN 12</t>
  </si>
  <si>
    <t>1980 JUN 29</t>
  </si>
  <si>
    <t>1980 JUL 11</t>
  </si>
  <si>
    <t>1980 JUL 29</t>
  </si>
  <si>
    <t>1980 AUG 10</t>
  </si>
  <si>
    <t>1980 AUG 27</t>
  </si>
  <si>
    <t>1980 SEP 10</t>
  </si>
  <si>
    <t>1980 SEP 26</t>
  </si>
  <si>
    <t>1980 OCT 10</t>
  </si>
  <si>
    <t>1980 OCT 27</t>
  </si>
  <si>
    <t>1980 NOV 10</t>
  </si>
  <si>
    <t>1980 NOV 26</t>
  </si>
  <si>
    <t>1980 DEC 9</t>
  </si>
  <si>
    <t>1980 DEC 28</t>
  </si>
  <si>
    <t>1981 JAN 11</t>
  </si>
  <si>
    <t>1981 JAN 27</t>
  </si>
  <si>
    <t>1981 JUN 1</t>
  </si>
  <si>
    <t>1981 JUN 13</t>
  </si>
  <si>
    <t>1981 JUL 1</t>
  </si>
  <si>
    <t>1981 JUL 19</t>
  </si>
  <si>
    <t>1981 AUG 2</t>
  </si>
  <si>
    <t>1981 AUG 18</t>
  </si>
  <si>
    <t>1981 AUG 31</t>
  </si>
  <si>
    <t>1981 SEP 16</t>
  </si>
  <si>
    <t>1981 SEP 30</t>
  </si>
  <si>
    <t>1981 OCT 17</t>
  </si>
  <si>
    <t>1981 OCT 31</t>
  </si>
  <si>
    <t>1981 NOV 15</t>
  </si>
  <si>
    <t>1981 NOV 28</t>
  </si>
  <si>
    <t>1981 DEC 15</t>
  </si>
  <si>
    <t>1981 DEC 29</t>
  </si>
  <si>
    <t>1982 JAN 15</t>
  </si>
  <si>
    <t>1982 MAR 31</t>
  </si>
  <si>
    <t>1982 APR 19</t>
  </si>
  <si>
    <t>1982 APR 26</t>
  </si>
  <si>
    <t>1982 MAY 23</t>
  </si>
  <si>
    <t>1982 JUN 3</t>
  </si>
  <si>
    <t>1982 JUN 23</t>
  </si>
  <si>
    <t>1982 JUL 4</t>
  </si>
  <si>
    <t>1982 JUL 22</t>
  </si>
  <si>
    <t>1982 AUG 8</t>
  </si>
  <si>
    <t>1982 AUG 22</t>
  </si>
  <si>
    <t>1982 SEP 9</t>
  </si>
  <si>
    <t>1982 SEP 21</t>
  </si>
  <si>
    <t>1982 OCT 12</t>
  </si>
  <si>
    <t>1982 OCT 23</t>
  </si>
  <si>
    <t>1982 NOV 11</t>
  </si>
  <si>
    <t>1982 NOV 22</t>
  </si>
  <si>
    <t>1982 DEC 9</t>
  </si>
  <si>
    <t>1982 DEC 23</t>
  </si>
  <si>
    <t>1983 JAN 7</t>
  </si>
  <si>
    <t>1983 JAN 22</t>
  </si>
  <si>
    <t>1983 MAY 14</t>
  </si>
  <si>
    <t>1983 MAY 25</t>
  </si>
  <si>
    <t>1983 JUN 10</t>
  </si>
  <si>
    <t>1983 JUL 1</t>
  </si>
  <si>
    <t>1983 JUL 13</t>
  </si>
  <si>
    <t>1983 AUG 1</t>
  </si>
  <si>
    <t>1983 AUG 12</t>
  </si>
  <si>
    <t>1983 AUG 29</t>
  </si>
  <si>
    <t>1983 SEP 10</t>
  </si>
  <si>
    <t>1983 SEP 29</t>
  </si>
  <si>
    <t>1983 OCT 11</t>
  </si>
  <si>
    <t>1983 OCT 29</t>
  </si>
  <si>
    <t>1983 NOV 11</t>
  </si>
  <si>
    <t>1983 NOV 28</t>
  </si>
  <si>
    <t>1983 DEC 12</t>
  </si>
  <si>
    <t>1983 DEC 30</t>
  </si>
  <si>
    <t>1984 JAN 12</t>
  </si>
  <si>
    <t>1984 JAN 29</t>
  </si>
  <si>
    <t>1984 MAR 8</t>
  </si>
  <si>
    <t>1984 APR 2</t>
  </si>
  <si>
    <t>1984 APR 30</t>
  </si>
  <si>
    <t>1984 MAY 11</t>
  </si>
  <si>
    <t>1984 MAY 30</t>
  </si>
  <si>
    <t>1984 JUN 16</t>
  </si>
  <si>
    <t>1984 JUN 29</t>
  </si>
  <si>
    <t>1984 JUL 17</t>
  </si>
  <si>
    <t>1984 JUL 31</t>
  </si>
  <si>
    <t>1984 AUG 18</t>
  </si>
  <si>
    <t>1984 AUG 30</t>
  </si>
  <si>
    <t>1984 SEP 17</t>
  </si>
  <si>
    <t>1984 SEP 30</t>
  </si>
  <si>
    <t>1984 OCT 16</t>
  </si>
  <si>
    <t>1984 OCT 29</t>
  </si>
  <si>
    <t>1984 NOV 15</t>
  </si>
  <si>
    <t>1984 NOV 28</t>
  </si>
  <si>
    <t>1984 DEC 16</t>
  </si>
  <si>
    <t>1984 DEC 30</t>
  </si>
  <si>
    <t>1985 JAN 14</t>
  </si>
  <si>
    <t>1985 JAN 29</t>
  </si>
  <si>
    <t>1985 MAR 13</t>
  </si>
  <si>
    <t>1985 APR 4</t>
  </si>
  <si>
    <t>1985 APR 23</t>
  </si>
  <si>
    <t>1985 MAY 10</t>
  </si>
  <si>
    <t>1985 MAY 26</t>
  </si>
  <si>
    <t>1985 JUN 15</t>
  </si>
  <si>
    <t>1985 JUN 28</t>
  </si>
  <si>
    <t>1985 JUL 13</t>
  </si>
  <si>
    <t>1985 JUL 27</t>
  </si>
  <si>
    <t>1985 AUG 15</t>
  </si>
  <si>
    <t>1985 AUG 30</t>
  </si>
  <si>
    <t>1985 SEP 13</t>
  </si>
  <si>
    <t>1985 SEP 30</t>
  </si>
  <si>
    <t>1985 OCT 14</t>
  </si>
  <si>
    <t>1985 OCT 30</t>
  </si>
  <si>
    <t>1985 NOV 12</t>
  </si>
  <si>
    <t>1985 DEC 1</t>
  </si>
  <si>
    <t>1985 DEC 13</t>
  </si>
  <si>
    <t>1985 DEC 30</t>
  </si>
  <si>
    <t>1986 JAN 12</t>
  </si>
  <si>
    <t>1986 JAN 26</t>
  </si>
  <si>
    <t>1986 MAR 30</t>
  </si>
  <si>
    <t>1986 APR 9</t>
  </si>
  <si>
    <t>1986 APR 27</t>
  </si>
  <si>
    <t>1986 MAY 8</t>
  </si>
  <si>
    <t>1986 JUN 4</t>
  </si>
  <si>
    <t>1986 JUN 20</t>
  </si>
  <si>
    <t>1986 JUL 4</t>
  </si>
  <si>
    <t>1986 JUL 20</t>
  </si>
  <si>
    <t>1986 AUG 4</t>
  </si>
  <si>
    <t>1986 AUG 18</t>
  </si>
  <si>
    <t>1986 SEP 4</t>
  </si>
  <si>
    <t>1986 SEP 20</t>
  </si>
  <si>
    <t>1986 OCT 4</t>
  </si>
  <si>
    <t>1986 OCT 20</t>
  </si>
  <si>
    <t>1986 NOV 3</t>
  </si>
  <si>
    <t>1986 NOV 19</t>
  </si>
  <si>
    <t>1986 DEC 2</t>
  </si>
  <si>
    <t>1986 DEC 19</t>
  </si>
  <si>
    <t>1987 JAN 3</t>
  </si>
  <si>
    <t>1987 JAN 16</t>
  </si>
  <si>
    <t>1987 FEB 1</t>
  </si>
  <si>
    <t>1987 APR 2</t>
  </si>
  <si>
    <t>1987 APR 20</t>
  </si>
  <si>
    <t>1987 APR 29</t>
  </si>
  <si>
    <t>1987 MAY 28</t>
  </si>
  <si>
    <t>1987 JUN 13</t>
  </si>
  <si>
    <t>1987 JUL 2</t>
  </si>
  <si>
    <t>1987 JUL 19</t>
  </si>
  <si>
    <t>1987 AUG 1</t>
  </si>
  <si>
    <t>1987 AUG 19</t>
  </si>
  <si>
    <t>1987 SEP 1</t>
  </si>
  <si>
    <t>1987 SEP 17</t>
  </si>
  <si>
    <t>1987 OCT 1</t>
  </si>
  <si>
    <t>1987 OCT 18</t>
  </si>
  <si>
    <t>1987 OCT 30</t>
  </si>
  <si>
    <t>1987 NOV 17</t>
  </si>
  <si>
    <t>1987 DEC 5</t>
  </si>
  <si>
    <t>1987 DEC 16</t>
  </si>
  <si>
    <t>1988 JAN 4</t>
  </si>
  <si>
    <t>1988 JAN 17</t>
  </si>
  <si>
    <t>1988 FEB 10</t>
  </si>
  <si>
    <t>1988 MAR 28</t>
  </si>
  <si>
    <t>1988 APR 15</t>
  </si>
  <si>
    <t>1988 APR 25</t>
  </si>
  <si>
    <t>1988 MAY 17</t>
  </si>
  <si>
    <t>1988 JUN 3</t>
  </si>
  <si>
    <t>1988 JUN 17</t>
  </si>
  <si>
    <t>1988 JUL 7</t>
  </si>
  <si>
    <t>1988 JUL 22</t>
  </si>
  <si>
    <t>1988 AUG 5</t>
  </si>
  <si>
    <t>1988 AUG 18</t>
  </si>
  <si>
    <t>1988 SEP 5</t>
  </si>
  <si>
    <t>1988 SEP 19</t>
  </si>
  <si>
    <t>1988 OCT 5</t>
  </si>
  <si>
    <t>1988 OCT 20</t>
  </si>
  <si>
    <t>1988 NOV 3</t>
  </si>
  <si>
    <t>1988 NOV 18</t>
  </si>
  <si>
    <t>1988 DEC 4</t>
  </si>
  <si>
    <t>1988 DEC 20</t>
  </si>
  <si>
    <t>1989 JAN 5</t>
  </si>
  <si>
    <t>1989 JAN 22</t>
  </si>
  <si>
    <t>1989 FEB 16</t>
  </si>
  <si>
    <t>1989 APR 19</t>
  </si>
  <si>
    <t>1989 MAY 9</t>
  </si>
  <si>
    <t>1989 MAY 27</t>
  </si>
  <si>
    <t>1989 JUN 13</t>
  </si>
  <si>
    <t>1989 JUL 2</t>
  </si>
  <si>
    <t>1989 JUL 12</t>
  </si>
  <si>
    <t>1989 JUL 29</t>
  </si>
  <si>
    <t>1989 AUG 11</t>
  </si>
  <si>
    <t>1989 AUG 27</t>
  </si>
  <si>
    <t>1989 SEP 11</t>
  </si>
  <si>
    <t>1989 SEP 26</t>
  </si>
  <si>
    <t>1989 OCT 10</t>
  </si>
  <si>
    <t>1989 OCT 27</t>
  </si>
  <si>
    <t>1989 NOV 12</t>
  </si>
  <si>
    <t>1989 NOV 27</t>
  </si>
  <si>
    <t>1989 DEC 13</t>
  </si>
  <si>
    <t>1989 DEC 27</t>
  </si>
  <si>
    <t>1990 JAN 13</t>
  </si>
  <si>
    <t>1990 JAN 30</t>
  </si>
  <si>
    <t>1990 FEB 23</t>
  </si>
  <si>
    <t>1990 MAR 27</t>
  </si>
  <si>
    <t>1990 APR 11</t>
  </si>
  <si>
    <t>1990 MAY 2</t>
  </si>
  <si>
    <t>1990 MAY 23</t>
  </si>
  <si>
    <t>1990 JUN 2</t>
  </si>
  <si>
    <t>1990 JUN 22</t>
  </si>
  <si>
    <t>1990 JUL 4</t>
  </si>
  <si>
    <t>1990 JUL 20</t>
  </si>
  <si>
    <t>1990 AUG 1</t>
  </si>
  <si>
    <t>1990 AUG 20</t>
  </si>
  <si>
    <t>1990 SEP 4</t>
  </si>
  <si>
    <t>1990 SEP 19</t>
  </si>
  <si>
    <t>1990 OCT 6</t>
  </si>
  <si>
    <t>1990 OCT 19</t>
  </si>
  <si>
    <t>1990 NOV 5</t>
  </si>
  <si>
    <t>1990 NOV 17</t>
  </si>
  <si>
    <t>1990 DEC 4</t>
  </si>
  <si>
    <t>1990 DEC 18</t>
  </si>
  <si>
    <t>1991 JAN 4</t>
  </si>
  <si>
    <t>1991 JAN 17</t>
  </si>
  <si>
    <t>1991 FEB 7</t>
  </si>
  <si>
    <t>1991 APR 15</t>
  </si>
  <si>
    <t>1991 MAY 6</t>
  </si>
  <si>
    <t>1991 MAY 22</t>
  </si>
  <si>
    <t>1991 JUN 8</t>
  </si>
  <si>
    <t>1991 JUN 21</t>
  </si>
  <si>
    <t>1991 JUL 7</t>
  </si>
  <si>
    <t>1991 JUL 22</t>
  </si>
  <si>
    <t>1991 AUG 8</t>
  </si>
  <si>
    <t>1991 AUG 21</t>
  </si>
  <si>
    <t>1991 SEP 6</t>
  </si>
  <si>
    <t>1991 SEP 21</t>
  </si>
  <si>
    <t>1991 OCT 6</t>
  </si>
  <si>
    <t>1991 OCT 23</t>
  </si>
  <si>
    <t>1991 NOV 7</t>
  </si>
  <si>
    <t>1991 NOV 23</t>
  </si>
  <si>
    <t>1991 DEC 7</t>
  </si>
  <si>
    <t>1991 DEC 25</t>
  </si>
  <si>
    <t>1992 JAN 6</t>
  </si>
  <si>
    <t>1992 JAN 23</t>
  </si>
  <si>
    <t>1992 APR 9</t>
  </si>
  <si>
    <t>1992 MAY 1</t>
  </si>
  <si>
    <t>1992 MAY 16</t>
  </si>
  <si>
    <t>1992 JUN 3</t>
  </si>
  <si>
    <t>1992 JUN 14</t>
  </si>
  <si>
    <t>1992 JUL 1</t>
  </si>
  <si>
    <t>1992 JUL 17</t>
  </si>
  <si>
    <t>1992 JUL 31</t>
  </si>
  <si>
    <t>1992 AUG 17</t>
  </si>
  <si>
    <t>1992 AUG 30</t>
  </si>
  <si>
    <t>1992 SEP 17</t>
  </si>
  <si>
    <t>1992 SEP 29</t>
  </si>
  <si>
    <t>1992 OCT 17</t>
  </si>
  <si>
    <t>1992 OCT 28</t>
  </si>
  <si>
    <t>1992 NOV 15</t>
  </si>
  <si>
    <t>1992 NOV 28</t>
  </si>
  <si>
    <t>1992 DEC 16</t>
  </si>
  <si>
    <t>1992 DEC 29</t>
  </si>
  <si>
    <t>1993 JAN 16</t>
  </si>
  <si>
    <t>1993 JAN 31</t>
  </si>
  <si>
    <t>1993 MAR 20</t>
  </si>
  <si>
    <t>1993 APR 6</t>
  </si>
  <si>
    <t>1993 APR 24</t>
  </si>
  <si>
    <t>1993 MAY 10</t>
  </si>
  <si>
    <t>1993 MAY 25</t>
  </si>
  <si>
    <t>1993 JUN 10</t>
  </si>
  <si>
    <t>1993 JUN 25</t>
  </si>
  <si>
    <t>1993 JUL 12</t>
  </si>
  <si>
    <t>1993 JUL 25</t>
  </si>
  <si>
    <t>1993 AUG 11</t>
  </si>
  <si>
    <t>1993 AUG 23</t>
  </si>
  <si>
    <t>1993 SEP 9</t>
  </si>
  <si>
    <t>1993 SEP 22</t>
  </si>
  <si>
    <t>1993 OCT 11</t>
  </si>
  <si>
    <t>1993 OCT 22</t>
  </si>
  <si>
    <t>1993 NOV 10</t>
  </si>
  <si>
    <t>1993 NOV 22</t>
  </si>
  <si>
    <t>1993 DEC 9</t>
  </si>
  <si>
    <t>1993 DEC 27</t>
  </si>
  <si>
    <t>1994 JAN 8</t>
  </si>
  <si>
    <t>1994 JAN 28</t>
  </si>
  <si>
    <t>1994 MAR 17</t>
  </si>
  <si>
    <t>1994 APR 9</t>
  </si>
  <si>
    <t>1994 APR 25</t>
  </si>
  <si>
    <t>1994 MAY 11</t>
  </si>
  <si>
    <t>1994 MAY 30</t>
  </si>
  <si>
    <t>1994 JUN 11</t>
  </si>
  <si>
    <t>1994 JUN 28</t>
  </si>
  <si>
    <t>1994 JUL 11</t>
  </si>
  <si>
    <t>1994 JUL 28</t>
  </si>
  <si>
    <t>1994 AUG 9</t>
  </si>
  <si>
    <t>1994 AUG 26</t>
  </si>
  <si>
    <t>1994 SEP 8</t>
  </si>
  <si>
    <t>1994 SEP 25</t>
  </si>
  <si>
    <t>1994 OCT 9</t>
  </si>
  <si>
    <t>1994 OCT 26</t>
  </si>
  <si>
    <t>1994 NOV 7</t>
  </si>
  <si>
    <t>1994 NOV 25</t>
  </si>
  <si>
    <t>1994 DEC 8</t>
  </si>
  <si>
    <t>1994 DEC 25</t>
  </si>
  <si>
    <t>1995 JAN 8</t>
  </si>
  <si>
    <t>1995 JAN 23</t>
  </si>
  <si>
    <t>1995 FEB 11</t>
  </si>
  <si>
    <t>1995 MAR 14</t>
  </si>
  <si>
    <t>1995 APR 6</t>
  </si>
  <si>
    <t>1995 APR 21</t>
  </si>
  <si>
    <t>1995 MAY 5</t>
  </si>
  <si>
    <t>1995 MAY 27</t>
  </si>
  <si>
    <t>1995 JUN 16</t>
  </si>
  <si>
    <t>1995 JUN 29</t>
  </si>
  <si>
    <t>1995 JUL 18</t>
  </si>
  <si>
    <t>1995 JUL 30</t>
  </si>
  <si>
    <t>1995 AUG 15</t>
  </si>
  <si>
    <t>1995 AUG 28</t>
  </si>
  <si>
    <t>1995 SEP 16</t>
  </si>
  <si>
    <t>1995 SEP 28</t>
  </si>
  <si>
    <t>1995 OCT 16</t>
  </si>
  <si>
    <t>1995 OCT 30</t>
  </si>
  <si>
    <t>1995 NOV 17</t>
  </si>
  <si>
    <t>1995 NOV 28</t>
  </si>
  <si>
    <t>1995 DEC 14</t>
  </si>
  <si>
    <t>1995 DEC 29</t>
  </si>
  <si>
    <t>1996 JAN 14</t>
  </si>
  <si>
    <t>1996 JAN 27</t>
  </si>
  <si>
    <t>1996 FEB 8</t>
  </si>
  <si>
    <t>1996 MAR 14</t>
  </si>
  <si>
    <t>1996 APR 19</t>
  </si>
  <si>
    <t>1996 MAY 1</t>
  </si>
  <si>
    <t>1996 MAY 17</t>
  </si>
  <si>
    <t>1996 JUN 6</t>
  </si>
  <si>
    <t>1996 JUN 18</t>
  </si>
  <si>
    <t>1996 JUL 12</t>
  </si>
  <si>
    <t>1996 JUL 21</t>
  </si>
  <si>
    <t>1996 AUG 8</t>
  </si>
  <si>
    <t>1996 AUG 22</t>
  </si>
  <si>
    <t>1996 SEP 9</t>
  </si>
  <si>
    <t>1996 SEP 22</t>
  </si>
  <si>
    <t>1996 OCT 9</t>
  </si>
  <si>
    <t>1996 OCT 24</t>
  </si>
  <si>
    <t>1996 NOV 8</t>
  </si>
  <si>
    <t>1996 NOV 24</t>
  </si>
  <si>
    <t>1996 DEC 8</t>
  </si>
  <si>
    <t>1996 DEC 27</t>
  </si>
  <si>
    <t>1997 JAN 13</t>
  </si>
  <si>
    <t>1997 JAN 28</t>
  </si>
  <si>
    <t>1997 FEB 7</t>
  </si>
  <si>
    <t>1997 MAR 15</t>
  </si>
  <si>
    <t>1997 APR 7</t>
  </si>
  <si>
    <t>1997 MAY 4</t>
  </si>
  <si>
    <t>1997 MAY 17</t>
  </si>
  <si>
    <t>1997 JUN 2</t>
  </si>
  <si>
    <t>1997 JUN 15</t>
  </si>
  <si>
    <t>1997 JUL 4</t>
  </si>
  <si>
    <t>1997 JUL 15</t>
  </si>
  <si>
    <t>1997 AUG 1</t>
  </si>
  <si>
    <t>1997 AUG 16</t>
  </si>
  <si>
    <t>1997 SEP 1</t>
  </si>
  <si>
    <t>1997 SEP 17</t>
  </si>
  <si>
    <t>1997 OCT 1</t>
  </si>
  <si>
    <t>1997 OCT 18</t>
  </si>
  <si>
    <t>1997 OCT 29</t>
  </si>
  <si>
    <t>1997 NOV 16</t>
  </si>
  <si>
    <t>1997 DEC 1</t>
  </si>
  <si>
    <t>1997 DEC 17</t>
  </si>
  <si>
    <t>1998 JAN 1</t>
  </si>
  <si>
    <t>1998 JAN 17</t>
  </si>
  <si>
    <t>1998 JAN 29</t>
  </si>
  <si>
    <t>1998 MAR 3</t>
  </si>
  <si>
    <t>1998 MAR 26</t>
  </si>
  <si>
    <t>1998 APR 13</t>
  </si>
  <si>
    <t>1998 APR 28</t>
  </si>
  <si>
    <t>1998 MAY 14</t>
  </si>
  <si>
    <t>1998 MAY 31</t>
  </si>
  <si>
    <t>1998 JUN 18</t>
  </si>
  <si>
    <t>1998 JUN 30</t>
  </si>
  <si>
    <t>1998 JUL 21</t>
  </si>
  <si>
    <t>1998 AUG 3</t>
  </si>
  <si>
    <t>1998 AUG 19</t>
  </si>
  <si>
    <t>1998 SEP 2</t>
  </si>
  <si>
    <t>1998 SEP 19</t>
  </si>
  <si>
    <t>1998 OCT 3</t>
  </si>
  <si>
    <t>1998 OCT 19</t>
  </si>
  <si>
    <t>1998 NOV 2</t>
  </si>
  <si>
    <t>1998 NOV 16</t>
  </si>
  <si>
    <t>1998 DEC 3</t>
  </si>
  <si>
    <t>1998 DEC 17</t>
  </si>
  <si>
    <t>1999 JAN 3</t>
  </si>
  <si>
    <t>1999 JAN 16</t>
  </si>
  <si>
    <t>1999 JAN 30</t>
  </si>
  <si>
    <t>1999 FEB 12</t>
  </si>
  <si>
    <t>1999 APR 15</t>
  </si>
  <si>
    <t>1999 APR 25</t>
  </si>
  <si>
    <t>1999 MAY 18</t>
  </si>
  <si>
    <t>1999 JUN 2</t>
  </si>
  <si>
    <t>1999 JUN 17</t>
  </si>
  <si>
    <t>1999 JUL 3</t>
  </si>
  <si>
    <t>1999 JUL 17</t>
  </si>
  <si>
    <t>1999 AUG 2</t>
  </si>
  <si>
    <t>1999 AUG 16</t>
  </si>
  <si>
    <t>1999 SEP 3</t>
  </si>
  <si>
    <t>1999 SEP 14</t>
  </si>
  <si>
    <t>1999 OCT 2</t>
  </si>
  <si>
    <t>1999 OCT 15</t>
  </si>
  <si>
    <t>1999 NOV 2</t>
  </si>
  <si>
    <t>1999 NOV 15</t>
  </si>
  <si>
    <t>1999 DEC 2</t>
  </si>
  <si>
    <t>1999 DEC 16</t>
  </si>
  <si>
    <t>2000 JAN 2</t>
  </si>
  <si>
    <t>2000 JAN 13</t>
  </si>
  <si>
    <t>2000 JAN 29</t>
  </si>
  <si>
    <t>2000 MAR 16</t>
  </si>
  <si>
    <t>2000 APR 10</t>
  </si>
  <si>
    <t>2000 MAY 2</t>
  </si>
  <si>
    <t>2000 MAY 16</t>
  </si>
  <si>
    <t>2000 JUN 6</t>
  </si>
  <si>
    <t>2000 JUN 22</t>
  </si>
  <si>
    <t>2000 JUL 7</t>
  </si>
  <si>
    <t>2000 JUL 24</t>
  </si>
  <si>
    <t>2000 AUG 7</t>
  </si>
  <si>
    <t>2000 AUG 24</t>
  </si>
  <si>
    <t>2000 SEP 6</t>
  </si>
  <si>
    <t>2000 SEP 25</t>
  </si>
  <si>
    <t>2000 OCT 9</t>
  </si>
  <si>
    <t>2000 OCT 24</t>
  </si>
  <si>
    <t>2000 NOV 7</t>
  </si>
  <si>
    <t>2000 NOV 23</t>
  </si>
  <si>
    <t>2000 DEC 9</t>
  </si>
  <si>
    <t>2000 DEC 25</t>
  </si>
  <si>
    <t>2001 JAN 11</t>
  </si>
  <si>
    <t>2001 JAN 23</t>
  </si>
  <si>
    <t>2001 APR 6</t>
  </si>
  <si>
    <t>2001 APR 27</t>
  </si>
  <si>
    <t>2001 MAY 15</t>
  </si>
  <si>
    <t>2001 MAY 26</t>
  </si>
  <si>
    <t>2001 JUN 16</t>
  </si>
  <si>
    <t>2001 JUN 29</t>
  </si>
  <si>
    <t>2001 JUL 16</t>
  </si>
  <si>
    <t>2001 JUL 30</t>
  </si>
  <si>
    <t>2001 AUG 15</t>
  </si>
  <si>
    <t>2001 AUG 29</t>
  </si>
  <si>
    <t>2001 SEP 16</t>
  </si>
  <si>
    <t>2001 OCT 3</t>
  </si>
  <si>
    <t>2001 OCT 14</t>
  </si>
  <si>
    <t>2001 OCT 31</t>
  </si>
  <si>
    <t>2001 NOV 14</t>
  </si>
  <si>
    <t>2001 DEC 2</t>
  </si>
  <si>
    <t>2001 DEC 14</t>
  </si>
  <si>
    <t>2002 JAN 1</t>
  </si>
  <si>
    <t>2002 JAN 14</t>
  </si>
  <si>
    <t>2002 JAN 31</t>
  </si>
  <si>
    <t>2002 MAR 10</t>
  </si>
  <si>
    <t>2002 APR 10</t>
  </si>
  <si>
    <t>2002 MAY 3</t>
  </si>
  <si>
    <t>2002 MAY 15</t>
  </si>
  <si>
    <t>2002 JUN 7</t>
  </si>
  <si>
    <t>2002 JUN 24</t>
  </si>
  <si>
    <t>2002 JUL 10</t>
  </si>
  <si>
    <t>2002 JUL 25</t>
  </si>
  <si>
    <t>2002 AUG 9</t>
  </si>
  <si>
    <t>2002 AUG 24</t>
  </si>
  <si>
    <t>2002 SEP 8</t>
  </si>
  <si>
    <t>2002 SEP 25</t>
  </si>
  <si>
    <t>2002 OCT 6</t>
  </si>
  <si>
    <t>2002 OCT 25</t>
  </si>
  <si>
    <t>2002 NOV 8</t>
  </si>
  <si>
    <t>2002 NOV 24</t>
  </si>
  <si>
    <t>2002 DEC 8</t>
  </si>
  <si>
    <t>2002 DEC 23</t>
  </si>
  <si>
    <t>2003 JAN 7</t>
  </si>
  <si>
    <t>2003 JAN 24</t>
  </si>
  <si>
    <t>2003 FEB 1</t>
  </si>
  <si>
    <t>2003 MAR 30</t>
  </si>
  <si>
    <t>2003 APR 12</t>
  </si>
  <si>
    <t>2003 MAY 5</t>
  </si>
  <si>
    <t>2003 JUN 2</t>
  </si>
  <si>
    <t>2003 JUN 19</t>
  </si>
  <si>
    <t>2003 JUL 2</t>
  </si>
  <si>
    <t>2003 JUL 17</t>
  </si>
  <si>
    <t>2003 AUG 2</t>
  </si>
  <si>
    <t>2003 AUG 18</t>
  </si>
  <si>
    <t>2003 SEP 1</t>
  </si>
  <si>
    <t>2003 SEP 18</t>
  </si>
  <si>
    <t>2003 SEP 30</t>
  </si>
  <si>
    <t>2003 OCT 17</t>
  </si>
  <si>
    <t>2003 OCT 30</t>
  </si>
  <si>
    <t>2003 NOV 15</t>
  </si>
  <si>
    <t>2003 NOV 30</t>
  </si>
  <si>
    <t>2003 DEC 16</t>
  </si>
  <si>
    <t>2003 DEC 27</t>
  </si>
  <si>
    <t>2004 JAN 16</t>
  </si>
  <si>
    <t>2004 JAN 26</t>
  </si>
  <si>
    <t>2004 FEB 19</t>
  </si>
  <si>
    <t>2004 MAR 26</t>
  </si>
  <si>
    <t>2004 APR 17</t>
  </si>
  <si>
    <t>2004 MAY 21</t>
  </si>
  <si>
    <t>2004 JUN 10</t>
  </si>
  <si>
    <t>2004 JUN 23</t>
  </si>
  <si>
    <t>2004 JUL 12</t>
  </si>
  <si>
    <t>2004 JUL 24</t>
  </si>
  <si>
    <t>2004 AUG 11</t>
  </si>
  <si>
    <t>2004 AUG 25</t>
  </si>
  <si>
    <t>2004 SEP 10</t>
  </si>
  <si>
    <t>2004 SEP 23</t>
  </si>
  <si>
    <t>2004 OCT 9</t>
  </si>
  <si>
    <t>2004 OCT 23</t>
  </si>
  <si>
    <t>2004 NOV 9</t>
  </si>
  <si>
    <t>2004 NOV 26</t>
  </si>
  <si>
    <t>2004 DEC 9</t>
  </si>
  <si>
    <t>2004 DEC 24</t>
  </si>
  <si>
    <t>2005 JAN 11</t>
  </si>
  <si>
    <t>2005 JAN 23</t>
  </si>
  <si>
    <t>2005 MAR 27</t>
  </si>
  <si>
    <t>2005 APR 16</t>
  </si>
  <si>
    <t>2005 MAY 6</t>
  </si>
  <si>
    <t>2005 MAY 19</t>
  </si>
  <si>
    <t>2005 JUN 5</t>
  </si>
  <si>
    <t>2005 JUN 23</t>
  </si>
  <si>
    <t>2005 JUL 8</t>
  </si>
  <si>
    <t>2005 JUL 24</t>
  </si>
  <si>
    <t>2005 AUG 8</t>
  </si>
  <si>
    <t>2005 AUG 24</t>
  </si>
  <si>
    <t>2005 SEP 6</t>
  </si>
  <si>
    <t>2005 SEP 24</t>
  </si>
  <si>
    <t>2005 OCT 7</t>
  </si>
  <si>
    <t>2005 OCT 25</t>
  </si>
  <si>
    <t>2005 NOV 5</t>
  </si>
  <si>
    <t>2005 NOV 23</t>
  </si>
  <si>
    <t>2005 DEC 7</t>
  </si>
  <si>
    <t>2005 DEC 23</t>
  </si>
  <si>
    <t>2006 JAN 10</t>
  </si>
  <si>
    <t>2006 JAN 24</t>
  </si>
  <si>
    <t>2006 MAR 14</t>
  </si>
  <si>
    <t>2006 APR 4</t>
  </si>
  <si>
    <t>2006 APR 22</t>
  </si>
  <si>
    <t>2006 MAY 8</t>
  </si>
  <si>
    <t>2006 MAY 29</t>
  </si>
  <si>
    <t>2006 JUN 14</t>
  </si>
  <si>
    <t>2006 JUL 2</t>
  </si>
  <si>
    <t>2006 JUL 17</t>
  </si>
  <si>
    <t>2006 JUL 30</t>
  </si>
  <si>
    <t>2006 AUG 17</t>
  </si>
  <si>
    <t>2006 AUG 31</t>
  </si>
  <si>
    <t>2006 SEP 15</t>
  </si>
  <si>
    <t>2006 SEP 30</t>
  </si>
  <si>
    <t>2006 OCT 15</t>
  </si>
  <si>
    <t>2006 OCT 30</t>
  </si>
  <si>
    <t>2006 NOV 14</t>
  </si>
  <si>
    <t>2006 NOV 29</t>
  </si>
  <si>
    <t>2006 DEC 15</t>
  </si>
  <si>
    <t>2006 DEC 31</t>
  </si>
  <si>
    <t>2007 JAN 15</t>
  </si>
  <si>
    <t>2007 FEB 2</t>
  </si>
  <si>
    <t>2007 MAR 24</t>
  </si>
  <si>
    <t>2007 APR 16</t>
  </si>
  <si>
    <t>2007 APR 28</t>
  </si>
  <si>
    <t>2007 MAY 14</t>
  </si>
  <si>
    <t>2007 JUN 3</t>
  </si>
  <si>
    <t>2007 JUN 19</t>
  </si>
  <si>
    <t>2007 JUL 8</t>
  </si>
  <si>
    <t>2007 JUL 20</t>
  </si>
  <si>
    <t>2007 AUG 5</t>
  </si>
  <si>
    <t>2007 AUG 19</t>
  </si>
  <si>
    <t>2007 SEP 6</t>
  </si>
  <si>
    <t>2007 SEP 18</t>
  </si>
  <si>
    <t>2007 OCT 5</t>
  </si>
  <si>
    <t>2007 OCT 19</t>
  </si>
  <si>
    <t>2007 NOV 5</t>
  </si>
  <si>
    <t>2007 NOV 21</t>
  </si>
  <si>
    <t>2007 DEC 6</t>
  </si>
  <si>
    <t>2007 DEC 21</t>
  </si>
  <si>
    <t>2008 JAN 6</t>
  </si>
  <si>
    <t>2008 JAN 26</t>
  </si>
  <si>
    <t>2008 FEB 3</t>
  </si>
  <si>
    <t>2008 MAR 8</t>
  </si>
  <si>
    <t>2008 MAR 25</t>
  </si>
  <si>
    <t>2008 APR 9</t>
  </si>
  <si>
    <t>2008 APR 29</t>
  </si>
  <si>
    <t>2008 MAY 11</t>
  </si>
  <si>
    <t>2008 JUN 2</t>
  </si>
  <si>
    <t>2008 JUN 15</t>
  </si>
  <si>
    <t>2008 JUL 2</t>
  </si>
  <si>
    <t>2008 JUL 16</t>
  </si>
  <si>
    <t>2008 AUG 1</t>
  </si>
  <si>
    <t>2008 AUG 15</t>
  </si>
  <si>
    <t>2008 SEP 1</t>
  </si>
  <si>
    <t>2008 SEP 16</t>
  </si>
  <si>
    <t>2008 OCT 2</t>
  </si>
  <si>
    <t>2008 OCT 19</t>
  </si>
  <si>
    <t>2008 OCT 30</t>
  </si>
  <si>
    <t>2008 NOV 16</t>
  </si>
  <si>
    <t>2008 NOV 30</t>
  </si>
  <si>
    <t>2008 DEC 16</t>
  </si>
  <si>
    <t>2008 DEC 31</t>
  </si>
  <si>
    <t>2009 JAN 17</t>
  </si>
  <si>
    <t>2009 JAN 26</t>
  </si>
  <si>
    <t>2009 MAR 30</t>
  </si>
  <si>
    <t>2009 APR 20</t>
  </si>
  <si>
    <t>2009 MAY 1</t>
  </si>
  <si>
    <t>2009 MAY 24</t>
  </si>
  <si>
    <t>2009 JUN 4</t>
  </si>
  <si>
    <t>2009 JUN 23</t>
  </si>
  <si>
    <t>2009 JUL 12</t>
  </si>
  <si>
    <t>2009 JUL 26</t>
  </si>
  <si>
    <t>2009 AUG 16</t>
  </si>
  <si>
    <t>2009 AUG 26</t>
  </si>
  <si>
    <t>2009 SEP 13</t>
  </si>
  <si>
    <t>2009 SEP 25</t>
  </si>
  <si>
    <t>2009 OCT 13</t>
  </si>
  <si>
    <t>2009 OCT 27</t>
  </si>
  <si>
    <t>2009 NOV 14</t>
  </si>
  <si>
    <t>2009 NOV 27</t>
  </si>
  <si>
    <t>2009 DEC 13</t>
  </si>
  <si>
    <t>2009 DEC 29</t>
  </si>
  <si>
    <t>2010 JAN 13</t>
  </si>
  <si>
    <t>2010 FEB 12</t>
  </si>
  <si>
    <t>2010 MAR 10</t>
  </si>
  <si>
    <t>2010 APR 15</t>
  </si>
  <si>
    <t>2010 APR 30</t>
  </si>
  <si>
    <t>2010 MAY 20</t>
  </si>
  <si>
    <t>2010 JUN 6</t>
  </si>
  <si>
    <t>2010 JUN 19</t>
  </si>
  <si>
    <t>2010 JUL 7</t>
  </si>
  <si>
    <t>2010 JUL 18</t>
  </si>
  <si>
    <t>2010 AUG 6</t>
  </si>
  <si>
    <t>2010 AUG 18</t>
  </si>
  <si>
    <t>2010 SEP 3</t>
  </si>
  <si>
    <t>2010 SEP 16</t>
  </si>
  <si>
    <t>2010 OCT 6</t>
  </si>
  <si>
    <t>2010 OCT 20</t>
  </si>
  <si>
    <t>2010 NOV 4</t>
  </si>
  <si>
    <t>2010 NOV 18</t>
  </si>
  <si>
    <t>2010 DEC 4</t>
  </si>
  <si>
    <t>2010 DEC 19</t>
  </si>
  <si>
    <t>2011 JAN 6</t>
  </si>
  <si>
    <t>2011 JAN 19</t>
  </si>
  <si>
    <t>2011 JAN 31</t>
  </si>
  <si>
    <t>2011 MAR 15</t>
  </si>
  <si>
    <t>2011 MAR 31</t>
  </si>
  <si>
    <t>2011 APR 13</t>
  </si>
  <si>
    <t>2011 MAY 1</t>
  </si>
  <si>
    <t>2011 MAY 19</t>
  </si>
  <si>
    <t>2011 JUN 1</t>
  </si>
  <si>
    <t>2011 JUN 22</t>
  </si>
  <si>
    <t>2011 JUL 3</t>
  </si>
  <si>
    <t>2011 JUL 22</t>
  </si>
  <si>
    <t>2011 AUG 4</t>
  </si>
  <si>
    <t>2011 AUG 23</t>
  </si>
  <si>
    <t>2011 SEP 6</t>
  </si>
  <si>
    <t>2011 SEP 25</t>
  </si>
  <si>
    <t>2011 OCT 7</t>
  </si>
  <si>
    <t>2011 OCT 23</t>
  </si>
  <si>
    <t>2011 NOV 8</t>
  </si>
  <si>
    <t>2011 NOV 24</t>
  </si>
  <si>
    <t>2011 DEC 11</t>
  </si>
  <si>
    <t>2011 DEC 25</t>
  </si>
  <si>
    <t>2012 JAN 13</t>
  </si>
  <si>
    <t>2012 JAN 29</t>
  </si>
  <si>
    <t>2012 FEB 11</t>
  </si>
  <si>
    <t>2012 MAR 26</t>
  </si>
  <si>
    <t>2012 APR 15</t>
  </si>
  <si>
    <t>2012 APR 30</t>
  </si>
  <si>
    <t>2012 MAY 20</t>
  </si>
  <si>
    <t>2012 MAY 31</t>
  </si>
  <si>
    <t>2012 JUN 19</t>
  </si>
  <si>
    <t>2012 JUL 7</t>
  </si>
  <si>
    <t>2012 JUL 22</t>
  </si>
  <si>
    <t>2012 AUG 9</t>
  </si>
  <si>
    <t>2012 AUG 21</t>
  </si>
  <si>
    <t>2012 SEP 9</t>
  </si>
  <si>
    <t>2012 SEP 21</t>
  </si>
  <si>
    <t>2012 OCT 9</t>
  </si>
  <si>
    <t>2012 OCT 21</t>
  </si>
  <si>
    <t>2012 NOV 8</t>
  </si>
  <si>
    <t>2012 NOV 24</t>
  </si>
  <si>
    <t>2012 DEC 9</t>
  </si>
  <si>
    <t>2012 DEC 25</t>
  </si>
  <si>
    <t>2013 JAN 7</t>
  </si>
  <si>
    <t>2013 FEB 1</t>
  </si>
  <si>
    <t>2013 APR 7</t>
  </si>
  <si>
    <t>2013 APR 23</t>
  </si>
  <si>
    <t>2013 MAY 14</t>
  </si>
  <si>
    <t>2013 JUN 2</t>
  </si>
  <si>
    <t>2013 JUN 15</t>
  </si>
  <si>
    <t>2013 JUL 3</t>
  </si>
  <si>
    <t>2013 JUL 16</t>
  </si>
  <si>
    <t>2013 AUG 2</t>
  </si>
  <si>
    <t>2013 AUG 15</t>
  </si>
  <si>
    <t>2013 SEP 2</t>
  </si>
  <si>
    <t>2013 SEP 16</t>
  </si>
  <si>
    <t>2013 OCT 3</t>
  </si>
  <si>
    <t>2013 OCT 18</t>
  </si>
  <si>
    <t>2013 NOV 1</t>
  </si>
  <si>
    <t>2013 NOV 16</t>
  </si>
  <si>
    <t>2013 DEC 2</t>
  </si>
  <si>
    <t>2013 DEC 31</t>
  </si>
  <si>
    <t>2014 JAN 17</t>
  </si>
  <si>
    <t>2014 JAN 25</t>
  </si>
  <si>
    <t>2014 MAR 29</t>
  </si>
  <si>
    <t>2014 APR 14</t>
  </si>
  <si>
    <t>2014 APR 30</t>
  </si>
  <si>
    <t>2014 MAY 25</t>
  </si>
  <si>
    <t>2014 JUN 13</t>
  </si>
  <si>
    <t>2014 JUL 1</t>
  </si>
  <si>
    <t>2014 JUL 18</t>
  </si>
  <si>
    <t>2014 JUL 29</t>
  </si>
  <si>
    <t>2014 AUG 17</t>
  </si>
  <si>
    <t>2014 SEP 16</t>
  </si>
  <si>
    <t>2014 OCT 28</t>
  </si>
  <si>
    <t>2014 NOV 15</t>
  </si>
  <si>
    <t>2014 NOV 29</t>
  </si>
  <si>
    <t>2014 DEC 17</t>
  </si>
  <si>
    <t>2015 JAN 13</t>
  </si>
  <si>
    <t>2015 JAN 29</t>
  </si>
  <si>
    <t>2015 MAR 28</t>
  </si>
  <si>
    <t>2015 APR 19</t>
  </si>
  <si>
    <t>2015 MAY 5</t>
  </si>
  <si>
    <t>2015 JUN 12</t>
  </si>
  <si>
    <t>2015 SEP 11</t>
  </si>
  <si>
    <t>2015 NOV 11</t>
  </si>
  <si>
    <t>2015 DEC 28</t>
  </si>
  <si>
    <t>2016 JAN 11</t>
  </si>
  <si>
    <t>2016 JAN 24</t>
  </si>
  <si>
    <t>2016 FEB 8</t>
  </si>
  <si>
    <t>2016 MAR 28</t>
  </si>
  <si>
    <t>2016 APR 13</t>
  </si>
  <si>
    <t>2016 APR 26</t>
  </si>
  <si>
    <t>2016 MAY 10</t>
  </si>
  <si>
    <t>2016 MAY 29</t>
  </si>
  <si>
    <t>2016 JUN 11</t>
  </si>
  <si>
    <t>2016 JUL 14</t>
  </si>
  <si>
    <t>2016 AUG 28</t>
  </si>
  <si>
    <t>2016 SEP 11</t>
  </si>
  <si>
    <t>2016 SEP 29</t>
  </si>
  <si>
    <t>2016 OCT 13</t>
  </si>
  <si>
    <t>2016 OCT 28</t>
  </si>
  <si>
    <t>2016 NOV 13</t>
  </si>
  <si>
    <t>2016 NOV 29</t>
  </si>
  <si>
    <t>2016 DEC 14</t>
  </si>
  <si>
    <t>2016 DEC 27</t>
  </si>
  <si>
    <t>2001 SEP 21</t>
  </si>
  <si>
    <t>2001 DEC 8</t>
  </si>
  <si>
    <t>2001 DEC 10</t>
  </si>
  <si>
    <t>2001 DEC 20</t>
  </si>
  <si>
    <t>2003 SEP 27</t>
  </si>
  <si>
    <t>2004 SEP 28</t>
  </si>
  <si>
    <t>2004 OCT 24</t>
  </si>
  <si>
    <t>2004 NOV 5</t>
  </si>
  <si>
    <t>2004 DEC 6</t>
  </si>
  <si>
    <t>2004 DEC 12</t>
  </si>
  <si>
    <t>2004 DEC 14</t>
  </si>
  <si>
    <t>2005 AUG 11</t>
  </si>
  <si>
    <t>2005 AUG 30</t>
  </si>
  <si>
    <t>2005 SEP 16</t>
  </si>
  <si>
    <t>2006 JUL 23</t>
  </si>
  <si>
    <t>2009 OCT 24</t>
  </si>
  <si>
    <t>2010 NOV 5</t>
  </si>
  <si>
    <t>2010 NOV 13</t>
  </si>
  <si>
    <t>2011 AUG 5</t>
  </si>
  <si>
    <t>2011 AUG 18</t>
  </si>
  <si>
    <t>2011 AUG 20</t>
  </si>
  <si>
    <t>2011 AUG 25</t>
  </si>
  <si>
    <t>2011 AUG 29</t>
  </si>
  <si>
    <t>2011 SEP 14</t>
  </si>
  <si>
    <t>2011 SEP 15</t>
  </si>
  <si>
    <t>2011 SEP 17</t>
  </si>
  <si>
    <t>2011 SEP 19</t>
  </si>
  <si>
    <t>2011 SEP 20</t>
  </si>
  <si>
    <t>2011 SEP 22</t>
  </si>
  <si>
    <t>2011 SEP 26</t>
  </si>
  <si>
    <t>2011 SEP 27</t>
  </si>
  <si>
    <t>2011 SEP 29</t>
  </si>
  <si>
    <t>2011 OCT 2</t>
  </si>
  <si>
    <t>2011 OCT 4</t>
  </si>
  <si>
    <t>2011 OCT 12</t>
  </si>
  <si>
    <t>2011 OCT 16</t>
  </si>
  <si>
    <t>2011 OCT 21</t>
  </si>
  <si>
    <t>2011 OCT 26</t>
  </si>
  <si>
    <t>2011 NOV 1</t>
  </si>
  <si>
    <t>2011 NOV 11</t>
  </si>
  <si>
    <t>2011 NOV 17</t>
  </si>
  <si>
    <t>2011 DEC 27</t>
  </si>
  <si>
    <t>2012 JUN 27</t>
  </si>
  <si>
    <t>2012 JUN 30</t>
  </si>
  <si>
    <t>2012 JUL 15</t>
  </si>
  <si>
    <t>2012 JUL 18</t>
  </si>
  <si>
    <t>2012 JUL 29</t>
  </si>
  <si>
    <t>2012 JUL 30</t>
  </si>
  <si>
    <t>2012 AUG 7</t>
  </si>
  <si>
    <t>2012 AUG 11</t>
  </si>
  <si>
    <t>2012 AUG 14</t>
  </si>
  <si>
    <t>2012 AUG 17</t>
  </si>
  <si>
    <t>2012 AUG 23</t>
  </si>
  <si>
    <t>2012 AUG 27</t>
  </si>
  <si>
    <t>2012 AUG 29</t>
  </si>
  <si>
    <t>2012 SEP 5</t>
  </si>
  <si>
    <t>2012 SEP 8</t>
  </si>
  <si>
    <t>2012 SEP 12</t>
  </si>
  <si>
    <t>2012 SEP 14</t>
  </si>
  <si>
    <t>2012 OCT 23</t>
  </si>
  <si>
    <t>2012 NOV 7</t>
  </si>
  <si>
    <t>2012 NOV 15</t>
  </si>
  <si>
    <t>2012 NOV 16</t>
  </si>
  <si>
    <t>2013 JUN 19</t>
  </si>
  <si>
    <t>2013 JUL 2</t>
  </si>
  <si>
    <t>2013 JUL 14</t>
  </si>
  <si>
    <t>2013 JUL 26</t>
  </si>
  <si>
    <t>2013 JUL 31</t>
  </si>
  <si>
    <t>2013 AUG 4</t>
  </si>
  <si>
    <t>2013 AUG 6</t>
  </si>
  <si>
    <t>2013 AUG 11</t>
  </si>
  <si>
    <t>2013 AUG 16</t>
  </si>
  <si>
    <t>2013 AUG 26</t>
  </si>
  <si>
    <t>2013 AUG 31</t>
  </si>
  <si>
    <t>2013 SEP 3</t>
  </si>
  <si>
    <t>2013 SEP 18</t>
  </si>
  <si>
    <t>2013 SEP 23</t>
  </si>
  <si>
    <t>2013 SEP 28</t>
  </si>
  <si>
    <t>2013 OCT 1</t>
  </si>
  <si>
    <t>2013 OCT 5</t>
  </si>
  <si>
    <t>2013 OCT 29</t>
  </si>
  <si>
    <t>2013 NOV 7</t>
  </si>
  <si>
    <t>2015 SEP 8</t>
  </si>
  <si>
    <t>2016 DEC 21</t>
  </si>
  <si>
    <t>2011 AUG 28</t>
  </si>
  <si>
    <t>2011 SEP 16</t>
  </si>
  <si>
    <t>2012 JUL 28</t>
  </si>
  <si>
    <t>2012 AUG 8</t>
  </si>
  <si>
    <t>2012 AUG 10</t>
  </si>
  <si>
    <t>V</t>
  </si>
  <si>
    <t>Vis</t>
  </si>
  <si>
    <t>B</t>
  </si>
  <si>
    <t>B-V</t>
  </si>
  <si>
    <t>2017 JAN 19</t>
  </si>
  <si>
    <t>2017 MAY 3</t>
  </si>
  <si>
    <t>2017 MAY 4</t>
  </si>
  <si>
    <t>2017 JUN 10</t>
  </si>
  <si>
    <t>2017 JUN 12</t>
  </si>
  <si>
    <t>2017 JUN 19</t>
  </si>
  <si>
    <t>2017 JUN 21</t>
  </si>
  <si>
    <t>2017 JUN 25</t>
  </si>
  <si>
    <t>2017 JUL 4</t>
  </si>
  <si>
    <t>2017 JUL 6</t>
  </si>
  <si>
    <t>2017 JUL 16</t>
  </si>
  <si>
    <t>2017 JUL 20</t>
  </si>
  <si>
    <t>2017 JUL 21</t>
  </si>
  <si>
    <t>2017 JUL 25</t>
  </si>
  <si>
    <t>2017 JUL 26</t>
  </si>
  <si>
    <t>2017 JUL 27</t>
  </si>
  <si>
    <t>2017 AUG 1</t>
  </si>
  <si>
    <t>2017 AUG 7</t>
  </si>
  <si>
    <t>2017 AUG 9</t>
  </si>
  <si>
    <t>2017 AUG 10</t>
  </si>
  <si>
    <t>2017 AUG 14</t>
  </si>
  <si>
    <t>2017 AUG 16</t>
  </si>
  <si>
    <t>2017 AUG 17</t>
  </si>
  <si>
    <t>2017 AUG 29</t>
  </si>
  <si>
    <t>2017 SEP 1</t>
  </si>
  <si>
    <t>2017 SEP 2</t>
  </si>
  <si>
    <t>2017 SEP 4</t>
  </si>
  <si>
    <t>2017 SEP 5</t>
  </si>
  <si>
    <t>2017 SEP 7</t>
  </si>
  <si>
    <t>2017 SEP 12</t>
  </si>
  <si>
    <t>2017 SEP 13</t>
  </si>
  <si>
    <t>2017 SEP 15</t>
  </si>
  <si>
    <t>2017 SEP 20</t>
  </si>
  <si>
    <t>2017 SEP 22</t>
  </si>
  <si>
    <t>2017 SEP 24</t>
  </si>
  <si>
    <t>2017 SEP 25</t>
  </si>
  <si>
    <t>2017 SEP 27</t>
  </si>
  <si>
    <t>2017 OCT 3</t>
  </si>
  <si>
    <t>2017 OCT 7</t>
  </si>
  <si>
    <t>2017 OCT 8</t>
  </si>
  <si>
    <t>2017 OCT 10</t>
  </si>
  <si>
    <t>2017 OCT 12</t>
  </si>
  <si>
    <t>2017 OCT 13</t>
  </si>
  <si>
    <t>2017 OCT 14</t>
  </si>
  <si>
    <t>2017 OCT 16</t>
  </si>
  <si>
    <t>2017 OCT 17</t>
  </si>
  <si>
    <t>2017 OCT 18</t>
  </si>
  <si>
    <t>2017 OCT 20</t>
  </si>
  <si>
    <t>2017 OCT 21</t>
  </si>
  <si>
    <t>2017 OCT 22</t>
  </si>
  <si>
    <t>2017 OCT 23</t>
  </si>
  <si>
    <t>2017 OCT 25</t>
  </si>
  <si>
    <t>2017 OCT 28</t>
  </si>
  <si>
    <t>2017 OCT 29</t>
  </si>
  <si>
    <t>2017 NOV 3</t>
  </si>
  <si>
    <t>2017 NOV 8</t>
  </si>
  <si>
    <t>2017 NOV 10</t>
  </si>
  <si>
    <t>2017 NOV 12</t>
  </si>
  <si>
    <t>2017 NOV 14</t>
  </si>
  <si>
    <t>2017 NOV 15</t>
  </si>
  <si>
    <t>2017 NOV 16</t>
  </si>
  <si>
    <t>2017 NOV 17</t>
  </si>
  <si>
    <t>2017 NOV 19</t>
  </si>
  <si>
    <t>2017 NOV 21</t>
  </si>
  <si>
    <t>2017 NOV 22</t>
  </si>
  <si>
    <t>2017 NOV 24</t>
  </si>
  <si>
    <t>2017 NOV 25</t>
  </si>
  <si>
    <t>2017 NOV 27</t>
  </si>
  <si>
    <t>2017 NOV 28</t>
  </si>
  <si>
    <t>2017 NOV 30</t>
  </si>
  <si>
    <t>2017 DEC 2</t>
  </si>
  <si>
    <t>2017 DEC 3</t>
  </si>
  <si>
    <t>2017 DEC 5</t>
  </si>
  <si>
    <t>2017 DEC 7</t>
  </si>
  <si>
    <t>2017 DEC 8</t>
  </si>
  <si>
    <t>2017 DEC 9</t>
  </si>
  <si>
    <t>2017 DEC 11</t>
  </si>
  <si>
    <t>2017 DEC 13</t>
  </si>
  <si>
    <t>2017 DEC 14</t>
  </si>
  <si>
    <t>2017 DEC 16</t>
  </si>
  <si>
    <t>2017 DEC 17</t>
  </si>
  <si>
    <t>2017 DEC 18</t>
  </si>
  <si>
    <t>2017 DEC 19</t>
  </si>
  <si>
    <t>2017 DEC 21</t>
  </si>
  <si>
    <t>2017 DEC 23</t>
  </si>
  <si>
    <t>2017 DEC 24</t>
  </si>
  <si>
    <t>2017 DEC 27</t>
  </si>
  <si>
    <t>2017 DEC 29</t>
  </si>
  <si>
    <t>2017 DEC 31</t>
  </si>
  <si>
    <t>2018 JAN 2</t>
  </si>
  <si>
    <t>2018 JAN 5</t>
  </si>
  <si>
    <t>JGF</t>
  </si>
  <si>
    <t>PIE-SP</t>
  </si>
  <si>
    <t>MUSSOL</t>
  </si>
  <si>
    <t>SCH</t>
  </si>
  <si>
    <t>DUR-FR</t>
  </si>
  <si>
    <t>T500+eShel+Atik460EX</t>
  </si>
  <si>
    <t>PIE-FR</t>
  </si>
  <si>
    <t>DBO</t>
  </si>
  <si>
    <t>WCO-UK</t>
  </si>
  <si>
    <t>C11+Lisa+SXVR-H694</t>
  </si>
  <si>
    <t>PSO</t>
  </si>
  <si>
    <t>TAT-HU</t>
  </si>
  <si>
    <t>T300+LhiresIII_600_35+Atik428esm</t>
  </si>
  <si>
    <t>SMM-SP</t>
  </si>
  <si>
    <t>16REMOTLINX460EX</t>
  </si>
  <si>
    <t>BER</t>
  </si>
  <si>
    <t>BVO-IT</t>
  </si>
  <si>
    <t>SC9+LhiresIII_1200+SXVR-H694</t>
  </si>
  <si>
    <t>JRF</t>
  </si>
  <si>
    <t>MTP-US</t>
  </si>
  <si>
    <t>CC13LISAATIK460EX</t>
  </si>
  <si>
    <t>UHO-US</t>
  </si>
  <si>
    <t>CC13ALPY600ATIK460EX</t>
  </si>
  <si>
    <t>CC13Alpy600ATIK460EX</t>
  </si>
  <si>
    <t>FRA</t>
  </si>
  <si>
    <t>BAL-IT</t>
  </si>
  <si>
    <t>SC8_F5+Alpy600+SXV-M7</t>
  </si>
  <si>
    <t>14/12/2018</t>
  </si>
  <si>
    <t>24/12/2018</t>
  </si>
  <si>
    <t>C11+LISA+SXVR-H694</t>
  </si>
  <si>
    <t>31/10/2018</t>
  </si>
  <si>
    <t>2018 JAN 8</t>
  </si>
  <si>
    <t>2018 JAN 12</t>
  </si>
  <si>
    <t>2018 APR 5</t>
  </si>
  <si>
    <t>2018 APR 8</t>
  </si>
  <si>
    <t>2018 MAY 5</t>
  </si>
  <si>
    <t>2018 MAY 16</t>
  </si>
  <si>
    <t>2018 MAY 17</t>
  </si>
  <si>
    <t>2018 JUN 20</t>
  </si>
  <si>
    <t>2018 JUL 4</t>
  </si>
  <si>
    <t>2018 JUL 12</t>
  </si>
  <si>
    <t>2018 JUL 15</t>
  </si>
  <si>
    <t>2018 JUL 18</t>
  </si>
  <si>
    <t>2018 JUL 20</t>
  </si>
  <si>
    <t>2018 JUL 22</t>
  </si>
  <si>
    <t>2018 AUG 3</t>
  </si>
  <si>
    <t>2018 AUG 6</t>
  </si>
  <si>
    <t>2018 AUG 12</t>
  </si>
  <si>
    <t>2018 AUG 14</t>
  </si>
  <si>
    <t>2018 AUG 15</t>
  </si>
  <si>
    <t>2018 AUG 23</t>
  </si>
  <si>
    <t>2018 AUG 28</t>
  </si>
  <si>
    <t>2018 AUG 31</t>
  </si>
  <si>
    <t>2018 SEP 1</t>
  </si>
  <si>
    <t>2018 SEP 4</t>
  </si>
  <si>
    <t>2018 SEP 10</t>
  </si>
  <si>
    <t>2018 SEP 12</t>
  </si>
  <si>
    <t>2018 SEP 15</t>
  </si>
  <si>
    <t>2018 SEP 25</t>
  </si>
  <si>
    <t>2018 SEP 27</t>
  </si>
  <si>
    <t>2018 SEP 29</t>
  </si>
  <si>
    <t>2018 OCT 2</t>
  </si>
  <si>
    <t>2018 OCT 4</t>
  </si>
  <si>
    <t>2018 OCT 5</t>
  </si>
  <si>
    <t>2018 OCT 10</t>
  </si>
  <si>
    <t>2018 OCT 11</t>
  </si>
  <si>
    <t>2018 OCT 12</t>
  </si>
  <si>
    <t>2018 OCT 14</t>
  </si>
  <si>
    <t>2018 OCT 17</t>
  </si>
  <si>
    <t>2018 OCT 19</t>
  </si>
  <si>
    <t>2018 OCT 23</t>
  </si>
  <si>
    <t>2018 OCT 29</t>
  </si>
  <si>
    <t>2018 NOV 3</t>
  </si>
  <si>
    <t>2018 NOV 7</t>
  </si>
  <si>
    <t>2018 NOV 8</t>
  </si>
  <si>
    <t>2018 NOV 12</t>
  </si>
  <si>
    <t>2018 NOV 14</t>
  </si>
  <si>
    <t>2018 NOV 26</t>
  </si>
  <si>
    <t>2018 DEC 4</t>
  </si>
  <si>
    <t>2018 DEC 9</t>
  </si>
  <si>
    <t>2018 DEC 19</t>
  </si>
  <si>
    <t>2018 DEC 21</t>
  </si>
  <si>
    <t>2018 DEC 23</t>
  </si>
  <si>
    <t>2018 DEC 24</t>
  </si>
  <si>
    <t>2019 JAN 2</t>
  </si>
  <si>
    <t>2019 JUN 21</t>
  </si>
  <si>
    <t>Johnson V</t>
  </si>
  <si>
    <t>SJOG</t>
  </si>
  <si>
    <t>2019 JUN 28</t>
  </si>
  <si>
    <t>2019 JUL 2</t>
  </si>
  <si>
    <t>2019 JUL 15</t>
  </si>
  <si>
    <t>2019 AUG 7</t>
  </si>
  <si>
    <t>TRE</t>
  </si>
  <si>
    <t>2019 AUG 23</t>
  </si>
  <si>
    <t>2019 AUG 24</t>
  </si>
  <si>
    <t>2019 SEP 2</t>
  </si>
  <si>
    <t>2019 SEP 4</t>
  </si>
  <si>
    <t>2019 SEP 19</t>
  </si>
  <si>
    <t>2019 SEP 27</t>
  </si>
  <si>
    <t>2019 SEP 29</t>
  </si>
  <si>
    <t>KCLA</t>
  </si>
  <si>
    <t>2019 OCT 1</t>
  </si>
  <si>
    <t>2019 OCT 6</t>
  </si>
  <si>
    <t>2019 OCT 8</t>
  </si>
  <si>
    <t>2019 OCT 9</t>
  </si>
  <si>
    <t>2019 OCT 19</t>
  </si>
  <si>
    <t>2019 OCT 20</t>
  </si>
  <si>
    <t>HMH</t>
  </si>
  <si>
    <t>false</t>
  </si>
  <si>
    <t>AG PEG</t>
  </si>
  <si>
    <t>2019 OCT 24</t>
  </si>
  <si>
    <t>2019 NOV 5</t>
  </si>
  <si>
    <t>2019 NOV 12</t>
  </si>
  <si>
    <t>2019 NOV 14</t>
  </si>
  <si>
    <t>2019 NOV 18</t>
  </si>
  <si>
    <t>2019 NOV 22</t>
  </si>
  <si>
    <t>2019 NOV 25</t>
  </si>
  <si>
    <t>2019 NOV 29</t>
  </si>
  <si>
    <t>2019 DEC 1</t>
  </si>
  <si>
    <t>2019 DEC 11</t>
  </si>
  <si>
    <t>2019 DEC 13</t>
  </si>
  <si>
    <t>2019 DEC 17</t>
  </si>
  <si>
    <t>2019 DEC 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</si>
</sst>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0.000"/>
  </numFmts>
  <fonts count="3" x14ac:knownFonts="1">
    <font>
      <sz val="11"/>
      <color theme="1"/>
      <name val="Calibri"/>
      <family val="2"/>
      <scheme val="minor"/>
    </font>
    <font>
      <u/>
      <sz val="12"/>
      <color theme="10"/>
      <name val="Calibri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vertical="center" wrapText="1"/>
    </xf>
    <xf numFmtId="0" fontId="0" fillId="2" borderId="1" xfId="0" applyFill="1" applyBorder="1" applyAlignment="1">
      <alignment horizontal="center"/>
    </xf>
    <xf numFmtId="0" fontId="0" fillId="3" borderId="0" xfId="0" applyFill="1"/>
    <xf numFmtId="0" fontId="1" fillId="2" borderId="1" xfId="1" applyFill="1" applyBorder="1" applyAlignment="1">
      <alignment horizontal="left"/>
    </xf>
    <xf numFmtId="0" fontId="0" fillId="5" borderId="0" xfId="0" applyFont="1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14" fontId="0" fillId="4" borderId="0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0" fontId="0" fillId="2" borderId="0" xfId="0" applyFill="1"/>
    <xf numFmtId="0" fontId="0" fillId="6" borderId="0" xfId="0" applyFill="1"/>
    <xf numFmtId="0" fontId="0" fillId="2" borderId="0" xfId="0" applyFill="1" applyAlignment="1">
      <alignment horizontal="right"/>
    </xf>
    <xf numFmtId="2" fontId="0" fillId="2" borderId="0" xfId="0" applyNumberFormat="1" applyFill="1"/>
    <xf numFmtId="1" fontId="0" fillId="2" borderId="0" xfId="0" applyNumberFormat="1" applyFill="1" applyAlignment="1">
      <alignment horizontal="right"/>
    </xf>
    <xf numFmtId="0" fontId="0" fillId="0" borderId="0" xfId="0" applyAlignment="1">
      <alignment horizontal="center"/>
    </xf>
    <xf numFmtId="0" fontId="0" fillId="7" borderId="0" xfId="0" applyFill="1"/>
    <xf numFmtId="0" fontId="0" fillId="8" borderId="0" xfId="0" applyFill="1" applyBorder="1" applyAlignment="1">
      <alignment horizontal="center"/>
    </xf>
    <xf numFmtId="14" fontId="0" fillId="8" borderId="0" xfId="0" applyNumberFormat="1" applyFill="1" applyBorder="1" applyAlignment="1">
      <alignment horizontal="center"/>
    </xf>
    <xf numFmtId="164" fontId="0" fillId="8" borderId="0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4" fontId="0" fillId="3" borderId="0" xfId="0" applyNumberFormat="1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14" fontId="0" fillId="6" borderId="0" xfId="0" applyNumberFormat="1" applyFill="1" applyBorder="1" applyAlignment="1">
      <alignment horizontal="center"/>
    </xf>
    <xf numFmtId="164" fontId="0" fillId="6" borderId="0" xfId="0" applyNumberFormat="1" applyFill="1" applyBorder="1" applyAlignment="1">
      <alignment horizontal="center"/>
    </xf>
    <xf numFmtId="165" fontId="0" fillId="6" borderId="0" xfId="0" applyNumberFormat="1" applyFill="1" applyBorder="1" applyAlignment="1">
      <alignment horizontal="center"/>
    </xf>
    <xf numFmtId="165" fontId="0" fillId="8" borderId="0" xfId="0" applyNumberFormat="1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5" fontId="0" fillId="3" borderId="0" xfId="0" applyNumberFormat="1" applyFill="1" applyBorder="1" applyAlignment="1">
      <alignment horizontal="center"/>
    </xf>
    <xf numFmtId="0" fontId="0" fillId="9" borderId="0" xfId="0" applyFill="1" applyBorder="1" applyAlignment="1">
      <alignment horizontal="center"/>
    </xf>
    <xf numFmtId="14" fontId="0" fillId="9" borderId="0" xfId="0" applyNumberFormat="1" applyFill="1" applyBorder="1" applyAlignment="1">
      <alignment horizontal="center"/>
    </xf>
    <xf numFmtId="164" fontId="0" fillId="9" borderId="0" xfId="0" applyNumberFormat="1" applyFill="1" applyBorder="1" applyAlignment="1">
      <alignment horizontal="center"/>
    </xf>
    <xf numFmtId="165" fontId="0" fillId="9" borderId="0" xfId="0" applyNumberFormat="1" applyFill="1" applyBorder="1" applyAlignment="1">
      <alignment horizont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colors>
    <mruColors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Index!$N$3</c:f>
          <c:strCache>
            <c:ptCount val="1"/>
            <c:pt idx="0">
              <c:v>AG Peg (V)</c:v>
            </c:pt>
          </c:strCache>
        </c:strRef>
      </c:tx>
      <c:layout>
        <c:manualLayout>
          <c:xMode val="edge"/>
          <c:yMode val="edge"/>
          <c:x val="0.10641768775999054"/>
          <c:y val="0.69313571097730431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5559783364417692E-2"/>
          <c:y val="6.5795918367346939E-2"/>
          <c:w val="0.88888043327116462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66FF33"/>
              </a:solidFill>
              <a:ln w="9525">
                <a:noFill/>
              </a:ln>
              <a:effectLst/>
            </c:spPr>
          </c:marker>
          <c:xVal>
            <c:numRef>
              <c:f>V!$A$1:$A$1007</c:f>
              <c:numCache>
                <c:formatCode>General</c:formatCode>
                <c:ptCount val="1007"/>
                <c:pt idx="0">
                  <c:v>2452174.4</c:v>
                </c:pt>
                <c:pt idx="1">
                  <c:v>2452252.3542999998</c:v>
                </c:pt>
                <c:pt idx="2">
                  <c:v>2452254.3262</c:v>
                </c:pt>
                <c:pt idx="3">
                  <c:v>2452264.3914999999</c:v>
                </c:pt>
                <c:pt idx="4">
                  <c:v>2452910.3930000002</c:v>
                </c:pt>
                <c:pt idx="5">
                  <c:v>2453276.6867999998</c:v>
                </c:pt>
                <c:pt idx="6">
                  <c:v>2453303.34075</c:v>
                </c:pt>
                <c:pt idx="7">
                  <c:v>2453315.4</c:v>
                </c:pt>
                <c:pt idx="8">
                  <c:v>2453346.2999999998</c:v>
                </c:pt>
                <c:pt idx="9">
                  <c:v>2453352.2598999999</c:v>
                </c:pt>
                <c:pt idx="10">
                  <c:v>2453354.2999999998</c:v>
                </c:pt>
                <c:pt idx="11">
                  <c:v>2453593.8390000002</c:v>
                </c:pt>
                <c:pt idx="12">
                  <c:v>2453612.7719999999</c:v>
                </c:pt>
                <c:pt idx="13">
                  <c:v>2453630.3431500001</c:v>
                </c:pt>
                <c:pt idx="14">
                  <c:v>2453939.5178499999</c:v>
                </c:pt>
                <c:pt idx="15">
                  <c:v>2453946.50245</c:v>
                </c:pt>
                <c:pt idx="16">
                  <c:v>2455129.38062</c:v>
                </c:pt>
                <c:pt idx="17">
                  <c:v>2455506.2999999998</c:v>
                </c:pt>
                <c:pt idx="18">
                  <c:v>2455514.33</c:v>
                </c:pt>
                <c:pt idx="19">
                  <c:v>2455779.4236099999</c:v>
                </c:pt>
                <c:pt idx="20">
                  <c:v>2455792.3715300001</c:v>
                </c:pt>
                <c:pt idx="21">
                  <c:v>2455794.3680599998</c:v>
                </c:pt>
                <c:pt idx="22">
                  <c:v>2455797.3562500002</c:v>
                </c:pt>
                <c:pt idx="23">
                  <c:v>2455799.3888900001</c:v>
                </c:pt>
                <c:pt idx="24">
                  <c:v>2455802.9013899998</c:v>
                </c:pt>
                <c:pt idx="25">
                  <c:v>2455819.2916700002</c:v>
                </c:pt>
                <c:pt idx="26">
                  <c:v>2455820.3263900001</c:v>
                </c:pt>
                <c:pt idx="27">
                  <c:v>2455821.7968799998</c:v>
                </c:pt>
                <c:pt idx="28">
                  <c:v>2455824.2979199998</c:v>
                </c:pt>
                <c:pt idx="29">
                  <c:v>2455825.30694</c:v>
                </c:pt>
                <c:pt idx="30">
                  <c:v>2455827.3993099998</c:v>
                </c:pt>
                <c:pt idx="31">
                  <c:v>2455831.2847199999</c:v>
                </c:pt>
                <c:pt idx="32">
                  <c:v>2455832.3076399998</c:v>
                </c:pt>
                <c:pt idx="33">
                  <c:v>2455833.7847199999</c:v>
                </c:pt>
                <c:pt idx="34">
                  <c:v>2455836.7885400001</c:v>
                </c:pt>
                <c:pt idx="35">
                  <c:v>2455839.2826399999</c:v>
                </c:pt>
                <c:pt idx="36">
                  <c:v>2455847.2937500002</c:v>
                </c:pt>
                <c:pt idx="37">
                  <c:v>2455851.2569400002</c:v>
                </c:pt>
                <c:pt idx="38">
                  <c:v>2455856.2506900001</c:v>
                </c:pt>
                <c:pt idx="39">
                  <c:v>2455860.80902</c:v>
                </c:pt>
                <c:pt idx="40">
                  <c:v>2455867.2354199998</c:v>
                </c:pt>
                <c:pt idx="41">
                  <c:v>2455877.2937500002</c:v>
                </c:pt>
                <c:pt idx="42">
                  <c:v>2455883.2625000002</c:v>
                </c:pt>
                <c:pt idx="43">
                  <c:v>2455890.2409399999</c:v>
                </c:pt>
                <c:pt idx="44">
                  <c:v>2455923.2098400001</c:v>
                </c:pt>
                <c:pt idx="45">
                  <c:v>2456106.4319000002</c:v>
                </c:pt>
                <c:pt idx="46">
                  <c:v>2456109.4451000001</c:v>
                </c:pt>
                <c:pt idx="47">
                  <c:v>2456124.4042000002</c:v>
                </c:pt>
                <c:pt idx="48">
                  <c:v>2456127.4201000002</c:v>
                </c:pt>
                <c:pt idx="49">
                  <c:v>2456137.90625</c:v>
                </c:pt>
                <c:pt idx="50">
                  <c:v>2456139.4056000002</c:v>
                </c:pt>
                <c:pt idx="51">
                  <c:v>2456147.3604000001</c:v>
                </c:pt>
                <c:pt idx="52">
                  <c:v>2456148.9031500001</c:v>
                </c:pt>
                <c:pt idx="53">
                  <c:v>2456150.90105</c:v>
                </c:pt>
                <c:pt idx="54">
                  <c:v>2456154.3854</c:v>
                </c:pt>
                <c:pt idx="55">
                  <c:v>2456157.3639000002</c:v>
                </c:pt>
                <c:pt idx="56">
                  <c:v>2456163.3541999999</c:v>
                </c:pt>
                <c:pt idx="57">
                  <c:v>2456167.3958000001</c:v>
                </c:pt>
                <c:pt idx="58">
                  <c:v>2456168.7702100002</c:v>
                </c:pt>
                <c:pt idx="59">
                  <c:v>2456176.4180600001</c:v>
                </c:pt>
                <c:pt idx="60">
                  <c:v>2456179.3478999999</c:v>
                </c:pt>
                <c:pt idx="61">
                  <c:v>2456182.71765</c:v>
                </c:pt>
                <c:pt idx="62">
                  <c:v>2456185.3424</c:v>
                </c:pt>
                <c:pt idx="63">
                  <c:v>2456224.3221999998</c:v>
                </c:pt>
                <c:pt idx="64">
                  <c:v>2456239.2020999999</c:v>
                </c:pt>
                <c:pt idx="65">
                  <c:v>2456247.1985999998</c:v>
                </c:pt>
                <c:pt idx="66">
                  <c:v>2456248.2256999998</c:v>
                </c:pt>
                <c:pt idx="67">
                  <c:v>2456463.4583000001</c:v>
                </c:pt>
                <c:pt idx="68">
                  <c:v>2456476.4333000001</c:v>
                </c:pt>
                <c:pt idx="69">
                  <c:v>2456488.4312999998</c:v>
                </c:pt>
                <c:pt idx="70">
                  <c:v>2456500.3958000001</c:v>
                </c:pt>
                <c:pt idx="71">
                  <c:v>2456505.3958000001</c:v>
                </c:pt>
                <c:pt idx="72">
                  <c:v>2456508.8357899999</c:v>
                </c:pt>
                <c:pt idx="73">
                  <c:v>2456510.85543</c:v>
                </c:pt>
                <c:pt idx="74">
                  <c:v>2456516.4512399998</c:v>
                </c:pt>
                <c:pt idx="75">
                  <c:v>2456521.3958000001</c:v>
                </c:pt>
                <c:pt idx="76">
                  <c:v>2456531.3994399998</c:v>
                </c:pt>
                <c:pt idx="77">
                  <c:v>2456536.3958000001</c:v>
                </c:pt>
                <c:pt idx="78">
                  <c:v>2456538.3958000001</c:v>
                </c:pt>
                <c:pt idx="79">
                  <c:v>2456539.41879</c:v>
                </c:pt>
                <c:pt idx="80">
                  <c:v>2456552.33617</c:v>
                </c:pt>
                <c:pt idx="81">
                  <c:v>2456553.7105100001</c:v>
                </c:pt>
                <c:pt idx="82">
                  <c:v>2456559.3368000002</c:v>
                </c:pt>
                <c:pt idx="83">
                  <c:v>2456564.4398699999</c:v>
                </c:pt>
                <c:pt idx="84">
                  <c:v>2456566.66438</c:v>
                </c:pt>
                <c:pt idx="85">
                  <c:v>2456571.2913600001</c:v>
                </c:pt>
                <c:pt idx="86">
                  <c:v>2456595.3337300001</c:v>
                </c:pt>
                <c:pt idx="87">
                  <c:v>2456598.2647600002</c:v>
                </c:pt>
                <c:pt idx="88">
                  <c:v>2456604.4432899999</c:v>
                </c:pt>
                <c:pt idx="89">
                  <c:v>2456611.6142199999</c:v>
                </c:pt>
                <c:pt idx="90">
                  <c:v>2456613.6151000001</c:v>
                </c:pt>
                <c:pt idx="91">
                  <c:v>2456615.6011800002</c:v>
                </c:pt>
                <c:pt idx="92">
                  <c:v>2456617.09766</c:v>
                </c:pt>
                <c:pt idx="93">
                  <c:v>2456626.4849999999</c:v>
                </c:pt>
                <c:pt idx="94">
                  <c:v>2456645.4822999998</c:v>
                </c:pt>
                <c:pt idx="95">
                  <c:v>2456687.75177</c:v>
                </c:pt>
                <c:pt idx="96">
                  <c:v>2456764.87953</c:v>
                </c:pt>
                <c:pt idx="97">
                  <c:v>2456896.2533</c:v>
                </c:pt>
                <c:pt idx="98">
                  <c:v>2456898.5275300001</c:v>
                </c:pt>
                <c:pt idx="99">
                  <c:v>2456902.7019000002</c:v>
                </c:pt>
                <c:pt idx="100">
                  <c:v>2456904.6678200001</c:v>
                </c:pt>
                <c:pt idx="101">
                  <c:v>2456905.7867100001</c:v>
                </c:pt>
                <c:pt idx="102">
                  <c:v>2456913.66928</c:v>
                </c:pt>
                <c:pt idx="103">
                  <c:v>2456915.3333000001</c:v>
                </c:pt>
                <c:pt idx="104">
                  <c:v>2456918.6744300001</c:v>
                </c:pt>
                <c:pt idx="105">
                  <c:v>2456920.6946999999</c:v>
                </c:pt>
                <c:pt idx="106">
                  <c:v>2456924.1709799999</c:v>
                </c:pt>
                <c:pt idx="107">
                  <c:v>2456928.1839999999</c:v>
                </c:pt>
                <c:pt idx="108">
                  <c:v>2456929.6037699999</c:v>
                </c:pt>
                <c:pt idx="109">
                  <c:v>2456937.0830199998</c:v>
                </c:pt>
                <c:pt idx="110">
                  <c:v>2456939.5918100001</c:v>
                </c:pt>
                <c:pt idx="111">
                  <c:v>2456940.6616799999</c:v>
                </c:pt>
                <c:pt idx="112">
                  <c:v>2456943.58727</c:v>
                </c:pt>
                <c:pt idx="113">
                  <c:v>2456945.5534999999</c:v>
                </c:pt>
                <c:pt idx="114">
                  <c:v>2456948.5451000002</c:v>
                </c:pt>
                <c:pt idx="115">
                  <c:v>2456957.5213700002</c:v>
                </c:pt>
                <c:pt idx="116">
                  <c:v>2457006.4569999999</c:v>
                </c:pt>
                <c:pt idx="117">
                  <c:v>2457007.4951900002</c:v>
                </c:pt>
                <c:pt idx="118">
                  <c:v>2457018.4552099998</c:v>
                </c:pt>
                <c:pt idx="119">
                  <c:v>2457019.4591899998</c:v>
                </c:pt>
                <c:pt idx="120">
                  <c:v>2457021.9536299999</c:v>
                </c:pt>
                <c:pt idx="121">
                  <c:v>2457023.4454000001</c:v>
                </c:pt>
                <c:pt idx="122">
                  <c:v>2457024.45077</c:v>
                </c:pt>
                <c:pt idx="123">
                  <c:v>2457025.4514500001</c:v>
                </c:pt>
                <c:pt idx="124">
                  <c:v>2457028.4524599998</c:v>
                </c:pt>
                <c:pt idx="125">
                  <c:v>2457124.8841900001</c:v>
                </c:pt>
                <c:pt idx="126">
                  <c:v>2457128.87892</c:v>
                </c:pt>
                <c:pt idx="127">
                  <c:v>2457130.8763799998</c:v>
                </c:pt>
                <c:pt idx="128">
                  <c:v>2457156.8368799998</c:v>
                </c:pt>
                <c:pt idx="129">
                  <c:v>2457157.8372900002</c:v>
                </c:pt>
                <c:pt idx="130">
                  <c:v>2457163.8278600001</c:v>
                </c:pt>
                <c:pt idx="131">
                  <c:v>2457165.8193799998</c:v>
                </c:pt>
                <c:pt idx="132">
                  <c:v>2457166.8284900002</c:v>
                </c:pt>
                <c:pt idx="133">
                  <c:v>2457180.8183400002</c:v>
                </c:pt>
                <c:pt idx="134">
                  <c:v>2457187.8084399998</c:v>
                </c:pt>
                <c:pt idx="135">
                  <c:v>2457195.7437999998</c:v>
                </c:pt>
                <c:pt idx="136">
                  <c:v>2457197.70095</c:v>
                </c:pt>
                <c:pt idx="137">
                  <c:v>2457198.7049699998</c:v>
                </c:pt>
                <c:pt idx="138">
                  <c:v>2457199.6331199999</c:v>
                </c:pt>
                <c:pt idx="139">
                  <c:v>2457201.1612800001</c:v>
                </c:pt>
                <c:pt idx="140">
                  <c:v>2457203.1844299999</c:v>
                </c:pt>
                <c:pt idx="141">
                  <c:v>2457204.6269700001</c:v>
                </c:pt>
                <c:pt idx="142">
                  <c:v>2457206.2399599999</c:v>
                </c:pt>
                <c:pt idx="143">
                  <c:v>2457208.2933299998</c:v>
                </c:pt>
                <c:pt idx="144">
                  <c:v>2457209.2828000002</c:v>
                </c:pt>
                <c:pt idx="145">
                  <c:v>2457210.6661299998</c:v>
                </c:pt>
                <c:pt idx="146">
                  <c:v>2457211.66732</c:v>
                </c:pt>
                <c:pt idx="147">
                  <c:v>2457212.64426</c:v>
                </c:pt>
                <c:pt idx="148">
                  <c:v>2457214.3369800001</c:v>
                </c:pt>
                <c:pt idx="149">
                  <c:v>2457215.0386600001</c:v>
                </c:pt>
                <c:pt idx="150">
                  <c:v>2457216.70358</c:v>
                </c:pt>
                <c:pt idx="151">
                  <c:v>2457217.77092</c:v>
                </c:pt>
                <c:pt idx="152">
                  <c:v>2457219.4341000002</c:v>
                </c:pt>
                <c:pt idx="153">
                  <c:v>2457220.6915099998</c:v>
                </c:pt>
                <c:pt idx="154">
                  <c:v>2457221.70566</c:v>
                </c:pt>
                <c:pt idx="155">
                  <c:v>2457223.6121800002</c:v>
                </c:pt>
                <c:pt idx="156">
                  <c:v>2457225.36527</c:v>
                </c:pt>
                <c:pt idx="157">
                  <c:v>2457226.4931999999</c:v>
                </c:pt>
                <c:pt idx="158">
                  <c:v>2457227.6754899998</c:v>
                </c:pt>
                <c:pt idx="159">
                  <c:v>2457229.8229899998</c:v>
                </c:pt>
                <c:pt idx="160">
                  <c:v>2457231.69019</c:v>
                </c:pt>
                <c:pt idx="161">
                  <c:v>2457233.61546</c:v>
                </c:pt>
                <c:pt idx="162">
                  <c:v>2457234.6749</c:v>
                </c:pt>
                <c:pt idx="163">
                  <c:v>2457237.0114799999</c:v>
                </c:pt>
                <c:pt idx="164">
                  <c:v>2457238.65668</c:v>
                </c:pt>
                <c:pt idx="165">
                  <c:v>2457239.8086100002</c:v>
                </c:pt>
                <c:pt idx="166">
                  <c:v>2457241.5178100001</c:v>
                </c:pt>
                <c:pt idx="167">
                  <c:v>2457242.4956399999</c:v>
                </c:pt>
                <c:pt idx="168">
                  <c:v>2457244.1734600002</c:v>
                </c:pt>
                <c:pt idx="169">
                  <c:v>2457245.21477</c:v>
                </c:pt>
                <c:pt idx="170">
                  <c:v>2457246.91206</c:v>
                </c:pt>
                <c:pt idx="171">
                  <c:v>2457247.7928499999</c:v>
                </c:pt>
                <c:pt idx="172">
                  <c:v>2457249.3825400001</c:v>
                </c:pt>
                <c:pt idx="173">
                  <c:v>2457251.1683399999</c:v>
                </c:pt>
                <c:pt idx="174">
                  <c:v>2457252.3770099999</c:v>
                </c:pt>
                <c:pt idx="175">
                  <c:v>2457254.6334600002</c:v>
                </c:pt>
                <c:pt idx="176">
                  <c:v>2457256.6627799999</c:v>
                </c:pt>
                <c:pt idx="177">
                  <c:v>2457259.4322000002</c:v>
                </c:pt>
                <c:pt idx="178">
                  <c:v>2457261.4822900002</c:v>
                </c:pt>
                <c:pt idx="179">
                  <c:v>2457262.6622899999</c:v>
                </c:pt>
                <c:pt idx="180">
                  <c:v>2457264.57913</c:v>
                </c:pt>
                <c:pt idx="181">
                  <c:v>2457265.6403000001</c:v>
                </c:pt>
                <c:pt idx="182">
                  <c:v>2457267.14646</c:v>
                </c:pt>
                <c:pt idx="183">
                  <c:v>2457270.1270699999</c:v>
                </c:pt>
                <c:pt idx="184">
                  <c:v>2457271.8269199999</c:v>
                </c:pt>
                <c:pt idx="185">
                  <c:v>2457272.55657</c:v>
                </c:pt>
                <c:pt idx="186">
                  <c:v>2457273.6447100001</c:v>
                </c:pt>
                <c:pt idx="187">
                  <c:v>2457276.0360400002</c:v>
                </c:pt>
                <c:pt idx="188">
                  <c:v>2457278.21527</c:v>
                </c:pt>
                <c:pt idx="189">
                  <c:v>2457280.3928200002</c:v>
                </c:pt>
                <c:pt idx="190">
                  <c:v>2457281.5195800001</c:v>
                </c:pt>
                <c:pt idx="191">
                  <c:v>2457282.8798199999</c:v>
                </c:pt>
                <c:pt idx="192">
                  <c:v>2457284.9586299998</c:v>
                </c:pt>
                <c:pt idx="193">
                  <c:v>2457287.1526500001</c:v>
                </c:pt>
                <c:pt idx="194">
                  <c:v>2457287.6192999999</c:v>
                </c:pt>
                <c:pt idx="195">
                  <c:v>2457290.0581899998</c:v>
                </c:pt>
                <c:pt idx="196">
                  <c:v>2457291.4685</c:v>
                </c:pt>
                <c:pt idx="197">
                  <c:v>2457292.5326200002</c:v>
                </c:pt>
                <c:pt idx="198">
                  <c:v>2457295.2831000001</c:v>
                </c:pt>
                <c:pt idx="199">
                  <c:v>2457297.0984299998</c:v>
                </c:pt>
                <c:pt idx="200">
                  <c:v>2457302.51786</c:v>
                </c:pt>
                <c:pt idx="201">
                  <c:v>2457304.06862</c:v>
                </c:pt>
                <c:pt idx="202">
                  <c:v>2457306.3438499998</c:v>
                </c:pt>
                <c:pt idx="203">
                  <c:v>2457307.5438199998</c:v>
                </c:pt>
                <c:pt idx="204">
                  <c:v>2457309.5022900002</c:v>
                </c:pt>
                <c:pt idx="205">
                  <c:v>2457310.60892</c:v>
                </c:pt>
                <c:pt idx="206">
                  <c:v>2457312.9850900001</c:v>
                </c:pt>
                <c:pt idx="207">
                  <c:v>2457313.5696899998</c:v>
                </c:pt>
                <c:pt idx="208">
                  <c:v>2457314.5855</c:v>
                </c:pt>
                <c:pt idx="209">
                  <c:v>2457315.82436</c:v>
                </c:pt>
                <c:pt idx="210">
                  <c:v>2457321.58445</c:v>
                </c:pt>
                <c:pt idx="211">
                  <c:v>2457322.5630399999</c:v>
                </c:pt>
                <c:pt idx="212">
                  <c:v>2457324.8054599999</c:v>
                </c:pt>
                <c:pt idx="213">
                  <c:v>2457326.0028499998</c:v>
                </c:pt>
                <c:pt idx="214">
                  <c:v>2457328.36143</c:v>
                </c:pt>
                <c:pt idx="215">
                  <c:v>2457329.8434700002</c:v>
                </c:pt>
                <c:pt idx="216">
                  <c:v>2457330.6407400002</c:v>
                </c:pt>
                <c:pt idx="217">
                  <c:v>2457331.5385199999</c:v>
                </c:pt>
                <c:pt idx="218">
                  <c:v>2457333.9474300002</c:v>
                </c:pt>
                <c:pt idx="219">
                  <c:v>2457335.4615600002</c:v>
                </c:pt>
                <c:pt idx="220">
                  <c:v>2457339.2631999999</c:v>
                </c:pt>
                <c:pt idx="221">
                  <c:v>2457341.4723299998</c:v>
                </c:pt>
                <c:pt idx="222">
                  <c:v>2457343.7295900001</c:v>
                </c:pt>
                <c:pt idx="223">
                  <c:v>2457344.7892800001</c:v>
                </c:pt>
                <c:pt idx="224">
                  <c:v>2457347.5323600001</c:v>
                </c:pt>
                <c:pt idx="225">
                  <c:v>2457350.0152599998</c:v>
                </c:pt>
                <c:pt idx="226">
                  <c:v>2457351.5302400002</c:v>
                </c:pt>
                <c:pt idx="227">
                  <c:v>2457356.4262399999</c:v>
                </c:pt>
                <c:pt idx="228">
                  <c:v>2457358.5329700001</c:v>
                </c:pt>
                <c:pt idx="229">
                  <c:v>2457360.32015</c:v>
                </c:pt>
                <c:pt idx="230">
                  <c:v>2457361.87524</c:v>
                </c:pt>
                <c:pt idx="231">
                  <c:v>2457363.5332399998</c:v>
                </c:pt>
                <c:pt idx="232">
                  <c:v>2457366.3179500001</c:v>
                </c:pt>
                <c:pt idx="233">
                  <c:v>2457368.3937499998</c:v>
                </c:pt>
                <c:pt idx="234">
                  <c:v>2457370.5397199998</c:v>
                </c:pt>
                <c:pt idx="235">
                  <c:v>2457372.5839800001</c:v>
                </c:pt>
                <c:pt idx="236">
                  <c:v>2457373.5373499999</c:v>
                </c:pt>
                <c:pt idx="237">
                  <c:v>2457375.0941599999</c:v>
                </c:pt>
                <c:pt idx="238">
                  <c:v>2457376.43462</c:v>
                </c:pt>
                <c:pt idx="239">
                  <c:v>2457377.6417399999</c:v>
                </c:pt>
                <c:pt idx="240">
                  <c:v>2457381.33941</c:v>
                </c:pt>
                <c:pt idx="241">
                  <c:v>2457386.4139100001</c:v>
                </c:pt>
                <c:pt idx="242">
                  <c:v>2457391.5421600002</c:v>
                </c:pt>
                <c:pt idx="243">
                  <c:v>2457395.5373499999</c:v>
                </c:pt>
                <c:pt idx="244">
                  <c:v>2457402.5403800001</c:v>
                </c:pt>
                <c:pt idx="245">
                  <c:v>2457404.5453699999</c:v>
                </c:pt>
                <c:pt idx="246">
                  <c:v>2457407.48043</c:v>
                </c:pt>
                <c:pt idx="247">
                  <c:v>2457409.5445400001</c:v>
                </c:pt>
                <c:pt idx="248">
                  <c:v>2457410.5448099999</c:v>
                </c:pt>
                <c:pt idx="249">
                  <c:v>2457484.9080500002</c:v>
                </c:pt>
                <c:pt idx="250">
                  <c:v>2457494.0155600002</c:v>
                </c:pt>
                <c:pt idx="251">
                  <c:v>2457499.9983799998</c:v>
                </c:pt>
                <c:pt idx="252">
                  <c:v>2457502.8558299998</c:v>
                </c:pt>
                <c:pt idx="253">
                  <c:v>2457506.8363800002</c:v>
                </c:pt>
                <c:pt idx="254">
                  <c:v>2457534.9905699999</c:v>
                </c:pt>
                <c:pt idx="255">
                  <c:v>2457539.4783399999</c:v>
                </c:pt>
                <c:pt idx="256">
                  <c:v>2457540.96367</c:v>
                </c:pt>
                <c:pt idx="257">
                  <c:v>2457542.9758799998</c:v>
                </c:pt>
                <c:pt idx="258">
                  <c:v>2457544.9832299999</c:v>
                </c:pt>
                <c:pt idx="259">
                  <c:v>2457552.9647300001</c:v>
                </c:pt>
                <c:pt idx="260">
                  <c:v>2457553.9799799998</c:v>
                </c:pt>
                <c:pt idx="261">
                  <c:v>2457554.98484</c:v>
                </c:pt>
                <c:pt idx="262">
                  <c:v>2457557.92142</c:v>
                </c:pt>
                <c:pt idx="263">
                  <c:v>2457559.43199</c:v>
                </c:pt>
                <c:pt idx="264">
                  <c:v>2457560.7048599999</c:v>
                </c:pt>
                <c:pt idx="265">
                  <c:v>2457561.8622499998</c:v>
                </c:pt>
                <c:pt idx="266">
                  <c:v>2457565.6665500002</c:v>
                </c:pt>
                <c:pt idx="267">
                  <c:v>2457567.11729</c:v>
                </c:pt>
                <c:pt idx="268">
                  <c:v>2457567.8842699998</c:v>
                </c:pt>
                <c:pt idx="269">
                  <c:v>2457569.8619400002</c:v>
                </c:pt>
                <c:pt idx="270">
                  <c:v>2457571.4293999998</c:v>
                </c:pt>
                <c:pt idx="271">
                  <c:v>2457572.6518799998</c:v>
                </c:pt>
                <c:pt idx="272">
                  <c:v>2457573.8339800001</c:v>
                </c:pt>
                <c:pt idx="273">
                  <c:v>2457575.3316500001</c:v>
                </c:pt>
                <c:pt idx="274">
                  <c:v>2457576.37402</c:v>
                </c:pt>
                <c:pt idx="275">
                  <c:v>2457577.4306000001</c:v>
                </c:pt>
                <c:pt idx="276">
                  <c:v>2457579.7323799999</c:v>
                </c:pt>
                <c:pt idx="277">
                  <c:v>2457581.8344100001</c:v>
                </c:pt>
                <c:pt idx="278">
                  <c:v>2457583.4586700001</c:v>
                </c:pt>
                <c:pt idx="279">
                  <c:v>2457584.7039000001</c:v>
                </c:pt>
                <c:pt idx="280">
                  <c:v>2457585.77526</c:v>
                </c:pt>
                <c:pt idx="281">
                  <c:v>2457588.7249599998</c:v>
                </c:pt>
                <c:pt idx="282">
                  <c:v>2457591.1146200001</c:v>
                </c:pt>
                <c:pt idx="283">
                  <c:v>2457592.3741700002</c:v>
                </c:pt>
                <c:pt idx="284">
                  <c:v>2457594.6839899998</c:v>
                </c:pt>
                <c:pt idx="285">
                  <c:v>2457597.3785000001</c:v>
                </c:pt>
                <c:pt idx="286">
                  <c:v>2457599.6058700001</c:v>
                </c:pt>
                <c:pt idx="287">
                  <c:v>2457604.2196999998</c:v>
                </c:pt>
                <c:pt idx="288">
                  <c:v>2457605.5430100001</c:v>
                </c:pt>
                <c:pt idx="289">
                  <c:v>2457610.6886999998</c:v>
                </c:pt>
                <c:pt idx="290">
                  <c:v>2457612.52941</c:v>
                </c:pt>
                <c:pt idx="291">
                  <c:v>2457614.3808800001</c:v>
                </c:pt>
                <c:pt idx="292">
                  <c:v>2457616.66029</c:v>
                </c:pt>
                <c:pt idx="293">
                  <c:v>2457617.8043399998</c:v>
                </c:pt>
                <c:pt idx="294">
                  <c:v>2457622.97848</c:v>
                </c:pt>
                <c:pt idx="295">
                  <c:v>2457624.84926</c:v>
                </c:pt>
                <c:pt idx="296">
                  <c:v>2457631.2328699999</c:v>
                </c:pt>
                <c:pt idx="297">
                  <c:v>2457636.7237800001</c:v>
                </c:pt>
                <c:pt idx="298">
                  <c:v>2457640.3083000001</c:v>
                </c:pt>
                <c:pt idx="299">
                  <c:v>2457643.6228399999</c:v>
                </c:pt>
                <c:pt idx="300">
                  <c:v>2457645.4358100002</c:v>
                </c:pt>
                <c:pt idx="301">
                  <c:v>2457648.03743</c:v>
                </c:pt>
                <c:pt idx="302">
                  <c:v>2457650.6710100002</c:v>
                </c:pt>
                <c:pt idx="303">
                  <c:v>2457651.6745099998</c:v>
                </c:pt>
                <c:pt idx="304">
                  <c:v>2457655.1083900002</c:v>
                </c:pt>
                <c:pt idx="305">
                  <c:v>2457657.3097000001</c:v>
                </c:pt>
                <c:pt idx="306">
                  <c:v>2457658.8562799999</c:v>
                </c:pt>
                <c:pt idx="307">
                  <c:v>2457667.6885899999</c:v>
                </c:pt>
                <c:pt idx="308">
                  <c:v>2457672.5010500001</c:v>
                </c:pt>
                <c:pt idx="309">
                  <c:v>2457676.2395000001</c:v>
                </c:pt>
                <c:pt idx="310">
                  <c:v>2457677.53394</c:v>
                </c:pt>
                <c:pt idx="311">
                  <c:v>2457681.0550799998</c:v>
                </c:pt>
                <c:pt idx="312">
                  <c:v>2457685.5114099998</c:v>
                </c:pt>
                <c:pt idx="313">
                  <c:v>2457687.1038500001</c:v>
                </c:pt>
                <c:pt idx="314">
                  <c:v>2457693.5034500002</c:v>
                </c:pt>
                <c:pt idx="315">
                  <c:v>2457697.5901299999</c:v>
                </c:pt>
                <c:pt idx="316">
                  <c:v>2457701.5746900002</c:v>
                </c:pt>
                <c:pt idx="317">
                  <c:v>2457704.5206800001</c:v>
                </c:pt>
                <c:pt idx="318">
                  <c:v>2457706.5666700001</c:v>
                </c:pt>
                <c:pt idx="319">
                  <c:v>2457709.1108499998</c:v>
                </c:pt>
                <c:pt idx="320">
                  <c:v>2457714.5320000001</c:v>
                </c:pt>
                <c:pt idx="321">
                  <c:v>2457722.9241200001</c:v>
                </c:pt>
                <c:pt idx="322">
                  <c:v>2457743.5244</c:v>
                </c:pt>
                <c:pt idx="323">
                  <c:v>2457773.2366599999</c:v>
                </c:pt>
                <c:pt idx="324">
                  <c:v>2457876.84039</c:v>
                </c:pt>
                <c:pt idx="325">
                  <c:v>2457877.84454</c:v>
                </c:pt>
                <c:pt idx="326">
                  <c:v>2457914.7240399998</c:v>
                </c:pt>
                <c:pt idx="327">
                  <c:v>2457916.72291</c:v>
                </c:pt>
                <c:pt idx="328">
                  <c:v>2457923.52428</c:v>
                </c:pt>
                <c:pt idx="329">
                  <c:v>2457926.2075999998</c:v>
                </c:pt>
                <c:pt idx="330">
                  <c:v>2457930.2348199999</c:v>
                </c:pt>
                <c:pt idx="331">
                  <c:v>2457939.27116</c:v>
                </c:pt>
                <c:pt idx="332">
                  <c:v>2457940.66475</c:v>
                </c:pt>
                <c:pt idx="333">
                  <c:v>2457951.26559</c:v>
                </c:pt>
                <c:pt idx="334">
                  <c:v>2457954.6657099999</c:v>
                </c:pt>
                <c:pt idx="335">
                  <c:v>2457955.6995000001</c:v>
                </c:pt>
                <c:pt idx="336">
                  <c:v>2457959.5143400002</c:v>
                </c:pt>
                <c:pt idx="337">
                  <c:v>2457960.6615399998</c:v>
                </c:pt>
                <c:pt idx="338">
                  <c:v>2457962.42717</c:v>
                </c:pt>
                <c:pt idx="339">
                  <c:v>2457966.50318</c:v>
                </c:pt>
                <c:pt idx="340">
                  <c:v>2457972.6188400001</c:v>
                </c:pt>
                <c:pt idx="341">
                  <c:v>2457974.5761099998</c:v>
                </c:pt>
                <c:pt idx="342">
                  <c:v>2457976.1449600002</c:v>
                </c:pt>
                <c:pt idx="343">
                  <c:v>2457980.0554499999</c:v>
                </c:pt>
                <c:pt idx="344">
                  <c:v>2457981.5152199999</c:v>
                </c:pt>
                <c:pt idx="345">
                  <c:v>2457982.5220900001</c:v>
                </c:pt>
                <c:pt idx="346">
                  <c:v>2457994.6069</c:v>
                </c:pt>
                <c:pt idx="347">
                  <c:v>2457997.67735</c:v>
                </c:pt>
                <c:pt idx="348">
                  <c:v>2457998.6883700001</c:v>
                </c:pt>
                <c:pt idx="349">
                  <c:v>2458000.6769900001</c:v>
                </c:pt>
                <c:pt idx="350">
                  <c:v>2458001.6855000001</c:v>
                </c:pt>
                <c:pt idx="351">
                  <c:v>2458003.6855700002</c:v>
                </c:pt>
                <c:pt idx="352">
                  <c:v>2458008.5508300001</c:v>
                </c:pt>
                <c:pt idx="353">
                  <c:v>2458009.6191799999</c:v>
                </c:pt>
                <c:pt idx="354">
                  <c:v>2458011.6269999999</c:v>
                </c:pt>
                <c:pt idx="355">
                  <c:v>2458017.3605800001</c:v>
                </c:pt>
                <c:pt idx="356">
                  <c:v>2458018.5515000001</c:v>
                </c:pt>
                <c:pt idx="357">
                  <c:v>2458020.5932300002</c:v>
                </c:pt>
                <c:pt idx="358">
                  <c:v>2458021.7058999999</c:v>
                </c:pt>
                <c:pt idx="359">
                  <c:v>2458024.2812999999</c:v>
                </c:pt>
                <c:pt idx="360">
                  <c:v>2458030.4769299999</c:v>
                </c:pt>
                <c:pt idx="361">
                  <c:v>2458033.8235599999</c:v>
                </c:pt>
                <c:pt idx="362">
                  <c:v>2458035.2073300001</c:v>
                </c:pt>
                <c:pt idx="363">
                  <c:v>2458037.4937700001</c:v>
                </c:pt>
                <c:pt idx="364">
                  <c:v>2458038.9978999998</c:v>
                </c:pt>
                <c:pt idx="365">
                  <c:v>2458039.9809500002</c:v>
                </c:pt>
                <c:pt idx="366">
                  <c:v>2458041.4514100002</c:v>
                </c:pt>
                <c:pt idx="367">
                  <c:v>2458042.6380699999</c:v>
                </c:pt>
                <c:pt idx="368">
                  <c:v>2458044.1555599999</c:v>
                </c:pt>
                <c:pt idx="369">
                  <c:v>2458045.2826</c:v>
                </c:pt>
                <c:pt idx="370">
                  <c:v>2458046.5784999998</c:v>
                </c:pt>
                <c:pt idx="371">
                  <c:v>2458047.6313800002</c:v>
                </c:pt>
                <c:pt idx="372">
                  <c:v>2458049.1371499998</c:v>
                </c:pt>
                <c:pt idx="373">
                  <c:v>2458050.4622499999</c:v>
                </c:pt>
                <c:pt idx="374">
                  <c:v>2458052.1235199999</c:v>
                </c:pt>
                <c:pt idx="375">
                  <c:v>2458054.60977</c:v>
                </c:pt>
                <c:pt idx="376">
                  <c:v>2458056.1108800001</c:v>
                </c:pt>
                <c:pt idx="377">
                  <c:v>2458060.60188</c:v>
                </c:pt>
                <c:pt idx="378">
                  <c:v>2458066.41561</c:v>
                </c:pt>
                <c:pt idx="379">
                  <c:v>2458068.4346799999</c:v>
                </c:pt>
                <c:pt idx="380">
                  <c:v>2458070.2204800001</c:v>
                </c:pt>
                <c:pt idx="381">
                  <c:v>2458071.8281999999</c:v>
                </c:pt>
                <c:pt idx="382">
                  <c:v>2458072.8261600002</c:v>
                </c:pt>
                <c:pt idx="383">
                  <c:v>2458074.375</c:v>
                </c:pt>
                <c:pt idx="384">
                  <c:v>2458075.4922199999</c:v>
                </c:pt>
                <c:pt idx="385">
                  <c:v>2458077.3665300002</c:v>
                </c:pt>
                <c:pt idx="386">
                  <c:v>2458079.0522400001</c:v>
                </c:pt>
                <c:pt idx="387">
                  <c:v>2458080.4330799999</c:v>
                </c:pt>
                <c:pt idx="388">
                  <c:v>2458081.7606000002</c:v>
                </c:pt>
                <c:pt idx="389">
                  <c:v>2458082.5268600001</c:v>
                </c:pt>
                <c:pt idx="390">
                  <c:v>2458084.86</c:v>
                </c:pt>
                <c:pt idx="391">
                  <c:v>2458086.236</c:v>
                </c:pt>
                <c:pt idx="392">
                  <c:v>2458087.8112499998</c:v>
                </c:pt>
                <c:pt idx="393">
                  <c:v>2458089.5</c:v>
                </c:pt>
                <c:pt idx="394">
                  <c:v>2458091.22083</c:v>
                </c:pt>
                <c:pt idx="395">
                  <c:v>2458092.8594599999</c:v>
                </c:pt>
                <c:pt idx="396">
                  <c:v>2458094.7319800002</c:v>
                </c:pt>
                <c:pt idx="397">
                  <c:v>2458096.2599399998</c:v>
                </c:pt>
                <c:pt idx="398">
                  <c:v>2458097.4703700002</c:v>
                </c:pt>
                <c:pt idx="399">
                  <c:v>2458098.7695200001</c:v>
                </c:pt>
                <c:pt idx="400">
                  <c:v>2458100.75832</c:v>
                </c:pt>
                <c:pt idx="401">
                  <c:v>2458102.3715499998</c:v>
                </c:pt>
                <c:pt idx="402">
                  <c:v>2458103.9303299999</c:v>
                </c:pt>
                <c:pt idx="403">
                  <c:v>2458104.6871400001</c:v>
                </c:pt>
                <c:pt idx="404">
                  <c:v>2458105.8079900001</c:v>
                </c:pt>
                <c:pt idx="405">
                  <c:v>2458107.3809199999</c:v>
                </c:pt>
                <c:pt idx="406">
                  <c:v>2458108.87029</c:v>
                </c:pt>
                <c:pt idx="407">
                  <c:v>2458111.2861100002</c:v>
                </c:pt>
                <c:pt idx="408">
                  <c:v>2458112.2999999998</c:v>
                </c:pt>
                <c:pt idx="409">
                  <c:v>2458115.1113</c:v>
                </c:pt>
                <c:pt idx="410">
                  <c:v>2458116.7250000001</c:v>
                </c:pt>
                <c:pt idx="411">
                  <c:v>2458119.4583000001</c:v>
                </c:pt>
                <c:pt idx="412">
                  <c:v>2458121.05382</c:v>
                </c:pt>
                <c:pt idx="413">
                  <c:v>2458124.2519999999</c:v>
                </c:pt>
                <c:pt idx="414">
                  <c:v>2458126.5781100001</c:v>
                </c:pt>
                <c:pt idx="415">
                  <c:v>2458130.5783299999</c:v>
                </c:pt>
                <c:pt idx="416">
                  <c:v>2458213.9880900001</c:v>
                </c:pt>
                <c:pt idx="417">
                  <c:v>2458217.47541</c:v>
                </c:pt>
                <c:pt idx="418">
                  <c:v>2458243.9146099999</c:v>
                </c:pt>
                <c:pt idx="419">
                  <c:v>2458254.8702099998</c:v>
                </c:pt>
                <c:pt idx="420">
                  <c:v>2458255.8945599999</c:v>
                </c:pt>
                <c:pt idx="421">
                  <c:v>2458289.7134500002</c:v>
                </c:pt>
                <c:pt idx="422">
                  <c:v>2458303.7086900002</c:v>
                </c:pt>
                <c:pt idx="423">
                  <c:v>2458311.85041</c:v>
                </c:pt>
                <c:pt idx="424">
                  <c:v>2458314.8099500001</c:v>
                </c:pt>
                <c:pt idx="425">
                  <c:v>2458318.25795</c:v>
                </c:pt>
                <c:pt idx="426">
                  <c:v>2458320.3818999999</c:v>
                </c:pt>
                <c:pt idx="427">
                  <c:v>2458321.7241500001</c:v>
                </c:pt>
                <c:pt idx="428">
                  <c:v>2458334.375</c:v>
                </c:pt>
                <c:pt idx="429">
                  <c:v>2458337.375</c:v>
                </c:pt>
                <c:pt idx="430">
                  <c:v>2458342.7075999998</c:v>
                </c:pt>
                <c:pt idx="431">
                  <c:v>2458344.6694</c:v>
                </c:pt>
                <c:pt idx="432">
                  <c:v>2458346.3437999999</c:v>
                </c:pt>
                <c:pt idx="433">
                  <c:v>2458353.6636999999</c:v>
                </c:pt>
                <c:pt idx="434">
                  <c:v>2458359.3139</c:v>
                </c:pt>
                <c:pt idx="435">
                  <c:v>2458361.6814999999</c:v>
                </c:pt>
                <c:pt idx="436">
                  <c:v>2458363.3592400001</c:v>
                </c:pt>
                <c:pt idx="437">
                  <c:v>2458366.3034999999</c:v>
                </c:pt>
                <c:pt idx="438">
                  <c:v>2458372.3152999999</c:v>
                </c:pt>
                <c:pt idx="439">
                  <c:v>2458373.6329000001</c:v>
                </c:pt>
                <c:pt idx="440">
                  <c:v>2458376.9671499999</c:v>
                </c:pt>
                <c:pt idx="441">
                  <c:v>2458386.8956900002</c:v>
                </c:pt>
                <c:pt idx="442">
                  <c:v>2458389.0201099999</c:v>
                </c:pt>
                <c:pt idx="443">
                  <c:v>2458390.5511099999</c:v>
                </c:pt>
                <c:pt idx="444">
                  <c:v>2458393.7967300001</c:v>
                </c:pt>
                <c:pt idx="445">
                  <c:v>2458395.8671499998</c:v>
                </c:pt>
                <c:pt idx="446">
                  <c:v>2458396.5902999998</c:v>
                </c:pt>
                <c:pt idx="447">
                  <c:v>2458401.51168</c:v>
                </c:pt>
                <c:pt idx="448">
                  <c:v>2458403.0415699999</c:v>
                </c:pt>
                <c:pt idx="449">
                  <c:v>2458404.37953</c:v>
                </c:pt>
                <c:pt idx="450">
                  <c:v>2458405.87733</c:v>
                </c:pt>
                <c:pt idx="451">
                  <c:v>2458409.28382</c:v>
                </c:pt>
                <c:pt idx="452">
                  <c:v>2458410.5751</c:v>
                </c:pt>
                <c:pt idx="453">
                  <c:v>2458414.5789000001</c:v>
                </c:pt>
                <c:pt idx="454">
                  <c:v>2458421.3355800002</c:v>
                </c:pt>
                <c:pt idx="455">
                  <c:v>2458425.5884199999</c:v>
                </c:pt>
                <c:pt idx="456">
                  <c:v>2458429.5721</c:v>
                </c:pt>
                <c:pt idx="457">
                  <c:v>2458430.6146</c:v>
                </c:pt>
                <c:pt idx="458">
                  <c:v>2458434.5701000001</c:v>
                </c:pt>
                <c:pt idx="459">
                  <c:v>2458436.59626</c:v>
                </c:pt>
                <c:pt idx="460">
                  <c:v>2458448.6005000002</c:v>
                </c:pt>
                <c:pt idx="461">
                  <c:v>2458456.5989999999</c:v>
                </c:pt>
                <c:pt idx="462">
                  <c:v>2458461.5852999999</c:v>
                </c:pt>
                <c:pt idx="463">
                  <c:v>2458471.5814</c:v>
                </c:pt>
                <c:pt idx="464">
                  <c:v>2458473.5610000002</c:v>
                </c:pt>
                <c:pt idx="465">
                  <c:v>2458475.5852999999</c:v>
                </c:pt>
                <c:pt idx="466">
                  <c:v>2458477.2857499998</c:v>
                </c:pt>
                <c:pt idx="467">
                  <c:v>2458485.5751</c:v>
                </c:pt>
                <c:pt idx="468">
                  <c:v>2458656.2685600002</c:v>
                </c:pt>
                <c:pt idx="469">
                  <c:v>2458663.1675999998</c:v>
                </c:pt>
                <c:pt idx="470">
                  <c:v>2458663.2038099999</c:v>
                </c:pt>
                <c:pt idx="471">
                  <c:v>2458666.8903800002</c:v>
                </c:pt>
                <c:pt idx="472">
                  <c:v>2458679.79109</c:v>
                </c:pt>
                <c:pt idx="473">
                  <c:v>2458702.7254499998</c:v>
                </c:pt>
                <c:pt idx="474">
                  <c:v>2458718.7023</c:v>
                </c:pt>
                <c:pt idx="475">
                  <c:v>2458720.42282</c:v>
                </c:pt>
                <c:pt idx="476">
                  <c:v>2458729.4035</c:v>
                </c:pt>
                <c:pt idx="477">
                  <c:v>2458731.3986</c:v>
                </c:pt>
                <c:pt idx="478">
                  <c:v>2458745.6645</c:v>
                </c:pt>
                <c:pt idx="479">
                  <c:v>2458753.6003</c:v>
                </c:pt>
                <c:pt idx="480">
                  <c:v>2458755.7244600002</c:v>
                </c:pt>
                <c:pt idx="481">
                  <c:v>2458755.7330399998</c:v>
                </c:pt>
                <c:pt idx="482">
                  <c:v>2458755.7416599998</c:v>
                </c:pt>
                <c:pt idx="483">
                  <c:v>2458757.5989999999</c:v>
                </c:pt>
                <c:pt idx="484">
                  <c:v>2458762.7038199999</c:v>
                </c:pt>
                <c:pt idx="485">
                  <c:v>2458762.7038199999</c:v>
                </c:pt>
                <c:pt idx="486">
                  <c:v>2458762.72792</c:v>
                </c:pt>
                <c:pt idx="487">
                  <c:v>2458762.72792</c:v>
                </c:pt>
                <c:pt idx="488">
                  <c:v>2458764.6025</c:v>
                </c:pt>
                <c:pt idx="489">
                  <c:v>2458766.47193</c:v>
                </c:pt>
                <c:pt idx="490">
                  <c:v>2458775.6463000001</c:v>
                </c:pt>
                <c:pt idx="491">
                  <c:v>2458776.6040400001</c:v>
                </c:pt>
                <c:pt idx="492">
                  <c:v>2458780.5942199999</c:v>
                </c:pt>
                <c:pt idx="493">
                  <c:v>2458792.5787800001</c:v>
                </c:pt>
                <c:pt idx="494">
                  <c:v>2458799.66059</c:v>
                </c:pt>
                <c:pt idx="495">
                  <c:v>2458801.5910800002</c:v>
                </c:pt>
                <c:pt idx="496">
                  <c:v>2458801.6039</c:v>
                </c:pt>
                <c:pt idx="497">
                  <c:v>2458805.6439999999</c:v>
                </c:pt>
                <c:pt idx="498">
                  <c:v>2458809.5826699999</c:v>
                </c:pt>
                <c:pt idx="499">
                  <c:v>2458812.6022999999</c:v>
                </c:pt>
                <c:pt idx="500">
                  <c:v>2458817.2985499999</c:v>
                </c:pt>
                <c:pt idx="501">
                  <c:v>2458818.6014999999</c:v>
                </c:pt>
                <c:pt idx="502">
                  <c:v>2458828.5904999999</c:v>
                </c:pt>
                <c:pt idx="503">
                  <c:v>2458830.5469999998</c:v>
                </c:pt>
                <c:pt idx="504">
                  <c:v>2458830.5628800001</c:v>
                </c:pt>
                <c:pt idx="505">
                  <c:v>2458834.5994000002</c:v>
                </c:pt>
                <c:pt idx="506">
                  <c:v>2458836.5537700001</c:v>
                </c:pt>
                <c:pt idx="507">
                  <c:v>2458839.574</c:v>
                </c:pt>
                <c:pt idx="508">
                  <c:v>2458844.5735999998</c:v>
                </c:pt>
                <c:pt idx="509">
                  <c:v>2458847.5832000002</c:v>
                </c:pt>
                <c:pt idx="510">
                  <c:v>2458851.5574710001</c:v>
                </c:pt>
                <c:pt idx="511">
                  <c:v>2459048.4987300001</c:v>
                </c:pt>
                <c:pt idx="512">
                  <c:v>2459056.4663</c:v>
                </c:pt>
                <c:pt idx="513">
                  <c:v>2459062.7026399998</c:v>
                </c:pt>
                <c:pt idx="514">
                  <c:v>2459068.4870500001</c:v>
                </c:pt>
                <c:pt idx="515">
                  <c:v>2459077.7477890002</c:v>
                </c:pt>
                <c:pt idx="516">
                  <c:v>2459077.7512619998</c:v>
                </c:pt>
                <c:pt idx="517">
                  <c:v>2459077.7547109998</c:v>
                </c:pt>
                <c:pt idx="518">
                  <c:v>2459077.7581710001</c:v>
                </c:pt>
                <c:pt idx="519">
                  <c:v>2459077.7616320001</c:v>
                </c:pt>
                <c:pt idx="520">
                  <c:v>2459085.3979000002</c:v>
                </c:pt>
                <c:pt idx="521">
                  <c:v>2459088.4130199999</c:v>
                </c:pt>
                <c:pt idx="522">
                  <c:v>2459099.3826000001</c:v>
                </c:pt>
                <c:pt idx="523">
                  <c:v>2459099.7115679998</c:v>
                </c:pt>
                <c:pt idx="524">
                  <c:v>2459099.7151330002</c:v>
                </c:pt>
                <c:pt idx="525">
                  <c:v>2459099.7186980001</c:v>
                </c:pt>
                <c:pt idx="526">
                  <c:v>2459099.722263</c:v>
                </c:pt>
                <c:pt idx="527">
                  <c:v>2459099.7258279999</c:v>
                </c:pt>
                <c:pt idx="528">
                  <c:v>2459106.3541999999</c:v>
                </c:pt>
                <c:pt idx="529">
                  <c:v>2459106.4407600001</c:v>
                </c:pt>
                <c:pt idx="530">
                  <c:v>2459107.3316299999</c:v>
                </c:pt>
                <c:pt idx="531">
                  <c:v>2459109.6803000001</c:v>
                </c:pt>
                <c:pt idx="532">
                  <c:v>2459111.3520999998</c:v>
                </c:pt>
                <c:pt idx="533">
                  <c:v>2459115.6740999999</c:v>
                </c:pt>
                <c:pt idx="534">
                  <c:v>2459116.4418199998</c:v>
                </c:pt>
                <c:pt idx="535">
                  <c:v>2459120.6532000001</c:v>
                </c:pt>
                <c:pt idx="536">
                  <c:v>2459128.6581000001</c:v>
                </c:pt>
                <c:pt idx="537">
                  <c:v>2459131.4071599999</c:v>
                </c:pt>
                <c:pt idx="538">
                  <c:v>2459134.6230700002</c:v>
                </c:pt>
                <c:pt idx="539">
                  <c:v>2459134.6710000001</c:v>
                </c:pt>
                <c:pt idx="540">
                  <c:v>2459139.6368999998</c:v>
                </c:pt>
                <c:pt idx="541">
                  <c:v>2459140.3042000001</c:v>
                </c:pt>
                <c:pt idx="542">
                  <c:v>2459141.65</c:v>
                </c:pt>
                <c:pt idx="543">
                  <c:v>2459143.6497</c:v>
                </c:pt>
                <c:pt idx="544">
                  <c:v>2459146.3173099998</c:v>
                </c:pt>
                <c:pt idx="545">
                  <c:v>2459148.45578</c:v>
                </c:pt>
                <c:pt idx="546">
                  <c:v>2459154.5757519999</c:v>
                </c:pt>
                <c:pt idx="547">
                  <c:v>2459154.5779280001</c:v>
                </c:pt>
                <c:pt idx="548">
                  <c:v>2459154.580116</c:v>
                </c:pt>
                <c:pt idx="549">
                  <c:v>2459154.5823149998</c:v>
                </c:pt>
                <c:pt idx="550">
                  <c:v>2459154.5874069999</c:v>
                </c:pt>
                <c:pt idx="551">
                  <c:v>2459154.5896299998</c:v>
                </c:pt>
                <c:pt idx="552">
                  <c:v>2459154.5918399999</c:v>
                </c:pt>
                <c:pt idx="553">
                  <c:v>2459154.5940510002</c:v>
                </c:pt>
                <c:pt idx="554">
                  <c:v>2459154.596262</c:v>
                </c:pt>
                <c:pt idx="555">
                  <c:v>2459157.622</c:v>
                </c:pt>
                <c:pt idx="556">
                  <c:v>2459159.3607100002</c:v>
                </c:pt>
                <c:pt idx="557">
                  <c:v>2459160.3235999998</c:v>
                </c:pt>
                <c:pt idx="558">
                  <c:v>2459173.5956999999</c:v>
                </c:pt>
                <c:pt idx="559">
                  <c:v>2459176.3870799998</c:v>
                </c:pt>
                <c:pt idx="560">
                  <c:v>2459188.6466000001</c:v>
                </c:pt>
                <c:pt idx="561">
                  <c:v>2459192.6472</c:v>
                </c:pt>
                <c:pt idx="562">
                  <c:v>2459196.2833400001</c:v>
                </c:pt>
                <c:pt idx="563">
                  <c:v>2459204.5490000001</c:v>
                </c:pt>
                <c:pt idx="564">
                  <c:v>2459212.5918999999</c:v>
                </c:pt>
                <c:pt idx="565">
                  <c:v>2459217.588</c:v>
                </c:pt>
                <c:pt idx="566">
                  <c:v>2459221.5562</c:v>
                </c:pt>
                <c:pt idx="567">
                  <c:v>2459227.5570999999</c:v>
                </c:pt>
                <c:pt idx="568">
                  <c:v>2459231.5406050002</c:v>
                </c:pt>
                <c:pt idx="569">
                  <c:v>2459231.5412079999</c:v>
                </c:pt>
                <c:pt idx="570">
                  <c:v>2459231.5415110001</c:v>
                </c:pt>
                <c:pt idx="571">
                  <c:v>2459231.5440619998</c:v>
                </c:pt>
                <c:pt idx="572">
                  <c:v>2459231.5455280002</c:v>
                </c:pt>
                <c:pt idx="573">
                  <c:v>2459231.5462699998</c:v>
                </c:pt>
                <c:pt idx="574">
                  <c:v>2459231.5470110001</c:v>
                </c:pt>
                <c:pt idx="575">
                  <c:v>2459231.5477519999</c:v>
                </c:pt>
                <c:pt idx="576">
                  <c:v>2459231.5493419999</c:v>
                </c:pt>
                <c:pt idx="577">
                  <c:v>2459231.5500889998</c:v>
                </c:pt>
                <c:pt idx="578">
                  <c:v>2459231.5508340001</c:v>
                </c:pt>
                <c:pt idx="579">
                  <c:v>2459231.5515780002</c:v>
                </c:pt>
                <c:pt idx="580">
                  <c:v>2459231.552321</c:v>
                </c:pt>
                <c:pt idx="581">
                  <c:v>2459231.5530659999</c:v>
                </c:pt>
                <c:pt idx="582">
                  <c:v>2459231.5553029999</c:v>
                </c:pt>
              </c:numCache>
            </c:numRef>
          </c:xVal>
          <c:yVal>
            <c:numRef>
              <c:f>V!$C$1:$C$1007</c:f>
              <c:numCache>
                <c:formatCode>General</c:formatCode>
                <c:ptCount val="1007"/>
                <c:pt idx="0">
                  <c:v>8.6199999999999992</c:v>
                </c:pt>
                <c:pt idx="1">
                  <c:v>8.5399999999999991</c:v>
                </c:pt>
                <c:pt idx="2">
                  <c:v>8.4600000000000009</c:v>
                </c:pt>
                <c:pt idx="3">
                  <c:v>8.48</c:v>
                </c:pt>
                <c:pt idx="4">
                  <c:v>8.875</c:v>
                </c:pt>
                <c:pt idx="5">
                  <c:v>8.4</c:v>
                </c:pt>
                <c:pt idx="6">
                  <c:v>8.375</c:v>
                </c:pt>
                <c:pt idx="7">
                  <c:v>8.81</c:v>
                </c:pt>
                <c:pt idx="8">
                  <c:v>8.57</c:v>
                </c:pt>
                <c:pt idx="9">
                  <c:v>8.36</c:v>
                </c:pt>
                <c:pt idx="10">
                  <c:v>8.26</c:v>
                </c:pt>
                <c:pt idx="11">
                  <c:v>8.6999999999999993</c:v>
                </c:pt>
                <c:pt idx="12">
                  <c:v>8.8000000000000007</c:v>
                </c:pt>
                <c:pt idx="13">
                  <c:v>8.86</c:v>
                </c:pt>
                <c:pt idx="14">
                  <c:v>8.44</c:v>
                </c:pt>
                <c:pt idx="15">
                  <c:v>8.4149999999999991</c:v>
                </c:pt>
                <c:pt idx="16">
                  <c:v>8.6980000000000004</c:v>
                </c:pt>
                <c:pt idx="17">
                  <c:v>8.73</c:v>
                </c:pt>
                <c:pt idx="18">
                  <c:v>8.65</c:v>
                </c:pt>
                <c:pt idx="19">
                  <c:v>8.6199999999999992</c:v>
                </c:pt>
                <c:pt idx="20">
                  <c:v>8.5500000000000007</c:v>
                </c:pt>
                <c:pt idx="21">
                  <c:v>8.5760000000000005</c:v>
                </c:pt>
                <c:pt idx="22">
                  <c:v>8.58</c:v>
                </c:pt>
                <c:pt idx="23">
                  <c:v>8.6199999999999992</c:v>
                </c:pt>
                <c:pt idx="24">
                  <c:v>8.64</c:v>
                </c:pt>
                <c:pt idx="25">
                  <c:v>8.5</c:v>
                </c:pt>
                <c:pt idx="26">
                  <c:v>8.5299999999999994</c:v>
                </c:pt>
                <c:pt idx="27">
                  <c:v>8.5</c:v>
                </c:pt>
                <c:pt idx="28">
                  <c:v>8.6</c:v>
                </c:pt>
                <c:pt idx="29">
                  <c:v>8.6</c:v>
                </c:pt>
                <c:pt idx="30">
                  <c:v>8.5399999999999991</c:v>
                </c:pt>
                <c:pt idx="31">
                  <c:v>8.6999999999999993</c:v>
                </c:pt>
                <c:pt idx="32">
                  <c:v>8.56</c:v>
                </c:pt>
                <c:pt idx="33">
                  <c:v>8.6649999999999991</c:v>
                </c:pt>
                <c:pt idx="34">
                  <c:v>8.625</c:v>
                </c:pt>
                <c:pt idx="35">
                  <c:v>8.74</c:v>
                </c:pt>
                <c:pt idx="36">
                  <c:v>8.76</c:v>
                </c:pt>
                <c:pt idx="37">
                  <c:v>8.6199999999999992</c:v>
                </c:pt>
                <c:pt idx="38">
                  <c:v>8.51</c:v>
                </c:pt>
                <c:pt idx="39">
                  <c:v>8.8049999999999997</c:v>
                </c:pt>
                <c:pt idx="40">
                  <c:v>8.64</c:v>
                </c:pt>
                <c:pt idx="41">
                  <c:v>8.6199999999999992</c:v>
                </c:pt>
                <c:pt idx="42">
                  <c:v>8.7200000000000006</c:v>
                </c:pt>
                <c:pt idx="43">
                  <c:v>8.57</c:v>
                </c:pt>
                <c:pt idx="44">
                  <c:v>8.7639999999999993</c:v>
                </c:pt>
                <c:pt idx="45">
                  <c:v>8.9</c:v>
                </c:pt>
                <c:pt idx="46">
                  <c:v>8.9</c:v>
                </c:pt>
                <c:pt idx="47">
                  <c:v>8.9499999999999993</c:v>
                </c:pt>
                <c:pt idx="48">
                  <c:v>8.9600000000000009</c:v>
                </c:pt>
                <c:pt idx="49">
                  <c:v>8.9600000000000009</c:v>
                </c:pt>
                <c:pt idx="50">
                  <c:v>8.9700000000000006</c:v>
                </c:pt>
                <c:pt idx="51">
                  <c:v>8.93</c:v>
                </c:pt>
                <c:pt idx="52">
                  <c:v>8.93</c:v>
                </c:pt>
                <c:pt idx="53">
                  <c:v>8.9149999999999991</c:v>
                </c:pt>
                <c:pt idx="54">
                  <c:v>8.9</c:v>
                </c:pt>
                <c:pt idx="55">
                  <c:v>8.89</c:v>
                </c:pt>
                <c:pt idx="56">
                  <c:v>8.8800000000000008</c:v>
                </c:pt>
                <c:pt idx="57">
                  <c:v>8.8800000000000008</c:v>
                </c:pt>
                <c:pt idx="58">
                  <c:v>8.8079999999999998</c:v>
                </c:pt>
                <c:pt idx="59">
                  <c:v>8.8539999999999992</c:v>
                </c:pt>
                <c:pt idx="60">
                  <c:v>8.84</c:v>
                </c:pt>
                <c:pt idx="61">
                  <c:v>8.83</c:v>
                </c:pt>
                <c:pt idx="62">
                  <c:v>8.9600000000000009</c:v>
                </c:pt>
                <c:pt idx="63">
                  <c:v>8.8000000000000007</c:v>
                </c:pt>
                <c:pt idx="64">
                  <c:v>8.8800000000000008</c:v>
                </c:pt>
                <c:pt idx="65">
                  <c:v>8.85</c:v>
                </c:pt>
                <c:pt idx="66">
                  <c:v>8.85</c:v>
                </c:pt>
                <c:pt idx="67">
                  <c:v>8.59</c:v>
                </c:pt>
                <c:pt idx="68">
                  <c:v>8.5030000000000001</c:v>
                </c:pt>
                <c:pt idx="69">
                  <c:v>8.51</c:v>
                </c:pt>
                <c:pt idx="70">
                  <c:v>8.4499999999999993</c:v>
                </c:pt>
                <c:pt idx="71">
                  <c:v>8.49</c:v>
                </c:pt>
                <c:pt idx="72">
                  <c:v>8.4030000000000005</c:v>
                </c:pt>
                <c:pt idx="73">
                  <c:v>8.4450000000000003</c:v>
                </c:pt>
                <c:pt idx="74">
                  <c:v>8.5277390000000004</c:v>
                </c:pt>
                <c:pt idx="75">
                  <c:v>8.5</c:v>
                </c:pt>
                <c:pt idx="76">
                  <c:v>8.4684480000000004</c:v>
                </c:pt>
                <c:pt idx="77">
                  <c:v>8.41</c:v>
                </c:pt>
                <c:pt idx="78">
                  <c:v>8.4209999999999994</c:v>
                </c:pt>
                <c:pt idx="79">
                  <c:v>8.4066329999999994</c:v>
                </c:pt>
                <c:pt idx="80">
                  <c:v>8.5094999999999992</c:v>
                </c:pt>
                <c:pt idx="81">
                  <c:v>8.4039999999999999</c:v>
                </c:pt>
                <c:pt idx="82">
                  <c:v>8.5299999999999994</c:v>
                </c:pt>
                <c:pt idx="83">
                  <c:v>8.5267750000000007</c:v>
                </c:pt>
                <c:pt idx="84">
                  <c:v>8.4860000000000007</c:v>
                </c:pt>
                <c:pt idx="85">
                  <c:v>8.5054829999999999</c:v>
                </c:pt>
                <c:pt idx="86">
                  <c:v>8.7466000000000008</c:v>
                </c:pt>
                <c:pt idx="87">
                  <c:v>8.8803999999999998</c:v>
                </c:pt>
                <c:pt idx="88">
                  <c:v>8.6813140000000004</c:v>
                </c:pt>
                <c:pt idx="89">
                  <c:v>8.6199999999999992</c:v>
                </c:pt>
                <c:pt idx="90">
                  <c:v>8.6310000000000002</c:v>
                </c:pt>
                <c:pt idx="91">
                  <c:v>8.6379999999999999</c:v>
                </c:pt>
                <c:pt idx="92">
                  <c:v>8.6355000000000004</c:v>
                </c:pt>
                <c:pt idx="93">
                  <c:v>8.6679999999999993</c:v>
                </c:pt>
                <c:pt idx="94">
                  <c:v>8.6069999999999993</c:v>
                </c:pt>
                <c:pt idx="95">
                  <c:v>8.4410000000000007</c:v>
                </c:pt>
                <c:pt idx="96">
                  <c:v>8.2609999999999992</c:v>
                </c:pt>
                <c:pt idx="97">
                  <c:v>8.8559999999999999</c:v>
                </c:pt>
                <c:pt idx="98">
                  <c:v>8.8904999999999994</c:v>
                </c:pt>
                <c:pt idx="99">
                  <c:v>8.9250000000000007</c:v>
                </c:pt>
                <c:pt idx="100">
                  <c:v>8.9610000000000003</c:v>
                </c:pt>
                <c:pt idx="101">
                  <c:v>8.9649999999999999</c:v>
                </c:pt>
                <c:pt idx="102">
                  <c:v>9.0549999999999997</c:v>
                </c:pt>
                <c:pt idx="103">
                  <c:v>9.1300000000000008</c:v>
                </c:pt>
                <c:pt idx="104">
                  <c:v>9.077</c:v>
                </c:pt>
                <c:pt idx="105">
                  <c:v>9.0990000000000002</c:v>
                </c:pt>
                <c:pt idx="106">
                  <c:v>9.0619999999999994</c:v>
                </c:pt>
                <c:pt idx="107">
                  <c:v>9.060333</c:v>
                </c:pt>
                <c:pt idx="108">
                  <c:v>9.0449999999999999</c:v>
                </c:pt>
                <c:pt idx="109">
                  <c:v>9.0280000000000005</c:v>
                </c:pt>
                <c:pt idx="110">
                  <c:v>9.0250000000000004</c:v>
                </c:pt>
                <c:pt idx="111">
                  <c:v>9.0389999999999997</c:v>
                </c:pt>
                <c:pt idx="112">
                  <c:v>9.0489999999999995</c:v>
                </c:pt>
                <c:pt idx="113">
                  <c:v>9.0530000000000008</c:v>
                </c:pt>
                <c:pt idx="114">
                  <c:v>9.0489999999999995</c:v>
                </c:pt>
                <c:pt idx="115">
                  <c:v>9.0540000000000003</c:v>
                </c:pt>
                <c:pt idx="116">
                  <c:v>8.8770000000000007</c:v>
                </c:pt>
                <c:pt idx="117">
                  <c:v>8.9190000000000005</c:v>
                </c:pt>
                <c:pt idx="118">
                  <c:v>8.8960000000000008</c:v>
                </c:pt>
                <c:pt idx="119">
                  <c:v>8.8829999999999991</c:v>
                </c:pt>
                <c:pt idx="120">
                  <c:v>8.9004999999999992</c:v>
                </c:pt>
                <c:pt idx="121">
                  <c:v>8.8770000000000007</c:v>
                </c:pt>
                <c:pt idx="122">
                  <c:v>8.9320000000000004</c:v>
                </c:pt>
                <c:pt idx="123">
                  <c:v>8.9109999999999996</c:v>
                </c:pt>
                <c:pt idx="124">
                  <c:v>8.92</c:v>
                </c:pt>
                <c:pt idx="125">
                  <c:v>8.5510000000000002</c:v>
                </c:pt>
                <c:pt idx="126">
                  <c:v>8.5239999999999991</c:v>
                </c:pt>
                <c:pt idx="127">
                  <c:v>8.5310000000000006</c:v>
                </c:pt>
                <c:pt idx="128">
                  <c:v>8.4629999999999992</c:v>
                </c:pt>
                <c:pt idx="129">
                  <c:v>8.4589999999999996</c:v>
                </c:pt>
                <c:pt idx="130">
                  <c:v>8.4309999999999992</c:v>
                </c:pt>
                <c:pt idx="131">
                  <c:v>8.4239999999999995</c:v>
                </c:pt>
                <c:pt idx="132">
                  <c:v>8.4339999999999993</c:v>
                </c:pt>
                <c:pt idx="133">
                  <c:v>8.3919999999999995</c:v>
                </c:pt>
                <c:pt idx="134">
                  <c:v>7.8029999999999999</c:v>
                </c:pt>
                <c:pt idx="135">
                  <c:v>7.2647500000000003</c:v>
                </c:pt>
                <c:pt idx="136">
                  <c:v>7.2305999999999999</c:v>
                </c:pt>
                <c:pt idx="137">
                  <c:v>7.1852530000000003</c:v>
                </c:pt>
                <c:pt idx="138">
                  <c:v>6.9542999999999999</c:v>
                </c:pt>
                <c:pt idx="139">
                  <c:v>7.0614999999999997</c:v>
                </c:pt>
                <c:pt idx="140">
                  <c:v>7.0980749999999997</c:v>
                </c:pt>
                <c:pt idx="141">
                  <c:v>6.9741540000000004</c:v>
                </c:pt>
                <c:pt idx="142">
                  <c:v>7.0519999999999996</c:v>
                </c:pt>
                <c:pt idx="143">
                  <c:v>7.0490000000000004</c:v>
                </c:pt>
                <c:pt idx="144">
                  <c:v>7.04</c:v>
                </c:pt>
                <c:pt idx="145">
                  <c:v>7.1135000000000002</c:v>
                </c:pt>
                <c:pt idx="146">
                  <c:v>6.9966330000000001</c:v>
                </c:pt>
                <c:pt idx="147">
                  <c:v>6.7473999999999998</c:v>
                </c:pt>
                <c:pt idx="148">
                  <c:v>7.2050000000000001</c:v>
                </c:pt>
                <c:pt idx="149">
                  <c:v>7.0363329999999999</c:v>
                </c:pt>
                <c:pt idx="150">
                  <c:v>7.2590000000000003</c:v>
                </c:pt>
                <c:pt idx="151">
                  <c:v>7.1974999999999998</c:v>
                </c:pt>
                <c:pt idx="152">
                  <c:v>7.2460000000000004</c:v>
                </c:pt>
                <c:pt idx="153">
                  <c:v>7.2507000000000001</c:v>
                </c:pt>
                <c:pt idx="154">
                  <c:v>7.3419999999999996</c:v>
                </c:pt>
                <c:pt idx="155">
                  <c:v>7.1090580000000001</c:v>
                </c:pt>
                <c:pt idx="156">
                  <c:v>7.3273330000000003</c:v>
                </c:pt>
                <c:pt idx="157">
                  <c:v>7.3570000000000002</c:v>
                </c:pt>
                <c:pt idx="158">
                  <c:v>7.4305000000000003</c:v>
                </c:pt>
                <c:pt idx="159">
                  <c:v>7.4485000000000001</c:v>
                </c:pt>
                <c:pt idx="160">
                  <c:v>7.4744999999999999</c:v>
                </c:pt>
                <c:pt idx="161">
                  <c:v>7.484</c:v>
                </c:pt>
                <c:pt idx="162">
                  <c:v>7.5449999999999999</c:v>
                </c:pt>
                <c:pt idx="163">
                  <c:v>7.5579999999999998</c:v>
                </c:pt>
                <c:pt idx="164">
                  <c:v>7.57</c:v>
                </c:pt>
                <c:pt idx="165">
                  <c:v>7.5949999999999998</c:v>
                </c:pt>
                <c:pt idx="166">
                  <c:v>7.632333</c:v>
                </c:pt>
                <c:pt idx="167">
                  <c:v>7.3390000000000004</c:v>
                </c:pt>
                <c:pt idx="168">
                  <c:v>7.6360000000000001</c:v>
                </c:pt>
                <c:pt idx="169">
                  <c:v>7.6715</c:v>
                </c:pt>
                <c:pt idx="170">
                  <c:v>7.7083329999999997</c:v>
                </c:pt>
                <c:pt idx="171">
                  <c:v>7.6965000000000003</c:v>
                </c:pt>
                <c:pt idx="172">
                  <c:v>7.6928000000000001</c:v>
                </c:pt>
                <c:pt idx="173">
                  <c:v>7.7545000000000002</c:v>
                </c:pt>
                <c:pt idx="174">
                  <c:v>7.7563329999999997</c:v>
                </c:pt>
                <c:pt idx="175">
                  <c:v>7.6740000000000004</c:v>
                </c:pt>
                <c:pt idx="176">
                  <c:v>7.8209999999999997</c:v>
                </c:pt>
                <c:pt idx="177">
                  <c:v>7.726</c:v>
                </c:pt>
                <c:pt idx="178">
                  <c:v>7.77</c:v>
                </c:pt>
                <c:pt idx="179">
                  <c:v>7.8479999999999999</c:v>
                </c:pt>
                <c:pt idx="180">
                  <c:v>7.7350000000000003</c:v>
                </c:pt>
                <c:pt idx="181">
                  <c:v>7.9640000000000004</c:v>
                </c:pt>
                <c:pt idx="182">
                  <c:v>7.7973330000000001</c:v>
                </c:pt>
                <c:pt idx="183">
                  <c:v>7.8404999999999996</c:v>
                </c:pt>
                <c:pt idx="184">
                  <c:v>7.8170000000000002</c:v>
                </c:pt>
                <c:pt idx="185">
                  <c:v>7.7910000000000004</c:v>
                </c:pt>
                <c:pt idx="186">
                  <c:v>7.7590000000000003</c:v>
                </c:pt>
                <c:pt idx="187">
                  <c:v>7.8925000000000001</c:v>
                </c:pt>
                <c:pt idx="188">
                  <c:v>7.8090000000000002</c:v>
                </c:pt>
                <c:pt idx="189">
                  <c:v>7.8987499999999997</c:v>
                </c:pt>
                <c:pt idx="190">
                  <c:v>7.8559999999999999</c:v>
                </c:pt>
                <c:pt idx="191">
                  <c:v>7.8929999999999998</c:v>
                </c:pt>
                <c:pt idx="192">
                  <c:v>7.9189999999999996</c:v>
                </c:pt>
                <c:pt idx="193">
                  <c:v>7.8944999999999999</c:v>
                </c:pt>
                <c:pt idx="194">
                  <c:v>7.9660000000000002</c:v>
                </c:pt>
                <c:pt idx="195">
                  <c:v>7.9249999999999998</c:v>
                </c:pt>
                <c:pt idx="196">
                  <c:v>7.9455</c:v>
                </c:pt>
                <c:pt idx="197">
                  <c:v>7.9359999999999999</c:v>
                </c:pt>
                <c:pt idx="198">
                  <c:v>7.9568329999999996</c:v>
                </c:pt>
                <c:pt idx="199">
                  <c:v>8.0129999999999999</c:v>
                </c:pt>
                <c:pt idx="200">
                  <c:v>7.9067499999999997</c:v>
                </c:pt>
                <c:pt idx="201">
                  <c:v>7.6135000000000002</c:v>
                </c:pt>
                <c:pt idx="202">
                  <c:v>7.4554</c:v>
                </c:pt>
                <c:pt idx="203">
                  <c:v>7.4055609999999996</c:v>
                </c:pt>
                <c:pt idx="204">
                  <c:v>7.5221429999999998</c:v>
                </c:pt>
                <c:pt idx="205">
                  <c:v>7.4726920000000003</c:v>
                </c:pt>
                <c:pt idx="206">
                  <c:v>7.4539090000000003</c:v>
                </c:pt>
                <c:pt idx="207">
                  <c:v>7.46</c:v>
                </c:pt>
                <c:pt idx="208">
                  <c:v>7.4080000000000004</c:v>
                </c:pt>
                <c:pt idx="209">
                  <c:v>7.3780000000000001</c:v>
                </c:pt>
                <c:pt idx="210">
                  <c:v>7.5281000000000002</c:v>
                </c:pt>
                <c:pt idx="211">
                  <c:v>7.5410000000000004</c:v>
                </c:pt>
                <c:pt idx="212">
                  <c:v>7.4320000000000004</c:v>
                </c:pt>
                <c:pt idx="213">
                  <c:v>7.4712500000000004</c:v>
                </c:pt>
                <c:pt idx="214">
                  <c:v>7.5419999999999998</c:v>
                </c:pt>
                <c:pt idx="215">
                  <c:v>7.5019999999999998</c:v>
                </c:pt>
                <c:pt idx="216">
                  <c:v>7.7631199999999998</c:v>
                </c:pt>
                <c:pt idx="217">
                  <c:v>7.5445000000000002</c:v>
                </c:pt>
                <c:pt idx="218">
                  <c:v>7.5570000000000004</c:v>
                </c:pt>
                <c:pt idx="219">
                  <c:v>7.6115000000000004</c:v>
                </c:pt>
                <c:pt idx="220">
                  <c:v>7.5650000000000004</c:v>
                </c:pt>
                <c:pt idx="221">
                  <c:v>7.548</c:v>
                </c:pt>
                <c:pt idx="222">
                  <c:v>7.5317499999999997</c:v>
                </c:pt>
                <c:pt idx="223">
                  <c:v>7.5413329999999998</c:v>
                </c:pt>
                <c:pt idx="224">
                  <c:v>7.5060000000000002</c:v>
                </c:pt>
                <c:pt idx="225">
                  <c:v>7.5947500000000003</c:v>
                </c:pt>
                <c:pt idx="226">
                  <c:v>7.6340000000000003</c:v>
                </c:pt>
                <c:pt idx="227">
                  <c:v>7.6859999999999999</c:v>
                </c:pt>
                <c:pt idx="228">
                  <c:v>7.7519999999999998</c:v>
                </c:pt>
                <c:pt idx="229">
                  <c:v>7.7683330000000002</c:v>
                </c:pt>
                <c:pt idx="230">
                  <c:v>7.7846669999999998</c:v>
                </c:pt>
                <c:pt idx="231">
                  <c:v>7.8550000000000004</c:v>
                </c:pt>
                <c:pt idx="232">
                  <c:v>7.9029999999999996</c:v>
                </c:pt>
                <c:pt idx="233">
                  <c:v>7.8579999999999997</c:v>
                </c:pt>
                <c:pt idx="234">
                  <c:v>7.923</c:v>
                </c:pt>
                <c:pt idx="235">
                  <c:v>7.9340000000000002</c:v>
                </c:pt>
                <c:pt idx="236">
                  <c:v>7.9580000000000002</c:v>
                </c:pt>
                <c:pt idx="237">
                  <c:v>7.9390000000000001</c:v>
                </c:pt>
                <c:pt idx="238">
                  <c:v>7.9580000000000002</c:v>
                </c:pt>
                <c:pt idx="239">
                  <c:v>7.8730000000000002</c:v>
                </c:pt>
                <c:pt idx="240">
                  <c:v>7.8789999999999996</c:v>
                </c:pt>
                <c:pt idx="241">
                  <c:v>8.0009999999999994</c:v>
                </c:pt>
                <c:pt idx="242">
                  <c:v>8.0120000000000005</c:v>
                </c:pt>
                <c:pt idx="243">
                  <c:v>8.1</c:v>
                </c:pt>
                <c:pt idx="244">
                  <c:v>8.0619999999999994</c:v>
                </c:pt>
                <c:pt idx="245">
                  <c:v>8.0180000000000007</c:v>
                </c:pt>
                <c:pt idx="246">
                  <c:v>8.1280000000000001</c:v>
                </c:pt>
                <c:pt idx="247">
                  <c:v>8.2110000000000003</c:v>
                </c:pt>
                <c:pt idx="248">
                  <c:v>8.1349999999999998</c:v>
                </c:pt>
                <c:pt idx="249">
                  <c:v>8.3684999999999992</c:v>
                </c:pt>
                <c:pt idx="250">
                  <c:v>8.3979999999999997</c:v>
                </c:pt>
                <c:pt idx="251">
                  <c:v>8.3874999999999993</c:v>
                </c:pt>
                <c:pt idx="252">
                  <c:v>8.3719999999999999</c:v>
                </c:pt>
                <c:pt idx="253">
                  <c:v>8.4819999999999993</c:v>
                </c:pt>
                <c:pt idx="254">
                  <c:v>8.4465000000000003</c:v>
                </c:pt>
                <c:pt idx="255">
                  <c:v>8.4565000000000001</c:v>
                </c:pt>
                <c:pt idx="256">
                  <c:v>8.4435000000000002</c:v>
                </c:pt>
                <c:pt idx="257">
                  <c:v>8.4600000000000009</c:v>
                </c:pt>
                <c:pt idx="258">
                  <c:v>8.4580000000000002</c:v>
                </c:pt>
                <c:pt idx="259">
                  <c:v>8.5039999999999996</c:v>
                </c:pt>
                <c:pt idx="260">
                  <c:v>8.5124999999999993</c:v>
                </c:pt>
                <c:pt idx="261">
                  <c:v>8.5190000000000001</c:v>
                </c:pt>
                <c:pt idx="262">
                  <c:v>8.5314999999999994</c:v>
                </c:pt>
                <c:pt idx="263">
                  <c:v>8.532</c:v>
                </c:pt>
                <c:pt idx="264">
                  <c:v>8.5429999999999993</c:v>
                </c:pt>
                <c:pt idx="265">
                  <c:v>8.5449999999999999</c:v>
                </c:pt>
                <c:pt idx="266">
                  <c:v>8.5399999999999991</c:v>
                </c:pt>
                <c:pt idx="267">
                  <c:v>8.5050000000000008</c:v>
                </c:pt>
                <c:pt idx="268">
                  <c:v>8.5024999999999995</c:v>
                </c:pt>
                <c:pt idx="269">
                  <c:v>8.5120000000000005</c:v>
                </c:pt>
                <c:pt idx="270">
                  <c:v>8.4782499999999992</c:v>
                </c:pt>
                <c:pt idx="271">
                  <c:v>8.5289999999999999</c:v>
                </c:pt>
                <c:pt idx="272">
                  <c:v>8.4734999999999996</c:v>
                </c:pt>
                <c:pt idx="273">
                  <c:v>8.4862500000000001</c:v>
                </c:pt>
                <c:pt idx="274">
                  <c:v>8.4651999999999994</c:v>
                </c:pt>
                <c:pt idx="275">
                  <c:v>8.42</c:v>
                </c:pt>
                <c:pt idx="276">
                  <c:v>8.4120000000000008</c:v>
                </c:pt>
                <c:pt idx="277">
                  <c:v>8.4459999999999997</c:v>
                </c:pt>
                <c:pt idx="278">
                  <c:v>8.468</c:v>
                </c:pt>
                <c:pt idx="279">
                  <c:v>8.4339999999999993</c:v>
                </c:pt>
                <c:pt idx="280">
                  <c:v>8.4105000000000008</c:v>
                </c:pt>
                <c:pt idx="281">
                  <c:v>8.4719999999999995</c:v>
                </c:pt>
                <c:pt idx="282">
                  <c:v>8.5214999999999996</c:v>
                </c:pt>
                <c:pt idx="283">
                  <c:v>8.5073329999999991</c:v>
                </c:pt>
                <c:pt idx="284">
                  <c:v>8.4860000000000007</c:v>
                </c:pt>
                <c:pt idx="285">
                  <c:v>8.42</c:v>
                </c:pt>
                <c:pt idx="286">
                  <c:v>8.5500000000000007</c:v>
                </c:pt>
                <c:pt idx="287">
                  <c:v>8.5546670000000002</c:v>
                </c:pt>
                <c:pt idx="288">
                  <c:v>8.5655000000000001</c:v>
                </c:pt>
                <c:pt idx="289">
                  <c:v>8.6159999999999997</c:v>
                </c:pt>
                <c:pt idx="290">
                  <c:v>8.57</c:v>
                </c:pt>
                <c:pt idx="291">
                  <c:v>8.9849999999999994</c:v>
                </c:pt>
                <c:pt idx="292">
                  <c:v>8.375</c:v>
                </c:pt>
                <c:pt idx="293">
                  <c:v>8.6210000000000004</c:v>
                </c:pt>
                <c:pt idx="294">
                  <c:v>8.5745000000000005</c:v>
                </c:pt>
                <c:pt idx="295">
                  <c:v>8.6430000000000007</c:v>
                </c:pt>
                <c:pt idx="296">
                  <c:v>8.7129999999999992</c:v>
                </c:pt>
                <c:pt idx="297">
                  <c:v>8.7309999999999999</c:v>
                </c:pt>
                <c:pt idx="298">
                  <c:v>8.59</c:v>
                </c:pt>
                <c:pt idx="299">
                  <c:v>8.7550000000000008</c:v>
                </c:pt>
                <c:pt idx="300">
                  <c:v>8.6780000000000008</c:v>
                </c:pt>
                <c:pt idx="301">
                  <c:v>8.7272499999999997</c:v>
                </c:pt>
                <c:pt idx="302">
                  <c:v>8.7370000000000001</c:v>
                </c:pt>
                <c:pt idx="303">
                  <c:v>8.7230000000000008</c:v>
                </c:pt>
                <c:pt idx="304">
                  <c:v>8.766</c:v>
                </c:pt>
                <c:pt idx="305">
                  <c:v>8.7799999999999994</c:v>
                </c:pt>
                <c:pt idx="306">
                  <c:v>8.7769999999999992</c:v>
                </c:pt>
                <c:pt idx="307">
                  <c:v>8.8249999999999993</c:v>
                </c:pt>
                <c:pt idx="308">
                  <c:v>8.907</c:v>
                </c:pt>
                <c:pt idx="309">
                  <c:v>8.8856669999999998</c:v>
                </c:pt>
                <c:pt idx="310">
                  <c:v>8.8379999999999992</c:v>
                </c:pt>
                <c:pt idx="311">
                  <c:v>8.9130000000000003</c:v>
                </c:pt>
                <c:pt idx="312">
                  <c:v>8.9369999999999994</c:v>
                </c:pt>
                <c:pt idx="313">
                  <c:v>8.8465000000000007</c:v>
                </c:pt>
                <c:pt idx="314">
                  <c:v>8.9890000000000008</c:v>
                </c:pt>
                <c:pt idx="315">
                  <c:v>8.92</c:v>
                </c:pt>
                <c:pt idx="316">
                  <c:v>8.9779999999999998</c:v>
                </c:pt>
                <c:pt idx="317">
                  <c:v>8.9619999999999997</c:v>
                </c:pt>
                <c:pt idx="318">
                  <c:v>8.9380000000000006</c:v>
                </c:pt>
                <c:pt idx="319">
                  <c:v>8.9664999999999999</c:v>
                </c:pt>
                <c:pt idx="320">
                  <c:v>8.9190000000000005</c:v>
                </c:pt>
                <c:pt idx="321">
                  <c:v>8.9120000000000008</c:v>
                </c:pt>
                <c:pt idx="322">
                  <c:v>8.9429999999999996</c:v>
                </c:pt>
                <c:pt idx="323">
                  <c:v>8.8439999999999994</c:v>
                </c:pt>
                <c:pt idx="324">
                  <c:v>8.7189999999999994</c:v>
                </c:pt>
                <c:pt idx="325">
                  <c:v>8.6479999999999997</c:v>
                </c:pt>
                <c:pt idx="326">
                  <c:v>8.66</c:v>
                </c:pt>
                <c:pt idx="327">
                  <c:v>8.6289999999999996</c:v>
                </c:pt>
                <c:pt idx="328">
                  <c:v>8.7219999999999995</c:v>
                </c:pt>
                <c:pt idx="329">
                  <c:v>8.6415000000000006</c:v>
                </c:pt>
                <c:pt idx="330">
                  <c:v>8.7686670000000007</c:v>
                </c:pt>
                <c:pt idx="331">
                  <c:v>8.7100000000000009</c:v>
                </c:pt>
                <c:pt idx="332">
                  <c:v>8.7080000000000002</c:v>
                </c:pt>
                <c:pt idx="333">
                  <c:v>8.7003330000000005</c:v>
                </c:pt>
                <c:pt idx="334">
                  <c:v>8.6229999999999993</c:v>
                </c:pt>
                <c:pt idx="335">
                  <c:v>8.67</c:v>
                </c:pt>
                <c:pt idx="336">
                  <c:v>8.7330000000000005</c:v>
                </c:pt>
                <c:pt idx="337">
                  <c:v>8.6</c:v>
                </c:pt>
                <c:pt idx="338">
                  <c:v>8.6110000000000007</c:v>
                </c:pt>
                <c:pt idx="339">
                  <c:v>8.6473329999999997</c:v>
                </c:pt>
                <c:pt idx="340">
                  <c:v>8.6020000000000003</c:v>
                </c:pt>
                <c:pt idx="341">
                  <c:v>8.5839999999999996</c:v>
                </c:pt>
                <c:pt idx="342">
                  <c:v>8.59</c:v>
                </c:pt>
                <c:pt idx="343">
                  <c:v>8.5190000000000001</c:v>
                </c:pt>
                <c:pt idx="344">
                  <c:v>8.4719999999999995</c:v>
                </c:pt>
                <c:pt idx="345">
                  <c:v>8.4730000000000008</c:v>
                </c:pt>
                <c:pt idx="346">
                  <c:v>8.5679999999999996</c:v>
                </c:pt>
                <c:pt idx="347">
                  <c:v>8.9135000000000009</c:v>
                </c:pt>
                <c:pt idx="348">
                  <c:v>8.5280000000000005</c:v>
                </c:pt>
                <c:pt idx="349">
                  <c:v>8.5559999999999992</c:v>
                </c:pt>
                <c:pt idx="350">
                  <c:v>8.5060000000000002</c:v>
                </c:pt>
                <c:pt idx="351">
                  <c:v>8.5739999999999998</c:v>
                </c:pt>
                <c:pt idx="352">
                  <c:v>8.6112000000000002</c:v>
                </c:pt>
                <c:pt idx="353">
                  <c:v>8.5305289999999996</c:v>
                </c:pt>
                <c:pt idx="354">
                  <c:v>8.5980000000000008</c:v>
                </c:pt>
                <c:pt idx="355">
                  <c:v>8.5299999999999994</c:v>
                </c:pt>
                <c:pt idx="356">
                  <c:v>8.5425000000000004</c:v>
                </c:pt>
                <c:pt idx="357">
                  <c:v>8.4960000000000004</c:v>
                </c:pt>
                <c:pt idx="358">
                  <c:v>8.5139999999999993</c:v>
                </c:pt>
                <c:pt idx="359">
                  <c:v>8.66</c:v>
                </c:pt>
                <c:pt idx="360">
                  <c:v>8.4778330000000004</c:v>
                </c:pt>
                <c:pt idx="361">
                  <c:v>8.5305</c:v>
                </c:pt>
                <c:pt idx="362">
                  <c:v>8.4776670000000003</c:v>
                </c:pt>
                <c:pt idx="363">
                  <c:v>8.4614999999999991</c:v>
                </c:pt>
                <c:pt idx="364">
                  <c:v>8.4745000000000008</c:v>
                </c:pt>
                <c:pt idx="365">
                  <c:v>8.4809999999999999</c:v>
                </c:pt>
                <c:pt idx="366">
                  <c:v>8.5269999999999992</c:v>
                </c:pt>
                <c:pt idx="367">
                  <c:v>8.4879999999999995</c:v>
                </c:pt>
                <c:pt idx="368">
                  <c:v>8.5229999999999997</c:v>
                </c:pt>
                <c:pt idx="369">
                  <c:v>8.64</c:v>
                </c:pt>
                <c:pt idx="370">
                  <c:v>8.59</c:v>
                </c:pt>
                <c:pt idx="371">
                  <c:v>8.5579999999999998</c:v>
                </c:pt>
                <c:pt idx="372">
                  <c:v>8.5410000000000004</c:v>
                </c:pt>
                <c:pt idx="373">
                  <c:v>8.5764999999999993</c:v>
                </c:pt>
                <c:pt idx="374">
                  <c:v>8.5254999999999992</c:v>
                </c:pt>
                <c:pt idx="375">
                  <c:v>8.5429999999999993</c:v>
                </c:pt>
                <c:pt idx="376">
                  <c:v>8.5374999999999996</c:v>
                </c:pt>
                <c:pt idx="377">
                  <c:v>8.5410000000000004</c:v>
                </c:pt>
                <c:pt idx="378">
                  <c:v>8.4819999999999993</c:v>
                </c:pt>
                <c:pt idx="379">
                  <c:v>8.4433330000000009</c:v>
                </c:pt>
                <c:pt idx="380">
                  <c:v>8.516667</c:v>
                </c:pt>
                <c:pt idx="381">
                  <c:v>8.59</c:v>
                </c:pt>
                <c:pt idx="382">
                  <c:v>8.6</c:v>
                </c:pt>
                <c:pt idx="383">
                  <c:v>8.65</c:v>
                </c:pt>
                <c:pt idx="384">
                  <c:v>8.3699999999999992</c:v>
                </c:pt>
                <c:pt idx="385">
                  <c:v>8.5266669999999998</c:v>
                </c:pt>
                <c:pt idx="386">
                  <c:v>8.5333330000000007</c:v>
                </c:pt>
                <c:pt idx="387">
                  <c:v>8.4357140000000008</c:v>
                </c:pt>
                <c:pt idx="388">
                  <c:v>8.5</c:v>
                </c:pt>
                <c:pt idx="389">
                  <c:v>8.5399999999999991</c:v>
                </c:pt>
                <c:pt idx="390">
                  <c:v>8.5500000000000007</c:v>
                </c:pt>
                <c:pt idx="391">
                  <c:v>8.5</c:v>
                </c:pt>
                <c:pt idx="392">
                  <c:v>8.5060000000000002</c:v>
                </c:pt>
                <c:pt idx="393">
                  <c:v>8.5</c:v>
                </c:pt>
                <c:pt idx="394">
                  <c:v>8.58</c:v>
                </c:pt>
                <c:pt idx="395">
                  <c:v>8.35</c:v>
                </c:pt>
                <c:pt idx="396">
                  <c:v>8.58</c:v>
                </c:pt>
                <c:pt idx="397">
                  <c:v>8.6</c:v>
                </c:pt>
                <c:pt idx="398">
                  <c:v>8.4666669999999993</c:v>
                </c:pt>
                <c:pt idx="399">
                  <c:v>8.483333</c:v>
                </c:pt>
                <c:pt idx="400">
                  <c:v>8.5333330000000007</c:v>
                </c:pt>
                <c:pt idx="401">
                  <c:v>8.6999999999999993</c:v>
                </c:pt>
                <c:pt idx="402">
                  <c:v>8.6300000000000008</c:v>
                </c:pt>
                <c:pt idx="403">
                  <c:v>8.5250000000000004</c:v>
                </c:pt>
                <c:pt idx="404">
                  <c:v>8.4749999999999996</c:v>
                </c:pt>
                <c:pt idx="405">
                  <c:v>8.0749999999999993</c:v>
                </c:pt>
                <c:pt idx="406">
                  <c:v>8.483333</c:v>
                </c:pt>
                <c:pt idx="407">
                  <c:v>8.33</c:v>
                </c:pt>
                <c:pt idx="408">
                  <c:v>8.4</c:v>
                </c:pt>
                <c:pt idx="409">
                  <c:v>8.5433330000000005</c:v>
                </c:pt>
                <c:pt idx="410">
                  <c:v>8.5500000000000007</c:v>
                </c:pt>
                <c:pt idx="411">
                  <c:v>8.6999999999999993</c:v>
                </c:pt>
                <c:pt idx="412">
                  <c:v>8.4250000000000007</c:v>
                </c:pt>
                <c:pt idx="413">
                  <c:v>8.6</c:v>
                </c:pt>
                <c:pt idx="414">
                  <c:v>8.5519999999999996</c:v>
                </c:pt>
                <c:pt idx="415">
                  <c:v>8.5640000000000001</c:v>
                </c:pt>
                <c:pt idx="416">
                  <c:v>8.5909999999999993</c:v>
                </c:pt>
                <c:pt idx="417">
                  <c:v>8.5924999999999994</c:v>
                </c:pt>
                <c:pt idx="418">
                  <c:v>8.6270000000000007</c:v>
                </c:pt>
                <c:pt idx="419">
                  <c:v>8.577</c:v>
                </c:pt>
                <c:pt idx="420">
                  <c:v>8.6280000000000001</c:v>
                </c:pt>
                <c:pt idx="421">
                  <c:v>8.4924999999999997</c:v>
                </c:pt>
                <c:pt idx="422">
                  <c:v>8.5709</c:v>
                </c:pt>
                <c:pt idx="423">
                  <c:v>8.6495999999999995</c:v>
                </c:pt>
                <c:pt idx="424">
                  <c:v>8.673</c:v>
                </c:pt>
                <c:pt idx="425">
                  <c:v>8.859</c:v>
                </c:pt>
                <c:pt idx="426">
                  <c:v>8.6</c:v>
                </c:pt>
                <c:pt idx="427">
                  <c:v>8.6304999999999996</c:v>
                </c:pt>
                <c:pt idx="428">
                  <c:v>8.6</c:v>
                </c:pt>
                <c:pt idx="429">
                  <c:v>8.51</c:v>
                </c:pt>
                <c:pt idx="430">
                  <c:v>8.6120000000000001</c:v>
                </c:pt>
                <c:pt idx="431">
                  <c:v>8.5809999999999995</c:v>
                </c:pt>
                <c:pt idx="432">
                  <c:v>8.64</c:v>
                </c:pt>
                <c:pt idx="433">
                  <c:v>8.6069999999999993</c:v>
                </c:pt>
                <c:pt idx="434">
                  <c:v>8.67</c:v>
                </c:pt>
                <c:pt idx="435">
                  <c:v>8.6530000000000005</c:v>
                </c:pt>
                <c:pt idx="436">
                  <c:v>8.6590000000000007</c:v>
                </c:pt>
                <c:pt idx="437">
                  <c:v>8.7200000000000006</c:v>
                </c:pt>
                <c:pt idx="438">
                  <c:v>8.6999999999999993</c:v>
                </c:pt>
                <c:pt idx="439">
                  <c:v>8.6790000000000003</c:v>
                </c:pt>
                <c:pt idx="440">
                  <c:v>8.6684999999999999</c:v>
                </c:pt>
                <c:pt idx="441">
                  <c:v>8.6880000000000006</c:v>
                </c:pt>
                <c:pt idx="442">
                  <c:v>8.7416669999999996</c:v>
                </c:pt>
                <c:pt idx="443">
                  <c:v>8.7076360000000008</c:v>
                </c:pt>
                <c:pt idx="444">
                  <c:v>8.6694999999999993</c:v>
                </c:pt>
                <c:pt idx="445">
                  <c:v>8.6944999999999997</c:v>
                </c:pt>
                <c:pt idx="446">
                  <c:v>8.7260000000000009</c:v>
                </c:pt>
                <c:pt idx="447">
                  <c:v>8.6954999999999991</c:v>
                </c:pt>
                <c:pt idx="448">
                  <c:v>8.6999999999999993</c:v>
                </c:pt>
                <c:pt idx="449">
                  <c:v>8.6509999999999998</c:v>
                </c:pt>
                <c:pt idx="450">
                  <c:v>8.8089999999999993</c:v>
                </c:pt>
                <c:pt idx="451">
                  <c:v>8.7789999999999999</c:v>
                </c:pt>
                <c:pt idx="452">
                  <c:v>8.7650000000000006</c:v>
                </c:pt>
                <c:pt idx="453">
                  <c:v>8.7769999999999992</c:v>
                </c:pt>
                <c:pt idx="454">
                  <c:v>8.7530000000000001</c:v>
                </c:pt>
                <c:pt idx="455">
                  <c:v>8.7330000000000005</c:v>
                </c:pt>
                <c:pt idx="456">
                  <c:v>8.6839999999999993</c:v>
                </c:pt>
                <c:pt idx="457">
                  <c:v>8.6950000000000003</c:v>
                </c:pt>
                <c:pt idx="458">
                  <c:v>8.7149999999999999</c:v>
                </c:pt>
                <c:pt idx="459">
                  <c:v>8.7420000000000009</c:v>
                </c:pt>
                <c:pt idx="460">
                  <c:v>8.8170000000000002</c:v>
                </c:pt>
                <c:pt idx="461">
                  <c:v>8.8339999999999996</c:v>
                </c:pt>
                <c:pt idx="462">
                  <c:v>8.8539999999999992</c:v>
                </c:pt>
                <c:pt idx="463">
                  <c:v>8.9309999999999992</c:v>
                </c:pt>
                <c:pt idx="464">
                  <c:v>8.9339999999999993</c:v>
                </c:pt>
                <c:pt idx="465">
                  <c:v>8.8989999999999991</c:v>
                </c:pt>
                <c:pt idx="466">
                  <c:v>8.9109999999999996</c:v>
                </c:pt>
                <c:pt idx="467">
                  <c:v>8.8789999999999996</c:v>
                </c:pt>
                <c:pt idx="468">
                  <c:v>8.7970000000000006</c:v>
                </c:pt>
                <c:pt idx="469">
                  <c:v>8.76</c:v>
                </c:pt>
                <c:pt idx="470">
                  <c:v>8.8140000000000001</c:v>
                </c:pt>
                <c:pt idx="471">
                  <c:v>8.7710000000000008</c:v>
                </c:pt>
                <c:pt idx="472">
                  <c:v>8.81</c:v>
                </c:pt>
                <c:pt idx="473">
                  <c:v>8.7569999999999997</c:v>
                </c:pt>
                <c:pt idx="474">
                  <c:v>8.7530000000000001</c:v>
                </c:pt>
                <c:pt idx="475">
                  <c:v>8.7469999999999999</c:v>
                </c:pt>
                <c:pt idx="476">
                  <c:v>8.8000000000000007</c:v>
                </c:pt>
                <c:pt idx="477">
                  <c:v>8.6999999999999993</c:v>
                </c:pt>
                <c:pt idx="478">
                  <c:v>8.6690000000000005</c:v>
                </c:pt>
                <c:pt idx="479">
                  <c:v>8.7279999999999998</c:v>
                </c:pt>
                <c:pt idx="480">
                  <c:v>8.7370000000000001</c:v>
                </c:pt>
                <c:pt idx="481">
                  <c:v>8.7360000000000007</c:v>
                </c:pt>
                <c:pt idx="482">
                  <c:v>8.734</c:v>
                </c:pt>
                <c:pt idx="483">
                  <c:v>8.75</c:v>
                </c:pt>
                <c:pt idx="484">
                  <c:v>8.7639999999999993</c:v>
                </c:pt>
                <c:pt idx="485">
                  <c:v>8.7680000000000007</c:v>
                </c:pt>
                <c:pt idx="486">
                  <c:v>8.7609999999999992</c:v>
                </c:pt>
                <c:pt idx="487">
                  <c:v>8.7650000000000006</c:v>
                </c:pt>
                <c:pt idx="488">
                  <c:v>8.7560000000000002</c:v>
                </c:pt>
                <c:pt idx="489">
                  <c:v>8.7279999999999998</c:v>
                </c:pt>
                <c:pt idx="490">
                  <c:v>8.6969999999999992</c:v>
                </c:pt>
                <c:pt idx="491">
                  <c:v>8.7799999999999994</c:v>
                </c:pt>
                <c:pt idx="492">
                  <c:v>8.7729999999999997</c:v>
                </c:pt>
                <c:pt idx="493">
                  <c:v>8.7469999999999999</c:v>
                </c:pt>
                <c:pt idx="494">
                  <c:v>8.6609999999999996</c:v>
                </c:pt>
                <c:pt idx="495">
                  <c:v>8.7210000000000001</c:v>
                </c:pt>
                <c:pt idx="496">
                  <c:v>8.625</c:v>
                </c:pt>
                <c:pt idx="497">
                  <c:v>8.6210000000000004</c:v>
                </c:pt>
                <c:pt idx="498">
                  <c:v>8.6319999999999997</c:v>
                </c:pt>
                <c:pt idx="499">
                  <c:v>8.5909999999999993</c:v>
                </c:pt>
                <c:pt idx="500">
                  <c:v>8.6159999999999997</c:v>
                </c:pt>
                <c:pt idx="501">
                  <c:v>8.6210000000000004</c:v>
                </c:pt>
                <c:pt idx="502">
                  <c:v>8.6389999999999993</c:v>
                </c:pt>
                <c:pt idx="503">
                  <c:v>8.6579999999999995</c:v>
                </c:pt>
                <c:pt idx="504">
                  <c:v>8.7449999999999992</c:v>
                </c:pt>
                <c:pt idx="505">
                  <c:v>8.6359999999999992</c:v>
                </c:pt>
                <c:pt idx="506">
                  <c:v>8.7189999999999994</c:v>
                </c:pt>
                <c:pt idx="507">
                  <c:v>8.5830000000000002</c:v>
                </c:pt>
                <c:pt idx="508">
                  <c:v>8.5419999999999998</c:v>
                </c:pt>
                <c:pt idx="509">
                  <c:v>8.5329999999999995</c:v>
                </c:pt>
                <c:pt idx="510">
                  <c:v>8.6159999999999997</c:v>
                </c:pt>
                <c:pt idx="511">
                  <c:v>8.4740000000000002</c:v>
                </c:pt>
                <c:pt idx="512">
                  <c:v>8.5239999999999991</c:v>
                </c:pt>
                <c:pt idx="513">
                  <c:v>8.5530000000000008</c:v>
                </c:pt>
                <c:pt idx="514">
                  <c:v>8.5640000000000001</c:v>
                </c:pt>
                <c:pt idx="515">
                  <c:v>8.423</c:v>
                </c:pt>
                <c:pt idx="516">
                  <c:v>8.3719999999999999</c:v>
                </c:pt>
                <c:pt idx="517">
                  <c:v>8.4450000000000003</c:v>
                </c:pt>
                <c:pt idx="518">
                  <c:v>8.4779999999999998</c:v>
                </c:pt>
                <c:pt idx="519">
                  <c:v>8.5079999999999991</c:v>
                </c:pt>
                <c:pt idx="520">
                  <c:v>8.42</c:v>
                </c:pt>
                <c:pt idx="521">
                  <c:v>8.4710000000000001</c:v>
                </c:pt>
                <c:pt idx="522">
                  <c:v>8.5399999999999991</c:v>
                </c:pt>
                <c:pt idx="523">
                  <c:v>8.5310000000000006</c:v>
                </c:pt>
                <c:pt idx="524">
                  <c:v>8.516</c:v>
                </c:pt>
                <c:pt idx="525">
                  <c:v>8.5220000000000002</c:v>
                </c:pt>
                <c:pt idx="526">
                  <c:v>8.5239999999999991</c:v>
                </c:pt>
                <c:pt idx="527">
                  <c:v>8.5250000000000004</c:v>
                </c:pt>
                <c:pt idx="528">
                  <c:v>8.56</c:v>
                </c:pt>
                <c:pt idx="529">
                  <c:v>8.5619999999999994</c:v>
                </c:pt>
                <c:pt idx="530">
                  <c:v>8.5449999999999999</c:v>
                </c:pt>
                <c:pt idx="531">
                  <c:v>8.5690000000000008</c:v>
                </c:pt>
                <c:pt idx="532">
                  <c:v>8.4</c:v>
                </c:pt>
                <c:pt idx="533">
                  <c:v>8.5579999999999998</c:v>
                </c:pt>
                <c:pt idx="534">
                  <c:v>8.5419999999999998</c:v>
                </c:pt>
                <c:pt idx="535">
                  <c:v>8.516</c:v>
                </c:pt>
                <c:pt idx="536">
                  <c:v>8.5820000000000007</c:v>
                </c:pt>
                <c:pt idx="537">
                  <c:v>8.5619999999999994</c:v>
                </c:pt>
                <c:pt idx="538">
                  <c:v>8.6310000000000002</c:v>
                </c:pt>
                <c:pt idx="539">
                  <c:v>8.5920000000000005</c:v>
                </c:pt>
                <c:pt idx="540">
                  <c:v>8.6609999999999996</c:v>
                </c:pt>
                <c:pt idx="541">
                  <c:v>8.66</c:v>
                </c:pt>
                <c:pt idx="542">
                  <c:v>8.6039999999999992</c:v>
                </c:pt>
                <c:pt idx="543">
                  <c:v>8.65</c:v>
                </c:pt>
                <c:pt idx="544">
                  <c:v>8.6489999999999991</c:v>
                </c:pt>
                <c:pt idx="545">
                  <c:v>8.5760000000000005</c:v>
                </c:pt>
                <c:pt idx="546">
                  <c:v>8.5449999999999999</c:v>
                </c:pt>
                <c:pt idx="547">
                  <c:v>8.5340000000000007</c:v>
                </c:pt>
                <c:pt idx="548">
                  <c:v>8.5350000000000001</c:v>
                </c:pt>
                <c:pt idx="549">
                  <c:v>8.5370000000000008</c:v>
                </c:pt>
                <c:pt idx="550">
                  <c:v>8.5389999999999997</c:v>
                </c:pt>
                <c:pt idx="551">
                  <c:v>8.5410000000000004</c:v>
                </c:pt>
                <c:pt idx="552">
                  <c:v>8.5280000000000005</c:v>
                </c:pt>
                <c:pt idx="553">
                  <c:v>8.5289999999999999</c:v>
                </c:pt>
                <c:pt idx="554">
                  <c:v>8.5359999999999996</c:v>
                </c:pt>
                <c:pt idx="555">
                  <c:v>8.5440000000000005</c:v>
                </c:pt>
                <c:pt idx="556">
                  <c:v>8.52</c:v>
                </c:pt>
                <c:pt idx="557">
                  <c:v>8.49</c:v>
                </c:pt>
                <c:pt idx="558">
                  <c:v>8.68</c:v>
                </c:pt>
                <c:pt idx="559">
                  <c:v>8.6820000000000004</c:v>
                </c:pt>
                <c:pt idx="560">
                  <c:v>8.7140000000000004</c:v>
                </c:pt>
                <c:pt idx="561">
                  <c:v>8.657</c:v>
                </c:pt>
                <c:pt idx="562">
                  <c:v>8.6270000000000007</c:v>
                </c:pt>
                <c:pt idx="563">
                  <c:v>8.7070000000000007</c:v>
                </c:pt>
                <c:pt idx="564">
                  <c:v>8.6920000000000002</c:v>
                </c:pt>
                <c:pt idx="565">
                  <c:v>8.7379999999999995</c:v>
                </c:pt>
                <c:pt idx="566">
                  <c:v>8.6940000000000008</c:v>
                </c:pt>
                <c:pt idx="567">
                  <c:v>8.6539999999999999</c:v>
                </c:pt>
                <c:pt idx="568">
                  <c:v>8.6750000000000007</c:v>
                </c:pt>
                <c:pt idx="569">
                  <c:v>8.6630000000000003</c:v>
                </c:pt>
                <c:pt idx="570">
                  <c:v>8.6739999999999995</c:v>
                </c:pt>
                <c:pt idx="571">
                  <c:v>8.6760000000000002</c:v>
                </c:pt>
                <c:pt idx="572">
                  <c:v>8.6760000000000002</c:v>
                </c:pt>
                <c:pt idx="573">
                  <c:v>8.6579999999999995</c:v>
                </c:pt>
                <c:pt idx="574">
                  <c:v>8.673</c:v>
                </c:pt>
                <c:pt idx="575">
                  <c:v>8.6750000000000007</c:v>
                </c:pt>
                <c:pt idx="576">
                  <c:v>8.6530000000000005</c:v>
                </c:pt>
                <c:pt idx="577">
                  <c:v>8.6829999999999998</c:v>
                </c:pt>
                <c:pt idx="578">
                  <c:v>8.6679999999999993</c:v>
                </c:pt>
                <c:pt idx="579">
                  <c:v>8.6709999999999994</c:v>
                </c:pt>
                <c:pt idx="580">
                  <c:v>8.67</c:v>
                </c:pt>
                <c:pt idx="581">
                  <c:v>8.67</c:v>
                </c:pt>
                <c:pt idx="582">
                  <c:v>8.6639999999999997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AA-4952-BE19-8CB2FF4544E7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2060"/>
                </a:solidFill>
              </a:ln>
              <a:effectLst/>
            </c:spPr>
          </c:marker>
          <c:dPt>
            <c:idx val="59"/>
            <c:marker>
              <c:symbol val="circle"/>
              <c:size val="5"/>
              <c:spPr>
                <a:solidFill>
                  <a:srgbClr val="0070C0"/>
                </a:solidFill>
                <a:ln w="9525">
                  <a:solidFill>
                    <a:srgbClr val="00206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FAAA-4952-BE19-8CB2FF4544E7}"/>
              </c:ext>
            </c:extLst>
          </c:dPt>
          <c:dPt>
            <c:idx val="68"/>
            <c:marker>
              <c:symbol val="circle"/>
              <c:size val="5"/>
              <c:spPr>
                <a:solidFill>
                  <a:srgbClr val="0070C0"/>
                </a:solidFill>
                <a:ln w="9525">
                  <a:solidFill>
                    <a:srgbClr val="00206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FAAA-4952-BE19-8CB2FF4544E7}"/>
              </c:ext>
            </c:extLst>
          </c:dPt>
          <c:xVal>
            <c:numRef>
              <c:f>Index!$N$67:$N$221</c:f>
              <c:numCache>
                <c:formatCode>General</c:formatCode>
                <c:ptCount val="155"/>
              </c:numCache>
            </c:numRef>
          </c:xVal>
          <c:yVal>
            <c:numRef>
              <c:f>Index!$O$67:$O$221</c:f>
              <c:numCache>
                <c:formatCode>General</c:formatCode>
                <c:ptCount val="15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AAA-4952-BE19-8CB2FF4544E7}"/>
            </c:ext>
          </c:extLst>
        </c:ser>
        <c:ser>
          <c:idx val="2"/>
          <c:order val="2"/>
          <c:spPr>
            <a:ln w="635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Index!$J$16:$J$17</c:f>
              <c:numCache>
                <c:formatCode>General</c:formatCode>
                <c:ptCount val="2"/>
                <c:pt idx="0">
                  <c:v>2457200</c:v>
                </c:pt>
                <c:pt idx="1">
                  <c:v>2457330</c:v>
                </c:pt>
              </c:numCache>
            </c:numRef>
          </c:xVal>
          <c:yVal>
            <c:numRef>
              <c:f>Index!$K$16:$K$17</c:f>
              <c:numCache>
                <c:formatCode>General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AAA-4952-BE19-8CB2FF4544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190216"/>
        <c:axId val="514191392"/>
      </c:scatterChart>
      <c:valAx>
        <c:axId val="514190216"/>
        <c:scaling>
          <c:orientation val="minMax"/>
          <c:max val="2457420"/>
          <c:min val="2457180"/>
        </c:scaling>
        <c:delete val="0"/>
        <c:axPos val="b"/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14191392"/>
        <c:crosses val="max"/>
        <c:crossBetween val="midCat"/>
        <c:majorUnit val="60"/>
      </c:valAx>
      <c:valAx>
        <c:axId val="514191392"/>
        <c:scaling>
          <c:orientation val="maxMin"/>
          <c:max val="8.5"/>
          <c:min val="6.5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14190216"/>
        <c:crosses val="autoZero"/>
        <c:crossBetween val="midCat"/>
        <c:majorUnit val="0.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Index!$N$3</c:f>
          <c:strCache>
            <c:ptCount val="1"/>
            <c:pt idx="0">
              <c:v>AG Peg (V)</c:v>
            </c:pt>
          </c:strCache>
        </c:strRef>
      </c:tx>
      <c:layout>
        <c:manualLayout>
          <c:xMode val="edge"/>
          <c:yMode val="edge"/>
          <c:x val="0.77237450172743838"/>
          <c:y val="0.12272572880261627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5559783364417692E-2"/>
          <c:y val="6.5795918367346939E-2"/>
          <c:w val="0.88888043327116462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66FF33"/>
              </a:solidFill>
              <a:ln w="9525">
                <a:noFill/>
              </a:ln>
              <a:effectLst/>
            </c:spPr>
          </c:marker>
          <c:xVal>
            <c:numRef>
              <c:f>V!$A$1:$A$1007</c:f>
              <c:numCache>
                <c:formatCode>General</c:formatCode>
                <c:ptCount val="1007"/>
                <c:pt idx="0">
                  <c:v>2452174.4</c:v>
                </c:pt>
                <c:pt idx="1">
                  <c:v>2452252.3542999998</c:v>
                </c:pt>
                <c:pt idx="2">
                  <c:v>2452254.3262</c:v>
                </c:pt>
                <c:pt idx="3">
                  <c:v>2452264.3914999999</c:v>
                </c:pt>
                <c:pt idx="4">
                  <c:v>2452910.3930000002</c:v>
                </c:pt>
                <c:pt idx="5">
                  <c:v>2453276.6867999998</c:v>
                </c:pt>
                <c:pt idx="6">
                  <c:v>2453303.34075</c:v>
                </c:pt>
                <c:pt idx="7">
                  <c:v>2453315.4</c:v>
                </c:pt>
                <c:pt idx="8">
                  <c:v>2453346.2999999998</c:v>
                </c:pt>
                <c:pt idx="9">
                  <c:v>2453352.2598999999</c:v>
                </c:pt>
                <c:pt idx="10">
                  <c:v>2453354.2999999998</c:v>
                </c:pt>
                <c:pt idx="11">
                  <c:v>2453593.8390000002</c:v>
                </c:pt>
                <c:pt idx="12">
                  <c:v>2453612.7719999999</c:v>
                </c:pt>
                <c:pt idx="13">
                  <c:v>2453630.3431500001</c:v>
                </c:pt>
                <c:pt idx="14">
                  <c:v>2453939.5178499999</c:v>
                </c:pt>
                <c:pt idx="15">
                  <c:v>2453946.50245</c:v>
                </c:pt>
                <c:pt idx="16">
                  <c:v>2455129.38062</c:v>
                </c:pt>
                <c:pt idx="17">
                  <c:v>2455506.2999999998</c:v>
                </c:pt>
                <c:pt idx="18">
                  <c:v>2455514.33</c:v>
                </c:pt>
                <c:pt idx="19">
                  <c:v>2455779.4236099999</c:v>
                </c:pt>
                <c:pt idx="20">
                  <c:v>2455792.3715300001</c:v>
                </c:pt>
                <c:pt idx="21">
                  <c:v>2455794.3680599998</c:v>
                </c:pt>
                <c:pt idx="22">
                  <c:v>2455797.3562500002</c:v>
                </c:pt>
                <c:pt idx="23">
                  <c:v>2455799.3888900001</c:v>
                </c:pt>
                <c:pt idx="24">
                  <c:v>2455802.9013899998</c:v>
                </c:pt>
                <c:pt idx="25">
                  <c:v>2455819.2916700002</c:v>
                </c:pt>
                <c:pt idx="26">
                  <c:v>2455820.3263900001</c:v>
                </c:pt>
                <c:pt idx="27">
                  <c:v>2455821.7968799998</c:v>
                </c:pt>
                <c:pt idx="28">
                  <c:v>2455824.2979199998</c:v>
                </c:pt>
                <c:pt idx="29">
                  <c:v>2455825.30694</c:v>
                </c:pt>
                <c:pt idx="30">
                  <c:v>2455827.3993099998</c:v>
                </c:pt>
                <c:pt idx="31">
                  <c:v>2455831.2847199999</c:v>
                </c:pt>
                <c:pt idx="32">
                  <c:v>2455832.3076399998</c:v>
                </c:pt>
                <c:pt idx="33">
                  <c:v>2455833.7847199999</c:v>
                </c:pt>
                <c:pt idx="34">
                  <c:v>2455836.7885400001</c:v>
                </c:pt>
                <c:pt idx="35">
                  <c:v>2455839.2826399999</c:v>
                </c:pt>
                <c:pt idx="36">
                  <c:v>2455847.2937500002</c:v>
                </c:pt>
                <c:pt idx="37">
                  <c:v>2455851.2569400002</c:v>
                </c:pt>
                <c:pt idx="38">
                  <c:v>2455856.2506900001</c:v>
                </c:pt>
                <c:pt idx="39">
                  <c:v>2455860.80902</c:v>
                </c:pt>
                <c:pt idx="40">
                  <c:v>2455867.2354199998</c:v>
                </c:pt>
                <c:pt idx="41">
                  <c:v>2455877.2937500002</c:v>
                </c:pt>
                <c:pt idx="42">
                  <c:v>2455883.2625000002</c:v>
                </c:pt>
                <c:pt idx="43">
                  <c:v>2455890.2409399999</c:v>
                </c:pt>
                <c:pt idx="44">
                  <c:v>2455923.2098400001</c:v>
                </c:pt>
                <c:pt idx="45">
                  <c:v>2456106.4319000002</c:v>
                </c:pt>
                <c:pt idx="46">
                  <c:v>2456109.4451000001</c:v>
                </c:pt>
                <c:pt idx="47">
                  <c:v>2456124.4042000002</c:v>
                </c:pt>
                <c:pt idx="48">
                  <c:v>2456127.4201000002</c:v>
                </c:pt>
                <c:pt idx="49">
                  <c:v>2456137.90625</c:v>
                </c:pt>
                <c:pt idx="50">
                  <c:v>2456139.4056000002</c:v>
                </c:pt>
                <c:pt idx="51">
                  <c:v>2456147.3604000001</c:v>
                </c:pt>
                <c:pt idx="52">
                  <c:v>2456148.9031500001</c:v>
                </c:pt>
                <c:pt idx="53">
                  <c:v>2456150.90105</c:v>
                </c:pt>
                <c:pt idx="54">
                  <c:v>2456154.3854</c:v>
                </c:pt>
                <c:pt idx="55">
                  <c:v>2456157.3639000002</c:v>
                </c:pt>
                <c:pt idx="56">
                  <c:v>2456163.3541999999</c:v>
                </c:pt>
                <c:pt idx="57">
                  <c:v>2456167.3958000001</c:v>
                </c:pt>
                <c:pt idx="58">
                  <c:v>2456168.7702100002</c:v>
                </c:pt>
                <c:pt idx="59">
                  <c:v>2456176.4180600001</c:v>
                </c:pt>
                <c:pt idx="60">
                  <c:v>2456179.3478999999</c:v>
                </c:pt>
                <c:pt idx="61">
                  <c:v>2456182.71765</c:v>
                </c:pt>
                <c:pt idx="62">
                  <c:v>2456185.3424</c:v>
                </c:pt>
                <c:pt idx="63">
                  <c:v>2456224.3221999998</c:v>
                </c:pt>
                <c:pt idx="64">
                  <c:v>2456239.2020999999</c:v>
                </c:pt>
                <c:pt idx="65">
                  <c:v>2456247.1985999998</c:v>
                </c:pt>
                <c:pt idx="66">
                  <c:v>2456248.2256999998</c:v>
                </c:pt>
                <c:pt idx="67">
                  <c:v>2456463.4583000001</c:v>
                </c:pt>
                <c:pt idx="68">
                  <c:v>2456476.4333000001</c:v>
                </c:pt>
                <c:pt idx="69">
                  <c:v>2456488.4312999998</c:v>
                </c:pt>
                <c:pt idx="70">
                  <c:v>2456500.3958000001</c:v>
                </c:pt>
                <c:pt idx="71">
                  <c:v>2456505.3958000001</c:v>
                </c:pt>
                <c:pt idx="72">
                  <c:v>2456508.8357899999</c:v>
                </c:pt>
                <c:pt idx="73">
                  <c:v>2456510.85543</c:v>
                </c:pt>
                <c:pt idx="74">
                  <c:v>2456516.4512399998</c:v>
                </c:pt>
                <c:pt idx="75">
                  <c:v>2456521.3958000001</c:v>
                </c:pt>
                <c:pt idx="76">
                  <c:v>2456531.3994399998</c:v>
                </c:pt>
                <c:pt idx="77">
                  <c:v>2456536.3958000001</c:v>
                </c:pt>
                <c:pt idx="78">
                  <c:v>2456538.3958000001</c:v>
                </c:pt>
                <c:pt idx="79">
                  <c:v>2456539.41879</c:v>
                </c:pt>
                <c:pt idx="80">
                  <c:v>2456552.33617</c:v>
                </c:pt>
                <c:pt idx="81">
                  <c:v>2456553.7105100001</c:v>
                </c:pt>
                <c:pt idx="82">
                  <c:v>2456559.3368000002</c:v>
                </c:pt>
                <c:pt idx="83">
                  <c:v>2456564.4398699999</c:v>
                </c:pt>
                <c:pt idx="84">
                  <c:v>2456566.66438</c:v>
                </c:pt>
                <c:pt idx="85">
                  <c:v>2456571.2913600001</c:v>
                </c:pt>
                <c:pt idx="86">
                  <c:v>2456595.3337300001</c:v>
                </c:pt>
                <c:pt idx="87">
                  <c:v>2456598.2647600002</c:v>
                </c:pt>
                <c:pt idx="88">
                  <c:v>2456604.4432899999</c:v>
                </c:pt>
                <c:pt idx="89">
                  <c:v>2456611.6142199999</c:v>
                </c:pt>
                <c:pt idx="90">
                  <c:v>2456613.6151000001</c:v>
                </c:pt>
                <c:pt idx="91">
                  <c:v>2456615.6011800002</c:v>
                </c:pt>
                <c:pt idx="92">
                  <c:v>2456617.09766</c:v>
                </c:pt>
                <c:pt idx="93">
                  <c:v>2456626.4849999999</c:v>
                </c:pt>
                <c:pt idx="94">
                  <c:v>2456645.4822999998</c:v>
                </c:pt>
                <c:pt idx="95">
                  <c:v>2456687.75177</c:v>
                </c:pt>
                <c:pt idx="96">
                  <c:v>2456764.87953</c:v>
                </c:pt>
                <c:pt idx="97">
                  <c:v>2456896.2533</c:v>
                </c:pt>
                <c:pt idx="98">
                  <c:v>2456898.5275300001</c:v>
                </c:pt>
                <c:pt idx="99">
                  <c:v>2456902.7019000002</c:v>
                </c:pt>
                <c:pt idx="100">
                  <c:v>2456904.6678200001</c:v>
                </c:pt>
                <c:pt idx="101">
                  <c:v>2456905.7867100001</c:v>
                </c:pt>
                <c:pt idx="102">
                  <c:v>2456913.66928</c:v>
                </c:pt>
                <c:pt idx="103">
                  <c:v>2456915.3333000001</c:v>
                </c:pt>
                <c:pt idx="104">
                  <c:v>2456918.6744300001</c:v>
                </c:pt>
                <c:pt idx="105">
                  <c:v>2456920.6946999999</c:v>
                </c:pt>
                <c:pt idx="106">
                  <c:v>2456924.1709799999</c:v>
                </c:pt>
                <c:pt idx="107">
                  <c:v>2456928.1839999999</c:v>
                </c:pt>
                <c:pt idx="108">
                  <c:v>2456929.6037699999</c:v>
                </c:pt>
                <c:pt idx="109">
                  <c:v>2456937.0830199998</c:v>
                </c:pt>
                <c:pt idx="110">
                  <c:v>2456939.5918100001</c:v>
                </c:pt>
                <c:pt idx="111">
                  <c:v>2456940.6616799999</c:v>
                </c:pt>
                <c:pt idx="112">
                  <c:v>2456943.58727</c:v>
                </c:pt>
                <c:pt idx="113">
                  <c:v>2456945.5534999999</c:v>
                </c:pt>
                <c:pt idx="114">
                  <c:v>2456948.5451000002</c:v>
                </c:pt>
                <c:pt idx="115">
                  <c:v>2456957.5213700002</c:v>
                </c:pt>
                <c:pt idx="116">
                  <c:v>2457006.4569999999</c:v>
                </c:pt>
                <c:pt idx="117">
                  <c:v>2457007.4951900002</c:v>
                </c:pt>
                <c:pt idx="118">
                  <c:v>2457018.4552099998</c:v>
                </c:pt>
                <c:pt idx="119">
                  <c:v>2457019.4591899998</c:v>
                </c:pt>
                <c:pt idx="120">
                  <c:v>2457021.9536299999</c:v>
                </c:pt>
                <c:pt idx="121">
                  <c:v>2457023.4454000001</c:v>
                </c:pt>
                <c:pt idx="122">
                  <c:v>2457024.45077</c:v>
                </c:pt>
                <c:pt idx="123">
                  <c:v>2457025.4514500001</c:v>
                </c:pt>
                <c:pt idx="124">
                  <c:v>2457028.4524599998</c:v>
                </c:pt>
                <c:pt idx="125">
                  <c:v>2457124.8841900001</c:v>
                </c:pt>
                <c:pt idx="126">
                  <c:v>2457128.87892</c:v>
                </c:pt>
                <c:pt idx="127">
                  <c:v>2457130.8763799998</c:v>
                </c:pt>
                <c:pt idx="128">
                  <c:v>2457156.8368799998</c:v>
                </c:pt>
                <c:pt idx="129">
                  <c:v>2457157.8372900002</c:v>
                </c:pt>
                <c:pt idx="130">
                  <c:v>2457163.8278600001</c:v>
                </c:pt>
                <c:pt idx="131">
                  <c:v>2457165.8193799998</c:v>
                </c:pt>
                <c:pt idx="132">
                  <c:v>2457166.8284900002</c:v>
                </c:pt>
                <c:pt idx="133">
                  <c:v>2457180.8183400002</c:v>
                </c:pt>
                <c:pt idx="134">
                  <c:v>2457187.8084399998</c:v>
                </c:pt>
                <c:pt idx="135">
                  <c:v>2457195.7437999998</c:v>
                </c:pt>
                <c:pt idx="136">
                  <c:v>2457197.70095</c:v>
                </c:pt>
                <c:pt idx="137">
                  <c:v>2457198.7049699998</c:v>
                </c:pt>
                <c:pt idx="138">
                  <c:v>2457199.6331199999</c:v>
                </c:pt>
                <c:pt idx="139">
                  <c:v>2457201.1612800001</c:v>
                </c:pt>
                <c:pt idx="140">
                  <c:v>2457203.1844299999</c:v>
                </c:pt>
                <c:pt idx="141">
                  <c:v>2457204.6269700001</c:v>
                </c:pt>
                <c:pt idx="142">
                  <c:v>2457206.2399599999</c:v>
                </c:pt>
                <c:pt idx="143">
                  <c:v>2457208.2933299998</c:v>
                </c:pt>
                <c:pt idx="144">
                  <c:v>2457209.2828000002</c:v>
                </c:pt>
                <c:pt idx="145">
                  <c:v>2457210.6661299998</c:v>
                </c:pt>
                <c:pt idx="146">
                  <c:v>2457211.66732</c:v>
                </c:pt>
                <c:pt idx="147">
                  <c:v>2457212.64426</c:v>
                </c:pt>
                <c:pt idx="148">
                  <c:v>2457214.3369800001</c:v>
                </c:pt>
                <c:pt idx="149">
                  <c:v>2457215.0386600001</c:v>
                </c:pt>
                <c:pt idx="150">
                  <c:v>2457216.70358</c:v>
                </c:pt>
                <c:pt idx="151">
                  <c:v>2457217.77092</c:v>
                </c:pt>
                <c:pt idx="152">
                  <c:v>2457219.4341000002</c:v>
                </c:pt>
                <c:pt idx="153">
                  <c:v>2457220.6915099998</c:v>
                </c:pt>
                <c:pt idx="154">
                  <c:v>2457221.70566</c:v>
                </c:pt>
                <c:pt idx="155">
                  <c:v>2457223.6121800002</c:v>
                </c:pt>
                <c:pt idx="156">
                  <c:v>2457225.36527</c:v>
                </c:pt>
                <c:pt idx="157">
                  <c:v>2457226.4931999999</c:v>
                </c:pt>
                <c:pt idx="158">
                  <c:v>2457227.6754899998</c:v>
                </c:pt>
                <c:pt idx="159">
                  <c:v>2457229.8229899998</c:v>
                </c:pt>
                <c:pt idx="160">
                  <c:v>2457231.69019</c:v>
                </c:pt>
                <c:pt idx="161">
                  <c:v>2457233.61546</c:v>
                </c:pt>
                <c:pt idx="162">
                  <c:v>2457234.6749</c:v>
                </c:pt>
                <c:pt idx="163">
                  <c:v>2457237.0114799999</c:v>
                </c:pt>
                <c:pt idx="164">
                  <c:v>2457238.65668</c:v>
                </c:pt>
                <c:pt idx="165">
                  <c:v>2457239.8086100002</c:v>
                </c:pt>
                <c:pt idx="166">
                  <c:v>2457241.5178100001</c:v>
                </c:pt>
                <c:pt idx="167">
                  <c:v>2457242.4956399999</c:v>
                </c:pt>
                <c:pt idx="168">
                  <c:v>2457244.1734600002</c:v>
                </c:pt>
                <c:pt idx="169">
                  <c:v>2457245.21477</c:v>
                </c:pt>
                <c:pt idx="170">
                  <c:v>2457246.91206</c:v>
                </c:pt>
                <c:pt idx="171">
                  <c:v>2457247.7928499999</c:v>
                </c:pt>
                <c:pt idx="172">
                  <c:v>2457249.3825400001</c:v>
                </c:pt>
                <c:pt idx="173">
                  <c:v>2457251.1683399999</c:v>
                </c:pt>
                <c:pt idx="174">
                  <c:v>2457252.3770099999</c:v>
                </c:pt>
                <c:pt idx="175">
                  <c:v>2457254.6334600002</c:v>
                </c:pt>
                <c:pt idx="176">
                  <c:v>2457256.6627799999</c:v>
                </c:pt>
                <c:pt idx="177">
                  <c:v>2457259.4322000002</c:v>
                </c:pt>
                <c:pt idx="178">
                  <c:v>2457261.4822900002</c:v>
                </c:pt>
                <c:pt idx="179">
                  <c:v>2457262.6622899999</c:v>
                </c:pt>
                <c:pt idx="180">
                  <c:v>2457264.57913</c:v>
                </c:pt>
                <c:pt idx="181">
                  <c:v>2457265.6403000001</c:v>
                </c:pt>
                <c:pt idx="182">
                  <c:v>2457267.14646</c:v>
                </c:pt>
                <c:pt idx="183">
                  <c:v>2457270.1270699999</c:v>
                </c:pt>
                <c:pt idx="184">
                  <c:v>2457271.8269199999</c:v>
                </c:pt>
                <c:pt idx="185">
                  <c:v>2457272.55657</c:v>
                </c:pt>
                <c:pt idx="186">
                  <c:v>2457273.6447100001</c:v>
                </c:pt>
                <c:pt idx="187">
                  <c:v>2457276.0360400002</c:v>
                </c:pt>
                <c:pt idx="188">
                  <c:v>2457278.21527</c:v>
                </c:pt>
                <c:pt idx="189">
                  <c:v>2457280.3928200002</c:v>
                </c:pt>
                <c:pt idx="190">
                  <c:v>2457281.5195800001</c:v>
                </c:pt>
                <c:pt idx="191">
                  <c:v>2457282.8798199999</c:v>
                </c:pt>
                <c:pt idx="192">
                  <c:v>2457284.9586299998</c:v>
                </c:pt>
                <c:pt idx="193">
                  <c:v>2457287.1526500001</c:v>
                </c:pt>
                <c:pt idx="194">
                  <c:v>2457287.6192999999</c:v>
                </c:pt>
                <c:pt idx="195">
                  <c:v>2457290.0581899998</c:v>
                </c:pt>
                <c:pt idx="196">
                  <c:v>2457291.4685</c:v>
                </c:pt>
                <c:pt idx="197">
                  <c:v>2457292.5326200002</c:v>
                </c:pt>
                <c:pt idx="198">
                  <c:v>2457295.2831000001</c:v>
                </c:pt>
                <c:pt idx="199">
                  <c:v>2457297.0984299998</c:v>
                </c:pt>
                <c:pt idx="200">
                  <c:v>2457302.51786</c:v>
                </c:pt>
                <c:pt idx="201">
                  <c:v>2457304.06862</c:v>
                </c:pt>
                <c:pt idx="202">
                  <c:v>2457306.3438499998</c:v>
                </c:pt>
                <c:pt idx="203">
                  <c:v>2457307.5438199998</c:v>
                </c:pt>
                <c:pt idx="204">
                  <c:v>2457309.5022900002</c:v>
                </c:pt>
                <c:pt idx="205">
                  <c:v>2457310.60892</c:v>
                </c:pt>
                <c:pt idx="206">
                  <c:v>2457312.9850900001</c:v>
                </c:pt>
                <c:pt idx="207">
                  <c:v>2457313.5696899998</c:v>
                </c:pt>
                <c:pt idx="208">
                  <c:v>2457314.5855</c:v>
                </c:pt>
                <c:pt idx="209">
                  <c:v>2457315.82436</c:v>
                </c:pt>
                <c:pt idx="210">
                  <c:v>2457321.58445</c:v>
                </c:pt>
                <c:pt idx="211">
                  <c:v>2457322.5630399999</c:v>
                </c:pt>
                <c:pt idx="212">
                  <c:v>2457324.8054599999</c:v>
                </c:pt>
                <c:pt idx="213">
                  <c:v>2457326.0028499998</c:v>
                </c:pt>
                <c:pt idx="214">
                  <c:v>2457328.36143</c:v>
                </c:pt>
                <c:pt idx="215">
                  <c:v>2457329.8434700002</c:v>
                </c:pt>
                <c:pt idx="216">
                  <c:v>2457330.6407400002</c:v>
                </c:pt>
                <c:pt idx="217">
                  <c:v>2457331.5385199999</c:v>
                </c:pt>
                <c:pt idx="218">
                  <c:v>2457333.9474300002</c:v>
                </c:pt>
                <c:pt idx="219">
                  <c:v>2457335.4615600002</c:v>
                </c:pt>
                <c:pt idx="220">
                  <c:v>2457339.2631999999</c:v>
                </c:pt>
                <c:pt idx="221">
                  <c:v>2457341.4723299998</c:v>
                </c:pt>
                <c:pt idx="222">
                  <c:v>2457343.7295900001</c:v>
                </c:pt>
                <c:pt idx="223">
                  <c:v>2457344.7892800001</c:v>
                </c:pt>
                <c:pt idx="224">
                  <c:v>2457347.5323600001</c:v>
                </c:pt>
                <c:pt idx="225">
                  <c:v>2457350.0152599998</c:v>
                </c:pt>
                <c:pt idx="226">
                  <c:v>2457351.5302400002</c:v>
                </c:pt>
                <c:pt idx="227">
                  <c:v>2457356.4262399999</c:v>
                </c:pt>
                <c:pt idx="228">
                  <c:v>2457358.5329700001</c:v>
                </c:pt>
                <c:pt idx="229">
                  <c:v>2457360.32015</c:v>
                </c:pt>
                <c:pt idx="230">
                  <c:v>2457361.87524</c:v>
                </c:pt>
                <c:pt idx="231">
                  <c:v>2457363.5332399998</c:v>
                </c:pt>
                <c:pt idx="232">
                  <c:v>2457366.3179500001</c:v>
                </c:pt>
                <c:pt idx="233">
                  <c:v>2457368.3937499998</c:v>
                </c:pt>
                <c:pt idx="234">
                  <c:v>2457370.5397199998</c:v>
                </c:pt>
                <c:pt idx="235">
                  <c:v>2457372.5839800001</c:v>
                </c:pt>
                <c:pt idx="236">
                  <c:v>2457373.5373499999</c:v>
                </c:pt>
                <c:pt idx="237">
                  <c:v>2457375.0941599999</c:v>
                </c:pt>
                <c:pt idx="238">
                  <c:v>2457376.43462</c:v>
                </c:pt>
                <c:pt idx="239">
                  <c:v>2457377.6417399999</c:v>
                </c:pt>
                <c:pt idx="240">
                  <c:v>2457381.33941</c:v>
                </c:pt>
                <c:pt idx="241">
                  <c:v>2457386.4139100001</c:v>
                </c:pt>
                <c:pt idx="242">
                  <c:v>2457391.5421600002</c:v>
                </c:pt>
                <c:pt idx="243">
                  <c:v>2457395.5373499999</c:v>
                </c:pt>
                <c:pt idx="244">
                  <c:v>2457402.5403800001</c:v>
                </c:pt>
                <c:pt idx="245">
                  <c:v>2457404.5453699999</c:v>
                </c:pt>
                <c:pt idx="246">
                  <c:v>2457407.48043</c:v>
                </c:pt>
                <c:pt idx="247">
                  <c:v>2457409.5445400001</c:v>
                </c:pt>
                <c:pt idx="248">
                  <c:v>2457410.5448099999</c:v>
                </c:pt>
                <c:pt idx="249">
                  <c:v>2457484.9080500002</c:v>
                </c:pt>
                <c:pt idx="250">
                  <c:v>2457494.0155600002</c:v>
                </c:pt>
                <c:pt idx="251">
                  <c:v>2457499.9983799998</c:v>
                </c:pt>
                <c:pt idx="252">
                  <c:v>2457502.8558299998</c:v>
                </c:pt>
                <c:pt idx="253">
                  <c:v>2457506.8363800002</c:v>
                </c:pt>
                <c:pt idx="254">
                  <c:v>2457534.9905699999</c:v>
                </c:pt>
                <c:pt idx="255">
                  <c:v>2457539.4783399999</c:v>
                </c:pt>
                <c:pt idx="256">
                  <c:v>2457540.96367</c:v>
                </c:pt>
                <c:pt idx="257">
                  <c:v>2457542.9758799998</c:v>
                </c:pt>
                <c:pt idx="258">
                  <c:v>2457544.9832299999</c:v>
                </c:pt>
                <c:pt idx="259">
                  <c:v>2457552.9647300001</c:v>
                </c:pt>
                <c:pt idx="260">
                  <c:v>2457553.9799799998</c:v>
                </c:pt>
                <c:pt idx="261">
                  <c:v>2457554.98484</c:v>
                </c:pt>
                <c:pt idx="262">
                  <c:v>2457557.92142</c:v>
                </c:pt>
                <c:pt idx="263">
                  <c:v>2457559.43199</c:v>
                </c:pt>
                <c:pt idx="264">
                  <c:v>2457560.7048599999</c:v>
                </c:pt>
                <c:pt idx="265">
                  <c:v>2457561.8622499998</c:v>
                </c:pt>
                <c:pt idx="266">
                  <c:v>2457565.6665500002</c:v>
                </c:pt>
                <c:pt idx="267">
                  <c:v>2457567.11729</c:v>
                </c:pt>
                <c:pt idx="268">
                  <c:v>2457567.8842699998</c:v>
                </c:pt>
                <c:pt idx="269">
                  <c:v>2457569.8619400002</c:v>
                </c:pt>
                <c:pt idx="270">
                  <c:v>2457571.4293999998</c:v>
                </c:pt>
                <c:pt idx="271">
                  <c:v>2457572.6518799998</c:v>
                </c:pt>
                <c:pt idx="272">
                  <c:v>2457573.8339800001</c:v>
                </c:pt>
                <c:pt idx="273">
                  <c:v>2457575.3316500001</c:v>
                </c:pt>
                <c:pt idx="274">
                  <c:v>2457576.37402</c:v>
                </c:pt>
                <c:pt idx="275">
                  <c:v>2457577.4306000001</c:v>
                </c:pt>
                <c:pt idx="276">
                  <c:v>2457579.7323799999</c:v>
                </c:pt>
                <c:pt idx="277">
                  <c:v>2457581.8344100001</c:v>
                </c:pt>
                <c:pt idx="278">
                  <c:v>2457583.4586700001</c:v>
                </c:pt>
                <c:pt idx="279">
                  <c:v>2457584.7039000001</c:v>
                </c:pt>
                <c:pt idx="280">
                  <c:v>2457585.77526</c:v>
                </c:pt>
                <c:pt idx="281">
                  <c:v>2457588.7249599998</c:v>
                </c:pt>
                <c:pt idx="282">
                  <c:v>2457591.1146200001</c:v>
                </c:pt>
                <c:pt idx="283">
                  <c:v>2457592.3741700002</c:v>
                </c:pt>
                <c:pt idx="284">
                  <c:v>2457594.6839899998</c:v>
                </c:pt>
                <c:pt idx="285">
                  <c:v>2457597.3785000001</c:v>
                </c:pt>
                <c:pt idx="286">
                  <c:v>2457599.6058700001</c:v>
                </c:pt>
                <c:pt idx="287">
                  <c:v>2457604.2196999998</c:v>
                </c:pt>
                <c:pt idx="288">
                  <c:v>2457605.5430100001</c:v>
                </c:pt>
                <c:pt idx="289">
                  <c:v>2457610.6886999998</c:v>
                </c:pt>
                <c:pt idx="290">
                  <c:v>2457612.52941</c:v>
                </c:pt>
                <c:pt idx="291">
                  <c:v>2457614.3808800001</c:v>
                </c:pt>
                <c:pt idx="292">
                  <c:v>2457616.66029</c:v>
                </c:pt>
                <c:pt idx="293">
                  <c:v>2457617.8043399998</c:v>
                </c:pt>
                <c:pt idx="294">
                  <c:v>2457622.97848</c:v>
                </c:pt>
                <c:pt idx="295">
                  <c:v>2457624.84926</c:v>
                </c:pt>
                <c:pt idx="296">
                  <c:v>2457631.2328699999</c:v>
                </c:pt>
                <c:pt idx="297">
                  <c:v>2457636.7237800001</c:v>
                </c:pt>
                <c:pt idx="298">
                  <c:v>2457640.3083000001</c:v>
                </c:pt>
                <c:pt idx="299">
                  <c:v>2457643.6228399999</c:v>
                </c:pt>
                <c:pt idx="300">
                  <c:v>2457645.4358100002</c:v>
                </c:pt>
                <c:pt idx="301">
                  <c:v>2457648.03743</c:v>
                </c:pt>
                <c:pt idx="302">
                  <c:v>2457650.6710100002</c:v>
                </c:pt>
                <c:pt idx="303">
                  <c:v>2457651.6745099998</c:v>
                </c:pt>
                <c:pt idx="304">
                  <c:v>2457655.1083900002</c:v>
                </c:pt>
                <c:pt idx="305">
                  <c:v>2457657.3097000001</c:v>
                </c:pt>
                <c:pt idx="306">
                  <c:v>2457658.8562799999</c:v>
                </c:pt>
                <c:pt idx="307">
                  <c:v>2457667.6885899999</c:v>
                </c:pt>
                <c:pt idx="308">
                  <c:v>2457672.5010500001</c:v>
                </c:pt>
                <c:pt idx="309">
                  <c:v>2457676.2395000001</c:v>
                </c:pt>
                <c:pt idx="310">
                  <c:v>2457677.53394</c:v>
                </c:pt>
                <c:pt idx="311">
                  <c:v>2457681.0550799998</c:v>
                </c:pt>
                <c:pt idx="312">
                  <c:v>2457685.5114099998</c:v>
                </c:pt>
                <c:pt idx="313">
                  <c:v>2457687.1038500001</c:v>
                </c:pt>
                <c:pt idx="314">
                  <c:v>2457693.5034500002</c:v>
                </c:pt>
                <c:pt idx="315">
                  <c:v>2457697.5901299999</c:v>
                </c:pt>
                <c:pt idx="316">
                  <c:v>2457701.5746900002</c:v>
                </c:pt>
                <c:pt idx="317">
                  <c:v>2457704.5206800001</c:v>
                </c:pt>
                <c:pt idx="318">
                  <c:v>2457706.5666700001</c:v>
                </c:pt>
                <c:pt idx="319">
                  <c:v>2457709.1108499998</c:v>
                </c:pt>
                <c:pt idx="320">
                  <c:v>2457714.5320000001</c:v>
                </c:pt>
                <c:pt idx="321">
                  <c:v>2457722.9241200001</c:v>
                </c:pt>
                <c:pt idx="322">
                  <c:v>2457743.5244</c:v>
                </c:pt>
                <c:pt idx="323">
                  <c:v>2457773.2366599999</c:v>
                </c:pt>
                <c:pt idx="324">
                  <c:v>2457876.84039</c:v>
                </c:pt>
                <c:pt idx="325">
                  <c:v>2457877.84454</c:v>
                </c:pt>
                <c:pt idx="326">
                  <c:v>2457914.7240399998</c:v>
                </c:pt>
                <c:pt idx="327">
                  <c:v>2457916.72291</c:v>
                </c:pt>
                <c:pt idx="328">
                  <c:v>2457923.52428</c:v>
                </c:pt>
                <c:pt idx="329">
                  <c:v>2457926.2075999998</c:v>
                </c:pt>
                <c:pt idx="330">
                  <c:v>2457930.2348199999</c:v>
                </c:pt>
                <c:pt idx="331">
                  <c:v>2457939.27116</c:v>
                </c:pt>
                <c:pt idx="332">
                  <c:v>2457940.66475</c:v>
                </c:pt>
                <c:pt idx="333">
                  <c:v>2457951.26559</c:v>
                </c:pt>
                <c:pt idx="334">
                  <c:v>2457954.6657099999</c:v>
                </c:pt>
                <c:pt idx="335">
                  <c:v>2457955.6995000001</c:v>
                </c:pt>
                <c:pt idx="336">
                  <c:v>2457959.5143400002</c:v>
                </c:pt>
                <c:pt idx="337">
                  <c:v>2457960.6615399998</c:v>
                </c:pt>
                <c:pt idx="338">
                  <c:v>2457962.42717</c:v>
                </c:pt>
                <c:pt idx="339">
                  <c:v>2457966.50318</c:v>
                </c:pt>
                <c:pt idx="340">
                  <c:v>2457972.6188400001</c:v>
                </c:pt>
                <c:pt idx="341">
                  <c:v>2457974.5761099998</c:v>
                </c:pt>
                <c:pt idx="342">
                  <c:v>2457976.1449600002</c:v>
                </c:pt>
                <c:pt idx="343">
                  <c:v>2457980.0554499999</c:v>
                </c:pt>
                <c:pt idx="344">
                  <c:v>2457981.5152199999</c:v>
                </c:pt>
                <c:pt idx="345">
                  <c:v>2457982.5220900001</c:v>
                </c:pt>
                <c:pt idx="346">
                  <c:v>2457994.6069</c:v>
                </c:pt>
                <c:pt idx="347">
                  <c:v>2457997.67735</c:v>
                </c:pt>
                <c:pt idx="348">
                  <c:v>2457998.6883700001</c:v>
                </c:pt>
                <c:pt idx="349">
                  <c:v>2458000.6769900001</c:v>
                </c:pt>
                <c:pt idx="350">
                  <c:v>2458001.6855000001</c:v>
                </c:pt>
                <c:pt idx="351">
                  <c:v>2458003.6855700002</c:v>
                </c:pt>
                <c:pt idx="352">
                  <c:v>2458008.5508300001</c:v>
                </c:pt>
                <c:pt idx="353">
                  <c:v>2458009.6191799999</c:v>
                </c:pt>
                <c:pt idx="354">
                  <c:v>2458011.6269999999</c:v>
                </c:pt>
                <c:pt idx="355">
                  <c:v>2458017.3605800001</c:v>
                </c:pt>
                <c:pt idx="356">
                  <c:v>2458018.5515000001</c:v>
                </c:pt>
                <c:pt idx="357">
                  <c:v>2458020.5932300002</c:v>
                </c:pt>
                <c:pt idx="358">
                  <c:v>2458021.7058999999</c:v>
                </c:pt>
                <c:pt idx="359">
                  <c:v>2458024.2812999999</c:v>
                </c:pt>
                <c:pt idx="360">
                  <c:v>2458030.4769299999</c:v>
                </c:pt>
                <c:pt idx="361">
                  <c:v>2458033.8235599999</c:v>
                </c:pt>
                <c:pt idx="362">
                  <c:v>2458035.2073300001</c:v>
                </c:pt>
                <c:pt idx="363">
                  <c:v>2458037.4937700001</c:v>
                </c:pt>
                <c:pt idx="364">
                  <c:v>2458038.9978999998</c:v>
                </c:pt>
                <c:pt idx="365">
                  <c:v>2458039.9809500002</c:v>
                </c:pt>
                <c:pt idx="366">
                  <c:v>2458041.4514100002</c:v>
                </c:pt>
                <c:pt idx="367">
                  <c:v>2458042.6380699999</c:v>
                </c:pt>
                <c:pt idx="368">
                  <c:v>2458044.1555599999</c:v>
                </c:pt>
                <c:pt idx="369">
                  <c:v>2458045.2826</c:v>
                </c:pt>
                <c:pt idx="370">
                  <c:v>2458046.5784999998</c:v>
                </c:pt>
                <c:pt idx="371">
                  <c:v>2458047.6313800002</c:v>
                </c:pt>
                <c:pt idx="372">
                  <c:v>2458049.1371499998</c:v>
                </c:pt>
                <c:pt idx="373">
                  <c:v>2458050.4622499999</c:v>
                </c:pt>
                <c:pt idx="374">
                  <c:v>2458052.1235199999</c:v>
                </c:pt>
                <c:pt idx="375">
                  <c:v>2458054.60977</c:v>
                </c:pt>
                <c:pt idx="376">
                  <c:v>2458056.1108800001</c:v>
                </c:pt>
                <c:pt idx="377">
                  <c:v>2458060.60188</c:v>
                </c:pt>
                <c:pt idx="378">
                  <c:v>2458066.41561</c:v>
                </c:pt>
                <c:pt idx="379">
                  <c:v>2458068.4346799999</c:v>
                </c:pt>
                <c:pt idx="380">
                  <c:v>2458070.2204800001</c:v>
                </c:pt>
                <c:pt idx="381">
                  <c:v>2458071.8281999999</c:v>
                </c:pt>
                <c:pt idx="382">
                  <c:v>2458072.8261600002</c:v>
                </c:pt>
                <c:pt idx="383">
                  <c:v>2458074.375</c:v>
                </c:pt>
                <c:pt idx="384">
                  <c:v>2458075.4922199999</c:v>
                </c:pt>
                <c:pt idx="385">
                  <c:v>2458077.3665300002</c:v>
                </c:pt>
                <c:pt idx="386">
                  <c:v>2458079.0522400001</c:v>
                </c:pt>
                <c:pt idx="387">
                  <c:v>2458080.4330799999</c:v>
                </c:pt>
                <c:pt idx="388">
                  <c:v>2458081.7606000002</c:v>
                </c:pt>
                <c:pt idx="389">
                  <c:v>2458082.5268600001</c:v>
                </c:pt>
                <c:pt idx="390">
                  <c:v>2458084.86</c:v>
                </c:pt>
                <c:pt idx="391">
                  <c:v>2458086.236</c:v>
                </c:pt>
                <c:pt idx="392">
                  <c:v>2458087.8112499998</c:v>
                </c:pt>
                <c:pt idx="393">
                  <c:v>2458089.5</c:v>
                </c:pt>
                <c:pt idx="394">
                  <c:v>2458091.22083</c:v>
                </c:pt>
                <c:pt idx="395">
                  <c:v>2458092.8594599999</c:v>
                </c:pt>
                <c:pt idx="396">
                  <c:v>2458094.7319800002</c:v>
                </c:pt>
                <c:pt idx="397">
                  <c:v>2458096.2599399998</c:v>
                </c:pt>
                <c:pt idx="398">
                  <c:v>2458097.4703700002</c:v>
                </c:pt>
                <c:pt idx="399">
                  <c:v>2458098.7695200001</c:v>
                </c:pt>
                <c:pt idx="400">
                  <c:v>2458100.75832</c:v>
                </c:pt>
                <c:pt idx="401">
                  <c:v>2458102.3715499998</c:v>
                </c:pt>
                <c:pt idx="402">
                  <c:v>2458103.9303299999</c:v>
                </c:pt>
                <c:pt idx="403">
                  <c:v>2458104.6871400001</c:v>
                </c:pt>
                <c:pt idx="404">
                  <c:v>2458105.8079900001</c:v>
                </c:pt>
                <c:pt idx="405">
                  <c:v>2458107.3809199999</c:v>
                </c:pt>
                <c:pt idx="406">
                  <c:v>2458108.87029</c:v>
                </c:pt>
                <c:pt idx="407">
                  <c:v>2458111.2861100002</c:v>
                </c:pt>
                <c:pt idx="408">
                  <c:v>2458112.2999999998</c:v>
                </c:pt>
                <c:pt idx="409">
                  <c:v>2458115.1113</c:v>
                </c:pt>
                <c:pt idx="410">
                  <c:v>2458116.7250000001</c:v>
                </c:pt>
                <c:pt idx="411">
                  <c:v>2458119.4583000001</c:v>
                </c:pt>
                <c:pt idx="412">
                  <c:v>2458121.05382</c:v>
                </c:pt>
                <c:pt idx="413">
                  <c:v>2458124.2519999999</c:v>
                </c:pt>
                <c:pt idx="414">
                  <c:v>2458126.5781100001</c:v>
                </c:pt>
                <c:pt idx="415">
                  <c:v>2458130.5783299999</c:v>
                </c:pt>
                <c:pt idx="416">
                  <c:v>2458213.9880900001</c:v>
                </c:pt>
                <c:pt idx="417">
                  <c:v>2458217.47541</c:v>
                </c:pt>
                <c:pt idx="418">
                  <c:v>2458243.9146099999</c:v>
                </c:pt>
                <c:pt idx="419">
                  <c:v>2458254.8702099998</c:v>
                </c:pt>
                <c:pt idx="420">
                  <c:v>2458255.8945599999</c:v>
                </c:pt>
                <c:pt idx="421">
                  <c:v>2458289.7134500002</c:v>
                </c:pt>
                <c:pt idx="422">
                  <c:v>2458303.7086900002</c:v>
                </c:pt>
                <c:pt idx="423">
                  <c:v>2458311.85041</c:v>
                </c:pt>
                <c:pt idx="424">
                  <c:v>2458314.8099500001</c:v>
                </c:pt>
                <c:pt idx="425">
                  <c:v>2458318.25795</c:v>
                </c:pt>
                <c:pt idx="426">
                  <c:v>2458320.3818999999</c:v>
                </c:pt>
                <c:pt idx="427">
                  <c:v>2458321.7241500001</c:v>
                </c:pt>
                <c:pt idx="428">
                  <c:v>2458334.375</c:v>
                </c:pt>
                <c:pt idx="429">
                  <c:v>2458337.375</c:v>
                </c:pt>
                <c:pt idx="430">
                  <c:v>2458342.7075999998</c:v>
                </c:pt>
                <c:pt idx="431">
                  <c:v>2458344.6694</c:v>
                </c:pt>
                <c:pt idx="432">
                  <c:v>2458346.3437999999</c:v>
                </c:pt>
                <c:pt idx="433">
                  <c:v>2458353.6636999999</c:v>
                </c:pt>
                <c:pt idx="434">
                  <c:v>2458359.3139</c:v>
                </c:pt>
                <c:pt idx="435">
                  <c:v>2458361.6814999999</c:v>
                </c:pt>
                <c:pt idx="436">
                  <c:v>2458363.3592400001</c:v>
                </c:pt>
                <c:pt idx="437">
                  <c:v>2458366.3034999999</c:v>
                </c:pt>
                <c:pt idx="438">
                  <c:v>2458372.3152999999</c:v>
                </c:pt>
                <c:pt idx="439">
                  <c:v>2458373.6329000001</c:v>
                </c:pt>
                <c:pt idx="440">
                  <c:v>2458376.9671499999</c:v>
                </c:pt>
                <c:pt idx="441">
                  <c:v>2458386.8956900002</c:v>
                </c:pt>
                <c:pt idx="442">
                  <c:v>2458389.0201099999</c:v>
                </c:pt>
                <c:pt idx="443">
                  <c:v>2458390.5511099999</c:v>
                </c:pt>
                <c:pt idx="444">
                  <c:v>2458393.7967300001</c:v>
                </c:pt>
                <c:pt idx="445">
                  <c:v>2458395.8671499998</c:v>
                </c:pt>
                <c:pt idx="446">
                  <c:v>2458396.5902999998</c:v>
                </c:pt>
                <c:pt idx="447">
                  <c:v>2458401.51168</c:v>
                </c:pt>
                <c:pt idx="448">
                  <c:v>2458403.0415699999</c:v>
                </c:pt>
                <c:pt idx="449">
                  <c:v>2458404.37953</c:v>
                </c:pt>
                <c:pt idx="450">
                  <c:v>2458405.87733</c:v>
                </c:pt>
                <c:pt idx="451">
                  <c:v>2458409.28382</c:v>
                </c:pt>
                <c:pt idx="452">
                  <c:v>2458410.5751</c:v>
                </c:pt>
                <c:pt idx="453">
                  <c:v>2458414.5789000001</c:v>
                </c:pt>
                <c:pt idx="454">
                  <c:v>2458421.3355800002</c:v>
                </c:pt>
                <c:pt idx="455">
                  <c:v>2458425.5884199999</c:v>
                </c:pt>
                <c:pt idx="456">
                  <c:v>2458429.5721</c:v>
                </c:pt>
                <c:pt idx="457">
                  <c:v>2458430.6146</c:v>
                </c:pt>
                <c:pt idx="458">
                  <c:v>2458434.5701000001</c:v>
                </c:pt>
                <c:pt idx="459">
                  <c:v>2458436.59626</c:v>
                </c:pt>
                <c:pt idx="460">
                  <c:v>2458448.6005000002</c:v>
                </c:pt>
                <c:pt idx="461">
                  <c:v>2458456.5989999999</c:v>
                </c:pt>
                <c:pt idx="462">
                  <c:v>2458461.5852999999</c:v>
                </c:pt>
                <c:pt idx="463">
                  <c:v>2458471.5814</c:v>
                </c:pt>
                <c:pt idx="464">
                  <c:v>2458473.5610000002</c:v>
                </c:pt>
                <c:pt idx="465">
                  <c:v>2458475.5852999999</c:v>
                </c:pt>
                <c:pt idx="466">
                  <c:v>2458477.2857499998</c:v>
                </c:pt>
                <c:pt idx="467">
                  <c:v>2458485.5751</c:v>
                </c:pt>
                <c:pt idx="468">
                  <c:v>2458656.2685600002</c:v>
                </c:pt>
                <c:pt idx="469">
                  <c:v>2458663.1675999998</c:v>
                </c:pt>
                <c:pt idx="470">
                  <c:v>2458663.2038099999</c:v>
                </c:pt>
                <c:pt idx="471">
                  <c:v>2458666.8903800002</c:v>
                </c:pt>
                <c:pt idx="472">
                  <c:v>2458679.79109</c:v>
                </c:pt>
                <c:pt idx="473">
                  <c:v>2458702.7254499998</c:v>
                </c:pt>
                <c:pt idx="474">
                  <c:v>2458718.7023</c:v>
                </c:pt>
                <c:pt idx="475">
                  <c:v>2458720.42282</c:v>
                </c:pt>
                <c:pt idx="476">
                  <c:v>2458729.4035</c:v>
                </c:pt>
                <c:pt idx="477">
                  <c:v>2458731.3986</c:v>
                </c:pt>
                <c:pt idx="478">
                  <c:v>2458745.6645</c:v>
                </c:pt>
                <c:pt idx="479">
                  <c:v>2458753.6003</c:v>
                </c:pt>
                <c:pt idx="480">
                  <c:v>2458755.7244600002</c:v>
                </c:pt>
                <c:pt idx="481">
                  <c:v>2458755.7330399998</c:v>
                </c:pt>
                <c:pt idx="482">
                  <c:v>2458755.7416599998</c:v>
                </c:pt>
                <c:pt idx="483">
                  <c:v>2458757.5989999999</c:v>
                </c:pt>
                <c:pt idx="484">
                  <c:v>2458762.7038199999</c:v>
                </c:pt>
                <c:pt idx="485">
                  <c:v>2458762.7038199999</c:v>
                </c:pt>
                <c:pt idx="486">
                  <c:v>2458762.72792</c:v>
                </c:pt>
                <c:pt idx="487">
                  <c:v>2458762.72792</c:v>
                </c:pt>
                <c:pt idx="488">
                  <c:v>2458764.6025</c:v>
                </c:pt>
                <c:pt idx="489">
                  <c:v>2458766.47193</c:v>
                </c:pt>
                <c:pt idx="490">
                  <c:v>2458775.6463000001</c:v>
                </c:pt>
                <c:pt idx="491">
                  <c:v>2458776.6040400001</c:v>
                </c:pt>
                <c:pt idx="492">
                  <c:v>2458780.5942199999</c:v>
                </c:pt>
                <c:pt idx="493">
                  <c:v>2458792.5787800001</c:v>
                </c:pt>
                <c:pt idx="494">
                  <c:v>2458799.66059</c:v>
                </c:pt>
                <c:pt idx="495">
                  <c:v>2458801.5910800002</c:v>
                </c:pt>
                <c:pt idx="496">
                  <c:v>2458801.6039</c:v>
                </c:pt>
                <c:pt idx="497">
                  <c:v>2458805.6439999999</c:v>
                </c:pt>
                <c:pt idx="498">
                  <c:v>2458809.5826699999</c:v>
                </c:pt>
                <c:pt idx="499">
                  <c:v>2458812.6022999999</c:v>
                </c:pt>
                <c:pt idx="500">
                  <c:v>2458817.2985499999</c:v>
                </c:pt>
                <c:pt idx="501">
                  <c:v>2458818.6014999999</c:v>
                </c:pt>
                <c:pt idx="502">
                  <c:v>2458828.5904999999</c:v>
                </c:pt>
                <c:pt idx="503">
                  <c:v>2458830.5469999998</c:v>
                </c:pt>
                <c:pt idx="504">
                  <c:v>2458830.5628800001</c:v>
                </c:pt>
                <c:pt idx="505">
                  <c:v>2458834.5994000002</c:v>
                </c:pt>
                <c:pt idx="506">
                  <c:v>2458836.5537700001</c:v>
                </c:pt>
                <c:pt idx="507">
                  <c:v>2458839.574</c:v>
                </c:pt>
                <c:pt idx="508">
                  <c:v>2458844.5735999998</c:v>
                </c:pt>
                <c:pt idx="509">
                  <c:v>2458847.5832000002</c:v>
                </c:pt>
                <c:pt idx="510">
                  <c:v>2458851.5574710001</c:v>
                </c:pt>
                <c:pt idx="511">
                  <c:v>2459048.4987300001</c:v>
                </c:pt>
                <c:pt idx="512">
                  <c:v>2459056.4663</c:v>
                </c:pt>
                <c:pt idx="513">
                  <c:v>2459062.7026399998</c:v>
                </c:pt>
                <c:pt idx="514">
                  <c:v>2459068.4870500001</c:v>
                </c:pt>
                <c:pt idx="515">
                  <c:v>2459077.7477890002</c:v>
                </c:pt>
                <c:pt idx="516">
                  <c:v>2459077.7512619998</c:v>
                </c:pt>
                <c:pt idx="517">
                  <c:v>2459077.7547109998</c:v>
                </c:pt>
                <c:pt idx="518">
                  <c:v>2459077.7581710001</c:v>
                </c:pt>
                <c:pt idx="519">
                  <c:v>2459077.7616320001</c:v>
                </c:pt>
                <c:pt idx="520">
                  <c:v>2459085.3979000002</c:v>
                </c:pt>
                <c:pt idx="521">
                  <c:v>2459088.4130199999</c:v>
                </c:pt>
                <c:pt idx="522">
                  <c:v>2459099.3826000001</c:v>
                </c:pt>
                <c:pt idx="523">
                  <c:v>2459099.7115679998</c:v>
                </c:pt>
                <c:pt idx="524">
                  <c:v>2459099.7151330002</c:v>
                </c:pt>
                <c:pt idx="525">
                  <c:v>2459099.7186980001</c:v>
                </c:pt>
                <c:pt idx="526">
                  <c:v>2459099.722263</c:v>
                </c:pt>
                <c:pt idx="527">
                  <c:v>2459099.7258279999</c:v>
                </c:pt>
                <c:pt idx="528">
                  <c:v>2459106.3541999999</c:v>
                </c:pt>
                <c:pt idx="529">
                  <c:v>2459106.4407600001</c:v>
                </c:pt>
                <c:pt idx="530">
                  <c:v>2459107.3316299999</c:v>
                </c:pt>
                <c:pt idx="531">
                  <c:v>2459109.6803000001</c:v>
                </c:pt>
                <c:pt idx="532">
                  <c:v>2459111.3520999998</c:v>
                </c:pt>
                <c:pt idx="533">
                  <c:v>2459115.6740999999</c:v>
                </c:pt>
                <c:pt idx="534">
                  <c:v>2459116.4418199998</c:v>
                </c:pt>
                <c:pt idx="535">
                  <c:v>2459120.6532000001</c:v>
                </c:pt>
                <c:pt idx="536">
                  <c:v>2459128.6581000001</c:v>
                </c:pt>
                <c:pt idx="537">
                  <c:v>2459131.4071599999</c:v>
                </c:pt>
                <c:pt idx="538">
                  <c:v>2459134.6230700002</c:v>
                </c:pt>
                <c:pt idx="539">
                  <c:v>2459134.6710000001</c:v>
                </c:pt>
                <c:pt idx="540">
                  <c:v>2459139.6368999998</c:v>
                </c:pt>
                <c:pt idx="541">
                  <c:v>2459140.3042000001</c:v>
                </c:pt>
                <c:pt idx="542">
                  <c:v>2459141.65</c:v>
                </c:pt>
                <c:pt idx="543">
                  <c:v>2459143.6497</c:v>
                </c:pt>
                <c:pt idx="544">
                  <c:v>2459146.3173099998</c:v>
                </c:pt>
                <c:pt idx="545">
                  <c:v>2459148.45578</c:v>
                </c:pt>
                <c:pt idx="546">
                  <c:v>2459154.5757519999</c:v>
                </c:pt>
                <c:pt idx="547">
                  <c:v>2459154.5779280001</c:v>
                </c:pt>
                <c:pt idx="548">
                  <c:v>2459154.580116</c:v>
                </c:pt>
                <c:pt idx="549">
                  <c:v>2459154.5823149998</c:v>
                </c:pt>
                <c:pt idx="550">
                  <c:v>2459154.5874069999</c:v>
                </c:pt>
                <c:pt idx="551">
                  <c:v>2459154.5896299998</c:v>
                </c:pt>
                <c:pt idx="552">
                  <c:v>2459154.5918399999</c:v>
                </c:pt>
                <c:pt idx="553">
                  <c:v>2459154.5940510002</c:v>
                </c:pt>
                <c:pt idx="554">
                  <c:v>2459154.596262</c:v>
                </c:pt>
                <c:pt idx="555">
                  <c:v>2459157.622</c:v>
                </c:pt>
                <c:pt idx="556">
                  <c:v>2459159.3607100002</c:v>
                </c:pt>
                <c:pt idx="557">
                  <c:v>2459160.3235999998</c:v>
                </c:pt>
                <c:pt idx="558">
                  <c:v>2459173.5956999999</c:v>
                </c:pt>
                <c:pt idx="559">
                  <c:v>2459176.3870799998</c:v>
                </c:pt>
                <c:pt idx="560">
                  <c:v>2459188.6466000001</c:v>
                </c:pt>
                <c:pt idx="561">
                  <c:v>2459192.6472</c:v>
                </c:pt>
                <c:pt idx="562">
                  <c:v>2459196.2833400001</c:v>
                </c:pt>
                <c:pt idx="563">
                  <c:v>2459204.5490000001</c:v>
                </c:pt>
                <c:pt idx="564">
                  <c:v>2459212.5918999999</c:v>
                </c:pt>
                <c:pt idx="565">
                  <c:v>2459217.588</c:v>
                </c:pt>
                <c:pt idx="566">
                  <c:v>2459221.5562</c:v>
                </c:pt>
                <c:pt idx="567">
                  <c:v>2459227.5570999999</c:v>
                </c:pt>
                <c:pt idx="568">
                  <c:v>2459231.5406050002</c:v>
                </c:pt>
                <c:pt idx="569">
                  <c:v>2459231.5412079999</c:v>
                </c:pt>
                <c:pt idx="570">
                  <c:v>2459231.5415110001</c:v>
                </c:pt>
                <c:pt idx="571">
                  <c:v>2459231.5440619998</c:v>
                </c:pt>
                <c:pt idx="572">
                  <c:v>2459231.5455280002</c:v>
                </c:pt>
                <c:pt idx="573">
                  <c:v>2459231.5462699998</c:v>
                </c:pt>
                <c:pt idx="574">
                  <c:v>2459231.5470110001</c:v>
                </c:pt>
                <c:pt idx="575">
                  <c:v>2459231.5477519999</c:v>
                </c:pt>
                <c:pt idx="576">
                  <c:v>2459231.5493419999</c:v>
                </c:pt>
                <c:pt idx="577">
                  <c:v>2459231.5500889998</c:v>
                </c:pt>
                <c:pt idx="578">
                  <c:v>2459231.5508340001</c:v>
                </c:pt>
                <c:pt idx="579">
                  <c:v>2459231.5515780002</c:v>
                </c:pt>
                <c:pt idx="580">
                  <c:v>2459231.552321</c:v>
                </c:pt>
                <c:pt idx="581">
                  <c:v>2459231.5530659999</c:v>
                </c:pt>
                <c:pt idx="582">
                  <c:v>2459231.5553029999</c:v>
                </c:pt>
              </c:numCache>
            </c:numRef>
          </c:xVal>
          <c:yVal>
            <c:numRef>
              <c:f>V!$C$1:$C$1007</c:f>
              <c:numCache>
                <c:formatCode>General</c:formatCode>
                <c:ptCount val="1007"/>
                <c:pt idx="0">
                  <c:v>8.6199999999999992</c:v>
                </c:pt>
                <c:pt idx="1">
                  <c:v>8.5399999999999991</c:v>
                </c:pt>
                <c:pt idx="2">
                  <c:v>8.4600000000000009</c:v>
                </c:pt>
                <c:pt idx="3">
                  <c:v>8.48</c:v>
                </c:pt>
                <c:pt idx="4">
                  <c:v>8.875</c:v>
                </c:pt>
                <c:pt idx="5">
                  <c:v>8.4</c:v>
                </c:pt>
                <c:pt idx="6">
                  <c:v>8.375</c:v>
                </c:pt>
                <c:pt idx="7">
                  <c:v>8.81</c:v>
                </c:pt>
                <c:pt idx="8">
                  <c:v>8.57</c:v>
                </c:pt>
                <c:pt idx="9">
                  <c:v>8.36</c:v>
                </c:pt>
                <c:pt idx="10">
                  <c:v>8.26</c:v>
                </c:pt>
                <c:pt idx="11">
                  <c:v>8.6999999999999993</c:v>
                </c:pt>
                <c:pt idx="12">
                  <c:v>8.8000000000000007</c:v>
                </c:pt>
                <c:pt idx="13">
                  <c:v>8.86</c:v>
                </c:pt>
                <c:pt idx="14">
                  <c:v>8.44</c:v>
                </c:pt>
                <c:pt idx="15">
                  <c:v>8.4149999999999991</c:v>
                </c:pt>
                <c:pt idx="16">
                  <c:v>8.6980000000000004</c:v>
                </c:pt>
                <c:pt idx="17">
                  <c:v>8.73</c:v>
                </c:pt>
                <c:pt idx="18">
                  <c:v>8.65</c:v>
                </c:pt>
                <c:pt idx="19">
                  <c:v>8.6199999999999992</c:v>
                </c:pt>
                <c:pt idx="20">
                  <c:v>8.5500000000000007</c:v>
                </c:pt>
                <c:pt idx="21">
                  <c:v>8.5760000000000005</c:v>
                </c:pt>
                <c:pt idx="22">
                  <c:v>8.58</c:v>
                </c:pt>
                <c:pt idx="23">
                  <c:v>8.6199999999999992</c:v>
                </c:pt>
                <c:pt idx="24">
                  <c:v>8.64</c:v>
                </c:pt>
                <c:pt idx="25">
                  <c:v>8.5</c:v>
                </c:pt>
                <c:pt idx="26">
                  <c:v>8.5299999999999994</c:v>
                </c:pt>
                <c:pt idx="27">
                  <c:v>8.5</c:v>
                </c:pt>
                <c:pt idx="28">
                  <c:v>8.6</c:v>
                </c:pt>
                <c:pt idx="29">
                  <c:v>8.6</c:v>
                </c:pt>
                <c:pt idx="30">
                  <c:v>8.5399999999999991</c:v>
                </c:pt>
                <c:pt idx="31">
                  <c:v>8.6999999999999993</c:v>
                </c:pt>
                <c:pt idx="32">
                  <c:v>8.56</c:v>
                </c:pt>
                <c:pt idx="33">
                  <c:v>8.6649999999999991</c:v>
                </c:pt>
                <c:pt idx="34">
                  <c:v>8.625</c:v>
                </c:pt>
                <c:pt idx="35">
                  <c:v>8.74</c:v>
                </c:pt>
                <c:pt idx="36">
                  <c:v>8.76</c:v>
                </c:pt>
                <c:pt idx="37">
                  <c:v>8.6199999999999992</c:v>
                </c:pt>
                <c:pt idx="38">
                  <c:v>8.51</c:v>
                </c:pt>
                <c:pt idx="39">
                  <c:v>8.8049999999999997</c:v>
                </c:pt>
                <c:pt idx="40">
                  <c:v>8.64</c:v>
                </c:pt>
                <c:pt idx="41">
                  <c:v>8.6199999999999992</c:v>
                </c:pt>
                <c:pt idx="42">
                  <c:v>8.7200000000000006</c:v>
                </c:pt>
                <c:pt idx="43">
                  <c:v>8.57</c:v>
                </c:pt>
                <c:pt idx="44">
                  <c:v>8.7639999999999993</c:v>
                </c:pt>
                <c:pt idx="45">
                  <c:v>8.9</c:v>
                </c:pt>
                <c:pt idx="46">
                  <c:v>8.9</c:v>
                </c:pt>
                <c:pt idx="47">
                  <c:v>8.9499999999999993</c:v>
                </c:pt>
                <c:pt idx="48">
                  <c:v>8.9600000000000009</c:v>
                </c:pt>
                <c:pt idx="49">
                  <c:v>8.9600000000000009</c:v>
                </c:pt>
                <c:pt idx="50">
                  <c:v>8.9700000000000006</c:v>
                </c:pt>
                <c:pt idx="51">
                  <c:v>8.93</c:v>
                </c:pt>
                <c:pt idx="52">
                  <c:v>8.93</c:v>
                </c:pt>
                <c:pt idx="53">
                  <c:v>8.9149999999999991</c:v>
                </c:pt>
                <c:pt idx="54">
                  <c:v>8.9</c:v>
                </c:pt>
                <c:pt idx="55">
                  <c:v>8.89</c:v>
                </c:pt>
                <c:pt idx="56">
                  <c:v>8.8800000000000008</c:v>
                </c:pt>
                <c:pt idx="57">
                  <c:v>8.8800000000000008</c:v>
                </c:pt>
                <c:pt idx="58">
                  <c:v>8.8079999999999998</c:v>
                </c:pt>
                <c:pt idx="59">
                  <c:v>8.8539999999999992</c:v>
                </c:pt>
                <c:pt idx="60">
                  <c:v>8.84</c:v>
                </c:pt>
                <c:pt idx="61">
                  <c:v>8.83</c:v>
                </c:pt>
                <c:pt idx="62">
                  <c:v>8.9600000000000009</c:v>
                </c:pt>
                <c:pt idx="63">
                  <c:v>8.8000000000000007</c:v>
                </c:pt>
                <c:pt idx="64">
                  <c:v>8.8800000000000008</c:v>
                </c:pt>
                <c:pt idx="65">
                  <c:v>8.85</c:v>
                </c:pt>
                <c:pt idx="66">
                  <c:v>8.85</c:v>
                </c:pt>
                <c:pt idx="67">
                  <c:v>8.59</c:v>
                </c:pt>
                <c:pt idx="68">
                  <c:v>8.5030000000000001</c:v>
                </c:pt>
                <c:pt idx="69">
                  <c:v>8.51</c:v>
                </c:pt>
                <c:pt idx="70">
                  <c:v>8.4499999999999993</c:v>
                </c:pt>
                <c:pt idx="71">
                  <c:v>8.49</c:v>
                </c:pt>
                <c:pt idx="72">
                  <c:v>8.4030000000000005</c:v>
                </c:pt>
                <c:pt idx="73">
                  <c:v>8.4450000000000003</c:v>
                </c:pt>
                <c:pt idx="74">
                  <c:v>8.5277390000000004</c:v>
                </c:pt>
                <c:pt idx="75">
                  <c:v>8.5</c:v>
                </c:pt>
                <c:pt idx="76">
                  <c:v>8.4684480000000004</c:v>
                </c:pt>
                <c:pt idx="77">
                  <c:v>8.41</c:v>
                </c:pt>
                <c:pt idx="78">
                  <c:v>8.4209999999999994</c:v>
                </c:pt>
                <c:pt idx="79">
                  <c:v>8.4066329999999994</c:v>
                </c:pt>
                <c:pt idx="80">
                  <c:v>8.5094999999999992</c:v>
                </c:pt>
                <c:pt idx="81">
                  <c:v>8.4039999999999999</c:v>
                </c:pt>
                <c:pt idx="82">
                  <c:v>8.5299999999999994</c:v>
                </c:pt>
                <c:pt idx="83">
                  <c:v>8.5267750000000007</c:v>
                </c:pt>
                <c:pt idx="84">
                  <c:v>8.4860000000000007</c:v>
                </c:pt>
                <c:pt idx="85">
                  <c:v>8.5054829999999999</c:v>
                </c:pt>
                <c:pt idx="86">
                  <c:v>8.7466000000000008</c:v>
                </c:pt>
                <c:pt idx="87">
                  <c:v>8.8803999999999998</c:v>
                </c:pt>
                <c:pt idx="88">
                  <c:v>8.6813140000000004</c:v>
                </c:pt>
                <c:pt idx="89">
                  <c:v>8.6199999999999992</c:v>
                </c:pt>
                <c:pt idx="90">
                  <c:v>8.6310000000000002</c:v>
                </c:pt>
                <c:pt idx="91">
                  <c:v>8.6379999999999999</c:v>
                </c:pt>
                <c:pt idx="92">
                  <c:v>8.6355000000000004</c:v>
                </c:pt>
                <c:pt idx="93">
                  <c:v>8.6679999999999993</c:v>
                </c:pt>
                <c:pt idx="94">
                  <c:v>8.6069999999999993</c:v>
                </c:pt>
                <c:pt idx="95">
                  <c:v>8.4410000000000007</c:v>
                </c:pt>
                <c:pt idx="96">
                  <c:v>8.2609999999999992</c:v>
                </c:pt>
                <c:pt idx="97">
                  <c:v>8.8559999999999999</c:v>
                </c:pt>
                <c:pt idx="98">
                  <c:v>8.8904999999999994</c:v>
                </c:pt>
                <c:pt idx="99">
                  <c:v>8.9250000000000007</c:v>
                </c:pt>
                <c:pt idx="100">
                  <c:v>8.9610000000000003</c:v>
                </c:pt>
                <c:pt idx="101">
                  <c:v>8.9649999999999999</c:v>
                </c:pt>
                <c:pt idx="102">
                  <c:v>9.0549999999999997</c:v>
                </c:pt>
                <c:pt idx="103">
                  <c:v>9.1300000000000008</c:v>
                </c:pt>
                <c:pt idx="104">
                  <c:v>9.077</c:v>
                </c:pt>
                <c:pt idx="105">
                  <c:v>9.0990000000000002</c:v>
                </c:pt>
                <c:pt idx="106">
                  <c:v>9.0619999999999994</c:v>
                </c:pt>
                <c:pt idx="107">
                  <c:v>9.060333</c:v>
                </c:pt>
                <c:pt idx="108">
                  <c:v>9.0449999999999999</c:v>
                </c:pt>
                <c:pt idx="109">
                  <c:v>9.0280000000000005</c:v>
                </c:pt>
                <c:pt idx="110">
                  <c:v>9.0250000000000004</c:v>
                </c:pt>
                <c:pt idx="111">
                  <c:v>9.0389999999999997</c:v>
                </c:pt>
                <c:pt idx="112">
                  <c:v>9.0489999999999995</c:v>
                </c:pt>
                <c:pt idx="113">
                  <c:v>9.0530000000000008</c:v>
                </c:pt>
                <c:pt idx="114">
                  <c:v>9.0489999999999995</c:v>
                </c:pt>
                <c:pt idx="115">
                  <c:v>9.0540000000000003</c:v>
                </c:pt>
                <c:pt idx="116">
                  <c:v>8.8770000000000007</c:v>
                </c:pt>
                <c:pt idx="117">
                  <c:v>8.9190000000000005</c:v>
                </c:pt>
                <c:pt idx="118">
                  <c:v>8.8960000000000008</c:v>
                </c:pt>
                <c:pt idx="119">
                  <c:v>8.8829999999999991</c:v>
                </c:pt>
                <c:pt idx="120">
                  <c:v>8.9004999999999992</c:v>
                </c:pt>
                <c:pt idx="121">
                  <c:v>8.8770000000000007</c:v>
                </c:pt>
                <c:pt idx="122">
                  <c:v>8.9320000000000004</c:v>
                </c:pt>
                <c:pt idx="123">
                  <c:v>8.9109999999999996</c:v>
                </c:pt>
                <c:pt idx="124">
                  <c:v>8.92</c:v>
                </c:pt>
                <c:pt idx="125">
                  <c:v>8.5510000000000002</c:v>
                </c:pt>
                <c:pt idx="126">
                  <c:v>8.5239999999999991</c:v>
                </c:pt>
                <c:pt idx="127">
                  <c:v>8.5310000000000006</c:v>
                </c:pt>
                <c:pt idx="128">
                  <c:v>8.4629999999999992</c:v>
                </c:pt>
                <c:pt idx="129">
                  <c:v>8.4589999999999996</c:v>
                </c:pt>
                <c:pt idx="130">
                  <c:v>8.4309999999999992</c:v>
                </c:pt>
                <c:pt idx="131">
                  <c:v>8.4239999999999995</c:v>
                </c:pt>
                <c:pt idx="132">
                  <c:v>8.4339999999999993</c:v>
                </c:pt>
                <c:pt idx="133">
                  <c:v>8.3919999999999995</c:v>
                </c:pt>
                <c:pt idx="134">
                  <c:v>7.8029999999999999</c:v>
                </c:pt>
                <c:pt idx="135">
                  <c:v>7.2647500000000003</c:v>
                </c:pt>
                <c:pt idx="136">
                  <c:v>7.2305999999999999</c:v>
                </c:pt>
                <c:pt idx="137">
                  <c:v>7.1852530000000003</c:v>
                </c:pt>
                <c:pt idx="138">
                  <c:v>6.9542999999999999</c:v>
                </c:pt>
                <c:pt idx="139">
                  <c:v>7.0614999999999997</c:v>
                </c:pt>
                <c:pt idx="140">
                  <c:v>7.0980749999999997</c:v>
                </c:pt>
                <c:pt idx="141">
                  <c:v>6.9741540000000004</c:v>
                </c:pt>
                <c:pt idx="142">
                  <c:v>7.0519999999999996</c:v>
                </c:pt>
                <c:pt idx="143">
                  <c:v>7.0490000000000004</c:v>
                </c:pt>
                <c:pt idx="144">
                  <c:v>7.04</c:v>
                </c:pt>
                <c:pt idx="145">
                  <c:v>7.1135000000000002</c:v>
                </c:pt>
                <c:pt idx="146">
                  <c:v>6.9966330000000001</c:v>
                </c:pt>
                <c:pt idx="147">
                  <c:v>6.7473999999999998</c:v>
                </c:pt>
                <c:pt idx="148">
                  <c:v>7.2050000000000001</c:v>
                </c:pt>
                <c:pt idx="149">
                  <c:v>7.0363329999999999</c:v>
                </c:pt>
                <c:pt idx="150">
                  <c:v>7.2590000000000003</c:v>
                </c:pt>
                <c:pt idx="151">
                  <c:v>7.1974999999999998</c:v>
                </c:pt>
                <c:pt idx="152">
                  <c:v>7.2460000000000004</c:v>
                </c:pt>
                <c:pt idx="153">
                  <c:v>7.2507000000000001</c:v>
                </c:pt>
                <c:pt idx="154">
                  <c:v>7.3419999999999996</c:v>
                </c:pt>
                <c:pt idx="155">
                  <c:v>7.1090580000000001</c:v>
                </c:pt>
                <c:pt idx="156">
                  <c:v>7.3273330000000003</c:v>
                </c:pt>
                <c:pt idx="157">
                  <c:v>7.3570000000000002</c:v>
                </c:pt>
                <c:pt idx="158">
                  <c:v>7.4305000000000003</c:v>
                </c:pt>
                <c:pt idx="159">
                  <c:v>7.4485000000000001</c:v>
                </c:pt>
                <c:pt idx="160">
                  <c:v>7.4744999999999999</c:v>
                </c:pt>
                <c:pt idx="161">
                  <c:v>7.484</c:v>
                </c:pt>
                <c:pt idx="162">
                  <c:v>7.5449999999999999</c:v>
                </c:pt>
                <c:pt idx="163">
                  <c:v>7.5579999999999998</c:v>
                </c:pt>
                <c:pt idx="164">
                  <c:v>7.57</c:v>
                </c:pt>
                <c:pt idx="165">
                  <c:v>7.5949999999999998</c:v>
                </c:pt>
                <c:pt idx="166">
                  <c:v>7.632333</c:v>
                </c:pt>
                <c:pt idx="167">
                  <c:v>7.3390000000000004</c:v>
                </c:pt>
                <c:pt idx="168">
                  <c:v>7.6360000000000001</c:v>
                </c:pt>
                <c:pt idx="169">
                  <c:v>7.6715</c:v>
                </c:pt>
                <c:pt idx="170">
                  <c:v>7.7083329999999997</c:v>
                </c:pt>
                <c:pt idx="171">
                  <c:v>7.6965000000000003</c:v>
                </c:pt>
                <c:pt idx="172">
                  <c:v>7.6928000000000001</c:v>
                </c:pt>
                <c:pt idx="173">
                  <c:v>7.7545000000000002</c:v>
                </c:pt>
                <c:pt idx="174">
                  <c:v>7.7563329999999997</c:v>
                </c:pt>
                <c:pt idx="175">
                  <c:v>7.6740000000000004</c:v>
                </c:pt>
                <c:pt idx="176">
                  <c:v>7.8209999999999997</c:v>
                </c:pt>
                <c:pt idx="177">
                  <c:v>7.726</c:v>
                </c:pt>
                <c:pt idx="178">
                  <c:v>7.77</c:v>
                </c:pt>
                <c:pt idx="179">
                  <c:v>7.8479999999999999</c:v>
                </c:pt>
                <c:pt idx="180">
                  <c:v>7.7350000000000003</c:v>
                </c:pt>
                <c:pt idx="181">
                  <c:v>7.9640000000000004</c:v>
                </c:pt>
                <c:pt idx="182">
                  <c:v>7.7973330000000001</c:v>
                </c:pt>
                <c:pt idx="183">
                  <c:v>7.8404999999999996</c:v>
                </c:pt>
                <c:pt idx="184">
                  <c:v>7.8170000000000002</c:v>
                </c:pt>
                <c:pt idx="185">
                  <c:v>7.7910000000000004</c:v>
                </c:pt>
                <c:pt idx="186">
                  <c:v>7.7590000000000003</c:v>
                </c:pt>
                <c:pt idx="187">
                  <c:v>7.8925000000000001</c:v>
                </c:pt>
                <c:pt idx="188">
                  <c:v>7.8090000000000002</c:v>
                </c:pt>
                <c:pt idx="189">
                  <c:v>7.8987499999999997</c:v>
                </c:pt>
                <c:pt idx="190">
                  <c:v>7.8559999999999999</c:v>
                </c:pt>
                <c:pt idx="191">
                  <c:v>7.8929999999999998</c:v>
                </c:pt>
                <c:pt idx="192">
                  <c:v>7.9189999999999996</c:v>
                </c:pt>
                <c:pt idx="193">
                  <c:v>7.8944999999999999</c:v>
                </c:pt>
                <c:pt idx="194">
                  <c:v>7.9660000000000002</c:v>
                </c:pt>
                <c:pt idx="195">
                  <c:v>7.9249999999999998</c:v>
                </c:pt>
                <c:pt idx="196">
                  <c:v>7.9455</c:v>
                </c:pt>
                <c:pt idx="197">
                  <c:v>7.9359999999999999</c:v>
                </c:pt>
                <c:pt idx="198">
                  <c:v>7.9568329999999996</c:v>
                </c:pt>
                <c:pt idx="199">
                  <c:v>8.0129999999999999</c:v>
                </c:pt>
                <c:pt idx="200">
                  <c:v>7.9067499999999997</c:v>
                </c:pt>
                <c:pt idx="201">
                  <c:v>7.6135000000000002</c:v>
                </c:pt>
                <c:pt idx="202">
                  <c:v>7.4554</c:v>
                </c:pt>
                <c:pt idx="203">
                  <c:v>7.4055609999999996</c:v>
                </c:pt>
                <c:pt idx="204">
                  <c:v>7.5221429999999998</c:v>
                </c:pt>
                <c:pt idx="205">
                  <c:v>7.4726920000000003</c:v>
                </c:pt>
                <c:pt idx="206">
                  <c:v>7.4539090000000003</c:v>
                </c:pt>
                <c:pt idx="207">
                  <c:v>7.46</c:v>
                </c:pt>
                <c:pt idx="208">
                  <c:v>7.4080000000000004</c:v>
                </c:pt>
                <c:pt idx="209">
                  <c:v>7.3780000000000001</c:v>
                </c:pt>
                <c:pt idx="210">
                  <c:v>7.5281000000000002</c:v>
                </c:pt>
                <c:pt idx="211">
                  <c:v>7.5410000000000004</c:v>
                </c:pt>
                <c:pt idx="212">
                  <c:v>7.4320000000000004</c:v>
                </c:pt>
                <c:pt idx="213">
                  <c:v>7.4712500000000004</c:v>
                </c:pt>
                <c:pt idx="214">
                  <c:v>7.5419999999999998</c:v>
                </c:pt>
                <c:pt idx="215">
                  <c:v>7.5019999999999998</c:v>
                </c:pt>
                <c:pt idx="216">
                  <c:v>7.7631199999999998</c:v>
                </c:pt>
                <c:pt idx="217">
                  <c:v>7.5445000000000002</c:v>
                </c:pt>
                <c:pt idx="218">
                  <c:v>7.5570000000000004</c:v>
                </c:pt>
                <c:pt idx="219">
                  <c:v>7.6115000000000004</c:v>
                </c:pt>
                <c:pt idx="220">
                  <c:v>7.5650000000000004</c:v>
                </c:pt>
                <c:pt idx="221">
                  <c:v>7.548</c:v>
                </c:pt>
                <c:pt idx="222">
                  <c:v>7.5317499999999997</c:v>
                </c:pt>
                <c:pt idx="223">
                  <c:v>7.5413329999999998</c:v>
                </c:pt>
                <c:pt idx="224">
                  <c:v>7.5060000000000002</c:v>
                </c:pt>
                <c:pt idx="225">
                  <c:v>7.5947500000000003</c:v>
                </c:pt>
                <c:pt idx="226">
                  <c:v>7.6340000000000003</c:v>
                </c:pt>
                <c:pt idx="227">
                  <c:v>7.6859999999999999</c:v>
                </c:pt>
                <c:pt idx="228">
                  <c:v>7.7519999999999998</c:v>
                </c:pt>
                <c:pt idx="229">
                  <c:v>7.7683330000000002</c:v>
                </c:pt>
                <c:pt idx="230">
                  <c:v>7.7846669999999998</c:v>
                </c:pt>
                <c:pt idx="231">
                  <c:v>7.8550000000000004</c:v>
                </c:pt>
                <c:pt idx="232">
                  <c:v>7.9029999999999996</c:v>
                </c:pt>
                <c:pt idx="233">
                  <c:v>7.8579999999999997</c:v>
                </c:pt>
                <c:pt idx="234">
                  <c:v>7.923</c:v>
                </c:pt>
                <c:pt idx="235">
                  <c:v>7.9340000000000002</c:v>
                </c:pt>
                <c:pt idx="236">
                  <c:v>7.9580000000000002</c:v>
                </c:pt>
                <c:pt idx="237">
                  <c:v>7.9390000000000001</c:v>
                </c:pt>
                <c:pt idx="238">
                  <c:v>7.9580000000000002</c:v>
                </c:pt>
                <c:pt idx="239">
                  <c:v>7.8730000000000002</c:v>
                </c:pt>
                <c:pt idx="240">
                  <c:v>7.8789999999999996</c:v>
                </c:pt>
                <c:pt idx="241">
                  <c:v>8.0009999999999994</c:v>
                </c:pt>
                <c:pt idx="242">
                  <c:v>8.0120000000000005</c:v>
                </c:pt>
                <c:pt idx="243">
                  <c:v>8.1</c:v>
                </c:pt>
                <c:pt idx="244">
                  <c:v>8.0619999999999994</c:v>
                </c:pt>
                <c:pt idx="245">
                  <c:v>8.0180000000000007</c:v>
                </c:pt>
                <c:pt idx="246">
                  <c:v>8.1280000000000001</c:v>
                </c:pt>
                <c:pt idx="247">
                  <c:v>8.2110000000000003</c:v>
                </c:pt>
                <c:pt idx="248">
                  <c:v>8.1349999999999998</c:v>
                </c:pt>
                <c:pt idx="249">
                  <c:v>8.3684999999999992</c:v>
                </c:pt>
                <c:pt idx="250">
                  <c:v>8.3979999999999997</c:v>
                </c:pt>
                <c:pt idx="251">
                  <c:v>8.3874999999999993</c:v>
                </c:pt>
                <c:pt idx="252">
                  <c:v>8.3719999999999999</c:v>
                </c:pt>
                <c:pt idx="253">
                  <c:v>8.4819999999999993</c:v>
                </c:pt>
                <c:pt idx="254">
                  <c:v>8.4465000000000003</c:v>
                </c:pt>
                <c:pt idx="255">
                  <c:v>8.4565000000000001</c:v>
                </c:pt>
                <c:pt idx="256">
                  <c:v>8.4435000000000002</c:v>
                </c:pt>
                <c:pt idx="257">
                  <c:v>8.4600000000000009</c:v>
                </c:pt>
                <c:pt idx="258">
                  <c:v>8.4580000000000002</c:v>
                </c:pt>
                <c:pt idx="259">
                  <c:v>8.5039999999999996</c:v>
                </c:pt>
                <c:pt idx="260">
                  <c:v>8.5124999999999993</c:v>
                </c:pt>
                <c:pt idx="261">
                  <c:v>8.5190000000000001</c:v>
                </c:pt>
                <c:pt idx="262">
                  <c:v>8.5314999999999994</c:v>
                </c:pt>
                <c:pt idx="263">
                  <c:v>8.532</c:v>
                </c:pt>
                <c:pt idx="264">
                  <c:v>8.5429999999999993</c:v>
                </c:pt>
                <c:pt idx="265">
                  <c:v>8.5449999999999999</c:v>
                </c:pt>
                <c:pt idx="266">
                  <c:v>8.5399999999999991</c:v>
                </c:pt>
                <c:pt idx="267">
                  <c:v>8.5050000000000008</c:v>
                </c:pt>
                <c:pt idx="268">
                  <c:v>8.5024999999999995</c:v>
                </c:pt>
                <c:pt idx="269">
                  <c:v>8.5120000000000005</c:v>
                </c:pt>
                <c:pt idx="270">
                  <c:v>8.4782499999999992</c:v>
                </c:pt>
                <c:pt idx="271">
                  <c:v>8.5289999999999999</c:v>
                </c:pt>
                <c:pt idx="272">
                  <c:v>8.4734999999999996</c:v>
                </c:pt>
                <c:pt idx="273">
                  <c:v>8.4862500000000001</c:v>
                </c:pt>
                <c:pt idx="274">
                  <c:v>8.4651999999999994</c:v>
                </c:pt>
                <c:pt idx="275">
                  <c:v>8.42</c:v>
                </c:pt>
                <c:pt idx="276">
                  <c:v>8.4120000000000008</c:v>
                </c:pt>
                <c:pt idx="277">
                  <c:v>8.4459999999999997</c:v>
                </c:pt>
                <c:pt idx="278">
                  <c:v>8.468</c:v>
                </c:pt>
                <c:pt idx="279">
                  <c:v>8.4339999999999993</c:v>
                </c:pt>
                <c:pt idx="280">
                  <c:v>8.4105000000000008</c:v>
                </c:pt>
                <c:pt idx="281">
                  <c:v>8.4719999999999995</c:v>
                </c:pt>
                <c:pt idx="282">
                  <c:v>8.5214999999999996</c:v>
                </c:pt>
                <c:pt idx="283">
                  <c:v>8.5073329999999991</c:v>
                </c:pt>
                <c:pt idx="284">
                  <c:v>8.4860000000000007</c:v>
                </c:pt>
                <c:pt idx="285">
                  <c:v>8.42</c:v>
                </c:pt>
                <c:pt idx="286">
                  <c:v>8.5500000000000007</c:v>
                </c:pt>
                <c:pt idx="287">
                  <c:v>8.5546670000000002</c:v>
                </c:pt>
                <c:pt idx="288">
                  <c:v>8.5655000000000001</c:v>
                </c:pt>
                <c:pt idx="289">
                  <c:v>8.6159999999999997</c:v>
                </c:pt>
                <c:pt idx="290">
                  <c:v>8.57</c:v>
                </c:pt>
                <c:pt idx="291">
                  <c:v>8.9849999999999994</c:v>
                </c:pt>
                <c:pt idx="292">
                  <c:v>8.375</c:v>
                </c:pt>
                <c:pt idx="293">
                  <c:v>8.6210000000000004</c:v>
                </c:pt>
                <c:pt idx="294">
                  <c:v>8.5745000000000005</c:v>
                </c:pt>
                <c:pt idx="295">
                  <c:v>8.6430000000000007</c:v>
                </c:pt>
                <c:pt idx="296">
                  <c:v>8.7129999999999992</c:v>
                </c:pt>
                <c:pt idx="297">
                  <c:v>8.7309999999999999</c:v>
                </c:pt>
                <c:pt idx="298">
                  <c:v>8.59</c:v>
                </c:pt>
                <c:pt idx="299">
                  <c:v>8.7550000000000008</c:v>
                </c:pt>
                <c:pt idx="300">
                  <c:v>8.6780000000000008</c:v>
                </c:pt>
                <c:pt idx="301">
                  <c:v>8.7272499999999997</c:v>
                </c:pt>
                <c:pt idx="302">
                  <c:v>8.7370000000000001</c:v>
                </c:pt>
                <c:pt idx="303">
                  <c:v>8.7230000000000008</c:v>
                </c:pt>
                <c:pt idx="304">
                  <c:v>8.766</c:v>
                </c:pt>
                <c:pt idx="305">
                  <c:v>8.7799999999999994</c:v>
                </c:pt>
                <c:pt idx="306">
                  <c:v>8.7769999999999992</c:v>
                </c:pt>
                <c:pt idx="307">
                  <c:v>8.8249999999999993</c:v>
                </c:pt>
                <c:pt idx="308">
                  <c:v>8.907</c:v>
                </c:pt>
                <c:pt idx="309">
                  <c:v>8.8856669999999998</c:v>
                </c:pt>
                <c:pt idx="310">
                  <c:v>8.8379999999999992</c:v>
                </c:pt>
                <c:pt idx="311">
                  <c:v>8.9130000000000003</c:v>
                </c:pt>
                <c:pt idx="312">
                  <c:v>8.9369999999999994</c:v>
                </c:pt>
                <c:pt idx="313">
                  <c:v>8.8465000000000007</c:v>
                </c:pt>
                <c:pt idx="314">
                  <c:v>8.9890000000000008</c:v>
                </c:pt>
                <c:pt idx="315">
                  <c:v>8.92</c:v>
                </c:pt>
                <c:pt idx="316">
                  <c:v>8.9779999999999998</c:v>
                </c:pt>
                <c:pt idx="317">
                  <c:v>8.9619999999999997</c:v>
                </c:pt>
                <c:pt idx="318">
                  <c:v>8.9380000000000006</c:v>
                </c:pt>
                <c:pt idx="319">
                  <c:v>8.9664999999999999</c:v>
                </c:pt>
                <c:pt idx="320">
                  <c:v>8.9190000000000005</c:v>
                </c:pt>
                <c:pt idx="321">
                  <c:v>8.9120000000000008</c:v>
                </c:pt>
                <c:pt idx="322">
                  <c:v>8.9429999999999996</c:v>
                </c:pt>
                <c:pt idx="323">
                  <c:v>8.8439999999999994</c:v>
                </c:pt>
                <c:pt idx="324">
                  <c:v>8.7189999999999994</c:v>
                </c:pt>
                <c:pt idx="325">
                  <c:v>8.6479999999999997</c:v>
                </c:pt>
                <c:pt idx="326">
                  <c:v>8.66</c:v>
                </c:pt>
                <c:pt idx="327">
                  <c:v>8.6289999999999996</c:v>
                </c:pt>
                <c:pt idx="328">
                  <c:v>8.7219999999999995</c:v>
                </c:pt>
                <c:pt idx="329">
                  <c:v>8.6415000000000006</c:v>
                </c:pt>
                <c:pt idx="330">
                  <c:v>8.7686670000000007</c:v>
                </c:pt>
                <c:pt idx="331">
                  <c:v>8.7100000000000009</c:v>
                </c:pt>
                <c:pt idx="332">
                  <c:v>8.7080000000000002</c:v>
                </c:pt>
                <c:pt idx="333">
                  <c:v>8.7003330000000005</c:v>
                </c:pt>
                <c:pt idx="334">
                  <c:v>8.6229999999999993</c:v>
                </c:pt>
                <c:pt idx="335">
                  <c:v>8.67</c:v>
                </c:pt>
                <c:pt idx="336">
                  <c:v>8.7330000000000005</c:v>
                </c:pt>
                <c:pt idx="337">
                  <c:v>8.6</c:v>
                </c:pt>
                <c:pt idx="338">
                  <c:v>8.6110000000000007</c:v>
                </c:pt>
                <c:pt idx="339">
                  <c:v>8.6473329999999997</c:v>
                </c:pt>
                <c:pt idx="340">
                  <c:v>8.6020000000000003</c:v>
                </c:pt>
                <c:pt idx="341">
                  <c:v>8.5839999999999996</c:v>
                </c:pt>
                <c:pt idx="342">
                  <c:v>8.59</c:v>
                </c:pt>
                <c:pt idx="343">
                  <c:v>8.5190000000000001</c:v>
                </c:pt>
                <c:pt idx="344">
                  <c:v>8.4719999999999995</c:v>
                </c:pt>
                <c:pt idx="345">
                  <c:v>8.4730000000000008</c:v>
                </c:pt>
                <c:pt idx="346">
                  <c:v>8.5679999999999996</c:v>
                </c:pt>
                <c:pt idx="347">
                  <c:v>8.9135000000000009</c:v>
                </c:pt>
                <c:pt idx="348">
                  <c:v>8.5280000000000005</c:v>
                </c:pt>
                <c:pt idx="349">
                  <c:v>8.5559999999999992</c:v>
                </c:pt>
                <c:pt idx="350">
                  <c:v>8.5060000000000002</c:v>
                </c:pt>
                <c:pt idx="351">
                  <c:v>8.5739999999999998</c:v>
                </c:pt>
                <c:pt idx="352">
                  <c:v>8.6112000000000002</c:v>
                </c:pt>
                <c:pt idx="353">
                  <c:v>8.5305289999999996</c:v>
                </c:pt>
                <c:pt idx="354">
                  <c:v>8.5980000000000008</c:v>
                </c:pt>
                <c:pt idx="355">
                  <c:v>8.5299999999999994</c:v>
                </c:pt>
                <c:pt idx="356">
                  <c:v>8.5425000000000004</c:v>
                </c:pt>
                <c:pt idx="357">
                  <c:v>8.4960000000000004</c:v>
                </c:pt>
                <c:pt idx="358">
                  <c:v>8.5139999999999993</c:v>
                </c:pt>
                <c:pt idx="359">
                  <c:v>8.66</c:v>
                </c:pt>
                <c:pt idx="360">
                  <c:v>8.4778330000000004</c:v>
                </c:pt>
                <c:pt idx="361">
                  <c:v>8.5305</c:v>
                </c:pt>
                <c:pt idx="362">
                  <c:v>8.4776670000000003</c:v>
                </c:pt>
                <c:pt idx="363">
                  <c:v>8.4614999999999991</c:v>
                </c:pt>
                <c:pt idx="364">
                  <c:v>8.4745000000000008</c:v>
                </c:pt>
                <c:pt idx="365">
                  <c:v>8.4809999999999999</c:v>
                </c:pt>
                <c:pt idx="366">
                  <c:v>8.5269999999999992</c:v>
                </c:pt>
                <c:pt idx="367">
                  <c:v>8.4879999999999995</c:v>
                </c:pt>
                <c:pt idx="368">
                  <c:v>8.5229999999999997</c:v>
                </c:pt>
                <c:pt idx="369">
                  <c:v>8.64</c:v>
                </c:pt>
                <c:pt idx="370">
                  <c:v>8.59</c:v>
                </c:pt>
                <c:pt idx="371">
                  <c:v>8.5579999999999998</c:v>
                </c:pt>
                <c:pt idx="372">
                  <c:v>8.5410000000000004</c:v>
                </c:pt>
                <c:pt idx="373">
                  <c:v>8.5764999999999993</c:v>
                </c:pt>
                <c:pt idx="374">
                  <c:v>8.5254999999999992</c:v>
                </c:pt>
                <c:pt idx="375">
                  <c:v>8.5429999999999993</c:v>
                </c:pt>
                <c:pt idx="376">
                  <c:v>8.5374999999999996</c:v>
                </c:pt>
                <c:pt idx="377">
                  <c:v>8.5410000000000004</c:v>
                </c:pt>
                <c:pt idx="378">
                  <c:v>8.4819999999999993</c:v>
                </c:pt>
                <c:pt idx="379">
                  <c:v>8.4433330000000009</c:v>
                </c:pt>
                <c:pt idx="380">
                  <c:v>8.516667</c:v>
                </c:pt>
                <c:pt idx="381">
                  <c:v>8.59</c:v>
                </c:pt>
                <c:pt idx="382">
                  <c:v>8.6</c:v>
                </c:pt>
                <c:pt idx="383">
                  <c:v>8.65</c:v>
                </c:pt>
                <c:pt idx="384">
                  <c:v>8.3699999999999992</c:v>
                </c:pt>
                <c:pt idx="385">
                  <c:v>8.5266669999999998</c:v>
                </c:pt>
                <c:pt idx="386">
                  <c:v>8.5333330000000007</c:v>
                </c:pt>
                <c:pt idx="387">
                  <c:v>8.4357140000000008</c:v>
                </c:pt>
                <c:pt idx="388">
                  <c:v>8.5</c:v>
                </c:pt>
                <c:pt idx="389">
                  <c:v>8.5399999999999991</c:v>
                </c:pt>
                <c:pt idx="390">
                  <c:v>8.5500000000000007</c:v>
                </c:pt>
                <c:pt idx="391">
                  <c:v>8.5</c:v>
                </c:pt>
                <c:pt idx="392">
                  <c:v>8.5060000000000002</c:v>
                </c:pt>
                <c:pt idx="393">
                  <c:v>8.5</c:v>
                </c:pt>
                <c:pt idx="394">
                  <c:v>8.58</c:v>
                </c:pt>
                <c:pt idx="395">
                  <c:v>8.35</c:v>
                </c:pt>
                <c:pt idx="396">
                  <c:v>8.58</c:v>
                </c:pt>
                <c:pt idx="397">
                  <c:v>8.6</c:v>
                </c:pt>
                <c:pt idx="398">
                  <c:v>8.4666669999999993</c:v>
                </c:pt>
                <c:pt idx="399">
                  <c:v>8.483333</c:v>
                </c:pt>
                <c:pt idx="400">
                  <c:v>8.5333330000000007</c:v>
                </c:pt>
                <c:pt idx="401">
                  <c:v>8.6999999999999993</c:v>
                </c:pt>
                <c:pt idx="402">
                  <c:v>8.6300000000000008</c:v>
                </c:pt>
                <c:pt idx="403">
                  <c:v>8.5250000000000004</c:v>
                </c:pt>
                <c:pt idx="404">
                  <c:v>8.4749999999999996</c:v>
                </c:pt>
                <c:pt idx="405">
                  <c:v>8.0749999999999993</c:v>
                </c:pt>
                <c:pt idx="406">
                  <c:v>8.483333</c:v>
                </c:pt>
                <c:pt idx="407">
                  <c:v>8.33</c:v>
                </c:pt>
                <c:pt idx="408">
                  <c:v>8.4</c:v>
                </c:pt>
                <c:pt idx="409">
                  <c:v>8.5433330000000005</c:v>
                </c:pt>
                <c:pt idx="410">
                  <c:v>8.5500000000000007</c:v>
                </c:pt>
                <c:pt idx="411">
                  <c:v>8.6999999999999993</c:v>
                </c:pt>
                <c:pt idx="412">
                  <c:v>8.4250000000000007</c:v>
                </c:pt>
                <c:pt idx="413">
                  <c:v>8.6</c:v>
                </c:pt>
                <c:pt idx="414">
                  <c:v>8.5519999999999996</c:v>
                </c:pt>
                <c:pt idx="415">
                  <c:v>8.5640000000000001</c:v>
                </c:pt>
                <c:pt idx="416">
                  <c:v>8.5909999999999993</c:v>
                </c:pt>
                <c:pt idx="417">
                  <c:v>8.5924999999999994</c:v>
                </c:pt>
                <c:pt idx="418">
                  <c:v>8.6270000000000007</c:v>
                </c:pt>
                <c:pt idx="419">
                  <c:v>8.577</c:v>
                </c:pt>
                <c:pt idx="420">
                  <c:v>8.6280000000000001</c:v>
                </c:pt>
                <c:pt idx="421">
                  <c:v>8.4924999999999997</c:v>
                </c:pt>
                <c:pt idx="422">
                  <c:v>8.5709</c:v>
                </c:pt>
                <c:pt idx="423">
                  <c:v>8.6495999999999995</c:v>
                </c:pt>
                <c:pt idx="424">
                  <c:v>8.673</c:v>
                </c:pt>
                <c:pt idx="425">
                  <c:v>8.859</c:v>
                </c:pt>
                <c:pt idx="426">
                  <c:v>8.6</c:v>
                </c:pt>
                <c:pt idx="427">
                  <c:v>8.6304999999999996</c:v>
                </c:pt>
                <c:pt idx="428">
                  <c:v>8.6</c:v>
                </c:pt>
                <c:pt idx="429">
                  <c:v>8.51</c:v>
                </c:pt>
                <c:pt idx="430">
                  <c:v>8.6120000000000001</c:v>
                </c:pt>
                <c:pt idx="431">
                  <c:v>8.5809999999999995</c:v>
                </c:pt>
                <c:pt idx="432">
                  <c:v>8.64</c:v>
                </c:pt>
                <c:pt idx="433">
                  <c:v>8.6069999999999993</c:v>
                </c:pt>
                <c:pt idx="434">
                  <c:v>8.67</c:v>
                </c:pt>
                <c:pt idx="435">
                  <c:v>8.6530000000000005</c:v>
                </c:pt>
                <c:pt idx="436">
                  <c:v>8.6590000000000007</c:v>
                </c:pt>
                <c:pt idx="437">
                  <c:v>8.7200000000000006</c:v>
                </c:pt>
                <c:pt idx="438">
                  <c:v>8.6999999999999993</c:v>
                </c:pt>
                <c:pt idx="439">
                  <c:v>8.6790000000000003</c:v>
                </c:pt>
                <c:pt idx="440">
                  <c:v>8.6684999999999999</c:v>
                </c:pt>
                <c:pt idx="441">
                  <c:v>8.6880000000000006</c:v>
                </c:pt>
                <c:pt idx="442">
                  <c:v>8.7416669999999996</c:v>
                </c:pt>
                <c:pt idx="443">
                  <c:v>8.7076360000000008</c:v>
                </c:pt>
                <c:pt idx="444">
                  <c:v>8.6694999999999993</c:v>
                </c:pt>
                <c:pt idx="445">
                  <c:v>8.6944999999999997</c:v>
                </c:pt>
                <c:pt idx="446">
                  <c:v>8.7260000000000009</c:v>
                </c:pt>
                <c:pt idx="447">
                  <c:v>8.6954999999999991</c:v>
                </c:pt>
                <c:pt idx="448">
                  <c:v>8.6999999999999993</c:v>
                </c:pt>
                <c:pt idx="449">
                  <c:v>8.6509999999999998</c:v>
                </c:pt>
                <c:pt idx="450">
                  <c:v>8.8089999999999993</c:v>
                </c:pt>
                <c:pt idx="451">
                  <c:v>8.7789999999999999</c:v>
                </c:pt>
                <c:pt idx="452">
                  <c:v>8.7650000000000006</c:v>
                </c:pt>
                <c:pt idx="453">
                  <c:v>8.7769999999999992</c:v>
                </c:pt>
                <c:pt idx="454">
                  <c:v>8.7530000000000001</c:v>
                </c:pt>
                <c:pt idx="455">
                  <c:v>8.7330000000000005</c:v>
                </c:pt>
                <c:pt idx="456">
                  <c:v>8.6839999999999993</c:v>
                </c:pt>
                <c:pt idx="457">
                  <c:v>8.6950000000000003</c:v>
                </c:pt>
                <c:pt idx="458">
                  <c:v>8.7149999999999999</c:v>
                </c:pt>
                <c:pt idx="459">
                  <c:v>8.7420000000000009</c:v>
                </c:pt>
                <c:pt idx="460">
                  <c:v>8.8170000000000002</c:v>
                </c:pt>
                <c:pt idx="461">
                  <c:v>8.8339999999999996</c:v>
                </c:pt>
                <c:pt idx="462">
                  <c:v>8.8539999999999992</c:v>
                </c:pt>
                <c:pt idx="463">
                  <c:v>8.9309999999999992</c:v>
                </c:pt>
                <c:pt idx="464">
                  <c:v>8.9339999999999993</c:v>
                </c:pt>
                <c:pt idx="465">
                  <c:v>8.8989999999999991</c:v>
                </c:pt>
                <c:pt idx="466">
                  <c:v>8.9109999999999996</c:v>
                </c:pt>
                <c:pt idx="467">
                  <c:v>8.8789999999999996</c:v>
                </c:pt>
                <c:pt idx="468">
                  <c:v>8.7970000000000006</c:v>
                </c:pt>
                <c:pt idx="469">
                  <c:v>8.76</c:v>
                </c:pt>
                <c:pt idx="470">
                  <c:v>8.8140000000000001</c:v>
                </c:pt>
                <c:pt idx="471">
                  <c:v>8.7710000000000008</c:v>
                </c:pt>
                <c:pt idx="472">
                  <c:v>8.81</c:v>
                </c:pt>
                <c:pt idx="473">
                  <c:v>8.7569999999999997</c:v>
                </c:pt>
                <c:pt idx="474">
                  <c:v>8.7530000000000001</c:v>
                </c:pt>
                <c:pt idx="475">
                  <c:v>8.7469999999999999</c:v>
                </c:pt>
                <c:pt idx="476">
                  <c:v>8.8000000000000007</c:v>
                </c:pt>
                <c:pt idx="477">
                  <c:v>8.6999999999999993</c:v>
                </c:pt>
                <c:pt idx="478">
                  <c:v>8.6690000000000005</c:v>
                </c:pt>
                <c:pt idx="479">
                  <c:v>8.7279999999999998</c:v>
                </c:pt>
                <c:pt idx="480">
                  <c:v>8.7370000000000001</c:v>
                </c:pt>
                <c:pt idx="481">
                  <c:v>8.7360000000000007</c:v>
                </c:pt>
                <c:pt idx="482">
                  <c:v>8.734</c:v>
                </c:pt>
                <c:pt idx="483">
                  <c:v>8.75</c:v>
                </c:pt>
                <c:pt idx="484">
                  <c:v>8.7639999999999993</c:v>
                </c:pt>
                <c:pt idx="485">
                  <c:v>8.7680000000000007</c:v>
                </c:pt>
                <c:pt idx="486">
                  <c:v>8.7609999999999992</c:v>
                </c:pt>
                <c:pt idx="487">
                  <c:v>8.7650000000000006</c:v>
                </c:pt>
                <c:pt idx="488">
                  <c:v>8.7560000000000002</c:v>
                </c:pt>
                <c:pt idx="489">
                  <c:v>8.7279999999999998</c:v>
                </c:pt>
                <c:pt idx="490">
                  <c:v>8.6969999999999992</c:v>
                </c:pt>
                <c:pt idx="491">
                  <c:v>8.7799999999999994</c:v>
                </c:pt>
                <c:pt idx="492">
                  <c:v>8.7729999999999997</c:v>
                </c:pt>
                <c:pt idx="493">
                  <c:v>8.7469999999999999</c:v>
                </c:pt>
                <c:pt idx="494">
                  <c:v>8.6609999999999996</c:v>
                </c:pt>
                <c:pt idx="495">
                  <c:v>8.7210000000000001</c:v>
                </c:pt>
                <c:pt idx="496">
                  <c:v>8.625</c:v>
                </c:pt>
                <c:pt idx="497">
                  <c:v>8.6210000000000004</c:v>
                </c:pt>
                <c:pt idx="498">
                  <c:v>8.6319999999999997</c:v>
                </c:pt>
                <c:pt idx="499">
                  <c:v>8.5909999999999993</c:v>
                </c:pt>
                <c:pt idx="500">
                  <c:v>8.6159999999999997</c:v>
                </c:pt>
                <c:pt idx="501">
                  <c:v>8.6210000000000004</c:v>
                </c:pt>
                <c:pt idx="502">
                  <c:v>8.6389999999999993</c:v>
                </c:pt>
                <c:pt idx="503">
                  <c:v>8.6579999999999995</c:v>
                </c:pt>
                <c:pt idx="504">
                  <c:v>8.7449999999999992</c:v>
                </c:pt>
                <c:pt idx="505">
                  <c:v>8.6359999999999992</c:v>
                </c:pt>
                <c:pt idx="506">
                  <c:v>8.7189999999999994</c:v>
                </c:pt>
                <c:pt idx="507">
                  <c:v>8.5830000000000002</c:v>
                </c:pt>
                <c:pt idx="508">
                  <c:v>8.5419999999999998</c:v>
                </c:pt>
                <c:pt idx="509">
                  <c:v>8.5329999999999995</c:v>
                </c:pt>
                <c:pt idx="510">
                  <c:v>8.6159999999999997</c:v>
                </c:pt>
                <c:pt idx="511">
                  <c:v>8.4740000000000002</c:v>
                </c:pt>
                <c:pt idx="512">
                  <c:v>8.5239999999999991</c:v>
                </c:pt>
                <c:pt idx="513">
                  <c:v>8.5530000000000008</c:v>
                </c:pt>
                <c:pt idx="514">
                  <c:v>8.5640000000000001</c:v>
                </c:pt>
                <c:pt idx="515">
                  <c:v>8.423</c:v>
                </c:pt>
                <c:pt idx="516">
                  <c:v>8.3719999999999999</c:v>
                </c:pt>
                <c:pt idx="517">
                  <c:v>8.4450000000000003</c:v>
                </c:pt>
                <c:pt idx="518">
                  <c:v>8.4779999999999998</c:v>
                </c:pt>
                <c:pt idx="519">
                  <c:v>8.5079999999999991</c:v>
                </c:pt>
                <c:pt idx="520">
                  <c:v>8.42</c:v>
                </c:pt>
                <c:pt idx="521">
                  <c:v>8.4710000000000001</c:v>
                </c:pt>
                <c:pt idx="522">
                  <c:v>8.5399999999999991</c:v>
                </c:pt>
                <c:pt idx="523">
                  <c:v>8.5310000000000006</c:v>
                </c:pt>
                <c:pt idx="524">
                  <c:v>8.516</c:v>
                </c:pt>
                <c:pt idx="525">
                  <c:v>8.5220000000000002</c:v>
                </c:pt>
                <c:pt idx="526">
                  <c:v>8.5239999999999991</c:v>
                </c:pt>
                <c:pt idx="527">
                  <c:v>8.5250000000000004</c:v>
                </c:pt>
                <c:pt idx="528">
                  <c:v>8.56</c:v>
                </c:pt>
                <c:pt idx="529">
                  <c:v>8.5619999999999994</c:v>
                </c:pt>
                <c:pt idx="530">
                  <c:v>8.5449999999999999</c:v>
                </c:pt>
                <c:pt idx="531">
                  <c:v>8.5690000000000008</c:v>
                </c:pt>
                <c:pt idx="532">
                  <c:v>8.4</c:v>
                </c:pt>
                <c:pt idx="533">
                  <c:v>8.5579999999999998</c:v>
                </c:pt>
                <c:pt idx="534">
                  <c:v>8.5419999999999998</c:v>
                </c:pt>
                <c:pt idx="535">
                  <c:v>8.516</c:v>
                </c:pt>
                <c:pt idx="536">
                  <c:v>8.5820000000000007</c:v>
                </c:pt>
                <c:pt idx="537">
                  <c:v>8.5619999999999994</c:v>
                </c:pt>
                <c:pt idx="538">
                  <c:v>8.6310000000000002</c:v>
                </c:pt>
                <c:pt idx="539">
                  <c:v>8.5920000000000005</c:v>
                </c:pt>
                <c:pt idx="540">
                  <c:v>8.6609999999999996</c:v>
                </c:pt>
                <c:pt idx="541">
                  <c:v>8.66</c:v>
                </c:pt>
                <c:pt idx="542">
                  <c:v>8.6039999999999992</c:v>
                </c:pt>
                <c:pt idx="543">
                  <c:v>8.65</c:v>
                </c:pt>
                <c:pt idx="544">
                  <c:v>8.6489999999999991</c:v>
                </c:pt>
                <c:pt idx="545">
                  <c:v>8.5760000000000005</c:v>
                </c:pt>
                <c:pt idx="546">
                  <c:v>8.5449999999999999</c:v>
                </c:pt>
                <c:pt idx="547">
                  <c:v>8.5340000000000007</c:v>
                </c:pt>
                <c:pt idx="548">
                  <c:v>8.5350000000000001</c:v>
                </c:pt>
                <c:pt idx="549">
                  <c:v>8.5370000000000008</c:v>
                </c:pt>
                <c:pt idx="550">
                  <c:v>8.5389999999999997</c:v>
                </c:pt>
                <c:pt idx="551">
                  <c:v>8.5410000000000004</c:v>
                </c:pt>
                <c:pt idx="552">
                  <c:v>8.5280000000000005</c:v>
                </c:pt>
                <c:pt idx="553">
                  <c:v>8.5289999999999999</c:v>
                </c:pt>
                <c:pt idx="554">
                  <c:v>8.5359999999999996</c:v>
                </c:pt>
                <c:pt idx="555">
                  <c:v>8.5440000000000005</c:v>
                </c:pt>
                <c:pt idx="556">
                  <c:v>8.52</c:v>
                </c:pt>
                <c:pt idx="557">
                  <c:v>8.49</c:v>
                </c:pt>
                <c:pt idx="558">
                  <c:v>8.68</c:v>
                </c:pt>
                <c:pt idx="559">
                  <c:v>8.6820000000000004</c:v>
                </c:pt>
                <c:pt idx="560">
                  <c:v>8.7140000000000004</c:v>
                </c:pt>
                <c:pt idx="561">
                  <c:v>8.657</c:v>
                </c:pt>
                <c:pt idx="562">
                  <c:v>8.6270000000000007</c:v>
                </c:pt>
                <c:pt idx="563">
                  <c:v>8.7070000000000007</c:v>
                </c:pt>
                <c:pt idx="564">
                  <c:v>8.6920000000000002</c:v>
                </c:pt>
                <c:pt idx="565">
                  <c:v>8.7379999999999995</c:v>
                </c:pt>
                <c:pt idx="566">
                  <c:v>8.6940000000000008</c:v>
                </c:pt>
                <c:pt idx="567">
                  <c:v>8.6539999999999999</c:v>
                </c:pt>
                <c:pt idx="568">
                  <c:v>8.6750000000000007</c:v>
                </c:pt>
                <c:pt idx="569">
                  <c:v>8.6630000000000003</c:v>
                </c:pt>
                <c:pt idx="570">
                  <c:v>8.6739999999999995</c:v>
                </c:pt>
                <c:pt idx="571">
                  <c:v>8.6760000000000002</c:v>
                </c:pt>
                <c:pt idx="572">
                  <c:v>8.6760000000000002</c:v>
                </c:pt>
                <c:pt idx="573">
                  <c:v>8.6579999999999995</c:v>
                </c:pt>
                <c:pt idx="574">
                  <c:v>8.673</c:v>
                </c:pt>
                <c:pt idx="575">
                  <c:v>8.6750000000000007</c:v>
                </c:pt>
                <c:pt idx="576">
                  <c:v>8.6530000000000005</c:v>
                </c:pt>
                <c:pt idx="577">
                  <c:v>8.6829999999999998</c:v>
                </c:pt>
                <c:pt idx="578">
                  <c:v>8.6679999999999993</c:v>
                </c:pt>
                <c:pt idx="579">
                  <c:v>8.6709999999999994</c:v>
                </c:pt>
                <c:pt idx="580">
                  <c:v>8.67</c:v>
                </c:pt>
                <c:pt idx="581">
                  <c:v>8.67</c:v>
                </c:pt>
                <c:pt idx="582">
                  <c:v>8.6639999999999997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33-4F9C-B4C9-20D8F312D679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Index!$N$265:$N$282</c:f>
              <c:numCache>
                <c:formatCode>General</c:formatCode>
                <c:ptCount val="18"/>
              </c:numCache>
            </c:numRef>
          </c:xVal>
          <c:yVal>
            <c:numRef>
              <c:f>Index!$O$265:$O$282</c:f>
              <c:numCache>
                <c:formatCode>General</c:formatCode>
                <c:ptCount val="1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33-4F9C-B4C9-20D8F312D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4192568"/>
        <c:axId val="514192960"/>
      </c:scatterChart>
      <c:valAx>
        <c:axId val="514192568"/>
        <c:scaling>
          <c:orientation val="minMax"/>
          <c:min val="2457000"/>
        </c:scaling>
        <c:delete val="0"/>
        <c:axPos val="b"/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14192960"/>
        <c:crosses val="max"/>
        <c:crossBetween val="midCat"/>
        <c:majorUnit val="365"/>
      </c:valAx>
      <c:valAx>
        <c:axId val="514192960"/>
        <c:scaling>
          <c:orientation val="maxMin"/>
          <c:max val="9.5"/>
          <c:min val="7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14192568"/>
        <c:crosses val="autoZero"/>
        <c:crossBetween val="midCat"/>
        <c:majorUnit val="0.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Index!$N$3</c:f>
          <c:strCache>
            <c:ptCount val="1"/>
            <c:pt idx="0">
              <c:v>AG Peg (V)</c:v>
            </c:pt>
          </c:strCache>
        </c:strRef>
      </c:tx>
      <c:layout>
        <c:manualLayout>
          <c:xMode val="edge"/>
          <c:yMode val="edge"/>
          <c:x val="0.10641768775999054"/>
          <c:y val="0.69313571097730431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5559783364417692E-2"/>
          <c:y val="6.5795918367346939E-2"/>
          <c:w val="0.88888043327116462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66FF33"/>
              </a:solidFill>
              <a:ln w="9525">
                <a:noFill/>
              </a:ln>
              <a:effectLst/>
            </c:spPr>
          </c:marker>
          <c:xVal>
            <c:numRef>
              <c:f>V!$A$1:$A$1007</c:f>
              <c:numCache>
                <c:formatCode>General</c:formatCode>
                <c:ptCount val="1007"/>
                <c:pt idx="0">
                  <c:v>2452174.4</c:v>
                </c:pt>
                <c:pt idx="1">
                  <c:v>2452252.3542999998</c:v>
                </c:pt>
                <c:pt idx="2">
                  <c:v>2452254.3262</c:v>
                </c:pt>
                <c:pt idx="3">
                  <c:v>2452264.3914999999</c:v>
                </c:pt>
                <c:pt idx="4">
                  <c:v>2452910.3930000002</c:v>
                </c:pt>
                <c:pt idx="5">
                  <c:v>2453276.6867999998</c:v>
                </c:pt>
                <c:pt idx="6">
                  <c:v>2453303.34075</c:v>
                </c:pt>
                <c:pt idx="7">
                  <c:v>2453315.4</c:v>
                </c:pt>
                <c:pt idx="8">
                  <c:v>2453346.2999999998</c:v>
                </c:pt>
                <c:pt idx="9">
                  <c:v>2453352.2598999999</c:v>
                </c:pt>
                <c:pt idx="10">
                  <c:v>2453354.2999999998</c:v>
                </c:pt>
                <c:pt idx="11">
                  <c:v>2453593.8390000002</c:v>
                </c:pt>
                <c:pt idx="12">
                  <c:v>2453612.7719999999</c:v>
                </c:pt>
                <c:pt idx="13">
                  <c:v>2453630.3431500001</c:v>
                </c:pt>
                <c:pt idx="14">
                  <c:v>2453939.5178499999</c:v>
                </c:pt>
                <c:pt idx="15">
                  <c:v>2453946.50245</c:v>
                </c:pt>
                <c:pt idx="16">
                  <c:v>2455129.38062</c:v>
                </c:pt>
                <c:pt idx="17">
                  <c:v>2455506.2999999998</c:v>
                </c:pt>
                <c:pt idx="18">
                  <c:v>2455514.33</c:v>
                </c:pt>
                <c:pt idx="19">
                  <c:v>2455779.4236099999</c:v>
                </c:pt>
                <c:pt idx="20">
                  <c:v>2455792.3715300001</c:v>
                </c:pt>
                <c:pt idx="21">
                  <c:v>2455794.3680599998</c:v>
                </c:pt>
                <c:pt idx="22">
                  <c:v>2455797.3562500002</c:v>
                </c:pt>
                <c:pt idx="23">
                  <c:v>2455799.3888900001</c:v>
                </c:pt>
                <c:pt idx="24">
                  <c:v>2455802.9013899998</c:v>
                </c:pt>
                <c:pt idx="25">
                  <c:v>2455819.2916700002</c:v>
                </c:pt>
                <c:pt idx="26">
                  <c:v>2455820.3263900001</c:v>
                </c:pt>
                <c:pt idx="27">
                  <c:v>2455821.7968799998</c:v>
                </c:pt>
                <c:pt idx="28">
                  <c:v>2455824.2979199998</c:v>
                </c:pt>
                <c:pt idx="29">
                  <c:v>2455825.30694</c:v>
                </c:pt>
                <c:pt idx="30">
                  <c:v>2455827.3993099998</c:v>
                </c:pt>
                <c:pt idx="31">
                  <c:v>2455831.2847199999</c:v>
                </c:pt>
                <c:pt idx="32">
                  <c:v>2455832.3076399998</c:v>
                </c:pt>
                <c:pt idx="33">
                  <c:v>2455833.7847199999</c:v>
                </c:pt>
                <c:pt idx="34">
                  <c:v>2455836.7885400001</c:v>
                </c:pt>
                <c:pt idx="35">
                  <c:v>2455839.2826399999</c:v>
                </c:pt>
                <c:pt idx="36">
                  <c:v>2455847.2937500002</c:v>
                </c:pt>
                <c:pt idx="37">
                  <c:v>2455851.2569400002</c:v>
                </c:pt>
                <c:pt idx="38">
                  <c:v>2455856.2506900001</c:v>
                </c:pt>
                <c:pt idx="39">
                  <c:v>2455860.80902</c:v>
                </c:pt>
                <c:pt idx="40">
                  <c:v>2455867.2354199998</c:v>
                </c:pt>
                <c:pt idx="41">
                  <c:v>2455877.2937500002</c:v>
                </c:pt>
                <c:pt idx="42">
                  <c:v>2455883.2625000002</c:v>
                </c:pt>
                <c:pt idx="43">
                  <c:v>2455890.2409399999</c:v>
                </c:pt>
                <c:pt idx="44">
                  <c:v>2455923.2098400001</c:v>
                </c:pt>
                <c:pt idx="45">
                  <c:v>2456106.4319000002</c:v>
                </c:pt>
                <c:pt idx="46">
                  <c:v>2456109.4451000001</c:v>
                </c:pt>
                <c:pt idx="47">
                  <c:v>2456124.4042000002</c:v>
                </c:pt>
                <c:pt idx="48">
                  <c:v>2456127.4201000002</c:v>
                </c:pt>
                <c:pt idx="49">
                  <c:v>2456137.90625</c:v>
                </c:pt>
                <c:pt idx="50">
                  <c:v>2456139.4056000002</c:v>
                </c:pt>
                <c:pt idx="51">
                  <c:v>2456147.3604000001</c:v>
                </c:pt>
                <c:pt idx="52">
                  <c:v>2456148.9031500001</c:v>
                </c:pt>
                <c:pt idx="53">
                  <c:v>2456150.90105</c:v>
                </c:pt>
                <c:pt idx="54">
                  <c:v>2456154.3854</c:v>
                </c:pt>
                <c:pt idx="55">
                  <c:v>2456157.3639000002</c:v>
                </c:pt>
                <c:pt idx="56">
                  <c:v>2456163.3541999999</c:v>
                </c:pt>
                <c:pt idx="57">
                  <c:v>2456167.3958000001</c:v>
                </c:pt>
                <c:pt idx="58">
                  <c:v>2456168.7702100002</c:v>
                </c:pt>
                <c:pt idx="59">
                  <c:v>2456176.4180600001</c:v>
                </c:pt>
                <c:pt idx="60">
                  <c:v>2456179.3478999999</c:v>
                </c:pt>
                <c:pt idx="61">
                  <c:v>2456182.71765</c:v>
                </c:pt>
                <c:pt idx="62">
                  <c:v>2456185.3424</c:v>
                </c:pt>
                <c:pt idx="63">
                  <c:v>2456224.3221999998</c:v>
                </c:pt>
                <c:pt idx="64">
                  <c:v>2456239.2020999999</c:v>
                </c:pt>
                <c:pt idx="65">
                  <c:v>2456247.1985999998</c:v>
                </c:pt>
                <c:pt idx="66">
                  <c:v>2456248.2256999998</c:v>
                </c:pt>
                <c:pt idx="67">
                  <c:v>2456463.4583000001</c:v>
                </c:pt>
                <c:pt idx="68">
                  <c:v>2456476.4333000001</c:v>
                </c:pt>
                <c:pt idx="69">
                  <c:v>2456488.4312999998</c:v>
                </c:pt>
                <c:pt idx="70">
                  <c:v>2456500.3958000001</c:v>
                </c:pt>
                <c:pt idx="71">
                  <c:v>2456505.3958000001</c:v>
                </c:pt>
                <c:pt idx="72">
                  <c:v>2456508.8357899999</c:v>
                </c:pt>
                <c:pt idx="73">
                  <c:v>2456510.85543</c:v>
                </c:pt>
                <c:pt idx="74">
                  <c:v>2456516.4512399998</c:v>
                </c:pt>
                <c:pt idx="75">
                  <c:v>2456521.3958000001</c:v>
                </c:pt>
                <c:pt idx="76">
                  <c:v>2456531.3994399998</c:v>
                </c:pt>
                <c:pt idx="77">
                  <c:v>2456536.3958000001</c:v>
                </c:pt>
                <c:pt idx="78">
                  <c:v>2456538.3958000001</c:v>
                </c:pt>
                <c:pt idx="79">
                  <c:v>2456539.41879</c:v>
                </c:pt>
                <c:pt idx="80">
                  <c:v>2456552.33617</c:v>
                </c:pt>
                <c:pt idx="81">
                  <c:v>2456553.7105100001</c:v>
                </c:pt>
                <c:pt idx="82">
                  <c:v>2456559.3368000002</c:v>
                </c:pt>
                <c:pt idx="83">
                  <c:v>2456564.4398699999</c:v>
                </c:pt>
                <c:pt idx="84">
                  <c:v>2456566.66438</c:v>
                </c:pt>
                <c:pt idx="85">
                  <c:v>2456571.2913600001</c:v>
                </c:pt>
                <c:pt idx="86">
                  <c:v>2456595.3337300001</c:v>
                </c:pt>
                <c:pt idx="87">
                  <c:v>2456598.2647600002</c:v>
                </c:pt>
                <c:pt idx="88">
                  <c:v>2456604.4432899999</c:v>
                </c:pt>
                <c:pt idx="89">
                  <c:v>2456611.6142199999</c:v>
                </c:pt>
                <c:pt idx="90">
                  <c:v>2456613.6151000001</c:v>
                </c:pt>
                <c:pt idx="91">
                  <c:v>2456615.6011800002</c:v>
                </c:pt>
                <c:pt idx="92">
                  <c:v>2456617.09766</c:v>
                </c:pt>
                <c:pt idx="93">
                  <c:v>2456626.4849999999</c:v>
                </c:pt>
                <c:pt idx="94">
                  <c:v>2456645.4822999998</c:v>
                </c:pt>
                <c:pt idx="95">
                  <c:v>2456687.75177</c:v>
                </c:pt>
                <c:pt idx="96">
                  <c:v>2456764.87953</c:v>
                </c:pt>
                <c:pt idx="97">
                  <c:v>2456896.2533</c:v>
                </c:pt>
                <c:pt idx="98">
                  <c:v>2456898.5275300001</c:v>
                </c:pt>
                <c:pt idx="99">
                  <c:v>2456902.7019000002</c:v>
                </c:pt>
                <c:pt idx="100">
                  <c:v>2456904.6678200001</c:v>
                </c:pt>
                <c:pt idx="101">
                  <c:v>2456905.7867100001</c:v>
                </c:pt>
                <c:pt idx="102">
                  <c:v>2456913.66928</c:v>
                </c:pt>
                <c:pt idx="103">
                  <c:v>2456915.3333000001</c:v>
                </c:pt>
                <c:pt idx="104">
                  <c:v>2456918.6744300001</c:v>
                </c:pt>
                <c:pt idx="105">
                  <c:v>2456920.6946999999</c:v>
                </c:pt>
                <c:pt idx="106">
                  <c:v>2456924.1709799999</c:v>
                </c:pt>
                <c:pt idx="107">
                  <c:v>2456928.1839999999</c:v>
                </c:pt>
                <c:pt idx="108">
                  <c:v>2456929.6037699999</c:v>
                </c:pt>
                <c:pt idx="109">
                  <c:v>2456937.0830199998</c:v>
                </c:pt>
                <c:pt idx="110">
                  <c:v>2456939.5918100001</c:v>
                </c:pt>
                <c:pt idx="111">
                  <c:v>2456940.6616799999</c:v>
                </c:pt>
                <c:pt idx="112">
                  <c:v>2456943.58727</c:v>
                </c:pt>
                <c:pt idx="113">
                  <c:v>2456945.5534999999</c:v>
                </c:pt>
                <c:pt idx="114">
                  <c:v>2456948.5451000002</c:v>
                </c:pt>
                <c:pt idx="115">
                  <c:v>2456957.5213700002</c:v>
                </c:pt>
                <c:pt idx="116">
                  <c:v>2457006.4569999999</c:v>
                </c:pt>
                <c:pt idx="117">
                  <c:v>2457007.4951900002</c:v>
                </c:pt>
                <c:pt idx="118">
                  <c:v>2457018.4552099998</c:v>
                </c:pt>
                <c:pt idx="119">
                  <c:v>2457019.4591899998</c:v>
                </c:pt>
                <c:pt idx="120">
                  <c:v>2457021.9536299999</c:v>
                </c:pt>
                <c:pt idx="121">
                  <c:v>2457023.4454000001</c:v>
                </c:pt>
                <c:pt idx="122">
                  <c:v>2457024.45077</c:v>
                </c:pt>
                <c:pt idx="123">
                  <c:v>2457025.4514500001</c:v>
                </c:pt>
                <c:pt idx="124">
                  <c:v>2457028.4524599998</c:v>
                </c:pt>
                <c:pt idx="125">
                  <c:v>2457124.8841900001</c:v>
                </c:pt>
                <c:pt idx="126">
                  <c:v>2457128.87892</c:v>
                </c:pt>
                <c:pt idx="127">
                  <c:v>2457130.8763799998</c:v>
                </c:pt>
                <c:pt idx="128">
                  <c:v>2457156.8368799998</c:v>
                </c:pt>
                <c:pt idx="129">
                  <c:v>2457157.8372900002</c:v>
                </c:pt>
                <c:pt idx="130">
                  <c:v>2457163.8278600001</c:v>
                </c:pt>
                <c:pt idx="131">
                  <c:v>2457165.8193799998</c:v>
                </c:pt>
                <c:pt idx="132">
                  <c:v>2457166.8284900002</c:v>
                </c:pt>
                <c:pt idx="133">
                  <c:v>2457180.8183400002</c:v>
                </c:pt>
                <c:pt idx="134">
                  <c:v>2457187.8084399998</c:v>
                </c:pt>
                <c:pt idx="135">
                  <c:v>2457195.7437999998</c:v>
                </c:pt>
                <c:pt idx="136">
                  <c:v>2457197.70095</c:v>
                </c:pt>
                <c:pt idx="137">
                  <c:v>2457198.7049699998</c:v>
                </c:pt>
                <c:pt idx="138">
                  <c:v>2457199.6331199999</c:v>
                </c:pt>
                <c:pt idx="139">
                  <c:v>2457201.1612800001</c:v>
                </c:pt>
                <c:pt idx="140">
                  <c:v>2457203.1844299999</c:v>
                </c:pt>
                <c:pt idx="141">
                  <c:v>2457204.6269700001</c:v>
                </c:pt>
                <c:pt idx="142">
                  <c:v>2457206.2399599999</c:v>
                </c:pt>
                <c:pt idx="143">
                  <c:v>2457208.2933299998</c:v>
                </c:pt>
                <c:pt idx="144">
                  <c:v>2457209.2828000002</c:v>
                </c:pt>
                <c:pt idx="145">
                  <c:v>2457210.6661299998</c:v>
                </c:pt>
                <c:pt idx="146">
                  <c:v>2457211.66732</c:v>
                </c:pt>
                <c:pt idx="147">
                  <c:v>2457212.64426</c:v>
                </c:pt>
                <c:pt idx="148">
                  <c:v>2457214.3369800001</c:v>
                </c:pt>
                <c:pt idx="149">
                  <c:v>2457215.0386600001</c:v>
                </c:pt>
                <c:pt idx="150">
                  <c:v>2457216.70358</c:v>
                </c:pt>
                <c:pt idx="151">
                  <c:v>2457217.77092</c:v>
                </c:pt>
                <c:pt idx="152">
                  <c:v>2457219.4341000002</c:v>
                </c:pt>
                <c:pt idx="153">
                  <c:v>2457220.6915099998</c:v>
                </c:pt>
                <c:pt idx="154">
                  <c:v>2457221.70566</c:v>
                </c:pt>
                <c:pt idx="155">
                  <c:v>2457223.6121800002</c:v>
                </c:pt>
                <c:pt idx="156">
                  <c:v>2457225.36527</c:v>
                </c:pt>
                <c:pt idx="157">
                  <c:v>2457226.4931999999</c:v>
                </c:pt>
                <c:pt idx="158">
                  <c:v>2457227.6754899998</c:v>
                </c:pt>
                <c:pt idx="159">
                  <c:v>2457229.8229899998</c:v>
                </c:pt>
                <c:pt idx="160">
                  <c:v>2457231.69019</c:v>
                </c:pt>
                <c:pt idx="161">
                  <c:v>2457233.61546</c:v>
                </c:pt>
                <c:pt idx="162">
                  <c:v>2457234.6749</c:v>
                </c:pt>
                <c:pt idx="163">
                  <c:v>2457237.0114799999</c:v>
                </c:pt>
                <c:pt idx="164">
                  <c:v>2457238.65668</c:v>
                </c:pt>
                <c:pt idx="165">
                  <c:v>2457239.8086100002</c:v>
                </c:pt>
                <c:pt idx="166">
                  <c:v>2457241.5178100001</c:v>
                </c:pt>
                <c:pt idx="167">
                  <c:v>2457242.4956399999</c:v>
                </c:pt>
                <c:pt idx="168">
                  <c:v>2457244.1734600002</c:v>
                </c:pt>
                <c:pt idx="169">
                  <c:v>2457245.21477</c:v>
                </c:pt>
                <c:pt idx="170">
                  <c:v>2457246.91206</c:v>
                </c:pt>
                <c:pt idx="171">
                  <c:v>2457247.7928499999</c:v>
                </c:pt>
                <c:pt idx="172">
                  <c:v>2457249.3825400001</c:v>
                </c:pt>
                <c:pt idx="173">
                  <c:v>2457251.1683399999</c:v>
                </c:pt>
                <c:pt idx="174">
                  <c:v>2457252.3770099999</c:v>
                </c:pt>
                <c:pt idx="175">
                  <c:v>2457254.6334600002</c:v>
                </c:pt>
                <c:pt idx="176">
                  <c:v>2457256.6627799999</c:v>
                </c:pt>
                <c:pt idx="177">
                  <c:v>2457259.4322000002</c:v>
                </c:pt>
                <c:pt idx="178">
                  <c:v>2457261.4822900002</c:v>
                </c:pt>
                <c:pt idx="179">
                  <c:v>2457262.6622899999</c:v>
                </c:pt>
                <c:pt idx="180">
                  <c:v>2457264.57913</c:v>
                </c:pt>
                <c:pt idx="181">
                  <c:v>2457265.6403000001</c:v>
                </c:pt>
                <c:pt idx="182">
                  <c:v>2457267.14646</c:v>
                </c:pt>
                <c:pt idx="183">
                  <c:v>2457270.1270699999</c:v>
                </c:pt>
                <c:pt idx="184">
                  <c:v>2457271.8269199999</c:v>
                </c:pt>
                <c:pt idx="185">
                  <c:v>2457272.55657</c:v>
                </c:pt>
                <c:pt idx="186">
                  <c:v>2457273.6447100001</c:v>
                </c:pt>
                <c:pt idx="187">
                  <c:v>2457276.0360400002</c:v>
                </c:pt>
                <c:pt idx="188">
                  <c:v>2457278.21527</c:v>
                </c:pt>
                <c:pt idx="189">
                  <c:v>2457280.3928200002</c:v>
                </c:pt>
                <c:pt idx="190">
                  <c:v>2457281.5195800001</c:v>
                </c:pt>
                <c:pt idx="191">
                  <c:v>2457282.8798199999</c:v>
                </c:pt>
                <c:pt idx="192">
                  <c:v>2457284.9586299998</c:v>
                </c:pt>
                <c:pt idx="193">
                  <c:v>2457287.1526500001</c:v>
                </c:pt>
                <c:pt idx="194">
                  <c:v>2457287.6192999999</c:v>
                </c:pt>
                <c:pt idx="195">
                  <c:v>2457290.0581899998</c:v>
                </c:pt>
                <c:pt idx="196">
                  <c:v>2457291.4685</c:v>
                </c:pt>
                <c:pt idx="197">
                  <c:v>2457292.5326200002</c:v>
                </c:pt>
                <c:pt idx="198">
                  <c:v>2457295.2831000001</c:v>
                </c:pt>
                <c:pt idx="199">
                  <c:v>2457297.0984299998</c:v>
                </c:pt>
                <c:pt idx="200">
                  <c:v>2457302.51786</c:v>
                </c:pt>
                <c:pt idx="201">
                  <c:v>2457304.06862</c:v>
                </c:pt>
                <c:pt idx="202">
                  <c:v>2457306.3438499998</c:v>
                </c:pt>
                <c:pt idx="203">
                  <c:v>2457307.5438199998</c:v>
                </c:pt>
                <c:pt idx="204">
                  <c:v>2457309.5022900002</c:v>
                </c:pt>
                <c:pt idx="205">
                  <c:v>2457310.60892</c:v>
                </c:pt>
                <c:pt idx="206">
                  <c:v>2457312.9850900001</c:v>
                </c:pt>
                <c:pt idx="207">
                  <c:v>2457313.5696899998</c:v>
                </c:pt>
                <c:pt idx="208">
                  <c:v>2457314.5855</c:v>
                </c:pt>
                <c:pt idx="209">
                  <c:v>2457315.82436</c:v>
                </c:pt>
                <c:pt idx="210">
                  <c:v>2457321.58445</c:v>
                </c:pt>
                <c:pt idx="211">
                  <c:v>2457322.5630399999</c:v>
                </c:pt>
                <c:pt idx="212">
                  <c:v>2457324.8054599999</c:v>
                </c:pt>
                <c:pt idx="213">
                  <c:v>2457326.0028499998</c:v>
                </c:pt>
                <c:pt idx="214">
                  <c:v>2457328.36143</c:v>
                </c:pt>
                <c:pt idx="215">
                  <c:v>2457329.8434700002</c:v>
                </c:pt>
                <c:pt idx="216">
                  <c:v>2457330.6407400002</c:v>
                </c:pt>
                <c:pt idx="217">
                  <c:v>2457331.5385199999</c:v>
                </c:pt>
                <c:pt idx="218">
                  <c:v>2457333.9474300002</c:v>
                </c:pt>
                <c:pt idx="219">
                  <c:v>2457335.4615600002</c:v>
                </c:pt>
                <c:pt idx="220">
                  <c:v>2457339.2631999999</c:v>
                </c:pt>
                <c:pt idx="221">
                  <c:v>2457341.4723299998</c:v>
                </c:pt>
                <c:pt idx="222">
                  <c:v>2457343.7295900001</c:v>
                </c:pt>
                <c:pt idx="223">
                  <c:v>2457344.7892800001</c:v>
                </c:pt>
                <c:pt idx="224">
                  <c:v>2457347.5323600001</c:v>
                </c:pt>
                <c:pt idx="225">
                  <c:v>2457350.0152599998</c:v>
                </c:pt>
                <c:pt idx="226">
                  <c:v>2457351.5302400002</c:v>
                </c:pt>
                <c:pt idx="227">
                  <c:v>2457356.4262399999</c:v>
                </c:pt>
                <c:pt idx="228">
                  <c:v>2457358.5329700001</c:v>
                </c:pt>
                <c:pt idx="229">
                  <c:v>2457360.32015</c:v>
                </c:pt>
                <c:pt idx="230">
                  <c:v>2457361.87524</c:v>
                </c:pt>
                <c:pt idx="231">
                  <c:v>2457363.5332399998</c:v>
                </c:pt>
                <c:pt idx="232">
                  <c:v>2457366.3179500001</c:v>
                </c:pt>
                <c:pt idx="233">
                  <c:v>2457368.3937499998</c:v>
                </c:pt>
                <c:pt idx="234">
                  <c:v>2457370.5397199998</c:v>
                </c:pt>
                <c:pt idx="235">
                  <c:v>2457372.5839800001</c:v>
                </c:pt>
                <c:pt idx="236">
                  <c:v>2457373.5373499999</c:v>
                </c:pt>
                <c:pt idx="237">
                  <c:v>2457375.0941599999</c:v>
                </c:pt>
                <c:pt idx="238">
                  <c:v>2457376.43462</c:v>
                </c:pt>
                <c:pt idx="239">
                  <c:v>2457377.6417399999</c:v>
                </c:pt>
                <c:pt idx="240">
                  <c:v>2457381.33941</c:v>
                </c:pt>
                <c:pt idx="241">
                  <c:v>2457386.4139100001</c:v>
                </c:pt>
                <c:pt idx="242">
                  <c:v>2457391.5421600002</c:v>
                </c:pt>
                <c:pt idx="243">
                  <c:v>2457395.5373499999</c:v>
                </c:pt>
                <c:pt idx="244">
                  <c:v>2457402.5403800001</c:v>
                </c:pt>
                <c:pt idx="245">
                  <c:v>2457404.5453699999</c:v>
                </c:pt>
                <c:pt idx="246">
                  <c:v>2457407.48043</c:v>
                </c:pt>
                <c:pt idx="247">
                  <c:v>2457409.5445400001</c:v>
                </c:pt>
                <c:pt idx="248">
                  <c:v>2457410.5448099999</c:v>
                </c:pt>
                <c:pt idx="249">
                  <c:v>2457484.9080500002</c:v>
                </c:pt>
                <c:pt idx="250">
                  <c:v>2457494.0155600002</c:v>
                </c:pt>
                <c:pt idx="251">
                  <c:v>2457499.9983799998</c:v>
                </c:pt>
                <c:pt idx="252">
                  <c:v>2457502.8558299998</c:v>
                </c:pt>
                <c:pt idx="253">
                  <c:v>2457506.8363800002</c:v>
                </c:pt>
                <c:pt idx="254">
                  <c:v>2457534.9905699999</c:v>
                </c:pt>
                <c:pt idx="255">
                  <c:v>2457539.4783399999</c:v>
                </c:pt>
                <c:pt idx="256">
                  <c:v>2457540.96367</c:v>
                </c:pt>
                <c:pt idx="257">
                  <c:v>2457542.9758799998</c:v>
                </c:pt>
                <c:pt idx="258">
                  <c:v>2457544.9832299999</c:v>
                </c:pt>
                <c:pt idx="259">
                  <c:v>2457552.9647300001</c:v>
                </c:pt>
                <c:pt idx="260">
                  <c:v>2457553.9799799998</c:v>
                </c:pt>
                <c:pt idx="261">
                  <c:v>2457554.98484</c:v>
                </c:pt>
                <c:pt idx="262">
                  <c:v>2457557.92142</c:v>
                </c:pt>
                <c:pt idx="263">
                  <c:v>2457559.43199</c:v>
                </c:pt>
                <c:pt idx="264">
                  <c:v>2457560.7048599999</c:v>
                </c:pt>
                <c:pt idx="265">
                  <c:v>2457561.8622499998</c:v>
                </c:pt>
                <c:pt idx="266">
                  <c:v>2457565.6665500002</c:v>
                </c:pt>
                <c:pt idx="267">
                  <c:v>2457567.11729</c:v>
                </c:pt>
                <c:pt idx="268">
                  <c:v>2457567.8842699998</c:v>
                </c:pt>
                <c:pt idx="269">
                  <c:v>2457569.8619400002</c:v>
                </c:pt>
                <c:pt idx="270">
                  <c:v>2457571.4293999998</c:v>
                </c:pt>
                <c:pt idx="271">
                  <c:v>2457572.6518799998</c:v>
                </c:pt>
                <c:pt idx="272">
                  <c:v>2457573.8339800001</c:v>
                </c:pt>
                <c:pt idx="273">
                  <c:v>2457575.3316500001</c:v>
                </c:pt>
                <c:pt idx="274">
                  <c:v>2457576.37402</c:v>
                </c:pt>
                <c:pt idx="275">
                  <c:v>2457577.4306000001</c:v>
                </c:pt>
                <c:pt idx="276">
                  <c:v>2457579.7323799999</c:v>
                </c:pt>
                <c:pt idx="277">
                  <c:v>2457581.8344100001</c:v>
                </c:pt>
                <c:pt idx="278">
                  <c:v>2457583.4586700001</c:v>
                </c:pt>
                <c:pt idx="279">
                  <c:v>2457584.7039000001</c:v>
                </c:pt>
                <c:pt idx="280">
                  <c:v>2457585.77526</c:v>
                </c:pt>
                <c:pt idx="281">
                  <c:v>2457588.7249599998</c:v>
                </c:pt>
                <c:pt idx="282">
                  <c:v>2457591.1146200001</c:v>
                </c:pt>
                <c:pt idx="283">
                  <c:v>2457592.3741700002</c:v>
                </c:pt>
                <c:pt idx="284">
                  <c:v>2457594.6839899998</c:v>
                </c:pt>
                <c:pt idx="285">
                  <c:v>2457597.3785000001</c:v>
                </c:pt>
                <c:pt idx="286">
                  <c:v>2457599.6058700001</c:v>
                </c:pt>
                <c:pt idx="287">
                  <c:v>2457604.2196999998</c:v>
                </c:pt>
                <c:pt idx="288">
                  <c:v>2457605.5430100001</c:v>
                </c:pt>
                <c:pt idx="289">
                  <c:v>2457610.6886999998</c:v>
                </c:pt>
                <c:pt idx="290">
                  <c:v>2457612.52941</c:v>
                </c:pt>
                <c:pt idx="291">
                  <c:v>2457614.3808800001</c:v>
                </c:pt>
                <c:pt idx="292">
                  <c:v>2457616.66029</c:v>
                </c:pt>
                <c:pt idx="293">
                  <c:v>2457617.8043399998</c:v>
                </c:pt>
                <c:pt idx="294">
                  <c:v>2457622.97848</c:v>
                </c:pt>
                <c:pt idx="295">
                  <c:v>2457624.84926</c:v>
                </c:pt>
                <c:pt idx="296">
                  <c:v>2457631.2328699999</c:v>
                </c:pt>
                <c:pt idx="297">
                  <c:v>2457636.7237800001</c:v>
                </c:pt>
                <c:pt idx="298">
                  <c:v>2457640.3083000001</c:v>
                </c:pt>
                <c:pt idx="299">
                  <c:v>2457643.6228399999</c:v>
                </c:pt>
                <c:pt idx="300">
                  <c:v>2457645.4358100002</c:v>
                </c:pt>
                <c:pt idx="301">
                  <c:v>2457648.03743</c:v>
                </c:pt>
                <c:pt idx="302">
                  <c:v>2457650.6710100002</c:v>
                </c:pt>
                <c:pt idx="303">
                  <c:v>2457651.6745099998</c:v>
                </c:pt>
                <c:pt idx="304">
                  <c:v>2457655.1083900002</c:v>
                </c:pt>
                <c:pt idx="305">
                  <c:v>2457657.3097000001</c:v>
                </c:pt>
                <c:pt idx="306">
                  <c:v>2457658.8562799999</c:v>
                </c:pt>
                <c:pt idx="307">
                  <c:v>2457667.6885899999</c:v>
                </c:pt>
                <c:pt idx="308">
                  <c:v>2457672.5010500001</c:v>
                </c:pt>
                <c:pt idx="309">
                  <c:v>2457676.2395000001</c:v>
                </c:pt>
                <c:pt idx="310">
                  <c:v>2457677.53394</c:v>
                </c:pt>
                <c:pt idx="311">
                  <c:v>2457681.0550799998</c:v>
                </c:pt>
                <c:pt idx="312">
                  <c:v>2457685.5114099998</c:v>
                </c:pt>
                <c:pt idx="313">
                  <c:v>2457687.1038500001</c:v>
                </c:pt>
                <c:pt idx="314">
                  <c:v>2457693.5034500002</c:v>
                </c:pt>
                <c:pt idx="315">
                  <c:v>2457697.5901299999</c:v>
                </c:pt>
                <c:pt idx="316">
                  <c:v>2457701.5746900002</c:v>
                </c:pt>
                <c:pt idx="317">
                  <c:v>2457704.5206800001</c:v>
                </c:pt>
                <c:pt idx="318">
                  <c:v>2457706.5666700001</c:v>
                </c:pt>
                <c:pt idx="319">
                  <c:v>2457709.1108499998</c:v>
                </c:pt>
                <c:pt idx="320">
                  <c:v>2457714.5320000001</c:v>
                </c:pt>
                <c:pt idx="321">
                  <c:v>2457722.9241200001</c:v>
                </c:pt>
                <c:pt idx="322">
                  <c:v>2457743.5244</c:v>
                </c:pt>
                <c:pt idx="323">
                  <c:v>2457773.2366599999</c:v>
                </c:pt>
                <c:pt idx="324">
                  <c:v>2457876.84039</c:v>
                </c:pt>
                <c:pt idx="325">
                  <c:v>2457877.84454</c:v>
                </c:pt>
                <c:pt idx="326">
                  <c:v>2457914.7240399998</c:v>
                </c:pt>
                <c:pt idx="327">
                  <c:v>2457916.72291</c:v>
                </c:pt>
                <c:pt idx="328">
                  <c:v>2457923.52428</c:v>
                </c:pt>
                <c:pt idx="329">
                  <c:v>2457926.2075999998</c:v>
                </c:pt>
                <c:pt idx="330">
                  <c:v>2457930.2348199999</c:v>
                </c:pt>
                <c:pt idx="331">
                  <c:v>2457939.27116</c:v>
                </c:pt>
                <c:pt idx="332">
                  <c:v>2457940.66475</c:v>
                </c:pt>
                <c:pt idx="333">
                  <c:v>2457951.26559</c:v>
                </c:pt>
                <c:pt idx="334">
                  <c:v>2457954.6657099999</c:v>
                </c:pt>
                <c:pt idx="335">
                  <c:v>2457955.6995000001</c:v>
                </c:pt>
                <c:pt idx="336">
                  <c:v>2457959.5143400002</c:v>
                </c:pt>
                <c:pt idx="337">
                  <c:v>2457960.6615399998</c:v>
                </c:pt>
                <c:pt idx="338">
                  <c:v>2457962.42717</c:v>
                </c:pt>
                <c:pt idx="339">
                  <c:v>2457966.50318</c:v>
                </c:pt>
                <c:pt idx="340">
                  <c:v>2457972.6188400001</c:v>
                </c:pt>
                <c:pt idx="341">
                  <c:v>2457974.5761099998</c:v>
                </c:pt>
                <c:pt idx="342">
                  <c:v>2457976.1449600002</c:v>
                </c:pt>
                <c:pt idx="343">
                  <c:v>2457980.0554499999</c:v>
                </c:pt>
                <c:pt idx="344">
                  <c:v>2457981.5152199999</c:v>
                </c:pt>
                <c:pt idx="345">
                  <c:v>2457982.5220900001</c:v>
                </c:pt>
                <c:pt idx="346">
                  <c:v>2457994.6069</c:v>
                </c:pt>
                <c:pt idx="347">
                  <c:v>2457997.67735</c:v>
                </c:pt>
                <c:pt idx="348">
                  <c:v>2457998.6883700001</c:v>
                </c:pt>
                <c:pt idx="349">
                  <c:v>2458000.6769900001</c:v>
                </c:pt>
                <c:pt idx="350">
                  <c:v>2458001.6855000001</c:v>
                </c:pt>
                <c:pt idx="351">
                  <c:v>2458003.6855700002</c:v>
                </c:pt>
                <c:pt idx="352">
                  <c:v>2458008.5508300001</c:v>
                </c:pt>
                <c:pt idx="353">
                  <c:v>2458009.6191799999</c:v>
                </c:pt>
                <c:pt idx="354">
                  <c:v>2458011.6269999999</c:v>
                </c:pt>
                <c:pt idx="355">
                  <c:v>2458017.3605800001</c:v>
                </c:pt>
                <c:pt idx="356">
                  <c:v>2458018.5515000001</c:v>
                </c:pt>
                <c:pt idx="357">
                  <c:v>2458020.5932300002</c:v>
                </c:pt>
                <c:pt idx="358">
                  <c:v>2458021.7058999999</c:v>
                </c:pt>
                <c:pt idx="359">
                  <c:v>2458024.2812999999</c:v>
                </c:pt>
                <c:pt idx="360">
                  <c:v>2458030.4769299999</c:v>
                </c:pt>
                <c:pt idx="361">
                  <c:v>2458033.8235599999</c:v>
                </c:pt>
                <c:pt idx="362">
                  <c:v>2458035.2073300001</c:v>
                </c:pt>
                <c:pt idx="363">
                  <c:v>2458037.4937700001</c:v>
                </c:pt>
                <c:pt idx="364">
                  <c:v>2458038.9978999998</c:v>
                </c:pt>
                <c:pt idx="365">
                  <c:v>2458039.9809500002</c:v>
                </c:pt>
                <c:pt idx="366">
                  <c:v>2458041.4514100002</c:v>
                </c:pt>
                <c:pt idx="367">
                  <c:v>2458042.6380699999</c:v>
                </c:pt>
                <c:pt idx="368">
                  <c:v>2458044.1555599999</c:v>
                </c:pt>
                <c:pt idx="369">
                  <c:v>2458045.2826</c:v>
                </c:pt>
                <c:pt idx="370">
                  <c:v>2458046.5784999998</c:v>
                </c:pt>
                <c:pt idx="371">
                  <c:v>2458047.6313800002</c:v>
                </c:pt>
                <c:pt idx="372">
                  <c:v>2458049.1371499998</c:v>
                </c:pt>
                <c:pt idx="373">
                  <c:v>2458050.4622499999</c:v>
                </c:pt>
                <c:pt idx="374">
                  <c:v>2458052.1235199999</c:v>
                </c:pt>
                <c:pt idx="375">
                  <c:v>2458054.60977</c:v>
                </c:pt>
                <c:pt idx="376">
                  <c:v>2458056.1108800001</c:v>
                </c:pt>
                <c:pt idx="377">
                  <c:v>2458060.60188</c:v>
                </c:pt>
                <c:pt idx="378">
                  <c:v>2458066.41561</c:v>
                </c:pt>
                <c:pt idx="379">
                  <c:v>2458068.4346799999</c:v>
                </c:pt>
                <c:pt idx="380">
                  <c:v>2458070.2204800001</c:v>
                </c:pt>
                <c:pt idx="381">
                  <c:v>2458071.8281999999</c:v>
                </c:pt>
                <c:pt idx="382">
                  <c:v>2458072.8261600002</c:v>
                </c:pt>
                <c:pt idx="383">
                  <c:v>2458074.375</c:v>
                </c:pt>
                <c:pt idx="384">
                  <c:v>2458075.4922199999</c:v>
                </c:pt>
                <c:pt idx="385">
                  <c:v>2458077.3665300002</c:v>
                </c:pt>
                <c:pt idx="386">
                  <c:v>2458079.0522400001</c:v>
                </c:pt>
                <c:pt idx="387">
                  <c:v>2458080.4330799999</c:v>
                </c:pt>
                <c:pt idx="388">
                  <c:v>2458081.7606000002</c:v>
                </c:pt>
                <c:pt idx="389">
                  <c:v>2458082.5268600001</c:v>
                </c:pt>
                <c:pt idx="390">
                  <c:v>2458084.86</c:v>
                </c:pt>
                <c:pt idx="391">
                  <c:v>2458086.236</c:v>
                </c:pt>
                <c:pt idx="392">
                  <c:v>2458087.8112499998</c:v>
                </c:pt>
                <c:pt idx="393">
                  <c:v>2458089.5</c:v>
                </c:pt>
                <c:pt idx="394">
                  <c:v>2458091.22083</c:v>
                </c:pt>
                <c:pt idx="395">
                  <c:v>2458092.8594599999</c:v>
                </c:pt>
                <c:pt idx="396">
                  <c:v>2458094.7319800002</c:v>
                </c:pt>
                <c:pt idx="397">
                  <c:v>2458096.2599399998</c:v>
                </c:pt>
                <c:pt idx="398">
                  <c:v>2458097.4703700002</c:v>
                </c:pt>
                <c:pt idx="399">
                  <c:v>2458098.7695200001</c:v>
                </c:pt>
                <c:pt idx="400">
                  <c:v>2458100.75832</c:v>
                </c:pt>
                <c:pt idx="401">
                  <c:v>2458102.3715499998</c:v>
                </c:pt>
                <c:pt idx="402">
                  <c:v>2458103.9303299999</c:v>
                </c:pt>
                <c:pt idx="403">
                  <c:v>2458104.6871400001</c:v>
                </c:pt>
                <c:pt idx="404">
                  <c:v>2458105.8079900001</c:v>
                </c:pt>
                <c:pt idx="405">
                  <c:v>2458107.3809199999</c:v>
                </c:pt>
                <c:pt idx="406">
                  <c:v>2458108.87029</c:v>
                </c:pt>
                <c:pt idx="407">
                  <c:v>2458111.2861100002</c:v>
                </c:pt>
                <c:pt idx="408">
                  <c:v>2458112.2999999998</c:v>
                </c:pt>
                <c:pt idx="409">
                  <c:v>2458115.1113</c:v>
                </c:pt>
                <c:pt idx="410">
                  <c:v>2458116.7250000001</c:v>
                </c:pt>
                <c:pt idx="411">
                  <c:v>2458119.4583000001</c:v>
                </c:pt>
                <c:pt idx="412">
                  <c:v>2458121.05382</c:v>
                </c:pt>
                <c:pt idx="413">
                  <c:v>2458124.2519999999</c:v>
                </c:pt>
                <c:pt idx="414">
                  <c:v>2458126.5781100001</c:v>
                </c:pt>
                <c:pt idx="415">
                  <c:v>2458130.5783299999</c:v>
                </c:pt>
                <c:pt idx="416">
                  <c:v>2458213.9880900001</c:v>
                </c:pt>
                <c:pt idx="417">
                  <c:v>2458217.47541</c:v>
                </c:pt>
                <c:pt idx="418">
                  <c:v>2458243.9146099999</c:v>
                </c:pt>
                <c:pt idx="419">
                  <c:v>2458254.8702099998</c:v>
                </c:pt>
                <c:pt idx="420">
                  <c:v>2458255.8945599999</c:v>
                </c:pt>
                <c:pt idx="421">
                  <c:v>2458289.7134500002</c:v>
                </c:pt>
                <c:pt idx="422">
                  <c:v>2458303.7086900002</c:v>
                </c:pt>
                <c:pt idx="423">
                  <c:v>2458311.85041</c:v>
                </c:pt>
                <c:pt idx="424">
                  <c:v>2458314.8099500001</c:v>
                </c:pt>
                <c:pt idx="425">
                  <c:v>2458318.25795</c:v>
                </c:pt>
                <c:pt idx="426">
                  <c:v>2458320.3818999999</c:v>
                </c:pt>
                <c:pt idx="427">
                  <c:v>2458321.7241500001</c:v>
                </c:pt>
                <c:pt idx="428">
                  <c:v>2458334.375</c:v>
                </c:pt>
                <c:pt idx="429">
                  <c:v>2458337.375</c:v>
                </c:pt>
                <c:pt idx="430">
                  <c:v>2458342.7075999998</c:v>
                </c:pt>
                <c:pt idx="431">
                  <c:v>2458344.6694</c:v>
                </c:pt>
                <c:pt idx="432">
                  <c:v>2458346.3437999999</c:v>
                </c:pt>
                <c:pt idx="433">
                  <c:v>2458353.6636999999</c:v>
                </c:pt>
                <c:pt idx="434">
                  <c:v>2458359.3139</c:v>
                </c:pt>
                <c:pt idx="435">
                  <c:v>2458361.6814999999</c:v>
                </c:pt>
                <c:pt idx="436">
                  <c:v>2458363.3592400001</c:v>
                </c:pt>
                <c:pt idx="437">
                  <c:v>2458366.3034999999</c:v>
                </c:pt>
                <c:pt idx="438">
                  <c:v>2458372.3152999999</c:v>
                </c:pt>
                <c:pt idx="439">
                  <c:v>2458373.6329000001</c:v>
                </c:pt>
                <c:pt idx="440">
                  <c:v>2458376.9671499999</c:v>
                </c:pt>
                <c:pt idx="441">
                  <c:v>2458386.8956900002</c:v>
                </c:pt>
                <c:pt idx="442">
                  <c:v>2458389.0201099999</c:v>
                </c:pt>
                <c:pt idx="443">
                  <c:v>2458390.5511099999</c:v>
                </c:pt>
                <c:pt idx="444">
                  <c:v>2458393.7967300001</c:v>
                </c:pt>
                <c:pt idx="445">
                  <c:v>2458395.8671499998</c:v>
                </c:pt>
                <c:pt idx="446">
                  <c:v>2458396.5902999998</c:v>
                </c:pt>
                <c:pt idx="447">
                  <c:v>2458401.51168</c:v>
                </c:pt>
                <c:pt idx="448">
                  <c:v>2458403.0415699999</c:v>
                </c:pt>
                <c:pt idx="449">
                  <c:v>2458404.37953</c:v>
                </c:pt>
                <c:pt idx="450">
                  <c:v>2458405.87733</c:v>
                </c:pt>
                <c:pt idx="451">
                  <c:v>2458409.28382</c:v>
                </c:pt>
                <c:pt idx="452">
                  <c:v>2458410.5751</c:v>
                </c:pt>
                <c:pt idx="453">
                  <c:v>2458414.5789000001</c:v>
                </c:pt>
                <c:pt idx="454">
                  <c:v>2458421.3355800002</c:v>
                </c:pt>
                <c:pt idx="455">
                  <c:v>2458425.5884199999</c:v>
                </c:pt>
                <c:pt idx="456">
                  <c:v>2458429.5721</c:v>
                </c:pt>
                <c:pt idx="457">
                  <c:v>2458430.6146</c:v>
                </c:pt>
                <c:pt idx="458">
                  <c:v>2458434.5701000001</c:v>
                </c:pt>
                <c:pt idx="459">
                  <c:v>2458436.59626</c:v>
                </c:pt>
                <c:pt idx="460">
                  <c:v>2458448.6005000002</c:v>
                </c:pt>
                <c:pt idx="461">
                  <c:v>2458456.5989999999</c:v>
                </c:pt>
                <c:pt idx="462">
                  <c:v>2458461.5852999999</c:v>
                </c:pt>
                <c:pt idx="463">
                  <c:v>2458471.5814</c:v>
                </c:pt>
                <c:pt idx="464">
                  <c:v>2458473.5610000002</c:v>
                </c:pt>
                <c:pt idx="465">
                  <c:v>2458475.5852999999</c:v>
                </c:pt>
                <c:pt idx="466">
                  <c:v>2458477.2857499998</c:v>
                </c:pt>
                <c:pt idx="467">
                  <c:v>2458485.5751</c:v>
                </c:pt>
                <c:pt idx="468">
                  <c:v>2458656.2685600002</c:v>
                </c:pt>
                <c:pt idx="469">
                  <c:v>2458663.1675999998</c:v>
                </c:pt>
                <c:pt idx="470">
                  <c:v>2458663.2038099999</c:v>
                </c:pt>
                <c:pt idx="471">
                  <c:v>2458666.8903800002</c:v>
                </c:pt>
                <c:pt idx="472">
                  <c:v>2458679.79109</c:v>
                </c:pt>
                <c:pt idx="473">
                  <c:v>2458702.7254499998</c:v>
                </c:pt>
                <c:pt idx="474">
                  <c:v>2458718.7023</c:v>
                </c:pt>
                <c:pt idx="475">
                  <c:v>2458720.42282</c:v>
                </c:pt>
                <c:pt idx="476">
                  <c:v>2458729.4035</c:v>
                </c:pt>
                <c:pt idx="477">
                  <c:v>2458731.3986</c:v>
                </c:pt>
                <c:pt idx="478">
                  <c:v>2458745.6645</c:v>
                </c:pt>
                <c:pt idx="479">
                  <c:v>2458753.6003</c:v>
                </c:pt>
                <c:pt idx="480">
                  <c:v>2458755.7244600002</c:v>
                </c:pt>
                <c:pt idx="481">
                  <c:v>2458755.7330399998</c:v>
                </c:pt>
                <c:pt idx="482">
                  <c:v>2458755.7416599998</c:v>
                </c:pt>
                <c:pt idx="483">
                  <c:v>2458757.5989999999</c:v>
                </c:pt>
                <c:pt idx="484">
                  <c:v>2458762.7038199999</c:v>
                </c:pt>
                <c:pt idx="485">
                  <c:v>2458762.7038199999</c:v>
                </c:pt>
                <c:pt idx="486">
                  <c:v>2458762.72792</c:v>
                </c:pt>
                <c:pt idx="487">
                  <c:v>2458762.72792</c:v>
                </c:pt>
                <c:pt idx="488">
                  <c:v>2458764.6025</c:v>
                </c:pt>
                <c:pt idx="489">
                  <c:v>2458766.47193</c:v>
                </c:pt>
                <c:pt idx="490">
                  <c:v>2458775.6463000001</c:v>
                </c:pt>
                <c:pt idx="491">
                  <c:v>2458776.6040400001</c:v>
                </c:pt>
                <c:pt idx="492">
                  <c:v>2458780.5942199999</c:v>
                </c:pt>
                <c:pt idx="493">
                  <c:v>2458792.5787800001</c:v>
                </c:pt>
                <c:pt idx="494">
                  <c:v>2458799.66059</c:v>
                </c:pt>
                <c:pt idx="495">
                  <c:v>2458801.5910800002</c:v>
                </c:pt>
                <c:pt idx="496">
                  <c:v>2458801.6039</c:v>
                </c:pt>
                <c:pt idx="497">
                  <c:v>2458805.6439999999</c:v>
                </c:pt>
                <c:pt idx="498">
                  <c:v>2458809.5826699999</c:v>
                </c:pt>
                <c:pt idx="499">
                  <c:v>2458812.6022999999</c:v>
                </c:pt>
                <c:pt idx="500">
                  <c:v>2458817.2985499999</c:v>
                </c:pt>
                <c:pt idx="501">
                  <c:v>2458818.6014999999</c:v>
                </c:pt>
                <c:pt idx="502">
                  <c:v>2458828.5904999999</c:v>
                </c:pt>
                <c:pt idx="503">
                  <c:v>2458830.5469999998</c:v>
                </c:pt>
                <c:pt idx="504">
                  <c:v>2458830.5628800001</c:v>
                </c:pt>
                <c:pt idx="505">
                  <c:v>2458834.5994000002</c:v>
                </c:pt>
                <c:pt idx="506">
                  <c:v>2458836.5537700001</c:v>
                </c:pt>
                <c:pt idx="507">
                  <c:v>2458839.574</c:v>
                </c:pt>
                <c:pt idx="508">
                  <c:v>2458844.5735999998</c:v>
                </c:pt>
                <c:pt idx="509">
                  <c:v>2458847.5832000002</c:v>
                </c:pt>
                <c:pt idx="510">
                  <c:v>2458851.5574710001</c:v>
                </c:pt>
                <c:pt idx="511">
                  <c:v>2459048.4987300001</c:v>
                </c:pt>
                <c:pt idx="512">
                  <c:v>2459056.4663</c:v>
                </c:pt>
                <c:pt idx="513">
                  <c:v>2459062.7026399998</c:v>
                </c:pt>
                <c:pt idx="514">
                  <c:v>2459068.4870500001</c:v>
                </c:pt>
                <c:pt idx="515">
                  <c:v>2459077.7477890002</c:v>
                </c:pt>
                <c:pt idx="516">
                  <c:v>2459077.7512619998</c:v>
                </c:pt>
                <c:pt idx="517">
                  <c:v>2459077.7547109998</c:v>
                </c:pt>
                <c:pt idx="518">
                  <c:v>2459077.7581710001</c:v>
                </c:pt>
                <c:pt idx="519">
                  <c:v>2459077.7616320001</c:v>
                </c:pt>
                <c:pt idx="520">
                  <c:v>2459085.3979000002</c:v>
                </c:pt>
                <c:pt idx="521">
                  <c:v>2459088.4130199999</c:v>
                </c:pt>
                <c:pt idx="522">
                  <c:v>2459099.3826000001</c:v>
                </c:pt>
                <c:pt idx="523">
                  <c:v>2459099.7115679998</c:v>
                </c:pt>
                <c:pt idx="524">
                  <c:v>2459099.7151330002</c:v>
                </c:pt>
                <c:pt idx="525">
                  <c:v>2459099.7186980001</c:v>
                </c:pt>
                <c:pt idx="526">
                  <c:v>2459099.722263</c:v>
                </c:pt>
                <c:pt idx="527">
                  <c:v>2459099.7258279999</c:v>
                </c:pt>
                <c:pt idx="528">
                  <c:v>2459106.3541999999</c:v>
                </c:pt>
                <c:pt idx="529">
                  <c:v>2459106.4407600001</c:v>
                </c:pt>
                <c:pt idx="530">
                  <c:v>2459107.3316299999</c:v>
                </c:pt>
                <c:pt idx="531">
                  <c:v>2459109.6803000001</c:v>
                </c:pt>
                <c:pt idx="532">
                  <c:v>2459111.3520999998</c:v>
                </c:pt>
                <c:pt idx="533">
                  <c:v>2459115.6740999999</c:v>
                </c:pt>
                <c:pt idx="534">
                  <c:v>2459116.4418199998</c:v>
                </c:pt>
                <c:pt idx="535">
                  <c:v>2459120.6532000001</c:v>
                </c:pt>
                <c:pt idx="536">
                  <c:v>2459128.6581000001</c:v>
                </c:pt>
                <c:pt idx="537">
                  <c:v>2459131.4071599999</c:v>
                </c:pt>
                <c:pt idx="538">
                  <c:v>2459134.6230700002</c:v>
                </c:pt>
                <c:pt idx="539">
                  <c:v>2459134.6710000001</c:v>
                </c:pt>
                <c:pt idx="540">
                  <c:v>2459139.6368999998</c:v>
                </c:pt>
                <c:pt idx="541">
                  <c:v>2459140.3042000001</c:v>
                </c:pt>
                <c:pt idx="542">
                  <c:v>2459141.65</c:v>
                </c:pt>
                <c:pt idx="543">
                  <c:v>2459143.6497</c:v>
                </c:pt>
                <c:pt idx="544">
                  <c:v>2459146.3173099998</c:v>
                </c:pt>
                <c:pt idx="545">
                  <c:v>2459148.45578</c:v>
                </c:pt>
                <c:pt idx="546">
                  <c:v>2459154.5757519999</c:v>
                </c:pt>
                <c:pt idx="547">
                  <c:v>2459154.5779280001</c:v>
                </c:pt>
                <c:pt idx="548">
                  <c:v>2459154.580116</c:v>
                </c:pt>
                <c:pt idx="549">
                  <c:v>2459154.5823149998</c:v>
                </c:pt>
                <c:pt idx="550">
                  <c:v>2459154.5874069999</c:v>
                </c:pt>
                <c:pt idx="551">
                  <c:v>2459154.5896299998</c:v>
                </c:pt>
                <c:pt idx="552">
                  <c:v>2459154.5918399999</c:v>
                </c:pt>
                <c:pt idx="553">
                  <c:v>2459154.5940510002</c:v>
                </c:pt>
                <c:pt idx="554">
                  <c:v>2459154.596262</c:v>
                </c:pt>
                <c:pt idx="555">
                  <c:v>2459157.622</c:v>
                </c:pt>
                <c:pt idx="556">
                  <c:v>2459159.3607100002</c:v>
                </c:pt>
                <c:pt idx="557">
                  <c:v>2459160.3235999998</c:v>
                </c:pt>
                <c:pt idx="558">
                  <c:v>2459173.5956999999</c:v>
                </c:pt>
                <c:pt idx="559">
                  <c:v>2459176.3870799998</c:v>
                </c:pt>
                <c:pt idx="560">
                  <c:v>2459188.6466000001</c:v>
                </c:pt>
                <c:pt idx="561">
                  <c:v>2459192.6472</c:v>
                </c:pt>
                <c:pt idx="562">
                  <c:v>2459196.2833400001</c:v>
                </c:pt>
                <c:pt idx="563">
                  <c:v>2459204.5490000001</c:v>
                </c:pt>
                <c:pt idx="564">
                  <c:v>2459212.5918999999</c:v>
                </c:pt>
                <c:pt idx="565">
                  <c:v>2459217.588</c:v>
                </c:pt>
                <c:pt idx="566">
                  <c:v>2459221.5562</c:v>
                </c:pt>
                <c:pt idx="567">
                  <c:v>2459227.5570999999</c:v>
                </c:pt>
                <c:pt idx="568">
                  <c:v>2459231.5406050002</c:v>
                </c:pt>
                <c:pt idx="569">
                  <c:v>2459231.5412079999</c:v>
                </c:pt>
                <c:pt idx="570">
                  <c:v>2459231.5415110001</c:v>
                </c:pt>
                <c:pt idx="571">
                  <c:v>2459231.5440619998</c:v>
                </c:pt>
                <c:pt idx="572">
                  <c:v>2459231.5455280002</c:v>
                </c:pt>
                <c:pt idx="573">
                  <c:v>2459231.5462699998</c:v>
                </c:pt>
                <c:pt idx="574">
                  <c:v>2459231.5470110001</c:v>
                </c:pt>
                <c:pt idx="575">
                  <c:v>2459231.5477519999</c:v>
                </c:pt>
                <c:pt idx="576">
                  <c:v>2459231.5493419999</c:v>
                </c:pt>
                <c:pt idx="577">
                  <c:v>2459231.5500889998</c:v>
                </c:pt>
                <c:pt idx="578">
                  <c:v>2459231.5508340001</c:v>
                </c:pt>
                <c:pt idx="579">
                  <c:v>2459231.5515780002</c:v>
                </c:pt>
                <c:pt idx="580">
                  <c:v>2459231.552321</c:v>
                </c:pt>
                <c:pt idx="581">
                  <c:v>2459231.5530659999</c:v>
                </c:pt>
                <c:pt idx="582">
                  <c:v>2459231.5553029999</c:v>
                </c:pt>
              </c:numCache>
            </c:numRef>
          </c:xVal>
          <c:yVal>
            <c:numRef>
              <c:f>V!$C$1:$C$1007</c:f>
              <c:numCache>
                <c:formatCode>General</c:formatCode>
                <c:ptCount val="1007"/>
                <c:pt idx="0">
                  <c:v>8.6199999999999992</c:v>
                </c:pt>
                <c:pt idx="1">
                  <c:v>8.5399999999999991</c:v>
                </c:pt>
                <c:pt idx="2">
                  <c:v>8.4600000000000009</c:v>
                </c:pt>
                <c:pt idx="3">
                  <c:v>8.48</c:v>
                </c:pt>
                <c:pt idx="4">
                  <c:v>8.875</c:v>
                </c:pt>
                <c:pt idx="5">
                  <c:v>8.4</c:v>
                </c:pt>
                <c:pt idx="6">
                  <c:v>8.375</c:v>
                </c:pt>
                <c:pt idx="7">
                  <c:v>8.81</c:v>
                </c:pt>
                <c:pt idx="8">
                  <c:v>8.57</c:v>
                </c:pt>
                <c:pt idx="9">
                  <c:v>8.36</c:v>
                </c:pt>
                <c:pt idx="10">
                  <c:v>8.26</c:v>
                </c:pt>
                <c:pt idx="11">
                  <c:v>8.6999999999999993</c:v>
                </c:pt>
                <c:pt idx="12">
                  <c:v>8.8000000000000007</c:v>
                </c:pt>
                <c:pt idx="13">
                  <c:v>8.86</c:v>
                </c:pt>
                <c:pt idx="14">
                  <c:v>8.44</c:v>
                </c:pt>
                <c:pt idx="15">
                  <c:v>8.4149999999999991</c:v>
                </c:pt>
                <c:pt idx="16">
                  <c:v>8.6980000000000004</c:v>
                </c:pt>
                <c:pt idx="17">
                  <c:v>8.73</c:v>
                </c:pt>
                <c:pt idx="18">
                  <c:v>8.65</c:v>
                </c:pt>
                <c:pt idx="19">
                  <c:v>8.6199999999999992</c:v>
                </c:pt>
                <c:pt idx="20">
                  <c:v>8.5500000000000007</c:v>
                </c:pt>
                <c:pt idx="21">
                  <c:v>8.5760000000000005</c:v>
                </c:pt>
                <c:pt idx="22">
                  <c:v>8.58</c:v>
                </c:pt>
                <c:pt idx="23">
                  <c:v>8.6199999999999992</c:v>
                </c:pt>
                <c:pt idx="24">
                  <c:v>8.64</c:v>
                </c:pt>
                <c:pt idx="25">
                  <c:v>8.5</c:v>
                </c:pt>
                <c:pt idx="26">
                  <c:v>8.5299999999999994</c:v>
                </c:pt>
                <c:pt idx="27">
                  <c:v>8.5</c:v>
                </c:pt>
                <c:pt idx="28">
                  <c:v>8.6</c:v>
                </c:pt>
                <c:pt idx="29">
                  <c:v>8.6</c:v>
                </c:pt>
                <c:pt idx="30">
                  <c:v>8.5399999999999991</c:v>
                </c:pt>
                <c:pt idx="31">
                  <c:v>8.6999999999999993</c:v>
                </c:pt>
                <c:pt idx="32">
                  <c:v>8.56</c:v>
                </c:pt>
                <c:pt idx="33">
                  <c:v>8.6649999999999991</c:v>
                </c:pt>
                <c:pt idx="34">
                  <c:v>8.625</c:v>
                </c:pt>
                <c:pt idx="35">
                  <c:v>8.74</c:v>
                </c:pt>
                <c:pt idx="36">
                  <c:v>8.76</c:v>
                </c:pt>
                <c:pt idx="37">
                  <c:v>8.6199999999999992</c:v>
                </c:pt>
                <c:pt idx="38">
                  <c:v>8.51</c:v>
                </c:pt>
                <c:pt idx="39">
                  <c:v>8.8049999999999997</c:v>
                </c:pt>
                <c:pt idx="40">
                  <c:v>8.64</c:v>
                </c:pt>
                <c:pt idx="41">
                  <c:v>8.6199999999999992</c:v>
                </c:pt>
                <c:pt idx="42">
                  <c:v>8.7200000000000006</c:v>
                </c:pt>
                <c:pt idx="43">
                  <c:v>8.57</c:v>
                </c:pt>
                <c:pt idx="44">
                  <c:v>8.7639999999999993</c:v>
                </c:pt>
                <c:pt idx="45">
                  <c:v>8.9</c:v>
                </c:pt>
                <c:pt idx="46">
                  <c:v>8.9</c:v>
                </c:pt>
                <c:pt idx="47">
                  <c:v>8.9499999999999993</c:v>
                </c:pt>
                <c:pt idx="48">
                  <c:v>8.9600000000000009</c:v>
                </c:pt>
                <c:pt idx="49">
                  <c:v>8.9600000000000009</c:v>
                </c:pt>
                <c:pt idx="50">
                  <c:v>8.9700000000000006</c:v>
                </c:pt>
                <c:pt idx="51">
                  <c:v>8.93</c:v>
                </c:pt>
                <c:pt idx="52">
                  <c:v>8.93</c:v>
                </c:pt>
                <c:pt idx="53">
                  <c:v>8.9149999999999991</c:v>
                </c:pt>
                <c:pt idx="54">
                  <c:v>8.9</c:v>
                </c:pt>
                <c:pt idx="55">
                  <c:v>8.89</c:v>
                </c:pt>
                <c:pt idx="56">
                  <c:v>8.8800000000000008</c:v>
                </c:pt>
                <c:pt idx="57">
                  <c:v>8.8800000000000008</c:v>
                </c:pt>
                <c:pt idx="58">
                  <c:v>8.8079999999999998</c:v>
                </c:pt>
                <c:pt idx="59">
                  <c:v>8.8539999999999992</c:v>
                </c:pt>
                <c:pt idx="60">
                  <c:v>8.84</c:v>
                </c:pt>
                <c:pt idx="61">
                  <c:v>8.83</c:v>
                </c:pt>
                <c:pt idx="62">
                  <c:v>8.9600000000000009</c:v>
                </c:pt>
                <c:pt idx="63">
                  <c:v>8.8000000000000007</c:v>
                </c:pt>
                <c:pt idx="64">
                  <c:v>8.8800000000000008</c:v>
                </c:pt>
                <c:pt idx="65">
                  <c:v>8.85</c:v>
                </c:pt>
                <c:pt idx="66">
                  <c:v>8.85</c:v>
                </c:pt>
                <c:pt idx="67">
                  <c:v>8.59</c:v>
                </c:pt>
                <c:pt idx="68">
                  <c:v>8.5030000000000001</c:v>
                </c:pt>
                <c:pt idx="69">
                  <c:v>8.51</c:v>
                </c:pt>
                <c:pt idx="70">
                  <c:v>8.4499999999999993</c:v>
                </c:pt>
                <c:pt idx="71">
                  <c:v>8.49</c:v>
                </c:pt>
                <c:pt idx="72">
                  <c:v>8.4030000000000005</c:v>
                </c:pt>
                <c:pt idx="73">
                  <c:v>8.4450000000000003</c:v>
                </c:pt>
                <c:pt idx="74">
                  <c:v>8.5277390000000004</c:v>
                </c:pt>
                <c:pt idx="75">
                  <c:v>8.5</c:v>
                </c:pt>
                <c:pt idx="76">
                  <c:v>8.4684480000000004</c:v>
                </c:pt>
                <c:pt idx="77">
                  <c:v>8.41</c:v>
                </c:pt>
                <c:pt idx="78">
                  <c:v>8.4209999999999994</c:v>
                </c:pt>
                <c:pt idx="79">
                  <c:v>8.4066329999999994</c:v>
                </c:pt>
                <c:pt idx="80">
                  <c:v>8.5094999999999992</c:v>
                </c:pt>
                <c:pt idx="81">
                  <c:v>8.4039999999999999</c:v>
                </c:pt>
                <c:pt idx="82">
                  <c:v>8.5299999999999994</c:v>
                </c:pt>
                <c:pt idx="83">
                  <c:v>8.5267750000000007</c:v>
                </c:pt>
                <c:pt idx="84">
                  <c:v>8.4860000000000007</c:v>
                </c:pt>
                <c:pt idx="85">
                  <c:v>8.5054829999999999</c:v>
                </c:pt>
                <c:pt idx="86">
                  <c:v>8.7466000000000008</c:v>
                </c:pt>
                <c:pt idx="87">
                  <c:v>8.8803999999999998</c:v>
                </c:pt>
                <c:pt idx="88">
                  <c:v>8.6813140000000004</c:v>
                </c:pt>
                <c:pt idx="89">
                  <c:v>8.6199999999999992</c:v>
                </c:pt>
                <c:pt idx="90">
                  <c:v>8.6310000000000002</c:v>
                </c:pt>
                <c:pt idx="91">
                  <c:v>8.6379999999999999</c:v>
                </c:pt>
                <c:pt idx="92">
                  <c:v>8.6355000000000004</c:v>
                </c:pt>
                <c:pt idx="93">
                  <c:v>8.6679999999999993</c:v>
                </c:pt>
                <c:pt idx="94">
                  <c:v>8.6069999999999993</c:v>
                </c:pt>
                <c:pt idx="95">
                  <c:v>8.4410000000000007</c:v>
                </c:pt>
                <c:pt idx="96">
                  <c:v>8.2609999999999992</c:v>
                </c:pt>
                <c:pt idx="97">
                  <c:v>8.8559999999999999</c:v>
                </c:pt>
                <c:pt idx="98">
                  <c:v>8.8904999999999994</c:v>
                </c:pt>
                <c:pt idx="99">
                  <c:v>8.9250000000000007</c:v>
                </c:pt>
                <c:pt idx="100">
                  <c:v>8.9610000000000003</c:v>
                </c:pt>
                <c:pt idx="101">
                  <c:v>8.9649999999999999</c:v>
                </c:pt>
                <c:pt idx="102">
                  <c:v>9.0549999999999997</c:v>
                </c:pt>
                <c:pt idx="103">
                  <c:v>9.1300000000000008</c:v>
                </c:pt>
                <c:pt idx="104">
                  <c:v>9.077</c:v>
                </c:pt>
                <c:pt idx="105">
                  <c:v>9.0990000000000002</c:v>
                </c:pt>
                <c:pt idx="106">
                  <c:v>9.0619999999999994</c:v>
                </c:pt>
                <c:pt idx="107">
                  <c:v>9.060333</c:v>
                </c:pt>
                <c:pt idx="108">
                  <c:v>9.0449999999999999</c:v>
                </c:pt>
                <c:pt idx="109">
                  <c:v>9.0280000000000005</c:v>
                </c:pt>
                <c:pt idx="110">
                  <c:v>9.0250000000000004</c:v>
                </c:pt>
                <c:pt idx="111">
                  <c:v>9.0389999999999997</c:v>
                </c:pt>
                <c:pt idx="112">
                  <c:v>9.0489999999999995</c:v>
                </c:pt>
                <c:pt idx="113">
                  <c:v>9.0530000000000008</c:v>
                </c:pt>
                <c:pt idx="114">
                  <c:v>9.0489999999999995</c:v>
                </c:pt>
                <c:pt idx="115">
                  <c:v>9.0540000000000003</c:v>
                </c:pt>
                <c:pt idx="116">
                  <c:v>8.8770000000000007</c:v>
                </c:pt>
                <c:pt idx="117">
                  <c:v>8.9190000000000005</c:v>
                </c:pt>
                <c:pt idx="118">
                  <c:v>8.8960000000000008</c:v>
                </c:pt>
                <c:pt idx="119">
                  <c:v>8.8829999999999991</c:v>
                </c:pt>
                <c:pt idx="120">
                  <c:v>8.9004999999999992</c:v>
                </c:pt>
                <c:pt idx="121">
                  <c:v>8.8770000000000007</c:v>
                </c:pt>
                <c:pt idx="122">
                  <c:v>8.9320000000000004</c:v>
                </c:pt>
                <c:pt idx="123">
                  <c:v>8.9109999999999996</c:v>
                </c:pt>
                <c:pt idx="124">
                  <c:v>8.92</c:v>
                </c:pt>
                <c:pt idx="125">
                  <c:v>8.5510000000000002</c:v>
                </c:pt>
                <c:pt idx="126">
                  <c:v>8.5239999999999991</c:v>
                </c:pt>
                <c:pt idx="127">
                  <c:v>8.5310000000000006</c:v>
                </c:pt>
                <c:pt idx="128">
                  <c:v>8.4629999999999992</c:v>
                </c:pt>
                <c:pt idx="129">
                  <c:v>8.4589999999999996</c:v>
                </c:pt>
                <c:pt idx="130">
                  <c:v>8.4309999999999992</c:v>
                </c:pt>
                <c:pt idx="131">
                  <c:v>8.4239999999999995</c:v>
                </c:pt>
                <c:pt idx="132">
                  <c:v>8.4339999999999993</c:v>
                </c:pt>
                <c:pt idx="133">
                  <c:v>8.3919999999999995</c:v>
                </c:pt>
                <c:pt idx="134">
                  <c:v>7.8029999999999999</c:v>
                </c:pt>
                <c:pt idx="135">
                  <c:v>7.2647500000000003</c:v>
                </c:pt>
                <c:pt idx="136">
                  <c:v>7.2305999999999999</c:v>
                </c:pt>
                <c:pt idx="137">
                  <c:v>7.1852530000000003</c:v>
                </c:pt>
                <c:pt idx="138">
                  <c:v>6.9542999999999999</c:v>
                </c:pt>
                <c:pt idx="139">
                  <c:v>7.0614999999999997</c:v>
                </c:pt>
                <c:pt idx="140">
                  <c:v>7.0980749999999997</c:v>
                </c:pt>
                <c:pt idx="141">
                  <c:v>6.9741540000000004</c:v>
                </c:pt>
                <c:pt idx="142">
                  <c:v>7.0519999999999996</c:v>
                </c:pt>
                <c:pt idx="143">
                  <c:v>7.0490000000000004</c:v>
                </c:pt>
                <c:pt idx="144">
                  <c:v>7.04</c:v>
                </c:pt>
                <c:pt idx="145">
                  <c:v>7.1135000000000002</c:v>
                </c:pt>
                <c:pt idx="146">
                  <c:v>6.9966330000000001</c:v>
                </c:pt>
                <c:pt idx="147">
                  <c:v>6.7473999999999998</c:v>
                </c:pt>
                <c:pt idx="148">
                  <c:v>7.2050000000000001</c:v>
                </c:pt>
                <c:pt idx="149">
                  <c:v>7.0363329999999999</c:v>
                </c:pt>
                <c:pt idx="150">
                  <c:v>7.2590000000000003</c:v>
                </c:pt>
                <c:pt idx="151">
                  <c:v>7.1974999999999998</c:v>
                </c:pt>
                <c:pt idx="152">
                  <c:v>7.2460000000000004</c:v>
                </c:pt>
                <c:pt idx="153">
                  <c:v>7.2507000000000001</c:v>
                </c:pt>
                <c:pt idx="154">
                  <c:v>7.3419999999999996</c:v>
                </c:pt>
                <c:pt idx="155">
                  <c:v>7.1090580000000001</c:v>
                </c:pt>
                <c:pt idx="156">
                  <c:v>7.3273330000000003</c:v>
                </c:pt>
                <c:pt idx="157">
                  <c:v>7.3570000000000002</c:v>
                </c:pt>
                <c:pt idx="158">
                  <c:v>7.4305000000000003</c:v>
                </c:pt>
                <c:pt idx="159">
                  <c:v>7.4485000000000001</c:v>
                </c:pt>
                <c:pt idx="160">
                  <c:v>7.4744999999999999</c:v>
                </c:pt>
                <c:pt idx="161">
                  <c:v>7.484</c:v>
                </c:pt>
                <c:pt idx="162">
                  <c:v>7.5449999999999999</c:v>
                </c:pt>
                <c:pt idx="163">
                  <c:v>7.5579999999999998</c:v>
                </c:pt>
                <c:pt idx="164">
                  <c:v>7.57</c:v>
                </c:pt>
                <c:pt idx="165">
                  <c:v>7.5949999999999998</c:v>
                </c:pt>
                <c:pt idx="166">
                  <c:v>7.632333</c:v>
                </c:pt>
                <c:pt idx="167">
                  <c:v>7.3390000000000004</c:v>
                </c:pt>
                <c:pt idx="168">
                  <c:v>7.6360000000000001</c:v>
                </c:pt>
                <c:pt idx="169">
                  <c:v>7.6715</c:v>
                </c:pt>
                <c:pt idx="170">
                  <c:v>7.7083329999999997</c:v>
                </c:pt>
                <c:pt idx="171">
                  <c:v>7.6965000000000003</c:v>
                </c:pt>
                <c:pt idx="172">
                  <c:v>7.6928000000000001</c:v>
                </c:pt>
                <c:pt idx="173">
                  <c:v>7.7545000000000002</c:v>
                </c:pt>
                <c:pt idx="174">
                  <c:v>7.7563329999999997</c:v>
                </c:pt>
                <c:pt idx="175">
                  <c:v>7.6740000000000004</c:v>
                </c:pt>
                <c:pt idx="176">
                  <c:v>7.8209999999999997</c:v>
                </c:pt>
                <c:pt idx="177">
                  <c:v>7.726</c:v>
                </c:pt>
                <c:pt idx="178">
                  <c:v>7.77</c:v>
                </c:pt>
                <c:pt idx="179">
                  <c:v>7.8479999999999999</c:v>
                </c:pt>
                <c:pt idx="180">
                  <c:v>7.7350000000000003</c:v>
                </c:pt>
                <c:pt idx="181">
                  <c:v>7.9640000000000004</c:v>
                </c:pt>
                <c:pt idx="182">
                  <c:v>7.7973330000000001</c:v>
                </c:pt>
                <c:pt idx="183">
                  <c:v>7.8404999999999996</c:v>
                </c:pt>
                <c:pt idx="184">
                  <c:v>7.8170000000000002</c:v>
                </c:pt>
                <c:pt idx="185">
                  <c:v>7.7910000000000004</c:v>
                </c:pt>
                <c:pt idx="186">
                  <c:v>7.7590000000000003</c:v>
                </c:pt>
                <c:pt idx="187">
                  <c:v>7.8925000000000001</c:v>
                </c:pt>
                <c:pt idx="188">
                  <c:v>7.8090000000000002</c:v>
                </c:pt>
                <c:pt idx="189">
                  <c:v>7.8987499999999997</c:v>
                </c:pt>
                <c:pt idx="190">
                  <c:v>7.8559999999999999</c:v>
                </c:pt>
                <c:pt idx="191">
                  <c:v>7.8929999999999998</c:v>
                </c:pt>
                <c:pt idx="192">
                  <c:v>7.9189999999999996</c:v>
                </c:pt>
                <c:pt idx="193">
                  <c:v>7.8944999999999999</c:v>
                </c:pt>
                <c:pt idx="194">
                  <c:v>7.9660000000000002</c:v>
                </c:pt>
                <c:pt idx="195">
                  <c:v>7.9249999999999998</c:v>
                </c:pt>
                <c:pt idx="196">
                  <c:v>7.9455</c:v>
                </c:pt>
                <c:pt idx="197">
                  <c:v>7.9359999999999999</c:v>
                </c:pt>
                <c:pt idx="198">
                  <c:v>7.9568329999999996</c:v>
                </c:pt>
                <c:pt idx="199">
                  <c:v>8.0129999999999999</c:v>
                </c:pt>
                <c:pt idx="200">
                  <c:v>7.9067499999999997</c:v>
                </c:pt>
                <c:pt idx="201">
                  <c:v>7.6135000000000002</c:v>
                </c:pt>
                <c:pt idx="202">
                  <c:v>7.4554</c:v>
                </c:pt>
                <c:pt idx="203">
                  <c:v>7.4055609999999996</c:v>
                </c:pt>
                <c:pt idx="204">
                  <c:v>7.5221429999999998</c:v>
                </c:pt>
                <c:pt idx="205">
                  <c:v>7.4726920000000003</c:v>
                </c:pt>
                <c:pt idx="206">
                  <c:v>7.4539090000000003</c:v>
                </c:pt>
                <c:pt idx="207">
                  <c:v>7.46</c:v>
                </c:pt>
                <c:pt idx="208">
                  <c:v>7.4080000000000004</c:v>
                </c:pt>
                <c:pt idx="209">
                  <c:v>7.3780000000000001</c:v>
                </c:pt>
                <c:pt idx="210">
                  <c:v>7.5281000000000002</c:v>
                </c:pt>
                <c:pt idx="211">
                  <c:v>7.5410000000000004</c:v>
                </c:pt>
                <c:pt idx="212">
                  <c:v>7.4320000000000004</c:v>
                </c:pt>
                <c:pt idx="213">
                  <c:v>7.4712500000000004</c:v>
                </c:pt>
                <c:pt idx="214">
                  <c:v>7.5419999999999998</c:v>
                </c:pt>
                <c:pt idx="215">
                  <c:v>7.5019999999999998</c:v>
                </c:pt>
                <c:pt idx="216">
                  <c:v>7.7631199999999998</c:v>
                </c:pt>
                <c:pt idx="217">
                  <c:v>7.5445000000000002</c:v>
                </c:pt>
                <c:pt idx="218">
                  <c:v>7.5570000000000004</c:v>
                </c:pt>
                <c:pt idx="219">
                  <c:v>7.6115000000000004</c:v>
                </c:pt>
                <c:pt idx="220">
                  <c:v>7.5650000000000004</c:v>
                </c:pt>
                <c:pt idx="221">
                  <c:v>7.548</c:v>
                </c:pt>
                <c:pt idx="222">
                  <c:v>7.5317499999999997</c:v>
                </c:pt>
                <c:pt idx="223">
                  <c:v>7.5413329999999998</c:v>
                </c:pt>
                <c:pt idx="224">
                  <c:v>7.5060000000000002</c:v>
                </c:pt>
                <c:pt idx="225">
                  <c:v>7.5947500000000003</c:v>
                </c:pt>
                <c:pt idx="226">
                  <c:v>7.6340000000000003</c:v>
                </c:pt>
                <c:pt idx="227">
                  <c:v>7.6859999999999999</c:v>
                </c:pt>
                <c:pt idx="228">
                  <c:v>7.7519999999999998</c:v>
                </c:pt>
                <c:pt idx="229">
                  <c:v>7.7683330000000002</c:v>
                </c:pt>
                <c:pt idx="230">
                  <c:v>7.7846669999999998</c:v>
                </c:pt>
                <c:pt idx="231">
                  <c:v>7.8550000000000004</c:v>
                </c:pt>
                <c:pt idx="232">
                  <c:v>7.9029999999999996</c:v>
                </c:pt>
                <c:pt idx="233">
                  <c:v>7.8579999999999997</c:v>
                </c:pt>
                <c:pt idx="234">
                  <c:v>7.923</c:v>
                </c:pt>
                <c:pt idx="235">
                  <c:v>7.9340000000000002</c:v>
                </c:pt>
                <c:pt idx="236">
                  <c:v>7.9580000000000002</c:v>
                </c:pt>
                <c:pt idx="237">
                  <c:v>7.9390000000000001</c:v>
                </c:pt>
                <c:pt idx="238">
                  <c:v>7.9580000000000002</c:v>
                </c:pt>
                <c:pt idx="239">
                  <c:v>7.8730000000000002</c:v>
                </c:pt>
                <c:pt idx="240">
                  <c:v>7.8789999999999996</c:v>
                </c:pt>
                <c:pt idx="241">
                  <c:v>8.0009999999999994</c:v>
                </c:pt>
                <c:pt idx="242">
                  <c:v>8.0120000000000005</c:v>
                </c:pt>
                <c:pt idx="243">
                  <c:v>8.1</c:v>
                </c:pt>
                <c:pt idx="244">
                  <c:v>8.0619999999999994</c:v>
                </c:pt>
                <c:pt idx="245">
                  <c:v>8.0180000000000007</c:v>
                </c:pt>
                <c:pt idx="246">
                  <c:v>8.1280000000000001</c:v>
                </c:pt>
                <c:pt idx="247">
                  <c:v>8.2110000000000003</c:v>
                </c:pt>
                <c:pt idx="248">
                  <c:v>8.1349999999999998</c:v>
                </c:pt>
                <c:pt idx="249">
                  <c:v>8.3684999999999992</c:v>
                </c:pt>
                <c:pt idx="250">
                  <c:v>8.3979999999999997</c:v>
                </c:pt>
                <c:pt idx="251">
                  <c:v>8.3874999999999993</c:v>
                </c:pt>
                <c:pt idx="252">
                  <c:v>8.3719999999999999</c:v>
                </c:pt>
                <c:pt idx="253">
                  <c:v>8.4819999999999993</c:v>
                </c:pt>
                <c:pt idx="254">
                  <c:v>8.4465000000000003</c:v>
                </c:pt>
                <c:pt idx="255">
                  <c:v>8.4565000000000001</c:v>
                </c:pt>
                <c:pt idx="256">
                  <c:v>8.4435000000000002</c:v>
                </c:pt>
                <c:pt idx="257">
                  <c:v>8.4600000000000009</c:v>
                </c:pt>
                <c:pt idx="258">
                  <c:v>8.4580000000000002</c:v>
                </c:pt>
                <c:pt idx="259">
                  <c:v>8.5039999999999996</c:v>
                </c:pt>
                <c:pt idx="260">
                  <c:v>8.5124999999999993</c:v>
                </c:pt>
                <c:pt idx="261">
                  <c:v>8.5190000000000001</c:v>
                </c:pt>
                <c:pt idx="262">
                  <c:v>8.5314999999999994</c:v>
                </c:pt>
                <c:pt idx="263">
                  <c:v>8.532</c:v>
                </c:pt>
                <c:pt idx="264">
                  <c:v>8.5429999999999993</c:v>
                </c:pt>
                <c:pt idx="265">
                  <c:v>8.5449999999999999</c:v>
                </c:pt>
                <c:pt idx="266">
                  <c:v>8.5399999999999991</c:v>
                </c:pt>
                <c:pt idx="267">
                  <c:v>8.5050000000000008</c:v>
                </c:pt>
                <c:pt idx="268">
                  <c:v>8.5024999999999995</c:v>
                </c:pt>
                <c:pt idx="269">
                  <c:v>8.5120000000000005</c:v>
                </c:pt>
                <c:pt idx="270">
                  <c:v>8.4782499999999992</c:v>
                </c:pt>
                <c:pt idx="271">
                  <c:v>8.5289999999999999</c:v>
                </c:pt>
                <c:pt idx="272">
                  <c:v>8.4734999999999996</c:v>
                </c:pt>
                <c:pt idx="273">
                  <c:v>8.4862500000000001</c:v>
                </c:pt>
                <c:pt idx="274">
                  <c:v>8.4651999999999994</c:v>
                </c:pt>
                <c:pt idx="275">
                  <c:v>8.42</c:v>
                </c:pt>
                <c:pt idx="276">
                  <c:v>8.4120000000000008</c:v>
                </c:pt>
                <c:pt idx="277">
                  <c:v>8.4459999999999997</c:v>
                </c:pt>
                <c:pt idx="278">
                  <c:v>8.468</c:v>
                </c:pt>
                <c:pt idx="279">
                  <c:v>8.4339999999999993</c:v>
                </c:pt>
                <c:pt idx="280">
                  <c:v>8.4105000000000008</c:v>
                </c:pt>
                <c:pt idx="281">
                  <c:v>8.4719999999999995</c:v>
                </c:pt>
                <c:pt idx="282">
                  <c:v>8.5214999999999996</c:v>
                </c:pt>
                <c:pt idx="283">
                  <c:v>8.5073329999999991</c:v>
                </c:pt>
                <c:pt idx="284">
                  <c:v>8.4860000000000007</c:v>
                </c:pt>
                <c:pt idx="285">
                  <c:v>8.42</c:v>
                </c:pt>
                <c:pt idx="286">
                  <c:v>8.5500000000000007</c:v>
                </c:pt>
                <c:pt idx="287">
                  <c:v>8.5546670000000002</c:v>
                </c:pt>
                <c:pt idx="288">
                  <c:v>8.5655000000000001</c:v>
                </c:pt>
                <c:pt idx="289">
                  <c:v>8.6159999999999997</c:v>
                </c:pt>
                <c:pt idx="290">
                  <c:v>8.57</c:v>
                </c:pt>
                <c:pt idx="291">
                  <c:v>8.9849999999999994</c:v>
                </c:pt>
                <c:pt idx="292">
                  <c:v>8.375</c:v>
                </c:pt>
                <c:pt idx="293">
                  <c:v>8.6210000000000004</c:v>
                </c:pt>
                <c:pt idx="294">
                  <c:v>8.5745000000000005</c:v>
                </c:pt>
                <c:pt idx="295">
                  <c:v>8.6430000000000007</c:v>
                </c:pt>
                <c:pt idx="296">
                  <c:v>8.7129999999999992</c:v>
                </c:pt>
                <c:pt idx="297">
                  <c:v>8.7309999999999999</c:v>
                </c:pt>
                <c:pt idx="298">
                  <c:v>8.59</c:v>
                </c:pt>
                <c:pt idx="299">
                  <c:v>8.7550000000000008</c:v>
                </c:pt>
                <c:pt idx="300">
                  <c:v>8.6780000000000008</c:v>
                </c:pt>
                <c:pt idx="301">
                  <c:v>8.7272499999999997</c:v>
                </c:pt>
                <c:pt idx="302">
                  <c:v>8.7370000000000001</c:v>
                </c:pt>
                <c:pt idx="303">
                  <c:v>8.7230000000000008</c:v>
                </c:pt>
                <c:pt idx="304">
                  <c:v>8.766</c:v>
                </c:pt>
                <c:pt idx="305">
                  <c:v>8.7799999999999994</c:v>
                </c:pt>
                <c:pt idx="306">
                  <c:v>8.7769999999999992</c:v>
                </c:pt>
                <c:pt idx="307">
                  <c:v>8.8249999999999993</c:v>
                </c:pt>
                <c:pt idx="308">
                  <c:v>8.907</c:v>
                </c:pt>
                <c:pt idx="309">
                  <c:v>8.8856669999999998</c:v>
                </c:pt>
                <c:pt idx="310">
                  <c:v>8.8379999999999992</c:v>
                </c:pt>
                <c:pt idx="311">
                  <c:v>8.9130000000000003</c:v>
                </c:pt>
                <c:pt idx="312">
                  <c:v>8.9369999999999994</c:v>
                </c:pt>
                <c:pt idx="313">
                  <c:v>8.8465000000000007</c:v>
                </c:pt>
                <c:pt idx="314">
                  <c:v>8.9890000000000008</c:v>
                </c:pt>
                <c:pt idx="315">
                  <c:v>8.92</c:v>
                </c:pt>
                <c:pt idx="316">
                  <c:v>8.9779999999999998</c:v>
                </c:pt>
                <c:pt idx="317">
                  <c:v>8.9619999999999997</c:v>
                </c:pt>
                <c:pt idx="318">
                  <c:v>8.9380000000000006</c:v>
                </c:pt>
                <c:pt idx="319">
                  <c:v>8.9664999999999999</c:v>
                </c:pt>
                <c:pt idx="320">
                  <c:v>8.9190000000000005</c:v>
                </c:pt>
                <c:pt idx="321">
                  <c:v>8.9120000000000008</c:v>
                </c:pt>
                <c:pt idx="322">
                  <c:v>8.9429999999999996</c:v>
                </c:pt>
                <c:pt idx="323">
                  <c:v>8.8439999999999994</c:v>
                </c:pt>
                <c:pt idx="324">
                  <c:v>8.7189999999999994</c:v>
                </c:pt>
                <c:pt idx="325">
                  <c:v>8.6479999999999997</c:v>
                </c:pt>
                <c:pt idx="326">
                  <c:v>8.66</c:v>
                </c:pt>
                <c:pt idx="327">
                  <c:v>8.6289999999999996</c:v>
                </c:pt>
                <c:pt idx="328">
                  <c:v>8.7219999999999995</c:v>
                </c:pt>
                <c:pt idx="329">
                  <c:v>8.6415000000000006</c:v>
                </c:pt>
                <c:pt idx="330">
                  <c:v>8.7686670000000007</c:v>
                </c:pt>
                <c:pt idx="331">
                  <c:v>8.7100000000000009</c:v>
                </c:pt>
                <c:pt idx="332">
                  <c:v>8.7080000000000002</c:v>
                </c:pt>
                <c:pt idx="333">
                  <c:v>8.7003330000000005</c:v>
                </c:pt>
                <c:pt idx="334">
                  <c:v>8.6229999999999993</c:v>
                </c:pt>
                <c:pt idx="335">
                  <c:v>8.67</c:v>
                </c:pt>
                <c:pt idx="336">
                  <c:v>8.7330000000000005</c:v>
                </c:pt>
                <c:pt idx="337">
                  <c:v>8.6</c:v>
                </c:pt>
                <c:pt idx="338">
                  <c:v>8.6110000000000007</c:v>
                </c:pt>
                <c:pt idx="339">
                  <c:v>8.6473329999999997</c:v>
                </c:pt>
                <c:pt idx="340">
                  <c:v>8.6020000000000003</c:v>
                </c:pt>
                <c:pt idx="341">
                  <c:v>8.5839999999999996</c:v>
                </c:pt>
                <c:pt idx="342">
                  <c:v>8.59</c:v>
                </c:pt>
                <c:pt idx="343">
                  <c:v>8.5190000000000001</c:v>
                </c:pt>
                <c:pt idx="344">
                  <c:v>8.4719999999999995</c:v>
                </c:pt>
                <c:pt idx="345">
                  <c:v>8.4730000000000008</c:v>
                </c:pt>
                <c:pt idx="346">
                  <c:v>8.5679999999999996</c:v>
                </c:pt>
                <c:pt idx="347">
                  <c:v>8.9135000000000009</c:v>
                </c:pt>
                <c:pt idx="348">
                  <c:v>8.5280000000000005</c:v>
                </c:pt>
                <c:pt idx="349">
                  <c:v>8.5559999999999992</c:v>
                </c:pt>
                <c:pt idx="350">
                  <c:v>8.5060000000000002</c:v>
                </c:pt>
                <c:pt idx="351">
                  <c:v>8.5739999999999998</c:v>
                </c:pt>
                <c:pt idx="352">
                  <c:v>8.6112000000000002</c:v>
                </c:pt>
                <c:pt idx="353">
                  <c:v>8.5305289999999996</c:v>
                </c:pt>
                <c:pt idx="354">
                  <c:v>8.5980000000000008</c:v>
                </c:pt>
                <c:pt idx="355">
                  <c:v>8.5299999999999994</c:v>
                </c:pt>
                <c:pt idx="356">
                  <c:v>8.5425000000000004</c:v>
                </c:pt>
                <c:pt idx="357">
                  <c:v>8.4960000000000004</c:v>
                </c:pt>
                <c:pt idx="358">
                  <c:v>8.5139999999999993</c:v>
                </c:pt>
                <c:pt idx="359">
                  <c:v>8.66</c:v>
                </c:pt>
                <c:pt idx="360">
                  <c:v>8.4778330000000004</c:v>
                </c:pt>
                <c:pt idx="361">
                  <c:v>8.5305</c:v>
                </c:pt>
                <c:pt idx="362">
                  <c:v>8.4776670000000003</c:v>
                </c:pt>
                <c:pt idx="363">
                  <c:v>8.4614999999999991</c:v>
                </c:pt>
                <c:pt idx="364">
                  <c:v>8.4745000000000008</c:v>
                </c:pt>
                <c:pt idx="365">
                  <c:v>8.4809999999999999</c:v>
                </c:pt>
                <c:pt idx="366">
                  <c:v>8.5269999999999992</c:v>
                </c:pt>
                <c:pt idx="367">
                  <c:v>8.4879999999999995</c:v>
                </c:pt>
                <c:pt idx="368">
                  <c:v>8.5229999999999997</c:v>
                </c:pt>
                <c:pt idx="369">
                  <c:v>8.64</c:v>
                </c:pt>
                <c:pt idx="370">
                  <c:v>8.59</c:v>
                </c:pt>
                <c:pt idx="371">
                  <c:v>8.5579999999999998</c:v>
                </c:pt>
                <c:pt idx="372">
                  <c:v>8.5410000000000004</c:v>
                </c:pt>
                <c:pt idx="373">
                  <c:v>8.5764999999999993</c:v>
                </c:pt>
                <c:pt idx="374">
                  <c:v>8.5254999999999992</c:v>
                </c:pt>
                <c:pt idx="375">
                  <c:v>8.5429999999999993</c:v>
                </c:pt>
                <c:pt idx="376">
                  <c:v>8.5374999999999996</c:v>
                </c:pt>
                <c:pt idx="377">
                  <c:v>8.5410000000000004</c:v>
                </c:pt>
                <c:pt idx="378">
                  <c:v>8.4819999999999993</c:v>
                </c:pt>
                <c:pt idx="379">
                  <c:v>8.4433330000000009</c:v>
                </c:pt>
                <c:pt idx="380">
                  <c:v>8.516667</c:v>
                </c:pt>
                <c:pt idx="381">
                  <c:v>8.59</c:v>
                </c:pt>
                <c:pt idx="382">
                  <c:v>8.6</c:v>
                </c:pt>
                <c:pt idx="383">
                  <c:v>8.65</c:v>
                </c:pt>
                <c:pt idx="384">
                  <c:v>8.3699999999999992</c:v>
                </c:pt>
                <c:pt idx="385">
                  <c:v>8.5266669999999998</c:v>
                </c:pt>
                <c:pt idx="386">
                  <c:v>8.5333330000000007</c:v>
                </c:pt>
                <c:pt idx="387">
                  <c:v>8.4357140000000008</c:v>
                </c:pt>
                <c:pt idx="388">
                  <c:v>8.5</c:v>
                </c:pt>
                <c:pt idx="389">
                  <c:v>8.5399999999999991</c:v>
                </c:pt>
                <c:pt idx="390">
                  <c:v>8.5500000000000007</c:v>
                </c:pt>
                <c:pt idx="391">
                  <c:v>8.5</c:v>
                </c:pt>
                <c:pt idx="392">
                  <c:v>8.5060000000000002</c:v>
                </c:pt>
                <c:pt idx="393">
                  <c:v>8.5</c:v>
                </c:pt>
                <c:pt idx="394">
                  <c:v>8.58</c:v>
                </c:pt>
                <c:pt idx="395">
                  <c:v>8.35</c:v>
                </c:pt>
                <c:pt idx="396">
                  <c:v>8.58</c:v>
                </c:pt>
                <c:pt idx="397">
                  <c:v>8.6</c:v>
                </c:pt>
                <c:pt idx="398">
                  <c:v>8.4666669999999993</c:v>
                </c:pt>
                <c:pt idx="399">
                  <c:v>8.483333</c:v>
                </c:pt>
                <c:pt idx="400">
                  <c:v>8.5333330000000007</c:v>
                </c:pt>
                <c:pt idx="401">
                  <c:v>8.6999999999999993</c:v>
                </c:pt>
                <c:pt idx="402">
                  <c:v>8.6300000000000008</c:v>
                </c:pt>
                <c:pt idx="403">
                  <c:v>8.5250000000000004</c:v>
                </c:pt>
                <c:pt idx="404">
                  <c:v>8.4749999999999996</c:v>
                </c:pt>
                <c:pt idx="405">
                  <c:v>8.0749999999999993</c:v>
                </c:pt>
                <c:pt idx="406">
                  <c:v>8.483333</c:v>
                </c:pt>
                <c:pt idx="407">
                  <c:v>8.33</c:v>
                </c:pt>
                <c:pt idx="408">
                  <c:v>8.4</c:v>
                </c:pt>
                <c:pt idx="409">
                  <c:v>8.5433330000000005</c:v>
                </c:pt>
                <c:pt idx="410">
                  <c:v>8.5500000000000007</c:v>
                </c:pt>
                <c:pt idx="411">
                  <c:v>8.6999999999999993</c:v>
                </c:pt>
                <c:pt idx="412">
                  <c:v>8.4250000000000007</c:v>
                </c:pt>
                <c:pt idx="413">
                  <c:v>8.6</c:v>
                </c:pt>
                <c:pt idx="414">
                  <c:v>8.5519999999999996</c:v>
                </c:pt>
                <c:pt idx="415">
                  <c:v>8.5640000000000001</c:v>
                </c:pt>
                <c:pt idx="416">
                  <c:v>8.5909999999999993</c:v>
                </c:pt>
                <c:pt idx="417">
                  <c:v>8.5924999999999994</c:v>
                </c:pt>
                <c:pt idx="418">
                  <c:v>8.6270000000000007</c:v>
                </c:pt>
                <c:pt idx="419">
                  <c:v>8.577</c:v>
                </c:pt>
                <c:pt idx="420">
                  <c:v>8.6280000000000001</c:v>
                </c:pt>
                <c:pt idx="421">
                  <c:v>8.4924999999999997</c:v>
                </c:pt>
                <c:pt idx="422">
                  <c:v>8.5709</c:v>
                </c:pt>
                <c:pt idx="423">
                  <c:v>8.6495999999999995</c:v>
                </c:pt>
                <c:pt idx="424">
                  <c:v>8.673</c:v>
                </c:pt>
                <c:pt idx="425">
                  <c:v>8.859</c:v>
                </c:pt>
                <c:pt idx="426">
                  <c:v>8.6</c:v>
                </c:pt>
                <c:pt idx="427">
                  <c:v>8.6304999999999996</c:v>
                </c:pt>
                <c:pt idx="428">
                  <c:v>8.6</c:v>
                </c:pt>
                <c:pt idx="429">
                  <c:v>8.51</c:v>
                </c:pt>
                <c:pt idx="430">
                  <c:v>8.6120000000000001</c:v>
                </c:pt>
                <c:pt idx="431">
                  <c:v>8.5809999999999995</c:v>
                </c:pt>
                <c:pt idx="432">
                  <c:v>8.64</c:v>
                </c:pt>
                <c:pt idx="433">
                  <c:v>8.6069999999999993</c:v>
                </c:pt>
                <c:pt idx="434">
                  <c:v>8.67</c:v>
                </c:pt>
                <c:pt idx="435">
                  <c:v>8.6530000000000005</c:v>
                </c:pt>
                <c:pt idx="436">
                  <c:v>8.6590000000000007</c:v>
                </c:pt>
                <c:pt idx="437">
                  <c:v>8.7200000000000006</c:v>
                </c:pt>
                <c:pt idx="438">
                  <c:v>8.6999999999999993</c:v>
                </c:pt>
                <c:pt idx="439">
                  <c:v>8.6790000000000003</c:v>
                </c:pt>
                <c:pt idx="440">
                  <c:v>8.6684999999999999</c:v>
                </c:pt>
                <c:pt idx="441">
                  <c:v>8.6880000000000006</c:v>
                </c:pt>
                <c:pt idx="442">
                  <c:v>8.7416669999999996</c:v>
                </c:pt>
                <c:pt idx="443">
                  <c:v>8.7076360000000008</c:v>
                </c:pt>
                <c:pt idx="444">
                  <c:v>8.6694999999999993</c:v>
                </c:pt>
                <c:pt idx="445">
                  <c:v>8.6944999999999997</c:v>
                </c:pt>
                <c:pt idx="446">
                  <c:v>8.7260000000000009</c:v>
                </c:pt>
                <c:pt idx="447">
                  <c:v>8.6954999999999991</c:v>
                </c:pt>
                <c:pt idx="448">
                  <c:v>8.6999999999999993</c:v>
                </c:pt>
                <c:pt idx="449">
                  <c:v>8.6509999999999998</c:v>
                </c:pt>
                <c:pt idx="450">
                  <c:v>8.8089999999999993</c:v>
                </c:pt>
                <c:pt idx="451">
                  <c:v>8.7789999999999999</c:v>
                </c:pt>
                <c:pt idx="452">
                  <c:v>8.7650000000000006</c:v>
                </c:pt>
                <c:pt idx="453">
                  <c:v>8.7769999999999992</c:v>
                </c:pt>
                <c:pt idx="454">
                  <c:v>8.7530000000000001</c:v>
                </c:pt>
                <c:pt idx="455">
                  <c:v>8.7330000000000005</c:v>
                </c:pt>
                <c:pt idx="456">
                  <c:v>8.6839999999999993</c:v>
                </c:pt>
                <c:pt idx="457">
                  <c:v>8.6950000000000003</c:v>
                </c:pt>
                <c:pt idx="458">
                  <c:v>8.7149999999999999</c:v>
                </c:pt>
                <c:pt idx="459">
                  <c:v>8.7420000000000009</c:v>
                </c:pt>
                <c:pt idx="460">
                  <c:v>8.8170000000000002</c:v>
                </c:pt>
                <c:pt idx="461">
                  <c:v>8.8339999999999996</c:v>
                </c:pt>
                <c:pt idx="462">
                  <c:v>8.8539999999999992</c:v>
                </c:pt>
                <c:pt idx="463">
                  <c:v>8.9309999999999992</c:v>
                </c:pt>
                <c:pt idx="464">
                  <c:v>8.9339999999999993</c:v>
                </c:pt>
                <c:pt idx="465">
                  <c:v>8.8989999999999991</c:v>
                </c:pt>
                <c:pt idx="466">
                  <c:v>8.9109999999999996</c:v>
                </c:pt>
                <c:pt idx="467">
                  <c:v>8.8789999999999996</c:v>
                </c:pt>
                <c:pt idx="468">
                  <c:v>8.7970000000000006</c:v>
                </c:pt>
                <c:pt idx="469">
                  <c:v>8.76</c:v>
                </c:pt>
                <c:pt idx="470">
                  <c:v>8.8140000000000001</c:v>
                </c:pt>
                <c:pt idx="471">
                  <c:v>8.7710000000000008</c:v>
                </c:pt>
                <c:pt idx="472">
                  <c:v>8.81</c:v>
                </c:pt>
                <c:pt idx="473">
                  <c:v>8.7569999999999997</c:v>
                </c:pt>
                <c:pt idx="474">
                  <c:v>8.7530000000000001</c:v>
                </c:pt>
                <c:pt idx="475">
                  <c:v>8.7469999999999999</c:v>
                </c:pt>
                <c:pt idx="476">
                  <c:v>8.8000000000000007</c:v>
                </c:pt>
                <c:pt idx="477">
                  <c:v>8.6999999999999993</c:v>
                </c:pt>
                <c:pt idx="478">
                  <c:v>8.6690000000000005</c:v>
                </c:pt>
                <c:pt idx="479">
                  <c:v>8.7279999999999998</c:v>
                </c:pt>
                <c:pt idx="480">
                  <c:v>8.7370000000000001</c:v>
                </c:pt>
                <c:pt idx="481">
                  <c:v>8.7360000000000007</c:v>
                </c:pt>
                <c:pt idx="482">
                  <c:v>8.734</c:v>
                </c:pt>
                <c:pt idx="483">
                  <c:v>8.75</c:v>
                </c:pt>
                <c:pt idx="484">
                  <c:v>8.7639999999999993</c:v>
                </c:pt>
                <c:pt idx="485">
                  <c:v>8.7680000000000007</c:v>
                </c:pt>
                <c:pt idx="486">
                  <c:v>8.7609999999999992</c:v>
                </c:pt>
                <c:pt idx="487">
                  <c:v>8.7650000000000006</c:v>
                </c:pt>
                <c:pt idx="488">
                  <c:v>8.7560000000000002</c:v>
                </c:pt>
                <c:pt idx="489">
                  <c:v>8.7279999999999998</c:v>
                </c:pt>
                <c:pt idx="490">
                  <c:v>8.6969999999999992</c:v>
                </c:pt>
                <c:pt idx="491">
                  <c:v>8.7799999999999994</c:v>
                </c:pt>
                <c:pt idx="492">
                  <c:v>8.7729999999999997</c:v>
                </c:pt>
                <c:pt idx="493">
                  <c:v>8.7469999999999999</c:v>
                </c:pt>
                <c:pt idx="494">
                  <c:v>8.6609999999999996</c:v>
                </c:pt>
                <c:pt idx="495">
                  <c:v>8.7210000000000001</c:v>
                </c:pt>
                <c:pt idx="496">
                  <c:v>8.625</c:v>
                </c:pt>
                <c:pt idx="497">
                  <c:v>8.6210000000000004</c:v>
                </c:pt>
                <c:pt idx="498">
                  <c:v>8.6319999999999997</c:v>
                </c:pt>
                <c:pt idx="499">
                  <c:v>8.5909999999999993</c:v>
                </c:pt>
                <c:pt idx="500">
                  <c:v>8.6159999999999997</c:v>
                </c:pt>
                <c:pt idx="501">
                  <c:v>8.6210000000000004</c:v>
                </c:pt>
                <c:pt idx="502">
                  <c:v>8.6389999999999993</c:v>
                </c:pt>
                <c:pt idx="503">
                  <c:v>8.6579999999999995</c:v>
                </c:pt>
                <c:pt idx="504">
                  <c:v>8.7449999999999992</c:v>
                </c:pt>
                <c:pt idx="505">
                  <c:v>8.6359999999999992</c:v>
                </c:pt>
                <c:pt idx="506">
                  <c:v>8.7189999999999994</c:v>
                </c:pt>
                <c:pt idx="507">
                  <c:v>8.5830000000000002</c:v>
                </c:pt>
                <c:pt idx="508">
                  <c:v>8.5419999999999998</c:v>
                </c:pt>
                <c:pt idx="509">
                  <c:v>8.5329999999999995</c:v>
                </c:pt>
                <c:pt idx="510">
                  <c:v>8.6159999999999997</c:v>
                </c:pt>
                <c:pt idx="511">
                  <c:v>8.4740000000000002</c:v>
                </c:pt>
                <c:pt idx="512">
                  <c:v>8.5239999999999991</c:v>
                </c:pt>
                <c:pt idx="513">
                  <c:v>8.5530000000000008</c:v>
                </c:pt>
                <c:pt idx="514">
                  <c:v>8.5640000000000001</c:v>
                </c:pt>
                <c:pt idx="515">
                  <c:v>8.423</c:v>
                </c:pt>
                <c:pt idx="516">
                  <c:v>8.3719999999999999</c:v>
                </c:pt>
                <c:pt idx="517">
                  <c:v>8.4450000000000003</c:v>
                </c:pt>
                <c:pt idx="518">
                  <c:v>8.4779999999999998</c:v>
                </c:pt>
                <c:pt idx="519">
                  <c:v>8.5079999999999991</c:v>
                </c:pt>
                <c:pt idx="520">
                  <c:v>8.42</c:v>
                </c:pt>
                <c:pt idx="521">
                  <c:v>8.4710000000000001</c:v>
                </c:pt>
                <c:pt idx="522">
                  <c:v>8.5399999999999991</c:v>
                </c:pt>
                <c:pt idx="523">
                  <c:v>8.5310000000000006</c:v>
                </c:pt>
                <c:pt idx="524">
                  <c:v>8.516</c:v>
                </c:pt>
                <c:pt idx="525">
                  <c:v>8.5220000000000002</c:v>
                </c:pt>
                <c:pt idx="526">
                  <c:v>8.5239999999999991</c:v>
                </c:pt>
                <c:pt idx="527">
                  <c:v>8.5250000000000004</c:v>
                </c:pt>
                <c:pt idx="528">
                  <c:v>8.56</c:v>
                </c:pt>
                <c:pt idx="529">
                  <c:v>8.5619999999999994</c:v>
                </c:pt>
                <c:pt idx="530">
                  <c:v>8.5449999999999999</c:v>
                </c:pt>
                <c:pt idx="531">
                  <c:v>8.5690000000000008</c:v>
                </c:pt>
                <c:pt idx="532">
                  <c:v>8.4</c:v>
                </c:pt>
                <c:pt idx="533">
                  <c:v>8.5579999999999998</c:v>
                </c:pt>
                <c:pt idx="534">
                  <c:v>8.5419999999999998</c:v>
                </c:pt>
                <c:pt idx="535">
                  <c:v>8.516</c:v>
                </c:pt>
                <c:pt idx="536">
                  <c:v>8.5820000000000007</c:v>
                </c:pt>
                <c:pt idx="537">
                  <c:v>8.5619999999999994</c:v>
                </c:pt>
                <c:pt idx="538">
                  <c:v>8.6310000000000002</c:v>
                </c:pt>
                <c:pt idx="539">
                  <c:v>8.5920000000000005</c:v>
                </c:pt>
                <c:pt idx="540">
                  <c:v>8.6609999999999996</c:v>
                </c:pt>
                <c:pt idx="541">
                  <c:v>8.66</c:v>
                </c:pt>
                <c:pt idx="542">
                  <c:v>8.6039999999999992</c:v>
                </c:pt>
                <c:pt idx="543">
                  <c:v>8.65</c:v>
                </c:pt>
                <c:pt idx="544">
                  <c:v>8.6489999999999991</c:v>
                </c:pt>
                <c:pt idx="545">
                  <c:v>8.5760000000000005</c:v>
                </c:pt>
                <c:pt idx="546">
                  <c:v>8.5449999999999999</c:v>
                </c:pt>
                <c:pt idx="547">
                  <c:v>8.5340000000000007</c:v>
                </c:pt>
                <c:pt idx="548">
                  <c:v>8.5350000000000001</c:v>
                </c:pt>
                <c:pt idx="549">
                  <c:v>8.5370000000000008</c:v>
                </c:pt>
                <c:pt idx="550">
                  <c:v>8.5389999999999997</c:v>
                </c:pt>
                <c:pt idx="551">
                  <c:v>8.5410000000000004</c:v>
                </c:pt>
                <c:pt idx="552">
                  <c:v>8.5280000000000005</c:v>
                </c:pt>
                <c:pt idx="553">
                  <c:v>8.5289999999999999</c:v>
                </c:pt>
                <c:pt idx="554">
                  <c:v>8.5359999999999996</c:v>
                </c:pt>
                <c:pt idx="555">
                  <c:v>8.5440000000000005</c:v>
                </c:pt>
                <c:pt idx="556">
                  <c:v>8.52</c:v>
                </c:pt>
                <c:pt idx="557">
                  <c:v>8.49</c:v>
                </c:pt>
                <c:pt idx="558">
                  <c:v>8.68</c:v>
                </c:pt>
                <c:pt idx="559">
                  <c:v>8.6820000000000004</c:v>
                </c:pt>
                <c:pt idx="560">
                  <c:v>8.7140000000000004</c:v>
                </c:pt>
                <c:pt idx="561">
                  <c:v>8.657</c:v>
                </c:pt>
                <c:pt idx="562">
                  <c:v>8.6270000000000007</c:v>
                </c:pt>
                <c:pt idx="563">
                  <c:v>8.7070000000000007</c:v>
                </c:pt>
                <c:pt idx="564">
                  <c:v>8.6920000000000002</c:v>
                </c:pt>
                <c:pt idx="565">
                  <c:v>8.7379999999999995</c:v>
                </c:pt>
                <c:pt idx="566">
                  <c:v>8.6940000000000008</c:v>
                </c:pt>
                <c:pt idx="567">
                  <c:v>8.6539999999999999</c:v>
                </c:pt>
                <c:pt idx="568">
                  <c:v>8.6750000000000007</c:v>
                </c:pt>
                <c:pt idx="569">
                  <c:v>8.6630000000000003</c:v>
                </c:pt>
                <c:pt idx="570">
                  <c:v>8.6739999999999995</c:v>
                </c:pt>
                <c:pt idx="571">
                  <c:v>8.6760000000000002</c:v>
                </c:pt>
                <c:pt idx="572">
                  <c:v>8.6760000000000002</c:v>
                </c:pt>
                <c:pt idx="573">
                  <c:v>8.6579999999999995</c:v>
                </c:pt>
                <c:pt idx="574">
                  <c:v>8.673</c:v>
                </c:pt>
                <c:pt idx="575">
                  <c:v>8.6750000000000007</c:v>
                </c:pt>
                <c:pt idx="576">
                  <c:v>8.6530000000000005</c:v>
                </c:pt>
                <c:pt idx="577">
                  <c:v>8.6829999999999998</c:v>
                </c:pt>
                <c:pt idx="578">
                  <c:v>8.6679999999999993</c:v>
                </c:pt>
                <c:pt idx="579">
                  <c:v>8.6709999999999994</c:v>
                </c:pt>
                <c:pt idx="580">
                  <c:v>8.67</c:v>
                </c:pt>
                <c:pt idx="581">
                  <c:v>8.67</c:v>
                </c:pt>
                <c:pt idx="582">
                  <c:v>8.6639999999999997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2D-4497-A46B-B41878290143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2060"/>
                </a:solidFill>
              </a:ln>
              <a:effectLst/>
            </c:spPr>
          </c:marker>
          <c:dPt>
            <c:idx val="58"/>
            <c:marker>
              <c:symbol val="circle"/>
              <c:size val="5"/>
              <c:spPr>
                <a:solidFill>
                  <a:srgbClr val="0070C0"/>
                </a:solidFill>
                <a:ln w="9525">
                  <a:solidFill>
                    <a:srgbClr val="00206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7B2D-4497-A46B-B41878290143}"/>
              </c:ext>
            </c:extLst>
          </c:dPt>
          <c:dPt>
            <c:idx val="67"/>
            <c:marker>
              <c:symbol val="circle"/>
              <c:size val="5"/>
              <c:spPr>
                <a:solidFill>
                  <a:srgbClr val="0070C0"/>
                </a:solidFill>
                <a:ln w="9525">
                  <a:solidFill>
                    <a:srgbClr val="00206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B2D-4497-A46B-B41878290143}"/>
              </c:ext>
            </c:extLst>
          </c:dPt>
          <c:xVal>
            <c:numRef>
              <c:f>Index!$N$67:$N$221</c:f>
              <c:numCache>
                <c:formatCode>General</c:formatCode>
                <c:ptCount val="155"/>
              </c:numCache>
            </c:numRef>
          </c:xVal>
          <c:yVal>
            <c:numRef>
              <c:f>Index!$O$67:$O$221</c:f>
              <c:numCache>
                <c:formatCode>General</c:formatCode>
                <c:ptCount val="15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B2D-4497-A46B-B41878290143}"/>
            </c:ext>
          </c:extLst>
        </c:ser>
        <c:ser>
          <c:idx val="2"/>
          <c:order val="2"/>
          <c:spPr>
            <a:ln w="635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Index!$J$16:$J$17</c:f>
              <c:numCache>
                <c:formatCode>General</c:formatCode>
                <c:ptCount val="2"/>
                <c:pt idx="0">
                  <c:v>2457200</c:v>
                </c:pt>
                <c:pt idx="1">
                  <c:v>2457330</c:v>
                </c:pt>
              </c:numCache>
            </c:numRef>
          </c:xVal>
          <c:yVal>
            <c:numRef>
              <c:f>Index!$K$16:$K$17</c:f>
              <c:numCache>
                <c:formatCode>General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B2D-4497-A46B-B41878290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590120"/>
        <c:axId val="539588944"/>
      </c:scatterChart>
      <c:valAx>
        <c:axId val="539590120"/>
        <c:scaling>
          <c:orientation val="minMax"/>
          <c:max val="2457380"/>
          <c:min val="2457100"/>
        </c:scaling>
        <c:delete val="0"/>
        <c:axPos val="b"/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9588944"/>
        <c:crosses val="max"/>
        <c:crossBetween val="midCat"/>
        <c:majorUnit val="30"/>
      </c:valAx>
      <c:valAx>
        <c:axId val="539588944"/>
        <c:scaling>
          <c:orientation val="maxMin"/>
          <c:max val="9"/>
          <c:min val="6.5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9590120"/>
        <c:crosses val="autoZero"/>
        <c:crossBetween val="midCat"/>
        <c:majorUnit val="0.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Index!$N$3</c:f>
          <c:strCache>
            <c:ptCount val="1"/>
            <c:pt idx="0">
              <c:v>AG Peg (V)</c:v>
            </c:pt>
          </c:strCache>
        </c:strRef>
      </c:tx>
      <c:layout>
        <c:manualLayout>
          <c:xMode val="edge"/>
          <c:yMode val="edge"/>
          <c:x val="0.81053748431258832"/>
          <c:y val="0.12321498071316288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5559783364417692E-2"/>
          <c:y val="6.5795918367346939E-2"/>
          <c:w val="0.88888043327116462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66FF33"/>
              </a:solidFill>
              <a:ln w="9525">
                <a:noFill/>
              </a:ln>
              <a:effectLst/>
            </c:spPr>
          </c:marker>
          <c:xVal>
            <c:numRef>
              <c:f>V!$A$1:$A$1007</c:f>
              <c:numCache>
                <c:formatCode>General</c:formatCode>
                <c:ptCount val="1007"/>
                <c:pt idx="0">
                  <c:v>2452174.4</c:v>
                </c:pt>
                <c:pt idx="1">
                  <c:v>2452252.3542999998</c:v>
                </c:pt>
                <c:pt idx="2">
                  <c:v>2452254.3262</c:v>
                </c:pt>
                <c:pt idx="3">
                  <c:v>2452264.3914999999</c:v>
                </c:pt>
                <c:pt idx="4">
                  <c:v>2452910.3930000002</c:v>
                </c:pt>
                <c:pt idx="5">
                  <c:v>2453276.6867999998</c:v>
                </c:pt>
                <c:pt idx="6">
                  <c:v>2453303.34075</c:v>
                </c:pt>
                <c:pt idx="7">
                  <c:v>2453315.4</c:v>
                </c:pt>
                <c:pt idx="8">
                  <c:v>2453346.2999999998</c:v>
                </c:pt>
                <c:pt idx="9">
                  <c:v>2453352.2598999999</c:v>
                </c:pt>
                <c:pt idx="10">
                  <c:v>2453354.2999999998</c:v>
                </c:pt>
                <c:pt idx="11">
                  <c:v>2453593.8390000002</c:v>
                </c:pt>
                <c:pt idx="12">
                  <c:v>2453612.7719999999</c:v>
                </c:pt>
                <c:pt idx="13">
                  <c:v>2453630.3431500001</c:v>
                </c:pt>
                <c:pt idx="14">
                  <c:v>2453939.5178499999</c:v>
                </c:pt>
                <c:pt idx="15">
                  <c:v>2453946.50245</c:v>
                </c:pt>
                <c:pt idx="16">
                  <c:v>2455129.38062</c:v>
                </c:pt>
                <c:pt idx="17">
                  <c:v>2455506.2999999998</c:v>
                </c:pt>
                <c:pt idx="18">
                  <c:v>2455514.33</c:v>
                </c:pt>
                <c:pt idx="19">
                  <c:v>2455779.4236099999</c:v>
                </c:pt>
                <c:pt idx="20">
                  <c:v>2455792.3715300001</c:v>
                </c:pt>
                <c:pt idx="21">
                  <c:v>2455794.3680599998</c:v>
                </c:pt>
                <c:pt idx="22">
                  <c:v>2455797.3562500002</c:v>
                </c:pt>
                <c:pt idx="23">
                  <c:v>2455799.3888900001</c:v>
                </c:pt>
                <c:pt idx="24">
                  <c:v>2455802.9013899998</c:v>
                </c:pt>
                <c:pt idx="25">
                  <c:v>2455819.2916700002</c:v>
                </c:pt>
                <c:pt idx="26">
                  <c:v>2455820.3263900001</c:v>
                </c:pt>
                <c:pt idx="27">
                  <c:v>2455821.7968799998</c:v>
                </c:pt>
                <c:pt idx="28">
                  <c:v>2455824.2979199998</c:v>
                </c:pt>
                <c:pt idx="29">
                  <c:v>2455825.30694</c:v>
                </c:pt>
                <c:pt idx="30">
                  <c:v>2455827.3993099998</c:v>
                </c:pt>
                <c:pt idx="31">
                  <c:v>2455831.2847199999</c:v>
                </c:pt>
                <c:pt idx="32">
                  <c:v>2455832.3076399998</c:v>
                </c:pt>
                <c:pt idx="33">
                  <c:v>2455833.7847199999</c:v>
                </c:pt>
                <c:pt idx="34">
                  <c:v>2455836.7885400001</c:v>
                </c:pt>
                <c:pt idx="35">
                  <c:v>2455839.2826399999</c:v>
                </c:pt>
                <c:pt idx="36">
                  <c:v>2455847.2937500002</c:v>
                </c:pt>
                <c:pt idx="37">
                  <c:v>2455851.2569400002</c:v>
                </c:pt>
                <c:pt idx="38">
                  <c:v>2455856.2506900001</c:v>
                </c:pt>
                <c:pt idx="39">
                  <c:v>2455860.80902</c:v>
                </c:pt>
                <c:pt idx="40">
                  <c:v>2455867.2354199998</c:v>
                </c:pt>
                <c:pt idx="41">
                  <c:v>2455877.2937500002</c:v>
                </c:pt>
                <c:pt idx="42">
                  <c:v>2455883.2625000002</c:v>
                </c:pt>
                <c:pt idx="43">
                  <c:v>2455890.2409399999</c:v>
                </c:pt>
                <c:pt idx="44">
                  <c:v>2455923.2098400001</c:v>
                </c:pt>
                <c:pt idx="45">
                  <c:v>2456106.4319000002</c:v>
                </c:pt>
                <c:pt idx="46">
                  <c:v>2456109.4451000001</c:v>
                </c:pt>
                <c:pt idx="47">
                  <c:v>2456124.4042000002</c:v>
                </c:pt>
                <c:pt idx="48">
                  <c:v>2456127.4201000002</c:v>
                </c:pt>
                <c:pt idx="49">
                  <c:v>2456137.90625</c:v>
                </c:pt>
                <c:pt idx="50">
                  <c:v>2456139.4056000002</c:v>
                </c:pt>
                <c:pt idx="51">
                  <c:v>2456147.3604000001</c:v>
                </c:pt>
                <c:pt idx="52">
                  <c:v>2456148.9031500001</c:v>
                </c:pt>
                <c:pt idx="53">
                  <c:v>2456150.90105</c:v>
                </c:pt>
                <c:pt idx="54">
                  <c:v>2456154.3854</c:v>
                </c:pt>
                <c:pt idx="55">
                  <c:v>2456157.3639000002</c:v>
                </c:pt>
                <c:pt idx="56">
                  <c:v>2456163.3541999999</c:v>
                </c:pt>
                <c:pt idx="57">
                  <c:v>2456167.3958000001</c:v>
                </c:pt>
                <c:pt idx="58">
                  <c:v>2456168.7702100002</c:v>
                </c:pt>
                <c:pt idx="59">
                  <c:v>2456176.4180600001</c:v>
                </c:pt>
                <c:pt idx="60">
                  <c:v>2456179.3478999999</c:v>
                </c:pt>
                <c:pt idx="61">
                  <c:v>2456182.71765</c:v>
                </c:pt>
                <c:pt idx="62">
                  <c:v>2456185.3424</c:v>
                </c:pt>
                <c:pt idx="63">
                  <c:v>2456224.3221999998</c:v>
                </c:pt>
                <c:pt idx="64">
                  <c:v>2456239.2020999999</c:v>
                </c:pt>
                <c:pt idx="65">
                  <c:v>2456247.1985999998</c:v>
                </c:pt>
                <c:pt idx="66">
                  <c:v>2456248.2256999998</c:v>
                </c:pt>
                <c:pt idx="67">
                  <c:v>2456463.4583000001</c:v>
                </c:pt>
                <c:pt idx="68">
                  <c:v>2456476.4333000001</c:v>
                </c:pt>
                <c:pt idx="69">
                  <c:v>2456488.4312999998</c:v>
                </c:pt>
                <c:pt idx="70">
                  <c:v>2456500.3958000001</c:v>
                </c:pt>
                <c:pt idx="71">
                  <c:v>2456505.3958000001</c:v>
                </c:pt>
                <c:pt idx="72">
                  <c:v>2456508.8357899999</c:v>
                </c:pt>
                <c:pt idx="73">
                  <c:v>2456510.85543</c:v>
                </c:pt>
                <c:pt idx="74">
                  <c:v>2456516.4512399998</c:v>
                </c:pt>
                <c:pt idx="75">
                  <c:v>2456521.3958000001</c:v>
                </c:pt>
                <c:pt idx="76">
                  <c:v>2456531.3994399998</c:v>
                </c:pt>
                <c:pt idx="77">
                  <c:v>2456536.3958000001</c:v>
                </c:pt>
                <c:pt idx="78">
                  <c:v>2456538.3958000001</c:v>
                </c:pt>
                <c:pt idx="79">
                  <c:v>2456539.41879</c:v>
                </c:pt>
                <c:pt idx="80">
                  <c:v>2456552.33617</c:v>
                </c:pt>
                <c:pt idx="81">
                  <c:v>2456553.7105100001</c:v>
                </c:pt>
                <c:pt idx="82">
                  <c:v>2456559.3368000002</c:v>
                </c:pt>
                <c:pt idx="83">
                  <c:v>2456564.4398699999</c:v>
                </c:pt>
                <c:pt idx="84">
                  <c:v>2456566.66438</c:v>
                </c:pt>
                <c:pt idx="85">
                  <c:v>2456571.2913600001</c:v>
                </c:pt>
                <c:pt idx="86">
                  <c:v>2456595.3337300001</c:v>
                </c:pt>
                <c:pt idx="87">
                  <c:v>2456598.2647600002</c:v>
                </c:pt>
                <c:pt idx="88">
                  <c:v>2456604.4432899999</c:v>
                </c:pt>
                <c:pt idx="89">
                  <c:v>2456611.6142199999</c:v>
                </c:pt>
                <c:pt idx="90">
                  <c:v>2456613.6151000001</c:v>
                </c:pt>
                <c:pt idx="91">
                  <c:v>2456615.6011800002</c:v>
                </c:pt>
                <c:pt idx="92">
                  <c:v>2456617.09766</c:v>
                </c:pt>
                <c:pt idx="93">
                  <c:v>2456626.4849999999</c:v>
                </c:pt>
                <c:pt idx="94">
                  <c:v>2456645.4822999998</c:v>
                </c:pt>
                <c:pt idx="95">
                  <c:v>2456687.75177</c:v>
                </c:pt>
                <c:pt idx="96">
                  <c:v>2456764.87953</c:v>
                </c:pt>
                <c:pt idx="97">
                  <c:v>2456896.2533</c:v>
                </c:pt>
                <c:pt idx="98">
                  <c:v>2456898.5275300001</c:v>
                </c:pt>
                <c:pt idx="99">
                  <c:v>2456902.7019000002</c:v>
                </c:pt>
                <c:pt idx="100">
                  <c:v>2456904.6678200001</c:v>
                </c:pt>
                <c:pt idx="101">
                  <c:v>2456905.7867100001</c:v>
                </c:pt>
                <c:pt idx="102">
                  <c:v>2456913.66928</c:v>
                </c:pt>
                <c:pt idx="103">
                  <c:v>2456915.3333000001</c:v>
                </c:pt>
                <c:pt idx="104">
                  <c:v>2456918.6744300001</c:v>
                </c:pt>
                <c:pt idx="105">
                  <c:v>2456920.6946999999</c:v>
                </c:pt>
                <c:pt idx="106">
                  <c:v>2456924.1709799999</c:v>
                </c:pt>
                <c:pt idx="107">
                  <c:v>2456928.1839999999</c:v>
                </c:pt>
                <c:pt idx="108">
                  <c:v>2456929.6037699999</c:v>
                </c:pt>
                <c:pt idx="109">
                  <c:v>2456937.0830199998</c:v>
                </c:pt>
                <c:pt idx="110">
                  <c:v>2456939.5918100001</c:v>
                </c:pt>
                <c:pt idx="111">
                  <c:v>2456940.6616799999</c:v>
                </c:pt>
                <c:pt idx="112">
                  <c:v>2456943.58727</c:v>
                </c:pt>
                <c:pt idx="113">
                  <c:v>2456945.5534999999</c:v>
                </c:pt>
                <c:pt idx="114">
                  <c:v>2456948.5451000002</c:v>
                </c:pt>
                <c:pt idx="115">
                  <c:v>2456957.5213700002</c:v>
                </c:pt>
                <c:pt idx="116">
                  <c:v>2457006.4569999999</c:v>
                </c:pt>
                <c:pt idx="117">
                  <c:v>2457007.4951900002</c:v>
                </c:pt>
                <c:pt idx="118">
                  <c:v>2457018.4552099998</c:v>
                </c:pt>
                <c:pt idx="119">
                  <c:v>2457019.4591899998</c:v>
                </c:pt>
                <c:pt idx="120">
                  <c:v>2457021.9536299999</c:v>
                </c:pt>
                <c:pt idx="121">
                  <c:v>2457023.4454000001</c:v>
                </c:pt>
                <c:pt idx="122">
                  <c:v>2457024.45077</c:v>
                </c:pt>
                <c:pt idx="123">
                  <c:v>2457025.4514500001</c:v>
                </c:pt>
                <c:pt idx="124">
                  <c:v>2457028.4524599998</c:v>
                </c:pt>
                <c:pt idx="125">
                  <c:v>2457124.8841900001</c:v>
                </c:pt>
                <c:pt idx="126">
                  <c:v>2457128.87892</c:v>
                </c:pt>
                <c:pt idx="127">
                  <c:v>2457130.8763799998</c:v>
                </c:pt>
                <c:pt idx="128">
                  <c:v>2457156.8368799998</c:v>
                </c:pt>
                <c:pt idx="129">
                  <c:v>2457157.8372900002</c:v>
                </c:pt>
                <c:pt idx="130">
                  <c:v>2457163.8278600001</c:v>
                </c:pt>
                <c:pt idx="131">
                  <c:v>2457165.8193799998</c:v>
                </c:pt>
                <c:pt idx="132">
                  <c:v>2457166.8284900002</c:v>
                </c:pt>
                <c:pt idx="133">
                  <c:v>2457180.8183400002</c:v>
                </c:pt>
                <c:pt idx="134">
                  <c:v>2457187.8084399998</c:v>
                </c:pt>
                <c:pt idx="135">
                  <c:v>2457195.7437999998</c:v>
                </c:pt>
                <c:pt idx="136">
                  <c:v>2457197.70095</c:v>
                </c:pt>
                <c:pt idx="137">
                  <c:v>2457198.7049699998</c:v>
                </c:pt>
                <c:pt idx="138">
                  <c:v>2457199.6331199999</c:v>
                </c:pt>
                <c:pt idx="139">
                  <c:v>2457201.1612800001</c:v>
                </c:pt>
                <c:pt idx="140">
                  <c:v>2457203.1844299999</c:v>
                </c:pt>
                <c:pt idx="141">
                  <c:v>2457204.6269700001</c:v>
                </c:pt>
                <c:pt idx="142">
                  <c:v>2457206.2399599999</c:v>
                </c:pt>
                <c:pt idx="143">
                  <c:v>2457208.2933299998</c:v>
                </c:pt>
                <c:pt idx="144">
                  <c:v>2457209.2828000002</c:v>
                </c:pt>
                <c:pt idx="145">
                  <c:v>2457210.6661299998</c:v>
                </c:pt>
                <c:pt idx="146">
                  <c:v>2457211.66732</c:v>
                </c:pt>
                <c:pt idx="147">
                  <c:v>2457212.64426</c:v>
                </c:pt>
                <c:pt idx="148">
                  <c:v>2457214.3369800001</c:v>
                </c:pt>
                <c:pt idx="149">
                  <c:v>2457215.0386600001</c:v>
                </c:pt>
                <c:pt idx="150">
                  <c:v>2457216.70358</c:v>
                </c:pt>
                <c:pt idx="151">
                  <c:v>2457217.77092</c:v>
                </c:pt>
                <c:pt idx="152">
                  <c:v>2457219.4341000002</c:v>
                </c:pt>
                <c:pt idx="153">
                  <c:v>2457220.6915099998</c:v>
                </c:pt>
                <c:pt idx="154">
                  <c:v>2457221.70566</c:v>
                </c:pt>
                <c:pt idx="155">
                  <c:v>2457223.6121800002</c:v>
                </c:pt>
                <c:pt idx="156">
                  <c:v>2457225.36527</c:v>
                </c:pt>
                <c:pt idx="157">
                  <c:v>2457226.4931999999</c:v>
                </c:pt>
                <c:pt idx="158">
                  <c:v>2457227.6754899998</c:v>
                </c:pt>
                <c:pt idx="159">
                  <c:v>2457229.8229899998</c:v>
                </c:pt>
                <c:pt idx="160">
                  <c:v>2457231.69019</c:v>
                </c:pt>
                <c:pt idx="161">
                  <c:v>2457233.61546</c:v>
                </c:pt>
                <c:pt idx="162">
                  <c:v>2457234.6749</c:v>
                </c:pt>
                <c:pt idx="163">
                  <c:v>2457237.0114799999</c:v>
                </c:pt>
                <c:pt idx="164">
                  <c:v>2457238.65668</c:v>
                </c:pt>
                <c:pt idx="165">
                  <c:v>2457239.8086100002</c:v>
                </c:pt>
                <c:pt idx="166">
                  <c:v>2457241.5178100001</c:v>
                </c:pt>
                <c:pt idx="167">
                  <c:v>2457242.4956399999</c:v>
                </c:pt>
                <c:pt idx="168">
                  <c:v>2457244.1734600002</c:v>
                </c:pt>
                <c:pt idx="169">
                  <c:v>2457245.21477</c:v>
                </c:pt>
                <c:pt idx="170">
                  <c:v>2457246.91206</c:v>
                </c:pt>
                <c:pt idx="171">
                  <c:v>2457247.7928499999</c:v>
                </c:pt>
                <c:pt idx="172">
                  <c:v>2457249.3825400001</c:v>
                </c:pt>
                <c:pt idx="173">
                  <c:v>2457251.1683399999</c:v>
                </c:pt>
                <c:pt idx="174">
                  <c:v>2457252.3770099999</c:v>
                </c:pt>
                <c:pt idx="175">
                  <c:v>2457254.6334600002</c:v>
                </c:pt>
                <c:pt idx="176">
                  <c:v>2457256.6627799999</c:v>
                </c:pt>
                <c:pt idx="177">
                  <c:v>2457259.4322000002</c:v>
                </c:pt>
                <c:pt idx="178">
                  <c:v>2457261.4822900002</c:v>
                </c:pt>
                <c:pt idx="179">
                  <c:v>2457262.6622899999</c:v>
                </c:pt>
                <c:pt idx="180">
                  <c:v>2457264.57913</c:v>
                </c:pt>
                <c:pt idx="181">
                  <c:v>2457265.6403000001</c:v>
                </c:pt>
                <c:pt idx="182">
                  <c:v>2457267.14646</c:v>
                </c:pt>
                <c:pt idx="183">
                  <c:v>2457270.1270699999</c:v>
                </c:pt>
                <c:pt idx="184">
                  <c:v>2457271.8269199999</c:v>
                </c:pt>
                <c:pt idx="185">
                  <c:v>2457272.55657</c:v>
                </c:pt>
                <c:pt idx="186">
                  <c:v>2457273.6447100001</c:v>
                </c:pt>
                <c:pt idx="187">
                  <c:v>2457276.0360400002</c:v>
                </c:pt>
                <c:pt idx="188">
                  <c:v>2457278.21527</c:v>
                </c:pt>
                <c:pt idx="189">
                  <c:v>2457280.3928200002</c:v>
                </c:pt>
                <c:pt idx="190">
                  <c:v>2457281.5195800001</c:v>
                </c:pt>
                <c:pt idx="191">
                  <c:v>2457282.8798199999</c:v>
                </c:pt>
                <c:pt idx="192">
                  <c:v>2457284.9586299998</c:v>
                </c:pt>
                <c:pt idx="193">
                  <c:v>2457287.1526500001</c:v>
                </c:pt>
                <c:pt idx="194">
                  <c:v>2457287.6192999999</c:v>
                </c:pt>
                <c:pt idx="195">
                  <c:v>2457290.0581899998</c:v>
                </c:pt>
                <c:pt idx="196">
                  <c:v>2457291.4685</c:v>
                </c:pt>
                <c:pt idx="197">
                  <c:v>2457292.5326200002</c:v>
                </c:pt>
                <c:pt idx="198">
                  <c:v>2457295.2831000001</c:v>
                </c:pt>
                <c:pt idx="199">
                  <c:v>2457297.0984299998</c:v>
                </c:pt>
                <c:pt idx="200">
                  <c:v>2457302.51786</c:v>
                </c:pt>
                <c:pt idx="201">
                  <c:v>2457304.06862</c:v>
                </c:pt>
                <c:pt idx="202">
                  <c:v>2457306.3438499998</c:v>
                </c:pt>
                <c:pt idx="203">
                  <c:v>2457307.5438199998</c:v>
                </c:pt>
                <c:pt idx="204">
                  <c:v>2457309.5022900002</c:v>
                </c:pt>
                <c:pt idx="205">
                  <c:v>2457310.60892</c:v>
                </c:pt>
                <c:pt idx="206">
                  <c:v>2457312.9850900001</c:v>
                </c:pt>
                <c:pt idx="207">
                  <c:v>2457313.5696899998</c:v>
                </c:pt>
                <c:pt idx="208">
                  <c:v>2457314.5855</c:v>
                </c:pt>
                <c:pt idx="209">
                  <c:v>2457315.82436</c:v>
                </c:pt>
                <c:pt idx="210">
                  <c:v>2457321.58445</c:v>
                </c:pt>
                <c:pt idx="211">
                  <c:v>2457322.5630399999</c:v>
                </c:pt>
                <c:pt idx="212">
                  <c:v>2457324.8054599999</c:v>
                </c:pt>
                <c:pt idx="213">
                  <c:v>2457326.0028499998</c:v>
                </c:pt>
                <c:pt idx="214">
                  <c:v>2457328.36143</c:v>
                </c:pt>
                <c:pt idx="215">
                  <c:v>2457329.8434700002</c:v>
                </c:pt>
                <c:pt idx="216">
                  <c:v>2457330.6407400002</c:v>
                </c:pt>
                <c:pt idx="217">
                  <c:v>2457331.5385199999</c:v>
                </c:pt>
                <c:pt idx="218">
                  <c:v>2457333.9474300002</c:v>
                </c:pt>
                <c:pt idx="219">
                  <c:v>2457335.4615600002</c:v>
                </c:pt>
                <c:pt idx="220">
                  <c:v>2457339.2631999999</c:v>
                </c:pt>
                <c:pt idx="221">
                  <c:v>2457341.4723299998</c:v>
                </c:pt>
                <c:pt idx="222">
                  <c:v>2457343.7295900001</c:v>
                </c:pt>
                <c:pt idx="223">
                  <c:v>2457344.7892800001</c:v>
                </c:pt>
                <c:pt idx="224">
                  <c:v>2457347.5323600001</c:v>
                </c:pt>
                <c:pt idx="225">
                  <c:v>2457350.0152599998</c:v>
                </c:pt>
                <c:pt idx="226">
                  <c:v>2457351.5302400002</c:v>
                </c:pt>
                <c:pt idx="227">
                  <c:v>2457356.4262399999</c:v>
                </c:pt>
                <c:pt idx="228">
                  <c:v>2457358.5329700001</c:v>
                </c:pt>
                <c:pt idx="229">
                  <c:v>2457360.32015</c:v>
                </c:pt>
                <c:pt idx="230">
                  <c:v>2457361.87524</c:v>
                </c:pt>
                <c:pt idx="231">
                  <c:v>2457363.5332399998</c:v>
                </c:pt>
                <c:pt idx="232">
                  <c:v>2457366.3179500001</c:v>
                </c:pt>
                <c:pt idx="233">
                  <c:v>2457368.3937499998</c:v>
                </c:pt>
                <c:pt idx="234">
                  <c:v>2457370.5397199998</c:v>
                </c:pt>
                <c:pt idx="235">
                  <c:v>2457372.5839800001</c:v>
                </c:pt>
                <c:pt idx="236">
                  <c:v>2457373.5373499999</c:v>
                </c:pt>
                <c:pt idx="237">
                  <c:v>2457375.0941599999</c:v>
                </c:pt>
                <c:pt idx="238">
                  <c:v>2457376.43462</c:v>
                </c:pt>
                <c:pt idx="239">
                  <c:v>2457377.6417399999</c:v>
                </c:pt>
                <c:pt idx="240">
                  <c:v>2457381.33941</c:v>
                </c:pt>
                <c:pt idx="241">
                  <c:v>2457386.4139100001</c:v>
                </c:pt>
                <c:pt idx="242">
                  <c:v>2457391.5421600002</c:v>
                </c:pt>
                <c:pt idx="243">
                  <c:v>2457395.5373499999</c:v>
                </c:pt>
                <c:pt idx="244">
                  <c:v>2457402.5403800001</c:v>
                </c:pt>
                <c:pt idx="245">
                  <c:v>2457404.5453699999</c:v>
                </c:pt>
                <c:pt idx="246">
                  <c:v>2457407.48043</c:v>
                </c:pt>
                <c:pt idx="247">
                  <c:v>2457409.5445400001</c:v>
                </c:pt>
                <c:pt idx="248">
                  <c:v>2457410.5448099999</c:v>
                </c:pt>
                <c:pt idx="249">
                  <c:v>2457484.9080500002</c:v>
                </c:pt>
                <c:pt idx="250">
                  <c:v>2457494.0155600002</c:v>
                </c:pt>
                <c:pt idx="251">
                  <c:v>2457499.9983799998</c:v>
                </c:pt>
                <c:pt idx="252">
                  <c:v>2457502.8558299998</c:v>
                </c:pt>
                <c:pt idx="253">
                  <c:v>2457506.8363800002</c:v>
                </c:pt>
                <c:pt idx="254">
                  <c:v>2457534.9905699999</c:v>
                </c:pt>
                <c:pt idx="255">
                  <c:v>2457539.4783399999</c:v>
                </c:pt>
                <c:pt idx="256">
                  <c:v>2457540.96367</c:v>
                </c:pt>
                <c:pt idx="257">
                  <c:v>2457542.9758799998</c:v>
                </c:pt>
                <c:pt idx="258">
                  <c:v>2457544.9832299999</c:v>
                </c:pt>
                <c:pt idx="259">
                  <c:v>2457552.9647300001</c:v>
                </c:pt>
                <c:pt idx="260">
                  <c:v>2457553.9799799998</c:v>
                </c:pt>
                <c:pt idx="261">
                  <c:v>2457554.98484</c:v>
                </c:pt>
                <c:pt idx="262">
                  <c:v>2457557.92142</c:v>
                </c:pt>
                <c:pt idx="263">
                  <c:v>2457559.43199</c:v>
                </c:pt>
                <c:pt idx="264">
                  <c:v>2457560.7048599999</c:v>
                </c:pt>
                <c:pt idx="265">
                  <c:v>2457561.8622499998</c:v>
                </c:pt>
                <c:pt idx="266">
                  <c:v>2457565.6665500002</c:v>
                </c:pt>
                <c:pt idx="267">
                  <c:v>2457567.11729</c:v>
                </c:pt>
                <c:pt idx="268">
                  <c:v>2457567.8842699998</c:v>
                </c:pt>
                <c:pt idx="269">
                  <c:v>2457569.8619400002</c:v>
                </c:pt>
                <c:pt idx="270">
                  <c:v>2457571.4293999998</c:v>
                </c:pt>
                <c:pt idx="271">
                  <c:v>2457572.6518799998</c:v>
                </c:pt>
                <c:pt idx="272">
                  <c:v>2457573.8339800001</c:v>
                </c:pt>
                <c:pt idx="273">
                  <c:v>2457575.3316500001</c:v>
                </c:pt>
                <c:pt idx="274">
                  <c:v>2457576.37402</c:v>
                </c:pt>
                <c:pt idx="275">
                  <c:v>2457577.4306000001</c:v>
                </c:pt>
                <c:pt idx="276">
                  <c:v>2457579.7323799999</c:v>
                </c:pt>
                <c:pt idx="277">
                  <c:v>2457581.8344100001</c:v>
                </c:pt>
                <c:pt idx="278">
                  <c:v>2457583.4586700001</c:v>
                </c:pt>
                <c:pt idx="279">
                  <c:v>2457584.7039000001</c:v>
                </c:pt>
                <c:pt idx="280">
                  <c:v>2457585.77526</c:v>
                </c:pt>
                <c:pt idx="281">
                  <c:v>2457588.7249599998</c:v>
                </c:pt>
                <c:pt idx="282">
                  <c:v>2457591.1146200001</c:v>
                </c:pt>
                <c:pt idx="283">
                  <c:v>2457592.3741700002</c:v>
                </c:pt>
                <c:pt idx="284">
                  <c:v>2457594.6839899998</c:v>
                </c:pt>
                <c:pt idx="285">
                  <c:v>2457597.3785000001</c:v>
                </c:pt>
                <c:pt idx="286">
                  <c:v>2457599.6058700001</c:v>
                </c:pt>
                <c:pt idx="287">
                  <c:v>2457604.2196999998</c:v>
                </c:pt>
                <c:pt idx="288">
                  <c:v>2457605.5430100001</c:v>
                </c:pt>
                <c:pt idx="289">
                  <c:v>2457610.6886999998</c:v>
                </c:pt>
                <c:pt idx="290">
                  <c:v>2457612.52941</c:v>
                </c:pt>
                <c:pt idx="291">
                  <c:v>2457614.3808800001</c:v>
                </c:pt>
                <c:pt idx="292">
                  <c:v>2457616.66029</c:v>
                </c:pt>
                <c:pt idx="293">
                  <c:v>2457617.8043399998</c:v>
                </c:pt>
                <c:pt idx="294">
                  <c:v>2457622.97848</c:v>
                </c:pt>
                <c:pt idx="295">
                  <c:v>2457624.84926</c:v>
                </c:pt>
                <c:pt idx="296">
                  <c:v>2457631.2328699999</c:v>
                </c:pt>
                <c:pt idx="297">
                  <c:v>2457636.7237800001</c:v>
                </c:pt>
                <c:pt idx="298">
                  <c:v>2457640.3083000001</c:v>
                </c:pt>
                <c:pt idx="299">
                  <c:v>2457643.6228399999</c:v>
                </c:pt>
                <c:pt idx="300">
                  <c:v>2457645.4358100002</c:v>
                </c:pt>
                <c:pt idx="301">
                  <c:v>2457648.03743</c:v>
                </c:pt>
                <c:pt idx="302">
                  <c:v>2457650.6710100002</c:v>
                </c:pt>
                <c:pt idx="303">
                  <c:v>2457651.6745099998</c:v>
                </c:pt>
                <c:pt idx="304">
                  <c:v>2457655.1083900002</c:v>
                </c:pt>
                <c:pt idx="305">
                  <c:v>2457657.3097000001</c:v>
                </c:pt>
                <c:pt idx="306">
                  <c:v>2457658.8562799999</c:v>
                </c:pt>
                <c:pt idx="307">
                  <c:v>2457667.6885899999</c:v>
                </c:pt>
                <c:pt idx="308">
                  <c:v>2457672.5010500001</c:v>
                </c:pt>
                <c:pt idx="309">
                  <c:v>2457676.2395000001</c:v>
                </c:pt>
                <c:pt idx="310">
                  <c:v>2457677.53394</c:v>
                </c:pt>
                <c:pt idx="311">
                  <c:v>2457681.0550799998</c:v>
                </c:pt>
                <c:pt idx="312">
                  <c:v>2457685.5114099998</c:v>
                </c:pt>
                <c:pt idx="313">
                  <c:v>2457687.1038500001</c:v>
                </c:pt>
                <c:pt idx="314">
                  <c:v>2457693.5034500002</c:v>
                </c:pt>
                <c:pt idx="315">
                  <c:v>2457697.5901299999</c:v>
                </c:pt>
                <c:pt idx="316">
                  <c:v>2457701.5746900002</c:v>
                </c:pt>
                <c:pt idx="317">
                  <c:v>2457704.5206800001</c:v>
                </c:pt>
                <c:pt idx="318">
                  <c:v>2457706.5666700001</c:v>
                </c:pt>
                <c:pt idx="319">
                  <c:v>2457709.1108499998</c:v>
                </c:pt>
                <c:pt idx="320">
                  <c:v>2457714.5320000001</c:v>
                </c:pt>
                <c:pt idx="321">
                  <c:v>2457722.9241200001</c:v>
                </c:pt>
                <c:pt idx="322">
                  <c:v>2457743.5244</c:v>
                </c:pt>
                <c:pt idx="323">
                  <c:v>2457773.2366599999</c:v>
                </c:pt>
                <c:pt idx="324">
                  <c:v>2457876.84039</c:v>
                </c:pt>
                <c:pt idx="325">
                  <c:v>2457877.84454</c:v>
                </c:pt>
                <c:pt idx="326">
                  <c:v>2457914.7240399998</c:v>
                </c:pt>
                <c:pt idx="327">
                  <c:v>2457916.72291</c:v>
                </c:pt>
                <c:pt idx="328">
                  <c:v>2457923.52428</c:v>
                </c:pt>
                <c:pt idx="329">
                  <c:v>2457926.2075999998</c:v>
                </c:pt>
                <c:pt idx="330">
                  <c:v>2457930.2348199999</c:v>
                </c:pt>
                <c:pt idx="331">
                  <c:v>2457939.27116</c:v>
                </c:pt>
                <c:pt idx="332">
                  <c:v>2457940.66475</c:v>
                </c:pt>
                <c:pt idx="333">
                  <c:v>2457951.26559</c:v>
                </c:pt>
                <c:pt idx="334">
                  <c:v>2457954.6657099999</c:v>
                </c:pt>
                <c:pt idx="335">
                  <c:v>2457955.6995000001</c:v>
                </c:pt>
                <c:pt idx="336">
                  <c:v>2457959.5143400002</c:v>
                </c:pt>
                <c:pt idx="337">
                  <c:v>2457960.6615399998</c:v>
                </c:pt>
                <c:pt idx="338">
                  <c:v>2457962.42717</c:v>
                </c:pt>
                <c:pt idx="339">
                  <c:v>2457966.50318</c:v>
                </c:pt>
                <c:pt idx="340">
                  <c:v>2457972.6188400001</c:v>
                </c:pt>
                <c:pt idx="341">
                  <c:v>2457974.5761099998</c:v>
                </c:pt>
                <c:pt idx="342">
                  <c:v>2457976.1449600002</c:v>
                </c:pt>
                <c:pt idx="343">
                  <c:v>2457980.0554499999</c:v>
                </c:pt>
                <c:pt idx="344">
                  <c:v>2457981.5152199999</c:v>
                </c:pt>
                <c:pt idx="345">
                  <c:v>2457982.5220900001</c:v>
                </c:pt>
                <c:pt idx="346">
                  <c:v>2457994.6069</c:v>
                </c:pt>
                <c:pt idx="347">
                  <c:v>2457997.67735</c:v>
                </c:pt>
                <c:pt idx="348">
                  <c:v>2457998.6883700001</c:v>
                </c:pt>
                <c:pt idx="349">
                  <c:v>2458000.6769900001</c:v>
                </c:pt>
                <c:pt idx="350">
                  <c:v>2458001.6855000001</c:v>
                </c:pt>
                <c:pt idx="351">
                  <c:v>2458003.6855700002</c:v>
                </c:pt>
                <c:pt idx="352">
                  <c:v>2458008.5508300001</c:v>
                </c:pt>
                <c:pt idx="353">
                  <c:v>2458009.6191799999</c:v>
                </c:pt>
                <c:pt idx="354">
                  <c:v>2458011.6269999999</c:v>
                </c:pt>
                <c:pt idx="355">
                  <c:v>2458017.3605800001</c:v>
                </c:pt>
                <c:pt idx="356">
                  <c:v>2458018.5515000001</c:v>
                </c:pt>
                <c:pt idx="357">
                  <c:v>2458020.5932300002</c:v>
                </c:pt>
                <c:pt idx="358">
                  <c:v>2458021.7058999999</c:v>
                </c:pt>
                <c:pt idx="359">
                  <c:v>2458024.2812999999</c:v>
                </c:pt>
                <c:pt idx="360">
                  <c:v>2458030.4769299999</c:v>
                </c:pt>
                <c:pt idx="361">
                  <c:v>2458033.8235599999</c:v>
                </c:pt>
                <c:pt idx="362">
                  <c:v>2458035.2073300001</c:v>
                </c:pt>
                <c:pt idx="363">
                  <c:v>2458037.4937700001</c:v>
                </c:pt>
                <c:pt idx="364">
                  <c:v>2458038.9978999998</c:v>
                </c:pt>
                <c:pt idx="365">
                  <c:v>2458039.9809500002</c:v>
                </c:pt>
                <c:pt idx="366">
                  <c:v>2458041.4514100002</c:v>
                </c:pt>
                <c:pt idx="367">
                  <c:v>2458042.6380699999</c:v>
                </c:pt>
                <c:pt idx="368">
                  <c:v>2458044.1555599999</c:v>
                </c:pt>
                <c:pt idx="369">
                  <c:v>2458045.2826</c:v>
                </c:pt>
                <c:pt idx="370">
                  <c:v>2458046.5784999998</c:v>
                </c:pt>
                <c:pt idx="371">
                  <c:v>2458047.6313800002</c:v>
                </c:pt>
                <c:pt idx="372">
                  <c:v>2458049.1371499998</c:v>
                </c:pt>
                <c:pt idx="373">
                  <c:v>2458050.4622499999</c:v>
                </c:pt>
                <c:pt idx="374">
                  <c:v>2458052.1235199999</c:v>
                </c:pt>
                <c:pt idx="375">
                  <c:v>2458054.60977</c:v>
                </c:pt>
                <c:pt idx="376">
                  <c:v>2458056.1108800001</c:v>
                </c:pt>
                <c:pt idx="377">
                  <c:v>2458060.60188</c:v>
                </c:pt>
                <c:pt idx="378">
                  <c:v>2458066.41561</c:v>
                </c:pt>
                <c:pt idx="379">
                  <c:v>2458068.4346799999</c:v>
                </c:pt>
                <c:pt idx="380">
                  <c:v>2458070.2204800001</c:v>
                </c:pt>
                <c:pt idx="381">
                  <c:v>2458071.8281999999</c:v>
                </c:pt>
                <c:pt idx="382">
                  <c:v>2458072.8261600002</c:v>
                </c:pt>
                <c:pt idx="383">
                  <c:v>2458074.375</c:v>
                </c:pt>
                <c:pt idx="384">
                  <c:v>2458075.4922199999</c:v>
                </c:pt>
                <c:pt idx="385">
                  <c:v>2458077.3665300002</c:v>
                </c:pt>
                <c:pt idx="386">
                  <c:v>2458079.0522400001</c:v>
                </c:pt>
                <c:pt idx="387">
                  <c:v>2458080.4330799999</c:v>
                </c:pt>
                <c:pt idx="388">
                  <c:v>2458081.7606000002</c:v>
                </c:pt>
                <c:pt idx="389">
                  <c:v>2458082.5268600001</c:v>
                </c:pt>
                <c:pt idx="390">
                  <c:v>2458084.86</c:v>
                </c:pt>
                <c:pt idx="391">
                  <c:v>2458086.236</c:v>
                </c:pt>
                <c:pt idx="392">
                  <c:v>2458087.8112499998</c:v>
                </c:pt>
                <c:pt idx="393">
                  <c:v>2458089.5</c:v>
                </c:pt>
                <c:pt idx="394">
                  <c:v>2458091.22083</c:v>
                </c:pt>
                <c:pt idx="395">
                  <c:v>2458092.8594599999</c:v>
                </c:pt>
                <c:pt idx="396">
                  <c:v>2458094.7319800002</c:v>
                </c:pt>
                <c:pt idx="397">
                  <c:v>2458096.2599399998</c:v>
                </c:pt>
                <c:pt idx="398">
                  <c:v>2458097.4703700002</c:v>
                </c:pt>
                <c:pt idx="399">
                  <c:v>2458098.7695200001</c:v>
                </c:pt>
                <c:pt idx="400">
                  <c:v>2458100.75832</c:v>
                </c:pt>
                <c:pt idx="401">
                  <c:v>2458102.3715499998</c:v>
                </c:pt>
                <c:pt idx="402">
                  <c:v>2458103.9303299999</c:v>
                </c:pt>
                <c:pt idx="403">
                  <c:v>2458104.6871400001</c:v>
                </c:pt>
                <c:pt idx="404">
                  <c:v>2458105.8079900001</c:v>
                </c:pt>
                <c:pt idx="405">
                  <c:v>2458107.3809199999</c:v>
                </c:pt>
                <c:pt idx="406">
                  <c:v>2458108.87029</c:v>
                </c:pt>
                <c:pt idx="407">
                  <c:v>2458111.2861100002</c:v>
                </c:pt>
                <c:pt idx="408">
                  <c:v>2458112.2999999998</c:v>
                </c:pt>
                <c:pt idx="409">
                  <c:v>2458115.1113</c:v>
                </c:pt>
                <c:pt idx="410">
                  <c:v>2458116.7250000001</c:v>
                </c:pt>
                <c:pt idx="411">
                  <c:v>2458119.4583000001</c:v>
                </c:pt>
                <c:pt idx="412">
                  <c:v>2458121.05382</c:v>
                </c:pt>
                <c:pt idx="413">
                  <c:v>2458124.2519999999</c:v>
                </c:pt>
                <c:pt idx="414">
                  <c:v>2458126.5781100001</c:v>
                </c:pt>
                <c:pt idx="415">
                  <c:v>2458130.5783299999</c:v>
                </c:pt>
                <c:pt idx="416">
                  <c:v>2458213.9880900001</c:v>
                </c:pt>
                <c:pt idx="417">
                  <c:v>2458217.47541</c:v>
                </c:pt>
                <c:pt idx="418">
                  <c:v>2458243.9146099999</c:v>
                </c:pt>
                <c:pt idx="419">
                  <c:v>2458254.8702099998</c:v>
                </c:pt>
                <c:pt idx="420">
                  <c:v>2458255.8945599999</c:v>
                </c:pt>
                <c:pt idx="421">
                  <c:v>2458289.7134500002</c:v>
                </c:pt>
                <c:pt idx="422">
                  <c:v>2458303.7086900002</c:v>
                </c:pt>
                <c:pt idx="423">
                  <c:v>2458311.85041</c:v>
                </c:pt>
                <c:pt idx="424">
                  <c:v>2458314.8099500001</c:v>
                </c:pt>
                <c:pt idx="425">
                  <c:v>2458318.25795</c:v>
                </c:pt>
                <c:pt idx="426">
                  <c:v>2458320.3818999999</c:v>
                </c:pt>
                <c:pt idx="427">
                  <c:v>2458321.7241500001</c:v>
                </c:pt>
                <c:pt idx="428">
                  <c:v>2458334.375</c:v>
                </c:pt>
                <c:pt idx="429">
                  <c:v>2458337.375</c:v>
                </c:pt>
                <c:pt idx="430">
                  <c:v>2458342.7075999998</c:v>
                </c:pt>
                <c:pt idx="431">
                  <c:v>2458344.6694</c:v>
                </c:pt>
                <c:pt idx="432">
                  <c:v>2458346.3437999999</c:v>
                </c:pt>
                <c:pt idx="433">
                  <c:v>2458353.6636999999</c:v>
                </c:pt>
                <c:pt idx="434">
                  <c:v>2458359.3139</c:v>
                </c:pt>
                <c:pt idx="435">
                  <c:v>2458361.6814999999</c:v>
                </c:pt>
                <c:pt idx="436">
                  <c:v>2458363.3592400001</c:v>
                </c:pt>
                <c:pt idx="437">
                  <c:v>2458366.3034999999</c:v>
                </c:pt>
                <c:pt idx="438">
                  <c:v>2458372.3152999999</c:v>
                </c:pt>
                <c:pt idx="439">
                  <c:v>2458373.6329000001</c:v>
                </c:pt>
                <c:pt idx="440">
                  <c:v>2458376.9671499999</c:v>
                </c:pt>
                <c:pt idx="441">
                  <c:v>2458386.8956900002</c:v>
                </c:pt>
                <c:pt idx="442">
                  <c:v>2458389.0201099999</c:v>
                </c:pt>
                <c:pt idx="443">
                  <c:v>2458390.5511099999</c:v>
                </c:pt>
                <c:pt idx="444">
                  <c:v>2458393.7967300001</c:v>
                </c:pt>
                <c:pt idx="445">
                  <c:v>2458395.8671499998</c:v>
                </c:pt>
                <c:pt idx="446">
                  <c:v>2458396.5902999998</c:v>
                </c:pt>
                <c:pt idx="447">
                  <c:v>2458401.51168</c:v>
                </c:pt>
                <c:pt idx="448">
                  <c:v>2458403.0415699999</c:v>
                </c:pt>
                <c:pt idx="449">
                  <c:v>2458404.37953</c:v>
                </c:pt>
                <c:pt idx="450">
                  <c:v>2458405.87733</c:v>
                </c:pt>
                <c:pt idx="451">
                  <c:v>2458409.28382</c:v>
                </c:pt>
                <c:pt idx="452">
                  <c:v>2458410.5751</c:v>
                </c:pt>
                <c:pt idx="453">
                  <c:v>2458414.5789000001</c:v>
                </c:pt>
                <c:pt idx="454">
                  <c:v>2458421.3355800002</c:v>
                </c:pt>
                <c:pt idx="455">
                  <c:v>2458425.5884199999</c:v>
                </c:pt>
                <c:pt idx="456">
                  <c:v>2458429.5721</c:v>
                </c:pt>
                <c:pt idx="457">
                  <c:v>2458430.6146</c:v>
                </c:pt>
                <c:pt idx="458">
                  <c:v>2458434.5701000001</c:v>
                </c:pt>
                <c:pt idx="459">
                  <c:v>2458436.59626</c:v>
                </c:pt>
                <c:pt idx="460">
                  <c:v>2458448.6005000002</c:v>
                </c:pt>
                <c:pt idx="461">
                  <c:v>2458456.5989999999</c:v>
                </c:pt>
                <c:pt idx="462">
                  <c:v>2458461.5852999999</c:v>
                </c:pt>
                <c:pt idx="463">
                  <c:v>2458471.5814</c:v>
                </c:pt>
                <c:pt idx="464">
                  <c:v>2458473.5610000002</c:v>
                </c:pt>
                <c:pt idx="465">
                  <c:v>2458475.5852999999</c:v>
                </c:pt>
                <c:pt idx="466">
                  <c:v>2458477.2857499998</c:v>
                </c:pt>
                <c:pt idx="467">
                  <c:v>2458485.5751</c:v>
                </c:pt>
                <c:pt idx="468">
                  <c:v>2458656.2685600002</c:v>
                </c:pt>
                <c:pt idx="469">
                  <c:v>2458663.1675999998</c:v>
                </c:pt>
                <c:pt idx="470">
                  <c:v>2458663.2038099999</c:v>
                </c:pt>
                <c:pt idx="471">
                  <c:v>2458666.8903800002</c:v>
                </c:pt>
                <c:pt idx="472">
                  <c:v>2458679.79109</c:v>
                </c:pt>
                <c:pt idx="473">
                  <c:v>2458702.7254499998</c:v>
                </c:pt>
                <c:pt idx="474">
                  <c:v>2458718.7023</c:v>
                </c:pt>
                <c:pt idx="475">
                  <c:v>2458720.42282</c:v>
                </c:pt>
                <c:pt idx="476">
                  <c:v>2458729.4035</c:v>
                </c:pt>
                <c:pt idx="477">
                  <c:v>2458731.3986</c:v>
                </c:pt>
                <c:pt idx="478">
                  <c:v>2458745.6645</c:v>
                </c:pt>
                <c:pt idx="479">
                  <c:v>2458753.6003</c:v>
                </c:pt>
                <c:pt idx="480">
                  <c:v>2458755.7244600002</c:v>
                </c:pt>
                <c:pt idx="481">
                  <c:v>2458755.7330399998</c:v>
                </c:pt>
                <c:pt idx="482">
                  <c:v>2458755.7416599998</c:v>
                </c:pt>
                <c:pt idx="483">
                  <c:v>2458757.5989999999</c:v>
                </c:pt>
                <c:pt idx="484">
                  <c:v>2458762.7038199999</c:v>
                </c:pt>
                <c:pt idx="485">
                  <c:v>2458762.7038199999</c:v>
                </c:pt>
                <c:pt idx="486">
                  <c:v>2458762.72792</c:v>
                </c:pt>
                <c:pt idx="487">
                  <c:v>2458762.72792</c:v>
                </c:pt>
                <c:pt idx="488">
                  <c:v>2458764.6025</c:v>
                </c:pt>
                <c:pt idx="489">
                  <c:v>2458766.47193</c:v>
                </c:pt>
                <c:pt idx="490">
                  <c:v>2458775.6463000001</c:v>
                </c:pt>
                <c:pt idx="491">
                  <c:v>2458776.6040400001</c:v>
                </c:pt>
                <c:pt idx="492">
                  <c:v>2458780.5942199999</c:v>
                </c:pt>
                <c:pt idx="493">
                  <c:v>2458792.5787800001</c:v>
                </c:pt>
                <c:pt idx="494">
                  <c:v>2458799.66059</c:v>
                </c:pt>
                <c:pt idx="495">
                  <c:v>2458801.5910800002</c:v>
                </c:pt>
                <c:pt idx="496">
                  <c:v>2458801.6039</c:v>
                </c:pt>
                <c:pt idx="497">
                  <c:v>2458805.6439999999</c:v>
                </c:pt>
                <c:pt idx="498">
                  <c:v>2458809.5826699999</c:v>
                </c:pt>
                <c:pt idx="499">
                  <c:v>2458812.6022999999</c:v>
                </c:pt>
                <c:pt idx="500">
                  <c:v>2458817.2985499999</c:v>
                </c:pt>
                <c:pt idx="501">
                  <c:v>2458818.6014999999</c:v>
                </c:pt>
                <c:pt idx="502">
                  <c:v>2458828.5904999999</c:v>
                </c:pt>
                <c:pt idx="503">
                  <c:v>2458830.5469999998</c:v>
                </c:pt>
                <c:pt idx="504">
                  <c:v>2458830.5628800001</c:v>
                </c:pt>
                <c:pt idx="505">
                  <c:v>2458834.5994000002</c:v>
                </c:pt>
                <c:pt idx="506">
                  <c:v>2458836.5537700001</c:v>
                </c:pt>
                <c:pt idx="507">
                  <c:v>2458839.574</c:v>
                </c:pt>
                <c:pt idx="508">
                  <c:v>2458844.5735999998</c:v>
                </c:pt>
                <c:pt idx="509">
                  <c:v>2458847.5832000002</c:v>
                </c:pt>
                <c:pt idx="510">
                  <c:v>2458851.5574710001</c:v>
                </c:pt>
                <c:pt idx="511">
                  <c:v>2459048.4987300001</c:v>
                </c:pt>
                <c:pt idx="512">
                  <c:v>2459056.4663</c:v>
                </c:pt>
                <c:pt idx="513">
                  <c:v>2459062.7026399998</c:v>
                </c:pt>
                <c:pt idx="514">
                  <c:v>2459068.4870500001</c:v>
                </c:pt>
                <c:pt idx="515">
                  <c:v>2459077.7477890002</c:v>
                </c:pt>
                <c:pt idx="516">
                  <c:v>2459077.7512619998</c:v>
                </c:pt>
                <c:pt idx="517">
                  <c:v>2459077.7547109998</c:v>
                </c:pt>
                <c:pt idx="518">
                  <c:v>2459077.7581710001</c:v>
                </c:pt>
                <c:pt idx="519">
                  <c:v>2459077.7616320001</c:v>
                </c:pt>
                <c:pt idx="520">
                  <c:v>2459085.3979000002</c:v>
                </c:pt>
                <c:pt idx="521">
                  <c:v>2459088.4130199999</c:v>
                </c:pt>
                <c:pt idx="522">
                  <c:v>2459099.3826000001</c:v>
                </c:pt>
                <c:pt idx="523">
                  <c:v>2459099.7115679998</c:v>
                </c:pt>
                <c:pt idx="524">
                  <c:v>2459099.7151330002</c:v>
                </c:pt>
                <c:pt idx="525">
                  <c:v>2459099.7186980001</c:v>
                </c:pt>
                <c:pt idx="526">
                  <c:v>2459099.722263</c:v>
                </c:pt>
                <c:pt idx="527">
                  <c:v>2459099.7258279999</c:v>
                </c:pt>
                <c:pt idx="528">
                  <c:v>2459106.3541999999</c:v>
                </c:pt>
                <c:pt idx="529">
                  <c:v>2459106.4407600001</c:v>
                </c:pt>
                <c:pt idx="530">
                  <c:v>2459107.3316299999</c:v>
                </c:pt>
                <c:pt idx="531">
                  <c:v>2459109.6803000001</c:v>
                </c:pt>
                <c:pt idx="532">
                  <c:v>2459111.3520999998</c:v>
                </c:pt>
                <c:pt idx="533">
                  <c:v>2459115.6740999999</c:v>
                </c:pt>
                <c:pt idx="534">
                  <c:v>2459116.4418199998</c:v>
                </c:pt>
                <c:pt idx="535">
                  <c:v>2459120.6532000001</c:v>
                </c:pt>
                <c:pt idx="536">
                  <c:v>2459128.6581000001</c:v>
                </c:pt>
                <c:pt idx="537">
                  <c:v>2459131.4071599999</c:v>
                </c:pt>
                <c:pt idx="538">
                  <c:v>2459134.6230700002</c:v>
                </c:pt>
                <c:pt idx="539">
                  <c:v>2459134.6710000001</c:v>
                </c:pt>
                <c:pt idx="540">
                  <c:v>2459139.6368999998</c:v>
                </c:pt>
                <c:pt idx="541">
                  <c:v>2459140.3042000001</c:v>
                </c:pt>
                <c:pt idx="542">
                  <c:v>2459141.65</c:v>
                </c:pt>
                <c:pt idx="543">
                  <c:v>2459143.6497</c:v>
                </c:pt>
                <c:pt idx="544">
                  <c:v>2459146.3173099998</c:v>
                </c:pt>
                <c:pt idx="545">
                  <c:v>2459148.45578</c:v>
                </c:pt>
                <c:pt idx="546">
                  <c:v>2459154.5757519999</c:v>
                </c:pt>
                <c:pt idx="547">
                  <c:v>2459154.5779280001</c:v>
                </c:pt>
                <c:pt idx="548">
                  <c:v>2459154.580116</c:v>
                </c:pt>
                <c:pt idx="549">
                  <c:v>2459154.5823149998</c:v>
                </c:pt>
                <c:pt idx="550">
                  <c:v>2459154.5874069999</c:v>
                </c:pt>
                <c:pt idx="551">
                  <c:v>2459154.5896299998</c:v>
                </c:pt>
                <c:pt idx="552">
                  <c:v>2459154.5918399999</c:v>
                </c:pt>
                <c:pt idx="553">
                  <c:v>2459154.5940510002</c:v>
                </c:pt>
                <c:pt idx="554">
                  <c:v>2459154.596262</c:v>
                </c:pt>
                <c:pt idx="555">
                  <c:v>2459157.622</c:v>
                </c:pt>
                <c:pt idx="556">
                  <c:v>2459159.3607100002</c:v>
                </c:pt>
                <c:pt idx="557">
                  <c:v>2459160.3235999998</c:v>
                </c:pt>
                <c:pt idx="558">
                  <c:v>2459173.5956999999</c:v>
                </c:pt>
                <c:pt idx="559">
                  <c:v>2459176.3870799998</c:v>
                </c:pt>
                <c:pt idx="560">
                  <c:v>2459188.6466000001</c:v>
                </c:pt>
                <c:pt idx="561">
                  <c:v>2459192.6472</c:v>
                </c:pt>
                <c:pt idx="562">
                  <c:v>2459196.2833400001</c:v>
                </c:pt>
                <c:pt idx="563">
                  <c:v>2459204.5490000001</c:v>
                </c:pt>
                <c:pt idx="564">
                  <c:v>2459212.5918999999</c:v>
                </c:pt>
                <c:pt idx="565">
                  <c:v>2459217.588</c:v>
                </c:pt>
                <c:pt idx="566">
                  <c:v>2459221.5562</c:v>
                </c:pt>
                <c:pt idx="567">
                  <c:v>2459227.5570999999</c:v>
                </c:pt>
                <c:pt idx="568">
                  <c:v>2459231.5406050002</c:v>
                </c:pt>
                <c:pt idx="569">
                  <c:v>2459231.5412079999</c:v>
                </c:pt>
                <c:pt idx="570">
                  <c:v>2459231.5415110001</c:v>
                </c:pt>
                <c:pt idx="571">
                  <c:v>2459231.5440619998</c:v>
                </c:pt>
                <c:pt idx="572">
                  <c:v>2459231.5455280002</c:v>
                </c:pt>
                <c:pt idx="573">
                  <c:v>2459231.5462699998</c:v>
                </c:pt>
                <c:pt idx="574">
                  <c:v>2459231.5470110001</c:v>
                </c:pt>
                <c:pt idx="575">
                  <c:v>2459231.5477519999</c:v>
                </c:pt>
                <c:pt idx="576">
                  <c:v>2459231.5493419999</c:v>
                </c:pt>
                <c:pt idx="577">
                  <c:v>2459231.5500889998</c:v>
                </c:pt>
                <c:pt idx="578">
                  <c:v>2459231.5508340001</c:v>
                </c:pt>
                <c:pt idx="579">
                  <c:v>2459231.5515780002</c:v>
                </c:pt>
                <c:pt idx="580">
                  <c:v>2459231.552321</c:v>
                </c:pt>
                <c:pt idx="581">
                  <c:v>2459231.5530659999</c:v>
                </c:pt>
                <c:pt idx="582">
                  <c:v>2459231.5553029999</c:v>
                </c:pt>
              </c:numCache>
            </c:numRef>
          </c:xVal>
          <c:yVal>
            <c:numRef>
              <c:f>V!$C$1:$C$1007</c:f>
              <c:numCache>
                <c:formatCode>General</c:formatCode>
                <c:ptCount val="1007"/>
                <c:pt idx="0">
                  <c:v>8.6199999999999992</c:v>
                </c:pt>
                <c:pt idx="1">
                  <c:v>8.5399999999999991</c:v>
                </c:pt>
                <c:pt idx="2">
                  <c:v>8.4600000000000009</c:v>
                </c:pt>
                <c:pt idx="3">
                  <c:v>8.48</c:v>
                </c:pt>
                <c:pt idx="4">
                  <c:v>8.875</c:v>
                </c:pt>
                <c:pt idx="5">
                  <c:v>8.4</c:v>
                </c:pt>
                <c:pt idx="6">
                  <c:v>8.375</c:v>
                </c:pt>
                <c:pt idx="7">
                  <c:v>8.81</c:v>
                </c:pt>
                <c:pt idx="8">
                  <c:v>8.57</c:v>
                </c:pt>
                <c:pt idx="9">
                  <c:v>8.36</c:v>
                </c:pt>
                <c:pt idx="10">
                  <c:v>8.26</c:v>
                </c:pt>
                <c:pt idx="11">
                  <c:v>8.6999999999999993</c:v>
                </c:pt>
                <c:pt idx="12">
                  <c:v>8.8000000000000007</c:v>
                </c:pt>
                <c:pt idx="13">
                  <c:v>8.86</c:v>
                </c:pt>
                <c:pt idx="14">
                  <c:v>8.44</c:v>
                </c:pt>
                <c:pt idx="15">
                  <c:v>8.4149999999999991</c:v>
                </c:pt>
                <c:pt idx="16">
                  <c:v>8.6980000000000004</c:v>
                </c:pt>
                <c:pt idx="17">
                  <c:v>8.73</c:v>
                </c:pt>
                <c:pt idx="18">
                  <c:v>8.65</c:v>
                </c:pt>
                <c:pt idx="19">
                  <c:v>8.6199999999999992</c:v>
                </c:pt>
                <c:pt idx="20">
                  <c:v>8.5500000000000007</c:v>
                </c:pt>
                <c:pt idx="21">
                  <c:v>8.5760000000000005</c:v>
                </c:pt>
                <c:pt idx="22">
                  <c:v>8.58</c:v>
                </c:pt>
                <c:pt idx="23">
                  <c:v>8.6199999999999992</c:v>
                </c:pt>
                <c:pt idx="24">
                  <c:v>8.64</c:v>
                </c:pt>
                <c:pt idx="25">
                  <c:v>8.5</c:v>
                </c:pt>
                <c:pt idx="26">
                  <c:v>8.5299999999999994</c:v>
                </c:pt>
                <c:pt idx="27">
                  <c:v>8.5</c:v>
                </c:pt>
                <c:pt idx="28">
                  <c:v>8.6</c:v>
                </c:pt>
                <c:pt idx="29">
                  <c:v>8.6</c:v>
                </c:pt>
                <c:pt idx="30">
                  <c:v>8.5399999999999991</c:v>
                </c:pt>
                <c:pt idx="31">
                  <c:v>8.6999999999999993</c:v>
                </c:pt>
                <c:pt idx="32">
                  <c:v>8.56</c:v>
                </c:pt>
                <c:pt idx="33">
                  <c:v>8.6649999999999991</c:v>
                </c:pt>
                <c:pt idx="34">
                  <c:v>8.625</c:v>
                </c:pt>
                <c:pt idx="35">
                  <c:v>8.74</c:v>
                </c:pt>
                <c:pt idx="36">
                  <c:v>8.76</c:v>
                </c:pt>
                <c:pt idx="37">
                  <c:v>8.6199999999999992</c:v>
                </c:pt>
                <c:pt idx="38">
                  <c:v>8.51</c:v>
                </c:pt>
                <c:pt idx="39">
                  <c:v>8.8049999999999997</c:v>
                </c:pt>
                <c:pt idx="40">
                  <c:v>8.64</c:v>
                </c:pt>
                <c:pt idx="41">
                  <c:v>8.6199999999999992</c:v>
                </c:pt>
                <c:pt idx="42">
                  <c:v>8.7200000000000006</c:v>
                </c:pt>
                <c:pt idx="43">
                  <c:v>8.57</c:v>
                </c:pt>
                <c:pt idx="44">
                  <c:v>8.7639999999999993</c:v>
                </c:pt>
                <c:pt idx="45">
                  <c:v>8.9</c:v>
                </c:pt>
                <c:pt idx="46">
                  <c:v>8.9</c:v>
                </c:pt>
                <c:pt idx="47">
                  <c:v>8.9499999999999993</c:v>
                </c:pt>
                <c:pt idx="48">
                  <c:v>8.9600000000000009</c:v>
                </c:pt>
                <c:pt idx="49">
                  <c:v>8.9600000000000009</c:v>
                </c:pt>
                <c:pt idx="50">
                  <c:v>8.9700000000000006</c:v>
                </c:pt>
                <c:pt idx="51">
                  <c:v>8.93</c:v>
                </c:pt>
                <c:pt idx="52">
                  <c:v>8.93</c:v>
                </c:pt>
                <c:pt idx="53">
                  <c:v>8.9149999999999991</c:v>
                </c:pt>
                <c:pt idx="54">
                  <c:v>8.9</c:v>
                </c:pt>
                <c:pt idx="55">
                  <c:v>8.89</c:v>
                </c:pt>
                <c:pt idx="56">
                  <c:v>8.8800000000000008</c:v>
                </c:pt>
                <c:pt idx="57">
                  <c:v>8.8800000000000008</c:v>
                </c:pt>
                <c:pt idx="58">
                  <c:v>8.8079999999999998</c:v>
                </c:pt>
                <c:pt idx="59">
                  <c:v>8.8539999999999992</c:v>
                </c:pt>
                <c:pt idx="60">
                  <c:v>8.84</c:v>
                </c:pt>
                <c:pt idx="61">
                  <c:v>8.83</c:v>
                </c:pt>
                <c:pt idx="62">
                  <c:v>8.9600000000000009</c:v>
                </c:pt>
                <c:pt idx="63">
                  <c:v>8.8000000000000007</c:v>
                </c:pt>
                <c:pt idx="64">
                  <c:v>8.8800000000000008</c:v>
                </c:pt>
                <c:pt idx="65">
                  <c:v>8.85</c:v>
                </c:pt>
                <c:pt idx="66">
                  <c:v>8.85</c:v>
                </c:pt>
                <c:pt idx="67">
                  <c:v>8.59</c:v>
                </c:pt>
                <c:pt idx="68">
                  <c:v>8.5030000000000001</c:v>
                </c:pt>
                <c:pt idx="69">
                  <c:v>8.51</c:v>
                </c:pt>
                <c:pt idx="70">
                  <c:v>8.4499999999999993</c:v>
                </c:pt>
                <c:pt idx="71">
                  <c:v>8.49</c:v>
                </c:pt>
                <c:pt idx="72">
                  <c:v>8.4030000000000005</c:v>
                </c:pt>
                <c:pt idx="73">
                  <c:v>8.4450000000000003</c:v>
                </c:pt>
                <c:pt idx="74">
                  <c:v>8.5277390000000004</c:v>
                </c:pt>
                <c:pt idx="75">
                  <c:v>8.5</c:v>
                </c:pt>
                <c:pt idx="76">
                  <c:v>8.4684480000000004</c:v>
                </c:pt>
                <c:pt idx="77">
                  <c:v>8.41</c:v>
                </c:pt>
                <c:pt idx="78">
                  <c:v>8.4209999999999994</c:v>
                </c:pt>
                <c:pt idx="79">
                  <c:v>8.4066329999999994</c:v>
                </c:pt>
                <c:pt idx="80">
                  <c:v>8.5094999999999992</c:v>
                </c:pt>
                <c:pt idx="81">
                  <c:v>8.4039999999999999</c:v>
                </c:pt>
                <c:pt idx="82">
                  <c:v>8.5299999999999994</c:v>
                </c:pt>
                <c:pt idx="83">
                  <c:v>8.5267750000000007</c:v>
                </c:pt>
                <c:pt idx="84">
                  <c:v>8.4860000000000007</c:v>
                </c:pt>
                <c:pt idx="85">
                  <c:v>8.5054829999999999</c:v>
                </c:pt>
                <c:pt idx="86">
                  <c:v>8.7466000000000008</c:v>
                </c:pt>
                <c:pt idx="87">
                  <c:v>8.8803999999999998</c:v>
                </c:pt>
                <c:pt idx="88">
                  <c:v>8.6813140000000004</c:v>
                </c:pt>
                <c:pt idx="89">
                  <c:v>8.6199999999999992</c:v>
                </c:pt>
                <c:pt idx="90">
                  <c:v>8.6310000000000002</c:v>
                </c:pt>
                <c:pt idx="91">
                  <c:v>8.6379999999999999</c:v>
                </c:pt>
                <c:pt idx="92">
                  <c:v>8.6355000000000004</c:v>
                </c:pt>
                <c:pt idx="93">
                  <c:v>8.6679999999999993</c:v>
                </c:pt>
                <c:pt idx="94">
                  <c:v>8.6069999999999993</c:v>
                </c:pt>
                <c:pt idx="95">
                  <c:v>8.4410000000000007</c:v>
                </c:pt>
                <c:pt idx="96">
                  <c:v>8.2609999999999992</c:v>
                </c:pt>
                <c:pt idx="97">
                  <c:v>8.8559999999999999</c:v>
                </c:pt>
                <c:pt idx="98">
                  <c:v>8.8904999999999994</c:v>
                </c:pt>
                <c:pt idx="99">
                  <c:v>8.9250000000000007</c:v>
                </c:pt>
                <c:pt idx="100">
                  <c:v>8.9610000000000003</c:v>
                </c:pt>
                <c:pt idx="101">
                  <c:v>8.9649999999999999</c:v>
                </c:pt>
                <c:pt idx="102">
                  <c:v>9.0549999999999997</c:v>
                </c:pt>
                <c:pt idx="103">
                  <c:v>9.1300000000000008</c:v>
                </c:pt>
                <c:pt idx="104">
                  <c:v>9.077</c:v>
                </c:pt>
                <c:pt idx="105">
                  <c:v>9.0990000000000002</c:v>
                </c:pt>
                <c:pt idx="106">
                  <c:v>9.0619999999999994</c:v>
                </c:pt>
                <c:pt idx="107">
                  <c:v>9.060333</c:v>
                </c:pt>
                <c:pt idx="108">
                  <c:v>9.0449999999999999</c:v>
                </c:pt>
                <c:pt idx="109">
                  <c:v>9.0280000000000005</c:v>
                </c:pt>
                <c:pt idx="110">
                  <c:v>9.0250000000000004</c:v>
                </c:pt>
                <c:pt idx="111">
                  <c:v>9.0389999999999997</c:v>
                </c:pt>
                <c:pt idx="112">
                  <c:v>9.0489999999999995</c:v>
                </c:pt>
                <c:pt idx="113">
                  <c:v>9.0530000000000008</c:v>
                </c:pt>
                <c:pt idx="114">
                  <c:v>9.0489999999999995</c:v>
                </c:pt>
                <c:pt idx="115">
                  <c:v>9.0540000000000003</c:v>
                </c:pt>
                <c:pt idx="116">
                  <c:v>8.8770000000000007</c:v>
                </c:pt>
                <c:pt idx="117">
                  <c:v>8.9190000000000005</c:v>
                </c:pt>
                <c:pt idx="118">
                  <c:v>8.8960000000000008</c:v>
                </c:pt>
                <c:pt idx="119">
                  <c:v>8.8829999999999991</c:v>
                </c:pt>
                <c:pt idx="120">
                  <c:v>8.9004999999999992</c:v>
                </c:pt>
                <c:pt idx="121">
                  <c:v>8.8770000000000007</c:v>
                </c:pt>
                <c:pt idx="122">
                  <c:v>8.9320000000000004</c:v>
                </c:pt>
                <c:pt idx="123">
                  <c:v>8.9109999999999996</c:v>
                </c:pt>
                <c:pt idx="124">
                  <c:v>8.92</c:v>
                </c:pt>
                <c:pt idx="125">
                  <c:v>8.5510000000000002</c:v>
                </c:pt>
                <c:pt idx="126">
                  <c:v>8.5239999999999991</c:v>
                </c:pt>
                <c:pt idx="127">
                  <c:v>8.5310000000000006</c:v>
                </c:pt>
                <c:pt idx="128">
                  <c:v>8.4629999999999992</c:v>
                </c:pt>
                <c:pt idx="129">
                  <c:v>8.4589999999999996</c:v>
                </c:pt>
                <c:pt idx="130">
                  <c:v>8.4309999999999992</c:v>
                </c:pt>
                <c:pt idx="131">
                  <c:v>8.4239999999999995</c:v>
                </c:pt>
                <c:pt idx="132">
                  <c:v>8.4339999999999993</c:v>
                </c:pt>
                <c:pt idx="133">
                  <c:v>8.3919999999999995</c:v>
                </c:pt>
                <c:pt idx="134">
                  <c:v>7.8029999999999999</c:v>
                </c:pt>
                <c:pt idx="135">
                  <c:v>7.2647500000000003</c:v>
                </c:pt>
                <c:pt idx="136">
                  <c:v>7.2305999999999999</c:v>
                </c:pt>
                <c:pt idx="137">
                  <c:v>7.1852530000000003</c:v>
                </c:pt>
                <c:pt idx="138">
                  <c:v>6.9542999999999999</c:v>
                </c:pt>
                <c:pt idx="139">
                  <c:v>7.0614999999999997</c:v>
                </c:pt>
                <c:pt idx="140">
                  <c:v>7.0980749999999997</c:v>
                </c:pt>
                <c:pt idx="141">
                  <c:v>6.9741540000000004</c:v>
                </c:pt>
                <c:pt idx="142">
                  <c:v>7.0519999999999996</c:v>
                </c:pt>
                <c:pt idx="143">
                  <c:v>7.0490000000000004</c:v>
                </c:pt>
                <c:pt idx="144">
                  <c:v>7.04</c:v>
                </c:pt>
                <c:pt idx="145">
                  <c:v>7.1135000000000002</c:v>
                </c:pt>
                <c:pt idx="146">
                  <c:v>6.9966330000000001</c:v>
                </c:pt>
                <c:pt idx="147">
                  <c:v>6.7473999999999998</c:v>
                </c:pt>
                <c:pt idx="148">
                  <c:v>7.2050000000000001</c:v>
                </c:pt>
                <c:pt idx="149">
                  <c:v>7.0363329999999999</c:v>
                </c:pt>
                <c:pt idx="150">
                  <c:v>7.2590000000000003</c:v>
                </c:pt>
                <c:pt idx="151">
                  <c:v>7.1974999999999998</c:v>
                </c:pt>
                <c:pt idx="152">
                  <c:v>7.2460000000000004</c:v>
                </c:pt>
                <c:pt idx="153">
                  <c:v>7.2507000000000001</c:v>
                </c:pt>
                <c:pt idx="154">
                  <c:v>7.3419999999999996</c:v>
                </c:pt>
                <c:pt idx="155">
                  <c:v>7.1090580000000001</c:v>
                </c:pt>
                <c:pt idx="156">
                  <c:v>7.3273330000000003</c:v>
                </c:pt>
                <c:pt idx="157">
                  <c:v>7.3570000000000002</c:v>
                </c:pt>
                <c:pt idx="158">
                  <c:v>7.4305000000000003</c:v>
                </c:pt>
                <c:pt idx="159">
                  <c:v>7.4485000000000001</c:v>
                </c:pt>
                <c:pt idx="160">
                  <c:v>7.4744999999999999</c:v>
                </c:pt>
                <c:pt idx="161">
                  <c:v>7.484</c:v>
                </c:pt>
                <c:pt idx="162">
                  <c:v>7.5449999999999999</c:v>
                </c:pt>
                <c:pt idx="163">
                  <c:v>7.5579999999999998</c:v>
                </c:pt>
                <c:pt idx="164">
                  <c:v>7.57</c:v>
                </c:pt>
                <c:pt idx="165">
                  <c:v>7.5949999999999998</c:v>
                </c:pt>
                <c:pt idx="166">
                  <c:v>7.632333</c:v>
                </c:pt>
                <c:pt idx="167">
                  <c:v>7.3390000000000004</c:v>
                </c:pt>
                <c:pt idx="168">
                  <c:v>7.6360000000000001</c:v>
                </c:pt>
                <c:pt idx="169">
                  <c:v>7.6715</c:v>
                </c:pt>
                <c:pt idx="170">
                  <c:v>7.7083329999999997</c:v>
                </c:pt>
                <c:pt idx="171">
                  <c:v>7.6965000000000003</c:v>
                </c:pt>
                <c:pt idx="172">
                  <c:v>7.6928000000000001</c:v>
                </c:pt>
                <c:pt idx="173">
                  <c:v>7.7545000000000002</c:v>
                </c:pt>
                <c:pt idx="174">
                  <c:v>7.7563329999999997</c:v>
                </c:pt>
                <c:pt idx="175">
                  <c:v>7.6740000000000004</c:v>
                </c:pt>
                <c:pt idx="176">
                  <c:v>7.8209999999999997</c:v>
                </c:pt>
                <c:pt idx="177">
                  <c:v>7.726</c:v>
                </c:pt>
                <c:pt idx="178">
                  <c:v>7.77</c:v>
                </c:pt>
                <c:pt idx="179">
                  <c:v>7.8479999999999999</c:v>
                </c:pt>
                <c:pt idx="180">
                  <c:v>7.7350000000000003</c:v>
                </c:pt>
                <c:pt idx="181">
                  <c:v>7.9640000000000004</c:v>
                </c:pt>
                <c:pt idx="182">
                  <c:v>7.7973330000000001</c:v>
                </c:pt>
                <c:pt idx="183">
                  <c:v>7.8404999999999996</c:v>
                </c:pt>
                <c:pt idx="184">
                  <c:v>7.8170000000000002</c:v>
                </c:pt>
                <c:pt idx="185">
                  <c:v>7.7910000000000004</c:v>
                </c:pt>
                <c:pt idx="186">
                  <c:v>7.7590000000000003</c:v>
                </c:pt>
                <c:pt idx="187">
                  <c:v>7.8925000000000001</c:v>
                </c:pt>
                <c:pt idx="188">
                  <c:v>7.8090000000000002</c:v>
                </c:pt>
                <c:pt idx="189">
                  <c:v>7.8987499999999997</c:v>
                </c:pt>
                <c:pt idx="190">
                  <c:v>7.8559999999999999</c:v>
                </c:pt>
                <c:pt idx="191">
                  <c:v>7.8929999999999998</c:v>
                </c:pt>
                <c:pt idx="192">
                  <c:v>7.9189999999999996</c:v>
                </c:pt>
                <c:pt idx="193">
                  <c:v>7.8944999999999999</c:v>
                </c:pt>
                <c:pt idx="194">
                  <c:v>7.9660000000000002</c:v>
                </c:pt>
                <c:pt idx="195">
                  <c:v>7.9249999999999998</c:v>
                </c:pt>
                <c:pt idx="196">
                  <c:v>7.9455</c:v>
                </c:pt>
                <c:pt idx="197">
                  <c:v>7.9359999999999999</c:v>
                </c:pt>
                <c:pt idx="198">
                  <c:v>7.9568329999999996</c:v>
                </c:pt>
                <c:pt idx="199">
                  <c:v>8.0129999999999999</c:v>
                </c:pt>
                <c:pt idx="200">
                  <c:v>7.9067499999999997</c:v>
                </c:pt>
                <c:pt idx="201">
                  <c:v>7.6135000000000002</c:v>
                </c:pt>
                <c:pt idx="202">
                  <c:v>7.4554</c:v>
                </c:pt>
                <c:pt idx="203">
                  <c:v>7.4055609999999996</c:v>
                </c:pt>
                <c:pt idx="204">
                  <c:v>7.5221429999999998</c:v>
                </c:pt>
                <c:pt idx="205">
                  <c:v>7.4726920000000003</c:v>
                </c:pt>
                <c:pt idx="206">
                  <c:v>7.4539090000000003</c:v>
                </c:pt>
                <c:pt idx="207">
                  <c:v>7.46</c:v>
                </c:pt>
                <c:pt idx="208">
                  <c:v>7.4080000000000004</c:v>
                </c:pt>
                <c:pt idx="209">
                  <c:v>7.3780000000000001</c:v>
                </c:pt>
                <c:pt idx="210">
                  <c:v>7.5281000000000002</c:v>
                </c:pt>
                <c:pt idx="211">
                  <c:v>7.5410000000000004</c:v>
                </c:pt>
                <c:pt idx="212">
                  <c:v>7.4320000000000004</c:v>
                </c:pt>
                <c:pt idx="213">
                  <c:v>7.4712500000000004</c:v>
                </c:pt>
                <c:pt idx="214">
                  <c:v>7.5419999999999998</c:v>
                </c:pt>
                <c:pt idx="215">
                  <c:v>7.5019999999999998</c:v>
                </c:pt>
                <c:pt idx="216">
                  <c:v>7.7631199999999998</c:v>
                </c:pt>
                <c:pt idx="217">
                  <c:v>7.5445000000000002</c:v>
                </c:pt>
                <c:pt idx="218">
                  <c:v>7.5570000000000004</c:v>
                </c:pt>
                <c:pt idx="219">
                  <c:v>7.6115000000000004</c:v>
                </c:pt>
                <c:pt idx="220">
                  <c:v>7.5650000000000004</c:v>
                </c:pt>
                <c:pt idx="221">
                  <c:v>7.548</c:v>
                </c:pt>
                <c:pt idx="222">
                  <c:v>7.5317499999999997</c:v>
                </c:pt>
                <c:pt idx="223">
                  <c:v>7.5413329999999998</c:v>
                </c:pt>
                <c:pt idx="224">
                  <c:v>7.5060000000000002</c:v>
                </c:pt>
                <c:pt idx="225">
                  <c:v>7.5947500000000003</c:v>
                </c:pt>
                <c:pt idx="226">
                  <c:v>7.6340000000000003</c:v>
                </c:pt>
                <c:pt idx="227">
                  <c:v>7.6859999999999999</c:v>
                </c:pt>
                <c:pt idx="228">
                  <c:v>7.7519999999999998</c:v>
                </c:pt>
                <c:pt idx="229">
                  <c:v>7.7683330000000002</c:v>
                </c:pt>
                <c:pt idx="230">
                  <c:v>7.7846669999999998</c:v>
                </c:pt>
                <c:pt idx="231">
                  <c:v>7.8550000000000004</c:v>
                </c:pt>
                <c:pt idx="232">
                  <c:v>7.9029999999999996</c:v>
                </c:pt>
                <c:pt idx="233">
                  <c:v>7.8579999999999997</c:v>
                </c:pt>
                <c:pt idx="234">
                  <c:v>7.923</c:v>
                </c:pt>
                <c:pt idx="235">
                  <c:v>7.9340000000000002</c:v>
                </c:pt>
                <c:pt idx="236">
                  <c:v>7.9580000000000002</c:v>
                </c:pt>
                <c:pt idx="237">
                  <c:v>7.9390000000000001</c:v>
                </c:pt>
                <c:pt idx="238">
                  <c:v>7.9580000000000002</c:v>
                </c:pt>
                <c:pt idx="239">
                  <c:v>7.8730000000000002</c:v>
                </c:pt>
                <c:pt idx="240">
                  <c:v>7.8789999999999996</c:v>
                </c:pt>
                <c:pt idx="241">
                  <c:v>8.0009999999999994</c:v>
                </c:pt>
                <c:pt idx="242">
                  <c:v>8.0120000000000005</c:v>
                </c:pt>
                <c:pt idx="243">
                  <c:v>8.1</c:v>
                </c:pt>
                <c:pt idx="244">
                  <c:v>8.0619999999999994</c:v>
                </c:pt>
                <c:pt idx="245">
                  <c:v>8.0180000000000007</c:v>
                </c:pt>
                <c:pt idx="246">
                  <c:v>8.1280000000000001</c:v>
                </c:pt>
                <c:pt idx="247">
                  <c:v>8.2110000000000003</c:v>
                </c:pt>
                <c:pt idx="248">
                  <c:v>8.1349999999999998</c:v>
                </c:pt>
                <c:pt idx="249">
                  <c:v>8.3684999999999992</c:v>
                </c:pt>
                <c:pt idx="250">
                  <c:v>8.3979999999999997</c:v>
                </c:pt>
                <c:pt idx="251">
                  <c:v>8.3874999999999993</c:v>
                </c:pt>
                <c:pt idx="252">
                  <c:v>8.3719999999999999</c:v>
                </c:pt>
                <c:pt idx="253">
                  <c:v>8.4819999999999993</c:v>
                </c:pt>
                <c:pt idx="254">
                  <c:v>8.4465000000000003</c:v>
                </c:pt>
                <c:pt idx="255">
                  <c:v>8.4565000000000001</c:v>
                </c:pt>
                <c:pt idx="256">
                  <c:v>8.4435000000000002</c:v>
                </c:pt>
                <c:pt idx="257">
                  <c:v>8.4600000000000009</c:v>
                </c:pt>
                <c:pt idx="258">
                  <c:v>8.4580000000000002</c:v>
                </c:pt>
                <c:pt idx="259">
                  <c:v>8.5039999999999996</c:v>
                </c:pt>
                <c:pt idx="260">
                  <c:v>8.5124999999999993</c:v>
                </c:pt>
                <c:pt idx="261">
                  <c:v>8.5190000000000001</c:v>
                </c:pt>
                <c:pt idx="262">
                  <c:v>8.5314999999999994</c:v>
                </c:pt>
                <c:pt idx="263">
                  <c:v>8.532</c:v>
                </c:pt>
                <c:pt idx="264">
                  <c:v>8.5429999999999993</c:v>
                </c:pt>
                <c:pt idx="265">
                  <c:v>8.5449999999999999</c:v>
                </c:pt>
                <c:pt idx="266">
                  <c:v>8.5399999999999991</c:v>
                </c:pt>
                <c:pt idx="267">
                  <c:v>8.5050000000000008</c:v>
                </c:pt>
                <c:pt idx="268">
                  <c:v>8.5024999999999995</c:v>
                </c:pt>
                <c:pt idx="269">
                  <c:v>8.5120000000000005</c:v>
                </c:pt>
                <c:pt idx="270">
                  <c:v>8.4782499999999992</c:v>
                </c:pt>
                <c:pt idx="271">
                  <c:v>8.5289999999999999</c:v>
                </c:pt>
                <c:pt idx="272">
                  <c:v>8.4734999999999996</c:v>
                </c:pt>
                <c:pt idx="273">
                  <c:v>8.4862500000000001</c:v>
                </c:pt>
                <c:pt idx="274">
                  <c:v>8.4651999999999994</c:v>
                </c:pt>
                <c:pt idx="275">
                  <c:v>8.42</c:v>
                </c:pt>
                <c:pt idx="276">
                  <c:v>8.4120000000000008</c:v>
                </c:pt>
                <c:pt idx="277">
                  <c:v>8.4459999999999997</c:v>
                </c:pt>
                <c:pt idx="278">
                  <c:v>8.468</c:v>
                </c:pt>
                <c:pt idx="279">
                  <c:v>8.4339999999999993</c:v>
                </c:pt>
                <c:pt idx="280">
                  <c:v>8.4105000000000008</c:v>
                </c:pt>
                <c:pt idx="281">
                  <c:v>8.4719999999999995</c:v>
                </c:pt>
                <c:pt idx="282">
                  <c:v>8.5214999999999996</c:v>
                </c:pt>
                <c:pt idx="283">
                  <c:v>8.5073329999999991</c:v>
                </c:pt>
                <c:pt idx="284">
                  <c:v>8.4860000000000007</c:v>
                </c:pt>
                <c:pt idx="285">
                  <c:v>8.42</c:v>
                </c:pt>
                <c:pt idx="286">
                  <c:v>8.5500000000000007</c:v>
                </c:pt>
                <c:pt idx="287">
                  <c:v>8.5546670000000002</c:v>
                </c:pt>
                <c:pt idx="288">
                  <c:v>8.5655000000000001</c:v>
                </c:pt>
                <c:pt idx="289">
                  <c:v>8.6159999999999997</c:v>
                </c:pt>
                <c:pt idx="290">
                  <c:v>8.57</c:v>
                </c:pt>
                <c:pt idx="291">
                  <c:v>8.9849999999999994</c:v>
                </c:pt>
                <c:pt idx="292">
                  <c:v>8.375</c:v>
                </c:pt>
                <c:pt idx="293">
                  <c:v>8.6210000000000004</c:v>
                </c:pt>
                <c:pt idx="294">
                  <c:v>8.5745000000000005</c:v>
                </c:pt>
                <c:pt idx="295">
                  <c:v>8.6430000000000007</c:v>
                </c:pt>
                <c:pt idx="296">
                  <c:v>8.7129999999999992</c:v>
                </c:pt>
                <c:pt idx="297">
                  <c:v>8.7309999999999999</c:v>
                </c:pt>
                <c:pt idx="298">
                  <c:v>8.59</c:v>
                </c:pt>
                <c:pt idx="299">
                  <c:v>8.7550000000000008</c:v>
                </c:pt>
                <c:pt idx="300">
                  <c:v>8.6780000000000008</c:v>
                </c:pt>
                <c:pt idx="301">
                  <c:v>8.7272499999999997</c:v>
                </c:pt>
                <c:pt idx="302">
                  <c:v>8.7370000000000001</c:v>
                </c:pt>
                <c:pt idx="303">
                  <c:v>8.7230000000000008</c:v>
                </c:pt>
                <c:pt idx="304">
                  <c:v>8.766</c:v>
                </c:pt>
                <c:pt idx="305">
                  <c:v>8.7799999999999994</c:v>
                </c:pt>
                <c:pt idx="306">
                  <c:v>8.7769999999999992</c:v>
                </c:pt>
                <c:pt idx="307">
                  <c:v>8.8249999999999993</c:v>
                </c:pt>
                <c:pt idx="308">
                  <c:v>8.907</c:v>
                </c:pt>
                <c:pt idx="309">
                  <c:v>8.8856669999999998</c:v>
                </c:pt>
                <c:pt idx="310">
                  <c:v>8.8379999999999992</c:v>
                </c:pt>
                <c:pt idx="311">
                  <c:v>8.9130000000000003</c:v>
                </c:pt>
                <c:pt idx="312">
                  <c:v>8.9369999999999994</c:v>
                </c:pt>
                <c:pt idx="313">
                  <c:v>8.8465000000000007</c:v>
                </c:pt>
                <c:pt idx="314">
                  <c:v>8.9890000000000008</c:v>
                </c:pt>
                <c:pt idx="315">
                  <c:v>8.92</c:v>
                </c:pt>
                <c:pt idx="316">
                  <c:v>8.9779999999999998</c:v>
                </c:pt>
                <c:pt idx="317">
                  <c:v>8.9619999999999997</c:v>
                </c:pt>
                <c:pt idx="318">
                  <c:v>8.9380000000000006</c:v>
                </c:pt>
                <c:pt idx="319">
                  <c:v>8.9664999999999999</c:v>
                </c:pt>
                <c:pt idx="320">
                  <c:v>8.9190000000000005</c:v>
                </c:pt>
                <c:pt idx="321">
                  <c:v>8.9120000000000008</c:v>
                </c:pt>
                <c:pt idx="322">
                  <c:v>8.9429999999999996</c:v>
                </c:pt>
                <c:pt idx="323">
                  <c:v>8.8439999999999994</c:v>
                </c:pt>
                <c:pt idx="324">
                  <c:v>8.7189999999999994</c:v>
                </c:pt>
                <c:pt idx="325">
                  <c:v>8.6479999999999997</c:v>
                </c:pt>
                <c:pt idx="326">
                  <c:v>8.66</c:v>
                </c:pt>
                <c:pt idx="327">
                  <c:v>8.6289999999999996</c:v>
                </c:pt>
                <c:pt idx="328">
                  <c:v>8.7219999999999995</c:v>
                </c:pt>
                <c:pt idx="329">
                  <c:v>8.6415000000000006</c:v>
                </c:pt>
                <c:pt idx="330">
                  <c:v>8.7686670000000007</c:v>
                </c:pt>
                <c:pt idx="331">
                  <c:v>8.7100000000000009</c:v>
                </c:pt>
                <c:pt idx="332">
                  <c:v>8.7080000000000002</c:v>
                </c:pt>
                <c:pt idx="333">
                  <c:v>8.7003330000000005</c:v>
                </c:pt>
                <c:pt idx="334">
                  <c:v>8.6229999999999993</c:v>
                </c:pt>
                <c:pt idx="335">
                  <c:v>8.67</c:v>
                </c:pt>
                <c:pt idx="336">
                  <c:v>8.7330000000000005</c:v>
                </c:pt>
                <c:pt idx="337">
                  <c:v>8.6</c:v>
                </c:pt>
                <c:pt idx="338">
                  <c:v>8.6110000000000007</c:v>
                </c:pt>
                <c:pt idx="339">
                  <c:v>8.6473329999999997</c:v>
                </c:pt>
                <c:pt idx="340">
                  <c:v>8.6020000000000003</c:v>
                </c:pt>
                <c:pt idx="341">
                  <c:v>8.5839999999999996</c:v>
                </c:pt>
                <c:pt idx="342">
                  <c:v>8.59</c:v>
                </c:pt>
                <c:pt idx="343">
                  <c:v>8.5190000000000001</c:v>
                </c:pt>
                <c:pt idx="344">
                  <c:v>8.4719999999999995</c:v>
                </c:pt>
                <c:pt idx="345">
                  <c:v>8.4730000000000008</c:v>
                </c:pt>
                <c:pt idx="346">
                  <c:v>8.5679999999999996</c:v>
                </c:pt>
                <c:pt idx="347">
                  <c:v>8.9135000000000009</c:v>
                </c:pt>
                <c:pt idx="348">
                  <c:v>8.5280000000000005</c:v>
                </c:pt>
                <c:pt idx="349">
                  <c:v>8.5559999999999992</c:v>
                </c:pt>
                <c:pt idx="350">
                  <c:v>8.5060000000000002</c:v>
                </c:pt>
                <c:pt idx="351">
                  <c:v>8.5739999999999998</c:v>
                </c:pt>
                <c:pt idx="352">
                  <c:v>8.6112000000000002</c:v>
                </c:pt>
                <c:pt idx="353">
                  <c:v>8.5305289999999996</c:v>
                </c:pt>
                <c:pt idx="354">
                  <c:v>8.5980000000000008</c:v>
                </c:pt>
                <c:pt idx="355">
                  <c:v>8.5299999999999994</c:v>
                </c:pt>
                <c:pt idx="356">
                  <c:v>8.5425000000000004</c:v>
                </c:pt>
                <c:pt idx="357">
                  <c:v>8.4960000000000004</c:v>
                </c:pt>
                <c:pt idx="358">
                  <c:v>8.5139999999999993</c:v>
                </c:pt>
                <c:pt idx="359">
                  <c:v>8.66</c:v>
                </c:pt>
                <c:pt idx="360">
                  <c:v>8.4778330000000004</c:v>
                </c:pt>
                <c:pt idx="361">
                  <c:v>8.5305</c:v>
                </c:pt>
                <c:pt idx="362">
                  <c:v>8.4776670000000003</c:v>
                </c:pt>
                <c:pt idx="363">
                  <c:v>8.4614999999999991</c:v>
                </c:pt>
                <c:pt idx="364">
                  <c:v>8.4745000000000008</c:v>
                </c:pt>
                <c:pt idx="365">
                  <c:v>8.4809999999999999</c:v>
                </c:pt>
                <c:pt idx="366">
                  <c:v>8.5269999999999992</c:v>
                </c:pt>
                <c:pt idx="367">
                  <c:v>8.4879999999999995</c:v>
                </c:pt>
                <c:pt idx="368">
                  <c:v>8.5229999999999997</c:v>
                </c:pt>
                <c:pt idx="369">
                  <c:v>8.64</c:v>
                </c:pt>
                <c:pt idx="370">
                  <c:v>8.59</c:v>
                </c:pt>
                <c:pt idx="371">
                  <c:v>8.5579999999999998</c:v>
                </c:pt>
                <c:pt idx="372">
                  <c:v>8.5410000000000004</c:v>
                </c:pt>
                <c:pt idx="373">
                  <c:v>8.5764999999999993</c:v>
                </c:pt>
                <c:pt idx="374">
                  <c:v>8.5254999999999992</c:v>
                </c:pt>
                <c:pt idx="375">
                  <c:v>8.5429999999999993</c:v>
                </c:pt>
                <c:pt idx="376">
                  <c:v>8.5374999999999996</c:v>
                </c:pt>
                <c:pt idx="377">
                  <c:v>8.5410000000000004</c:v>
                </c:pt>
                <c:pt idx="378">
                  <c:v>8.4819999999999993</c:v>
                </c:pt>
                <c:pt idx="379">
                  <c:v>8.4433330000000009</c:v>
                </c:pt>
                <c:pt idx="380">
                  <c:v>8.516667</c:v>
                </c:pt>
                <c:pt idx="381">
                  <c:v>8.59</c:v>
                </c:pt>
                <c:pt idx="382">
                  <c:v>8.6</c:v>
                </c:pt>
                <c:pt idx="383">
                  <c:v>8.65</c:v>
                </c:pt>
                <c:pt idx="384">
                  <c:v>8.3699999999999992</c:v>
                </c:pt>
                <c:pt idx="385">
                  <c:v>8.5266669999999998</c:v>
                </c:pt>
                <c:pt idx="386">
                  <c:v>8.5333330000000007</c:v>
                </c:pt>
                <c:pt idx="387">
                  <c:v>8.4357140000000008</c:v>
                </c:pt>
                <c:pt idx="388">
                  <c:v>8.5</c:v>
                </c:pt>
                <c:pt idx="389">
                  <c:v>8.5399999999999991</c:v>
                </c:pt>
                <c:pt idx="390">
                  <c:v>8.5500000000000007</c:v>
                </c:pt>
                <c:pt idx="391">
                  <c:v>8.5</c:v>
                </c:pt>
                <c:pt idx="392">
                  <c:v>8.5060000000000002</c:v>
                </c:pt>
                <c:pt idx="393">
                  <c:v>8.5</c:v>
                </c:pt>
                <c:pt idx="394">
                  <c:v>8.58</c:v>
                </c:pt>
                <c:pt idx="395">
                  <c:v>8.35</c:v>
                </c:pt>
                <c:pt idx="396">
                  <c:v>8.58</c:v>
                </c:pt>
                <c:pt idx="397">
                  <c:v>8.6</c:v>
                </c:pt>
                <c:pt idx="398">
                  <c:v>8.4666669999999993</c:v>
                </c:pt>
                <c:pt idx="399">
                  <c:v>8.483333</c:v>
                </c:pt>
                <c:pt idx="400">
                  <c:v>8.5333330000000007</c:v>
                </c:pt>
                <c:pt idx="401">
                  <c:v>8.6999999999999993</c:v>
                </c:pt>
                <c:pt idx="402">
                  <c:v>8.6300000000000008</c:v>
                </c:pt>
                <c:pt idx="403">
                  <c:v>8.5250000000000004</c:v>
                </c:pt>
                <c:pt idx="404">
                  <c:v>8.4749999999999996</c:v>
                </c:pt>
                <c:pt idx="405">
                  <c:v>8.0749999999999993</c:v>
                </c:pt>
                <c:pt idx="406">
                  <c:v>8.483333</c:v>
                </c:pt>
                <c:pt idx="407">
                  <c:v>8.33</c:v>
                </c:pt>
                <c:pt idx="408">
                  <c:v>8.4</c:v>
                </c:pt>
                <c:pt idx="409">
                  <c:v>8.5433330000000005</c:v>
                </c:pt>
                <c:pt idx="410">
                  <c:v>8.5500000000000007</c:v>
                </c:pt>
                <c:pt idx="411">
                  <c:v>8.6999999999999993</c:v>
                </c:pt>
                <c:pt idx="412">
                  <c:v>8.4250000000000007</c:v>
                </c:pt>
                <c:pt idx="413">
                  <c:v>8.6</c:v>
                </c:pt>
                <c:pt idx="414">
                  <c:v>8.5519999999999996</c:v>
                </c:pt>
                <c:pt idx="415">
                  <c:v>8.5640000000000001</c:v>
                </c:pt>
                <c:pt idx="416">
                  <c:v>8.5909999999999993</c:v>
                </c:pt>
                <c:pt idx="417">
                  <c:v>8.5924999999999994</c:v>
                </c:pt>
                <c:pt idx="418">
                  <c:v>8.6270000000000007</c:v>
                </c:pt>
                <c:pt idx="419">
                  <c:v>8.577</c:v>
                </c:pt>
                <c:pt idx="420">
                  <c:v>8.6280000000000001</c:v>
                </c:pt>
                <c:pt idx="421">
                  <c:v>8.4924999999999997</c:v>
                </c:pt>
                <c:pt idx="422">
                  <c:v>8.5709</c:v>
                </c:pt>
                <c:pt idx="423">
                  <c:v>8.6495999999999995</c:v>
                </c:pt>
                <c:pt idx="424">
                  <c:v>8.673</c:v>
                </c:pt>
                <c:pt idx="425">
                  <c:v>8.859</c:v>
                </c:pt>
                <c:pt idx="426">
                  <c:v>8.6</c:v>
                </c:pt>
                <c:pt idx="427">
                  <c:v>8.6304999999999996</c:v>
                </c:pt>
                <c:pt idx="428">
                  <c:v>8.6</c:v>
                </c:pt>
                <c:pt idx="429">
                  <c:v>8.51</c:v>
                </c:pt>
                <c:pt idx="430">
                  <c:v>8.6120000000000001</c:v>
                </c:pt>
                <c:pt idx="431">
                  <c:v>8.5809999999999995</c:v>
                </c:pt>
                <c:pt idx="432">
                  <c:v>8.64</c:v>
                </c:pt>
                <c:pt idx="433">
                  <c:v>8.6069999999999993</c:v>
                </c:pt>
                <c:pt idx="434">
                  <c:v>8.67</c:v>
                </c:pt>
                <c:pt idx="435">
                  <c:v>8.6530000000000005</c:v>
                </c:pt>
                <c:pt idx="436">
                  <c:v>8.6590000000000007</c:v>
                </c:pt>
                <c:pt idx="437">
                  <c:v>8.7200000000000006</c:v>
                </c:pt>
                <c:pt idx="438">
                  <c:v>8.6999999999999993</c:v>
                </c:pt>
                <c:pt idx="439">
                  <c:v>8.6790000000000003</c:v>
                </c:pt>
                <c:pt idx="440">
                  <c:v>8.6684999999999999</c:v>
                </c:pt>
                <c:pt idx="441">
                  <c:v>8.6880000000000006</c:v>
                </c:pt>
                <c:pt idx="442">
                  <c:v>8.7416669999999996</c:v>
                </c:pt>
                <c:pt idx="443">
                  <c:v>8.7076360000000008</c:v>
                </c:pt>
                <c:pt idx="444">
                  <c:v>8.6694999999999993</c:v>
                </c:pt>
                <c:pt idx="445">
                  <c:v>8.6944999999999997</c:v>
                </c:pt>
                <c:pt idx="446">
                  <c:v>8.7260000000000009</c:v>
                </c:pt>
                <c:pt idx="447">
                  <c:v>8.6954999999999991</c:v>
                </c:pt>
                <c:pt idx="448">
                  <c:v>8.6999999999999993</c:v>
                </c:pt>
                <c:pt idx="449">
                  <c:v>8.6509999999999998</c:v>
                </c:pt>
                <c:pt idx="450">
                  <c:v>8.8089999999999993</c:v>
                </c:pt>
                <c:pt idx="451">
                  <c:v>8.7789999999999999</c:v>
                </c:pt>
                <c:pt idx="452">
                  <c:v>8.7650000000000006</c:v>
                </c:pt>
                <c:pt idx="453">
                  <c:v>8.7769999999999992</c:v>
                </c:pt>
                <c:pt idx="454">
                  <c:v>8.7530000000000001</c:v>
                </c:pt>
                <c:pt idx="455">
                  <c:v>8.7330000000000005</c:v>
                </c:pt>
                <c:pt idx="456">
                  <c:v>8.6839999999999993</c:v>
                </c:pt>
                <c:pt idx="457">
                  <c:v>8.6950000000000003</c:v>
                </c:pt>
                <c:pt idx="458">
                  <c:v>8.7149999999999999</c:v>
                </c:pt>
                <c:pt idx="459">
                  <c:v>8.7420000000000009</c:v>
                </c:pt>
                <c:pt idx="460">
                  <c:v>8.8170000000000002</c:v>
                </c:pt>
                <c:pt idx="461">
                  <c:v>8.8339999999999996</c:v>
                </c:pt>
                <c:pt idx="462">
                  <c:v>8.8539999999999992</c:v>
                </c:pt>
                <c:pt idx="463">
                  <c:v>8.9309999999999992</c:v>
                </c:pt>
                <c:pt idx="464">
                  <c:v>8.9339999999999993</c:v>
                </c:pt>
                <c:pt idx="465">
                  <c:v>8.8989999999999991</c:v>
                </c:pt>
                <c:pt idx="466">
                  <c:v>8.9109999999999996</c:v>
                </c:pt>
                <c:pt idx="467">
                  <c:v>8.8789999999999996</c:v>
                </c:pt>
                <c:pt idx="468">
                  <c:v>8.7970000000000006</c:v>
                </c:pt>
                <c:pt idx="469">
                  <c:v>8.76</c:v>
                </c:pt>
                <c:pt idx="470">
                  <c:v>8.8140000000000001</c:v>
                </c:pt>
                <c:pt idx="471">
                  <c:v>8.7710000000000008</c:v>
                </c:pt>
                <c:pt idx="472">
                  <c:v>8.81</c:v>
                </c:pt>
                <c:pt idx="473">
                  <c:v>8.7569999999999997</c:v>
                </c:pt>
                <c:pt idx="474">
                  <c:v>8.7530000000000001</c:v>
                </c:pt>
                <c:pt idx="475">
                  <c:v>8.7469999999999999</c:v>
                </c:pt>
                <c:pt idx="476">
                  <c:v>8.8000000000000007</c:v>
                </c:pt>
                <c:pt idx="477">
                  <c:v>8.6999999999999993</c:v>
                </c:pt>
                <c:pt idx="478">
                  <c:v>8.6690000000000005</c:v>
                </c:pt>
                <c:pt idx="479">
                  <c:v>8.7279999999999998</c:v>
                </c:pt>
                <c:pt idx="480">
                  <c:v>8.7370000000000001</c:v>
                </c:pt>
                <c:pt idx="481">
                  <c:v>8.7360000000000007</c:v>
                </c:pt>
                <c:pt idx="482">
                  <c:v>8.734</c:v>
                </c:pt>
                <c:pt idx="483">
                  <c:v>8.75</c:v>
                </c:pt>
                <c:pt idx="484">
                  <c:v>8.7639999999999993</c:v>
                </c:pt>
                <c:pt idx="485">
                  <c:v>8.7680000000000007</c:v>
                </c:pt>
                <c:pt idx="486">
                  <c:v>8.7609999999999992</c:v>
                </c:pt>
                <c:pt idx="487">
                  <c:v>8.7650000000000006</c:v>
                </c:pt>
                <c:pt idx="488">
                  <c:v>8.7560000000000002</c:v>
                </c:pt>
                <c:pt idx="489">
                  <c:v>8.7279999999999998</c:v>
                </c:pt>
                <c:pt idx="490">
                  <c:v>8.6969999999999992</c:v>
                </c:pt>
                <c:pt idx="491">
                  <c:v>8.7799999999999994</c:v>
                </c:pt>
                <c:pt idx="492">
                  <c:v>8.7729999999999997</c:v>
                </c:pt>
                <c:pt idx="493">
                  <c:v>8.7469999999999999</c:v>
                </c:pt>
                <c:pt idx="494">
                  <c:v>8.6609999999999996</c:v>
                </c:pt>
                <c:pt idx="495">
                  <c:v>8.7210000000000001</c:v>
                </c:pt>
                <c:pt idx="496">
                  <c:v>8.625</c:v>
                </c:pt>
                <c:pt idx="497">
                  <c:v>8.6210000000000004</c:v>
                </c:pt>
                <c:pt idx="498">
                  <c:v>8.6319999999999997</c:v>
                </c:pt>
                <c:pt idx="499">
                  <c:v>8.5909999999999993</c:v>
                </c:pt>
                <c:pt idx="500">
                  <c:v>8.6159999999999997</c:v>
                </c:pt>
                <c:pt idx="501">
                  <c:v>8.6210000000000004</c:v>
                </c:pt>
                <c:pt idx="502">
                  <c:v>8.6389999999999993</c:v>
                </c:pt>
                <c:pt idx="503">
                  <c:v>8.6579999999999995</c:v>
                </c:pt>
                <c:pt idx="504">
                  <c:v>8.7449999999999992</c:v>
                </c:pt>
                <c:pt idx="505">
                  <c:v>8.6359999999999992</c:v>
                </c:pt>
                <c:pt idx="506">
                  <c:v>8.7189999999999994</c:v>
                </c:pt>
                <c:pt idx="507">
                  <c:v>8.5830000000000002</c:v>
                </c:pt>
                <c:pt idx="508">
                  <c:v>8.5419999999999998</c:v>
                </c:pt>
                <c:pt idx="509">
                  <c:v>8.5329999999999995</c:v>
                </c:pt>
                <c:pt idx="510">
                  <c:v>8.6159999999999997</c:v>
                </c:pt>
                <c:pt idx="511">
                  <c:v>8.4740000000000002</c:v>
                </c:pt>
                <c:pt idx="512">
                  <c:v>8.5239999999999991</c:v>
                </c:pt>
                <c:pt idx="513">
                  <c:v>8.5530000000000008</c:v>
                </c:pt>
                <c:pt idx="514">
                  <c:v>8.5640000000000001</c:v>
                </c:pt>
                <c:pt idx="515">
                  <c:v>8.423</c:v>
                </c:pt>
                <c:pt idx="516">
                  <c:v>8.3719999999999999</c:v>
                </c:pt>
                <c:pt idx="517">
                  <c:v>8.4450000000000003</c:v>
                </c:pt>
                <c:pt idx="518">
                  <c:v>8.4779999999999998</c:v>
                </c:pt>
                <c:pt idx="519">
                  <c:v>8.5079999999999991</c:v>
                </c:pt>
                <c:pt idx="520">
                  <c:v>8.42</c:v>
                </c:pt>
                <c:pt idx="521">
                  <c:v>8.4710000000000001</c:v>
                </c:pt>
                <c:pt idx="522">
                  <c:v>8.5399999999999991</c:v>
                </c:pt>
                <c:pt idx="523">
                  <c:v>8.5310000000000006</c:v>
                </c:pt>
                <c:pt idx="524">
                  <c:v>8.516</c:v>
                </c:pt>
                <c:pt idx="525">
                  <c:v>8.5220000000000002</c:v>
                </c:pt>
                <c:pt idx="526">
                  <c:v>8.5239999999999991</c:v>
                </c:pt>
                <c:pt idx="527">
                  <c:v>8.5250000000000004</c:v>
                </c:pt>
                <c:pt idx="528">
                  <c:v>8.56</c:v>
                </c:pt>
                <c:pt idx="529">
                  <c:v>8.5619999999999994</c:v>
                </c:pt>
                <c:pt idx="530">
                  <c:v>8.5449999999999999</c:v>
                </c:pt>
                <c:pt idx="531">
                  <c:v>8.5690000000000008</c:v>
                </c:pt>
                <c:pt idx="532">
                  <c:v>8.4</c:v>
                </c:pt>
                <c:pt idx="533">
                  <c:v>8.5579999999999998</c:v>
                </c:pt>
                <c:pt idx="534">
                  <c:v>8.5419999999999998</c:v>
                </c:pt>
                <c:pt idx="535">
                  <c:v>8.516</c:v>
                </c:pt>
                <c:pt idx="536">
                  <c:v>8.5820000000000007</c:v>
                </c:pt>
                <c:pt idx="537">
                  <c:v>8.5619999999999994</c:v>
                </c:pt>
                <c:pt idx="538">
                  <c:v>8.6310000000000002</c:v>
                </c:pt>
                <c:pt idx="539">
                  <c:v>8.5920000000000005</c:v>
                </c:pt>
                <c:pt idx="540">
                  <c:v>8.6609999999999996</c:v>
                </c:pt>
                <c:pt idx="541">
                  <c:v>8.66</c:v>
                </c:pt>
                <c:pt idx="542">
                  <c:v>8.6039999999999992</c:v>
                </c:pt>
                <c:pt idx="543">
                  <c:v>8.65</c:v>
                </c:pt>
                <c:pt idx="544">
                  <c:v>8.6489999999999991</c:v>
                </c:pt>
                <c:pt idx="545">
                  <c:v>8.5760000000000005</c:v>
                </c:pt>
                <c:pt idx="546">
                  <c:v>8.5449999999999999</c:v>
                </c:pt>
                <c:pt idx="547">
                  <c:v>8.5340000000000007</c:v>
                </c:pt>
                <c:pt idx="548">
                  <c:v>8.5350000000000001</c:v>
                </c:pt>
                <c:pt idx="549">
                  <c:v>8.5370000000000008</c:v>
                </c:pt>
                <c:pt idx="550">
                  <c:v>8.5389999999999997</c:v>
                </c:pt>
                <c:pt idx="551">
                  <c:v>8.5410000000000004</c:v>
                </c:pt>
                <c:pt idx="552">
                  <c:v>8.5280000000000005</c:v>
                </c:pt>
                <c:pt idx="553">
                  <c:v>8.5289999999999999</c:v>
                </c:pt>
                <c:pt idx="554">
                  <c:v>8.5359999999999996</c:v>
                </c:pt>
                <c:pt idx="555">
                  <c:v>8.5440000000000005</c:v>
                </c:pt>
                <c:pt idx="556">
                  <c:v>8.52</c:v>
                </c:pt>
                <c:pt idx="557">
                  <c:v>8.49</c:v>
                </c:pt>
                <c:pt idx="558">
                  <c:v>8.68</c:v>
                </c:pt>
                <c:pt idx="559">
                  <c:v>8.6820000000000004</c:v>
                </c:pt>
                <c:pt idx="560">
                  <c:v>8.7140000000000004</c:v>
                </c:pt>
                <c:pt idx="561">
                  <c:v>8.657</c:v>
                </c:pt>
                <c:pt idx="562">
                  <c:v>8.6270000000000007</c:v>
                </c:pt>
                <c:pt idx="563">
                  <c:v>8.7070000000000007</c:v>
                </c:pt>
                <c:pt idx="564">
                  <c:v>8.6920000000000002</c:v>
                </c:pt>
                <c:pt idx="565">
                  <c:v>8.7379999999999995</c:v>
                </c:pt>
                <c:pt idx="566">
                  <c:v>8.6940000000000008</c:v>
                </c:pt>
                <c:pt idx="567">
                  <c:v>8.6539999999999999</c:v>
                </c:pt>
                <c:pt idx="568">
                  <c:v>8.6750000000000007</c:v>
                </c:pt>
                <c:pt idx="569">
                  <c:v>8.6630000000000003</c:v>
                </c:pt>
                <c:pt idx="570">
                  <c:v>8.6739999999999995</c:v>
                </c:pt>
                <c:pt idx="571">
                  <c:v>8.6760000000000002</c:v>
                </c:pt>
                <c:pt idx="572">
                  <c:v>8.6760000000000002</c:v>
                </c:pt>
                <c:pt idx="573">
                  <c:v>8.6579999999999995</c:v>
                </c:pt>
                <c:pt idx="574">
                  <c:v>8.673</c:v>
                </c:pt>
                <c:pt idx="575">
                  <c:v>8.6750000000000007</c:v>
                </c:pt>
                <c:pt idx="576">
                  <c:v>8.6530000000000005</c:v>
                </c:pt>
                <c:pt idx="577">
                  <c:v>8.6829999999999998</c:v>
                </c:pt>
                <c:pt idx="578">
                  <c:v>8.6679999999999993</c:v>
                </c:pt>
                <c:pt idx="579">
                  <c:v>8.6709999999999994</c:v>
                </c:pt>
                <c:pt idx="580">
                  <c:v>8.67</c:v>
                </c:pt>
                <c:pt idx="581">
                  <c:v>8.67</c:v>
                </c:pt>
                <c:pt idx="582">
                  <c:v>8.6639999999999997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3FB-4D22-868E-1D5DA813970E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2060"/>
                </a:solidFill>
              </a:ln>
              <a:effectLst/>
            </c:spPr>
          </c:marker>
          <c:dPt>
            <c:idx val="58"/>
            <c:marker>
              <c:symbol val="circle"/>
              <c:size val="5"/>
              <c:spPr>
                <a:solidFill>
                  <a:srgbClr val="0070C0"/>
                </a:solidFill>
                <a:ln w="9525">
                  <a:solidFill>
                    <a:srgbClr val="00206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63FB-4D22-868E-1D5DA813970E}"/>
              </c:ext>
            </c:extLst>
          </c:dPt>
          <c:dPt>
            <c:idx val="67"/>
            <c:marker>
              <c:symbol val="circle"/>
              <c:size val="5"/>
              <c:spPr>
                <a:solidFill>
                  <a:srgbClr val="0070C0"/>
                </a:solidFill>
                <a:ln w="9525">
                  <a:solidFill>
                    <a:srgbClr val="00206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63FB-4D22-868E-1D5DA813970E}"/>
              </c:ext>
            </c:extLst>
          </c:dPt>
          <c:xVal>
            <c:numRef>
              <c:f>Index!$N$67:$N$221</c:f>
              <c:numCache>
                <c:formatCode>General</c:formatCode>
                <c:ptCount val="155"/>
              </c:numCache>
            </c:numRef>
          </c:xVal>
          <c:yVal>
            <c:numRef>
              <c:f>Index!$O$67:$O$221</c:f>
              <c:numCache>
                <c:formatCode>General</c:formatCode>
                <c:ptCount val="15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3FB-4D22-868E-1D5DA813970E}"/>
            </c:ext>
          </c:extLst>
        </c:ser>
        <c:ser>
          <c:idx val="2"/>
          <c:order val="2"/>
          <c:spPr>
            <a:ln w="635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Index!$J$16:$J$17</c:f>
              <c:numCache>
                <c:formatCode>General</c:formatCode>
                <c:ptCount val="2"/>
                <c:pt idx="0">
                  <c:v>2457200</c:v>
                </c:pt>
                <c:pt idx="1">
                  <c:v>2457330</c:v>
                </c:pt>
              </c:numCache>
            </c:numRef>
          </c:xVal>
          <c:yVal>
            <c:numRef>
              <c:f>Index!$K$16:$K$17</c:f>
              <c:numCache>
                <c:formatCode>General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3FB-4D22-868E-1D5DA8139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587768"/>
        <c:axId val="539588552"/>
      </c:scatterChart>
      <c:valAx>
        <c:axId val="539587768"/>
        <c:scaling>
          <c:orientation val="minMax"/>
          <c:max val="2457449.9999999995"/>
          <c:min val="2457150"/>
        </c:scaling>
        <c:delete val="0"/>
        <c:axPos val="b"/>
        <c:numFmt formatCode="General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9588552"/>
        <c:crosses val="max"/>
        <c:crossBetween val="midCat"/>
        <c:majorUnit val="50"/>
      </c:valAx>
      <c:valAx>
        <c:axId val="539588552"/>
        <c:scaling>
          <c:orientation val="maxMin"/>
          <c:max val="9"/>
          <c:min val="6.5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9587768"/>
        <c:crosses val="autoZero"/>
        <c:crossBetween val="midCat"/>
        <c:majorUnit val="0.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Vis!$E$406:$E$1115</c:f>
              <c:numCache>
                <c:formatCode>General</c:formatCode>
                <c:ptCount val="710"/>
                <c:pt idx="0">
                  <c:v>0.41052595223542454</c:v>
                </c:pt>
                <c:pt idx="1">
                  <c:v>0.42799959583601499</c:v>
                </c:pt>
                <c:pt idx="2">
                  <c:v>0.56382935701151382</c:v>
                </c:pt>
                <c:pt idx="3">
                  <c:v>0.5964972443356249</c:v>
                </c:pt>
                <c:pt idx="4">
                  <c:v>0.61739436619722809</c:v>
                </c:pt>
                <c:pt idx="5">
                  <c:v>0.63250051439093546</c:v>
                </c:pt>
                <c:pt idx="6">
                  <c:v>0.65405853031247574</c:v>
                </c:pt>
                <c:pt idx="7">
                  <c:v>0.66984559706054725</c:v>
                </c:pt>
                <c:pt idx="8">
                  <c:v>0.6901824127372862</c:v>
                </c:pt>
                <c:pt idx="9">
                  <c:v>0.70668973668095703</c:v>
                </c:pt>
                <c:pt idx="10">
                  <c:v>0.72706821800391452</c:v>
                </c:pt>
                <c:pt idx="11">
                  <c:v>0.74372330679748089</c:v>
                </c:pt>
                <c:pt idx="12">
                  <c:v>0.76479685241875472</c:v>
                </c:pt>
                <c:pt idx="13">
                  <c:v>0.78170284139595836</c:v>
                </c:pt>
                <c:pt idx="14">
                  <c:v>0.8019520881809914</c:v>
                </c:pt>
                <c:pt idx="15">
                  <c:v>0.81769537048349328</c:v>
                </c:pt>
                <c:pt idx="16">
                  <c:v>0.84103468462964059</c:v>
                </c:pt>
                <c:pt idx="17">
                  <c:v>0.85770526638086864</c:v>
                </c:pt>
                <c:pt idx="18">
                  <c:v>0.87692537660774939</c:v>
                </c:pt>
                <c:pt idx="19">
                  <c:v>3.120857317842507E-2</c:v>
                </c:pt>
                <c:pt idx="20">
                  <c:v>4.4857023882670433E-2</c:v>
                </c:pt>
                <c:pt idx="21">
                  <c:v>6.7925866503344423E-2</c:v>
                </c:pt>
                <c:pt idx="22">
                  <c:v>8.8862767911859208E-2</c:v>
                </c:pt>
                <c:pt idx="23">
                  <c:v>0.10594449479495438</c:v>
                </c:pt>
                <c:pt idx="24">
                  <c:v>0.12621148805882854</c:v>
                </c:pt>
                <c:pt idx="25">
                  <c:v>0.14181783221050637</c:v>
                </c:pt>
                <c:pt idx="26">
                  <c:v>0.16151608083287528</c:v>
                </c:pt>
                <c:pt idx="27">
                  <c:v>0.17839584813212994</c:v>
                </c:pt>
                <c:pt idx="28">
                  <c:v>0.19940929577457212</c:v>
                </c:pt>
                <c:pt idx="29">
                  <c:v>0.21649878750745088</c:v>
                </c:pt>
                <c:pt idx="30">
                  <c:v>0.23527259032475101</c:v>
                </c:pt>
                <c:pt idx="31">
                  <c:v>0.25137396203325579</c:v>
                </c:pt>
                <c:pt idx="32">
                  <c:v>0.27147157379042142</c:v>
                </c:pt>
                <c:pt idx="33">
                  <c:v>0.28879830985919241</c:v>
                </c:pt>
                <c:pt idx="34">
                  <c:v>0.31014097979165811</c:v>
                </c:pt>
                <c:pt idx="35">
                  <c:v>0.40159216166553335</c:v>
                </c:pt>
                <c:pt idx="36">
                  <c:v>0.42486221677881986</c:v>
                </c:pt>
                <c:pt idx="37">
                  <c:v>0.43407225964473284</c:v>
                </c:pt>
                <c:pt idx="38">
                  <c:v>0.46662584200857182</c:v>
                </c:pt>
                <c:pt idx="39">
                  <c:v>0.47956368646687508</c:v>
                </c:pt>
                <c:pt idx="40">
                  <c:v>0.50421274954080175</c:v>
                </c:pt>
                <c:pt idx="41">
                  <c:v>0.51824744641769271</c:v>
                </c:pt>
                <c:pt idx="42">
                  <c:v>0.54048573178172532</c:v>
                </c:pt>
                <c:pt idx="43">
                  <c:v>0.56144069810155628</c:v>
                </c:pt>
                <c:pt idx="44">
                  <c:v>0.57764687078998733</c:v>
                </c:pt>
                <c:pt idx="45">
                  <c:v>0.60045323943672457</c:v>
                </c:pt>
                <c:pt idx="46">
                  <c:v>0.61464330679705625</c:v>
                </c:pt>
                <c:pt idx="47">
                  <c:v>0.64045034905077713</c:v>
                </c:pt>
                <c:pt idx="48">
                  <c:v>0.65358679730556801</c:v>
                </c:pt>
                <c:pt idx="49">
                  <c:v>0.67670341702411818</c:v>
                </c:pt>
                <c:pt idx="50">
                  <c:v>0.69051244335599193</c:v>
                </c:pt>
                <c:pt idx="51">
                  <c:v>0.71203745254107176</c:v>
                </c:pt>
                <c:pt idx="52">
                  <c:v>0.72924619718282102</c:v>
                </c:pt>
                <c:pt idx="53">
                  <c:v>0.74714237599492606</c:v>
                </c:pt>
                <c:pt idx="54">
                  <c:v>0.76580631965685697</c:v>
                </c:pt>
                <c:pt idx="55">
                  <c:v>0.90268505817485689</c:v>
                </c:pt>
                <c:pt idx="56">
                  <c:v>0.91573473361913216</c:v>
                </c:pt>
                <c:pt idx="57">
                  <c:v>0.93520282914854036</c:v>
                </c:pt>
                <c:pt idx="58">
                  <c:v>0.9610682669930064</c:v>
                </c:pt>
                <c:pt idx="59">
                  <c:v>0.97629153704816929</c:v>
                </c:pt>
                <c:pt idx="60">
                  <c:v>0.99880758113873824</c:v>
                </c:pt>
                <c:pt idx="61">
                  <c:v>1.2874402939608842E-2</c:v>
                </c:pt>
                <c:pt idx="62">
                  <c:v>3.3671904470491398E-2</c:v>
                </c:pt>
                <c:pt idx="63">
                  <c:v>4.8819228414210158E-2</c:v>
                </c:pt>
                <c:pt idx="64">
                  <c:v>7.1730300060952601E-2</c:v>
                </c:pt>
                <c:pt idx="65">
                  <c:v>8.6591830985838669E-2</c:v>
                </c:pt>
                <c:pt idx="66">
                  <c:v>0.10801227189217144</c:v>
                </c:pt>
                <c:pt idx="67">
                  <c:v>0.12448965094924347</c:v>
                </c:pt>
                <c:pt idx="68">
                  <c:v>0.14564722596421831</c:v>
                </c:pt>
                <c:pt idx="69">
                  <c:v>0.16197097366784163</c:v>
                </c:pt>
                <c:pt idx="70">
                  <c:v>0.18405399877527984</c:v>
                </c:pt>
                <c:pt idx="71">
                  <c:v>0.20042585425617077</c:v>
                </c:pt>
                <c:pt idx="72">
                  <c:v>0.22138420085719801</c:v>
                </c:pt>
                <c:pt idx="73">
                  <c:v>0.26846295162300748</c:v>
                </c:pt>
                <c:pt idx="74">
                  <c:v>0.29993876301274724</c:v>
                </c:pt>
                <c:pt idx="75">
                  <c:v>0.33406611145128906</c:v>
                </c:pt>
                <c:pt idx="76">
                  <c:v>0.34723054500900119</c:v>
                </c:pt>
                <c:pt idx="77">
                  <c:v>0.37104896509498531</c:v>
                </c:pt>
                <c:pt idx="78">
                  <c:v>0.3916995101040861</c:v>
                </c:pt>
                <c:pt idx="79">
                  <c:v>0.40779208818100443</c:v>
                </c:pt>
                <c:pt idx="80">
                  <c:v>0.42868979791816741</c:v>
                </c:pt>
                <c:pt idx="81">
                  <c:v>0.44688473974308351</c:v>
                </c:pt>
                <c:pt idx="82">
                  <c:v>0.46799781996316625</c:v>
                </c:pt>
                <c:pt idx="83">
                  <c:v>0.48266484996957359</c:v>
                </c:pt>
                <c:pt idx="84">
                  <c:v>0.50575256582967754</c:v>
                </c:pt>
                <c:pt idx="85">
                  <c:v>0.52151566442154618</c:v>
                </c:pt>
                <c:pt idx="86">
                  <c:v>0.54112279240671768</c:v>
                </c:pt>
                <c:pt idx="87">
                  <c:v>0.5569801959582712</c:v>
                </c:pt>
                <c:pt idx="88">
                  <c:v>0.57741957134125244</c:v>
                </c:pt>
                <c:pt idx="89">
                  <c:v>0.59387419473343428</c:v>
                </c:pt>
                <c:pt idx="90">
                  <c:v>0.61546159216156582</c:v>
                </c:pt>
                <c:pt idx="91">
                  <c:v>0.63218364972434316</c:v>
                </c:pt>
                <c:pt idx="92">
                  <c:v>0.6508649601957508</c:v>
                </c:pt>
                <c:pt idx="93">
                  <c:v>0.66962120024486183</c:v>
                </c:pt>
                <c:pt idx="94">
                  <c:v>0.72222902633213337</c:v>
                </c:pt>
                <c:pt idx="95">
                  <c:v>0.7486834047762585</c:v>
                </c:pt>
                <c:pt idx="96">
                  <c:v>0.77180647887335141</c:v>
                </c:pt>
                <c:pt idx="97">
                  <c:v>0.79350887936302072</c:v>
                </c:pt>
                <c:pt idx="98">
                  <c:v>0.81319451316579716</c:v>
                </c:pt>
                <c:pt idx="99">
                  <c:v>0.83727830985933949</c:v>
                </c:pt>
                <c:pt idx="100">
                  <c:v>0.85338008573161162</c:v>
                </c:pt>
                <c:pt idx="101">
                  <c:v>0.87142374770360931</c:v>
                </c:pt>
                <c:pt idx="102">
                  <c:v>0.88825255358250743</c:v>
                </c:pt>
                <c:pt idx="103">
                  <c:v>0.91172651561525697</c:v>
                </c:pt>
                <c:pt idx="104">
                  <c:v>0.92966448254734857</c:v>
                </c:pt>
                <c:pt idx="105">
                  <c:v>0.94761168401727147</c:v>
                </c:pt>
                <c:pt idx="106">
                  <c:v>0.96866873239462947</c:v>
                </c:pt>
                <c:pt idx="107">
                  <c:v>0.98587647274955614</c:v>
                </c:pt>
                <c:pt idx="108">
                  <c:v>4.8828169016807976E-3</c:v>
                </c:pt>
                <c:pt idx="109">
                  <c:v>2.1384396815566475E-2</c:v>
                </c:pt>
                <c:pt idx="110">
                  <c:v>4.4133227189064428E-2</c:v>
                </c:pt>
                <c:pt idx="111">
                  <c:v>5.8905915492907468E-2</c:v>
                </c:pt>
                <c:pt idx="112">
                  <c:v>7.9441714635493099E-2</c:v>
                </c:pt>
                <c:pt idx="113">
                  <c:v>9.547883649718969E-2</c:v>
                </c:pt>
                <c:pt idx="114">
                  <c:v>0.11270078383351745</c:v>
                </c:pt>
                <c:pt idx="115">
                  <c:v>0.18934476423771329</c:v>
                </c:pt>
                <c:pt idx="116">
                  <c:v>0.20198104102894376</c:v>
                </c:pt>
                <c:pt idx="117">
                  <c:v>0.22362216778923028</c:v>
                </c:pt>
                <c:pt idx="118">
                  <c:v>0.23815285976729683</c:v>
                </c:pt>
                <c:pt idx="119">
                  <c:v>0.27092395590952378</c:v>
                </c:pt>
                <c:pt idx="120">
                  <c:v>0.29061299448847677</c:v>
                </c:pt>
                <c:pt idx="121">
                  <c:v>0.30771800367400104</c:v>
                </c:pt>
                <c:pt idx="122">
                  <c:v>0.32648995713389439</c:v>
                </c:pt>
                <c:pt idx="123">
                  <c:v>0.34520182486244977</c:v>
                </c:pt>
                <c:pt idx="124">
                  <c:v>0.36287951010432806</c:v>
                </c:pt>
                <c:pt idx="125">
                  <c:v>0.38298802204550952</c:v>
                </c:pt>
                <c:pt idx="126">
                  <c:v>0.40275102265781371</c:v>
                </c:pt>
                <c:pt idx="127">
                  <c:v>0.4196372565831048</c:v>
                </c:pt>
                <c:pt idx="128">
                  <c:v>0.43926181261463526</c:v>
                </c:pt>
                <c:pt idx="129">
                  <c:v>0.45692447030007699</c:v>
                </c:pt>
                <c:pt idx="130">
                  <c:v>0.47686439681574555</c:v>
                </c:pt>
                <c:pt idx="131">
                  <c:v>0.49276335578667485</c:v>
                </c:pt>
                <c:pt idx="132">
                  <c:v>0.51284405388866361</c:v>
                </c:pt>
                <c:pt idx="133">
                  <c:v>0.53111830985929842</c:v>
                </c:pt>
                <c:pt idx="134">
                  <c:v>0.54804760563390786</c:v>
                </c:pt>
                <c:pt idx="135">
                  <c:v>0.566720734843706</c:v>
                </c:pt>
                <c:pt idx="136">
                  <c:v>0.64022712798507442</c:v>
                </c:pt>
                <c:pt idx="137">
                  <c:v>0.66207470912406308</c:v>
                </c:pt>
                <c:pt idx="138">
                  <c:v>0.67381342314753923</c:v>
                </c:pt>
                <c:pt idx="139">
                  <c:v>0.70885802816886923</c:v>
                </c:pt>
                <c:pt idx="140">
                  <c:v>0.72923772198427983</c:v>
                </c:pt>
                <c:pt idx="141">
                  <c:v>0.75200275566419705</c:v>
                </c:pt>
                <c:pt idx="142">
                  <c:v>0.77277616656454384</c:v>
                </c:pt>
                <c:pt idx="143">
                  <c:v>0.78884712798522116</c:v>
                </c:pt>
                <c:pt idx="144">
                  <c:v>0.81068335578703454</c:v>
                </c:pt>
                <c:pt idx="145">
                  <c:v>0.82728420085726029</c:v>
                </c:pt>
                <c:pt idx="146">
                  <c:v>0.8468128597672937</c:v>
                </c:pt>
                <c:pt idx="147">
                  <c:v>0.86339473361930885</c:v>
                </c:pt>
                <c:pt idx="148">
                  <c:v>0.88426891610537339</c:v>
                </c:pt>
                <c:pt idx="149">
                  <c:v>0.89855273729344276</c:v>
                </c:pt>
                <c:pt idx="150">
                  <c:v>0.92103903245554974</c:v>
                </c:pt>
                <c:pt idx="151">
                  <c:v>0.94288155541966745</c:v>
                </c:pt>
                <c:pt idx="152">
                  <c:v>0.95681167176975279</c:v>
                </c:pt>
                <c:pt idx="153">
                  <c:v>0.97927402327007229</c:v>
                </c:pt>
                <c:pt idx="154">
                  <c:v>0.995175970606482</c:v>
                </c:pt>
                <c:pt idx="155">
                  <c:v>2.4556031843005144E-2</c:v>
                </c:pt>
                <c:pt idx="156">
                  <c:v>8.2057562767911207E-2</c:v>
                </c:pt>
                <c:pt idx="157">
                  <c:v>0.10459277403540312</c:v>
                </c:pt>
                <c:pt idx="158">
                  <c:v>0.11687868952851588</c:v>
                </c:pt>
                <c:pt idx="159">
                  <c:v>0.14396382118783535</c:v>
                </c:pt>
                <c:pt idx="160">
                  <c:v>0.16487334966340228</c:v>
                </c:pt>
                <c:pt idx="161">
                  <c:v>0.18231457440309029</c:v>
                </c:pt>
                <c:pt idx="162">
                  <c:v>0.20646554807090212</c:v>
                </c:pt>
                <c:pt idx="163">
                  <c:v>0.22475714635660538</c:v>
                </c:pt>
                <c:pt idx="164">
                  <c:v>0.24193601959555622</c:v>
                </c:pt>
                <c:pt idx="165">
                  <c:v>0.25777681567691957</c:v>
                </c:pt>
                <c:pt idx="166">
                  <c:v>0.27998657685242989</c:v>
                </c:pt>
                <c:pt idx="167">
                  <c:v>0.29653725658291918</c:v>
                </c:pt>
                <c:pt idx="168">
                  <c:v>0.3164179914266505</c:v>
                </c:pt>
                <c:pt idx="169">
                  <c:v>0.33513697489311411</c:v>
                </c:pt>
                <c:pt idx="170">
                  <c:v>0.35150380894046762</c:v>
                </c:pt>
                <c:pt idx="171">
                  <c:v>0.3701113778322167</c:v>
                </c:pt>
                <c:pt idx="172">
                  <c:v>0.39007179424353566</c:v>
                </c:pt>
                <c:pt idx="173">
                  <c:v>0.41002736068561774</c:v>
                </c:pt>
                <c:pt idx="174">
                  <c:v>0.42900619718296795</c:v>
                </c:pt>
                <c:pt idx="175">
                  <c:v>0.45024105327618003</c:v>
                </c:pt>
                <c:pt idx="176">
                  <c:v>0.4808940600121332</c:v>
                </c:pt>
                <c:pt idx="177">
                  <c:v>0.55684834047787035</c:v>
                </c:pt>
                <c:pt idx="178">
                  <c:v>0.58158636864660096</c:v>
                </c:pt>
                <c:pt idx="179">
                  <c:v>0.60271368034307216</c:v>
                </c:pt>
                <c:pt idx="180">
                  <c:v>0.62345293325195783</c:v>
                </c:pt>
                <c:pt idx="181">
                  <c:v>0.64707897121881786</c:v>
                </c:pt>
                <c:pt idx="182">
                  <c:v>0.65920726270674379</c:v>
                </c:pt>
                <c:pt idx="183">
                  <c:v>0.68064268218012458</c:v>
                </c:pt>
                <c:pt idx="184">
                  <c:v>0.69615865278640143</c:v>
                </c:pt>
                <c:pt idx="185">
                  <c:v>0.71630650336825141</c:v>
                </c:pt>
                <c:pt idx="186">
                  <c:v>0.73406642988388171</c:v>
                </c:pt>
                <c:pt idx="187">
                  <c:v>0.75264215554222957</c:v>
                </c:pt>
                <c:pt idx="188">
                  <c:v>0.76966969993886991</c:v>
                </c:pt>
                <c:pt idx="189">
                  <c:v>0.79013532149421195</c:v>
                </c:pt>
                <c:pt idx="190">
                  <c:v>0.8104775872626746</c:v>
                </c:pt>
                <c:pt idx="191">
                  <c:v>0.82855398652804624</c:v>
                </c:pt>
                <c:pt idx="192">
                  <c:v>0.84832329455014843</c:v>
                </c:pt>
                <c:pt idx="193">
                  <c:v>0.86519017758729433</c:v>
                </c:pt>
                <c:pt idx="194">
                  <c:v>0.88562738518039552</c:v>
                </c:pt>
                <c:pt idx="195">
                  <c:v>0.9069631353336618</c:v>
                </c:pt>
                <c:pt idx="196">
                  <c:v>0.93609920391939383</c:v>
                </c:pt>
                <c:pt idx="197">
                  <c:v>0.97562767911830051</c:v>
                </c:pt>
                <c:pt idx="198">
                  <c:v>0.99399877526037272</c:v>
                </c:pt>
                <c:pt idx="199">
                  <c:v>1.9780979791754305E-2</c:v>
                </c:pt>
                <c:pt idx="200">
                  <c:v>4.5776423759786411E-2</c:v>
                </c:pt>
                <c:pt idx="201">
                  <c:v>5.7601139008134794E-2</c:v>
                </c:pt>
                <c:pt idx="202">
                  <c:v>8.2095456215515838E-2</c:v>
                </c:pt>
                <c:pt idx="203">
                  <c:v>9.6155897121640521E-2</c:v>
                </c:pt>
                <c:pt idx="204">
                  <c:v>0.11666102878137963</c:v>
                </c:pt>
                <c:pt idx="205">
                  <c:v>0.13157304347847898</c:v>
                </c:pt>
                <c:pt idx="206">
                  <c:v>0.15435025107174738</c:v>
                </c:pt>
                <c:pt idx="207">
                  <c:v>0.17272135946130973</c:v>
                </c:pt>
                <c:pt idx="208">
                  <c:v>0.19161948560926945</c:v>
                </c:pt>
                <c:pt idx="209">
                  <c:v>0.21147481935065571</c:v>
                </c:pt>
                <c:pt idx="210">
                  <c:v>0.22828502143320861</c:v>
                </c:pt>
                <c:pt idx="211">
                  <c:v>0.24883635027536144</c:v>
                </c:pt>
                <c:pt idx="212">
                  <c:v>0.2637735946110773</c:v>
                </c:pt>
                <c:pt idx="213">
                  <c:v>0.28410401714615574</c:v>
                </c:pt>
                <c:pt idx="214">
                  <c:v>0.30082921004259333</c:v>
                </c:pt>
                <c:pt idx="215">
                  <c:v>0.32179394978584952</c:v>
                </c:pt>
                <c:pt idx="216">
                  <c:v>0.3374324556034054</c:v>
                </c:pt>
                <c:pt idx="217">
                  <c:v>0.3642702633189927</c:v>
                </c:pt>
                <c:pt idx="218">
                  <c:v>0.44623392529098993</c:v>
                </c:pt>
                <c:pt idx="219">
                  <c:v>0.47096754439672495</c:v>
                </c:pt>
                <c:pt idx="220">
                  <c:v>0.49066625842031897</c:v>
                </c:pt>
                <c:pt idx="221">
                  <c:v>0.51207097366837573</c:v>
                </c:pt>
                <c:pt idx="222">
                  <c:v>0.52747181873878191</c:v>
                </c:pt>
                <c:pt idx="223">
                  <c:v>0.5480235639927642</c:v>
                </c:pt>
                <c:pt idx="224">
                  <c:v>0.56541729332515445</c:v>
                </c:pt>
                <c:pt idx="225">
                  <c:v>0.58649802816928087</c:v>
                </c:pt>
                <c:pt idx="226">
                  <c:v>0.60218892835276705</c:v>
                </c:pt>
                <c:pt idx="227">
                  <c:v>0.62202834047774047</c:v>
                </c:pt>
                <c:pt idx="228">
                  <c:v>0.6409908266993547</c:v>
                </c:pt>
                <c:pt idx="229">
                  <c:v>0.65847225964470724</c:v>
                </c:pt>
                <c:pt idx="230">
                  <c:v>0.67947021432948773</c:v>
                </c:pt>
                <c:pt idx="231">
                  <c:v>0.69776405388830298</c:v>
                </c:pt>
                <c:pt idx="232">
                  <c:v>0.71729904470311823</c:v>
                </c:pt>
                <c:pt idx="233">
                  <c:v>0.73538379669326304</c:v>
                </c:pt>
                <c:pt idx="234">
                  <c:v>0.75686220453158981</c:v>
                </c:pt>
                <c:pt idx="235">
                  <c:v>0.77126593998789161</c:v>
                </c:pt>
                <c:pt idx="236">
                  <c:v>0.79211529699911054</c:v>
                </c:pt>
                <c:pt idx="237">
                  <c:v>0.88622167789356254</c:v>
                </c:pt>
                <c:pt idx="238">
                  <c:v>0.91402318432358953</c:v>
                </c:pt>
                <c:pt idx="239">
                  <c:v>0.93142222902644534</c:v>
                </c:pt>
                <c:pt idx="240">
                  <c:v>0.95362816901394964</c:v>
                </c:pt>
                <c:pt idx="241">
                  <c:v>0.96753774647899249</c:v>
                </c:pt>
                <c:pt idx="242">
                  <c:v>0.98816035517456768</c:v>
                </c:pt>
                <c:pt idx="243">
                  <c:v>8.0284507042946984E-3</c:v>
                </c:pt>
                <c:pt idx="244">
                  <c:v>2.4618040416125808E-2</c:v>
                </c:pt>
                <c:pt idx="245">
                  <c:v>4.5497305572617108E-2</c:v>
                </c:pt>
                <c:pt idx="246">
                  <c:v>6.145657072857702E-2</c:v>
                </c:pt>
                <c:pt idx="247">
                  <c:v>8.3331879975464318E-2</c:v>
                </c:pt>
                <c:pt idx="248">
                  <c:v>9.8853410900311189E-2</c:v>
                </c:pt>
                <c:pt idx="249">
                  <c:v>0.12049917942420763</c:v>
                </c:pt>
                <c:pt idx="250">
                  <c:v>0.13465605633799882</c:v>
                </c:pt>
                <c:pt idx="251">
                  <c:v>0.15603688916115033</c:v>
                </c:pt>
                <c:pt idx="252">
                  <c:v>0.17267276178840163</c:v>
                </c:pt>
                <c:pt idx="253">
                  <c:v>0.19356825474572048</c:v>
                </c:pt>
                <c:pt idx="254">
                  <c:v>0.21042662584185834</c:v>
                </c:pt>
                <c:pt idx="255">
                  <c:v>0.23160172688312386</c:v>
                </c:pt>
                <c:pt idx="256">
                  <c:v>0.25024780159187543</c:v>
                </c:pt>
                <c:pt idx="257">
                  <c:v>0.30928491120639023</c:v>
                </c:pt>
                <c:pt idx="258">
                  <c:v>0.3300213349665988</c:v>
                </c:pt>
                <c:pt idx="259">
                  <c:v>0.35170443355809056</c:v>
                </c:pt>
                <c:pt idx="260">
                  <c:v>0.371173753827442</c:v>
                </c:pt>
                <c:pt idx="261">
                  <c:v>0.39041299448877353</c:v>
                </c:pt>
                <c:pt idx="262">
                  <c:v>0.40942813227191621</c:v>
                </c:pt>
                <c:pt idx="263">
                  <c:v>0.42835277403532146</c:v>
                </c:pt>
                <c:pt idx="264">
                  <c:v>0.44925115737934007</c:v>
                </c:pt>
                <c:pt idx="265">
                  <c:v>0.46426606246151181</c:v>
                </c:pt>
                <c:pt idx="266">
                  <c:v>0.48595494182469068</c:v>
                </c:pt>
                <c:pt idx="267">
                  <c:v>0.50031148805867431</c:v>
                </c:pt>
                <c:pt idx="268">
                  <c:v>0.52150652786307461</c:v>
                </c:pt>
                <c:pt idx="269">
                  <c:v>0.53732519289643932</c:v>
                </c:pt>
                <c:pt idx="270">
                  <c:v>0.5601178934473694</c:v>
                </c:pt>
                <c:pt idx="271">
                  <c:v>0.57349990202092371</c:v>
                </c:pt>
                <c:pt idx="272">
                  <c:v>0.59671322718908115</c:v>
                </c:pt>
                <c:pt idx="273">
                  <c:v>0.61184477648513536</c:v>
                </c:pt>
                <c:pt idx="274">
                  <c:v>0.63285088793654509</c:v>
                </c:pt>
                <c:pt idx="275">
                  <c:v>0.654266772810562</c:v>
                </c:pt>
                <c:pt idx="276">
                  <c:v>0.6691980159214701</c:v>
                </c:pt>
                <c:pt idx="277">
                  <c:v>0.69370924678516488</c:v>
                </c:pt>
                <c:pt idx="278">
                  <c:v>0.75223845682766921</c:v>
                </c:pt>
                <c:pt idx="279">
                  <c:v>0.78091508879360916</c:v>
                </c:pt>
                <c:pt idx="280">
                  <c:v>0.79987845682771308</c:v>
                </c:pt>
                <c:pt idx="281">
                  <c:v>0.82002650336827188</c:v>
                </c:pt>
                <c:pt idx="282">
                  <c:v>0.84267071647249026</c:v>
                </c:pt>
                <c:pt idx="283">
                  <c:v>0.85741614206965977</c:v>
                </c:pt>
                <c:pt idx="284">
                  <c:v>0.87844836497217571</c:v>
                </c:pt>
                <c:pt idx="285">
                  <c:v>0.8944646540107577</c:v>
                </c:pt>
                <c:pt idx="286">
                  <c:v>0.9151545866504911</c:v>
                </c:pt>
                <c:pt idx="287">
                  <c:v>0.93042551132862172</c:v>
                </c:pt>
                <c:pt idx="288">
                  <c:v>0.95161610532754892</c:v>
                </c:pt>
                <c:pt idx="289">
                  <c:v>0.96668140845063988</c:v>
                </c:pt>
                <c:pt idx="290">
                  <c:v>0.9877669932640103</c:v>
                </c:pt>
                <c:pt idx="291">
                  <c:v>4.4693692592439049E-3</c:v>
                </c:pt>
                <c:pt idx="292">
                  <c:v>2.5954390691783402E-2</c:v>
                </c:pt>
                <c:pt idx="293">
                  <c:v>3.9905805266201355E-2</c:v>
                </c:pt>
                <c:pt idx="294">
                  <c:v>6.1872921004066939E-2</c:v>
                </c:pt>
                <c:pt idx="295">
                  <c:v>7.8070912430881378E-2</c:v>
                </c:pt>
                <c:pt idx="296">
                  <c:v>9.9810042865666304E-2</c:v>
                </c:pt>
                <c:pt idx="297">
                  <c:v>0.11581777097384816</c:v>
                </c:pt>
                <c:pt idx="298">
                  <c:v>0.13524526638074263</c:v>
                </c:pt>
                <c:pt idx="299">
                  <c:v>0.15742398040404382</c:v>
                </c:pt>
                <c:pt idx="300">
                  <c:v>0.19600718922226434</c:v>
                </c:pt>
                <c:pt idx="301">
                  <c:v>0.22367421922827546</c:v>
                </c:pt>
                <c:pt idx="302">
                  <c:v>0.24204134721358983</c:v>
                </c:pt>
                <c:pt idx="303">
                  <c:v>0.26016214329450449</c:v>
                </c:pt>
                <c:pt idx="304">
                  <c:v>0.28600153092475011</c:v>
                </c:pt>
                <c:pt idx="305">
                  <c:v>0.31091750153116138</c:v>
                </c:pt>
                <c:pt idx="306">
                  <c:v>0.32671472137144875</c:v>
                </c:pt>
                <c:pt idx="307">
                  <c:v>0.34983439069179667</c:v>
                </c:pt>
                <c:pt idx="308">
                  <c:v>0.36500526638102571</c:v>
                </c:pt>
                <c:pt idx="309">
                  <c:v>0.38450602571943548</c:v>
                </c:pt>
                <c:pt idx="310">
                  <c:v>0.40107563992623341</c:v>
                </c:pt>
                <c:pt idx="311">
                  <c:v>0.42390319657046049</c:v>
                </c:pt>
                <c:pt idx="312">
                  <c:v>0.43863706062482422</c:v>
                </c:pt>
                <c:pt idx="313">
                  <c:v>0.46091966932002038</c:v>
                </c:pt>
                <c:pt idx="314">
                  <c:v>0.47716214329481232</c:v>
                </c:pt>
                <c:pt idx="315">
                  <c:v>0.49938001224756334</c:v>
                </c:pt>
                <c:pt idx="316">
                  <c:v>0.51356541334987327</c:v>
                </c:pt>
                <c:pt idx="317">
                  <c:v>0.53215105939982621</c:v>
                </c:pt>
                <c:pt idx="318">
                  <c:v>0.55096680955278288</c:v>
                </c:pt>
                <c:pt idx="319">
                  <c:v>0.57059127985301927</c:v>
                </c:pt>
                <c:pt idx="320">
                  <c:v>0.58666633190421891</c:v>
                </c:pt>
                <c:pt idx="321">
                  <c:v>0.60171463563969851</c:v>
                </c:pt>
                <c:pt idx="322">
                  <c:v>0.64376723821191106</c:v>
                </c:pt>
                <c:pt idx="323">
                  <c:v>0.68841928965084165</c:v>
                </c:pt>
                <c:pt idx="324">
                  <c:v>0.70251521126772687</c:v>
                </c:pt>
                <c:pt idx="325">
                  <c:v>0.72316346601374804</c:v>
                </c:pt>
                <c:pt idx="326">
                  <c:v>0.74700442131036127</c:v>
                </c:pt>
                <c:pt idx="327">
                  <c:v>0.76138960195970995</c:v>
                </c:pt>
                <c:pt idx="328">
                  <c:v>0.79074808328246604</c:v>
                </c:pt>
                <c:pt idx="329">
                  <c:v>0.8025662461729155</c:v>
                </c:pt>
                <c:pt idx="330">
                  <c:v>0.82466567054491335</c:v>
                </c:pt>
                <c:pt idx="331">
                  <c:v>0.84126666258445582</c:v>
                </c:pt>
                <c:pt idx="332">
                  <c:v>0.86365474586643742</c:v>
                </c:pt>
                <c:pt idx="333">
                  <c:v>0.87922048989617352</c:v>
                </c:pt>
                <c:pt idx="334">
                  <c:v>0.89963099816260694</c:v>
                </c:pt>
                <c:pt idx="335">
                  <c:v>0.91802222902652275</c:v>
                </c:pt>
                <c:pt idx="336">
                  <c:v>0.93671930189810837</c:v>
                </c:pt>
                <c:pt idx="337">
                  <c:v>0.95669221065525534</c:v>
                </c:pt>
                <c:pt idx="338">
                  <c:v>0.97330556031823079</c:v>
                </c:pt>
                <c:pt idx="339">
                  <c:v>0.9965151990202088</c:v>
                </c:pt>
                <c:pt idx="340">
                  <c:v>1.7976472749666073E-2</c:v>
                </c:pt>
                <c:pt idx="341">
                  <c:v>3.6678383343573984E-2</c:v>
                </c:pt>
                <c:pt idx="342">
                  <c:v>4.8683404776486583E-2</c:v>
                </c:pt>
                <c:pt idx="343">
                  <c:v>9.2930189834593335E-2</c:v>
                </c:pt>
                <c:pt idx="344">
                  <c:v>0.12037150030619159</c:v>
                </c:pt>
                <c:pt idx="345">
                  <c:v>0.15309590936923101</c:v>
                </c:pt>
                <c:pt idx="346">
                  <c:v>0.16931627679100814</c:v>
                </c:pt>
                <c:pt idx="347">
                  <c:v>0.18946710349027995</c:v>
                </c:pt>
                <c:pt idx="348">
                  <c:v>0.20536124923443921</c:v>
                </c:pt>
                <c:pt idx="349">
                  <c:v>0.22794663808915772</c:v>
                </c:pt>
                <c:pt idx="350">
                  <c:v>0.242136509491921</c:v>
                </c:pt>
                <c:pt idx="351">
                  <c:v>0.26329480710371556</c:v>
                </c:pt>
                <c:pt idx="352">
                  <c:v>0.28111125535827242</c:v>
                </c:pt>
                <c:pt idx="353">
                  <c:v>0.30074556031825139</c:v>
                </c:pt>
                <c:pt idx="354">
                  <c:v>0.3197474096755144</c:v>
                </c:pt>
                <c:pt idx="355">
                  <c:v>0.33746586650363497</c:v>
                </c:pt>
                <c:pt idx="356">
                  <c:v>0.35857860379682904</c:v>
                </c:pt>
                <c:pt idx="357">
                  <c:v>0.37210497244353036</c:v>
                </c:pt>
                <c:pt idx="358">
                  <c:v>0.39371185548049326</c:v>
                </c:pt>
                <c:pt idx="359">
                  <c:v>0.41240949173322861</c:v>
                </c:pt>
                <c:pt idx="360">
                  <c:v>0.43133582363723022</c:v>
                </c:pt>
                <c:pt idx="361">
                  <c:v>0.45042180036755397</c:v>
                </c:pt>
                <c:pt idx="362">
                  <c:v>0.46997941212485728</c:v>
                </c:pt>
                <c:pt idx="363">
                  <c:v>0.48497232088199738</c:v>
                </c:pt>
                <c:pt idx="364">
                  <c:v>0.5252498469075384</c:v>
                </c:pt>
                <c:pt idx="365">
                  <c:v>0.55253048377215208</c:v>
                </c:pt>
                <c:pt idx="366">
                  <c:v>0.57510716472772216</c:v>
                </c:pt>
                <c:pt idx="367">
                  <c:v>0.59358459277408215</c:v>
                </c:pt>
                <c:pt idx="368">
                  <c:v>0.61309319044721633</c:v>
                </c:pt>
                <c:pt idx="369">
                  <c:v>0.63357331292089114</c:v>
                </c:pt>
                <c:pt idx="370">
                  <c:v>0.65589212492366045</c:v>
                </c:pt>
                <c:pt idx="371">
                  <c:v>0.67030216778918827</c:v>
                </c:pt>
                <c:pt idx="372">
                  <c:v>0.69571882424977716</c:v>
                </c:pt>
                <c:pt idx="373">
                  <c:v>0.71245256582969674</c:v>
                </c:pt>
                <c:pt idx="374">
                  <c:v>0.73200932026949772</c:v>
                </c:pt>
                <c:pt idx="375">
                  <c:v>0.74876595223499365</c:v>
                </c:pt>
                <c:pt idx="376">
                  <c:v>0.7698788732394064</c:v>
                </c:pt>
                <c:pt idx="377">
                  <c:v>0.78665044703004838</c:v>
                </c:pt>
                <c:pt idx="378">
                  <c:v>0.80597176974888995</c:v>
                </c:pt>
                <c:pt idx="379">
                  <c:v>0.82418878138377849</c:v>
                </c:pt>
                <c:pt idx="380">
                  <c:v>0.84088189834677607</c:v>
                </c:pt>
                <c:pt idx="381">
                  <c:v>0.86122180036721474</c:v>
                </c:pt>
                <c:pt idx="382">
                  <c:v>0.87871721984085127</c:v>
                </c:pt>
                <c:pt idx="383">
                  <c:v>0.89973904470304689</c:v>
                </c:pt>
                <c:pt idx="384">
                  <c:v>0.91570542559691503</c:v>
                </c:pt>
                <c:pt idx="385">
                  <c:v>0.93323821188004885</c:v>
                </c:pt>
                <c:pt idx="386">
                  <c:v>0.94885486834075294</c:v>
                </c:pt>
                <c:pt idx="387">
                  <c:v>2.4603098591551742E-2</c:v>
                </c:pt>
                <c:pt idx="388">
                  <c:v>3.7164727495657246E-2</c:v>
                </c:pt>
                <c:pt idx="389">
                  <c:v>6.5329381506558093E-2</c:v>
                </c:pt>
                <c:pt idx="390">
                  <c:v>8.3560232700413906E-2</c:v>
                </c:pt>
                <c:pt idx="391">
                  <c:v>0.10168950398043819</c:v>
                </c:pt>
                <c:pt idx="392">
                  <c:v>0.12068357623985904</c:v>
                </c:pt>
                <c:pt idx="393">
                  <c:v>0.1379488058786329</c:v>
                </c:pt>
                <c:pt idx="394">
                  <c:v>0.15813408450685884</c:v>
                </c:pt>
                <c:pt idx="395">
                  <c:v>0.17524650336778791</c:v>
                </c:pt>
                <c:pt idx="396">
                  <c:v>0.19711224739744893</c:v>
                </c:pt>
                <c:pt idx="397">
                  <c:v>0.21034248622187945</c:v>
                </c:pt>
                <c:pt idx="398">
                  <c:v>0.23294071034931463</c:v>
                </c:pt>
                <c:pt idx="399">
                  <c:v>0.24841305572569183</c:v>
                </c:pt>
                <c:pt idx="400">
                  <c:v>0.27039734231489376</c:v>
                </c:pt>
                <c:pt idx="401">
                  <c:v>0.28635637477024289</c:v>
                </c:pt>
                <c:pt idx="402">
                  <c:v>0.30774994488675489</c:v>
                </c:pt>
                <c:pt idx="403">
                  <c:v>0.32476576852434746</c:v>
                </c:pt>
                <c:pt idx="404">
                  <c:v>0.34508569503975295</c:v>
                </c:pt>
                <c:pt idx="405">
                  <c:v>0.35858879363151885</c:v>
                </c:pt>
                <c:pt idx="406">
                  <c:v>0.37808219228391593</c:v>
                </c:pt>
                <c:pt idx="407">
                  <c:v>0.43539497856705367</c:v>
                </c:pt>
                <c:pt idx="408">
                  <c:v>0.46690351500324923</c:v>
                </c:pt>
                <c:pt idx="409">
                  <c:v>0.49311939987769904</c:v>
                </c:pt>
                <c:pt idx="410">
                  <c:v>0.510497256583065</c:v>
                </c:pt>
                <c:pt idx="411">
                  <c:v>0.53607654623374756</c:v>
                </c:pt>
                <c:pt idx="412">
                  <c:v>0.55542908756909881</c:v>
                </c:pt>
                <c:pt idx="413">
                  <c:v>0.5741685486831507</c:v>
                </c:pt>
                <c:pt idx="414">
                  <c:v>0.59537899571334663</c:v>
                </c:pt>
                <c:pt idx="415">
                  <c:v>0.61247805266402011</c:v>
                </c:pt>
                <c:pt idx="416">
                  <c:v>0.6327017023879975</c:v>
                </c:pt>
                <c:pt idx="417">
                  <c:v>0.64910279240673674</c:v>
                </c:pt>
                <c:pt idx="418">
                  <c:v>0.6720378934477047</c:v>
                </c:pt>
                <c:pt idx="419">
                  <c:v>0.6893398285366068</c:v>
                </c:pt>
                <c:pt idx="420">
                  <c:v>0.7074974647889114</c:v>
                </c:pt>
                <c:pt idx="421">
                  <c:v>0.72497823637489844</c:v>
                </c:pt>
                <c:pt idx="422">
                  <c:v>0.7450612124924767</c:v>
                </c:pt>
                <c:pt idx="423">
                  <c:v>0.76415883649747585</c:v>
                </c:pt>
                <c:pt idx="424">
                  <c:v>0.7835536191059731</c:v>
                </c:pt>
                <c:pt idx="425">
                  <c:v>0.80494782608686677</c:v>
                </c:pt>
                <c:pt idx="426">
                  <c:v>0.81932847519888341</c:v>
                </c:pt>
                <c:pt idx="427">
                  <c:v>0.90831292100451577</c:v>
                </c:pt>
                <c:pt idx="428">
                  <c:v>0.93485462339281256</c:v>
                </c:pt>
                <c:pt idx="429">
                  <c:v>0.95610781383928156</c:v>
                </c:pt>
                <c:pt idx="430">
                  <c:v>0.96945707287196825</c:v>
                </c:pt>
                <c:pt idx="431">
                  <c:v>0.99580740967545367</c:v>
                </c:pt>
                <c:pt idx="432">
                  <c:v>1.175650949170759E-2</c:v>
                </c:pt>
                <c:pt idx="433">
                  <c:v>3.2210104103015169E-2</c:v>
                </c:pt>
                <c:pt idx="434">
                  <c:v>4.9419338640397825E-2</c:v>
                </c:pt>
                <c:pt idx="435">
                  <c:v>6.9737709736461539E-2</c:v>
                </c:pt>
                <c:pt idx="436">
                  <c:v>8.6181996325777277E-2</c:v>
                </c:pt>
                <c:pt idx="437">
                  <c:v>0.10800829148792701</c:v>
                </c:pt>
                <c:pt idx="438">
                  <c:v>0.12878862216804166</c:v>
                </c:pt>
                <c:pt idx="439">
                  <c:v>0.14306731169629217</c:v>
                </c:pt>
                <c:pt idx="440">
                  <c:v>0.16344499693805759</c:v>
                </c:pt>
                <c:pt idx="441">
                  <c:v>0.18057695039777855</c:v>
                </c:pt>
                <c:pt idx="442">
                  <c:v>0.20224651561528617</c:v>
                </c:pt>
                <c:pt idx="443">
                  <c:v>0.21748859767299678</c:v>
                </c:pt>
                <c:pt idx="444">
                  <c:v>0.23950525413370372</c:v>
                </c:pt>
                <c:pt idx="445">
                  <c:v>0.2553781628904126</c:v>
                </c:pt>
                <c:pt idx="446">
                  <c:v>0.27616886711586375</c:v>
                </c:pt>
                <c:pt idx="447">
                  <c:v>0.32232859767277589</c:v>
                </c:pt>
                <c:pt idx="448">
                  <c:v>0.36023913043455735</c:v>
                </c:pt>
                <c:pt idx="449">
                  <c:v>0.38828315982847172</c:v>
                </c:pt>
                <c:pt idx="450">
                  <c:v>0.40360665033683674</c:v>
                </c:pt>
                <c:pt idx="451">
                  <c:v>0.43122620943053036</c:v>
                </c:pt>
                <c:pt idx="452">
                  <c:v>0.4519333251685218</c:v>
                </c:pt>
                <c:pt idx="453">
                  <c:v>0.47202466625836692</c:v>
                </c:pt>
                <c:pt idx="454">
                  <c:v>0.4904354562154829</c:v>
                </c:pt>
                <c:pt idx="455">
                  <c:v>0.50936620943054223</c:v>
                </c:pt>
                <c:pt idx="456">
                  <c:v>0.52700101653375242</c:v>
                </c:pt>
                <c:pt idx="457">
                  <c:v>0.54542432333110469</c:v>
                </c:pt>
                <c:pt idx="458">
                  <c:v>0.56698705450120102</c:v>
                </c:pt>
                <c:pt idx="459">
                  <c:v>0.58017703613000648</c:v>
                </c:pt>
                <c:pt idx="460">
                  <c:v>0.60323672994471522</c:v>
                </c:pt>
                <c:pt idx="461">
                  <c:v>0.61975810165355583</c:v>
                </c:pt>
                <c:pt idx="462">
                  <c:v>0.63972405388846454</c:v>
                </c:pt>
                <c:pt idx="463">
                  <c:v>0.65706749540734677</c:v>
                </c:pt>
                <c:pt idx="464">
                  <c:v>0.67549165952220847</c:v>
                </c:pt>
                <c:pt idx="465">
                  <c:v>0.69437050826697089</c:v>
                </c:pt>
                <c:pt idx="466">
                  <c:v>0.71452226576869293</c:v>
                </c:pt>
                <c:pt idx="467">
                  <c:v>0.72476172688276108</c:v>
                </c:pt>
                <c:pt idx="468">
                  <c:v>0.79397091243087559</c:v>
                </c:pt>
                <c:pt idx="469">
                  <c:v>0.81055048377232097</c:v>
                </c:pt>
                <c:pt idx="470">
                  <c:v>0.83858930802204412</c:v>
                </c:pt>
                <c:pt idx="471">
                  <c:v>0.87217624004889061</c:v>
                </c:pt>
                <c:pt idx="472">
                  <c:v>0.89295070422545209</c:v>
                </c:pt>
                <c:pt idx="473">
                  <c:v>0.90918395590933798</c:v>
                </c:pt>
                <c:pt idx="474">
                  <c:v>0.92753567666885317</c:v>
                </c:pt>
                <c:pt idx="475">
                  <c:v>0.94714755664447736</c:v>
                </c:pt>
                <c:pt idx="476">
                  <c:v>0.966594611145144</c:v>
                </c:pt>
                <c:pt idx="477">
                  <c:v>0.98361250459269556</c:v>
                </c:pt>
                <c:pt idx="478">
                  <c:v>5.4315370481887726E-3</c:v>
                </c:pt>
                <c:pt idx="479">
                  <c:v>1.9634292713057278E-2</c:v>
                </c:pt>
                <c:pt idx="480">
                  <c:v>4.001811390089216E-2</c:v>
                </c:pt>
                <c:pt idx="481">
                  <c:v>5.666556031843939E-2</c:v>
                </c:pt>
                <c:pt idx="482">
                  <c:v>7.6219706062687465E-2</c:v>
                </c:pt>
                <c:pt idx="483">
                  <c:v>9.4708573178085231E-2</c:v>
                </c:pt>
                <c:pt idx="484">
                  <c:v>0.11340082057541423</c:v>
                </c:pt>
                <c:pt idx="485">
                  <c:v>0.12737021432928231</c:v>
                </c:pt>
                <c:pt idx="486">
                  <c:v>0.15136023270067867</c:v>
                </c:pt>
                <c:pt idx="487">
                  <c:v>0.16379794243732348</c:v>
                </c:pt>
                <c:pt idx="488">
                  <c:v>0.19314145744052169</c:v>
                </c:pt>
                <c:pt idx="489">
                  <c:v>0.23759445192922968</c:v>
                </c:pt>
                <c:pt idx="490">
                  <c:v>0.26406109001857203</c:v>
                </c:pt>
                <c:pt idx="491">
                  <c:v>0.30664782608709373</c:v>
                </c:pt>
                <c:pt idx="492">
                  <c:v>0.33090112676053707</c:v>
                </c:pt>
                <c:pt idx="493">
                  <c:v>0.34607810165336161</c:v>
                </c:pt>
                <c:pt idx="494">
                  <c:v>0.37041736680977877</c:v>
                </c:pt>
                <c:pt idx="495">
                  <c:v>0.38436145744008599</c:v>
                </c:pt>
                <c:pt idx="496">
                  <c:v>0.40640014696886695</c:v>
                </c:pt>
                <c:pt idx="497">
                  <c:v>0.42383151255383922</c:v>
                </c:pt>
                <c:pt idx="498">
                  <c:v>0.44284908756880625</c:v>
                </c:pt>
                <c:pt idx="499">
                  <c:v>0.45979011635052558</c:v>
                </c:pt>
                <c:pt idx="500">
                  <c:v>0.47830434782636999</c:v>
                </c:pt>
                <c:pt idx="501">
                  <c:v>0.49645262706650684</c:v>
                </c:pt>
                <c:pt idx="502">
                  <c:v>0.51728155541952958</c:v>
                </c:pt>
                <c:pt idx="503">
                  <c:v>0.53821248009821332</c:v>
                </c:pt>
                <c:pt idx="504">
                  <c:v>0.554108401714835</c:v>
                </c:pt>
                <c:pt idx="505">
                  <c:v>0.57237274954078288</c:v>
                </c:pt>
                <c:pt idx="506">
                  <c:v>0.59361042253517837</c:v>
                </c:pt>
                <c:pt idx="507">
                  <c:v>0.60817615431719219</c:v>
                </c:pt>
                <c:pt idx="508">
                  <c:v>0.68601996325805104</c:v>
                </c:pt>
                <c:pt idx="509">
                  <c:v>0.70988324556022775</c:v>
                </c:pt>
                <c:pt idx="510">
                  <c:v>0.73473431720738702</c:v>
                </c:pt>
                <c:pt idx="511">
                  <c:v>0.75127552970000622</c:v>
                </c:pt>
                <c:pt idx="512">
                  <c:v>0.77125488058763736</c:v>
                </c:pt>
                <c:pt idx="513">
                  <c:v>0.79351010410296396</c:v>
                </c:pt>
                <c:pt idx="514">
                  <c:v>0.81167376607448816</c:v>
                </c:pt>
                <c:pt idx="515">
                  <c:v>0.83127127985304128</c:v>
                </c:pt>
                <c:pt idx="516">
                  <c:v>0.8499440661359472</c:v>
                </c:pt>
                <c:pt idx="517">
                  <c:v>0.86993229638703085</c:v>
                </c:pt>
                <c:pt idx="518">
                  <c:v>0.88496557256607389</c:v>
                </c:pt>
                <c:pt idx="519">
                  <c:v>0.90705908144512293</c:v>
                </c:pt>
                <c:pt idx="520">
                  <c:v>0.92361440293922215</c:v>
                </c:pt>
                <c:pt idx="521">
                  <c:v>0.94493937538280903</c:v>
                </c:pt>
                <c:pt idx="522">
                  <c:v>0.9594563380281862</c:v>
                </c:pt>
                <c:pt idx="523">
                  <c:v>0.98125274954061581</c:v>
                </c:pt>
                <c:pt idx="524">
                  <c:v>0.9981921984080131</c:v>
                </c:pt>
                <c:pt idx="525">
                  <c:v>1.7310557256760006E-2</c:v>
                </c:pt>
                <c:pt idx="526">
                  <c:v>3.9199718310104714E-2</c:v>
                </c:pt>
                <c:pt idx="527">
                  <c:v>5.6758579301870782E-2</c:v>
                </c:pt>
                <c:pt idx="528">
                  <c:v>0.11655848132262747</c:v>
                </c:pt>
                <c:pt idx="529">
                  <c:v>0.14285388854842651</c:v>
                </c:pt>
                <c:pt idx="530">
                  <c:v>0.16464911206395527</c:v>
                </c:pt>
                <c:pt idx="531">
                  <c:v>0.1846450336804466</c:v>
                </c:pt>
                <c:pt idx="532">
                  <c:v>0.21050061236962136</c:v>
                </c:pt>
                <c:pt idx="533">
                  <c:v>0.23007794243750723</c:v>
                </c:pt>
                <c:pt idx="534">
                  <c:v>0.25140580526665346</c:v>
                </c:pt>
                <c:pt idx="535">
                  <c:v>0.26964717697516249</c:v>
                </c:pt>
                <c:pt idx="536">
                  <c:v>0.28563403551719446</c:v>
                </c:pt>
                <c:pt idx="537">
                  <c:v>0.30759119412098102</c:v>
                </c:pt>
                <c:pt idx="538">
                  <c:v>0.3255045927738216</c:v>
                </c:pt>
                <c:pt idx="539">
                  <c:v>0.34385845682766814</c:v>
                </c:pt>
                <c:pt idx="540">
                  <c:v>0.36188494794832593</c:v>
                </c:pt>
                <c:pt idx="541">
                  <c:v>0.3800779914270116</c:v>
                </c:pt>
                <c:pt idx="542">
                  <c:v>0.39809823637475716</c:v>
                </c:pt>
                <c:pt idx="543">
                  <c:v>0.41740339252908498</c:v>
                </c:pt>
                <c:pt idx="544">
                  <c:v>0.43561873851778543</c:v>
                </c:pt>
                <c:pt idx="545">
                  <c:v>0.4549723086343711</c:v>
                </c:pt>
                <c:pt idx="546">
                  <c:v>0.47434796080841934</c:v>
                </c:pt>
                <c:pt idx="547">
                  <c:v>0.49279567666878776</c:v>
                </c:pt>
                <c:pt idx="548">
                  <c:v>0.51549090018389876</c:v>
                </c:pt>
                <c:pt idx="549">
                  <c:v>0.57581592161682948</c:v>
                </c:pt>
                <c:pt idx="550">
                  <c:v>0.60386700551119787</c:v>
                </c:pt>
                <c:pt idx="551">
                  <c:v>0.61882008573203606</c:v>
                </c:pt>
                <c:pt idx="552">
                  <c:v>0.63923285976713728</c:v>
                </c:pt>
                <c:pt idx="553">
                  <c:v>0.66379875076543371</c:v>
                </c:pt>
                <c:pt idx="554">
                  <c:v>0.68275187997545572</c:v>
                </c:pt>
                <c:pt idx="555">
                  <c:v>0.70559256582989249</c:v>
                </c:pt>
                <c:pt idx="556">
                  <c:v>0.72015484384576567</c:v>
                </c:pt>
                <c:pt idx="557">
                  <c:v>0.74006849969409316</c:v>
                </c:pt>
                <c:pt idx="558">
                  <c:v>0.75781235762399035</c:v>
                </c:pt>
                <c:pt idx="559">
                  <c:v>0.77920377219868087</c:v>
                </c:pt>
                <c:pt idx="560">
                  <c:v>0.79484527862807042</c:v>
                </c:pt>
                <c:pt idx="561">
                  <c:v>0.81562519289635205</c:v>
                </c:pt>
                <c:pt idx="562">
                  <c:v>0.83250094304946032</c:v>
                </c:pt>
                <c:pt idx="563">
                  <c:v>0.853453104715026</c:v>
                </c:pt>
                <c:pt idx="564">
                  <c:v>0.87292253521122021</c:v>
                </c:pt>
                <c:pt idx="565">
                  <c:v>0.89131724433568493</c:v>
                </c:pt>
                <c:pt idx="566">
                  <c:v>0.90890395590911055</c:v>
                </c:pt>
                <c:pt idx="567">
                  <c:v>0.92862774035508266</c:v>
                </c:pt>
                <c:pt idx="568">
                  <c:v>0.95295169626448839</c:v>
                </c:pt>
                <c:pt idx="569">
                  <c:v>0.9636145254131705</c:v>
                </c:pt>
                <c:pt idx="570">
                  <c:v>4.4771708509294683E-3</c:v>
                </c:pt>
                <c:pt idx="571">
                  <c:v>2.6100085731719957E-2</c:v>
                </c:pt>
                <c:pt idx="572">
                  <c:v>4.3818628291706574E-2</c:v>
                </c:pt>
                <c:pt idx="573">
                  <c:v>6.9142424984534046E-2</c:v>
                </c:pt>
                <c:pt idx="574">
                  <c:v>8.2938420085550746E-2</c:v>
                </c:pt>
                <c:pt idx="575">
                  <c:v>0.10974176362526578</c:v>
                </c:pt>
                <c:pt idx="576">
                  <c:v>0.12639902020814375</c:v>
                </c:pt>
                <c:pt idx="577">
                  <c:v>0.14679453766061101</c:v>
                </c:pt>
                <c:pt idx="578">
                  <c:v>0.16407119412150806</c:v>
                </c:pt>
                <c:pt idx="579">
                  <c:v>0.18356041641152032</c:v>
                </c:pt>
                <c:pt idx="580">
                  <c:v>0.20135093692562478</c:v>
                </c:pt>
                <c:pt idx="581">
                  <c:v>0.22186144519271167</c:v>
                </c:pt>
                <c:pt idx="582">
                  <c:v>0.24034488671136955</c:v>
                </c:pt>
                <c:pt idx="583">
                  <c:v>0.25955309246798564</c:v>
                </c:pt>
                <c:pt idx="584">
                  <c:v>0.28078487446441613</c:v>
                </c:pt>
                <c:pt idx="585">
                  <c:v>0.29434706674819111</c:v>
                </c:pt>
                <c:pt idx="586">
                  <c:v>0.31467004286596278</c:v>
                </c:pt>
                <c:pt idx="587">
                  <c:v>0.33224307409666309</c:v>
                </c:pt>
                <c:pt idx="588">
                  <c:v>0.35097180649099968</c:v>
                </c:pt>
                <c:pt idx="589">
                  <c:v>0.37036602571948762</c:v>
                </c:pt>
                <c:pt idx="590">
                  <c:v>0.3909117207592665</c:v>
                </c:pt>
                <c:pt idx="591">
                  <c:v>0.40205906919760892</c:v>
                </c:pt>
                <c:pt idx="592">
                  <c:v>0.47938334353927559</c:v>
                </c:pt>
                <c:pt idx="593">
                  <c:v>0.504695272504879</c:v>
                </c:pt>
                <c:pt idx="594">
                  <c:v>0.51790945499106655</c:v>
                </c:pt>
                <c:pt idx="595">
                  <c:v>0.54638028169017616</c:v>
                </c:pt>
                <c:pt idx="596">
                  <c:v>0.55981325168409057</c:v>
                </c:pt>
                <c:pt idx="597">
                  <c:v>0.58241608083266527</c:v>
                </c:pt>
                <c:pt idx="598">
                  <c:v>0.60615026331931432</c:v>
                </c:pt>
                <c:pt idx="599">
                  <c:v>0.62293857930197305</c:v>
                </c:pt>
                <c:pt idx="600">
                  <c:v>0.64851539497835731</c:v>
                </c:pt>
                <c:pt idx="601">
                  <c:v>0.66148155541954878</c:v>
                </c:pt>
                <c:pt idx="602">
                  <c:v>0.68368802204516044</c:v>
                </c:pt>
                <c:pt idx="603">
                  <c:v>0.69804682180032174</c:v>
                </c:pt>
                <c:pt idx="604">
                  <c:v>0.72015548071014734</c:v>
                </c:pt>
                <c:pt idx="605">
                  <c:v>0.73748014696895936</c:v>
                </c:pt>
                <c:pt idx="606">
                  <c:v>0.75882102878147251</c:v>
                </c:pt>
                <c:pt idx="607">
                  <c:v>0.77536650336777058</c:v>
                </c:pt>
                <c:pt idx="608">
                  <c:v>0.79518382118778774</c:v>
                </c:pt>
                <c:pt idx="609">
                  <c:v>0.81449692590311429</c:v>
                </c:pt>
                <c:pt idx="610">
                  <c:v>0.83224066135924701</c:v>
                </c:pt>
                <c:pt idx="611">
                  <c:v>0.86991304347824183</c:v>
                </c:pt>
                <c:pt idx="612">
                  <c:v>0.9010750765462241</c:v>
                </c:pt>
                <c:pt idx="613">
                  <c:v>0.94576956521758504</c:v>
                </c:pt>
                <c:pt idx="614">
                  <c:v>0.96363407225945252</c:v>
                </c:pt>
                <c:pt idx="615">
                  <c:v>0.98781987752614953</c:v>
                </c:pt>
                <c:pt idx="616">
                  <c:v>9.5043723207410835E-3</c:v>
                </c:pt>
                <c:pt idx="617">
                  <c:v>2.4601763625334172E-2</c:v>
                </c:pt>
                <c:pt idx="618">
                  <c:v>4.6908046540377057E-2</c:v>
                </c:pt>
                <c:pt idx="619">
                  <c:v>6.0520122473885607E-2</c:v>
                </c:pt>
                <c:pt idx="620">
                  <c:v>8.4461102265560584E-2</c:v>
                </c:pt>
                <c:pt idx="621">
                  <c:v>9.8929491733009911E-2</c:v>
                </c:pt>
                <c:pt idx="622">
                  <c:v>0.11811402326977927</c:v>
                </c:pt>
                <c:pt idx="623">
                  <c:v>0.13468906307388906</c:v>
                </c:pt>
                <c:pt idx="624">
                  <c:v>0.15849594611147566</c:v>
                </c:pt>
                <c:pt idx="625">
                  <c:v>0.1761485364359956</c:v>
                </c:pt>
                <c:pt idx="626">
                  <c:v>0.19401952235138964</c:v>
                </c:pt>
                <c:pt idx="627">
                  <c:v>0.21080586650344202</c:v>
                </c:pt>
                <c:pt idx="628">
                  <c:v>0.23059463563996374</c:v>
                </c:pt>
                <c:pt idx="629">
                  <c:v>0.24912230251043255</c:v>
                </c:pt>
                <c:pt idx="630">
                  <c:v>0.27160184935707221</c:v>
                </c:pt>
                <c:pt idx="631">
                  <c:v>0.28749575015312701</c:v>
                </c:pt>
                <c:pt idx="632">
                  <c:v>0.30219687691354125</c:v>
                </c:pt>
                <c:pt idx="633">
                  <c:v>0.35446812002477657</c:v>
                </c:pt>
                <c:pt idx="634">
                  <c:v>0.37449222290289441</c:v>
                </c:pt>
                <c:pt idx="635">
                  <c:v>0.38955541947355954</c:v>
                </c:pt>
                <c:pt idx="636">
                  <c:v>0.41158009797907269</c:v>
                </c:pt>
                <c:pt idx="637">
                  <c:v>0.43442011022665383</c:v>
                </c:pt>
                <c:pt idx="638">
                  <c:v>0.45040229026317036</c:v>
                </c:pt>
                <c:pt idx="639">
                  <c:v>0.47544576852443754</c:v>
                </c:pt>
                <c:pt idx="640">
                  <c:v>0.48985969381485717</c:v>
                </c:pt>
                <c:pt idx="641">
                  <c:v>0.51199650949190101</c:v>
                </c:pt>
                <c:pt idx="642">
                  <c:v>0.52807539497859679</c:v>
                </c:pt>
                <c:pt idx="643">
                  <c:v>0.5513443110838061</c:v>
                </c:pt>
                <c:pt idx="644">
                  <c:v>0.56871014084514115</c:v>
                </c:pt>
                <c:pt idx="645">
                  <c:v>0.59190349050826541</c:v>
                </c:pt>
                <c:pt idx="646">
                  <c:v>0.60699290875687595</c:v>
                </c:pt>
                <c:pt idx="647">
                  <c:v>0.62649126760535978</c:v>
                </c:pt>
                <c:pt idx="648">
                  <c:v>0.64575115737915212</c:v>
                </c:pt>
                <c:pt idx="649">
                  <c:v>0.66532197183104103</c:v>
                </c:pt>
                <c:pt idx="650">
                  <c:v>0.68592464176348145</c:v>
                </c:pt>
                <c:pt idx="651">
                  <c:v>0.70381361910581575</c:v>
                </c:pt>
                <c:pt idx="652">
                  <c:v>0.72675837109587249</c:v>
                </c:pt>
                <c:pt idx="653">
                  <c:v>0.74650372320869351</c:v>
                </c:pt>
                <c:pt idx="654">
                  <c:v>0.76276533986542816</c:v>
                </c:pt>
                <c:pt idx="655">
                  <c:v>0.81650930802199184</c:v>
                </c:pt>
                <c:pt idx="656">
                  <c:v>0.84064202082034711</c:v>
                </c:pt>
                <c:pt idx="657">
                  <c:v>0.85890200857326349</c:v>
                </c:pt>
                <c:pt idx="658">
                  <c:v>0.8834891365584383</c:v>
                </c:pt>
                <c:pt idx="659">
                  <c:v>0.89673704837733581</c:v>
                </c:pt>
                <c:pt idx="660">
                  <c:v>0.92095489283500243</c:v>
                </c:pt>
                <c:pt idx="661">
                  <c:v>0.94223612982241534</c:v>
                </c:pt>
                <c:pt idx="662">
                  <c:v>0.96060311083898142</c:v>
                </c:pt>
                <c:pt idx="663">
                  <c:v>0.98224482547482594</c:v>
                </c:pt>
                <c:pt idx="664">
                  <c:v>0.99772135946108165</c:v>
                </c:pt>
                <c:pt idx="665">
                  <c:v>2.0528095529687818E-2</c:v>
                </c:pt>
                <c:pt idx="666">
                  <c:v>3.592623392518135E-2</c:v>
                </c:pt>
                <c:pt idx="667">
                  <c:v>5.758945499099255E-2</c:v>
                </c:pt>
                <c:pt idx="668">
                  <c:v>7.1803429271209751E-2</c:v>
                </c:pt>
                <c:pt idx="669">
                  <c:v>9.4549761176001113E-2</c:v>
                </c:pt>
                <c:pt idx="670">
                  <c:v>0.11405175750127228</c:v>
                </c:pt>
                <c:pt idx="671">
                  <c:v>0.13212515615424181</c:v>
                </c:pt>
                <c:pt idx="672">
                  <c:v>0.1522751255360113</c:v>
                </c:pt>
                <c:pt idx="673">
                  <c:v>0.16787506429910692</c:v>
                </c:pt>
                <c:pt idx="674">
                  <c:v>0.19874341702413645</c:v>
                </c:pt>
                <c:pt idx="675">
                  <c:v>0.27857511328842577</c:v>
                </c:pt>
                <c:pt idx="676">
                  <c:v>0.29809406001248462</c:v>
                </c:pt>
                <c:pt idx="677">
                  <c:v>0.32295276178816934</c:v>
                </c:pt>
                <c:pt idx="678">
                  <c:v>0.34654661359474304</c:v>
                </c:pt>
                <c:pt idx="679">
                  <c:v>0.36213870177562058</c:v>
                </c:pt>
                <c:pt idx="680">
                  <c:v>0.38452962645433786</c:v>
                </c:pt>
                <c:pt idx="681">
                  <c:v>0.4002178567053889</c:v>
                </c:pt>
                <c:pt idx="682">
                  <c:v>0.42190031843249542</c:v>
                </c:pt>
                <c:pt idx="683">
                  <c:v>0.43761308022032708</c:v>
                </c:pt>
                <c:pt idx="684">
                  <c:v>0.45958260869560519</c:v>
                </c:pt>
                <c:pt idx="685">
                  <c:v>0.4763167176973937</c:v>
                </c:pt>
                <c:pt idx="686">
                  <c:v>0.4968242131045848</c:v>
                </c:pt>
                <c:pt idx="687">
                  <c:v>0.5158840906307276</c:v>
                </c:pt>
                <c:pt idx="688">
                  <c:v>0.5324186282916763</c:v>
                </c:pt>
                <c:pt idx="689">
                  <c:v>0.55069358236357857</c:v>
                </c:pt>
                <c:pt idx="690">
                  <c:v>0.57133658297601642</c:v>
                </c:pt>
                <c:pt idx="691">
                  <c:v>0.5902947826089715</c:v>
                </c:pt>
                <c:pt idx="692">
                  <c:v>0.60577561543194847</c:v>
                </c:pt>
                <c:pt idx="693">
                  <c:v>0.62654976117603312</c:v>
                </c:pt>
                <c:pt idx="694">
                  <c:v>0.63718677281053715</c:v>
                </c:pt>
                <c:pt idx="695">
                  <c:v>0.71355916717673296</c:v>
                </c:pt>
                <c:pt idx="696">
                  <c:v>0.73379243110846559</c:v>
                </c:pt>
                <c:pt idx="697">
                  <c:v>0.75377222290291002</c:v>
                </c:pt>
                <c:pt idx="698">
                  <c:v>0.78337603184324323</c:v>
                </c:pt>
                <c:pt idx="699">
                  <c:v>0.80770798530303978</c:v>
                </c:pt>
                <c:pt idx="700">
                  <c:v>0.82894219228437649</c:v>
                </c:pt>
                <c:pt idx="701">
                  <c:v>0.84992015921606168</c:v>
                </c:pt>
                <c:pt idx="702">
                  <c:v>0.86333991426846879</c:v>
                </c:pt>
                <c:pt idx="703">
                  <c:v>0.88724421310499224</c:v>
                </c:pt>
                <c:pt idx="704">
                  <c:v>0.89947611757480672</c:v>
                </c:pt>
                <c:pt idx="705">
                  <c:v>0.92369920391913496</c:v>
                </c:pt>
                <c:pt idx="706">
                  <c:v>0.93923846907532749</c:v>
                </c:pt>
                <c:pt idx="707">
                  <c:v>0.95934936925894476</c:v>
                </c:pt>
                <c:pt idx="708">
                  <c:v>0.97479850581726879</c:v>
                </c:pt>
                <c:pt idx="709">
                  <c:v>0.99640011022680497</c:v>
                </c:pt>
              </c:numCache>
            </c:numRef>
          </c:xVal>
          <c:yVal>
            <c:numRef>
              <c:f>Vis!$F$406:$F$1115</c:f>
              <c:numCache>
                <c:formatCode>General</c:formatCode>
                <c:ptCount val="710"/>
                <c:pt idx="0">
                  <c:v>8.266667</c:v>
                </c:pt>
                <c:pt idx="1">
                  <c:v>8.2916670000000003</c:v>
                </c:pt>
                <c:pt idx="2">
                  <c:v>8.1</c:v>
                </c:pt>
                <c:pt idx="3">
                  <c:v>8.3000000000000007</c:v>
                </c:pt>
                <c:pt idx="4">
                  <c:v>8.0749999999999993</c:v>
                </c:pt>
                <c:pt idx="5">
                  <c:v>8.2848480000000002</c:v>
                </c:pt>
                <c:pt idx="6">
                  <c:v>8.320513</c:v>
                </c:pt>
                <c:pt idx="7">
                  <c:v>8.35</c:v>
                </c:pt>
                <c:pt idx="8">
                  <c:v>8.3510200000000001</c:v>
                </c:pt>
                <c:pt idx="9">
                  <c:v>8.3524999999999991</c:v>
                </c:pt>
                <c:pt idx="10">
                  <c:v>8.3542860000000001</c:v>
                </c:pt>
                <c:pt idx="11">
                  <c:v>8.3800000000000008</c:v>
                </c:pt>
                <c:pt idx="12">
                  <c:v>8.43</c:v>
                </c:pt>
                <c:pt idx="13">
                  <c:v>8.4749999999999996</c:v>
                </c:pt>
                <c:pt idx="14">
                  <c:v>8.4813949999999991</c:v>
                </c:pt>
                <c:pt idx="15">
                  <c:v>8.5408159999999995</c:v>
                </c:pt>
                <c:pt idx="16">
                  <c:v>8.5179489999999998</c:v>
                </c:pt>
                <c:pt idx="17">
                  <c:v>8.5171430000000008</c:v>
                </c:pt>
                <c:pt idx="18">
                  <c:v>8.7428570000000008</c:v>
                </c:pt>
                <c:pt idx="19">
                  <c:v>8.3733330000000006</c:v>
                </c:pt>
                <c:pt idx="20">
                  <c:v>8.56</c:v>
                </c:pt>
                <c:pt idx="21">
                  <c:v>8.6028570000000002</c:v>
                </c:pt>
                <c:pt idx="22">
                  <c:v>8.5274999999999999</c:v>
                </c:pt>
                <c:pt idx="23">
                  <c:v>8.4979659999999999</c:v>
                </c:pt>
                <c:pt idx="24">
                  <c:v>8.4853330000000007</c:v>
                </c:pt>
                <c:pt idx="25">
                  <c:v>8.4623080000000002</c:v>
                </c:pt>
                <c:pt idx="26">
                  <c:v>8.5187100000000004</c:v>
                </c:pt>
                <c:pt idx="27">
                  <c:v>8.4450000000000003</c:v>
                </c:pt>
                <c:pt idx="28">
                  <c:v>8.4023880000000002</c:v>
                </c:pt>
                <c:pt idx="29">
                  <c:v>8.3887999999999998</c:v>
                </c:pt>
                <c:pt idx="30">
                  <c:v>8.4026669999999992</c:v>
                </c:pt>
                <c:pt idx="31">
                  <c:v>8.435333</c:v>
                </c:pt>
                <c:pt idx="32">
                  <c:v>8.3583870000000005</c:v>
                </c:pt>
                <c:pt idx="33">
                  <c:v>8.4347370000000002</c:v>
                </c:pt>
                <c:pt idx="34">
                  <c:v>8.5204550000000001</c:v>
                </c:pt>
                <c:pt idx="35">
                  <c:v>8</c:v>
                </c:pt>
                <c:pt idx="36">
                  <c:v>8.5</c:v>
                </c:pt>
                <c:pt idx="37">
                  <c:v>8.3800000000000008</c:v>
                </c:pt>
                <c:pt idx="38">
                  <c:v>8.25</c:v>
                </c:pt>
                <c:pt idx="39">
                  <c:v>8.3125</c:v>
                </c:pt>
                <c:pt idx="40">
                  <c:v>8.3095239999999997</c:v>
                </c:pt>
                <c:pt idx="41">
                  <c:v>8.2976469999999996</c:v>
                </c:pt>
                <c:pt idx="42">
                  <c:v>8.2955000000000005</c:v>
                </c:pt>
                <c:pt idx="43">
                  <c:v>8.2723680000000002</c:v>
                </c:pt>
                <c:pt idx="44">
                  <c:v>8.2587060000000001</c:v>
                </c:pt>
                <c:pt idx="45">
                  <c:v>8.3571740000000005</c:v>
                </c:pt>
                <c:pt idx="46">
                  <c:v>8.3716050000000006</c:v>
                </c:pt>
                <c:pt idx="47">
                  <c:v>8.341818</c:v>
                </c:pt>
                <c:pt idx="48">
                  <c:v>8.341132</c:v>
                </c:pt>
                <c:pt idx="49">
                  <c:v>8.3132760000000001</c:v>
                </c:pt>
                <c:pt idx="50">
                  <c:v>8.3534880000000005</c:v>
                </c:pt>
                <c:pt idx="51">
                  <c:v>8.3671740000000003</c:v>
                </c:pt>
                <c:pt idx="52">
                  <c:v>8.3621429999999997</c:v>
                </c:pt>
                <c:pt idx="53">
                  <c:v>8.4820829999999994</c:v>
                </c:pt>
                <c:pt idx="54">
                  <c:v>8.6445450000000008</c:v>
                </c:pt>
                <c:pt idx="55">
                  <c:v>8.75</c:v>
                </c:pt>
                <c:pt idx="56">
                  <c:v>8.5942860000000003</c:v>
                </c:pt>
                <c:pt idx="57">
                  <c:v>8.69</c:v>
                </c:pt>
                <c:pt idx="58">
                  <c:v>8.5871429999999993</c:v>
                </c:pt>
                <c:pt idx="59">
                  <c:v>8.5163329999999995</c:v>
                </c:pt>
                <c:pt idx="60">
                  <c:v>8.5714290000000002</c:v>
                </c:pt>
                <c:pt idx="61">
                  <c:v>8.6071930000000005</c:v>
                </c:pt>
                <c:pt idx="62">
                  <c:v>8.6638300000000008</c:v>
                </c:pt>
                <c:pt idx="63">
                  <c:v>8.5603079999999991</c:v>
                </c:pt>
                <c:pt idx="64">
                  <c:v>8.5096550000000004</c:v>
                </c:pt>
                <c:pt idx="65">
                  <c:v>8.5457999999999998</c:v>
                </c:pt>
                <c:pt idx="66">
                  <c:v>8.5344259999999998</c:v>
                </c:pt>
                <c:pt idx="67">
                  <c:v>8.5426190000000002</c:v>
                </c:pt>
                <c:pt idx="68">
                  <c:v>8.5036670000000001</c:v>
                </c:pt>
                <c:pt idx="69">
                  <c:v>8.5120000000000005</c:v>
                </c:pt>
                <c:pt idx="70">
                  <c:v>8.5116669999999992</c:v>
                </c:pt>
                <c:pt idx="71">
                  <c:v>8.6394439999999992</c:v>
                </c:pt>
                <c:pt idx="72">
                  <c:v>8.4049999999999994</c:v>
                </c:pt>
                <c:pt idx="73">
                  <c:v>8.5</c:v>
                </c:pt>
                <c:pt idx="74">
                  <c:v>8.4</c:v>
                </c:pt>
                <c:pt idx="75">
                  <c:v>8.6839999999999993</c:v>
                </c:pt>
                <c:pt idx="76">
                  <c:v>8.7279999999999998</c:v>
                </c:pt>
                <c:pt idx="77">
                  <c:v>8.6836359999999999</c:v>
                </c:pt>
                <c:pt idx="78">
                  <c:v>8.6045449999999999</c:v>
                </c:pt>
                <c:pt idx="79">
                  <c:v>8.4480000000000004</c:v>
                </c:pt>
                <c:pt idx="80">
                  <c:v>8.4722580000000001</c:v>
                </c:pt>
                <c:pt idx="81">
                  <c:v>8.4164709999999996</c:v>
                </c:pt>
                <c:pt idx="82">
                  <c:v>8.4612499999999997</c:v>
                </c:pt>
                <c:pt idx="83">
                  <c:v>8.3964379999999998</c:v>
                </c:pt>
                <c:pt idx="84">
                  <c:v>8.3885710000000007</c:v>
                </c:pt>
                <c:pt idx="85">
                  <c:v>8.3149999999999995</c:v>
                </c:pt>
                <c:pt idx="86">
                  <c:v>8.3672059999999995</c:v>
                </c:pt>
                <c:pt idx="87">
                  <c:v>8.3585709999999995</c:v>
                </c:pt>
                <c:pt idx="88">
                  <c:v>8.4131429999999998</c:v>
                </c:pt>
                <c:pt idx="89">
                  <c:v>8.3786670000000001</c:v>
                </c:pt>
                <c:pt idx="90">
                  <c:v>8.3847170000000002</c:v>
                </c:pt>
                <c:pt idx="91">
                  <c:v>8.4465000000000003</c:v>
                </c:pt>
                <c:pt idx="92">
                  <c:v>8.4047059999999991</c:v>
                </c:pt>
                <c:pt idx="93">
                  <c:v>8.4257139999999993</c:v>
                </c:pt>
                <c:pt idx="94">
                  <c:v>8.4499999999999993</c:v>
                </c:pt>
                <c:pt idx="95">
                  <c:v>8.4</c:v>
                </c:pt>
                <c:pt idx="96">
                  <c:v>8.6122219999999992</c:v>
                </c:pt>
                <c:pt idx="97">
                  <c:v>8.35</c:v>
                </c:pt>
                <c:pt idx="98">
                  <c:v>8.5389999999999997</c:v>
                </c:pt>
                <c:pt idx="99">
                  <c:v>8.5068420000000007</c:v>
                </c:pt>
                <c:pt idx="100">
                  <c:v>8.5531030000000001</c:v>
                </c:pt>
                <c:pt idx="101">
                  <c:v>8.5937999999999999</c:v>
                </c:pt>
                <c:pt idx="102">
                  <c:v>8.5471050000000002</c:v>
                </c:pt>
                <c:pt idx="103">
                  <c:v>8.549868</c:v>
                </c:pt>
                <c:pt idx="104">
                  <c:v>8.5867799999999992</c:v>
                </c:pt>
                <c:pt idx="105">
                  <c:v>8.5708859999999998</c:v>
                </c:pt>
                <c:pt idx="106">
                  <c:v>8.5719999999999992</c:v>
                </c:pt>
                <c:pt idx="107">
                  <c:v>8.5508249999999997</c:v>
                </c:pt>
                <c:pt idx="108">
                  <c:v>8.5792590000000004</c:v>
                </c:pt>
                <c:pt idx="109">
                  <c:v>8.576981</c:v>
                </c:pt>
                <c:pt idx="110">
                  <c:v>8.6009089999999997</c:v>
                </c:pt>
                <c:pt idx="111">
                  <c:v>8.5540540000000007</c:v>
                </c:pt>
                <c:pt idx="112">
                  <c:v>8.5297219999999996</c:v>
                </c:pt>
                <c:pt idx="113">
                  <c:v>8.4830769999999998</c:v>
                </c:pt>
                <c:pt idx="114">
                  <c:v>8.5869999999999997</c:v>
                </c:pt>
                <c:pt idx="115">
                  <c:v>8.8000000000000007</c:v>
                </c:pt>
                <c:pt idx="116">
                  <c:v>8.6950000000000003</c:v>
                </c:pt>
                <c:pt idx="117">
                  <c:v>8.5514290000000006</c:v>
                </c:pt>
                <c:pt idx="118">
                  <c:v>8.4574999999999996</c:v>
                </c:pt>
                <c:pt idx="119">
                  <c:v>8.6091669999999993</c:v>
                </c:pt>
                <c:pt idx="120">
                  <c:v>8.3514289999999995</c:v>
                </c:pt>
                <c:pt idx="121">
                  <c:v>8.3772409999999997</c:v>
                </c:pt>
                <c:pt idx="122">
                  <c:v>8.4217779999999998</c:v>
                </c:pt>
                <c:pt idx="123">
                  <c:v>8.3449469999999994</c:v>
                </c:pt>
                <c:pt idx="124">
                  <c:v>8.3201300000000007</c:v>
                </c:pt>
                <c:pt idx="125">
                  <c:v>8.3982580000000002</c:v>
                </c:pt>
                <c:pt idx="126">
                  <c:v>8.3770930000000003</c:v>
                </c:pt>
                <c:pt idx="127">
                  <c:v>8.3441600000000005</c:v>
                </c:pt>
                <c:pt idx="128">
                  <c:v>8.3920689999999993</c:v>
                </c:pt>
                <c:pt idx="129">
                  <c:v>8.3458880000000004</c:v>
                </c:pt>
                <c:pt idx="130">
                  <c:v>8.4089290000000005</c:v>
                </c:pt>
                <c:pt idx="131">
                  <c:v>8.3436730000000008</c:v>
                </c:pt>
                <c:pt idx="132">
                  <c:v>8.3696300000000008</c:v>
                </c:pt>
                <c:pt idx="133">
                  <c:v>8.3390620000000002</c:v>
                </c:pt>
                <c:pt idx="134">
                  <c:v>8.3308330000000002</c:v>
                </c:pt>
                <c:pt idx="135">
                  <c:v>8.39</c:v>
                </c:pt>
                <c:pt idx="136">
                  <c:v>8.59</c:v>
                </c:pt>
                <c:pt idx="137">
                  <c:v>8.4600000000000009</c:v>
                </c:pt>
                <c:pt idx="138">
                  <c:v>8.4188890000000001</c:v>
                </c:pt>
                <c:pt idx="139">
                  <c:v>8.5719999999999992</c:v>
                </c:pt>
                <c:pt idx="140">
                  <c:v>8.5442859999999996</c:v>
                </c:pt>
                <c:pt idx="141">
                  <c:v>8.6</c:v>
                </c:pt>
                <c:pt idx="142">
                  <c:v>8.56</c:v>
                </c:pt>
                <c:pt idx="143">
                  <c:v>8.6808890000000005</c:v>
                </c:pt>
                <c:pt idx="144">
                  <c:v>8.5565630000000006</c:v>
                </c:pt>
                <c:pt idx="145">
                  <c:v>8.5321669999999994</c:v>
                </c:pt>
                <c:pt idx="146">
                  <c:v>8.5415480000000006</c:v>
                </c:pt>
                <c:pt idx="147">
                  <c:v>8.5563509999999994</c:v>
                </c:pt>
                <c:pt idx="148">
                  <c:v>8.5873609999999996</c:v>
                </c:pt>
                <c:pt idx="149">
                  <c:v>8.6273330000000001</c:v>
                </c:pt>
                <c:pt idx="150">
                  <c:v>8.6908329999999996</c:v>
                </c:pt>
                <c:pt idx="151">
                  <c:v>8.5521879999999992</c:v>
                </c:pt>
                <c:pt idx="152">
                  <c:v>8.6227269999999994</c:v>
                </c:pt>
                <c:pt idx="153">
                  <c:v>8.5547830000000005</c:v>
                </c:pt>
                <c:pt idx="154">
                  <c:v>8.5829170000000001</c:v>
                </c:pt>
                <c:pt idx="155">
                  <c:v>8.3249999999999993</c:v>
                </c:pt>
                <c:pt idx="156">
                  <c:v>8.6999999999999993</c:v>
                </c:pt>
                <c:pt idx="157">
                  <c:v>8.6999999999999993</c:v>
                </c:pt>
                <c:pt idx="158">
                  <c:v>8.7100000000000009</c:v>
                </c:pt>
                <c:pt idx="159">
                  <c:v>8.6535709999999995</c:v>
                </c:pt>
                <c:pt idx="160">
                  <c:v>8.7850000000000001</c:v>
                </c:pt>
                <c:pt idx="161">
                  <c:v>8.7181479999999993</c:v>
                </c:pt>
                <c:pt idx="162">
                  <c:v>8.5904550000000004</c:v>
                </c:pt>
                <c:pt idx="163">
                  <c:v>8.6042620000000003</c:v>
                </c:pt>
                <c:pt idx="164">
                  <c:v>8.5163080000000004</c:v>
                </c:pt>
                <c:pt idx="165">
                  <c:v>8.4911539999999999</c:v>
                </c:pt>
                <c:pt idx="166">
                  <c:v>8.5316299999999998</c:v>
                </c:pt>
                <c:pt idx="167">
                  <c:v>8.5044439999999994</c:v>
                </c:pt>
                <c:pt idx="168">
                  <c:v>8.4961819999999992</c:v>
                </c:pt>
                <c:pt idx="169">
                  <c:v>8.4418919999999993</c:v>
                </c:pt>
                <c:pt idx="170">
                  <c:v>8.443085</c:v>
                </c:pt>
                <c:pt idx="171">
                  <c:v>8.4457690000000003</c:v>
                </c:pt>
                <c:pt idx="172">
                  <c:v>8.3731709999999993</c:v>
                </c:pt>
                <c:pt idx="173">
                  <c:v>8.4241379999999992</c:v>
                </c:pt>
                <c:pt idx="174">
                  <c:v>8.3956250000000008</c:v>
                </c:pt>
                <c:pt idx="175">
                  <c:v>8.4223079999999992</c:v>
                </c:pt>
                <c:pt idx="176">
                  <c:v>8.5500000000000007</c:v>
                </c:pt>
                <c:pt idx="177">
                  <c:v>8.3333329999999997</c:v>
                </c:pt>
                <c:pt idx="178">
                  <c:v>8.5399999999999991</c:v>
                </c:pt>
                <c:pt idx="179">
                  <c:v>8.5359999999999996</c:v>
                </c:pt>
                <c:pt idx="180">
                  <c:v>8.5092309999999998</c:v>
                </c:pt>
                <c:pt idx="181">
                  <c:v>8.5378260000000008</c:v>
                </c:pt>
                <c:pt idx="182">
                  <c:v>8.5659379999999992</c:v>
                </c:pt>
                <c:pt idx="183">
                  <c:v>8.5490910000000007</c:v>
                </c:pt>
                <c:pt idx="184">
                  <c:v>8.58</c:v>
                </c:pt>
                <c:pt idx="185">
                  <c:v>8.5558750000000003</c:v>
                </c:pt>
                <c:pt idx="186">
                  <c:v>8.5746669999999998</c:v>
                </c:pt>
                <c:pt idx="187">
                  <c:v>8.6215480000000007</c:v>
                </c:pt>
                <c:pt idx="188">
                  <c:v>8.5944439999999993</c:v>
                </c:pt>
                <c:pt idx="189">
                  <c:v>8.6028739999999999</c:v>
                </c:pt>
                <c:pt idx="190">
                  <c:v>8.6025639999999992</c:v>
                </c:pt>
                <c:pt idx="191">
                  <c:v>8.6837309999999999</c:v>
                </c:pt>
                <c:pt idx="192">
                  <c:v>8.5313040000000004</c:v>
                </c:pt>
                <c:pt idx="193">
                  <c:v>8.5745450000000005</c:v>
                </c:pt>
                <c:pt idx="194">
                  <c:v>8.6881249999999994</c:v>
                </c:pt>
                <c:pt idx="195">
                  <c:v>8.6850000000000005</c:v>
                </c:pt>
                <c:pt idx="196">
                  <c:v>8.6750000000000007</c:v>
                </c:pt>
                <c:pt idx="197">
                  <c:v>8.6999999999999993</c:v>
                </c:pt>
                <c:pt idx="198">
                  <c:v>8.5500000000000007</c:v>
                </c:pt>
                <c:pt idx="199">
                  <c:v>8.7390000000000008</c:v>
                </c:pt>
                <c:pt idx="200">
                  <c:v>8.75</c:v>
                </c:pt>
                <c:pt idx="201">
                  <c:v>8.6916670000000007</c:v>
                </c:pt>
                <c:pt idx="202">
                  <c:v>8.7260000000000009</c:v>
                </c:pt>
                <c:pt idx="203">
                  <c:v>8.6518180000000005</c:v>
                </c:pt>
                <c:pt idx="204">
                  <c:v>8.6349999999999998</c:v>
                </c:pt>
                <c:pt idx="205">
                  <c:v>8.6688240000000008</c:v>
                </c:pt>
                <c:pt idx="206">
                  <c:v>8.6736620000000002</c:v>
                </c:pt>
                <c:pt idx="207">
                  <c:v>8.6523909999999997</c:v>
                </c:pt>
                <c:pt idx="208">
                  <c:v>8.5889190000000006</c:v>
                </c:pt>
                <c:pt idx="209">
                  <c:v>8.7006779999999999</c:v>
                </c:pt>
                <c:pt idx="210">
                  <c:v>8.6208749999999998</c:v>
                </c:pt>
                <c:pt idx="211">
                  <c:v>8.5394000000000005</c:v>
                </c:pt>
                <c:pt idx="212">
                  <c:v>8.5263790000000004</c:v>
                </c:pt>
                <c:pt idx="213">
                  <c:v>8.5508159999999993</c:v>
                </c:pt>
                <c:pt idx="214">
                  <c:v>8.5912500000000005</c:v>
                </c:pt>
                <c:pt idx="215">
                  <c:v>8.5158620000000003</c:v>
                </c:pt>
                <c:pt idx="216">
                  <c:v>8.6203120000000002</c:v>
                </c:pt>
                <c:pt idx="217">
                  <c:v>8.3333329999999997</c:v>
                </c:pt>
                <c:pt idx="218">
                  <c:v>8.4499999999999993</c:v>
                </c:pt>
                <c:pt idx="219">
                  <c:v>8.5</c:v>
                </c:pt>
                <c:pt idx="220">
                  <c:v>8.5</c:v>
                </c:pt>
                <c:pt idx="221">
                  <c:v>8.5263159999999996</c:v>
                </c:pt>
                <c:pt idx="222">
                  <c:v>8.4611110000000007</c:v>
                </c:pt>
                <c:pt idx="223">
                  <c:v>8.4078049999999998</c:v>
                </c:pt>
                <c:pt idx="224">
                  <c:v>8.4576919999999998</c:v>
                </c:pt>
                <c:pt idx="225">
                  <c:v>8.5129169999999998</c:v>
                </c:pt>
                <c:pt idx="226">
                  <c:v>8.5184289999999994</c:v>
                </c:pt>
                <c:pt idx="227">
                  <c:v>8.4992909999999995</c:v>
                </c:pt>
                <c:pt idx="228">
                  <c:v>8.5122409999999995</c:v>
                </c:pt>
                <c:pt idx="229">
                  <c:v>8.5898810000000001</c:v>
                </c:pt>
                <c:pt idx="230">
                  <c:v>8.5182350000000007</c:v>
                </c:pt>
                <c:pt idx="231">
                  <c:v>8.5515279999999994</c:v>
                </c:pt>
                <c:pt idx="232">
                  <c:v>8.5758329999999994</c:v>
                </c:pt>
                <c:pt idx="233">
                  <c:v>8.6147270000000002</c:v>
                </c:pt>
                <c:pt idx="234">
                  <c:v>8.6324140000000007</c:v>
                </c:pt>
                <c:pt idx="235">
                  <c:v>8.5306060000000006</c:v>
                </c:pt>
                <c:pt idx="236">
                  <c:v>8.5487500000000001</c:v>
                </c:pt>
                <c:pt idx="237">
                  <c:v>8.4</c:v>
                </c:pt>
                <c:pt idx="238">
                  <c:v>8.6733329999999995</c:v>
                </c:pt>
                <c:pt idx="239">
                  <c:v>8.6963640000000009</c:v>
                </c:pt>
                <c:pt idx="240">
                  <c:v>8.7750000000000004</c:v>
                </c:pt>
                <c:pt idx="241">
                  <c:v>8.7416669999999996</c:v>
                </c:pt>
                <c:pt idx="242">
                  <c:v>8.7231109999999994</c:v>
                </c:pt>
                <c:pt idx="243">
                  <c:v>8.6761700000000008</c:v>
                </c:pt>
                <c:pt idx="244">
                  <c:v>8.7274759999999993</c:v>
                </c:pt>
                <c:pt idx="245">
                  <c:v>8.6937099999999994</c:v>
                </c:pt>
                <c:pt idx="246">
                  <c:v>8.6790629999999993</c:v>
                </c:pt>
                <c:pt idx="247">
                  <c:v>8.6286249999999995</c:v>
                </c:pt>
                <c:pt idx="248">
                  <c:v>8.6695290000000007</c:v>
                </c:pt>
                <c:pt idx="249">
                  <c:v>8.7317389999999993</c:v>
                </c:pt>
                <c:pt idx="250">
                  <c:v>8.7103509999999993</c:v>
                </c:pt>
                <c:pt idx="251">
                  <c:v>8.6943660000000005</c:v>
                </c:pt>
                <c:pt idx="252">
                  <c:v>8.7206250000000001</c:v>
                </c:pt>
                <c:pt idx="253">
                  <c:v>8.7318599999999993</c:v>
                </c:pt>
                <c:pt idx="254">
                  <c:v>8.6916670000000007</c:v>
                </c:pt>
                <c:pt idx="255">
                  <c:v>8.7428570000000008</c:v>
                </c:pt>
                <c:pt idx="256">
                  <c:v>8.7357139999999998</c:v>
                </c:pt>
                <c:pt idx="257">
                  <c:v>8.733333</c:v>
                </c:pt>
                <c:pt idx="258">
                  <c:v>8.6066669999999998</c:v>
                </c:pt>
                <c:pt idx="259">
                  <c:v>8.5</c:v>
                </c:pt>
                <c:pt idx="260">
                  <c:v>8.6783330000000003</c:v>
                </c:pt>
                <c:pt idx="261">
                  <c:v>8.6547370000000008</c:v>
                </c:pt>
                <c:pt idx="262">
                  <c:v>8.5634999999999994</c:v>
                </c:pt>
                <c:pt idx="263">
                  <c:v>8.6525639999999999</c:v>
                </c:pt>
                <c:pt idx="264">
                  <c:v>8.5781080000000003</c:v>
                </c:pt>
                <c:pt idx="265">
                  <c:v>8.4885710000000003</c:v>
                </c:pt>
                <c:pt idx="266">
                  <c:v>8.5642859999999992</c:v>
                </c:pt>
                <c:pt idx="267">
                  <c:v>8.5550569999999997</c:v>
                </c:pt>
                <c:pt idx="268">
                  <c:v>8.5525680000000008</c:v>
                </c:pt>
                <c:pt idx="269">
                  <c:v>8.5236710000000002</c:v>
                </c:pt>
                <c:pt idx="270">
                  <c:v>8.5953009999999992</c:v>
                </c:pt>
                <c:pt idx="271">
                  <c:v>8.5693619999999999</c:v>
                </c:pt>
                <c:pt idx="272">
                  <c:v>8.5454720000000002</c:v>
                </c:pt>
                <c:pt idx="273">
                  <c:v>8.6120929999999998</c:v>
                </c:pt>
                <c:pt idx="274">
                  <c:v>8.6002130000000001</c:v>
                </c:pt>
                <c:pt idx="275">
                  <c:v>8.6296149999999994</c:v>
                </c:pt>
                <c:pt idx="276">
                  <c:v>8.58</c:v>
                </c:pt>
                <c:pt idx="277">
                  <c:v>8.5833329999999997</c:v>
                </c:pt>
                <c:pt idx="278">
                  <c:v>8.8000000000000007</c:v>
                </c:pt>
                <c:pt idx="279">
                  <c:v>8.7324999999999999</c:v>
                </c:pt>
                <c:pt idx="280">
                  <c:v>8.7628570000000003</c:v>
                </c:pt>
                <c:pt idx="281">
                  <c:v>8.7142859999999995</c:v>
                </c:pt>
                <c:pt idx="282">
                  <c:v>8.7277780000000007</c:v>
                </c:pt>
                <c:pt idx="283">
                  <c:v>8.6545159999999992</c:v>
                </c:pt>
                <c:pt idx="284">
                  <c:v>8.6119050000000001</c:v>
                </c:pt>
                <c:pt idx="285">
                  <c:v>8.7340979999999995</c:v>
                </c:pt>
                <c:pt idx="286">
                  <c:v>8.7338100000000001</c:v>
                </c:pt>
                <c:pt idx="287">
                  <c:v>8.6813640000000003</c:v>
                </c:pt>
                <c:pt idx="288">
                  <c:v>8.7445450000000005</c:v>
                </c:pt>
                <c:pt idx="289">
                  <c:v>8.7704760000000004</c:v>
                </c:pt>
                <c:pt idx="290">
                  <c:v>8.7486049999999995</c:v>
                </c:pt>
                <c:pt idx="291">
                  <c:v>8.7566319999999997</c:v>
                </c:pt>
                <c:pt idx="292">
                  <c:v>8.8218519999999998</c:v>
                </c:pt>
                <c:pt idx="293">
                  <c:v>8.8074069999999995</c:v>
                </c:pt>
                <c:pt idx="294">
                  <c:v>8.8238810000000001</c:v>
                </c:pt>
                <c:pt idx="295">
                  <c:v>8.7799999999999994</c:v>
                </c:pt>
                <c:pt idx="296">
                  <c:v>8.8138459999999998</c:v>
                </c:pt>
                <c:pt idx="297">
                  <c:v>8.7617069999999995</c:v>
                </c:pt>
                <c:pt idx="298">
                  <c:v>8.7449999999999992</c:v>
                </c:pt>
                <c:pt idx="299">
                  <c:v>8.76</c:v>
                </c:pt>
                <c:pt idx="300">
                  <c:v>8.8049999999999997</c:v>
                </c:pt>
                <c:pt idx="301">
                  <c:v>8.8849999999999998</c:v>
                </c:pt>
                <c:pt idx="302">
                  <c:v>8.7457139999999995</c:v>
                </c:pt>
                <c:pt idx="303">
                  <c:v>8.749091</c:v>
                </c:pt>
                <c:pt idx="304">
                  <c:v>8.76</c:v>
                </c:pt>
                <c:pt idx="305">
                  <c:v>8.6785709999999998</c:v>
                </c:pt>
                <c:pt idx="306">
                  <c:v>8.68</c:v>
                </c:pt>
                <c:pt idx="307">
                  <c:v>8.6552170000000004</c:v>
                </c:pt>
                <c:pt idx="308">
                  <c:v>8.6388890000000007</c:v>
                </c:pt>
                <c:pt idx="309">
                  <c:v>8.6438550000000003</c:v>
                </c:pt>
                <c:pt idx="310">
                  <c:v>8.6265789999999996</c:v>
                </c:pt>
                <c:pt idx="311">
                  <c:v>8.5939999999999994</c:v>
                </c:pt>
                <c:pt idx="312">
                  <c:v>8.5715959999999995</c:v>
                </c:pt>
                <c:pt idx="313">
                  <c:v>8.5396669999999997</c:v>
                </c:pt>
                <c:pt idx="314">
                  <c:v>8.5010940000000002</c:v>
                </c:pt>
                <c:pt idx="315">
                  <c:v>8.4857630000000004</c:v>
                </c:pt>
                <c:pt idx="316">
                  <c:v>8.516</c:v>
                </c:pt>
                <c:pt idx="317">
                  <c:v>8.5117139999999996</c:v>
                </c:pt>
                <c:pt idx="318">
                  <c:v>8.5834209999999995</c:v>
                </c:pt>
                <c:pt idx="319">
                  <c:v>8.5637500000000006</c:v>
                </c:pt>
                <c:pt idx="320">
                  <c:v>8.52</c:v>
                </c:pt>
                <c:pt idx="321">
                  <c:v>8.5</c:v>
                </c:pt>
                <c:pt idx="322">
                  <c:v>8.6</c:v>
                </c:pt>
                <c:pt idx="323">
                  <c:v>8.7137499999999992</c:v>
                </c:pt>
                <c:pt idx="324">
                  <c:v>8.766667</c:v>
                </c:pt>
                <c:pt idx="325">
                  <c:v>8.58</c:v>
                </c:pt>
                <c:pt idx="326">
                  <c:v>8.7162500000000005</c:v>
                </c:pt>
                <c:pt idx="327">
                  <c:v>8.7096769999999992</c:v>
                </c:pt>
                <c:pt idx="328">
                  <c:v>8.7041939999999993</c:v>
                </c:pt>
                <c:pt idx="329">
                  <c:v>8.6524140000000003</c:v>
                </c:pt>
                <c:pt idx="330">
                  <c:v>8.7006759999999996</c:v>
                </c:pt>
                <c:pt idx="331">
                  <c:v>8.7359039999999997</c:v>
                </c:pt>
                <c:pt idx="332">
                  <c:v>8.730556</c:v>
                </c:pt>
                <c:pt idx="333">
                  <c:v>8.7712730000000008</c:v>
                </c:pt>
                <c:pt idx="334">
                  <c:v>8.7389770000000002</c:v>
                </c:pt>
                <c:pt idx="335">
                  <c:v>8.8168570000000006</c:v>
                </c:pt>
                <c:pt idx="336">
                  <c:v>8.7634209999999992</c:v>
                </c:pt>
                <c:pt idx="337">
                  <c:v>8.7784849999999999</c:v>
                </c:pt>
                <c:pt idx="338">
                  <c:v>8.7815379999999994</c:v>
                </c:pt>
                <c:pt idx="339">
                  <c:v>8.8073680000000003</c:v>
                </c:pt>
                <c:pt idx="340">
                  <c:v>8.7346149999999998</c:v>
                </c:pt>
                <c:pt idx="341">
                  <c:v>8.8173910000000006</c:v>
                </c:pt>
                <c:pt idx="342">
                  <c:v>9</c:v>
                </c:pt>
                <c:pt idx="343">
                  <c:v>8.8000000000000007</c:v>
                </c:pt>
                <c:pt idx="344">
                  <c:v>8.6833329999999993</c:v>
                </c:pt>
                <c:pt idx="345">
                  <c:v>8.7428570000000008</c:v>
                </c:pt>
                <c:pt idx="346">
                  <c:v>8.7200000000000006</c:v>
                </c:pt>
                <c:pt idx="347">
                  <c:v>8.6678569999999997</c:v>
                </c:pt>
                <c:pt idx="348">
                  <c:v>8.7562499999999996</c:v>
                </c:pt>
                <c:pt idx="349">
                  <c:v>8.6690480000000001</c:v>
                </c:pt>
                <c:pt idx="350">
                  <c:v>8.6255170000000003</c:v>
                </c:pt>
                <c:pt idx="351">
                  <c:v>8.7140509999999995</c:v>
                </c:pt>
                <c:pt idx="352">
                  <c:v>8.6687499999999993</c:v>
                </c:pt>
                <c:pt idx="353">
                  <c:v>8.6493420000000008</c:v>
                </c:pt>
                <c:pt idx="354">
                  <c:v>8.6798749999999991</c:v>
                </c:pt>
                <c:pt idx="355">
                  <c:v>8.6048100000000005</c:v>
                </c:pt>
                <c:pt idx="356">
                  <c:v>8.6614810000000002</c:v>
                </c:pt>
                <c:pt idx="357">
                  <c:v>8.6537290000000002</c:v>
                </c:pt>
                <c:pt idx="358">
                  <c:v>8.6303029999999996</c:v>
                </c:pt>
                <c:pt idx="359">
                  <c:v>8.6009089999999997</c:v>
                </c:pt>
                <c:pt idx="360">
                  <c:v>8.57</c:v>
                </c:pt>
                <c:pt idx="361">
                  <c:v>8.5612119999999994</c:v>
                </c:pt>
                <c:pt idx="362">
                  <c:v>8.597391</c:v>
                </c:pt>
                <c:pt idx="363">
                  <c:v>8.66</c:v>
                </c:pt>
                <c:pt idx="364">
                  <c:v>8.6750000000000007</c:v>
                </c:pt>
                <c:pt idx="365">
                  <c:v>8.8000000000000007</c:v>
                </c:pt>
                <c:pt idx="366">
                  <c:v>8.5500000000000007</c:v>
                </c:pt>
                <c:pt idx="367">
                  <c:v>8.7010529999999999</c:v>
                </c:pt>
                <c:pt idx="368">
                  <c:v>8.8381819999999998</c:v>
                </c:pt>
                <c:pt idx="369">
                  <c:v>8.6747370000000004</c:v>
                </c:pt>
                <c:pt idx="370">
                  <c:v>8.7178260000000005</c:v>
                </c:pt>
                <c:pt idx="371">
                  <c:v>8.7256250000000009</c:v>
                </c:pt>
                <c:pt idx="372">
                  <c:v>8.7040260000000007</c:v>
                </c:pt>
                <c:pt idx="373">
                  <c:v>8.6872880000000006</c:v>
                </c:pt>
                <c:pt idx="374">
                  <c:v>8.7534650000000003</c:v>
                </c:pt>
                <c:pt idx="375">
                  <c:v>8.7753619999999994</c:v>
                </c:pt>
                <c:pt idx="376">
                  <c:v>8.7581310000000006</c:v>
                </c:pt>
                <c:pt idx="377">
                  <c:v>8.76</c:v>
                </c:pt>
                <c:pt idx="378">
                  <c:v>8.7727170000000001</c:v>
                </c:pt>
                <c:pt idx="379">
                  <c:v>8.81</c:v>
                </c:pt>
                <c:pt idx="380">
                  <c:v>8.7771190000000008</c:v>
                </c:pt>
                <c:pt idx="381">
                  <c:v>8.7984849999999994</c:v>
                </c:pt>
                <c:pt idx="382">
                  <c:v>8.8054050000000004</c:v>
                </c:pt>
                <c:pt idx="383">
                  <c:v>8.7780000000000005</c:v>
                </c:pt>
                <c:pt idx="384">
                  <c:v>8.7961539999999996</c:v>
                </c:pt>
                <c:pt idx="385">
                  <c:v>8.7539999999999996</c:v>
                </c:pt>
                <c:pt idx="386">
                  <c:v>9.1</c:v>
                </c:pt>
                <c:pt idx="387">
                  <c:v>8.84</c:v>
                </c:pt>
                <c:pt idx="388">
                  <c:v>9.0250000000000004</c:v>
                </c:pt>
                <c:pt idx="389">
                  <c:v>8.8912499999999994</c:v>
                </c:pt>
                <c:pt idx="390">
                  <c:v>8.7959999999999994</c:v>
                </c:pt>
                <c:pt idx="391">
                  <c:v>8.795833</c:v>
                </c:pt>
                <c:pt idx="392">
                  <c:v>8.7636109999999992</c:v>
                </c:pt>
                <c:pt idx="393">
                  <c:v>8.7819719999999997</c:v>
                </c:pt>
                <c:pt idx="394">
                  <c:v>8.7973999999999997</c:v>
                </c:pt>
                <c:pt idx="395">
                  <c:v>8.8301429999999996</c:v>
                </c:pt>
                <c:pt idx="396">
                  <c:v>8.7391299999999994</c:v>
                </c:pt>
                <c:pt idx="397">
                  <c:v>8.6828570000000003</c:v>
                </c:pt>
                <c:pt idx="398">
                  <c:v>8.6891940000000005</c:v>
                </c:pt>
                <c:pt idx="399">
                  <c:v>8.7575000000000003</c:v>
                </c:pt>
                <c:pt idx="400">
                  <c:v>8.7386320000000008</c:v>
                </c:pt>
                <c:pt idx="401">
                  <c:v>8.7058140000000002</c:v>
                </c:pt>
                <c:pt idx="402">
                  <c:v>8.6897260000000003</c:v>
                </c:pt>
                <c:pt idx="403">
                  <c:v>8.7048389999999998</c:v>
                </c:pt>
                <c:pt idx="404">
                  <c:v>8.6627270000000003</c:v>
                </c:pt>
                <c:pt idx="405">
                  <c:v>8.6987500000000004</c:v>
                </c:pt>
                <c:pt idx="406">
                  <c:v>8.6722219999999997</c:v>
                </c:pt>
                <c:pt idx="407">
                  <c:v>8.6999999999999993</c:v>
                </c:pt>
                <c:pt idx="408">
                  <c:v>8.6839999999999993</c:v>
                </c:pt>
                <c:pt idx="409">
                  <c:v>8.58</c:v>
                </c:pt>
                <c:pt idx="410">
                  <c:v>8.5930769999999992</c:v>
                </c:pt>
                <c:pt idx="411">
                  <c:v>8.6723809999999997</c:v>
                </c:pt>
                <c:pt idx="412">
                  <c:v>8.6295999999999999</c:v>
                </c:pt>
                <c:pt idx="413">
                  <c:v>8.6208329999999993</c:v>
                </c:pt>
                <c:pt idx="414">
                  <c:v>8.5906120000000001</c:v>
                </c:pt>
                <c:pt idx="415">
                  <c:v>8.6089470000000006</c:v>
                </c:pt>
                <c:pt idx="416">
                  <c:v>8.6491009999999999</c:v>
                </c:pt>
                <c:pt idx="417">
                  <c:v>8.6929409999999994</c:v>
                </c:pt>
                <c:pt idx="418">
                  <c:v>8.7008969999999994</c:v>
                </c:pt>
                <c:pt idx="419">
                  <c:v>8.6833329999999993</c:v>
                </c:pt>
                <c:pt idx="420">
                  <c:v>8.6970969999999994</c:v>
                </c:pt>
                <c:pt idx="421">
                  <c:v>8.6984910000000006</c:v>
                </c:pt>
                <c:pt idx="422">
                  <c:v>8.7057140000000004</c:v>
                </c:pt>
                <c:pt idx="423">
                  <c:v>8.7447060000000008</c:v>
                </c:pt>
                <c:pt idx="424">
                  <c:v>8.7617860000000007</c:v>
                </c:pt>
                <c:pt idx="425">
                  <c:v>8.7575000000000003</c:v>
                </c:pt>
                <c:pt idx="426">
                  <c:v>8.6666670000000003</c:v>
                </c:pt>
                <c:pt idx="427">
                  <c:v>9</c:v>
                </c:pt>
                <c:pt idx="428">
                  <c:v>8.9733330000000002</c:v>
                </c:pt>
                <c:pt idx="429">
                  <c:v>8.9124999999999996</c:v>
                </c:pt>
                <c:pt idx="430">
                  <c:v>8.7956520000000005</c:v>
                </c:pt>
                <c:pt idx="431">
                  <c:v>8.8227270000000004</c:v>
                </c:pt>
                <c:pt idx="432">
                  <c:v>8.7933330000000005</c:v>
                </c:pt>
                <c:pt idx="433">
                  <c:v>8.7847460000000002</c:v>
                </c:pt>
                <c:pt idx="434">
                  <c:v>8.8220340000000004</c:v>
                </c:pt>
                <c:pt idx="435">
                  <c:v>8.8067569999999993</c:v>
                </c:pt>
                <c:pt idx="436">
                  <c:v>8.7754100000000008</c:v>
                </c:pt>
                <c:pt idx="437">
                  <c:v>8.7462689999999998</c:v>
                </c:pt>
                <c:pt idx="438">
                  <c:v>8.782</c:v>
                </c:pt>
                <c:pt idx="439">
                  <c:v>8.7569890000000008</c:v>
                </c:pt>
                <c:pt idx="440">
                  <c:v>8.7160709999999995</c:v>
                </c:pt>
                <c:pt idx="441">
                  <c:v>8.7038460000000004</c:v>
                </c:pt>
                <c:pt idx="442">
                  <c:v>8.6702700000000004</c:v>
                </c:pt>
                <c:pt idx="443">
                  <c:v>8.6566039999999997</c:v>
                </c:pt>
                <c:pt idx="444">
                  <c:v>8.6219999999999999</c:v>
                </c:pt>
                <c:pt idx="445">
                  <c:v>8.635294</c:v>
                </c:pt>
                <c:pt idx="446">
                  <c:v>8.6999999999999993</c:v>
                </c:pt>
                <c:pt idx="447">
                  <c:v>8.6</c:v>
                </c:pt>
                <c:pt idx="448">
                  <c:v>8.875</c:v>
                </c:pt>
                <c:pt idx="449">
                  <c:v>8.7200000000000006</c:v>
                </c:pt>
                <c:pt idx="450">
                  <c:v>8.6999999999999993</c:v>
                </c:pt>
                <c:pt idx="451">
                  <c:v>8.7349999999999994</c:v>
                </c:pt>
                <c:pt idx="452">
                  <c:v>8.6392860000000002</c:v>
                </c:pt>
                <c:pt idx="453">
                  <c:v>8.6695650000000004</c:v>
                </c:pt>
                <c:pt idx="454">
                  <c:v>8.6709680000000002</c:v>
                </c:pt>
                <c:pt idx="455">
                  <c:v>8.6552629999999997</c:v>
                </c:pt>
                <c:pt idx="456">
                  <c:v>8.6368419999999997</c:v>
                </c:pt>
                <c:pt idx="457">
                  <c:v>8.6567900000000009</c:v>
                </c:pt>
                <c:pt idx="458">
                  <c:v>8.6125000000000007</c:v>
                </c:pt>
                <c:pt idx="459">
                  <c:v>8.6016670000000008</c:v>
                </c:pt>
                <c:pt idx="460">
                  <c:v>8.6404259999999997</c:v>
                </c:pt>
                <c:pt idx="461">
                  <c:v>8.7472729999999999</c:v>
                </c:pt>
                <c:pt idx="462">
                  <c:v>8.7285710000000005</c:v>
                </c:pt>
                <c:pt idx="463">
                  <c:v>8.7615379999999998</c:v>
                </c:pt>
                <c:pt idx="464">
                  <c:v>8.6958330000000004</c:v>
                </c:pt>
                <c:pt idx="465">
                  <c:v>8.7366670000000006</c:v>
                </c:pt>
                <c:pt idx="466">
                  <c:v>8.8888890000000007</c:v>
                </c:pt>
                <c:pt idx="467">
                  <c:v>8.6</c:v>
                </c:pt>
                <c:pt idx="468">
                  <c:v>8.7249999999999996</c:v>
                </c:pt>
                <c:pt idx="469">
                  <c:v>8.8333329999999997</c:v>
                </c:pt>
                <c:pt idx="470">
                  <c:v>8.8166670000000007</c:v>
                </c:pt>
                <c:pt idx="471">
                  <c:v>8.6999999999999993</c:v>
                </c:pt>
                <c:pt idx="472">
                  <c:v>8.6466670000000008</c:v>
                </c:pt>
                <c:pt idx="473">
                  <c:v>8.8074069999999995</c:v>
                </c:pt>
                <c:pt idx="474">
                  <c:v>8.75</c:v>
                </c:pt>
                <c:pt idx="475">
                  <c:v>8.7253729999999994</c:v>
                </c:pt>
                <c:pt idx="476">
                  <c:v>8.7451609999999995</c:v>
                </c:pt>
                <c:pt idx="477">
                  <c:v>8.7954550000000005</c:v>
                </c:pt>
                <c:pt idx="478">
                  <c:v>8.8128569999999993</c:v>
                </c:pt>
                <c:pt idx="479">
                  <c:v>8.8532469999999996</c:v>
                </c:pt>
                <c:pt idx="480">
                  <c:v>8.9191179999999992</c:v>
                </c:pt>
                <c:pt idx="481">
                  <c:v>8.9148150000000008</c:v>
                </c:pt>
                <c:pt idx="482">
                  <c:v>8.8480000000000008</c:v>
                </c:pt>
                <c:pt idx="483">
                  <c:v>8.9585369999999998</c:v>
                </c:pt>
                <c:pt idx="484">
                  <c:v>8.9075469999999992</c:v>
                </c:pt>
                <c:pt idx="485">
                  <c:v>8.7821429999999996</c:v>
                </c:pt>
                <c:pt idx="486">
                  <c:v>8.8333329999999997</c:v>
                </c:pt>
                <c:pt idx="487">
                  <c:v>8.7249999999999996</c:v>
                </c:pt>
                <c:pt idx="488">
                  <c:v>8.5500000000000007</c:v>
                </c:pt>
                <c:pt idx="489">
                  <c:v>9.0666670000000007</c:v>
                </c:pt>
                <c:pt idx="490">
                  <c:v>8.7555560000000003</c:v>
                </c:pt>
                <c:pt idx="491">
                  <c:v>8.6833329999999993</c:v>
                </c:pt>
                <c:pt idx="492">
                  <c:v>8.6545450000000006</c:v>
                </c:pt>
                <c:pt idx="493">
                  <c:v>8.6315790000000003</c:v>
                </c:pt>
                <c:pt idx="494">
                  <c:v>8.5592590000000008</c:v>
                </c:pt>
                <c:pt idx="495">
                  <c:v>8.5374999999999996</c:v>
                </c:pt>
                <c:pt idx="496">
                  <c:v>8.5830190000000002</c:v>
                </c:pt>
                <c:pt idx="497">
                  <c:v>8.5560609999999997</c:v>
                </c:pt>
                <c:pt idx="498">
                  <c:v>8.5536890000000003</c:v>
                </c:pt>
                <c:pt idx="499">
                  <c:v>8.5653849999999991</c:v>
                </c:pt>
                <c:pt idx="500">
                  <c:v>8.5063490000000002</c:v>
                </c:pt>
                <c:pt idx="501">
                  <c:v>8.5326529999999998</c:v>
                </c:pt>
                <c:pt idx="502">
                  <c:v>8.5109379999999994</c:v>
                </c:pt>
                <c:pt idx="503">
                  <c:v>8.5187500000000007</c:v>
                </c:pt>
                <c:pt idx="504">
                  <c:v>8.4972220000000007</c:v>
                </c:pt>
                <c:pt idx="505">
                  <c:v>8.4866670000000006</c:v>
                </c:pt>
                <c:pt idx="506">
                  <c:v>8.53125</c:v>
                </c:pt>
                <c:pt idx="507">
                  <c:v>8.733333</c:v>
                </c:pt>
                <c:pt idx="508">
                  <c:v>8.5749999999999993</c:v>
                </c:pt>
                <c:pt idx="509">
                  <c:v>8.8000000000000007</c:v>
                </c:pt>
                <c:pt idx="510">
                  <c:v>8.6999999999999993</c:v>
                </c:pt>
                <c:pt idx="511">
                  <c:v>8.5777780000000003</c:v>
                </c:pt>
                <c:pt idx="512">
                  <c:v>8.6058819999999994</c:v>
                </c:pt>
                <c:pt idx="513">
                  <c:v>8.661111</c:v>
                </c:pt>
                <c:pt idx="514">
                  <c:v>8.713889</c:v>
                </c:pt>
                <c:pt idx="515">
                  <c:v>8.6906250000000007</c:v>
                </c:pt>
                <c:pt idx="516">
                  <c:v>8.7534480000000006</c:v>
                </c:pt>
                <c:pt idx="517">
                  <c:v>8.7455879999999997</c:v>
                </c:pt>
                <c:pt idx="518">
                  <c:v>8.7527469999999994</c:v>
                </c:pt>
                <c:pt idx="519">
                  <c:v>8.7935479999999995</c:v>
                </c:pt>
                <c:pt idx="520">
                  <c:v>8.8029849999999996</c:v>
                </c:pt>
                <c:pt idx="521">
                  <c:v>8.8309090000000001</c:v>
                </c:pt>
                <c:pt idx="522">
                  <c:v>8.8132350000000006</c:v>
                </c:pt>
                <c:pt idx="523">
                  <c:v>8.8954550000000001</c:v>
                </c:pt>
                <c:pt idx="524">
                  <c:v>8.9079999999999995</c:v>
                </c:pt>
                <c:pt idx="525">
                  <c:v>8.9222219999999997</c:v>
                </c:pt>
                <c:pt idx="526">
                  <c:v>8.8346149999999994</c:v>
                </c:pt>
                <c:pt idx="527">
                  <c:v>8.7650000000000006</c:v>
                </c:pt>
                <c:pt idx="528">
                  <c:v>9.1</c:v>
                </c:pt>
                <c:pt idx="529">
                  <c:v>8.7750000000000004</c:v>
                </c:pt>
                <c:pt idx="530">
                  <c:v>8.9</c:v>
                </c:pt>
                <c:pt idx="531">
                  <c:v>8.6666670000000003</c:v>
                </c:pt>
                <c:pt idx="532">
                  <c:v>8.7249999999999996</c:v>
                </c:pt>
                <c:pt idx="533">
                  <c:v>8.6588239999999992</c:v>
                </c:pt>
                <c:pt idx="534">
                  <c:v>8.6954550000000008</c:v>
                </c:pt>
                <c:pt idx="535">
                  <c:v>8.6866669999999999</c:v>
                </c:pt>
                <c:pt idx="536">
                  <c:v>8.6148150000000001</c:v>
                </c:pt>
                <c:pt idx="537">
                  <c:v>8.5640630000000009</c:v>
                </c:pt>
                <c:pt idx="538">
                  <c:v>8.5584620000000005</c:v>
                </c:pt>
                <c:pt idx="539">
                  <c:v>8.5932289999999991</c:v>
                </c:pt>
                <c:pt idx="540">
                  <c:v>8.5023809999999997</c:v>
                </c:pt>
                <c:pt idx="541">
                  <c:v>8.5446670000000005</c:v>
                </c:pt>
                <c:pt idx="542">
                  <c:v>8.5394369999999995</c:v>
                </c:pt>
                <c:pt idx="543">
                  <c:v>8.5537740000000007</c:v>
                </c:pt>
                <c:pt idx="544">
                  <c:v>8.508108</c:v>
                </c:pt>
                <c:pt idx="545">
                  <c:v>8.6080000000000005</c:v>
                </c:pt>
                <c:pt idx="546">
                  <c:v>8.5857139999999994</c:v>
                </c:pt>
                <c:pt idx="547">
                  <c:v>8.5827589999999994</c:v>
                </c:pt>
                <c:pt idx="548">
                  <c:v>8.5500000000000007</c:v>
                </c:pt>
                <c:pt idx="549">
                  <c:v>8.8666669999999996</c:v>
                </c:pt>
                <c:pt idx="550">
                  <c:v>8.6538459999999997</c:v>
                </c:pt>
                <c:pt idx="551">
                  <c:v>8.641667</c:v>
                </c:pt>
                <c:pt idx="552">
                  <c:v>8.6142859999999999</c:v>
                </c:pt>
                <c:pt idx="553">
                  <c:v>8.733333</c:v>
                </c:pt>
                <c:pt idx="554">
                  <c:v>8.6071430000000007</c:v>
                </c:pt>
                <c:pt idx="555">
                  <c:v>8.5827589999999994</c:v>
                </c:pt>
                <c:pt idx="556">
                  <c:v>8.6339290000000002</c:v>
                </c:pt>
                <c:pt idx="557">
                  <c:v>8.6377050000000004</c:v>
                </c:pt>
                <c:pt idx="558">
                  <c:v>8.6806450000000002</c:v>
                </c:pt>
                <c:pt idx="559">
                  <c:v>8.7140350000000009</c:v>
                </c:pt>
                <c:pt idx="560">
                  <c:v>8.6877910000000007</c:v>
                </c:pt>
                <c:pt idx="561">
                  <c:v>8.7027029999999996</c:v>
                </c:pt>
                <c:pt idx="562">
                  <c:v>8.6863639999999993</c:v>
                </c:pt>
                <c:pt idx="563">
                  <c:v>8.7785709999999995</c:v>
                </c:pt>
                <c:pt idx="564">
                  <c:v>8.7709679999999999</c:v>
                </c:pt>
                <c:pt idx="565">
                  <c:v>8.8134619999999995</c:v>
                </c:pt>
                <c:pt idx="566">
                  <c:v>8.7787880000000005</c:v>
                </c:pt>
                <c:pt idx="567">
                  <c:v>8.76</c:v>
                </c:pt>
                <c:pt idx="568">
                  <c:v>8.7833330000000007</c:v>
                </c:pt>
                <c:pt idx="569">
                  <c:v>8.8000000000000007</c:v>
                </c:pt>
                <c:pt idx="570">
                  <c:v>8.84</c:v>
                </c:pt>
                <c:pt idx="571">
                  <c:v>8.9375</c:v>
                </c:pt>
                <c:pt idx="572">
                  <c:v>8.8559999999999999</c:v>
                </c:pt>
                <c:pt idx="573">
                  <c:v>8.8571430000000007</c:v>
                </c:pt>
                <c:pt idx="574">
                  <c:v>8.7959999999999994</c:v>
                </c:pt>
                <c:pt idx="575">
                  <c:v>8.8736840000000008</c:v>
                </c:pt>
                <c:pt idx="576">
                  <c:v>8.7650000000000006</c:v>
                </c:pt>
                <c:pt idx="577">
                  <c:v>8.7261900000000008</c:v>
                </c:pt>
                <c:pt idx="578">
                  <c:v>8.7714289999999995</c:v>
                </c:pt>
                <c:pt idx="579">
                  <c:v>8.7803570000000004</c:v>
                </c:pt>
                <c:pt idx="580">
                  <c:v>8.7368419999999993</c:v>
                </c:pt>
                <c:pt idx="581">
                  <c:v>8.6914890000000007</c:v>
                </c:pt>
                <c:pt idx="582">
                  <c:v>8.7142859999999995</c:v>
                </c:pt>
                <c:pt idx="583">
                  <c:v>8.6287230000000008</c:v>
                </c:pt>
                <c:pt idx="584">
                  <c:v>8.6312499999999996</c:v>
                </c:pt>
                <c:pt idx="585">
                  <c:v>8.6488370000000003</c:v>
                </c:pt>
                <c:pt idx="586">
                  <c:v>8.6702700000000004</c:v>
                </c:pt>
                <c:pt idx="587">
                  <c:v>8.6085709999999995</c:v>
                </c:pt>
                <c:pt idx="588">
                  <c:v>8.6684210000000004</c:v>
                </c:pt>
                <c:pt idx="589">
                  <c:v>8.6769230000000004</c:v>
                </c:pt>
                <c:pt idx="590">
                  <c:v>8.7066669999999995</c:v>
                </c:pt>
                <c:pt idx="591">
                  <c:v>8.65</c:v>
                </c:pt>
                <c:pt idx="592">
                  <c:v>8.75</c:v>
                </c:pt>
                <c:pt idx="593">
                  <c:v>8.6285710000000009</c:v>
                </c:pt>
                <c:pt idx="594">
                  <c:v>8.65</c:v>
                </c:pt>
                <c:pt idx="595">
                  <c:v>8.7047620000000006</c:v>
                </c:pt>
                <c:pt idx="596">
                  <c:v>8.7071430000000003</c:v>
                </c:pt>
                <c:pt idx="597">
                  <c:v>8.7235289999999992</c:v>
                </c:pt>
                <c:pt idx="598">
                  <c:v>8.6307690000000008</c:v>
                </c:pt>
                <c:pt idx="599">
                  <c:v>8.6804349999999992</c:v>
                </c:pt>
                <c:pt idx="600">
                  <c:v>8.6894740000000006</c:v>
                </c:pt>
                <c:pt idx="601">
                  <c:v>8.7028850000000002</c:v>
                </c:pt>
                <c:pt idx="602">
                  <c:v>8.6865380000000005</c:v>
                </c:pt>
                <c:pt idx="603">
                  <c:v>8.6911109999999994</c:v>
                </c:pt>
                <c:pt idx="604">
                  <c:v>8.6489130000000003</c:v>
                </c:pt>
                <c:pt idx="605">
                  <c:v>8.6862069999999996</c:v>
                </c:pt>
                <c:pt idx="606">
                  <c:v>8.7550000000000008</c:v>
                </c:pt>
                <c:pt idx="607">
                  <c:v>8.7260869999999997</c:v>
                </c:pt>
                <c:pt idx="608">
                  <c:v>8.8296299999999999</c:v>
                </c:pt>
                <c:pt idx="609">
                  <c:v>8.7750000000000004</c:v>
                </c:pt>
                <c:pt idx="610">
                  <c:v>8.7833330000000007</c:v>
                </c:pt>
                <c:pt idx="611">
                  <c:v>8.6</c:v>
                </c:pt>
                <c:pt idx="612">
                  <c:v>8.6</c:v>
                </c:pt>
                <c:pt idx="613">
                  <c:v>8.8666669999999996</c:v>
                </c:pt>
                <c:pt idx="614">
                  <c:v>8.9600000000000009</c:v>
                </c:pt>
                <c:pt idx="615">
                  <c:v>8.9333329999999993</c:v>
                </c:pt>
                <c:pt idx="616">
                  <c:v>8.9</c:v>
                </c:pt>
                <c:pt idx="617">
                  <c:v>8.9230769999999993</c:v>
                </c:pt>
                <c:pt idx="618">
                  <c:v>8.9238099999999996</c:v>
                </c:pt>
                <c:pt idx="619">
                  <c:v>8.7857140000000005</c:v>
                </c:pt>
                <c:pt idx="620">
                  <c:v>8.8000000000000007</c:v>
                </c:pt>
                <c:pt idx="621">
                  <c:v>8.7629629999999992</c:v>
                </c:pt>
                <c:pt idx="622">
                  <c:v>8.8051279999999998</c:v>
                </c:pt>
                <c:pt idx="623">
                  <c:v>8.7428570000000008</c:v>
                </c:pt>
                <c:pt idx="624">
                  <c:v>8.8264709999999997</c:v>
                </c:pt>
                <c:pt idx="625">
                  <c:v>8.8038460000000001</c:v>
                </c:pt>
                <c:pt idx="626">
                  <c:v>8.8088239999999995</c:v>
                </c:pt>
                <c:pt idx="627">
                  <c:v>8.8588240000000003</c:v>
                </c:pt>
                <c:pt idx="628">
                  <c:v>8.7764710000000008</c:v>
                </c:pt>
                <c:pt idx="629">
                  <c:v>8.8000000000000007</c:v>
                </c:pt>
                <c:pt idx="630">
                  <c:v>8.6555560000000007</c:v>
                </c:pt>
                <c:pt idx="631">
                  <c:v>8.5</c:v>
                </c:pt>
                <c:pt idx="632">
                  <c:v>8.6999999999999993</c:v>
                </c:pt>
                <c:pt idx="633">
                  <c:v>8.8800000000000008</c:v>
                </c:pt>
                <c:pt idx="634">
                  <c:v>8.8571430000000007</c:v>
                </c:pt>
                <c:pt idx="635">
                  <c:v>8.7222220000000004</c:v>
                </c:pt>
                <c:pt idx="636">
                  <c:v>8.6933330000000009</c:v>
                </c:pt>
                <c:pt idx="637">
                  <c:v>8.6818179999999998</c:v>
                </c:pt>
                <c:pt idx="638">
                  <c:v>8.723077</c:v>
                </c:pt>
                <c:pt idx="639">
                  <c:v>8.6750000000000007</c:v>
                </c:pt>
                <c:pt idx="640">
                  <c:v>8.6999999999999993</c:v>
                </c:pt>
                <c:pt idx="641">
                  <c:v>8.7521740000000001</c:v>
                </c:pt>
                <c:pt idx="642">
                  <c:v>8.6428569999999993</c:v>
                </c:pt>
                <c:pt idx="643">
                  <c:v>8.64</c:v>
                </c:pt>
                <c:pt idx="644">
                  <c:v>8.7180560000000007</c:v>
                </c:pt>
                <c:pt idx="645">
                  <c:v>8.6274999999999995</c:v>
                </c:pt>
                <c:pt idx="646">
                  <c:v>8.6232559999999996</c:v>
                </c:pt>
                <c:pt idx="647">
                  <c:v>8.6755809999999993</c:v>
                </c:pt>
                <c:pt idx="648">
                  <c:v>8.6150000000000002</c:v>
                </c:pt>
                <c:pt idx="649">
                  <c:v>8.6936169999999997</c:v>
                </c:pt>
                <c:pt idx="650">
                  <c:v>8.6785709999999998</c:v>
                </c:pt>
                <c:pt idx="651">
                  <c:v>8.7055559999999996</c:v>
                </c:pt>
                <c:pt idx="652">
                  <c:v>8.75</c:v>
                </c:pt>
                <c:pt idx="653">
                  <c:v>8.7375000000000007</c:v>
                </c:pt>
                <c:pt idx="654">
                  <c:v>8.6</c:v>
                </c:pt>
                <c:pt idx="655">
                  <c:v>9</c:v>
                </c:pt>
                <c:pt idx="656">
                  <c:v>8.9749999999999996</c:v>
                </c:pt>
                <c:pt idx="657">
                  <c:v>8.822222</c:v>
                </c:pt>
                <c:pt idx="658">
                  <c:v>8.911111</c:v>
                </c:pt>
                <c:pt idx="659">
                  <c:v>8.9</c:v>
                </c:pt>
                <c:pt idx="660">
                  <c:v>8.8454549999999994</c:v>
                </c:pt>
                <c:pt idx="661">
                  <c:v>8.7714289999999995</c:v>
                </c:pt>
                <c:pt idx="662">
                  <c:v>8.8631580000000003</c:v>
                </c:pt>
                <c:pt idx="663">
                  <c:v>8.9142860000000006</c:v>
                </c:pt>
                <c:pt idx="664">
                  <c:v>8.8943180000000002</c:v>
                </c:pt>
                <c:pt idx="665">
                  <c:v>8.8771740000000001</c:v>
                </c:pt>
                <c:pt idx="666">
                  <c:v>8.8728259999999999</c:v>
                </c:pt>
                <c:pt idx="667">
                  <c:v>8.8326530000000005</c:v>
                </c:pt>
                <c:pt idx="668">
                  <c:v>8.8103449999999999</c:v>
                </c:pt>
                <c:pt idx="669">
                  <c:v>8.77</c:v>
                </c:pt>
                <c:pt idx="670">
                  <c:v>8.8379309999999993</c:v>
                </c:pt>
                <c:pt idx="671">
                  <c:v>8.8909090000000006</c:v>
                </c:pt>
                <c:pt idx="672">
                  <c:v>8.9529409999999991</c:v>
                </c:pt>
                <c:pt idx="673">
                  <c:v>8.864706</c:v>
                </c:pt>
                <c:pt idx="674">
                  <c:v>9.1</c:v>
                </c:pt>
                <c:pt idx="675">
                  <c:v>8.84</c:v>
                </c:pt>
                <c:pt idx="676">
                  <c:v>8.7899999999999991</c:v>
                </c:pt>
                <c:pt idx="677">
                  <c:v>8.7714289999999995</c:v>
                </c:pt>
                <c:pt idx="678">
                  <c:v>8.8000000000000007</c:v>
                </c:pt>
                <c:pt idx="679">
                  <c:v>8.7071430000000003</c:v>
                </c:pt>
                <c:pt idx="680">
                  <c:v>8.6235289999999996</c:v>
                </c:pt>
                <c:pt idx="681">
                  <c:v>8.6</c:v>
                </c:pt>
                <c:pt idx="682">
                  <c:v>8.5891300000000008</c:v>
                </c:pt>
                <c:pt idx="683">
                  <c:v>8.5769230000000007</c:v>
                </c:pt>
                <c:pt idx="684">
                  <c:v>8.5463240000000003</c:v>
                </c:pt>
                <c:pt idx="685">
                  <c:v>8.5392860000000006</c:v>
                </c:pt>
                <c:pt idx="686">
                  <c:v>8.5349210000000006</c:v>
                </c:pt>
                <c:pt idx="687">
                  <c:v>8.6166669999999996</c:v>
                </c:pt>
                <c:pt idx="688">
                  <c:v>8.6634620000000009</c:v>
                </c:pt>
                <c:pt idx="689">
                  <c:v>8.5964290000000005</c:v>
                </c:pt>
                <c:pt idx="690">
                  <c:v>8.6531909999999996</c:v>
                </c:pt>
                <c:pt idx="691">
                  <c:v>8.6521740000000005</c:v>
                </c:pt>
                <c:pt idx="692">
                  <c:v>8.677778</c:v>
                </c:pt>
                <c:pt idx="693">
                  <c:v>8.69</c:v>
                </c:pt>
                <c:pt idx="694">
                  <c:v>8.6</c:v>
                </c:pt>
                <c:pt idx="695">
                  <c:v>8.56</c:v>
                </c:pt>
                <c:pt idx="696">
                  <c:v>8.6166669999999996</c:v>
                </c:pt>
                <c:pt idx="697">
                  <c:v>8.5571429999999999</c:v>
                </c:pt>
                <c:pt idx="698">
                  <c:v>8.5555559999999993</c:v>
                </c:pt>
                <c:pt idx="699">
                  <c:v>8.6</c:v>
                </c:pt>
                <c:pt idx="700">
                  <c:v>8.6653850000000006</c:v>
                </c:pt>
                <c:pt idx="701">
                  <c:v>8.7088239999999999</c:v>
                </c:pt>
                <c:pt idx="702">
                  <c:v>8.8047620000000002</c:v>
                </c:pt>
                <c:pt idx="703">
                  <c:v>8.8703699999999994</c:v>
                </c:pt>
                <c:pt idx="704">
                  <c:v>8.858333</c:v>
                </c:pt>
                <c:pt idx="705">
                  <c:v>8.9145160000000008</c:v>
                </c:pt>
                <c:pt idx="706">
                  <c:v>8.9243900000000007</c:v>
                </c:pt>
                <c:pt idx="707">
                  <c:v>8.9818180000000005</c:v>
                </c:pt>
                <c:pt idx="708">
                  <c:v>8.9542859999999997</c:v>
                </c:pt>
                <c:pt idx="709">
                  <c:v>8.9542859999999997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14-4C85-8350-7DD77C859ACA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Vis!$E$1116:$E$1160</c:f>
              <c:numCache>
                <c:formatCode>General</c:formatCode>
                <c:ptCount val="45"/>
                <c:pt idx="0">
                  <c:v>1.4545670545114575E-2</c:v>
                </c:pt>
                <c:pt idx="1">
                  <c:v>3.6095333741311464E-2</c:v>
                </c:pt>
                <c:pt idx="2">
                  <c:v>5.2748181261762284E-2</c:v>
                </c:pt>
                <c:pt idx="3">
                  <c:v>6.9697048377065585E-2</c:v>
                </c:pt>
                <c:pt idx="4">
                  <c:v>8.911818738534194E-2</c:v>
                </c:pt>
                <c:pt idx="5">
                  <c:v>0.15943049601936821</c:v>
                </c:pt>
                <c:pt idx="6">
                  <c:v>0.18679549295765341</c:v>
                </c:pt>
                <c:pt idx="7">
                  <c:v>0.20581720759310684</c:v>
                </c:pt>
                <c:pt idx="8">
                  <c:v>0.22835720759352895</c:v>
                </c:pt>
                <c:pt idx="9">
                  <c:v>0.25284661359478022</c:v>
                </c:pt>
                <c:pt idx="10">
                  <c:v>0.27230758113879006</c:v>
                </c:pt>
                <c:pt idx="11">
                  <c:v>0.29224274341708067</c:v>
                </c:pt>
                <c:pt idx="12">
                  <c:v>0.30922548683384221</c:v>
                </c:pt>
                <c:pt idx="13">
                  <c:v>0.32641670544986923</c:v>
                </c:pt>
                <c:pt idx="14">
                  <c:v>0.34529369259030673</c:v>
                </c:pt>
                <c:pt idx="15">
                  <c:v>0.36456547458687538</c:v>
                </c:pt>
                <c:pt idx="16">
                  <c:v>0.38476412737284704</c:v>
                </c:pt>
                <c:pt idx="17">
                  <c:v>0.40155397428043216</c:v>
                </c:pt>
                <c:pt idx="18">
                  <c:v>0.42261437844457816</c:v>
                </c:pt>
                <c:pt idx="19">
                  <c:v>0.43943255358254163</c:v>
                </c:pt>
                <c:pt idx="20">
                  <c:v>0.46058666258445768</c:v>
                </c:pt>
                <c:pt idx="21">
                  <c:v>0.47541365584795514</c:v>
                </c:pt>
                <c:pt idx="22">
                  <c:v>0.49710375995107725</c:v>
                </c:pt>
                <c:pt idx="23">
                  <c:v>0.51423904470317083</c:v>
                </c:pt>
                <c:pt idx="24">
                  <c:v>0.52960401714653571</c:v>
                </c:pt>
                <c:pt idx="25">
                  <c:v>0.54809655848119476</c:v>
                </c:pt>
                <c:pt idx="26">
                  <c:v>0.60769730557237622</c:v>
                </c:pt>
                <c:pt idx="27">
                  <c:v>0.62820525413329875</c:v>
                </c:pt>
                <c:pt idx="28">
                  <c:v>0.64317862829165051</c:v>
                </c:pt>
                <c:pt idx="29">
                  <c:v>0.66117957134121497</c:v>
                </c:pt>
                <c:pt idx="30">
                  <c:v>0.68388443355792461</c:v>
                </c:pt>
                <c:pt idx="31">
                  <c:v>0.69946491120660426</c:v>
                </c:pt>
                <c:pt idx="32">
                  <c:v>0.72389437844469029</c:v>
                </c:pt>
                <c:pt idx="33">
                  <c:v>0.74012792406607275</c:v>
                </c:pt>
                <c:pt idx="34">
                  <c:v>0.76049916717678201</c:v>
                </c:pt>
                <c:pt idx="35">
                  <c:v>0.77608442131032973</c:v>
                </c:pt>
                <c:pt idx="36">
                  <c:v>0.79564744641745477</c:v>
                </c:pt>
                <c:pt idx="37">
                  <c:v>0.81211731781976582</c:v>
                </c:pt>
                <c:pt idx="38">
                  <c:v>0.83425530924679236</c:v>
                </c:pt>
                <c:pt idx="39">
                  <c:v>0.85182568279254056</c:v>
                </c:pt>
                <c:pt idx="40">
                  <c:v>0.87024830373555062</c:v>
                </c:pt>
                <c:pt idx="41">
                  <c:v>0.88920029393749189</c:v>
                </c:pt>
                <c:pt idx="42">
                  <c:v>0.90900352725044087</c:v>
                </c:pt>
                <c:pt idx="43">
                  <c:v>0.9273069197795607</c:v>
                </c:pt>
                <c:pt idx="44">
                  <c:v>0.94382826699342104</c:v>
                </c:pt>
              </c:numCache>
            </c:numRef>
          </c:xVal>
          <c:yVal>
            <c:numRef>
              <c:f>Vis!$F$1116:$F$1160</c:f>
              <c:numCache>
                <c:formatCode>General</c:formatCode>
                <c:ptCount val="45"/>
                <c:pt idx="0">
                  <c:v>8.9920000000000009</c:v>
                </c:pt>
                <c:pt idx="1">
                  <c:v>8.8520000000000003</c:v>
                </c:pt>
                <c:pt idx="2">
                  <c:v>8.9428570000000001</c:v>
                </c:pt>
                <c:pt idx="3">
                  <c:v>8.8923079999999999</c:v>
                </c:pt>
                <c:pt idx="4">
                  <c:v>9</c:v>
                </c:pt>
                <c:pt idx="5">
                  <c:v>8.9</c:v>
                </c:pt>
                <c:pt idx="6">
                  <c:v>8.75</c:v>
                </c:pt>
                <c:pt idx="7">
                  <c:v>8.6999999999999993</c:v>
                </c:pt>
                <c:pt idx="8">
                  <c:v>8.66</c:v>
                </c:pt>
                <c:pt idx="9">
                  <c:v>8.0500000000000007</c:v>
                </c:pt>
                <c:pt idx="10">
                  <c:v>7.2750000000000004</c:v>
                </c:pt>
                <c:pt idx="11">
                  <c:v>7.27461</c:v>
                </c:pt>
                <c:pt idx="12">
                  <c:v>7.515104</c:v>
                </c:pt>
                <c:pt idx="13">
                  <c:v>7.8228759999999999</c:v>
                </c:pt>
                <c:pt idx="14">
                  <c:v>7.903238</c:v>
                </c:pt>
                <c:pt idx="15">
                  <c:v>7.9956120000000004</c:v>
                </c:pt>
                <c:pt idx="16">
                  <c:v>8.0373079999999995</c:v>
                </c:pt>
                <c:pt idx="17">
                  <c:v>7.7095880000000001</c:v>
                </c:pt>
                <c:pt idx="18">
                  <c:v>7.5721569999999998</c:v>
                </c:pt>
                <c:pt idx="19">
                  <c:v>7.703519</c:v>
                </c:pt>
                <c:pt idx="20">
                  <c:v>7.722836</c:v>
                </c:pt>
                <c:pt idx="21">
                  <c:v>7.8378329999999998</c:v>
                </c:pt>
                <c:pt idx="22">
                  <c:v>8.0625400000000003</c:v>
                </c:pt>
                <c:pt idx="23">
                  <c:v>8.0720589999999994</c:v>
                </c:pt>
                <c:pt idx="24">
                  <c:v>8.2176469999999995</c:v>
                </c:pt>
                <c:pt idx="25">
                  <c:v>8</c:v>
                </c:pt>
                <c:pt idx="26">
                  <c:v>8.3000000000000007</c:v>
                </c:pt>
                <c:pt idx="27">
                  <c:v>8.4263159999999999</c:v>
                </c:pt>
                <c:pt idx="28">
                  <c:v>8.4695649999999993</c:v>
                </c:pt>
                <c:pt idx="29">
                  <c:v>8.5409089999999992</c:v>
                </c:pt>
                <c:pt idx="30">
                  <c:v>8.5289470000000005</c:v>
                </c:pt>
                <c:pt idx="31">
                  <c:v>8.5062499999999996</c:v>
                </c:pt>
                <c:pt idx="32">
                  <c:v>8.5154899999999998</c:v>
                </c:pt>
                <c:pt idx="33">
                  <c:v>8.5065310000000007</c:v>
                </c:pt>
                <c:pt idx="34">
                  <c:v>8.5657499999999995</c:v>
                </c:pt>
                <c:pt idx="35">
                  <c:v>8.6109380000000009</c:v>
                </c:pt>
                <c:pt idx="36">
                  <c:v>8.6682570000000005</c:v>
                </c:pt>
                <c:pt idx="37">
                  <c:v>8.7186269999999997</c:v>
                </c:pt>
                <c:pt idx="38">
                  <c:v>8.7495159999999998</c:v>
                </c:pt>
                <c:pt idx="39">
                  <c:v>8.8403700000000001</c:v>
                </c:pt>
                <c:pt idx="40">
                  <c:v>8.8079409999999996</c:v>
                </c:pt>
                <c:pt idx="41">
                  <c:v>8.8037039999999998</c:v>
                </c:pt>
                <c:pt idx="42">
                  <c:v>8.7956819999999993</c:v>
                </c:pt>
                <c:pt idx="43">
                  <c:v>8.83</c:v>
                </c:pt>
                <c:pt idx="44">
                  <c:v>8.8611109999999993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12-410D-BFA3-E2193CD80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1266744"/>
        <c:axId val="601269040"/>
      </c:scatterChart>
      <c:valAx>
        <c:axId val="60126674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01269040"/>
        <c:crosses val="max"/>
        <c:crossBetween val="midCat"/>
      </c:valAx>
      <c:valAx>
        <c:axId val="601269040"/>
        <c:scaling>
          <c:orientation val="maxMin"/>
          <c:min val="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01266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Vis!$E$406:$E$1160</c:f>
              <c:numCache>
                <c:formatCode>General</c:formatCode>
                <c:ptCount val="755"/>
                <c:pt idx="0">
                  <c:v>0.41052595223542454</c:v>
                </c:pt>
                <c:pt idx="1">
                  <c:v>0.42799959583601499</c:v>
                </c:pt>
                <c:pt idx="2">
                  <c:v>0.56382935701151382</c:v>
                </c:pt>
                <c:pt idx="3">
                  <c:v>0.5964972443356249</c:v>
                </c:pt>
                <c:pt idx="4">
                  <c:v>0.61739436619722809</c:v>
                </c:pt>
                <c:pt idx="5">
                  <c:v>0.63250051439093546</c:v>
                </c:pt>
                <c:pt idx="6">
                  <c:v>0.65405853031247574</c:v>
                </c:pt>
                <c:pt idx="7">
                  <c:v>0.66984559706054725</c:v>
                </c:pt>
                <c:pt idx="8">
                  <c:v>0.6901824127372862</c:v>
                </c:pt>
                <c:pt idx="9">
                  <c:v>0.70668973668095703</c:v>
                </c:pt>
                <c:pt idx="10">
                  <c:v>0.72706821800391452</c:v>
                </c:pt>
                <c:pt idx="11">
                  <c:v>0.74372330679748089</c:v>
                </c:pt>
                <c:pt idx="12">
                  <c:v>0.76479685241875472</c:v>
                </c:pt>
                <c:pt idx="13">
                  <c:v>0.78170284139595836</c:v>
                </c:pt>
                <c:pt idx="14">
                  <c:v>0.8019520881809914</c:v>
                </c:pt>
                <c:pt idx="15">
                  <c:v>0.81769537048349328</c:v>
                </c:pt>
                <c:pt idx="16">
                  <c:v>0.84103468462964059</c:v>
                </c:pt>
                <c:pt idx="17">
                  <c:v>0.85770526638086864</c:v>
                </c:pt>
                <c:pt idx="18">
                  <c:v>0.87692537660774939</c:v>
                </c:pt>
                <c:pt idx="19">
                  <c:v>3.120857317842507E-2</c:v>
                </c:pt>
                <c:pt idx="20">
                  <c:v>4.4857023882670433E-2</c:v>
                </c:pt>
                <c:pt idx="21">
                  <c:v>6.7925866503344423E-2</c:v>
                </c:pt>
                <c:pt idx="22">
                  <c:v>8.8862767911859208E-2</c:v>
                </c:pt>
                <c:pt idx="23">
                  <c:v>0.10594449479495438</c:v>
                </c:pt>
                <c:pt idx="24">
                  <c:v>0.12621148805882854</c:v>
                </c:pt>
                <c:pt idx="25">
                  <c:v>0.14181783221050637</c:v>
                </c:pt>
                <c:pt idx="26">
                  <c:v>0.16151608083287528</c:v>
                </c:pt>
                <c:pt idx="27">
                  <c:v>0.17839584813212994</c:v>
                </c:pt>
                <c:pt idx="28">
                  <c:v>0.19940929577457212</c:v>
                </c:pt>
                <c:pt idx="29">
                  <c:v>0.21649878750745088</c:v>
                </c:pt>
                <c:pt idx="30">
                  <c:v>0.23527259032475101</c:v>
                </c:pt>
                <c:pt idx="31">
                  <c:v>0.25137396203325579</c:v>
                </c:pt>
                <c:pt idx="32">
                  <c:v>0.27147157379042142</c:v>
                </c:pt>
                <c:pt idx="33">
                  <c:v>0.28879830985919241</c:v>
                </c:pt>
                <c:pt idx="34">
                  <c:v>0.31014097979165811</c:v>
                </c:pt>
                <c:pt idx="35">
                  <c:v>0.40159216166553335</c:v>
                </c:pt>
                <c:pt idx="36">
                  <c:v>0.42486221677881986</c:v>
                </c:pt>
                <c:pt idx="37">
                  <c:v>0.43407225964473284</c:v>
                </c:pt>
                <c:pt idx="38">
                  <c:v>0.46662584200857182</c:v>
                </c:pt>
                <c:pt idx="39">
                  <c:v>0.47956368646687508</c:v>
                </c:pt>
                <c:pt idx="40">
                  <c:v>0.50421274954080175</c:v>
                </c:pt>
                <c:pt idx="41">
                  <c:v>0.51824744641769271</c:v>
                </c:pt>
                <c:pt idx="42">
                  <c:v>0.54048573178172532</c:v>
                </c:pt>
                <c:pt idx="43">
                  <c:v>0.56144069810155628</c:v>
                </c:pt>
                <c:pt idx="44">
                  <c:v>0.57764687078998733</c:v>
                </c:pt>
                <c:pt idx="45">
                  <c:v>0.60045323943672457</c:v>
                </c:pt>
                <c:pt idx="46">
                  <c:v>0.61464330679705625</c:v>
                </c:pt>
                <c:pt idx="47">
                  <c:v>0.64045034905077713</c:v>
                </c:pt>
                <c:pt idx="48">
                  <c:v>0.65358679730556801</c:v>
                </c:pt>
                <c:pt idx="49">
                  <c:v>0.67670341702411818</c:v>
                </c:pt>
                <c:pt idx="50">
                  <c:v>0.69051244335599193</c:v>
                </c:pt>
                <c:pt idx="51">
                  <c:v>0.71203745254107176</c:v>
                </c:pt>
                <c:pt idx="52">
                  <c:v>0.72924619718282102</c:v>
                </c:pt>
                <c:pt idx="53">
                  <c:v>0.74714237599492606</c:v>
                </c:pt>
                <c:pt idx="54">
                  <c:v>0.76580631965685697</c:v>
                </c:pt>
                <c:pt idx="55">
                  <c:v>0.90268505817485689</c:v>
                </c:pt>
                <c:pt idx="56">
                  <c:v>0.91573473361913216</c:v>
                </c:pt>
                <c:pt idx="57">
                  <c:v>0.93520282914854036</c:v>
                </c:pt>
                <c:pt idx="58">
                  <c:v>0.9610682669930064</c:v>
                </c:pt>
                <c:pt idx="59">
                  <c:v>0.97629153704816929</c:v>
                </c:pt>
                <c:pt idx="60">
                  <c:v>0.99880758113873824</c:v>
                </c:pt>
                <c:pt idx="61">
                  <c:v>1.2874402939608842E-2</c:v>
                </c:pt>
                <c:pt idx="62">
                  <c:v>3.3671904470491398E-2</c:v>
                </c:pt>
                <c:pt idx="63">
                  <c:v>4.8819228414210158E-2</c:v>
                </c:pt>
                <c:pt idx="64">
                  <c:v>7.1730300060952601E-2</c:v>
                </c:pt>
                <c:pt idx="65">
                  <c:v>8.6591830985838669E-2</c:v>
                </c:pt>
                <c:pt idx="66">
                  <c:v>0.10801227189217144</c:v>
                </c:pt>
                <c:pt idx="67">
                  <c:v>0.12448965094924347</c:v>
                </c:pt>
                <c:pt idx="68">
                  <c:v>0.14564722596421831</c:v>
                </c:pt>
                <c:pt idx="69">
                  <c:v>0.16197097366784163</c:v>
                </c:pt>
                <c:pt idx="70">
                  <c:v>0.18405399877527984</c:v>
                </c:pt>
                <c:pt idx="71">
                  <c:v>0.20042585425617077</c:v>
                </c:pt>
                <c:pt idx="72">
                  <c:v>0.22138420085719801</c:v>
                </c:pt>
                <c:pt idx="73">
                  <c:v>0.26846295162300748</c:v>
                </c:pt>
                <c:pt idx="74">
                  <c:v>0.29993876301274724</c:v>
                </c:pt>
                <c:pt idx="75">
                  <c:v>0.33406611145128906</c:v>
                </c:pt>
                <c:pt idx="76">
                  <c:v>0.34723054500900119</c:v>
                </c:pt>
                <c:pt idx="77">
                  <c:v>0.37104896509498531</c:v>
                </c:pt>
                <c:pt idx="78">
                  <c:v>0.3916995101040861</c:v>
                </c:pt>
                <c:pt idx="79">
                  <c:v>0.40779208818100443</c:v>
                </c:pt>
                <c:pt idx="80">
                  <c:v>0.42868979791816741</c:v>
                </c:pt>
                <c:pt idx="81">
                  <c:v>0.44688473974308351</c:v>
                </c:pt>
                <c:pt idx="82">
                  <c:v>0.46799781996316625</c:v>
                </c:pt>
                <c:pt idx="83">
                  <c:v>0.48266484996957359</c:v>
                </c:pt>
                <c:pt idx="84">
                  <c:v>0.50575256582967754</c:v>
                </c:pt>
                <c:pt idx="85">
                  <c:v>0.52151566442154618</c:v>
                </c:pt>
                <c:pt idx="86">
                  <c:v>0.54112279240671768</c:v>
                </c:pt>
                <c:pt idx="87">
                  <c:v>0.5569801959582712</c:v>
                </c:pt>
                <c:pt idx="88">
                  <c:v>0.57741957134125244</c:v>
                </c:pt>
                <c:pt idx="89">
                  <c:v>0.59387419473343428</c:v>
                </c:pt>
                <c:pt idx="90">
                  <c:v>0.61546159216156582</c:v>
                </c:pt>
                <c:pt idx="91">
                  <c:v>0.63218364972434316</c:v>
                </c:pt>
                <c:pt idx="92">
                  <c:v>0.6508649601957508</c:v>
                </c:pt>
                <c:pt idx="93">
                  <c:v>0.66962120024486183</c:v>
                </c:pt>
                <c:pt idx="94">
                  <c:v>0.72222902633213337</c:v>
                </c:pt>
                <c:pt idx="95">
                  <c:v>0.7486834047762585</c:v>
                </c:pt>
                <c:pt idx="96">
                  <c:v>0.77180647887335141</c:v>
                </c:pt>
                <c:pt idx="97">
                  <c:v>0.79350887936302072</c:v>
                </c:pt>
                <c:pt idx="98">
                  <c:v>0.81319451316579716</c:v>
                </c:pt>
                <c:pt idx="99">
                  <c:v>0.83727830985933949</c:v>
                </c:pt>
                <c:pt idx="100">
                  <c:v>0.85338008573161162</c:v>
                </c:pt>
                <c:pt idx="101">
                  <c:v>0.87142374770360931</c:v>
                </c:pt>
                <c:pt idx="102">
                  <c:v>0.88825255358250743</c:v>
                </c:pt>
                <c:pt idx="103">
                  <c:v>0.91172651561525697</c:v>
                </c:pt>
                <c:pt idx="104">
                  <c:v>0.92966448254734857</c:v>
                </c:pt>
                <c:pt idx="105">
                  <c:v>0.94761168401727147</c:v>
                </c:pt>
                <c:pt idx="106">
                  <c:v>0.96866873239462947</c:v>
                </c:pt>
                <c:pt idx="107">
                  <c:v>0.98587647274955614</c:v>
                </c:pt>
                <c:pt idx="108">
                  <c:v>4.8828169016807976E-3</c:v>
                </c:pt>
                <c:pt idx="109">
                  <c:v>2.1384396815566475E-2</c:v>
                </c:pt>
                <c:pt idx="110">
                  <c:v>4.4133227189064428E-2</c:v>
                </c:pt>
                <c:pt idx="111">
                  <c:v>5.8905915492907468E-2</c:v>
                </c:pt>
                <c:pt idx="112">
                  <c:v>7.9441714635493099E-2</c:v>
                </c:pt>
                <c:pt idx="113">
                  <c:v>9.547883649718969E-2</c:v>
                </c:pt>
                <c:pt idx="114">
                  <c:v>0.11270078383351745</c:v>
                </c:pt>
                <c:pt idx="115">
                  <c:v>0.18934476423771329</c:v>
                </c:pt>
                <c:pt idx="116">
                  <c:v>0.20198104102894376</c:v>
                </c:pt>
                <c:pt idx="117">
                  <c:v>0.22362216778923028</c:v>
                </c:pt>
                <c:pt idx="118">
                  <c:v>0.23815285976729683</c:v>
                </c:pt>
                <c:pt idx="119">
                  <c:v>0.27092395590952378</c:v>
                </c:pt>
                <c:pt idx="120">
                  <c:v>0.29061299448847677</c:v>
                </c:pt>
                <c:pt idx="121">
                  <c:v>0.30771800367400104</c:v>
                </c:pt>
                <c:pt idx="122">
                  <c:v>0.32648995713389439</c:v>
                </c:pt>
                <c:pt idx="123">
                  <c:v>0.34520182486244977</c:v>
                </c:pt>
                <c:pt idx="124">
                  <c:v>0.36287951010432806</c:v>
                </c:pt>
                <c:pt idx="125">
                  <c:v>0.38298802204550952</c:v>
                </c:pt>
                <c:pt idx="126">
                  <c:v>0.40275102265781371</c:v>
                </c:pt>
                <c:pt idx="127">
                  <c:v>0.4196372565831048</c:v>
                </c:pt>
                <c:pt idx="128">
                  <c:v>0.43926181261463526</c:v>
                </c:pt>
                <c:pt idx="129">
                  <c:v>0.45692447030007699</c:v>
                </c:pt>
                <c:pt idx="130">
                  <c:v>0.47686439681574555</c:v>
                </c:pt>
                <c:pt idx="131">
                  <c:v>0.49276335578667485</c:v>
                </c:pt>
                <c:pt idx="132">
                  <c:v>0.51284405388866361</c:v>
                </c:pt>
                <c:pt idx="133">
                  <c:v>0.53111830985929842</c:v>
                </c:pt>
                <c:pt idx="134">
                  <c:v>0.54804760563390786</c:v>
                </c:pt>
                <c:pt idx="135">
                  <c:v>0.566720734843706</c:v>
                </c:pt>
                <c:pt idx="136">
                  <c:v>0.64022712798507442</c:v>
                </c:pt>
                <c:pt idx="137">
                  <c:v>0.66207470912406308</c:v>
                </c:pt>
                <c:pt idx="138">
                  <c:v>0.67381342314753923</c:v>
                </c:pt>
                <c:pt idx="139">
                  <c:v>0.70885802816886923</c:v>
                </c:pt>
                <c:pt idx="140">
                  <c:v>0.72923772198427983</c:v>
                </c:pt>
                <c:pt idx="141">
                  <c:v>0.75200275566419705</c:v>
                </c:pt>
                <c:pt idx="142">
                  <c:v>0.77277616656454384</c:v>
                </c:pt>
                <c:pt idx="143">
                  <c:v>0.78884712798522116</c:v>
                </c:pt>
                <c:pt idx="144">
                  <c:v>0.81068335578703454</c:v>
                </c:pt>
                <c:pt idx="145">
                  <c:v>0.82728420085726029</c:v>
                </c:pt>
                <c:pt idx="146">
                  <c:v>0.8468128597672937</c:v>
                </c:pt>
                <c:pt idx="147">
                  <c:v>0.86339473361930885</c:v>
                </c:pt>
                <c:pt idx="148">
                  <c:v>0.88426891610537339</c:v>
                </c:pt>
                <c:pt idx="149">
                  <c:v>0.89855273729344276</c:v>
                </c:pt>
                <c:pt idx="150">
                  <c:v>0.92103903245554974</c:v>
                </c:pt>
                <c:pt idx="151">
                  <c:v>0.94288155541966745</c:v>
                </c:pt>
                <c:pt idx="152">
                  <c:v>0.95681167176975279</c:v>
                </c:pt>
                <c:pt idx="153">
                  <c:v>0.97927402327007229</c:v>
                </c:pt>
                <c:pt idx="154">
                  <c:v>0.995175970606482</c:v>
                </c:pt>
                <c:pt idx="155">
                  <c:v>2.4556031843005144E-2</c:v>
                </c:pt>
                <c:pt idx="156">
                  <c:v>8.2057562767911207E-2</c:v>
                </c:pt>
                <c:pt idx="157">
                  <c:v>0.10459277403540312</c:v>
                </c:pt>
                <c:pt idx="158">
                  <c:v>0.11687868952851588</c:v>
                </c:pt>
                <c:pt idx="159">
                  <c:v>0.14396382118783535</c:v>
                </c:pt>
                <c:pt idx="160">
                  <c:v>0.16487334966340228</c:v>
                </c:pt>
                <c:pt idx="161">
                  <c:v>0.18231457440309029</c:v>
                </c:pt>
                <c:pt idx="162">
                  <c:v>0.20646554807090212</c:v>
                </c:pt>
                <c:pt idx="163">
                  <c:v>0.22475714635660538</c:v>
                </c:pt>
                <c:pt idx="164">
                  <c:v>0.24193601959555622</c:v>
                </c:pt>
                <c:pt idx="165">
                  <c:v>0.25777681567691957</c:v>
                </c:pt>
                <c:pt idx="166">
                  <c:v>0.27998657685242989</c:v>
                </c:pt>
                <c:pt idx="167">
                  <c:v>0.29653725658291918</c:v>
                </c:pt>
                <c:pt idx="168">
                  <c:v>0.3164179914266505</c:v>
                </c:pt>
                <c:pt idx="169">
                  <c:v>0.33513697489311411</c:v>
                </c:pt>
                <c:pt idx="170">
                  <c:v>0.35150380894046762</c:v>
                </c:pt>
                <c:pt idx="171">
                  <c:v>0.3701113778322167</c:v>
                </c:pt>
                <c:pt idx="172">
                  <c:v>0.39007179424353566</c:v>
                </c:pt>
                <c:pt idx="173">
                  <c:v>0.41002736068561774</c:v>
                </c:pt>
                <c:pt idx="174">
                  <c:v>0.42900619718296795</c:v>
                </c:pt>
                <c:pt idx="175">
                  <c:v>0.45024105327618003</c:v>
                </c:pt>
                <c:pt idx="176">
                  <c:v>0.4808940600121332</c:v>
                </c:pt>
                <c:pt idx="177">
                  <c:v>0.55684834047787035</c:v>
                </c:pt>
                <c:pt idx="178">
                  <c:v>0.58158636864660096</c:v>
                </c:pt>
                <c:pt idx="179">
                  <c:v>0.60271368034307216</c:v>
                </c:pt>
                <c:pt idx="180">
                  <c:v>0.62345293325195783</c:v>
                </c:pt>
                <c:pt idx="181">
                  <c:v>0.64707897121881786</c:v>
                </c:pt>
                <c:pt idx="182">
                  <c:v>0.65920726270674379</c:v>
                </c:pt>
                <c:pt idx="183">
                  <c:v>0.68064268218012458</c:v>
                </c:pt>
                <c:pt idx="184">
                  <c:v>0.69615865278640143</c:v>
                </c:pt>
                <c:pt idx="185">
                  <c:v>0.71630650336825141</c:v>
                </c:pt>
                <c:pt idx="186">
                  <c:v>0.73406642988388171</c:v>
                </c:pt>
                <c:pt idx="187">
                  <c:v>0.75264215554222957</c:v>
                </c:pt>
                <c:pt idx="188">
                  <c:v>0.76966969993886991</c:v>
                </c:pt>
                <c:pt idx="189">
                  <c:v>0.79013532149421195</c:v>
                </c:pt>
                <c:pt idx="190">
                  <c:v>0.8104775872626746</c:v>
                </c:pt>
                <c:pt idx="191">
                  <c:v>0.82855398652804624</c:v>
                </c:pt>
                <c:pt idx="192">
                  <c:v>0.84832329455014843</c:v>
                </c:pt>
                <c:pt idx="193">
                  <c:v>0.86519017758729433</c:v>
                </c:pt>
                <c:pt idx="194">
                  <c:v>0.88562738518039552</c:v>
                </c:pt>
                <c:pt idx="195">
                  <c:v>0.9069631353336618</c:v>
                </c:pt>
                <c:pt idx="196">
                  <c:v>0.93609920391939383</c:v>
                </c:pt>
                <c:pt idx="197">
                  <c:v>0.97562767911830051</c:v>
                </c:pt>
                <c:pt idx="198">
                  <c:v>0.99399877526037272</c:v>
                </c:pt>
                <c:pt idx="199">
                  <c:v>1.9780979791754305E-2</c:v>
                </c:pt>
                <c:pt idx="200">
                  <c:v>4.5776423759786411E-2</c:v>
                </c:pt>
                <c:pt idx="201">
                  <c:v>5.7601139008134794E-2</c:v>
                </c:pt>
                <c:pt idx="202">
                  <c:v>8.2095456215515838E-2</c:v>
                </c:pt>
                <c:pt idx="203">
                  <c:v>9.6155897121640521E-2</c:v>
                </c:pt>
                <c:pt idx="204">
                  <c:v>0.11666102878137963</c:v>
                </c:pt>
                <c:pt idx="205">
                  <c:v>0.13157304347847898</c:v>
                </c:pt>
                <c:pt idx="206">
                  <c:v>0.15435025107174738</c:v>
                </c:pt>
                <c:pt idx="207">
                  <c:v>0.17272135946130973</c:v>
                </c:pt>
                <c:pt idx="208">
                  <c:v>0.19161948560926945</c:v>
                </c:pt>
                <c:pt idx="209">
                  <c:v>0.21147481935065571</c:v>
                </c:pt>
                <c:pt idx="210">
                  <c:v>0.22828502143320861</c:v>
                </c:pt>
                <c:pt idx="211">
                  <c:v>0.24883635027536144</c:v>
                </c:pt>
                <c:pt idx="212">
                  <c:v>0.2637735946110773</c:v>
                </c:pt>
                <c:pt idx="213">
                  <c:v>0.28410401714615574</c:v>
                </c:pt>
                <c:pt idx="214">
                  <c:v>0.30082921004259333</c:v>
                </c:pt>
                <c:pt idx="215">
                  <c:v>0.32179394978584952</c:v>
                </c:pt>
                <c:pt idx="216">
                  <c:v>0.3374324556034054</c:v>
                </c:pt>
                <c:pt idx="217">
                  <c:v>0.3642702633189927</c:v>
                </c:pt>
                <c:pt idx="218">
                  <c:v>0.44623392529098993</c:v>
                </c:pt>
                <c:pt idx="219">
                  <c:v>0.47096754439672495</c:v>
                </c:pt>
                <c:pt idx="220">
                  <c:v>0.49066625842031897</c:v>
                </c:pt>
                <c:pt idx="221">
                  <c:v>0.51207097366837573</c:v>
                </c:pt>
                <c:pt idx="222">
                  <c:v>0.52747181873878191</c:v>
                </c:pt>
                <c:pt idx="223">
                  <c:v>0.5480235639927642</c:v>
                </c:pt>
                <c:pt idx="224">
                  <c:v>0.56541729332515445</c:v>
                </c:pt>
                <c:pt idx="225">
                  <c:v>0.58649802816928087</c:v>
                </c:pt>
                <c:pt idx="226">
                  <c:v>0.60218892835276705</c:v>
                </c:pt>
                <c:pt idx="227">
                  <c:v>0.62202834047774047</c:v>
                </c:pt>
                <c:pt idx="228">
                  <c:v>0.6409908266993547</c:v>
                </c:pt>
                <c:pt idx="229">
                  <c:v>0.65847225964470724</c:v>
                </c:pt>
                <c:pt idx="230">
                  <c:v>0.67947021432948773</c:v>
                </c:pt>
                <c:pt idx="231">
                  <c:v>0.69776405388830298</c:v>
                </c:pt>
                <c:pt idx="232">
                  <c:v>0.71729904470311823</c:v>
                </c:pt>
                <c:pt idx="233">
                  <c:v>0.73538379669326304</c:v>
                </c:pt>
                <c:pt idx="234">
                  <c:v>0.75686220453158981</c:v>
                </c:pt>
                <c:pt idx="235">
                  <c:v>0.77126593998789161</c:v>
                </c:pt>
                <c:pt idx="236">
                  <c:v>0.79211529699911054</c:v>
                </c:pt>
                <c:pt idx="237">
                  <c:v>0.88622167789356254</c:v>
                </c:pt>
                <c:pt idx="238">
                  <c:v>0.91402318432358953</c:v>
                </c:pt>
                <c:pt idx="239">
                  <c:v>0.93142222902644534</c:v>
                </c:pt>
                <c:pt idx="240">
                  <c:v>0.95362816901394964</c:v>
                </c:pt>
                <c:pt idx="241">
                  <c:v>0.96753774647899249</c:v>
                </c:pt>
                <c:pt idx="242">
                  <c:v>0.98816035517456768</c:v>
                </c:pt>
                <c:pt idx="243">
                  <c:v>8.0284507042946984E-3</c:v>
                </c:pt>
                <c:pt idx="244">
                  <c:v>2.4618040416125808E-2</c:v>
                </c:pt>
                <c:pt idx="245">
                  <c:v>4.5497305572617108E-2</c:v>
                </c:pt>
                <c:pt idx="246">
                  <c:v>6.145657072857702E-2</c:v>
                </c:pt>
                <c:pt idx="247">
                  <c:v>8.3331879975464318E-2</c:v>
                </c:pt>
                <c:pt idx="248">
                  <c:v>9.8853410900311189E-2</c:v>
                </c:pt>
                <c:pt idx="249">
                  <c:v>0.12049917942420763</c:v>
                </c:pt>
                <c:pt idx="250">
                  <c:v>0.13465605633799882</c:v>
                </c:pt>
                <c:pt idx="251">
                  <c:v>0.15603688916115033</c:v>
                </c:pt>
                <c:pt idx="252">
                  <c:v>0.17267276178840163</c:v>
                </c:pt>
                <c:pt idx="253">
                  <c:v>0.19356825474572048</c:v>
                </c:pt>
                <c:pt idx="254">
                  <c:v>0.21042662584185834</c:v>
                </c:pt>
                <c:pt idx="255">
                  <c:v>0.23160172688312386</c:v>
                </c:pt>
                <c:pt idx="256">
                  <c:v>0.25024780159187543</c:v>
                </c:pt>
                <c:pt idx="257">
                  <c:v>0.30928491120639023</c:v>
                </c:pt>
                <c:pt idx="258">
                  <c:v>0.3300213349665988</c:v>
                </c:pt>
                <c:pt idx="259">
                  <c:v>0.35170443355809056</c:v>
                </c:pt>
                <c:pt idx="260">
                  <c:v>0.371173753827442</c:v>
                </c:pt>
                <c:pt idx="261">
                  <c:v>0.39041299448877353</c:v>
                </c:pt>
                <c:pt idx="262">
                  <c:v>0.40942813227191621</c:v>
                </c:pt>
                <c:pt idx="263">
                  <c:v>0.42835277403532146</c:v>
                </c:pt>
                <c:pt idx="264">
                  <c:v>0.44925115737934007</c:v>
                </c:pt>
                <c:pt idx="265">
                  <c:v>0.46426606246151181</c:v>
                </c:pt>
                <c:pt idx="266">
                  <c:v>0.48595494182469068</c:v>
                </c:pt>
                <c:pt idx="267">
                  <c:v>0.50031148805867431</c:v>
                </c:pt>
                <c:pt idx="268">
                  <c:v>0.52150652786307461</c:v>
                </c:pt>
                <c:pt idx="269">
                  <c:v>0.53732519289643932</c:v>
                </c:pt>
                <c:pt idx="270">
                  <c:v>0.5601178934473694</c:v>
                </c:pt>
                <c:pt idx="271">
                  <c:v>0.57349990202092371</c:v>
                </c:pt>
                <c:pt idx="272">
                  <c:v>0.59671322718908115</c:v>
                </c:pt>
                <c:pt idx="273">
                  <c:v>0.61184477648513536</c:v>
                </c:pt>
                <c:pt idx="274">
                  <c:v>0.63285088793654509</c:v>
                </c:pt>
                <c:pt idx="275">
                  <c:v>0.654266772810562</c:v>
                </c:pt>
                <c:pt idx="276">
                  <c:v>0.6691980159214701</c:v>
                </c:pt>
                <c:pt idx="277">
                  <c:v>0.69370924678516488</c:v>
                </c:pt>
                <c:pt idx="278">
                  <c:v>0.75223845682766921</c:v>
                </c:pt>
                <c:pt idx="279">
                  <c:v>0.78091508879360916</c:v>
                </c:pt>
                <c:pt idx="280">
                  <c:v>0.79987845682771308</c:v>
                </c:pt>
                <c:pt idx="281">
                  <c:v>0.82002650336827188</c:v>
                </c:pt>
                <c:pt idx="282">
                  <c:v>0.84267071647249026</c:v>
                </c:pt>
                <c:pt idx="283">
                  <c:v>0.85741614206965977</c:v>
                </c:pt>
                <c:pt idx="284">
                  <c:v>0.87844836497217571</c:v>
                </c:pt>
                <c:pt idx="285">
                  <c:v>0.8944646540107577</c:v>
                </c:pt>
                <c:pt idx="286">
                  <c:v>0.9151545866504911</c:v>
                </c:pt>
                <c:pt idx="287">
                  <c:v>0.93042551132862172</c:v>
                </c:pt>
                <c:pt idx="288">
                  <c:v>0.95161610532754892</c:v>
                </c:pt>
                <c:pt idx="289">
                  <c:v>0.96668140845063988</c:v>
                </c:pt>
                <c:pt idx="290">
                  <c:v>0.9877669932640103</c:v>
                </c:pt>
                <c:pt idx="291">
                  <c:v>4.4693692592439049E-3</c:v>
                </c:pt>
                <c:pt idx="292">
                  <c:v>2.5954390691783402E-2</c:v>
                </c:pt>
                <c:pt idx="293">
                  <c:v>3.9905805266201355E-2</c:v>
                </c:pt>
                <c:pt idx="294">
                  <c:v>6.1872921004066939E-2</c:v>
                </c:pt>
                <c:pt idx="295">
                  <c:v>7.8070912430881378E-2</c:v>
                </c:pt>
                <c:pt idx="296">
                  <c:v>9.9810042865666304E-2</c:v>
                </c:pt>
                <c:pt idx="297">
                  <c:v>0.11581777097384816</c:v>
                </c:pt>
                <c:pt idx="298">
                  <c:v>0.13524526638074263</c:v>
                </c:pt>
                <c:pt idx="299">
                  <c:v>0.15742398040404382</c:v>
                </c:pt>
                <c:pt idx="300">
                  <c:v>0.19600718922226434</c:v>
                </c:pt>
                <c:pt idx="301">
                  <c:v>0.22367421922827546</c:v>
                </c:pt>
                <c:pt idx="302">
                  <c:v>0.24204134721358983</c:v>
                </c:pt>
                <c:pt idx="303">
                  <c:v>0.26016214329450449</c:v>
                </c:pt>
                <c:pt idx="304">
                  <c:v>0.28600153092475011</c:v>
                </c:pt>
                <c:pt idx="305">
                  <c:v>0.31091750153116138</c:v>
                </c:pt>
                <c:pt idx="306">
                  <c:v>0.32671472137144875</c:v>
                </c:pt>
                <c:pt idx="307">
                  <c:v>0.34983439069179667</c:v>
                </c:pt>
                <c:pt idx="308">
                  <c:v>0.36500526638102571</c:v>
                </c:pt>
                <c:pt idx="309">
                  <c:v>0.38450602571943548</c:v>
                </c:pt>
                <c:pt idx="310">
                  <c:v>0.40107563992623341</c:v>
                </c:pt>
                <c:pt idx="311">
                  <c:v>0.42390319657046049</c:v>
                </c:pt>
                <c:pt idx="312">
                  <c:v>0.43863706062482422</c:v>
                </c:pt>
                <c:pt idx="313">
                  <c:v>0.46091966932002038</c:v>
                </c:pt>
                <c:pt idx="314">
                  <c:v>0.47716214329481232</c:v>
                </c:pt>
                <c:pt idx="315">
                  <c:v>0.49938001224756334</c:v>
                </c:pt>
                <c:pt idx="316">
                  <c:v>0.51356541334987327</c:v>
                </c:pt>
                <c:pt idx="317">
                  <c:v>0.53215105939982621</c:v>
                </c:pt>
                <c:pt idx="318">
                  <c:v>0.55096680955278288</c:v>
                </c:pt>
                <c:pt idx="319">
                  <c:v>0.57059127985301927</c:v>
                </c:pt>
                <c:pt idx="320">
                  <c:v>0.58666633190421891</c:v>
                </c:pt>
                <c:pt idx="321">
                  <c:v>0.60171463563969851</c:v>
                </c:pt>
                <c:pt idx="322">
                  <c:v>0.64376723821191106</c:v>
                </c:pt>
                <c:pt idx="323">
                  <c:v>0.68841928965084165</c:v>
                </c:pt>
                <c:pt idx="324">
                  <c:v>0.70251521126772687</c:v>
                </c:pt>
                <c:pt idx="325">
                  <c:v>0.72316346601374804</c:v>
                </c:pt>
                <c:pt idx="326">
                  <c:v>0.74700442131036127</c:v>
                </c:pt>
                <c:pt idx="327">
                  <c:v>0.76138960195970995</c:v>
                </c:pt>
                <c:pt idx="328">
                  <c:v>0.79074808328246604</c:v>
                </c:pt>
                <c:pt idx="329">
                  <c:v>0.8025662461729155</c:v>
                </c:pt>
                <c:pt idx="330">
                  <c:v>0.82466567054491335</c:v>
                </c:pt>
                <c:pt idx="331">
                  <c:v>0.84126666258445582</c:v>
                </c:pt>
                <c:pt idx="332">
                  <c:v>0.86365474586643742</c:v>
                </c:pt>
                <c:pt idx="333">
                  <c:v>0.87922048989617352</c:v>
                </c:pt>
                <c:pt idx="334">
                  <c:v>0.89963099816260694</c:v>
                </c:pt>
                <c:pt idx="335">
                  <c:v>0.91802222902652275</c:v>
                </c:pt>
                <c:pt idx="336">
                  <c:v>0.93671930189810837</c:v>
                </c:pt>
                <c:pt idx="337">
                  <c:v>0.95669221065525534</c:v>
                </c:pt>
                <c:pt idx="338">
                  <c:v>0.97330556031823079</c:v>
                </c:pt>
                <c:pt idx="339">
                  <c:v>0.9965151990202088</c:v>
                </c:pt>
                <c:pt idx="340">
                  <c:v>1.7976472749666073E-2</c:v>
                </c:pt>
                <c:pt idx="341">
                  <c:v>3.6678383343573984E-2</c:v>
                </c:pt>
                <c:pt idx="342">
                  <c:v>4.8683404776486583E-2</c:v>
                </c:pt>
                <c:pt idx="343">
                  <c:v>9.2930189834593335E-2</c:v>
                </c:pt>
                <c:pt idx="344">
                  <c:v>0.12037150030619159</c:v>
                </c:pt>
                <c:pt idx="345">
                  <c:v>0.15309590936923101</c:v>
                </c:pt>
                <c:pt idx="346">
                  <c:v>0.16931627679100814</c:v>
                </c:pt>
                <c:pt idx="347">
                  <c:v>0.18946710349027995</c:v>
                </c:pt>
                <c:pt idx="348">
                  <c:v>0.20536124923443921</c:v>
                </c:pt>
                <c:pt idx="349">
                  <c:v>0.22794663808915772</c:v>
                </c:pt>
                <c:pt idx="350">
                  <c:v>0.242136509491921</c:v>
                </c:pt>
                <c:pt idx="351">
                  <c:v>0.26329480710371556</c:v>
                </c:pt>
                <c:pt idx="352">
                  <c:v>0.28111125535827242</c:v>
                </c:pt>
                <c:pt idx="353">
                  <c:v>0.30074556031825139</c:v>
                </c:pt>
                <c:pt idx="354">
                  <c:v>0.3197474096755144</c:v>
                </c:pt>
                <c:pt idx="355">
                  <c:v>0.33746586650363497</c:v>
                </c:pt>
                <c:pt idx="356">
                  <c:v>0.35857860379682904</c:v>
                </c:pt>
                <c:pt idx="357">
                  <c:v>0.37210497244353036</c:v>
                </c:pt>
                <c:pt idx="358">
                  <c:v>0.39371185548049326</c:v>
                </c:pt>
                <c:pt idx="359">
                  <c:v>0.41240949173322861</c:v>
                </c:pt>
                <c:pt idx="360">
                  <c:v>0.43133582363723022</c:v>
                </c:pt>
                <c:pt idx="361">
                  <c:v>0.45042180036755397</c:v>
                </c:pt>
                <c:pt idx="362">
                  <c:v>0.46997941212485728</c:v>
                </c:pt>
                <c:pt idx="363">
                  <c:v>0.48497232088199738</c:v>
                </c:pt>
                <c:pt idx="364">
                  <c:v>0.5252498469075384</c:v>
                </c:pt>
                <c:pt idx="365">
                  <c:v>0.55253048377215208</c:v>
                </c:pt>
                <c:pt idx="366">
                  <c:v>0.57510716472772216</c:v>
                </c:pt>
                <c:pt idx="367">
                  <c:v>0.59358459277408215</c:v>
                </c:pt>
                <c:pt idx="368">
                  <c:v>0.61309319044721633</c:v>
                </c:pt>
                <c:pt idx="369">
                  <c:v>0.63357331292089114</c:v>
                </c:pt>
                <c:pt idx="370">
                  <c:v>0.65589212492366045</c:v>
                </c:pt>
                <c:pt idx="371">
                  <c:v>0.67030216778918827</c:v>
                </c:pt>
                <c:pt idx="372">
                  <c:v>0.69571882424977716</c:v>
                </c:pt>
                <c:pt idx="373">
                  <c:v>0.71245256582969674</c:v>
                </c:pt>
                <c:pt idx="374">
                  <c:v>0.73200932026949772</c:v>
                </c:pt>
                <c:pt idx="375">
                  <c:v>0.74876595223499365</c:v>
                </c:pt>
                <c:pt idx="376">
                  <c:v>0.7698788732394064</c:v>
                </c:pt>
                <c:pt idx="377">
                  <c:v>0.78665044703004838</c:v>
                </c:pt>
                <c:pt idx="378">
                  <c:v>0.80597176974888995</c:v>
                </c:pt>
                <c:pt idx="379">
                  <c:v>0.82418878138377849</c:v>
                </c:pt>
                <c:pt idx="380">
                  <c:v>0.84088189834677607</c:v>
                </c:pt>
                <c:pt idx="381">
                  <c:v>0.86122180036721474</c:v>
                </c:pt>
                <c:pt idx="382">
                  <c:v>0.87871721984085127</c:v>
                </c:pt>
                <c:pt idx="383">
                  <c:v>0.89973904470304689</c:v>
                </c:pt>
                <c:pt idx="384">
                  <c:v>0.91570542559691503</c:v>
                </c:pt>
                <c:pt idx="385">
                  <c:v>0.93323821188004885</c:v>
                </c:pt>
                <c:pt idx="386">
                  <c:v>0.94885486834075294</c:v>
                </c:pt>
                <c:pt idx="387">
                  <c:v>2.4603098591551742E-2</c:v>
                </c:pt>
                <c:pt idx="388">
                  <c:v>3.7164727495657246E-2</c:v>
                </c:pt>
                <c:pt idx="389">
                  <c:v>6.5329381506558093E-2</c:v>
                </c:pt>
                <c:pt idx="390">
                  <c:v>8.3560232700413906E-2</c:v>
                </c:pt>
                <c:pt idx="391">
                  <c:v>0.10168950398043819</c:v>
                </c:pt>
                <c:pt idx="392">
                  <c:v>0.12068357623985904</c:v>
                </c:pt>
                <c:pt idx="393">
                  <c:v>0.1379488058786329</c:v>
                </c:pt>
                <c:pt idx="394">
                  <c:v>0.15813408450685884</c:v>
                </c:pt>
                <c:pt idx="395">
                  <c:v>0.17524650336778791</c:v>
                </c:pt>
                <c:pt idx="396">
                  <c:v>0.19711224739744893</c:v>
                </c:pt>
                <c:pt idx="397">
                  <c:v>0.21034248622187945</c:v>
                </c:pt>
                <c:pt idx="398">
                  <c:v>0.23294071034931463</c:v>
                </c:pt>
                <c:pt idx="399">
                  <c:v>0.24841305572569183</c:v>
                </c:pt>
                <c:pt idx="400">
                  <c:v>0.27039734231489376</c:v>
                </c:pt>
                <c:pt idx="401">
                  <c:v>0.28635637477024289</c:v>
                </c:pt>
                <c:pt idx="402">
                  <c:v>0.30774994488675489</c:v>
                </c:pt>
                <c:pt idx="403">
                  <c:v>0.32476576852434746</c:v>
                </c:pt>
                <c:pt idx="404">
                  <c:v>0.34508569503975295</c:v>
                </c:pt>
                <c:pt idx="405">
                  <c:v>0.35858879363151885</c:v>
                </c:pt>
                <c:pt idx="406">
                  <c:v>0.37808219228391593</c:v>
                </c:pt>
                <c:pt idx="407">
                  <c:v>0.43539497856705367</c:v>
                </c:pt>
                <c:pt idx="408">
                  <c:v>0.46690351500324923</c:v>
                </c:pt>
                <c:pt idx="409">
                  <c:v>0.49311939987769904</c:v>
                </c:pt>
                <c:pt idx="410">
                  <c:v>0.510497256583065</c:v>
                </c:pt>
                <c:pt idx="411">
                  <c:v>0.53607654623374756</c:v>
                </c:pt>
                <c:pt idx="412">
                  <c:v>0.55542908756909881</c:v>
                </c:pt>
                <c:pt idx="413">
                  <c:v>0.5741685486831507</c:v>
                </c:pt>
                <c:pt idx="414">
                  <c:v>0.59537899571334663</c:v>
                </c:pt>
                <c:pt idx="415">
                  <c:v>0.61247805266402011</c:v>
                </c:pt>
                <c:pt idx="416">
                  <c:v>0.6327017023879975</c:v>
                </c:pt>
                <c:pt idx="417">
                  <c:v>0.64910279240673674</c:v>
                </c:pt>
                <c:pt idx="418">
                  <c:v>0.6720378934477047</c:v>
                </c:pt>
                <c:pt idx="419">
                  <c:v>0.6893398285366068</c:v>
                </c:pt>
                <c:pt idx="420">
                  <c:v>0.7074974647889114</c:v>
                </c:pt>
                <c:pt idx="421">
                  <c:v>0.72497823637489844</c:v>
                </c:pt>
                <c:pt idx="422">
                  <c:v>0.7450612124924767</c:v>
                </c:pt>
                <c:pt idx="423">
                  <c:v>0.76415883649747585</c:v>
                </c:pt>
                <c:pt idx="424">
                  <c:v>0.7835536191059731</c:v>
                </c:pt>
                <c:pt idx="425">
                  <c:v>0.80494782608686677</c:v>
                </c:pt>
                <c:pt idx="426">
                  <c:v>0.81932847519888341</c:v>
                </c:pt>
                <c:pt idx="427">
                  <c:v>0.90831292100451577</c:v>
                </c:pt>
                <c:pt idx="428">
                  <c:v>0.93485462339281256</c:v>
                </c:pt>
                <c:pt idx="429">
                  <c:v>0.95610781383928156</c:v>
                </c:pt>
                <c:pt idx="430">
                  <c:v>0.96945707287196825</c:v>
                </c:pt>
                <c:pt idx="431">
                  <c:v>0.99580740967545367</c:v>
                </c:pt>
                <c:pt idx="432">
                  <c:v>1.175650949170759E-2</c:v>
                </c:pt>
                <c:pt idx="433">
                  <c:v>3.2210104103015169E-2</c:v>
                </c:pt>
                <c:pt idx="434">
                  <c:v>4.9419338640397825E-2</c:v>
                </c:pt>
                <c:pt idx="435">
                  <c:v>6.9737709736461539E-2</c:v>
                </c:pt>
                <c:pt idx="436">
                  <c:v>8.6181996325777277E-2</c:v>
                </c:pt>
                <c:pt idx="437">
                  <c:v>0.10800829148792701</c:v>
                </c:pt>
                <c:pt idx="438">
                  <c:v>0.12878862216804166</c:v>
                </c:pt>
                <c:pt idx="439">
                  <c:v>0.14306731169629217</c:v>
                </c:pt>
                <c:pt idx="440">
                  <c:v>0.16344499693805759</c:v>
                </c:pt>
                <c:pt idx="441">
                  <c:v>0.18057695039777855</c:v>
                </c:pt>
                <c:pt idx="442">
                  <c:v>0.20224651561528617</c:v>
                </c:pt>
                <c:pt idx="443">
                  <c:v>0.21748859767299678</c:v>
                </c:pt>
                <c:pt idx="444">
                  <c:v>0.23950525413370372</c:v>
                </c:pt>
                <c:pt idx="445">
                  <c:v>0.2553781628904126</c:v>
                </c:pt>
                <c:pt idx="446">
                  <c:v>0.27616886711586375</c:v>
                </c:pt>
                <c:pt idx="447">
                  <c:v>0.32232859767277589</c:v>
                </c:pt>
                <c:pt idx="448">
                  <c:v>0.36023913043455735</c:v>
                </c:pt>
                <c:pt idx="449">
                  <c:v>0.38828315982847172</c:v>
                </c:pt>
                <c:pt idx="450">
                  <c:v>0.40360665033683674</c:v>
                </c:pt>
                <c:pt idx="451">
                  <c:v>0.43122620943053036</c:v>
                </c:pt>
                <c:pt idx="452">
                  <c:v>0.4519333251685218</c:v>
                </c:pt>
                <c:pt idx="453">
                  <c:v>0.47202466625836692</c:v>
                </c:pt>
                <c:pt idx="454">
                  <c:v>0.4904354562154829</c:v>
                </c:pt>
                <c:pt idx="455">
                  <c:v>0.50936620943054223</c:v>
                </c:pt>
                <c:pt idx="456">
                  <c:v>0.52700101653375242</c:v>
                </c:pt>
                <c:pt idx="457">
                  <c:v>0.54542432333110469</c:v>
                </c:pt>
                <c:pt idx="458">
                  <c:v>0.56698705450120102</c:v>
                </c:pt>
                <c:pt idx="459">
                  <c:v>0.58017703613000648</c:v>
                </c:pt>
                <c:pt idx="460">
                  <c:v>0.60323672994471522</c:v>
                </c:pt>
                <c:pt idx="461">
                  <c:v>0.61975810165355583</c:v>
                </c:pt>
                <c:pt idx="462">
                  <c:v>0.63972405388846454</c:v>
                </c:pt>
                <c:pt idx="463">
                  <c:v>0.65706749540734677</c:v>
                </c:pt>
                <c:pt idx="464">
                  <c:v>0.67549165952220847</c:v>
                </c:pt>
                <c:pt idx="465">
                  <c:v>0.69437050826697089</c:v>
                </c:pt>
                <c:pt idx="466">
                  <c:v>0.71452226576869293</c:v>
                </c:pt>
                <c:pt idx="467">
                  <c:v>0.72476172688276108</c:v>
                </c:pt>
                <c:pt idx="468">
                  <c:v>0.79397091243087559</c:v>
                </c:pt>
                <c:pt idx="469">
                  <c:v>0.81055048377232097</c:v>
                </c:pt>
                <c:pt idx="470">
                  <c:v>0.83858930802204412</c:v>
                </c:pt>
                <c:pt idx="471">
                  <c:v>0.87217624004889061</c:v>
                </c:pt>
                <c:pt idx="472">
                  <c:v>0.89295070422545209</c:v>
                </c:pt>
                <c:pt idx="473">
                  <c:v>0.90918395590933798</c:v>
                </c:pt>
                <c:pt idx="474">
                  <c:v>0.92753567666885317</c:v>
                </c:pt>
                <c:pt idx="475">
                  <c:v>0.94714755664447736</c:v>
                </c:pt>
                <c:pt idx="476">
                  <c:v>0.966594611145144</c:v>
                </c:pt>
                <c:pt idx="477">
                  <c:v>0.98361250459269556</c:v>
                </c:pt>
                <c:pt idx="478">
                  <c:v>5.4315370481887726E-3</c:v>
                </c:pt>
                <c:pt idx="479">
                  <c:v>1.9634292713057278E-2</c:v>
                </c:pt>
                <c:pt idx="480">
                  <c:v>4.001811390089216E-2</c:v>
                </c:pt>
                <c:pt idx="481">
                  <c:v>5.666556031843939E-2</c:v>
                </c:pt>
                <c:pt idx="482">
                  <c:v>7.6219706062687465E-2</c:v>
                </c:pt>
                <c:pt idx="483">
                  <c:v>9.4708573178085231E-2</c:v>
                </c:pt>
                <c:pt idx="484">
                  <c:v>0.11340082057541423</c:v>
                </c:pt>
                <c:pt idx="485">
                  <c:v>0.12737021432928231</c:v>
                </c:pt>
                <c:pt idx="486">
                  <c:v>0.15136023270067867</c:v>
                </c:pt>
                <c:pt idx="487">
                  <c:v>0.16379794243732348</c:v>
                </c:pt>
                <c:pt idx="488">
                  <c:v>0.19314145744052169</c:v>
                </c:pt>
                <c:pt idx="489">
                  <c:v>0.23759445192922968</c:v>
                </c:pt>
                <c:pt idx="490">
                  <c:v>0.26406109001857203</c:v>
                </c:pt>
                <c:pt idx="491">
                  <c:v>0.30664782608709373</c:v>
                </c:pt>
                <c:pt idx="492">
                  <c:v>0.33090112676053707</c:v>
                </c:pt>
                <c:pt idx="493">
                  <c:v>0.34607810165336161</c:v>
                </c:pt>
                <c:pt idx="494">
                  <c:v>0.37041736680977877</c:v>
                </c:pt>
                <c:pt idx="495">
                  <c:v>0.38436145744008599</c:v>
                </c:pt>
                <c:pt idx="496">
                  <c:v>0.40640014696886695</c:v>
                </c:pt>
                <c:pt idx="497">
                  <c:v>0.42383151255383922</c:v>
                </c:pt>
                <c:pt idx="498">
                  <c:v>0.44284908756880625</c:v>
                </c:pt>
                <c:pt idx="499">
                  <c:v>0.45979011635052558</c:v>
                </c:pt>
                <c:pt idx="500">
                  <c:v>0.47830434782636999</c:v>
                </c:pt>
                <c:pt idx="501">
                  <c:v>0.49645262706650684</c:v>
                </c:pt>
                <c:pt idx="502">
                  <c:v>0.51728155541952958</c:v>
                </c:pt>
                <c:pt idx="503">
                  <c:v>0.53821248009821332</c:v>
                </c:pt>
                <c:pt idx="504">
                  <c:v>0.554108401714835</c:v>
                </c:pt>
                <c:pt idx="505">
                  <c:v>0.57237274954078288</c:v>
                </c:pt>
                <c:pt idx="506">
                  <c:v>0.59361042253517837</c:v>
                </c:pt>
                <c:pt idx="507">
                  <c:v>0.60817615431719219</c:v>
                </c:pt>
                <c:pt idx="508">
                  <c:v>0.68601996325805104</c:v>
                </c:pt>
                <c:pt idx="509">
                  <c:v>0.70988324556022775</c:v>
                </c:pt>
                <c:pt idx="510">
                  <c:v>0.73473431720738702</c:v>
                </c:pt>
                <c:pt idx="511">
                  <c:v>0.75127552970000622</c:v>
                </c:pt>
                <c:pt idx="512">
                  <c:v>0.77125488058763736</c:v>
                </c:pt>
                <c:pt idx="513">
                  <c:v>0.79351010410296396</c:v>
                </c:pt>
                <c:pt idx="514">
                  <c:v>0.81167376607448816</c:v>
                </c:pt>
                <c:pt idx="515">
                  <c:v>0.83127127985304128</c:v>
                </c:pt>
                <c:pt idx="516">
                  <c:v>0.8499440661359472</c:v>
                </c:pt>
                <c:pt idx="517">
                  <c:v>0.86993229638703085</c:v>
                </c:pt>
                <c:pt idx="518">
                  <c:v>0.88496557256607389</c:v>
                </c:pt>
                <c:pt idx="519">
                  <c:v>0.90705908144512293</c:v>
                </c:pt>
                <c:pt idx="520">
                  <c:v>0.92361440293922215</c:v>
                </c:pt>
                <c:pt idx="521">
                  <c:v>0.94493937538280903</c:v>
                </c:pt>
                <c:pt idx="522">
                  <c:v>0.9594563380281862</c:v>
                </c:pt>
                <c:pt idx="523">
                  <c:v>0.98125274954061581</c:v>
                </c:pt>
                <c:pt idx="524">
                  <c:v>0.9981921984080131</c:v>
                </c:pt>
                <c:pt idx="525">
                  <c:v>1.7310557256760006E-2</c:v>
                </c:pt>
                <c:pt idx="526">
                  <c:v>3.9199718310104714E-2</c:v>
                </c:pt>
                <c:pt idx="527">
                  <c:v>5.6758579301870782E-2</c:v>
                </c:pt>
                <c:pt idx="528">
                  <c:v>0.11655848132262747</c:v>
                </c:pt>
                <c:pt idx="529">
                  <c:v>0.14285388854842651</c:v>
                </c:pt>
                <c:pt idx="530">
                  <c:v>0.16464911206395527</c:v>
                </c:pt>
                <c:pt idx="531">
                  <c:v>0.1846450336804466</c:v>
                </c:pt>
                <c:pt idx="532">
                  <c:v>0.21050061236962136</c:v>
                </c:pt>
                <c:pt idx="533">
                  <c:v>0.23007794243750723</c:v>
                </c:pt>
                <c:pt idx="534">
                  <c:v>0.25140580526665346</c:v>
                </c:pt>
                <c:pt idx="535">
                  <c:v>0.26964717697516249</c:v>
                </c:pt>
                <c:pt idx="536">
                  <c:v>0.28563403551719446</c:v>
                </c:pt>
                <c:pt idx="537">
                  <c:v>0.30759119412098102</c:v>
                </c:pt>
                <c:pt idx="538">
                  <c:v>0.3255045927738216</c:v>
                </c:pt>
                <c:pt idx="539">
                  <c:v>0.34385845682766814</c:v>
                </c:pt>
                <c:pt idx="540">
                  <c:v>0.36188494794832593</c:v>
                </c:pt>
                <c:pt idx="541">
                  <c:v>0.3800779914270116</c:v>
                </c:pt>
                <c:pt idx="542">
                  <c:v>0.39809823637475716</c:v>
                </c:pt>
                <c:pt idx="543">
                  <c:v>0.41740339252908498</c:v>
                </c:pt>
                <c:pt idx="544">
                  <c:v>0.43561873851778543</c:v>
                </c:pt>
                <c:pt idx="545">
                  <c:v>0.4549723086343711</c:v>
                </c:pt>
                <c:pt idx="546">
                  <c:v>0.47434796080841934</c:v>
                </c:pt>
                <c:pt idx="547">
                  <c:v>0.49279567666878776</c:v>
                </c:pt>
                <c:pt idx="548">
                  <c:v>0.51549090018389876</c:v>
                </c:pt>
                <c:pt idx="549">
                  <c:v>0.57581592161682948</c:v>
                </c:pt>
                <c:pt idx="550">
                  <c:v>0.60386700551119787</c:v>
                </c:pt>
                <c:pt idx="551">
                  <c:v>0.61882008573203606</c:v>
                </c:pt>
                <c:pt idx="552">
                  <c:v>0.63923285976713728</c:v>
                </c:pt>
                <c:pt idx="553">
                  <c:v>0.66379875076543371</c:v>
                </c:pt>
                <c:pt idx="554">
                  <c:v>0.68275187997545572</c:v>
                </c:pt>
                <c:pt idx="555">
                  <c:v>0.70559256582989249</c:v>
                </c:pt>
                <c:pt idx="556">
                  <c:v>0.72015484384576567</c:v>
                </c:pt>
                <c:pt idx="557">
                  <c:v>0.74006849969409316</c:v>
                </c:pt>
                <c:pt idx="558">
                  <c:v>0.75781235762399035</c:v>
                </c:pt>
                <c:pt idx="559">
                  <c:v>0.77920377219868087</c:v>
                </c:pt>
                <c:pt idx="560">
                  <c:v>0.79484527862807042</c:v>
                </c:pt>
                <c:pt idx="561">
                  <c:v>0.81562519289635205</c:v>
                </c:pt>
                <c:pt idx="562">
                  <c:v>0.83250094304946032</c:v>
                </c:pt>
                <c:pt idx="563">
                  <c:v>0.853453104715026</c:v>
                </c:pt>
                <c:pt idx="564">
                  <c:v>0.87292253521122021</c:v>
                </c:pt>
                <c:pt idx="565">
                  <c:v>0.89131724433568493</c:v>
                </c:pt>
                <c:pt idx="566">
                  <c:v>0.90890395590911055</c:v>
                </c:pt>
                <c:pt idx="567">
                  <c:v>0.92862774035508266</c:v>
                </c:pt>
                <c:pt idx="568">
                  <c:v>0.95295169626448839</c:v>
                </c:pt>
                <c:pt idx="569">
                  <c:v>0.9636145254131705</c:v>
                </c:pt>
                <c:pt idx="570">
                  <c:v>4.4771708509294683E-3</c:v>
                </c:pt>
                <c:pt idx="571">
                  <c:v>2.6100085731719957E-2</c:v>
                </c:pt>
                <c:pt idx="572">
                  <c:v>4.3818628291706574E-2</c:v>
                </c:pt>
                <c:pt idx="573">
                  <c:v>6.9142424984534046E-2</c:v>
                </c:pt>
                <c:pt idx="574">
                  <c:v>8.2938420085550746E-2</c:v>
                </c:pt>
                <c:pt idx="575">
                  <c:v>0.10974176362526578</c:v>
                </c:pt>
                <c:pt idx="576">
                  <c:v>0.12639902020814375</c:v>
                </c:pt>
                <c:pt idx="577">
                  <c:v>0.14679453766061101</c:v>
                </c:pt>
                <c:pt idx="578">
                  <c:v>0.16407119412150806</c:v>
                </c:pt>
                <c:pt idx="579">
                  <c:v>0.18356041641152032</c:v>
                </c:pt>
                <c:pt idx="580">
                  <c:v>0.20135093692562478</c:v>
                </c:pt>
                <c:pt idx="581">
                  <c:v>0.22186144519271167</c:v>
                </c:pt>
                <c:pt idx="582">
                  <c:v>0.24034488671136955</c:v>
                </c:pt>
                <c:pt idx="583">
                  <c:v>0.25955309246798564</c:v>
                </c:pt>
                <c:pt idx="584">
                  <c:v>0.28078487446441613</c:v>
                </c:pt>
                <c:pt idx="585">
                  <c:v>0.29434706674819111</c:v>
                </c:pt>
                <c:pt idx="586">
                  <c:v>0.31467004286596278</c:v>
                </c:pt>
                <c:pt idx="587">
                  <c:v>0.33224307409666309</c:v>
                </c:pt>
                <c:pt idx="588">
                  <c:v>0.35097180649099968</c:v>
                </c:pt>
                <c:pt idx="589">
                  <c:v>0.37036602571948762</c:v>
                </c:pt>
                <c:pt idx="590">
                  <c:v>0.3909117207592665</c:v>
                </c:pt>
                <c:pt idx="591">
                  <c:v>0.40205906919760892</c:v>
                </c:pt>
                <c:pt idx="592">
                  <c:v>0.47938334353927559</c:v>
                </c:pt>
                <c:pt idx="593">
                  <c:v>0.504695272504879</c:v>
                </c:pt>
                <c:pt idx="594">
                  <c:v>0.51790945499106655</c:v>
                </c:pt>
                <c:pt idx="595">
                  <c:v>0.54638028169017616</c:v>
                </c:pt>
                <c:pt idx="596">
                  <c:v>0.55981325168409057</c:v>
                </c:pt>
                <c:pt idx="597">
                  <c:v>0.58241608083266527</c:v>
                </c:pt>
                <c:pt idx="598">
                  <c:v>0.60615026331931432</c:v>
                </c:pt>
                <c:pt idx="599">
                  <c:v>0.62293857930197305</c:v>
                </c:pt>
                <c:pt idx="600">
                  <c:v>0.64851539497835731</c:v>
                </c:pt>
                <c:pt idx="601">
                  <c:v>0.66148155541954878</c:v>
                </c:pt>
                <c:pt idx="602">
                  <c:v>0.68368802204516044</c:v>
                </c:pt>
                <c:pt idx="603">
                  <c:v>0.69804682180032174</c:v>
                </c:pt>
                <c:pt idx="604">
                  <c:v>0.72015548071014734</c:v>
                </c:pt>
                <c:pt idx="605">
                  <c:v>0.73748014696895936</c:v>
                </c:pt>
                <c:pt idx="606">
                  <c:v>0.75882102878147251</c:v>
                </c:pt>
                <c:pt idx="607">
                  <c:v>0.77536650336777058</c:v>
                </c:pt>
                <c:pt idx="608">
                  <c:v>0.79518382118778774</c:v>
                </c:pt>
                <c:pt idx="609">
                  <c:v>0.81449692590311429</c:v>
                </c:pt>
                <c:pt idx="610">
                  <c:v>0.83224066135924701</c:v>
                </c:pt>
                <c:pt idx="611">
                  <c:v>0.86991304347824183</c:v>
                </c:pt>
                <c:pt idx="612">
                  <c:v>0.9010750765462241</c:v>
                </c:pt>
                <c:pt idx="613">
                  <c:v>0.94576956521758504</c:v>
                </c:pt>
                <c:pt idx="614">
                  <c:v>0.96363407225945252</c:v>
                </c:pt>
                <c:pt idx="615">
                  <c:v>0.98781987752614953</c:v>
                </c:pt>
                <c:pt idx="616">
                  <c:v>9.5043723207410835E-3</c:v>
                </c:pt>
                <c:pt idx="617">
                  <c:v>2.4601763625334172E-2</c:v>
                </c:pt>
                <c:pt idx="618">
                  <c:v>4.6908046540377057E-2</c:v>
                </c:pt>
                <c:pt idx="619">
                  <c:v>6.0520122473885607E-2</c:v>
                </c:pt>
                <c:pt idx="620">
                  <c:v>8.4461102265560584E-2</c:v>
                </c:pt>
                <c:pt idx="621">
                  <c:v>9.8929491733009911E-2</c:v>
                </c:pt>
                <c:pt idx="622">
                  <c:v>0.11811402326977927</c:v>
                </c:pt>
                <c:pt idx="623">
                  <c:v>0.13468906307388906</c:v>
                </c:pt>
                <c:pt idx="624">
                  <c:v>0.15849594611147566</c:v>
                </c:pt>
                <c:pt idx="625">
                  <c:v>0.1761485364359956</c:v>
                </c:pt>
                <c:pt idx="626">
                  <c:v>0.19401952235138964</c:v>
                </c:pt>
                <c:pt idx="627">
                  <c:v>0.21080586650344202</c:v>
                </c:pt>
                <c:pt idx="628">
                  <c:v>0.23059463563996374</c:v>
                </c:pt>
                <c:pt idx="629">
                  <c:v>0.24912230251043255</c:v>
                </c:pt>
                <c:pt idx="630">
                  <c:v>0.27160184935707221</c:v>
                </c:pt>
                <c:pt idx="631">
                  <c:v>0.28749575015312701</c:v>
                </c:pt>
                <c:pt idx="632">
                  <c:v>0.30219687691354125</c:v>
                </c:pt>
                <c:pt idx="633">
                  <c:v>0.35446812002477657</c:v>
                </c:pt>
                <c:pt idx="634">
                  <c:v>0.37449222290289441</c:v>
                </c:pt>
                <c:pt idx="635">
                  <c:v>0.38955541947355954</c:v>
                </c:pt>
                <c:pt idx="636">
                  <c:v>0.41158009797907269</c:v>
                </c:pt>
                <c:pt idx="637">
                  <c:v>0.43442011022665383</c:v>
                </c:pt>
                <c:pt idx="638">
                  <c:v>0.45040229026317036</c:v>
                </c:pt>
                <c:pt idx="639">
                  <c:v>0.47544576852443754</c:v>
                </c:pt>
                <c:pt idx="640">
                  <c:v>0.48985969381485717</c:v>
                </c:pt>
                <c:pt idx="641">
                  <c:v>0.51199650949190101</c:v>
                </c:pt>
                <c:pt idx="642">
                  <c:v>0.52807539497859679</c:v>
                </c:pt>
                <c:pt idx="643">
                  <c:v>0.5513443110838061</c:v>
                </c:pt>
                <c:pt idx="644">
                  <c:v>0.56871014084514115</c:v>
                </c:pt>
                <c:pt idx="645">
                  <c:v>0.59190349050826541</c:v>
                </c:pt>
                <c:pt idx="646">
                  <c:v>0.60699290875687595</c:v>
                </c:pt>
                <c:pt idx="647">
                  <c:v>0.62649126760535978</c:v>
                </c:pt>
                <c:pt idx="648">
                  <c:v>0.64575115737915212</c:v>
                </c:pt>
                <c:pt idx="649">
                  <c:v>0.66532197183104103</c:v>
                </c:pt>
                <c:pt idx="650">
                  <c:v>0.68592464176348145</c:v>
                </c:pt>
                <c:pt idx="651">
                  <c:v>0.70381361910581575</c:v>
                </c:pt>
                <c:pt idx="652">
                  <c:v>0.72675837109587249</c:v>
                </c:pt>
                <c:pt idx="653">
                  <c:v>0.74650372320869351</c:v>
                </c:pt>
                <c:pt idx="654">
                  <c:v>0.76276533986542816</c:v>
                </c:pt>
                <c:pt idx="655">
                  <c:v>0.81650930802199184</c:v>
                </c:pt>
                <c:pt idx="656">
                  <c:v>0.84064202082034711</c:v>
                </c:pt>
                <c:pt idx="657">
                  <c:v>0.85890200857326349</c:v>
                </c:pt>
                <c:pt idx="658">
                  <c:v>0.8834891365584383</c:v>
                </c:pt>
                <c:pt idx="659">
                  <c:v>0.89673704837733581</c:v>
                </c:pt>
                <c:pt idx="660">
                  <c:v>0.92095489283500243</c:v>
                </c:pt>
                <c:pt idx="661">
                  <c:v>0.94223612982241534</c:v>
                </c:pt>
                <c:pt idx="662">
                  <c:v>0.96060311083898142</c:v>
                </c:pt>
                <c:pt idx="663">
                  <c:v>0.98224482547482594</c:v>
                </c:pt>
                <c:pt idx="664">
                  <c:v>0.99772135946108165</c:v>
                </c:pt>
                <c:pt idx="665">
                  <c:v>2.0528095529687818E-2</c:v>
                </c:pt>
                <c:pt idx="666">
                  <c:v>3.592623392518135E-2</c:v>
                </c:pt>
                <c:pt idx="667">
                  <c:v>5.758945499099255E-2</c:v>
                </c:pt>
                <c:pt idx="668">
                  <c:v>7.1803429271209751E-2</c:v>
                </c:pt>
                <c:pt idx="669">
                  <c:v>9.4549761176001113E-2</c:v>
                </c:pt>
                <c:pt idx="670">
                  <c:v>0.11405175750127228</c:v>
                </c:pt>
                <c:pt idx="671">
                  <c:v>0.13212515615424181</c:v>
                </c:pt>
                <c:pt idx="672">
                  <c:v>0.1522751255360113</c:v>
                </c:pt>
                <c:pt idx="673">
                  <c:v>0.16787506429910692</c:v>
                </c:pt>
                <c:pt idx="674">
                  <c:v>0.19874341702413645</c:v>
                </c:pt>
                <c:pt idx="675">
                  <c:v>0.27857511328842577</c:v>
                </c:pt>
                <c:pt idx="676">
                  <c:v>0.29809406001248462</c:v>
                </c:pt>
                <c:pt idx="677">
                  <c:v>0.32295276178816934</c:v>
                </c:pt>
                <c:pt idx="678">
                  <c:v>0.34654661359474304</c:v>
                </c:pt>
                <c:pt idx="679">
                  <c:v>0.36213870177562058</c:v>
                </c:pt>
                <c:pt idx="680">
                  <c:v>0.38452962645433786</c:v>
                </c:pt>
                <c:pt idx="681">
                  <c:v>0.4002178567053889</c:v>
                </c:pt>
                <c:pt idx="682">
                  <c:v>0.42190031843249542</c:v>
                </c:pt>
                <c:pt idx="683">
                  <c:v>0.43761308022032708</c:v>
                </c:pt>
                <c:pt idx="684">
                  <c:v>0.45958260869560519</c:v>
                </c:pt>
                <c:pt idx="685">
                  <c:v>0.4763167176973937</c:v>
                </c:pt>
                <c:pt idx="686">
                  <c:v>0.4968242131045848</c:v>
                </c:pt>
                <c:pt idx="687">
                  <c:v>0.5158840906307276</c:v>
                </c:pt>
                <c:pt idx="688">
                  <c:v>0.5324186282916763</c:v>
                </c:pt>
                <c:pt idx="689">
                  <c:v>0.55069358236357857</c:v>
                </c:pt>
                <c:pt idx="690">
                  <c:v>0.57133658297601642</c:v>
                </c:pt>
                <c:pt idx="691">
                  <c:v>0.5902947826089715</c:v>
                </c:pt>
                <c:pt idx="692">
                  <c:v>0.60577561543194847</c:v>
                </c:pt>
                <c:pt idx="693">
                  <c:v>0.62654976117603312</c:v>
                </c:pt>
                <c:pt idx="694">
                  <c:v>0.63718677281053715</c:v>
                </c:pt>
                <c:pt idx="695">
                  <c:v>0.71355916717673296</c:v>
                </c:pt>
                <c:pt idx="696">
                  <c:v>0.73379243110846559</c:v>
                </c:pt>
                <c:pt idx="697">
                  <c:v>0.75377222290291002</c:v>
                </c:pt>
                <c:pt idx="698">
                  <c:v>0.78337603184324323</c:v>
                </c:pt>
                <c:pt idx="699">
                  <c:v>0.80770798530303978</c:v>
                </c:pt>
                <c:pt idx="700">
                  <c:v>0.82894219228437649</c:v>
                </c:pt>
                <c:pt idx="701">
                  <c:v>0.84992015921606168</c:v>
                </c:pt>
                <c:pt idx="702">
                  <c:v>0.86333991426846879</c:v>
                </c:pt>
                <c:pt idx="703">
                  <c:v>0.88724421310499224</c:v>
                </c:pt>
                <c:pt idx="704">
                  <c:v>0.89947611757480672</c:v>
                </c:pt>
                <c:pt idx="705">
                  <c:v>0.92369920391913496</c:v>
                </c:pt>
                <c:pt idx="706">
                  <c:v>0.93923846907532749</c:v>
                </c:pt>
                <c:pt idx="707">
                  <c:v>0.95934936925894476</c:v>
                </c:pt>
                <c:pt idx="708">
                  <c:v>0.97479850581726879</c:v>
                </c:pt>
                <c:pt idx="709">
                  <c:v>0.99640011022680497</c:v>
                </c:pt>
                <c:pt idx="710">
                  <c:v>1.4545670545114575E-2</c:v>
                </c:pt>
                <c:pt idx="711">
                  <c:v>3.6095333741311464E-2</c:v>
                </c:pt>
                <c:pt idx="712">
                  <c:v>5.2748181261762284E-2</c:v>
                </c:pt>
                <c:pt idx="713">
                  <c:v>6.9697048377065585E-2</c:v>
                </c:pt>
                <c:pt idx="714">
                  <c:v>8.911818738534194E-2</c:v>
                </c:pt>
                <c:pt idx="715">
                  <c:v>0.15943049601936821</c:v>
                </c:pt>
                <c:pt idx="716">
                  <c:v>0.18679549295765341</c:v>
                </c:pt>
                <c:pt idx="717">
                  <c:v>0.20581720759310684</c:v>
                </c:pt>
                <c:pt idx="718">
                  <c:v>0.22835720759352895</c:v>
                </c:pt>
                <c:pt idx="719">
                  <c:v>0.25284661359478022</c:v>
                </c:pt>
                <c:pt idx="720">
                  <c:v>0.27230758113879006</c:v>
                </c:pt>
                <c:pt idx="721">
                  <c:v>0.29224274341708067</c:v>
                </c:pt>
                <c:pt idx="722">
                  <c:v>0.30922548683384221</c:v>
                </c:pt>
                <c:pt idx="723">
                  <c:v>0.32641670544986923</c:v>
                </c:pt>
                <c:pt idx="724">
                  <c:v>0.34529369259030673</c:v>
                </c:pt>
                <c:pt idx="725">
                  <c:v>0.36456547458687538</c:v>
                </c:pt>
                <c:pt idx="726">
                  <c:v>0.38476412737284704</c:v>
                </c:pt>
                <c:pt idx="727">
                  <c:v>0.40155397428043216</c:v>
                </c:pt>
                <c:pt idx="728">
                  <c:v>0.42261437844457816</c:v>
                </c:pt>
                <c:pt idx="729">
                  <c:v>0.43943255358254163</c:v>
                </c:pt>
                <c:pt idx="730">
                  <c:v>0.46058666258445768</c:v>
                </c:pt>
                <c:pt idx="731">
                  <c:v>0.47541365584795514</c:v>
                </c:pt>
                <c:pt idx="732">
                  <c:v>0.49710375995107725</c:v>
                </c:pt>
                <c:pt idx="733">
                  <c:v>0.51423904470317083</c:v>
                </c:pt>
                <c:pt idx="734">
                  <c:v>0.52960401714653571</c:v>
                </c:pt>
                <c:pt idx="735">
                  <c:v>0.54809655848119476</c:v>
                </c:pt>
                <c:pt idx="736">
                  <c:v>0.60769730557237622</c:v>
                </c:pt>
                <c:pt idx="737">
                  <c:v>0.62820525413329875</c:v>
                </c:pt>
                <c:pt idx="738">
                  <c:v>0.64317862829165051</c:v>
                </c:pt>
                <c:pt idx="739">
                  <c:v>0.66117957134121497</c:v>
                </c:pt>
                <c:pt idx="740">
                  <c:v>0.68388443355792461</c:v>
                </c:pt>
                <c:pt idx="741">
                  <c:v>0.69946491120660426</c:v>
                </c:pt>
                <c:pt idx="742">
                  <c:v>0.72389437844469029</c:v>
                </c:pt>
                <c:pt idx="743">
                  <c:v>0.74012792406607275</c:v>
                </c:pt>
                <c:pt idx="744">
                  <c:v>0.76049916717678201</c:v>
                </c:pt>
                <c:pt idx="745">
                  <c:v>0.77608442131032973</c:v>
                </c:pt>
                <c:pt idx="746">
                  <c:v>0.79564744641745477</c:v>
                </c:pt>
                <c:pt idx="747">
                  <c:v>0.81211731781976582</c:v>
                </c:pt>
                <c:pt idx="748">
                  <c:v>0.83425530924679236</c:v>
                </c:pt>
                <c:pt idx="749">
                  <c:v>0.85182568279254056</c:v>
                </c:pt>
                <c:pt idx="750">
                  <c:v>0.87024830373555062</c:v>
                </c:pt>
                <c:pt idx="751">
                  <c:v>0.88920029393749189</c:v>
                </c:pt>
                <c:pt idx="752">
                  <c:v>0.90900352725044087</c:v>
                </c:pt>
                <c:pt idx="753">
                  <c:v>0.9273069197795607</c:v>
                </c:pt>
                <c:pt idx="754">
                  <c:v>0.94382826699342104</c:v>
                </c:pt>
              </c:numCache>
            </c:numRef>
          </c:xVal>
          <c:yVal>
            <c:numRef>
              <c:f>Vis!$J$406:$J$1160</c:f>
              <c:numCache>
                <c:formatCode>General</c:formatCode>
                <c:ptCount val="755"/>
                <c:pt idx="19">
                  <c:v>-9.3333499999999958E-2</c:v>
                </c:pt>
                <c:pt idx="20">
                  <c:v>9.3333499999999958E-2</c:v>
                </c:pt>
                <c:pt idx="21">
                  <c:v>0.13619049999999966</c:v>
                </c:pt>
                <c:pt idx="22">
                  <c:v>6.0833499999999319E-2</c:v>
                </c:pt>
                <c:pt idx="23">
                  <c:v>3.1299499999999369E-2</c:v>
                </c:pt>
                <c:pt idx="24">
                  <c:v>1.8666500000000141E-2</c:v>
                </c:pt>
                <c:pt idx="25">
                  <c:v>-4.358500000000376E-3</c:v>
                </c:pt>
                <c:pt idx="26">
                  <c:v>5.2043499999999909E-2</c:v>
                </c:pt>
                <c:pt idx="27">
                  <c:v>-2.1666500000000255E-2</c:v>
                </c:pt>
                <c:pt idx="28">
                  <c:v>-6.4278500000000349E-2</c:v>
                </c:pt>
                <c:pt idx="29">
                  <c:v>-7.7866500000000727E-2</c:v>
                </c:pt>
                <c:pt idx="30">
                  <c:v>-6.3999500000001319E-2</c:v>
                </c:pt>
                <c:pt idx="31">
                  <c:v>-3.1333500000000569E-2</c:v>
                </c:pt>
                <c:pt idx="32">
                  <c:v>-0.10827950000000008</c:v>
                </c:pt>
                <c:pt idx="33">
                  <c:v>-3.1929500000000388E-2</c:v>
                </c:pt>
                <c:pt idx="34">
                  <c:v>5.3788499999999573E-2</c:v>
                </c:pt>
                <c:pt idx="35">
                  <c:v>-0.46666650000000054</c:v>
                </c:pt>
                <c:pt idx="36">
                  <c:v>3.3333499999999461E-2</c:v>
                </c:pt>
                <c:pt idx="37">
                  <c:v>-8.6666499999999758E-2</c:v>
                </c:pt>
                <c:pt idx="38">
                  <c:v>-0.21666650000000054</c:v>
                </c:pt>
                <c:pt idx="39">
                  <c:v>-0.15416650000000054</c:v>
                </c:pt>
                <c:pt idx="40">
                  <c:v>-0.15714250000000085</c:v>
                </c:pt>
                <c:pt idx="41">
                  <c:v>-0.16901950000000099</c:v>
                </c:pt>
                <c:pt idx="42">
                  <c:v>-0.1711665</c:v>
                </c:pt>
                <c:pt idx="43">
                  <c:v>-0.19429850000000037</c:v>
                </c:pt>
                <c:pt idx="44">
                  <c:v>-0.20796050000000044</c:v>
                </c:pt>
                <c:pt idx="45">
                  <c:v>-0.10949249999999999</c:v>
                </c:pt>
                <c:pt idx="46">
                  <c:v>-9.506149999999991E-2</c:v>
                </c:pt>
                <c:pt idx="47">
                  <c:v>-0.12484850000000058</c:v>
                </c:pt>
                <c:pt idx="48">
                  <c:v>-0.12553450000000055</c:v>
                </c:pt>
                <c:pt idx="49">
                  <c:v>-0.15339050000000043</c:v>
                </c:pt>
                <c:pt idx="50">
                  <c:v>-0.11317850000000007</c:v>
                </c:pt>
                <c:pt idx="51">
                  <c:v>-9.9492500000000206E-2</c:v>
                </c:pt>
                <c:pt idx="52">
                  <c:v>-0.10452350000000088</c:v>
                </c:pt>
                <c:pt idx="53">
                  <c:v>1.5416499999998834E-2</c:v>
                </c:pt>
                <c:pt idx="54">
                  <c:v>0.17787850000000027</c:v>
                </c:pt>
                <c:pt idx="55">
                  <c:v>0.28333349999999946</c:v>
                </c:pt>
                <c:pt idx="56">
                  <c:v>0.12761949999999977</c:v>
                </c:pt>
                <c:pt idx="57">
                  <c:v>0.22333349999999896</c:v>
                </c:pt>
                <c:pt idx="58">
                  <c:v>0.12047649999999877</c:v>
                </c:pt>
                <c:pt idx="59">
                  <c:v>4.9666499999998948E-2</c:v>
                </c:pt>
                <c:pt idx="60">
                  <c:v>0.10476249999999965</c:v>
                </c:pt>
                <c:pt idx="61">
                  <c:v>-2.8318499999999247E-2</c:v>
                </c:pt>
                <c:pt idx="62">
                  <c:v>2.8318500000001023E-2</c:v>
                </c:pt>
                <c:pt idx="63">
                  <c:v>-7.5203500000000645E-2</c:v>
                </c:pt>
                <c:pt idx="64">
                  <c:v>-0.12585649999999937</c:v>
                </c:pt>
                <c:pt idx="65">
                  <c:v>-8.9711499999999944E-2</c:v>
                </c:pt>
                <c:pt idx="66">
                  <c:v>-0.10108549999999994</c:v>
                </c:pt>
                <c:pt idx="67">
                  <c:v>-9.28924999999996E-2</c:v>
                </c:pt>
                <c:pt idx="68">
                  <c:v>-0.1318444999999997</c:v>
                </c:pt>
                <c:pt idx="69">
                  <c:v>-0.12351149999999933</c:v>
                </c:pt>
                <c:pt idx="70">
                  <c:v>-0.12384450000000058</c:v>
                </c:pt>
                <c:pt idx="71">
                  <c:v>3.9324999999994503E-3</c:v>
                </c:pt>
                <c:pt idx="72">
                  <c:v>-0.23051150000000042</c:v>
                </c:pt>
                <c:pt idx="73">
                  <c:v>-0.13551149999999978</c:v>
                </c:pt>
                <c:pt idx="74">
                  <c:v>-0.23551149999999943</c:v>
                </c:pt>
                <c:pt idx="75">
                  <c:v>4.848849999999949E-2</c:v>
                </c:pt>
                <c:pt idx="76">
                  <c:v>9.2488499999999974E-2</c:v>
                </c:pt>
                <c:pt idx="77">
                  <c:v>4.8124500000000126E-2</c:v>
                </c:pt>
                <c:pt idx="78">
                  <c:v>-3.0966499999999897E-2</c:v>
                </c:pt>
                <c:pt idx="79">
                  <c:v>-0.18751149999999939</c:v>
                </c:pt>
                <c:pt idx="80">
                  <c:v>-0.16325349999999972</c:v>
                </c:pt>
                <c:pt idx="81">
                  <c:v>-0.21904050000000019</c:v>
                </c:pt>
                <c:pt idx="82">
                  <c:v>-0.17426150000000007</c:v>
                </c:pt>
                <c:pt idx="83">
                  <c:v>-0.23907349999999994</c:v>
                </c:pt>
                <c:pt idx="84">
                  <c:v>-0.24694049999999912</c:v>
                </c:pt>
                <c:pt idx="85">
                  <c:v>-0.32051150000000028</c:v>
                </c:pt>
                <c:pt idx="86">
                  <c:v>-0.26830550000000031</c:v>
                </c:pt>
                <c:pt idx="87">
                  <c:v>-0.27694050000000026</c:v>
                </c:pt>
                <c:pt idx="88">
                  <c:v>-0.22236849999999997</c:v>
                </c:pt>
                <c:pt idx="89">
                  <c:v>-0.2568444999999997</c:v>
                </c:pt>
                <c:pt idx="90">
                  <c:v>-0.25079449999999959</c:v>
                </c:pt>
                <c:pt idx="91">
                  <c:v>-0.18901149999999944</c:v>
                </c:pt>
                <c:pt idx="92">
                  <c:v>-0.23080550000000066</c:v>
                </c:pt>
                <c:pt idx="93">
                  <c:v>-0.20979750000000053</c:v>
                </c:pt>
                <c:pt idx="94">
                  <c:v>-0.1855115000000005</c:v>
                </c:pt>
                <c:pt idx="95">
                  <c:v>-0.23551149999999943</c:v>
                </c:pt>
                <c:pt idx="96">
                  <c:v>-2.3289500000000629E-2</c:v>
                </c:pt>
                <c:pt idx="97">
                  <c:v>-0.28551150000000014</c:v>
                </c:pt>
                <c:pt idx="98">
                  <c:v>-9.6511500000000083E-2</c:v>
                </c:pt>
                <c:pt idx="99">
                  <c:v>-0.1286694999999991</c:v>
                </c:pt>
                <c:pt idx="100">
                  <c:v>-8.2408499999999663E-2</c:v>
                </c:pt>
                <c:pt idx="101">
                  <c:v>-4.1711499999999901E-2</c:v>
                </c:pt>
                <c:pt idx="102">
                  <c:v>-8.840649999999961E-2</c:v>
                </c:pt>
                <c:pt idx="103">
                  <c:v>-8.5643499999999761E-2</c:v>
                </c:pt>
                <c:pt idx="104">
                  <c:v>-4.8731500000000594E-2</c:v>
                </c:pt>
                <c:pt idx="105">
                  <c:v>-6.4625500000000002E-2</c:v>
                </c:pt>
                <c:pt idx="106">
                  <c:v>-6.3511500000000609E-2</c:v>
                </c:pt>
                <c:pt idx="107">
                  <c:v>-8.4686500000000109E-2</c:v>
                </c:pt>
                <c:pt idx="108">
                  <c:v>1.1390000000002232E-3</c:v>
                </c:pt>
                <c:pt idx="109">
                  <c:v>-1.1390000000002232E-3</c:v>
                </c:pt>
                <c:pt idx="110">
                  <c:v>2.2788999999999504E-2</c:v>
                </c:pt>
                <c:pt idx="111">
                  <c:v>-2.4065999999999477E-2</c:v>
                </c:pt>
                <c:pt idx="112">
                  <c:v>-4.8398000000000607E-2</c:v>
                </c:pt>
                <c:pt idx="113">
                  <c:v>-9.5043000000000433E-2</c:v>
                </c:pt>
                <c:pt idx="114">
                  <c:v>8.8799999999995549E-3</c:v>
                </c:pt>
                <c:pt idx="115">
                  <c:v>0.22188000000000052</c:v>
                </c:pt>
                <c:pt idx="116">
                  <c:v>0.11688000000000009</c:v>
                </c:pt>
                <c:pt idx="117">
                  <c:v>-2.6690999999999576E-2</c:v>
                </c:pt>
                <c:pt idx="118">
                  <c:v>-0.12062000000000062</c:v>
                </c:pt>
                <c:pt idx="119">
                  <c:v>3.1046999999999159E-2</c:v>
                </c:pt>
                <c:pt idx="120">
                  <c:v>-0.22669100000000064</c:v>
                </c:pt>
                <c:pt idx="121">
                  <c:v>-0.20087900000000047</c:v>
                </c:pt>
                <c:pt idx="122">
                  <c:v>-0.15634200000000043</c:v>
                </c:pt>
                <c:pt idx="123">
                  <c:v>-0.23317300000000074</c:v>
                </c:pt>
                <c:pt idx="124">
                  <c:v>-0.2579899999999995</c:v>
                </c:pt>
                <c:pt idx="125">
                  <c:v>-0.17986199999999997</c:v>
                </c:pt>
                <c:pt idx="126">
                  <c:v>-0.20102699999999984</c:v>
                </c:pt>
                <c:pt idx="127">
                  <c:v>-0.23395999999999972</c:v>
                </c:pt>
                <c:pt idx="128">
                  <c:v>-0.18605100000000085</c:v>
                </c:pt>
                <c:pt idx="129">
                  <c:v>-0.23223199999999977</c:v>
                </c:pt>
                <c:pt idx="130">
                  <c:v>-0.16919099999999965</c:v>
                </c:pt>
                <c:pt idx="131">
                  <c:v>-0.23444699999999941</c:v>
                </c:pt>
                <c:pt idx="132">
                  <c:v>-0.2084899999999994</c:v>
                </c:pt>
                <c:pt idx="133">
                  <c:v>-0.23905799999999999</c:v>
                </c:pt>
                <c:pt idx="134">
                  <c:v>-0.24728700000000003</c:v>
                </c:pt>
                <c:pt idx="135">
                  <c:v>-0.18811999999999962</c:v>
                </c:pt>
                <c:pt idx="136">
                  <c:v>1.1879999999999669E-2</c:v>
                </c:pt>
                <c:pt idx="137">
                  <c:v>-0.11811999999999934</c:v>
                </c:pt>
                <c:pt idx="138">
                  <c:v>-0.15923100000000012</c:v>
                </c:pt>
                <c:pt idx="139">
                  <c:v>-6.1200000000010135E-3</c:v>
                </c:pt>
                <c:pt idx="140">
                  <c:v>-3.3834000000000586E-2</c:v>
                </c:pt>
                <c:pt idx="141">
                  <c:v>2.1879999999999455E-2</c:v>
                </c:pt>
                <c:pt idx="142">
                  <c:v>-1.8119999999999692E-2</c:v>
                </c:pt>
                <c:pt idx="143">
                  <c:v>0.10276900000000033</c:v>
                </c:pt>
                <c:pt idx="144">
                  <c:v>-2.1556999999999604E-2</c:v>
                </c:pt>
                <c:pt idx="145">
                  <c:v>-4.5953000000000799E-2</c:v>
                </c:pt>
                <c:pt idx="146">
                  <c:v>-3.6571999999999605E-2</c:v>
                </c:pt>
                <c:pt idx="147">
                  <c:v>-2.1769000000000815E-2</c:v>
                </c:pt>
                <c:pt idx="148">
                  <c:v>9.2409999999993886E-3</c:v>
                </c:pt>
                <c:pt idx="149">
                  <c:v>4.9212999999999951E-2</c:v>
                </c:pt>
                <c:pt idx="150">
                  <c:v>0.1127129999999994</c:v>
                </c:pt>
                <c:pt idx="151">
                  <c:v>-2.5932000000000954E-2</c:v>
                </c:pt>
                <c:pt idx="152">
                  <c:v>4.4606999999999175E-2</c:v>
                </c:pt>
                <c:pt idx="153">
                  <c:v>-2.3336999999999719E-2</c:v>
                </c:pt>
                <c:pt idx="154">
                  <c:v>4.7969999999999402E-3</c:v>
                </c:pt>
                <c:pt idx="156">
                  <c:v>0</c:v>
                </c:pt>
                <c:pt idx="157">
                  <c:v>0</c:v>
                </c:pt>
                <c:pt idx="158">
                  <c:v>1.0000000000001563E-2</c:v>
                </c:pt>
                <c:pt idx="159">
                  <c:v>-4.6428999999999832E-2</c:v>
                </c:pt>
                <c:pt idx="160">
                  <c:v>8.5000000000000853E-2</c:v>
                </c:pt>
                <c:pt idx="161">
                  <c:v>1.8148000000000053E-2</c:v>
                </c:pt>
                <c:pt idx="162">
                  <c:v>-0.10954499999999889</c:v>
                </c:pt>
                <c:pt idx="163">
                  <c:v>-9.5737999999998991E-2</c:v>
                </c:pt>
                <c:pt idx="164">
                  <c:v>-0.18369199999999886</c:v>
                </c:pt>
                <c:pt idx="165">
                  <c:v>-0.20884599999999942</c:v>
                </c:pt>
                <c:pt idx="166">
                  <c:v>-0.16836999999999946</c:v>
                </c:pt>
                <c:pt idx="167">
                  <c:v>-0.19555599999999984</c:v>
                </c:pt>
                <c:pt idx="168">
                  <c:v>-0.20381800000000005</c:v>
                </c:pt>
                <c:pt idx="169">
                  <c:v>-0.258108</c:v>
                </c:pt>
                <c:pt idx="170">
                  <c:v>-0.25691499999999934</c:v>
                </c:pt>
                <c:pt idx="171">
                  <c:v>-0.25423099999999899</c:v>
                </c:pt>
                <c:pt idx="172">
                  <c:v>-0.32682900000000004</c:v>
                </c:pt>
                <c:pt idx="173">
                  <c:v>-0.27586200000000005</c:v>
                </c:pt>
                <c:pt idx="174">
                  <c:v>-0.30437499999999851</c:v>
                </c:pt>
                <c:pt idx="175">
                  <c:v>-0.27769200000000005</c:v>
                </c:pt>
                <c:pt idx="176">
                  <c:v>-0.14999999999999858</c:v>
                </c:pt>
                <c:pt idx="177">
                  <c:v>-0.36666699999999963</c:v>
                </c:pt>
                <c:pt idx="178">
                  <c:v>-0.16000000000000014</c:v>
                </c:pt>
                <c:pt idx="179">
                  <c:v>-0.1639999999999997</c:v>
                </c:pt>
                <c:pt idx="180">
                  <c:v>-0.19076899999999952</c:v>
                </c:pt>
                <c:pt idx="181">
                  <c:v>-0.16217399999999849</c:v>
                </c:pt>
                <c:pt idx="182">
                  <c:v>-0.13406200000000013</c:v>
                </c:pt>
                <c:pt idx="183">
                  <c:v>-0.15090899999999863</c:v>
                </c:pt>
                <c:pt idx="184">
                  <c:v>-0.11999999999999922</c:v>
                </c:pt>
                <c:pt idx="185">
                  <c:v>-0.14412499999999895</c:v>
                </c:pt>
                <c:pt idx="186">
                  <c:v>-0.12533299999999947</c:v>
                </c:pt>
                <c:pt idx="187">
                  <c:v>-7.8451999999998634E-2</c:v>
                </c:pt>
                <c:pt idx="188">
                  <c:v>-0.10555599999999998</c:v>
                </c:pt>
                <c:pt idx="189">
                  <c:v>-9.7125999999999379E-2</c:v>
                </c:pt>
                <c:pt idx="190">
                  <c:v>-9.7436000000000078E-2</c:v>
                </c:pt>
                <c:pt idx="191">
                  <c:v>-1.6268999999999423E-2</c:v>
                </c:pt>
                <c:pt idx="192">
                  <c:v>-0.16869599999999885</c:v>
                </c:pt>
                <c:pt idx="193">
                  <c:v>-0.12545499999999876</c:v>
                </c:pt>
                <c:pt idx="194">
                  <c:v>-1.1874999999999858E-2</c:v>
                </c:pt>
                <c:pt idx="195">
                  <c:v>-1.4999999999998792E-2</c:v>
                </c:pt>
                <c:pt idx="196">
                  <c:v>-2.4999999999998579E-2</c:v>
                </c:pt>
                <c:pt idx="197">
                  <c:v>0</c:v>
                </c:pt>
                <c:pt idx="198">
                  <c:v>-0.14999999999999858</c:v>
                </c:pt>
                <c:pt idx="199">
                  <c:v>-5.4999999999996163E-3</c:v>
                </c:pt>
                <c:pt idx="200">
                  <c:v>5.4999999999996163E-3</c:v>
                </c:pt>
                <c:pt idx="201">
                  <c:v>-5.2832999999999686E-2</c:v>
                </c:pt>
                <c:pt idx="202">
                  <c:v>-1.8499999999999517E-2</c:v>
                </c:pt>
                <c:pt idx="203">
                  <c:v>-9.2681999999999931E-2</c:v>
                </c:pt>
                <c:pt idx="204">
                  <c:v>-0.1095000000000006</c:v>
                </c:pt>
                <c:pt idx="205">
                  <c:v>-7.5675999999999632E-2</c:v>
                </c:pt>
                <c:pt idx="206">
                  <c:v>-7.0838000000000179E-2</c:v>
                </c:pt>
                <c:pt idx="207">
                  <c:v>-9.2109000000000663E-2</c:v>
                </c:pt>
                <c:pt idx="208">
                  <c:v>-0.15558099999999975</c:v>
                </c:pt>
                <c:pt idx="209">
                  <c:v>-4.3822000000000472E-2</c:v>
                </c:pt>
                <c:pt idx="210">
                  <c:v>-0.12362500000000054</c:v>
                </c:pt>
                <c:pt idx="211">
                  <c:v>-0.20509999999999984</c:v>
                </c:pt>
                <c:pt idx="212">
                  <c:v>-0.21812100000000001</c:v>
                </c:pt>
                <c:pt idx="213">
                  <c:v>-0.19368400000000108</c:v>
                </c:pt>
                <c:pt idx="214">
                  <c:v>-0.15324999999999989</c:v>
                </c:pt>
                <c:pt idx="215">
                  <c:v>-0.22863800000000012</c:v>
                </c:pt>
                <c:pt idx="216">
                  <c:v>-0.12418800000000019</c:v>
                </c:pt>
                <c:pt idx="217">
                  <c:v>-0.41116700000000073</c:v>
                </c:pt>
                <c:pt idx="218">
                  <c:v>-0.29450000000000109</c:v>
                </c:pt>
                <c:pt idx="219">
                  <c:v>-0.24450000000000038</c:v>
                </c:pt>
                <c:pt idx="220">
                  <c:v>-0.24450000000000038</c:v>
                </c:pt>
                <c:pt idx="221">
                  <c:v>-0.21818400000000082</c:v>
                </c:pt>
                <c:pt idx="222">
                  <c:v>-0.28338899999999967</c:v>
                </c:pt>
                <c:pt idx="223">
                  <c:v>-0.33669500000000063</c:v>
                </c:pt>
                <c:pt idx="224">
                  <c:v>-0.28680800000000062</c:v>
                </c:pt>
                <c:pt idx="225">
                  <c:v>-0.23158300000000054</c:v>
                </c:pt>
                <c:pt idx="226">
                  <c:v>-0.22607100000000102</c:v>
                </c:pt>
                <c:pt idx="227">
                  <c:v>-0.2452090000000009</c:v>
                </c:pt>
                <c:pt idx="228">
                  <c:v>-0.23225900000000088</c:v>
                </c:pt>
                <c:pt idx="229">
                  <c:v>-0.15461900000000028</c:v>
                </c:pt>
                <c:pt idx="230">
                  <c:v>-0.22626499999999972</c:v>
                </c:pt>
                <c:pt idx="231">
                  <c:v>-0.19297200000000103</c:v>
                </c:pt>
                <c:pt idx="232">
                  <c:v>-0.16866700000000101</c:v>
                </c:pt>
                <c:pt idx="233">
                  <c:v>-0.12977300000000014</c:v>
                </c:pt>
                <c:pt idx="234">
                  <c:v>-0.11208599999999969</c:v>
                </c:pt>
                <c:pt idx="235">
                  <c:v>-0.21389399999999981</c:v>
                </c:pt>
                <c:pt idx="236">
                  <c:v>-0.19575000000000031</c:v>
                </c:pt>
                <c:pt idx="237">
                  <c:v>-0.34450000000000003</c:v>
                </c:pt>
                <c:pt idx="238">
                  <c:v>-7.1167000000000868E-2</c:v>
                </c:pt>
                <c:pt idx="239">
                  <c:v>-4.8135999999999513E-2</c:v>
                </c:pt>
                <c:pt idx="240">
                  <c:v>3.0499999999999972E-2</c:v>
                </c:pt>
                <c:pt idx="241">
                  <c:v>-2.8330000000007516E-3</c:v>
                </c:pt>
                <c:pt idx="242">
                  <c:v>-2.1389000000000991E-2</c:v>
                </c:pt>
                <c:pt idx="243">
                  <c:v>-2.5653000000000148E-2</c:v>
                </c:pt>
                <c:pt idx="244">
                  <c:v>2.5652999999998372E-2</c:v>
                </c:pt>
                <c:pt idx="245">
                  <c:v>-8.1130000000015912E-3</c:v>
                </c:pt>
                <c:pt idx="246">
                  <c:v>-2.2760000000001668E-2</c:v>
                </c:pt>
                <c:pt idx="247">
                  <c:v>-7.3198000000001429E-2</c:v>
                </c:pt>
                <c:pt idx="248">
                  <c:v>-3.2294000000000267E-2</c:v>
                </c:pt>
                <c:pt idx="249">
                  <c:v>2.9915999999998277E-2</c:v>
                </c:pt>
                <c:pt idx="250">
                  <c:v>8.5279999999983147E-3</c:v>
                </c:pt>
                <c:pt idx="251">
                  <c:v>-7.457000000000491E-3</c:v>
                </c:pt>
                <c:pt idx="252">
                  <c:v>1.8801999999999097E-2</c:v>
                </c:pt>
                <c:pt idx="253">
                  <c:v>3.0036999999998315E-2</c:v>
                </c:pt>
                <c:pt idx="254">
                  <c:v>-1.0156000000000276E-2</c:v>
                </c:pt>
                <c:pt idx="255">
                  <c:v>4.1033999999999793E-2</c:v>
                </c:pt>
                <c:pt idx="256">
                  <c:v>3.3890999999998783E-2</c:v>
                </c:pt>
                <c:pt idx="257">
                  <c:v>3.1509999999999039E-2</c:v>
                </c:pt>
                <c:pt idx="258">
                  <c:v>-9.5156000000001129E-2</c:v>
                </c:pt>
                <c:pt idx="259">
                  <c:v>-0.20182300000000097</c:v>
                </c:pt>
                <c:pt idx="260">
                  <c:v>-2.3490000000000677E-2</c:v>
                </c:pt>
                <c:pt idx="261">
                  <c:v>-4.7086000000000183E-2</c:v>
                </c:pt>
                <c:pt idx="262">
                  <c:v>-0.13832300000000153</c:v>
                </c:pt>
                <c:pt idx="263">
                  <c:v>-4.9259000000001052E-2</c:v>
                </c:pt>
                <c:pt idx="264">
                  <c:v>-0.12371500000000069</c:v>
                </c:pt>
                <c:pt idx="265">
                  <c:v>-0.21325200000000066</c:v>
                </c:pt>
                <c:pt idx="266">
                  <c:v>-0.1375370000000018</c:v>
                </c:pt>
                <c:pt idx="267">
                  <c:v>-0.14676600000000128</c:v>
                </c:pt>
                <c:pt idx="268">
                  <c:v>-0.14925500000000014</c:v>
                </c:pt>
                <c:pt idx="269">
                  <c:v>-0.17815200000000075</c:v>
                </c:pt>
                <c:pt idx="270">
                  <c:v>-0.10652200000000178</c:v>
                </c:pt>
                <c:pt idx="271">
                  <c:v>-0.13246100000000105</c:v>
                </c:pt>
                <c:pt idx="272">
                  <c:v>-0.15635100000000079</c:v>
                </c:pt>
                <c:pt idx="273">
                  <c:v>-8.9730000000001198E-2</c:v>
                </c:pt>
                <c:pt idx="274">
                  <c:v>-0.10161000000000087</c:v>
                </c:pt>
                <c:pt idx="275">
                  <c:v>-7.2208000000001604E-2</c:v>
                </c:pt>
                <c:pt idx="276">
                  <c:v>-0.1218230000000009</c:v>
                </c:pt>
                <c:pt idx="277">
                  <c:v>-0.11849000000000132</c:v>
                </c:pt>
                <c:pt idx="278">
                  <c:v>9.8176999999999737E-2</c:v>
                </c:pt>
                <c:pt idx="279">
                  <c:v>3.0676999999998955E-2</c:v>
                </c:pt>
                <c:pt idx="280">
                  <c:v>6.1033999999999367E-2</c:v>
                </c:pt>
                <c:pt idx="281">
                  <c:v>1.2462999999998559E-2</c:v>
                </c:pt>
                <c:pt idx="282">
                  <c:v>2.5954999999999728E-2</c:v>
                </c:pt>
                <c:pt idx="283">
                  <c:v>-4.7307000000001764E-2</c:v>
                </c:pt>
                <c:pt idx="284">
                  <c:v>-8.9918000000000831E-2</c:v>
                </c:pt>
                <c:pt idx="285">
                  <c:v>3.2274999999998499E-2</c:v>
                </c:pt>
                <c:pt idx="286">
                  <c:v>3.1986999999999099E-2</c:v>
                </c:pt>
                <c:pt idx="287">
                  <c:v>-2.0459000000000671E-2</c:v>
                </c:pt>
                <c:pt idx="288">
                  <c:v>4.2721999999999483E-2</c:v>
                </c:pt>
                <c:pt idx="289">
                  <c:v>6.8652999999999409E-2</c:v>
                </c:pt>
                <c:pt idx="290">
                  <c:v>4.6781999999998547E-2</c:v>
                </c:pt>
                <c:pt idx="291">
                  <c:v>-3.2610000000000028E-2</c:v>
                </c:pt>
                <c:pt idx="292">
                  <c:v>3.2610000000000028E-2</c:v>
                </c:pt>
                <c:pt idx="293">
                  <c:v>1.8164999999999765E-2</c:v>
                </c:pt>
                <c:pt idx="294">
                  <c:v>3.4639000000000308E-2</c:v>
                </c:pt>
                <c:pt idx="295">
                  <c:v>-9.2420000000004165E-3</c:v>
                </c:pt>
                <c:pt idx="296">
                  <c:v>2.460400000000007E-2</c:v>
                </c:pt>
                <c:pt idx="297">
                  <c:v>-2.7535000000000309E-2</c:v>
                </c:pt>
                <c:pt idx="298">
                  <c:v>-4.4242000000000559E-2</c:v>
                </c:pt>
                <c:pt idx="299">
                  <c:v>-2.924199999999999E-2</c:v>
                </c:pt>
                <c:pt idx="300">
                  <c:v>1.5757999999999939E-2</c:v>
                </c:pt>
                <c:pt idx="301">
                  <c:v>9.575800000000001E-2</c:v>
                </c:pt>
                <c:pt idx="302">
                  <c:v>-4.3528000000000233E-2</c:v>
                </c:pt>
                <c:pt idx="303">
                  <c:v>-4.0150999999999826E-2</c:v>
                </c:pt>
                <c:pt idx="304">
                  <c:v>-2.924199999999999E-2</c:v>
                </c:pt>
                <c:pt idx="305">
                  <c:v>-0.11067099999999996</c:v>
                </c:pt>
                <c:pt idx="306">
                  <c:v>-0.10924200000000006</c:v>
                </c:pt>
                <c:pt idx="307">
                  <c:v>-0.13402499999999939</c:v>
                </c:pt>
                <c:pt idx="308">
                  <c:v>-0.15035299999999907</c:v>
                </c:pt>
                <c:pt idx="309">
                  <c:v>-0.14538699999999949</c:v>
                </c:pt>
                <c:pt idx="310">
                  <c:v>-0.16266300000000022</c:v>
                </c:pt>
                <c:pt idx="311">
                  <c:v>-0.19524200000000036</c:v>
                </c:pt>
                <c:pt idx="312">
                  <c:v>-0.21764600000000023</c:v>
                </c:pt>
                <c:pt idx="313">
                  <c:v>-0.2495750000000001</c:v>
                </c:pt>
                <c:pt idx="314">
                  <c:v>-0.28814799999999963</c:v>
                </c:pt>
                <c:pt idx="315">
                  <c:v>-0.30347899999999939</c:v>
                </c:pt>
                <c:pt idx="316">
                  <c:v>-0.27324199999999976</c:v>
                </c:pt>
                <c:pt idx="317">
                  <c:v>-0.27752800000000022</c:v>
                </c:pt>
                <c:pt idx="318">
                  <c:v>-0.20582100000000025</c:v>
                </c:pt>
                <c:pt idx="319">
                  <c:v>-0.22549199999999914</c:v>
                </c:pt>
                <c:pt idx="320">
                  <c:v>-0.2692420000000002</c:v>
                </c:pt>
                <c:pt idx="321">
                  <c:v>-0.28924199999999978</c:v>
                </c:pt>
                <c:pt idx="322">
                  <c:v>-0.18924200000000013</c:v>
                </c:pt>
                <c:pt idx="323">
                  <c:v>-7.5492000000000559E-2</c:v>
                </c:pt>
                <c:pt idx="324">
                  <c:v>-2.257499999999979E-2</c:v>
                </c:pt>
                <c:pt idx="325">
                  <c:v>-0.20924199999999971</c:v>
                </c:pt>
                <c:pt idx="326">
                  <c:v>-7.299199999999928E-2</c:v>
                </c:pt>
                <c:pt idx="327">
                  <c:v>-7.9565000000000552E-2</c:v>
                </c:pt>
                <c:pt idx="328">
                  <c:v>-8.5048000000000457E-2</c:v>
                </c:pt>
                <c:pt idx="329">
                  <c:v>-0.13682799999999951</c:v>
                </c:pt>
                <c:pt idx="330">
                  <c:v>-8.8566000000000145E-2</c:v>
                </c:pt>
                <c:pt idx="331">
                  <c:v>-5.3338000000000108E-2</c:v>
                </c:pt>
                <c:pt idx="332">
                  <c:v>-5.8685999999999794E-2</c:v>
                </c:pt>
                <c:pt idx="333">
                  <c:v>-1.7968999999999014E-2</c:v>
                </c:pt>
                <c:pt idx="334">
                  <c:v>-5.026499999999956E-2</c:v>
                </c:pt>
                <c:pt idx="335">
                  <c:v>2.7615000000000833E-2</c:v>
                </c:pt>
                <c:pt idx="336">
                  <c:v>-2.5821000000000538E-2</c:v>
                </c:pt>
                <c:pt idx="337">
                  <c:v>-1.0756999999999906E-2</c:v>
                </c:pt>
                <c:pt idx="338">
                  <c:v>-7.7040000000003772E-3</c:v>
                </c:pt>
                <c:pt idx="339">
                  <c:v>1.8126000000000531E-2</c:v>
                </c:pt>
                <c:pt idx="340">
                  <c:v>-4.1387999999999536E-2</c:v>
                </c:pt>
                <c:pt idx="341">
                  <c:v>4.1388000000001313E-2</c:v>
                </c:pt>
                <c:pt idx="342">
                  <c:v>0.22399700000000067</c:v>
                </c:pt>
                <c:pt idx="343">
                  <c:v>2.3997000000001378E-2</c:v>
                </c:pt>
                <c:pt idx="344">
                  <c:v>-9.267000000000003E-2</c:v>
                </c:pt>
                <c:pt idx="345">
                  <c:v>-3.3145999999998565E-2</c:v>
                </c:pt>
                <c:pt idx="346">
                  <c:v>-5.6002999999998693E-2</c:v>
                </c:pt>
                <c:pt idx="347">
                  <c:v>-0.10814599999999963</c:v>
                </c:pt>
                <c:pt idx="348">
                  <c:v>-1.9752999999999687E-2</c:v>
                </c:pt>
                <c:pt idx="349">
                  <c:v>-0.10695499999999925</c:v>
                </c:pt>
                <c:pt idx="350">
                  <c:v>-0.15048599999999901</c:v>
                </c:pt>
                <c:pt idx="351">
                  <c:v>-6.1951999999999785E-2</c:v>
                </c:pt>
                <c:pt idx="352">
                  <c:v>-0.10725300000000004</c:v>
                </c:pt>
                <c:pt idx="353">
                  <c:v>-0.12666099999999858</c:v>
                </c:pt>
                <c:pt idx="354">
                  <c:v>-9.6128000000000213E-2</c:v>
                </c:pt>
                <c:pt idx="355">
                  <c:v>-0.17119299999999882</c:v>
                </c:pt>
                <c:pt idx="356">
                  <c:v>-0.11452199999999912</c:v>
                </c:pt>
                <c:pt idx="357">
                  <c:v>-0.12227399999999911</c:v>
                </c:pt>
                <c:pt idx="358">
                  <c:v>-0.14569999999999972</c:v>
                </c:pt>
                <c:pt idx="359">
                  <c:v>-0.17509399999999964</c:v>
                </c:pt>
                <c:pt idx="360">
                  <c:v>-0.20600299999999905</c:v>
                </c:pt>
                <c:pt idx="361">
                  <c:v>-0.21479099999999995</c:v>
                </c:pt>
                <c:pt idx="362">
                  <c:v>-0.17861199999999933</c:v>
                </c:pt>
                <c:pt idx="363">
                  <c:v>-0.11600299999999919</c:v>
                </c:pt>
                <c:pt idx="364">
                  <c:v>-0.10100299999999862</c:v>
                </c:pt>
                <c:pt idx="365">
                  <c:v>2.3997000000001378E-2</c:v>
                </c:pt>
                <c:pt idx="366">
                  <c:v>-0.22600299999999862</c:v>
                </c:pt>
                <c:pt idx="367">
                  <c:v>-7.4949999999999406E-2</c:v>
                </c:pt>
                <c:pt idx="368">
                  <c:v>6.2179000000000428E-2</c:v>
                </c:pt>
                <c:pt idx="369">
                  <c:v>-0.10126599999999897</c:v>
                </c:pt>
                <c:pt idx="370">
                  <c:v>-5.8176999999998813E-2</c:v>
                </c:pt>
                <c:pt idx="371">
                  <c:v>-5.037799999999848E-2</c:v>
                </c:pt>
                <c:pt idx="372">
                  <c:v>-7.1976999999998625E-2</c:v>
                </c:pt>
                <c:pt idx="373">
                  <c:v>-8.8714999999998767E-2</c:v>
                </c:pt>
                <c:pt idx="374">
                  <c:v>-2.2537999999999059E-2</c:v>
                </c:pt>
                <c:pt idx="375">
                  <c:v>-6.4099999999989166E-4</c:v>
                </c:pt>
                <c:pt idx="376">
                  <c:v>-1.7871999999998778E-2</c:v>
                </c:pt>
                <c:pt idx="377">
                  <c:v>-1.6002999999999545E-2</c:v>
                </c:pt>
                <c:pt idx="378">
                  <c:v>-3.285999999999234E-3</c:v>
                </c:pt>
                <c:pt idx="379">
                  <c:v>3.3997000000001165E-2</c:v>
                </c:pt>
                <c:pt idx="380">
                  <c:v>1.1160000000014492E-3</c:v>
                </c:pt>
                <c:pt idx="381">
                  <c:v>2.2482000000000113E-2</c:v>
                </c:pt>
                <c:pt idx="382">
                  <c:v>2.9402000000001038E-2</c:v>
                </c:pt>
                <c:pt idx="383">
                  <c:v>1.9970000000011368E-3</c:v>
                </c:pt>
                <c:pt idx="384">
                  <c:v>2.0151000000000252E-2</c:v>
                </c:pt>
                <c:pt idx="385">
                  <c:v>-2.2002999999999773E-2</c:v>
                </c:pt>
                <c:pt idx="386">
                  <c:v>0.32399700000000031</c:v>
                </c:pt>
                <c:pt idx="387">
                  <c:v>-9.2500000000001137E-2</c:v>
                </c:pt>
                <c:pt idx="388">
                  <c:v>9.2499999999999361E-2</c:v>
                </c:pt>
                <c:pt idx="389">
                  <c:v>-4.1250000000001563E-2</c:v>
                </c:pt>
                <c:pt idx="390">
                  <c:v>-0.13650000000000162</c:v>
                </c:pt>
                <c:pt idx="391">
                  <c:v>-0.13666700000000098</c:v>
                </c:pt>
                <c:pt idx="392">
                  <c:v>-0.16888900000000184</c:v>
                </c:pt>
                <c:pt idx="393">
                  <c:v>-0.15052800000000133</c:v>
                </c:pt>
                <c:pt idx="394">
                  <c:v>-0.13510000000000133</c:v>
                </c:pt>
                <c:pt idx="395">
                  <c:v>-0.10235700000000136</c:v>
                </c:pt>
                <c:pt idx="396">
                  <c:v>-0.1933700000000016</c:v>
                </c:pt>
                <c:pt idx="397">
                  <c:v>-0.24964300000000073</c:v>
                </c:pt>
                <c:pt idx="398">
                  <c:v>-0.24330600000000047</c:v>
                </c:pt>
                <c:pt idx="399">
                  <c:v>-0.17500000000000071</c:v>
                </c:pt>
                <c:pt idx="400">
                  <c:v>-0.19386800000000015</c:v>
                </c:pt>
                <c:pt idx="401">
                  <c:v>-0.22668600000000083</c:v>
                </c:pt>
                <c:pt idx="402">
                  <c:v>-0.24277400000000071</c:v>
                </c:pt>
                <c:pt idx="403">
                  <c:v>-0.22766100000000122</c:v>
                </c:pt>
                <c:pt idx="404">
                  <c:v>-0.26977300000000071</c:v>
                </c:pt>
                <c:pt idx="405">
                  <c:v>-0.23375000000000057</c:v>
                </c:pt>
                <c:pt idx="406">
                  <c:v>-0.26027800000000134</c:v>
                </c:pt>
                <c:pt idx="407">
                  <c:v>-0.23250000000000171</c:v>
                </c:pt>
                <c:pt idx="408">
                  <c:v>-0.24850000000000172</c:v>
                </c:pt>
                <c:pt idx="409">
                  <c:v>-0.35250000000000092</c:v>
                </c:pt>
                <c:pt idx="410">
                  <c:v>-0.33942300000000181</c:v>
                </c:pt>
                <c:pt idx="411">
                  <c:v>-0.26011900000000132</c:v>
                </c:pt>
                <c:pt idx="412">
                  <c:v>-0.30290000000000106</c:v>
                </c:pt>
                <c:pt idx="413">
                  <c:v>-0.31166700000000169</c:v>
                </c:pt>
                <c:pt idx="414">
                  <c:v>-0.34188800000000086</c:v>
                </c:pt>
                <c:pt idx="415">
                  <c:v>-0.32355300000000042</c:v>
                </c:pt>
                <c:pt idx="416">
                  <c:v>-0.28339900000000107</c:v>
                </c:pt>
                <c:pt idx="417">
                  <c:v>-0.23955900000000163</c:v>
                </c:pt>
                <c:pt idx="418">
                  <c:v>-0.23160300000000156</c:v>
                </c:pt>
                <c:pt idx="419">
                  <c:v>-0.24916700000000169</c:v>
                </c:pt>
                <c:pt idx="420">
                  <c:v>-0.23540300000000158</c:v>
                </c:pt>
                <c:pt idx="421">
                  <c:v>-0.23400900000000036</c:v>
                </c:pt>
                <c:pt idx="422">
                  <c:v>-0.2267860000000006</c:v>
                </c:pt>
                <c:pt idx="423">
                  <c:v>-0.18779400000000024</c:v>
                </c:pt>
                <c:pt idx="424">
                  <c:v>-0.17071400000000025</c:v>
                </c:pt>
                <c:pt idx="425">
                  <c:v>-0.17500000000000071</c:v>
                </c:pt>
                <c:pt idx="426">
                  <c:v>-0.26583300000000065</c:v>
                </c:pt>
                <c:pt idx="427">
                  <c:v>6.7499999999999005E-2</c:v>
                </c:pt>
                <c:pt idx="428">
                  <c:v>4.0832999999999231E-2</c:v>
                </c:pt>
                <c:pt idx="429">
                  <c:v>-2.000000000000135E-2</c:v>
                </c:pt>
                <c:pt idx="430">
                  <c:v>-0.13684800000000052</c:v>
                </c:pt>
                <c:pt idx="431">
                  <c:v>-0.10977300000000056</c:v>
                </c:pt>
                <c:pt idx="432">
                  <c:v>4.293499999999284E-3</c:v>
                </c:pt>
                <c:pt idx="433">
                  <c:v>-4.2935000000010604E-3</c:v>
                </c:pt>
                <c:pt idx="434">
                  <c:v>3.299449999999915E-2</c:v>
                </c:pt>
                <c:pt idx="435">
                  <c:v>1.7717499999998054E-2</c:v>
                </c:pt>
                <c:pt idx="436">
                  <c:v>-1.3629500000000405E-2</c:v>
                </c:pt>
                <c:pt idx="437">
                  <c:v>-4.2770500000001377E-2</c:v>
                </c:pt>
                <c:pt idx="438">
                  <c:v>-7.0395000000011976E-3</c:v>
                </c:pt>
                <c:pt idx="439">
                  <c:v>-3.2050500000000426E-2</c:v>
                </c:pt>
                <c:pt idx="440">
                  <c:v>-7.2968500000001768E-2</c:v>
                </c:pt>
                <c:pt idx="441">
                  <c:v>-8.519350000000081E-2</c:v>
                </c:pt>
                <c:pt idx="442">
                  <c:v>-0.11876950000000086</c:v>
                </c:pt>
                <c:pt idx="443">
                  <c:v>-0.13243550000000148</c:v>
                </c:pt>
                <c:pt idx="444">
                  <c:v>-0.16703950000000134</c:v>
                </c:pt>
                <c:pt idx="445">
                  <c:v>-0.1537455000000012</c:v>
                </c:pt>
                <c:pt idx="446">
                  <c:v>-8.9039500000001937E-2</c:v>
                </c:pt>
                <c:pt idx="447">
                  <c:v>-0.18903950000000158</c:v>
                </c:pt>
                <c:pt idx="448">
                  <c:v>8.5960499999998774E-2</c:v>
                </c:pt>
                <c:pt idx="449">
                  <c:v>-6.9039500000000587E-2</c:v>
                </c:pt>
                <c:pt idx="450">
                  <c:v>-8.9039500000001937E-2</c:v>
                </c:pt>
                <c:pt idx="451">
                  <c:v>-5.4039500000001794E-2</c:v>
                </c:pt>
                <c:pt idx="452">
                  <c:v>-0.14975350000000098</c:v>
                </c:pt>
                <c:pt idx="453">
                  <c:v>-0.11947450000000082</c:v>
                </c:pt>
                <c:pt idx="454">
                  <c:v>-0.118071500000001</c:v>
                </c:pt>
                <c:pt idx="455">
                  <c:v>-0.13377650000000152</c:v>
                </c:pt>
                <c:pt idx="456">
                  <c:v>-0.15219750000000154</c:v>
                </c:pt>
                <c:pt idx="457">
                  <c:v>-0.13224950000000035</c:v>
                </c:pt>
                <c:pt idx="458">
                  <c:v>-0.17653950000000052</c:v>
                </c:pt>
                <c:pt idx="459">
                  <c:v>-0.18737250000000039</c:v>
                </c:pt>
                <c:pt idx="460">
                  <c:v>-0.14861350000000151</c:v>
                </c:pt>
                <c:pt idx="461">
                  <c:v>-4.1766500000001372E-2</c:v>
                </c:pt>
                <c:pt idx="462">
                  <c:v>-6.0468500000000702E-2</c:v>
                </c:pt>
                <c:pt idx="463">
                  <c:v>-2.75015000000014E-2</c:v>
                </c:pt>
                <c:pt idx="464">
                  <c:v>-9.3206500000000858E-2</c:v>
                </c:pt>
                <c:pt idx="465">
                  <c:v>-5.2372500000000599E-2</c:v>
                </c:pt>
                <c:pt idx="466">
                  <c:v>9.984949999999948E-2</c:v>
                </c:pt>
                <c:pt idx="467">
                  <c:v>-0.18903950000000158</c:v>
                </c:pt>
                <c:pt idx="468">
                  <c:v>-6.4039500000001581E-2</c:v>
                </c:pt>
                <c:pt idx="469">
                  <c:v>4.4293499999998431E-2</c:v>
                </c:pt>
                <c:pt idx="470">
                  <c:v>2.7627499999999472E-2</c:v>
                </c:pt>
                <c:pt idx="471">
                  <c:v>-8.9039500000001937E-2</c:v>
                </c:pt>
                <c:pt idx="472">
                  <c:v>-0.14237250000000046</c:v>
                </c:pt>
                <c:pt idx="473">
                  <c:v>1.8367499999998316E-2</c:v>
                </c:pt>
                <c:pt idx="474">
                  <c:v>-3.9039500000001226E-2</c:v>
                </c:pt>
                <c:pt idx="475">
                  <c:v>-6.3666500000001847E-2</c:v>
                </c:pt>
                <c:pt idx="476">
                  <c:v>-4.3878500000001708E-2</c:v>
                </c:pt>
                <c:pt idx="477">
                  <c:v>6.4154999999992413E-3</c:v>
                </c:pt>
                <c:pt idx="478">
                  <c:v>-2.0194999999999297E-2</c:v>
                </c:pt>
                <c:pt idx="479">
                  <c:v>2.0195000000001073E-2</c:v>
                </c:pt>
                <c:pt idx="480">
                  <c:v>8.6066000000000642E-2</c:v>
                </c:pt>
                <c:pt idx="481">
                  <c:v>8.1763000000002251E-2</c:v>
                </c:pt>
                <c:pt idx="482">
                  <c:v>1.4948000000002182E-2</c:v>
                </c:pt>
                <c:pt idx="483">
                  <c:v>0.12548500000000118</c:v>
                </c:pt>
                <c:pt idx="484">
                  <c:v>7.4495000000000644E-2</c:v>
                </c:pt>
                <c:pt idx="485">
                  <c:v>-5.0908999999998983E-2</c:v>
                </c:pt>
                <c:pt idx="486">
                  <c:v>2.8100000000108594E-4</c:v>
                </c:pt>
                <c:pt idx="487">
                  <c:v>-0.10805199999999893</c:v>
                </c:pt>
                <c:pt idx="488">
                  <c:v>-0.28305199999999786</c:v>
                </c:pt>
                <c:pt idx="489">
                  <c:v>0.23361500000000213</c:v>
                </c:pt>
                <c:pt idx="490">
                  <c:v>-7.7495999999998233E-2</c:v>
                </c:pt>
                <c:pt idx="491">
                  <c:v>-0.14971899999999927</c:v>
                </c:pt>
                <c:pt idx="492">
                  <c:v>-0.17850699999999797</c:v>
                </c:pt>
                <c:pt idx="493">
                  <c:v>-0.20147299999999824</c:v>
                </c:pt>
                <c:pt idx="494">
                  <c:v>-0.27379299999999773</c:v>
                </c:pt>
                <c:pt idx="495">
                  <c:v>-0.29555199999999893</c:v>
                </c:pt>
                <c:pt idx="496">
                  <c:v>-0.2500329999999984</c:v>
                </c:pt>
                <c:pt idx="497">
                  <c:v>-0.27699099999999888</c:v>
                </c:pt>
                <c:pt idx="498">
                  <c:v>-0.27936299999999825</c:v>
                </c:pt>
                <c:pt idx="499">
                  <c:v>-0.26766699999999943</c:v>
                </c:pt>
                <c:pt idx="500">
                  <c:v>-0.32670299999999841</c:v>
                </c:pt>
                <c:pt idx="501">
                  <c:v>-0.30039899999999875</c:v>
                </c:pt>
                <c:pt idx="502">
                  <c:v>-0.32211399999999912</c:v>
                </c:pt>
                <c:pt idx="503">
                  <c:v>-0.31430199999999786</c:v>
                </c:pt>
                <c:pt idx="504">
                  <c:v>-0.33582999999999785</c:v>
                </c:pt>
                <c:pt idx="505">
                  <c:v>-0.34638499999999794</c:v>
                </c:pt>
                <c:pt idx="506">
                  <c:v>-0.30180199999999857</c:v>
                </c:pt>
                <c:pt idx="507">
                  <c:v>-9.9718999999998559E-2</c:v>
                </c:pt>
                <c:pt idx="508">
                  <c:v>-0.25805199999999928</c:v>
                </c:pt>
                <c:pt idx="509">
                  <c:v>-3.3051999999997861E-2</c:v>
                </c:pt>
                <c:pt idx="510">
                  <c:v>-0.13305199999999928</c:v>
                </c:pt>
                <c:pt idx="511">
                  <c:v>-0.25527399999999822</c:v>
                </c:pt>
                <c:pt idx="512">
                  <c:v>-0.22716999999999921</c:v>
                </c:pt>
                <c:pt idx="513">
                  <c:v>-0.17194099999999857</c:v>
                </c:pt>
                <c:pt idx="514">
                  <c:v>-0.11916299999999858</c:v>
                </c:pt>
                <c:pt idx="515">
                  <c:v>-0.14242699999999786</c:v>
                </c:pt>
                <c:pt idx="516">
                  <c:v>-7.960399999999801E-2</c:v>
                </c:pt>
                <c:pt idx="517">
                  <c:v>-8.7463999999998876E-2</c:v>
                </c:pt>
                <c:pt idx="518">
                  <c:v>-8.0304999999999183E-2</c:v>
                </c:pt>
                <c:pt idx="519">
                  <c:v>-3.9503999999999095E-2</c:v>
                </c:pt>
                <c:pt idx="520">
                  <c:v>-3.0066999999998956E-2</c:v>
                </c:pt>
                <c:pt idx="521">
                  <c:v>-2.1429999999984517E-3</c:v>
                </c:pt>
                <c:pt idx="522">
                  <c:v>-1.9816999999997975E-2</c:v>
                </c:pt>
                <c:pt idx="523">
                  <c:v>6.2403000000001541E-2</c:v>
                </c:pt>
                <c:pt idx="524">
                  <c:v>7.4948000000000903E-2</c:v>
                </c:pt>
                <c:pt idx="525">
                  <c:v>4.3803500000000994E-2</c:v>
                </c:pt>
                <c:pt idx="526">
                  <c:v>-4.3803499999999218E-2</c:v>
                </c:pt>
                <c:pt idx="527">
                  <c:v>-0.11341849999999809</c:v>
                </c:pt>
                <c:pt idx="528">
                  <c:v>0.22158150000000099</c:v>
                </c:pt>
                <c:pt idx="529">
                  <c:v>-0.1034184999999983</c:v>
                </c:pt>
                <c:pt idx="530">
                  <c:v>2.1581500000001697E-2</c:v>
                </c:pt>
                <c:pt idx="531">
                  <c:v>-0.21175149999999832</c:v>
                </c:pt>
                <c:pt idx="532">
                  <c:v>-0.15341849999999901</c:v>
                </c:pt>
                <c:pt idx="533">
                  <c:v>-0.21959449999999947</c:v>
                </c:pt>
                <c:pt idx="534">
                  <c:v>-0.18296349999999784</c:v>
                </c:pt>
                <c:pt idx="535">
                  <c:v>-0.19175149999999874</c:v>
                </c:pt>
                <c:pt idx="536">
                  <c:v>-0.26360349999999855</c:v>
                </c:pt>
                <c:pt idx="537">
                  <c:v>-0.31435549999999779</c:v>
                </c:pt>
                <c:pt idx="538">
                  <c:v>-0.3199564999999982</c:v>
                </c:pt>
                <c:pt idx="539">
                  <c:v>-0.28518949999999954</c:v>
                </c:pt>
                <c:pt idx="540">
                  <c:v>-0.37603749999999891</c:v>
                </c:pt>
                <c:pt idx="541">
                  <c:v>-0.3337514999999982</c:v>
                </c:pt>
                <c:pt idx="542">
                  <c:v>-0.33898149999999916</c:v>
                </c:pt>
                <c:pt idx="543">
                  <c:v>-0.324644499999998</c:v>
                </c:pt>
                <c:pt idx="544">
                  <c:v>-0.37031049999999865</c:v>
                </c:pt>
                <c:pt idx="545">
                  <c:v>-0.27041849999999812</c:v>
                </c:pt>
                <c:pt idx="546">
                  <c:v>-0.29270449999999926</c:v>
                </c:pt>
                <c:pt idx="547">
                  <c:v>-0.2956594999999993</c:v>
                </c:pt>
                <c:pt idx="548">
                  <c:v>-0.32841849999999795</c:v>
                </c:pt>
                <c:pt idx="549">
                  <c:v>-1.1751499999999027E-2</c:v>
                </c:pt>
                <c:pt idx="550">
                  <c:v>-0.22457249999999895</c:v>
                </c:pt>
                <c:pt idx="551">
                  <c:v>-0.23675149999999867</c:v>
                </c:pt>
                <c:pt idx="552">
                  <c:v>-0.26413249999999877</c:v>
                </c:pt>
                <c:pt idx="553">
                  <c:v>-0.14508549999999865</c:v>
                </c:pt>
                <c:pt idx="554">
                  <c:v>-0.271275499999998</c:v>
                </c:pt>
                <c:pt idx="555">
                  <c:v>-0.2956594999999993</c:v>
                </c:pt>
                <c:pt idx="556">
                  <c:v>-0.24448949999999847</c:v>
                </c:pt>
                <c:pt idx="557">
                  <c:v>-0.24071349999999825</c:v>
                </c:pt>
                <c:pt idx="558">
                  <c:v>-0.19777349999999849</c:v>
                </c:pt>
                <c:pt idx="559">
                  <c:v>-0.1643834999999978</c:v>
                </c:pt>
                <c:pt idx="560">
                  <c:v>-0.19062749999999795</c:v>
                </c:pt>
                <c:pt idx="561">
                  <c:v>-0.17571549999999903</c:v>
                </c:pt>
                <c:pt idx="562">
                  <c:v>-0.19205449999999935</c:v>
                </c:pt>
                <c:pt idx="563">
                  <c:v>-9.9847499999999201E-2</c:v>
                </c:pt>
                <c:pt idx="564">
                  <c:v>-0.10745049999999878</c:v>
                </c:pt>
                <c:pt idx="565">
                  <c:v>-6.4956499999999195E-2</c:v>
                </c:pt>
                <c:pt idx="566">
                  <c:v>-9.9630499999998179E-2</c:v>
                </c:pt>
                <c:pt idx="567">
                  <c:v>-0.11841849999999887</c:v>
                </c:pt>
                <c:pt idx="568">
                  <c:v>-9.5085499999997936E-2</c:v>
                </c:pt>
                <c:pt idx="569">
                  <c:v>-7.8418499999997948E-2</c:v>
                </c:pt>
                <c:pt idx="570">
                  <c:v>-4.8750000000000071E-2</c:v>
                </c:pt>
                <c:pt idx="571">
                  <c:v>4.8750000000000071E-2</c:v>
                </c:pt>
                <c:pt idx="572">
                  <c:v>-3.2750000000000057E-2</c:v>
                </c:pt>
                <c:pt idx="573">
                  <c:v>-3.1606999999999275E-2</c:v>
                </c:pt>
                <c:pt idx="574">
                  <c:v>-9.2750000000000554E-2</c:v>
                </c:pt>
                <c:pt idx="575">
                  <c:v>-1.5065999999999136E-2</c:v>
                </c:pt>
                <c:pt idx="576">
                  <c:v>-0.12374999999999936</c:v>
                </c:pt>
                <c:pt idx="577">
                  <c:v>-0.16255999999999915</c:v>
                </c:pt>
                <c:pt idx="578">
                  <c:v>-0.11732100000000045</c:v>
                </c:pt>
                <c:pt idx="579">
                  <c:v>-0.10839299999999952</c:v>
                </c:pt>
                <c:pt idx="580">
                  <c:v>-0.1519080000000006</c:v>
                </c:pt>
                <c:pt idx="581">
                  <c:v>-0.19726099999999924</c:v>
                </c:pt>
                <c:pt idx="582">
                  <c:v>-0.1744640000000004</c:v>
                </c:pt>
                <c:pt idx="583">
                  <c:v>-0.26002699999999912</c:v>
                </c:pt>
                <c:pt idx="584">
                  <c:v>-0.25750000000000028</c:v>
                </c:pt>
                <c:pt idx="585">
                  <c:v>-0.2399129999999996</c:v>
                </c:pt>
                <c:pt idx="586">
                  <c:v>-0.21847999999999956</c:v>
                </c:pt>
                <c:pt idx="587">
                  <c:v>-0.2801790000000004</c:v>
                </c:pt>
                <c:pt idx="588">
                  <c:v>-0.22032899999999955</c:v>
                </c:pt>
                <c:pt idx="589">
                  <c:v>-0.21182699999999954</c:v>
                </c:pt>
                <c:pt idx="590">
                  <c:v>-0.18208300000000044</c:v>
                </c:pt>
                <c:pt idx="591">
                  <c:v>-0.23874999999999957</c:v>
                </c:pt>
                <c:pt idx="592">
                  <c:v>-0.13874999999999993</c:v>
                </c:pt>
                <c:pt idx="593">
                  <c:v>-0.26017899999999905</c:v>
                </c:pt>
                <c:pt idx="594">
                  <c:v>-0.23874999999999957</c:v>
                </c:pt>
                <c:pt idx="595">
                  <c:v>-0.18398799999999937</c:v>
                </c:pt>
                <c:pt idx="596">
                  <c:v>-0.18160699999999963</c:v>
                </c:pt>
                <c:pt idx="597">
                  <c:v>-0.16522100000000073</c:v>
                </c:pt>
                <c:pt idx="598">
                  <c:v>-0.25798099999999913</c:v>
                </c:pt>
                <c:pt idx="599">
                  <c:v>-0.20831500000000069</c:v>
                </c:pt>
                <c:pt idx="600">
                  <c:v>-0.19927599999999934</c:v>
                </c:pt>
                <c:pt idx="601">
                  <c:v>-0.18586499999999972</c:v>
                </c:pt>
                <c:pt idx="602">
                  <c:v>-0.20221199999999939</c:v>
                </c:pt>
                <c:pt idx="603">
                  <c:v>-0.19763900000000056</c:v>
                </c:pt>
                <c:pt idx="604">
                  <c:v>-0.23983699999999963</c:v>
                </c:pt>
                <c:pt idx="605">
                  <c:v>-0.20254300000000036</c:v>
                </c:pt>
                <c:pt idx="606">
                  <c:v>-0.13374999999999915</c:v>
                </c:pt>
                <c:pt idx="607">
                  <c:v>-0.16266300000000022</c:v>
                </c:pt>
                <c:pt idx="608">
                  <c:v>-5.9120000000000061E-2</c:v>
                </c:pt>
                <c:pt idx="609">
                  <c:v>-0.11374999999999957</c:v>
                </c:pt>
                <c:pt idx="610">
                  <c:v>-0.10541699999999921</c:v>
                </c:pt>
                <c:pt idx="611">
                  <c:v>-0.28875000000000028</c:v>
                </c:pt>
                <c:pt idx="612">
                  <c:v>-0.28875000000000028</c:v>
                </c:pt>
                <c:pt idx="613">
                  <c:v>-2.2083000000000297E-2</c:v>
                </c:pt>
                <c:pt idx="614">
                  <c:v>7.1250000000000924E-2</c:v>
                </c:pt>
                <c:pt idx="615">
                  <c:v>4.4582999999999373E-2</c:v>
                </c:pt>
                <c:pt idx="616">
                  <c:v>-1.1538499999998564E-2</c:v>
                </c:pt>
                <c:pt idx="617">
                  <c:v>1.153850000000034E-2</c:v>
                </c:pt>
                <c:pt idx="618">
                  <c:v>1.2271500000000657E-2</c:v>
                </c:pt>
                <c:pt idx="619">
                  <c:v>-0.12582449999999845</c:v>
                </c:pt>
                <c:pt idx="620">
                  <c:v>-0.11153849999999821</c:v>
                </c:pt>
                <c:pt idx="621">
                  <c:v>-0.14857549999999975</c:v>
                </c:pt>
                <c:pt idx="622">
                  <c:v>-0.10641049999999908</c:v>
                </c:pt>
                <c:pt idx="623">
                  <c:v>-0.16868149999999815</c:v>
                </c:pt>
                <c:pt idx="624">
                  <c:v>-8.5067499999999185E-2</c:v>
                </c:pt>
                <c:pt idx="625">
                  <c:v>-0.10769249999999886</c:v>
                </c:pt>
                <c:pt idx="626">
                  <c:v>-0.10271449999999938</c:v>
                </c:pt>
                <c:pt idx="627">
                  <c:v>-5.2714499999998665E-2</c:v>
                </c:pt>
                <c:pt idx="628">
                  <c:v>-0.13506749999999812</c:v>
                </c:pt>
                <c:pt idx="629">
                  <c:v>-0.11153849999999821</c:v>
                </c:pt>
                <c:pt idx="630">
                  <c:v>-0.25598249999999823</c:v>
                </c:pt>
                <c:pt idx="631">
                  <c:v>-0.41153849999999892</c:v>
                </c:pt>
                <c:pt idx="632">
                  <c:v>-0.21153849999999963</c:v>
                </c:pt>
                <c:pt idx="633">
                  <c:v>-3.1538499999998137E-2</c:v>
                </c:pt>
                <c:pt idx="634">
                  <c:v>-5.4395499999998265E-2</c:v>
                </c:pt>
                <c:pt idx="635">
                  <c:v>-0.18931649999999856</c:v>
                </c:pt>
                <c:pt idx="636">
                  <c:v>-0.21820549999999805</c:v>
                </c:pt>
                <c:pt idx="637">
                  <c:v>-0.22972049999999911</c:v>
                </c:pt>
                <c:pt idx="638">
                  <c:v>-0.18846149999999895</c:v>
                </c:pt>
                <c:pt idx="639">
                  <c:v>-0.23653849999999821</c:v>
                </c:pt>
                <c:pt idx="640">
                  <c:v>-0.21153849999999963</c:v>
                </c:pt>
                <c:pt idx="641">
                  <c:v>-0.1593644999999988</c:v>
                </c:pt>
                <c:pt idx="642">
                  <c:v>-0.26868149999999957</c:v>
                </c:pt>
                <c:pt idx="643">
                  <c:v>-0.27153849999999835</c:v>
                </c:pt>
                <c:pt idx="644">
                  <c:v>-0.19348249999999823</c:v>
                </c:pt>
                <c:pt idx="645">
                  <c:v>-0.28403849999999942</c:v>
                </c:pt>
                <c:pt idx="646">
                  <c:v>-0.28828249999999933</c:v>
                </c:pt>
                <c:pt idx="647">
                  <c:v>-0.2359574999999996</c:v>
                </c:pt>
                <c:pt idx="648">
                  <c:v>-0.29653849999999871</c:v>
                </c:pt>
                <c:pt idx="649">
                  <c:v>-0.21792149999999921</c:v>
                </c:pt>
                <c:pt idx="650">
                  <c:v>-0.23296749999999911</c:v>
                </c:pt>
                <c:pt idx="651">
                  <c:v>-0.20598249999999929</c:v>
                </c:pt>
                <c:pt idx="652">
                  <c:v>-0.16153849999999892</c:v>
                </c:pt>
                <c:pt idx="653">
                  <c:v>-0.17403849999999821</c:v>
                </c:pt>
                <c:pt idx="654">
                  <c:v>-0.31153849999999927</c:v>
                </c:pt>
                <c:pt idx="655">
                  <c:v>8.8461500000001081E-2</c:v>
                </c:pt>
                <c:pt idx="656">
                  <c:v>6.3461500000000726E-2</c:v>
                </c:pt>
                <c:pt idx="657">
                  <c:v>-8.9316499999998911E-2</c:v>
                </c:pt>
                <c:pt idx="658">
                  <c:v>-4.2749999999891486E-4</c:v>
                </c:pt>
                <c:pt idx="659">
                  <c:v>-1.1538499999998564E-2</c:v>
                </c:pt>
                <c:pt idx="660">
                  <c:v>-6.6083499999999518E-2</c:v>
                </c:pt>
                <c:pt idx="661">
                  <c:v>-0.14010949999999944</c:v>
                </c:pt>
                <c:pt idx="662">
                  <c:v>-4.8380499999998605E-2</c:v>
                </c:pt>
                <c:pt idx="663">
                  <c:v>2.7475000000016792E-3</c:v>
                </c:pt>
                <c:pt idx="664">
                  <c:v>-1.7220499999998751E-2</c:v>
                </c:pt>
                <c:pt idx="665">
                  <c:v>2.1740000000001203E-3</c:v>
                </c:pt>
                <c:pt idx="666">
                  <c:v>-2.1740000000001203E-3</c:v>
                </c:pt>
                <c:pt idx="667">
                  <c:v>-4.2346999999999468E-2</c:v>
                </c:pt>
                <c:pt idx="668">
                  <c:v>-6.4655000000000129E-2</c:v>
                </c:pt>
                <c:pt idx="669">
                  <c:v>-0.10500000000000043</c:v>
                </c:pt>
                <c:pt idx="670">
                  <c:v>-3.7069000000000685E-2</c:v>
                </c:pt>
                <c:pt idx="671">
                  <c:v>1.5909000000000617E-2</c:v>
                </c:pt>
                <c:pt idx="672">
                  <c:v>7.794099999999915E-2</c:v>
                </c:pt>
                <c:pt idx="673">
                  <c:v>-1.0294000000000025E-2</c:v>
                </c:pt>
                <c:pt idx="674">
                  <c:v>0.22499999999999964</c:v>
                </c:pt>
                <c:pt idx="675">
                  <c:v>-3.5000000000000142E-2</c:v>
                </c:pt>
                <c:pt idx="676">
                  <c:v>-8.5000000000000853E-2</c:v>
                </c:pt>
                <c:pt idx="677">
                  <c:v>-0.10357100000000052</c:v>
                </c:pt>
                <c:pt idx="678">
                  <c:v>-7.4999999999999289E-2</c:v>
                </c:pt>
                <c:pt idx="679">
                  <c:v>-0.1678569999999997</c:v>
                </c:pt>
                <c:pt idx="680">
                  <c:v>-0.25147100000000044</c:v>
                </c:pt>
                <c:pt idx="681">
                  <c:v>-0.27500000000000036</c:v>
                </c:pt>
                <c:pt idx="682">
                  <c:v>-0.28586999999999918</c:v>
                </c:pt>
                <c:pt idx="683">
                  <c:v>-0.29807699999999926</c:v>
                </c:pt>
                <c:pt idx="684">
                  <c:v>-0.32867599999999975</c:v>
                </c:pt>
                <c:pt idx="685">
                  <c:v>-0.3357139999999994</c:v>
                </c:pt>
                <c:pt idx="686">
                  <c:v>-0.34007899999999935</c:v>
                </c:pt>
                <c:pt idx="687">
                  <c:v>-0.25833300000000037</c:v>
                </c:pt>
                <c:pt idx="688">
                  <c:v>-0.21153799999999912</c:v>
                </c:pt>
                <c:pt idx="689">
                  <c:v>-0.27857099999999946</c:v>
                </c:pt>
                <c:pt idx="690">
                  <c:v>-0.22180900000000037</c:v>
                </c:pt>
                <c:pt idx="691">
                  <c:v>-0.22282599999999952</c:v>
                </c:pt>
                <c:pt idx="692">
                  <c:v>-0.19722200000000001</c:v>
                </c:pt>
                <c:pt idx="693">
                  <c:v>-0.1850000000000005</c:v>
                </c:pt>
                <c:pt idx="694">
                  <c:v>-0.27500000000000036</c:v>
                </c:pt>
                <c:pt idx="695">
                  <c:v>-0.3149999999999995</c:v>
                </c:pt>
                <c:pt idx="696">
                  <c:v>-0.25833300000000037</c:v>
                </c:pt>
                <c:pt idx="697">
                  <c:v>-0.31785700000000006</c:v>
                </c:pt>
                <c:pt idx="698">
                  <c:v>-0.31944400000000073</c:v>
                </c:pt>
                <c:pt idx="699">
                  <c:v>-0.27500000000000036</c:v>
                </c:pt>
                <c:pt idx="700">
                  <c:v>-0.20961499999999944</c:v>
                </c:pt>
                <c:pt idx="701">
                  <c:v>-0.1661760000000001</c:v>
                </c:pt>
                <c:pt idx="702">
                  <c:v>-7.0237999999999801E-2</c:v>
                </c:pt>
                <c:pt idx="703">
                  <c:v>-4.6300000000005781E-3</c:v>
                </c:pt>
                <c:pt idx="704">
                  <c:v>-1.6666999999999987E-2</c:v>
                </c:pt>
                <c:pt idx="705">
                  <c:v>3.9516000000000773E-2</c:v>
                </c:pt>
                <c:pt idx="706">
                  <c:v>4.9390000000000711E-2</c:v>
                </c:pt>
                <c:pt idx="707">
                  <c:v>0.10681800000000052</c:v>
                </c:pt>
                <c:pt idx="708">
                  <c:v>7.9285999999999746E-2</c:v>
                </c:pt>
                <c:pt idx="709">
                  <c:v>7.9285999999999746E-2</c:v>
                </c:pt>
                <c:pt idx="710">
                  <c:v>7.0000000000000284E-2</c:v>
                </c:pt>
                <c:pt idx="711">
                  <c:v>-7.0000000000000284E-2</c:v>
                </c:pt>
                <c:pt idx="712">
                  <c:v>2.0856999999999459E-2</c:v>
                </c:pt>
                <c:pt idx="713">
                  <c:v>-2.9692000000000718E-2</c:v>
                </c:pt>
                <c:pt idx="714">
                  <c:v>7.7999999999999403E-2</c:v>
                </c:pt>
                <c:pt idx="715">
                  <c:v>-2.2000000000000242E-2</c:v>
                </c:pt>
                <c:pt idx="716">
                  <c:v>-0.1720000000000006</c:v>
                </c:pt>
                <c:pt idx="717">
                  <c:v>-0.22200000000000131</c:v>
                </c:pt>
                <c:pt idx="718">
                  <c:v>-0.26200000000000045</c:v>
                </c:pt>
                <c:pt idx="719">
                  <c:v>-0.87199999999999989</c:v>
                </c:pt>
                <c:pt idx="720">
                  <c:v>-1.6470000000000002</c:v>
                </c:pt>
                <c:pt idx="721">
                  <c:v>-1.6473900000000006</c:v>
                </c:pt>
                <c:pt idx="722">
                  <c:v>-1.4068960000000006</c:v>
                </c:pt>
                <c:pt idx="723">
                  <c:v>-1.0991240000000007</c:v>
                </c:pt>
                <c:pt idx="724">
                  <c:v>-1.0187620000000006</c:v>
                </c:pt>
                <c:pt idx="725">
                  <c:v>-0.92638800000000021</c:v>
                </c:pt>
                <c:pt idx="726">
                  <c:v>-0.88469200000000114</c:v>
                </c:pt>
                <c:pt idx="727">
                  <c:v>-1.2124120000000005</c:v>
                </c:pt>
                <c:pt idx="728">
                  <c:v>-1.3498430000000008</c:v>
                </c:pt>
                <c:pt idx="729">
                  <c:v>-1.2184810000000006</c:v>
                </c:pt>
                <c:pt idx="730">
                  <c:v>-1.1991640000000006</c:v>
                </c:pt>
                <c:pt idx="731">
                  <c:v>-1.0841670000000008</c:v>
                </c:pt>
                <c:pt idx="732">
                  <c:v>-0.85946000000000033</c:v>
                </c:pt>
                <c:pt idx="733">
                  <c:v>-0.84994100000000117</c:v>
                </c:pt>
                <c:pt idx="734">
                  <c:v>-0.70435300000000112</c:v>
                </c:pt>
                <c:pt idx="735">
                  <c:v>-0.9220000000000006</c:v>
                </c:pt>
                <c:pt idx="736">
                  <c:v>-0.62199999999999989</c:v>
                </c:pt>
                <c:pt idx="737">
                  <c:v>-0.49568400000000068</c:v>
                </c:pt>
                <c:pt idx="738">
                  <c:v>-0.45243500000000125</c:v>
                </c:pt>
                <c:pt idx="739">
                  <c:v>-0.3810910000000014</c:v>
                </c:pt>
                <c:pt idx="740">
                  <c:v>-0.3930530000000001</c:v>
                </c:pt>
                <c:pt idx="741">
                  <c:v>-0.41575000000000095</c:v>
                </c:pt>
                <c:pt idx="742">
                  <c:v>-0.40651000000000082</c:v>
                </c:pt>
                <c:pt idx="743">
                  <c:v>-0.41546899999999987</c:v>
                </c:pt>
                <c:pt idx="744">
                  <c:v>-0.35625000000000107</c:v>
                </c:pt>
                <c:pt idx="745">
                  <c:v>-0.31106199999999973</c:v>
                </c:pt>
                <c:pt idx="746">
                  <c:v>-0.25374300000000005</c:v>
                </c:pt>
                <c:pt idx="747">
                  <c:v>-0.20337300000000091</c:v>
                </c:pt>
                <c:pt idx="748">
                  <c:v>-0.17248400000000075</c:v>
                </c:pt>
                <c:pt idx="749">
                  <c:v>-8.1630000000000535E-2</c:v>
                </c:pt>
                <c:pt idx="750">
                  <c:v>-0.11405900000000102</c:v>
                </c:pt>
                <c:pt idx="751">
                  <c:v>-0.11829600000000084</c:v>
                </c:pt>
                <c:pt idx="752">
                  <c:v>-0.12631800000000126</c:v>
                </c:pt>
                <c:pt idx="753">
                  <c:v>-9.2000000000000526E-2</c:v>
                </c:pt>
                <c:pt idx="754">
                  <c:v>-6.0889000000001303E-2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E4-44DF-BB3F-440EFA803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1266744"/>
        <c:axId val="601269040"/>
      </c:scatterChart>
      <c:valAx>
        <c:axId val="60126674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01269040"/>
        <c:crosses val="max"/>
        <c:crossBetween val="midCat"/>
      </c:valAx>
      <c:valAx>
        <c:axId val="601269040"/>
        <c:scaling>
          <c:orientation val="maxMin"/>
          <c:max val="1"/>
          <c:min val="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01266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40" dropStyle="combo" dx="16" fmlaLink="$J$9" fmlaRange="$C$16:$C$40" noThreeD="1" sel="21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16" fmlaLink="[4]Feuil1!$A$1" fmlaRange="[4]Feuil1!$B$3:$B$6" noThreeD="1" sel="0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542925</xdr:colOff>
      <xdr:row>3</xdr:row>
      <xdr:rowOff>123825</xdr:rowOff>
    </xdr:from>
    <xdr:to>
      <xdr:col>16</xdr:col>
      <xdr:colOff>447675</xdr:colOff>
      <xdr:row>14</xdr:row>
      <xdr:rowOff>57150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4</xdr:row>
      <xdr:rowOff>190499</xdr:rowOff>
    </xdr:from>
    <xdr:to>
      <xdr:col>8</xdr:col>
      <xdr:colOff>300450</xdr:colOff>
      <xdr:row>16</xdr:row>
      <xdr:rowOff>64499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11</xdr:col>
      <xdr:colOff>9525</xdr:colOff>
      <xdr:row>20</xdr:row>
      <xdr:rowOff>180975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85725</xdr:colOff>
      <xdr:row>14</xdr:row>
      <xdr:rowOff>161925</xdr:rowOff>
    </xdr:from>
    <xdr:to>
      <xdr:col>4</xdr:col>
      <xdr:colOff>95250</xdr:colOff>
      <xdr:row>15</xdr:row>
      <xdr:rowOff>66675</xdr:rowOff>
    </xdr:to>
    <xdr:cxnSp macro="">
      <xdr:nvCxnSpPr>
        <xdr:cNvPr id="4" name="Connecteur droi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 flipV="1">
          <a:off x="2371725" y="2828925"/>
          <a:ext cx="771525" cy="952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85725</xdr:colOff>
      <xdr:row>5</xdr:row>
      <xdr:rowOff>180975</xdr:rowOff>
    </xdr:from>
    <xdr:to>
      <xdr:col>4</xdr:col>
      <xdr:colOff>647700</xdr:colOff>
      <xdr:row>14</xdr:row>
      <xdr:rowOff>161925</xdr:rowOff>
    </xdr:to>
    <xdr:cxnSp macro="">
      <xdr:nvCxnSpPr>
        <xdr:cNvPr id="6" name="Connecteur droi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 flipV="1">
          <a:off x="3133725" y="1133475"/>
          <a:ext cx="561975" cy="16954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647700</xdr:colOff>
      <xdr:row>5</xdr:row>
      <xdr:rowOff>180975</xdr:rowOff>
    </xdr:from>
    <xdr:to>
      <xdr:col>7</xdr:col>
      <xdr:colOff>723900</xdr:colOff>
      <xdr:row>12</xdr:row>
      <xdr:rowOff>85725</xdr:rowOff>
    </xdr:to>
    <xdr:sp macro="" textlink="">
      <xdr:nvSpPr>
        <xdr:cNvPr id="8" name="Forme lib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95700" y="1133475"/>
          <a:ext cx="2362200" cy="1238250"/>
        </a:xfrm>
        <a:custGeom>
          <a:avLst/>
          <a:gdLst>
            <a:gd name="connsiteX0" fmla="*/ 0 w 2362200"/>
            <a:gd name="connsiteY0" fmla="*/ 0 h 1238250"/>
            <a:gd name="connsiteX1" fmla="*/ 714375 w 2362200"/>
            <a:gd name="connsiteY1" fmla="*/ 619125 h 1238250"/>
            <a:gd name="connsiteX2" fmla="*/ 1304925 w 2362200"/>
            <a:gd name="connsiteY2" fmla="*/ 962025 h 1238250"/>
            <a:gd name="connsiteX3" fmla="*/ 2362200 w 2362200"/>
            <a:gd name="connsiteY3" fmla="*/ 1238250 h 12382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2362200" h="1238250">
              <a:moveTo>
                <a:pt x="0" y="0"/>
              </a:moveTo>
              <a:cubicBezTo>
                <a:pt x="248444" y="229394"/>
                <a:pt x="496888" y="458788"/>
                <a:pt x="714375" y="619125"/>
              </a:cubicBezTo>
              <a:cubicBezTo>
                <a:pt x="931862" y="779462"/>
                <a:pt x="1030288" y="858838"/>
                <a:pt x="1304925" y="962025"/>
              </a:cubicBezTo>
              <a:cubicBezTo>
                <a:pt x="1579562" y="1065212"/>
                <a:pt x="1970881" y="1151731"/>
                <a:pt x="2362200" y="1238250"/>
              </a:cubicBezTo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</xdr:colOff>
      <xdr:row>22</xdr:row>
      <xdr:rowOff>1</xdr:rowOff>
    </xdr:from>
    <xdr:to>
      <xdr:col>7</xdr:col>
      <xdr:colOff>752475</xdr:colOff>
      <xdr:row>36</xdr:row>
      <xdr:rowOff>38101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0.69413</cdr:x>
      <cdr:y>0.36412</cdr:y>
    </cdr:from>
    <cdr:to>
      <cdr:x>0.71411</cdr:x>
      <cdr:y>0.55409</cdr:y>
    </cdr:to>
    <cdr:cxnSp macro="">
      <cdr:nvCxnSpPr>
        <cdr:cNvPr id="3" name="Connecteur droit 2">
          <a:extLst xmlns:a="http://schemas.openxmlformats.org/drawingml/2006/main">
            <a:ext uri="{FF2B5EF4-FFF2-40B4-BE49-F238E27FC236}">
              <a16:creationId xmlns:a16="http://schemas.microsoft.com/office/drawing/2014/main" id="{CD5D3362-2D7F-40DD-877F-4475CB23F235}"/>
            </a:ext>
          </a:extLst>
        </cdr:cNvPr>
        <cdr:cNvCxnSpPr/>
      </cdr:nvCxnSpPr>
      <cdr:spPr>
        <a:xfrm xmlns:a="http://schemas.openxmlformats.org/drawingml/2006/main" flipV="1">
          <a:off x="5295900" y="1314450"/>
          <a:ext cx="152400" cy="68580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0.7166</cdr:x>
      <cdr:y>0.3562</cdr:y>
    </cdr:from>
    <cdr:to>
      <cdr:x>0.83521</cdr:x>
      <cdr:y>0.40106</cdr:y>
    </cdr:to>
    <cdr:cxnSp macro="">
      <cdr:nvCxnSpPr>
        <cdr:cNvPr id="5" name="Connecteur droit 4">
          <a:extLst xmlns:a="http://schemas.openxmlformats.org/drawingml/2006/main">
            <a:ext uri="{FF2B5EF4-FFF2-40B4-BE49-F238E27FC236}">
              <a16:creationId xmlns:a16="http://schemas.microsoft.com/office/drawing/2014/main" id="{477BD66A-2593-45E7-ADD2-6FE40F92FB53}"/>
            </a:ext>
          </a:extLst>
        </cdr:cNvPr>
        <cdr:cNvCxnSpPr/>
      </cdr:nvCxnSpPr>
      <cdr:spPr>
        <a:xfrm xmlns:a="http://schemas.openxmlformats.org/drawingml/2006/main">
          <a:off x="5467350" y="1285875"/>
          <a:ext cx="904875" cy="161925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0.83521</cdr:x>
      <cdr:y>0.39314</cdr:y>
    </cdr:from>
    <cdr:to>
      <cdr:x>0.93009</cdr:x>
      <cdr:y>0.53562</cdr:y>
    </cdr:to>
    <cdr:sp macro="" textlink="">
      <cdr:nvSpPr>
        <cdr:cNvPr id="7" name="Forme libre 6">
          <a:extLst xmlns:a="http://schemas.openxmlformats.org/drawingml/2006/main">
            <a:ext uri="{FF2B5EF4-FFF2-40B4-BE49-F238E27FC236}">
              <a16:creationId xmlns:a16="http://schemas.microsoft.com/office/drawing/2014/main" id="{3E56497F-AF46-482C-A0AB-9B662B9EF196}"/>
            </a:ext>
          </a:extLst>
        </cdr:cNvPr>
        <cdr:cNvSpPr/>
      </cdr:nvSpPr>
      <cdr:spPr>
        <a:xfrm xmlns:a="http://schemas.openxmlformats.org/drawingml/2006/main">
          <a:off x="6372225" y="1419225"/>
          <a:ext cx="723900" cy="514350"/>
        </a:xfrm>
        <a:custGeom xmlns:a="http://schemas.openxmlformats.org/drawingml/2006/main">
          <a:avLst/>
          <a:gdLst>
            <a:gd name="connsiteX0" fmla="*/ 0 w 723900"/>
            <a:gd name="connsiteY0" fmla="*/ 0 h 514350"/>
            <a:gd name="connsiteX1" fmla="*/ 466725 w 723900"/>
            <a:gd name="connsiteY1" fmla="*/ 390525 h 514350"/>
            <a:gd name="connsiteX2" fmla="*/ 723900 w 723900"/>
            <a:gd name="connsiteY2" fmla="*/ 514350 h 514350"/>
            <a:gd name="connsiteX3" fmla="*/ 723900 w 723900"/>
            <a:gd name="connsiteY3" fmla="*/ 514350 h 5143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723900" h="514350">
              <a:moveTo>
                <a:pt x="0" y="0"/>
              </a:moveTo>
              <a:cubicBezTo>
                <a:pt x="173037" y="152400"/>
                <a:pt x="346075" y="304800"/>
                <a:pt x="466725" y="390525"/>
              </a:cubicBezTo>
              <a:cubicBezTo>
                <a:pt x="587375" y="476250"/>
                <a:pt x="723900" y="514350"/>
                <a:pt x="723900" y="514350"/>
              </a:cubicBezTo>
              <a:lnTo>
                <a:pt x="723900" y="514350"/>
              </a:lnTo>
            </a:path>
          </a:pathLst>
        </a:custGeom>
        <a:noFill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fr-FR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542925</xdr:colOff>
      <xdr:row>406</xdr:row>
      <xdr:rowOff>152400</xdr:rowOff>
    </xdr:from>
    <xdr:to>
      <xdr:col>17</xdr:col>
      <xdr:colOff>542925</xdr:colOff>
      <xdr:row>422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423</xdr:row>
      <xdr:rowOff>0</xdr:rowOff>
    </xdr:from>
    <xdr:to>
      <xdr:col>18</xdr:col>
      <xdr:colOff>0</xdr:colOff>
      <xdr:row>438</xdr:row>
      <xdr:rowOff>28575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10</xdr:col>
          <xdr:colOff>457200</xdr:colOff>
          <xdr:row>7</xdr:row>
          <xdr:rowOff>57150</xdr:rowOff>
        </xdr:to>
        <xdr:sp macro="" textlink="">
          <xdr:nvSpPr>
            <xdr:cNvPr id="6145" name="Drop Dow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5</xdr:row>
          <xdr:rowOff>180975</xdr:rowOff>
        </xdr:from>
        <xdr:to>
          <xdr:col>11</xdr:col>
          <xdr:colOff>476250</xdr:colOff>
          <xdr:row>7</xdr:row>
          <xdr:rowOff>66675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8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12</xdr:row>
          <xdr:rowOff>9525</xdr:rowOff>
        </xdr:from>
        <xdr:to>
          <xdr:col>3</xdr:col>
          <xdr:colOff>638175</xdr:colOff>
          <xdr:row>13</xdr:row>
          <xdr:rowOff>9525</xdr:rowOff>
        </xdr:to>
        <xdr:sp macro="" textlink="">
          <xdr:nvSpPr>
            <xdr:cNvPr id="6147" name="Drop Dow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8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ySt_Orb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ras_DataBase/Symbiotic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rancois\AppData\Roaming\Microsoft\AddIns\MacrosPerso.xla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GAnd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CICyg_AAVSO_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SySt_Orb"/>
      <sheetName val="Refs"/>
      <sheetName val="Phase"/>
      <sheetName val="Ext"/>
      <sheetName val="d"/>
      <sheetName val="CS"/>
      <sheetName val="Ref"/>
      <sheetName val="Feuil1"/>
      <sheetName val="Feuil3"/>
      <sheetName val="Hot"/>
    </sheetNames>
    <sheetDataSet>
      <sheetData sheetId="0"/>
      <sheetData sheetId="1">
        <row r="29">
          <cell r="Q29">
            <v>2457275</v>
          </cell>
        </row>
        <row r="30">
          <cell r="Q30">
            <v>42256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e"/>
      <sheetName val="Feuil2"/>
      <sheetName val="ObsCodes"/>
      <sheetName val="Index"/>
      <sheetName val="Data"/>
      <sheetName val="ListCall"/>
      <sheetName val="NewSpectra"/>
      <sheetName val="Objects"/>
      <sheetName val="AliasNom"/>
      <sheetName val="AliasSite"/>
      <sheetName val="Suspected"/>
      <sheetName val="Classification"/>
      <sheetName val="AGDra"/>
      <sheetName val="AGPeg"/>
      <sheetName val="AS210"/>
      <sheetName val="CNCha"/>
      <sheetName val="AS245"/>
      <sheetName val="AS270"/>
      <sheetName val="AS289"/>
      <sheetName val="AS323"/>
      <sheetName val="AXPer"/>
      <sheetName val="BDCam"/>
      <sheetName val="EF Aql"/>
      <sheetName val="BFCyg"/>
      <sheetName val="BXMon"/>
      <sheetName val="CHCyg"/>
      <sheetName val="Feuil1"/>
      <sheetName val="CICyg"/>
      <sheetName val="CMAql"/>
      <sheetName val="CQDra"/>
      <sheetName val="EFAql"/>
      <sheetName val="EGAnd"/>
      <sheetName val="ERDel"/>
      <sheetName val="FGSer"/>
      <sheetName val="FNSgr"/>
      <sheetName val="GHGem"/>
      <sheetName val="Hen2-468"/>
      <sheetName val="Hen3-1341"/>
      <sheetName val="Hen3-1342"/>
      <sheetName val="Hen3-1768"/>
      <sheetName val="HMSge"/>
      <sheetName val="IVVir"/>
      <sheetName val="LTDel"/>
      <sheetName val="MWC960"/>
      <sheetName val="NQGem"/>
      <sheetName val="OmiCet"/>
      <sheetName val="PUVul"/>
      <sheetName val="QWSge"/>
      <sheetName val="RAqr"/>
      <sheetName val="RRTel"/>
      <sheetName val="RSOph"/>
      <sheetName val="RTCru"/>
      <sheetName val="RTSer"/>
      <sheetName val="RWHya"/>
      <sheetName val="SSLep"/>
      <sheetName val="StHa32"/>
      <sheetName val="StHa55"/>
      <sheetName val="StHa149"/>
      <sheetName val="StHa196"/>
      <sheetName val="StHa180"/>
      <sheetName val="StHa190"/>
      <sheetName val="SULyn"/>
      <sheetName val="SYMus"/>
      <sheetName val="TCrB"/>
      <sheetName val="TCPJ19544251+1722281"/>
      <sheetName val="TXCVn"/>
      <sheetName val="UVAur"/>
      <sheetName val="V335Vul"/>
      <sheetName val="V407Cyg"/>
      <sheetName val="StHa169"/>
      <sheetName val="V443Her"/>
      <sheetName val="V471Per"/>
      <sheetName val="V503Her"/>
      <sheetName val="V627Cas"/>
      <sheetName val="V694Mon"/>
      <sheetName val="V919Sgr"/>
      <sheetName val="V934Her"/>
      <sheetName val="V1016Cyg"/>
      <sheetName val="V1329Cyg"/>
      <sheetName val="V1413Aql"/>
      <sheetName val="V1261Ori"/>
      <sheetName val="ZZCMi"/>
      <sheetName val="YYHer"/>
      <sheetName val="ZAnd"/>
      <sheetName val="Feuil70"/>
      <sheetName val="Feuil82"/>
      <sheetName val="Feuil71"/>
      <sheetName val="Feuil72"/>
      <sheetName val="Feuil73"/>
      <sheetName val="Feuil74"/>
      <sheetName val="Feuil75"/>
      <sheetName val="Feuil76"/>
      <sheetName val="Feuil77"/>
      <sheetName val="Feuil78"/>
      <sheetName val="Feuil79"/>
      <sheetName val="Feuil80"/>
      <sheetName val="Feuil8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11">
          <cell r="B11" t="str">
            <v>#</v>
          </cell>
          <cell r="C11" t="str">
            <v>Date</v>
          </cell>
          <cell r="D11" t="str">
            <v>Time (UT)</v>
          </cell>
          <cell r="E11" t="str">
            <v>J.D. mid</v>
          </cell>
          <cell r="F11" t="str">
            <v>Observer</v>
          </cell>
          <cell r="G11" t="str">
            <v>Site</v>
          </cell>
          <cell r="H11" t="str">
            <v>Instrument</v>
          </cell>
          <cell r="I11" t="str">
            <v>Resolution</v>
          </cell>
          <cell r="J11" t="str">
            <v>R</v>
          </cell>
        </row>
        <row r="13">
          <cell r="B13">
            <v>1</v>
          </cell>
          <cell r="C13">
            <v>40153</v>
          </cell>
          <cell r="D13">
            <v>0.7319444444444444</v>
          </cell>
          <cell r="F13" t="str">
            <v xml:space="preserve">FMT </v>
          </cell>
          <cell r="G13" t="str">
            <v>ORS-FR</v>
          </cell>
          <cell r="H13" t="str">
            <v>SC10+LhiresIII_150</v>
          </cell>
          <cell r="I13">
            <v>800</v>
          </cell>
          <cell r="J13"/>
        </row>
        <row r="14">
          <cell r="B14">
            <v>2</v>
          </cell>
          <cell r="C14">
            <v>40446</v>
          </cell>
          <cell r="D14">
            <v>0.88252314814814825</v>
          </cell>
          <cell r="F14" t="str">
            <v xml:space="preserve">FMT </v>
          </cell>
          <cell r="G14" t="str">
            <v>ORS-FR</v>
          </cell>
          <cell r="H14" t="str">
            <v>SC10+LhiresIII_150</v>
          </cell>
          <cell r="I14">
            <v>800</v>
          </cell>
          <cell r="J14"/>
        </row>
        <row r="15">
          <cell r="B15">
            <v>3</v>
          </cell>
          <cell r="C15">
            <v>40482</v>
          </cell>
          <cell r="D15">
            <v>0.87258101851851855</v>
          </cell>
          <cell r="F15" t="str">
            <v xml:space="preserve">FMT </v>
          </cell>
          <cell r="G15" t="str">
            <v>ORS-FR</v>
          </cell>
          <cell r="H15" t="str">
            <v>SC10+LhiresIII_150</v>
          </cell>
          <cell r="I15">
            <v>800</v>
          </cell>
          <cell r="J15"/>
        </row>
        <row r="16">
          <cell r="B16">
            <v>4</v>
          </cell>
          <cell r="C16">
            <v>40776</v>
          </cell>
          <cell r="D16">
            <v>0.97531249999999992</v>
          </cell>
          <cell r="F16" t="str">
            <v xml:space="preserve">FMT </v>
          </cell>
          <cell r="G16" t="str">
            <v>ORS-FR</v>
          </cell>
          <cell r="H16" t="str">
            <v>SC10+Lisa</v>
          </cell>
          <cell r="I16">
            <v>800</v>
          </cell>
          <cell r="J16"/>
        </row>
        <row r="17">
          <cell r="B17">
            <v>5</v>
          </cell>
          <cell r="C17">
            <v>40832</v>
          </cell>
          <cell r="D17">
            <v>0.8384490740740741</v>
          </cell>
          <cell r="F17" t="str">
            <v>BUI</v>
          </cell>
          <cell r="G17" t="str">
            <v>CAS-FR</v>
          </cell>
          <cell r="H17" t="str">
            <v>SC11+Lisa+Atik314</v>
          </cell>
          <cell r="I17">
            <v>800</v>
          </cell>
          <cell r="J17"/>
        </row>
        <row r="18">
          <cell r="B18">
            <v>6</v>
          </cell>
          <cell r="C18">
            <v>41115</v>
          </cell>
          <cell r="D18">
            <v>3.8819444444444441E-2</v>
          </cell>
          <cell r="E18">
            <v>2456133.5455</v>
          </cell>
          <cell r="F18" t="str">
            <v xml:space="preserve">FMT </v>
          </cell>
          <cell r="G18" t="str">
            <v>ORS-FR</v>
          </cell>
          <cell r="H18" t="str">
            <v>SC25cm+Lisa</v>
          </cell>
          <cell r="I18">
            <v>1000</v>
          </cell>
          <cell r="J18"/>
        </row>
        <row r="19">
          <cell r="B19">
            <v>7</v>
          </cell>
          <cell r="C19">
            <v>41159</v>
          </cell>
          <cell r="D19">
            <v>0.91184027777777776</v>
          </cell>
          <cell r="E19">
            <v>2456178.4279999998</v>
          </cell>
          <cell r="F19" t="str">
            <v xml:space="preserve">FMT </v>
          </cell>
          <cell r="G19" t="str">
            <v>ORS-FR</v>
          </cell>
          <cell r="H19" t="str">
            <v>SC25cm+Lisa</v>
          </cell>
          <cell r="I19">
            <v>1000</v>
          </cell>
          <cell r="J19"/>
        </row>
        <row r="20">
          <cell r="B20">
            <v>8</v>
          </cell>
          <cell r="C20">
            <v>41198</v>
          </cell>
          <cell r="D20">
            <v>0.83275462962962965</v>
          </cell>
          <cell r="E20">
            <v>2456217.3470000001</v>
          </cell>
          <cell r="F20" t="str">
            <v xml:space="preserve">FMT </v>
          </cell>
          <cell r="G20" t="str">
            <v>ORS-FR</v>
          </cell>
          <cell r="H20" t="str">
            <v>SC25cm+Lisa</v>
          </cell>
          <cell r="I20">
            <v>959</v>
          </cell>
          <cell r="J20"/>
        </row>
        <row r="21">
          <cell r="B21">
            <v>9</v>
          </cell>
          <cell r="C21">
            <v>41224</v>
          </cell>
          <cell r="D21">
            <v>0.80276620370370377</v>
          </cell>
          <cell r="E21">
            <v>2456243.3185999999</v>
          </cell>
          <cell r="F21" t="str">
            <v xml:space="preserve">FMT </v>
          </cell>
          <cell r="G21" t="str">
            <v>ORS-FR</v>
          </cell>
          <cell r="H21" t="str">
            <v>SC25cm+Lisa</v>
          </cell>
          <cell r="I21">
            <v>909</v>
          </cell>
          <cell r="J21"/>
        </row>
        <row r="22">
          <cell r="B22">
            <v>10</v>
          </cell>
          <cell r="C22">
            <v>41495</v>
          </cell>
          <cell r="D22">
            <v>6.6608796296296291E-2</v>
          </cell>
          <cell r="E22">
            <v>2456513.5756000001</v>
          </cell>
          <cell r="F22" t="str">
            <v>DES</v>
          </cell>
          <cell r="G22" t="str">
            <v>OHP-FR</v>
          </cell>
          <cell r="H22" t="str">
            <v>SC9+LhiresIII_2400</v>
          </cell>
          <cell r="I22">
            <v>13699</v>
          </cell>
          <cell r="J22"/>
        </row>
        <row r="23">
          <cell r="B23">
            <v>11</v>
          </cell>
          <cell r="C23">
            <v>41495</v>
          </cell>
          <cell r="D23">
            <v>0.93945601851851857</v>
          </cell>
          <cell r="E23">
            <v>2456514.4564999999</v>
          </cell>
          <cell r="F23" t="str">
            <v xml:space="preserve">FMT </v>
          </cell>
          <cell r="G23" t="str">
            <v>ORS-FR</v>
          </cell>
          <cell r="H23" t="str">
            <v>SC10+Lisa+ATIK46EX</v>
          </cell>
          <cell r="I23">
            <v>888</v>
          </cell>
          <cell r="J23"/>
        </row>
        <row r="24">
          <cell r="B24">
            <v>12</v>
          </cell>
          <cell r="C24">
            <v>41497</v>
          </cell>
          <cell r="D24">
            <v>0.88256944444444452</v>
          </cell>
          <cell r="E24">
            <v>2456516.4032999999</v>
          </cell>
          <cell r="F24" t="str">
            <v>JNT</v>
          </cell>
          <cell r="G24" t="str">
            <v>OHP-FR</v>
          </cell>
          <cell r="H24" t="str">
            <v>TSC25cm_Alpy600_Sbi</v>
          </cell>
          <cell r="I24">
            <v>684</v>
          </cell>
          <cell r="J24"/>
        </row>
        <row r="25">
          <cell r="B25">
            <v>13</v>
          </cell>
          <cell r="C25">
            <v>41497</v>
          </cell>
          <cell r="D25">
            <v>0.90009259259259267</v>
          </cell>
          <cell r="E25">
            <v>2456516.4109999998</v>
          </cell>
          <cell r="F25" t="str">
            <v>TLE</v>
          </cell>
          <cell r="G25" t="str">
            <v>OHP-FR</v>
          </cell>
          <cell r="H25" t="str">
            <v>SC14+eShel+ATIK460EX</v>
          </cell>
          <cell r="I25">
            <v>11000</v>
          </cell>
          <cell r="J25"/>
        </row>
        <row r="26">
          <cell r="B26">
            <v>14</v>
          </cell>
          <cell r="C26">
            <v>41538</v>
          </cell>
          <cell r="D26">
            <v>0.91350694444444447</v>
          </cell>
          <cell r="E26">
            <v>2456557.4216999998</v>
          </cell>
          <cell r="F26" t="str">
            <v>JGF</v>
          </cell>
          <cell r="G26" t="str">
            <v>SMM-SP</v>
          </cell>
          <cell r="H26" t="str">
            <v>16REMOTATIK460EX</v>
          </cell>
          <cell r="I26">
            <v>1068</v>
          </cell>
          <cell r="J26"/>
        </row>
        <row r="27">
          <cell r="B27">
            <v>15</v>
          </cell>
          <cell r="C27">
            <v>41574</v>
          </cell>
          <cell r="D27">
            <v>8.666666666666667E-2</v>
          </cell>
          <cell r="E27">
            <v>2456592.6113999998</v>
          </cell>
          <cell r="F27" t="str">
            <v>GKA</v>
          </cell>
          <cell r="G27" t="str">
            <v>MAN-US</v>
          </cell>
          <cell r="H27" t="str">
            <v>lx20010"AlpyAti</v>
          </cell>
          <cell r="I27">
            <v>500</v>
          </cell>
          <cell r="J27"/>
        </row>
        <row r="28">
          <cell r="B28">
            <v>16</v>
          </cell>
          <cell r="C28">
            <v>41586</v>
          </cell>
          <cell r="D28">
            <v>7.6516203703703697E-2</v>
          </cell>
          <cell r="E28">
            <v>2456604.6002000002</v>
          </cell>
          <cell r="F28" t="str">
            <v>GKA</v>
          </cell>
          <cell r="G28" t="str">
            <v>MAN-US</v>
          </cell>
          <cell r="H28" t="str">
            <v>lx20010"AlpyAti</v>
          </cell>
          <cell r="I28">
            <v>539</v>
          </cell>
          <cell r="J28"/>
        </row>
        <row r="29">
          <cell r="B29">
            <v>17</v>
          </cell>
          <cell r="C29">
            <v>41606</v>
          </cell>
          <cell r="D29">
            <v>4.5138888888888893E-3</v>
          </cell>
          <cell r="E29">
            <v>2456624.5115</v>
          </cell>
          <cell r="F29" t="str">
            <v>GKA</v>
          </cell>
          <cell r="G29" t="str">
            <v>MAN-US</v>
          </cell>
          <cell r="H29" t="str">
            <v>lx20010"AlpyAti</v>
          </cell>
          <cell r="I29">
            <v>569</v>
          </cell>
          <cell r="J29"/>
        </row>
        <row r="30">
          <cell r="B30">
            <v>18</v>
          </cell>
          <cell r="C30">
            <v>41616</v>
          </cell>
          <cell r="D30">
            <v>0.80436342592592591</v>
          </cell>
          <cell r="E30">
            <v>2456635.3188999998</v>
          </cell>
          <cell r="F30" t="str">
            <v xml:space="preserve">FMT </v>
          </cell>
          <cell r="G30" t="str">
            <v>ORS-FR</v>
          </cell>
          <cell r="H30" t="str">
            <v>SC25cm_Lisa_ATIK460</v>
          </cell>
          <cell r="I30">
            <v>1002</v>
          </cell>
          <cell r="J30"/>
        </row>
        <row r="31">
          <cell r="B31">
            <v>19</v>
          </cell>
          <cell r="C31">
            <v>41628</v>
          </cell>
          <cell r="D31">
            <v>0.75260416666666663</v>
          </cell>
          <cell r="E31">
            <v>2456647.2598999999</v>
          </cell>
          <cell r="F31" t="str">
            <v xml:space="preserve">FMT </v>
          </cell>
          <cell r="G31" t="str">
            <v>ORS-FR</v>
          </cell>
          <cell r="H31" t="str">
            <v>SC25cm_Lisa_ATIK460</v>
          </cell>
          <cell r="I31">
            <v>972</v>
          </cell>
          <cell r="J31"/>
        </row>
        <row r="32">
          <cell r="B32">
            <v>20</v>
          </cell>
          <cell r="C32">
            <v>41840</v>
          </cell>
          <cell r="D32">
            <v>0.14587962962962964</v>
          </cell>
          <cell r="E32">
            <v>2456858.6527999998</v>
          </cell>
          <cell r="F32" t="str">
            <v>PSO</v>
          </cell>
          <cell r="G32" t="str">
            <v>TAT-HU</v>
          </cell>
          <cell r="H32" t="str">
            <v>T10+Alpy600+OrionG3</v>
          </cell>
          <cell r="I32">
            <v>600</v>
          </cell>
          <cell r="J32"/>
        </row>
        <row r="33">
          <cell r="B33">
            <v>21</v>
          </cell>
          <cell r="C33">
            <v>41846</v>
          </cell>
          <cell r="D33">
            <v>0.97150462962962969</v>
          </cell>
          <cell r="E33">
            <v>2456865.4819999998</v>
          </cell>
          <cell r="F33" t="str">
            <v>DUB</v>
          </cell>
          <cell r="G33" t="str">
            <v>OHP-FR</v>
          </cell>
          <cell r="H33" t="str">
            <v>VixenVC200LLisaS</v>
          </cell>
          <cell r="I33">
            <v>808</v>
          </cell>
          <cell r="J33"/>
        </row>
        <row r="34">
          <cell r="B34">
            <v>22</v>
          </cell>
          <cell r="C34">
            <v>41872</v>
          </cell>
          <cell r="D34">
            <v>3.3993055555555561E-2</v>
          </cell>
          <cell r="E34">
            <v>2456890.5419999999</v>
          </cell>
          <cell r="F34" t="str">
            <v>JMO</v>
          </cell>
          <cell r="G34" t="str">
            <v>OLC-FR</v>
          </cell>
          <cell r="H34" t="str">
            <v>Meade355+Atik460E</v>
          </cell>
          <cell r="I34">
            <v>627</v>
          </cell>
          <cell r="J34"/>
        </row>
        <row r="35">
          <cell r="B35">
            <v>23</v>
          </cell>
          <cell r="C35">
            <v>41884</v>
          </cell>
          <cell r="D35">
            <v>3.5995370370370372E-2</v>
          </cell>
          <cell r="E35">
            <v>2456902.5438999999</v>
          </cell>
          <cell r="F35" t="str">
            <v>JMO</v>
          </cell>
          <cell r="G35" t="str">
            <v>OLC-FR</v>
          </cell>
          <cell r="H35" t="str">
            <v>Meade355+Atik460E</v>
          </cell>
          <cell r="I35">
            <v>641</v>
          </cell>
          <cell r="J35"/>
        </row>
        <row r="36">
          <cell r="B36">
            <v>24</v>
          </cell>
          <cell r="C36">
            <v>41894</v>
          </cell>
          <cell r="D36">
            <v>0.88215277777777779</v>
          </cell>
          <cell r="E36">
            <v>2456913.3857999998</v>
          </cell>
          <cell r="F36" t="str">
            <v xml:space="preserve">FMT </v>
          </cell>
          <cell r="G36" t="str">
            <v>ORS-FR</v>
          </cell>
          <cell r="H36" t="str">
            <v>SC10+Lisa</v>
          </cell>
          <cell r="I36">
            <v>1221</v>
          </cell>
          <cell r="J36"/>
        </row>
        <row r="37">
          <cell r="B37">
            <v>25</v>
          </cell>
          <cell r="C37">
            <v>41894</v>
          </cell>
          <cell r="D37">
            <v>0.89003472222222213</v>
          </cell>
          <cell r="E37">
            <v>2456913.3944999999</v>
          </cell>
          <cell r="F37" t="str">
            <v xml:space="preserve">FMT </v>
          </cell>
          <cell r="G37" t="str">
            <v>ORS-FR</v>
          </cell>
          <cell r="H37" t="str">
            <v>SC10+Lisa</v>
          </cell>
          <cell r="I37">
            <v>1221</v>
          </cell>
          <cell r="J37"/>
        </row>
        <row r="38">
          <cell r="B38">
            <v>26</v>
          </cell>
          <cell r="C38">
            <v>41908</v>
          </cell>
          <cell r="D38">
            <v>3.9988425925925927E-2</v>
          </cell>
          <cell r="E38">
            <v>2456926.5512000001</v>
          </cell>
          <cell r="F38" t="str">
            <v>JMO</v>
          </cell>
          <cell r="G38" t="str">
            <v>OLC-FR</v>
          </cell>
          <cell r="H38" t="str">
            <v>Meade355+Atik460E</v>
          </cell>
          <cell r="I38">
            <v>632</v>
          </cell>
          <cell r="J38"/>
        </row>
        <row r="39">
          <cell r="B39">
            <v>27</v>
          </cell>
          <cell r="C39">
            <v>41953</v>
          </cell>
          <cell r="D39">
            <v>0.8658217592592593</v>
          </cell>
          <cell r="E39">
            <v>2456972.3695</v>
          </cell>
          <cell r="F39" t="str">
            <v>JGF</v>
          </cell>
          <cell r="G39" t="str">
            <v>SMM-SP</v>
          </cell>
          <cell r="H39" t="str">
            <v>16REMOTATIK460EX</v>
          </cell>
          <cell r="I39"/>
          <cell r="J39"/>
        </row>
        <row r="40">
          <cell r="B40">
            <v>28</v>
          </cell>
          <cell r="C40">
            <v>41957</v>
          </cell>
          <cell r="D40">
            <v>0.90192129629629625</v>
          </cell>
          <cell r="E40">
            <v>2456976.4089000002</v>
          </cell>
          <cell r="F40" t="str">
            <v>PSO</v>
          </cell>
          <cell r="G40" t="str">
            <v>TAT-HU</v>
          </cell>
          <cell r="H40" t="str">
            <v>T10+Alpy600+OrionG3</v>
          </cell>
          <cell r="I40">
            <v>510</v>
          </cell>
          <cell r="J40"/>
        </row>
        <row r="41">
          <cell r="B41">
            <v>29</v>
          </cell>
          <cell r="C41">
            <v>41960</v>
          </cell>
          <cell r="D41">
            <v>0.81859953703703703</v>
          </cell>
          <cell r="E41">
            <v>2456979.3267999999</v>
          </cell>
          <cell r="F41" t="str">
            <v>JGF</v>
          </cell>
          <cell r="G41" t="str">
            <v>SMM-SP</v>
          </cell>
          <cell r="H41" t="str">
            <v>16REMOTATIK460EX</v>
          </cell>
          <cell r="I41"/>
          <cell r="J41"/>
        </row>
        <row r="42">
          <cell r="B42">
            <v>30</v>
          </cell>
          <cell r="C42">
            <v>41963</v>
          </cell>
          <cell r="D42">
            <v>0.8240277777777778</v>
          </cell>
          <cell r="E42">
            <v>2456982.3346000002</v>
          </cell>
          <cell r="F42" t="str">
            <v>JGF</v>
          </cell>
          <cell r="G42" t="str">
            <v>SMM-SP</v>
          </cell>
          <cell r="H42" t="str">
            <v>16REMOTATIK460EX</v>
          </cell>
          <cell r="I42"/>
          <cell r="J42"/>
        </row>
        <row r="43">
          <cell r="B43">
            <v>31</v>
          </cell>
          <cell r="C43">
            <v>41978</v>
          </cell>
          <cell r="D43">
            <v>0.78291666666666659</v>
          </cell>
          <cell r="E43">
            <v>2456997.2925</v>
          </cell>
          <cell r="F43" t="str">
            <v>JGF</v>
          </cell>
          <cell r="G43" t="str">
            <v>SMM-SP</v>
          </cell>
          <cell r="H43" t="str">
            <v>16REMOTATIK460EX</v>
          </cell>
          <cell r="I43"/>
          <cell r="J43"/>
        </row>
        <row r="44">
          <cell r="B44">
            <v>32</v>
          </cell>
          <cell r="C44">
            <v>41985</v>
          </cell>
          <cell r="D44">
            <v>0.93094907407407401</v>
          </cell>
          <cell r="E44">
            <v>2457004.4367999998</v>
          </cell>
          <cell r="F44" t="str">
            <v>PSO</v>
          </cell>
          <cell r="G44" t="str">
            <v>TAT-HU</v>
          </cell>
          <cell r="H44" t="str">
            <v>T10+Alpy600+OrionG3</v>
          </cell>
          <cell r="I44"/>
          <cell r="J44"/>
        </row>
        <row r="45">
          <cell r="B45">
            <v>33</v>
          </cell>
          <cell r="C45">
            <v>41986</v>
          </cell>
          <cell r="D45">
            <v>0.7518287037037038</v>
          </cell>
          <cell r="E45">
            <v>2457005.2576000001</v>
          </cell>
          <cell r="F45" t="str">
            <v>JGF</v>
          </cell>
          <cell r="G45" t="str">
            <v>SMM-SP</v>
          </cell>
          <cell r="H45" t="str">
            <v>16REMOTATIK460EX</v>
          </cell>
          <cell r="I45"/>
          <cell r="J45"/>
        </row>
        <row r="46">
          <cell r="B46">
            <v>34</v>
          </cell>
          <cell r="C46">
            <v>41998</v>
          </cell>
          <cell r="D46">
            <v>0.77778935185185183</v>
          </cell>
          <cell r="E46">
            <v>2457017.2866000002</v>
          </cell>
          <cell r="F46" t="str">
            <v xml:space="preserve">FMT </v>
          </cell>
          <cell r="G46" t="str">
            <v>ORS-FR</v>
          </cell>
          <cell r="H46" t="str">
            <v>SC10+Lisa</v>
          </cell>
          <cell r="I46">
            <v>918</v>
          </cell>
          <cell r="J46"/>
        </row>
        <row r="47">
          <cell r="B47">
            <v>35</v>
          </cell>
          <cell r="C47">
            <v>42167</v>
          </cell>
          <cell r="D47">
            <v>0.79078703703703701</v>
          </cell>
          <cell r="E47">
            <v>2457186.3116000001</v>
          </cell>
          <cell r="F47" t="str">
            <v xml:space="preserve">DLI </v>
          </cell>
          <cell r="G47" t="str">
            <v>JAD-CN</v>
          </cell>
          <cell r="H47" t="str">
            <v>C11Lhires3-2400_2x</v>
          </cell>
          <cell r="I47">
            <v>14662</v>
          </cell>
          <cell r="J47"/>
        </row>
        <row r="48">
          <cell r="B48">
            <v>36</v>
          </cell>
          <cell r="C48">
            <v>42181</v>
          </cell>
          <cell r="D48">
            <v>0.95482638888888882</v>
          </cell>
          <cell r="E48">
            <v>2457200.466</v>
          </cell>
          <cell r="F48" t="str">
            <v>SOL</v>
          </cell>
          <cell r="G48" t="str">
            <v>AQL-IT</v>
          </cell>
          <cell r="H48" t="str">
            <v>Slit_specC8ST-830</v>
          </cell>
          <cell r="I48"/>
          <cell r="J48"/>
        </row>
        <row r="49">
          <cell r="B49">
            <v>37</v>
          </cell>
          <cell r="C49">
            <v>42182</v>
          </cell>
          <cell r="D49">
            <v>6.4317129629629641E-2</v>
          </cell>
          <cell r="E49">
            <v>2457200.5619999999</v>
          </cell>
          <cell r="F49" t="str">
            <v>PSO</v>
          </cell>
          <cell r="G49" t="str">
            <v>TAT-HU</v>
          </cell>
          <cell r="H49" t="str">
            <v>25cmLH24K15u414esm</v>
          </cell>
          <cell r="I49">
            <v>20673</v>
          </cell>
          <cell r="J49"/>
        </row>
        <row r="50">
          <cell r="B50">
            <v>38</v>
          </cell>
          <cell r="C50">
            <v>42182</v>
          </cell>
          <cell r="D50">
            <v>0.22668981481481479</v>
          </cell>
          <cell r="E50">
            <v>2457200.7385</v>
          </cell>
          <cell r="F50" t="str">
            <v>LES</v>
          </cell>
          <cell r="G50" t="str">
            <v>MRO-CA</v>
          </cell>
          <cell r="H50" t="str">
            <v>31cmDK+23um1800lpm+</v>
          </cell>
          <cell r="I50">
            <v>9200</v>
          </cell>
          <cell r="J50"/>
        </row>
        <row r="51">
          <cell r="B51">
            <v>39</v>
          </cell>
          <cell r="C51">
            <v>42183</v>
          </cell>
          <cell r="D51">
            <v>4.1990740740740745E-2</v>
          </cell>
          <cell r="E51">
            <v>2457201.5512999999</v>
          </cell>
          <cell r="F51" t="str">
            <v>JMO</v>
          </cell>
          <cell r="G51" t="str">
            <v>OLC-FR</v>
          </cell>
          <cell r="H51" t="str">
            <v>MEADE355+Lhires</v>
          </cell>
          <cell r="I51">
            <v>12303</v>
          </cell>
          <cell r="J51"/>
        </row>
        <row r="52">
          <cell r="B52">
            <v>40</v>
          </cell>
          <cell r="C52">
            <v>42183</v>
          </cell>
          <cell r="D52">
            <v>0.94966435185185183</v>
          </cell>
          <cell r="E52">
            <v>2457202.4605999999</v>
          </cell>
          <cell r="F52" t="str">
            <v>REV</v>
          </cell>
          <cell r="G52" t="str">
            <v>RIV-FR</v>
          </cell>
          <cell r="H52" t="str">
            <v>L160_Lisa_Atik314L</v>
          </cell>
          <cell r="I52">
            <v>961</v>
          </cell>
          <cell r="J52"/>
        </row>
        <row r="53">
          <cell r="B53">
            <v>41</v>
          </cell>
          <cell r="C53">
            <v>42183</v>
          </cell>
          <cell r="D53">
            <v>0.99454861111111104</v>
          </cell>
          <cell r="E53">
            <v>2457202.5019999999</v>
          </cell>
          <cell r="F53" t="str">
            <v>SOL</v>
          </cell>
          <cell r="G53" t="str">
            <v>AQL-IT</v>
          </cell>
          <cell r="H53" t="str">
            <v>Slit_specC8ST-830</v>
          </cell>
          <cell r="I53"/>
          <cell r="J53"/>
        </row>
        <row r="54">
          <cell r="B54">
            <v>42</v>
          </cell>
          <cell r="C54">
            <v>42185</v>
          </cell>
          <cell r="D54">
            <v>1.5995370370370372E-2</v>
          </cell>
          <cell r="E54">
            <v>2457203.5244999998</v>
          </cell>
          <cell r="F54" t="str">
            <v>JMO</v>
          </cell>
          <cell r="G54" t="str">
            <v>OLC-FR</v>
          </cell>
          <cell r="H54" t="str">
            <v>MEADE355+Lhires</v>
          </cell>
          <cell r="I54">
            <v>12925</v>
          </cell>
          <cell r="J54"/>
        </row>
        <row r="55">
          <cell r="B55">
            <v>43</v>
          </cell>
          <cell r="C55">
            <v>42185</v>
          </cell>
          <cell r="D55">
            <v>4.3981481481481483E-2</v>
          </cell>
          <cell r="E55">
            <v>2457203.5496999999</v>
          </cell>
          <cell r="F55" t="str">
            <v>DBO</v>
          </cell>
          <cell r="G55" t="str">
            <v>WCO-UK</v>
          </cell>
          <cell r="H55" t="str">
            <v>C11+Lisa+SXVR-H694</v>
          </cell>
          <cell r="I55">
            <v>798</v>
          </cell>
          <cell r="J55"/>
        </row>
        <row r="56">
          <cell r="B56">
            <v>44</v>
          </cell>
          <cell r="C56">
            <v>42185</v>
          </cell>
          <cell r="D56">
            <v>0.25146990740740743</v>
          </cell>
          <cell r="E56">
            <v>2457203.7722999998</v>
          </cell>
          <cell r="F56" t="str">
            <v>LES</v>
          </cell>
          <cell r="G56" t="str">
            <v>MRO-CA</v>
          </cell>
          <cell r="H56" t="str">
            <v>31cmDK+23um1800lpm+</v>
          </cell>
          <cell r="I56">
            <v>6350</v>
          </cell>
          <cell r="J56"/>
        </row>
        <row r="57">
          <cell r="B57">
            <v>45</v>
          </cell>
          <cell r="C57">
            <v>42186</v>
          </cell>
          <cell r="D57">
            <v>1.064814814814815E-2</v>
          </cell>
          <cell r="E57">
            <v>2457204.5265000002</v>
          </cell>
          <cell r="F57" t="str">
            <v>OGA</v>
          </cell>
          <cell r="G57" t="str">
            <v>OTO-FR</v>
          </cell>
          <cell r="H57" t="str">
            <v>RC400+eShel_460EX</v>
          </cell>
          <cell r="I57">
            <v>11000</v>
          </cell>
          <cell r="J57"/>
        </row>
        <row r="58">
          <cell r="B58">
            <v>46</v>
          </cell>
          <cell r="C58">
            <v>42189</v>
          </cell>
          <cell r="D58">
            <v>3.6886574074074079E-2</v>
          </cell>
          <cell r="E58">
            <v>2457207.5438999999</v>
          </cell>
          <cell r="F58" t="str">
            <v>PSO</v>
          </cell>
          <cell r="G58" t="str">
            <v>TAT-HU</v>
          </cell>
          <cell r="H58" t="str">
            <v>25cmLH24K15u414esm</v>
          </cell>
          <cell r="I58">
            <v>18112</v>
          </cell>
          <cell r="J58"/>
        </row>
        <row r="59">
          <cell r="B59">
            <v>47</v>
          </cell>
          <cell r="C59">
            <v>42189</v>
          </cell>
          <cell r="D59">
            <v>6.5127314814814818E-2</v>
          </cell>
          <cell r="E59">
            <v>2457207.5721</v>
          </cell>
          <cell r="F59" t="str">
            <v>PSO</v>
          </cell>
          <cell r="G59" t="str">
            <v>TAT-HU</v>
          </cell>
          <cell r="H59" t="str">
            <v>25cmLH24K15u414esm</v>
          </cell>
          <cell r="I59">
            <v>21042</v>
          </cell>
          <cell r="J59"/>
        </row>
        <row r="60">
          <cell r="B60">
            <v>48</v>
          </cell>
          <cell r="C60">
            <v>42189</v>
          </cell>
          <cell r="D60">
            <v>0.96122685185185175</v>
          </cell>
          <cell r="E60">
            <v>2457208.4665000001</v>
          </cell>
          <cell r="F60" t="str">
            <v>PSO</v>
          </cell>
          <cell r="G60" t="str">
            <v>TAT-HU</v>
          </cell>
          <cell r="H60" t="str">
            <v>25cmLH24K15u414esm</v>
          </cell>
          <cell r="I60">
            <v>2924</v>
          </cell>
          <cell r="J60"/>
        </row>
        <row r="61">
          <cell r="B61">
            <v>49</v>
          </cell>
          <cell r="C61">
            <v>42190</v>
          </cell>
          <cell r="D61">
            <v>0.96392361111111102</v>
          </cell>
          <cell r="E61">
            <v>2457209.4756999998</v>
          </cell>
          <cell r="F61" t="str">
            <v>PSO</v>
          </cell>
          <cell r="G61" t="str">
            <v>TAT-HU</v>
          </cell>
          <cell r="H61" t="str">
            <v>25cmLH60015u414esm</v>
          </cell>
          <cell r="I61">
            <v>3444</v>
          </cell>
          <cell r="J61"/>
        </row>
        <row r="62">
          <cell r="B62">
            <v>50</v>
          </cell>
          <cell r="C62">
            <v>42194</v>
          </cell>
          <cell r="D62">
            <v>0.96574074074074068</v>
          </cell>
          <cell r="E62">
            <v>2457213.4695000001</v>
          </cell>
          <cell r="F62" t="str">
            <v>JGF</v>
          </cell>
          <cell r="G62" t="str">
            <v>SMM-SP</v>
          </cell>
          <cell r="H62" t="str">
            <v>16REMOTATIK460EX</v>
          </cell>
          <cell r="I62">
            <v>715</v>
          </cell>
          <cell r="J62"/>
        </row>
        <row r="63">
          <cell r="B63">
            <v>51</v>
          </cell>
          <cell r="C63">
            <v>42197</v>
          </cell>
          <cell r="D63">
            <v>5.0995370370370365E-2</v>
          </cell>
          <cell r="E63">
            <v>2457215.5603999998</v>
          </cell>
          <cell r="F63" t="str">
            <v>JMO</v>
          </cell>
          <cell r="G63" t="str">
            <v>OLC-FR</v>
          </cell>
          <cell r="H63" t="str">
            <v>MEADE355+Lhires</v>
          </cell>
          <cell r="I63">
            <v>12284</v>
          </cell>
          <cell r="J63"/>
        </row>
        <row r="64">
          <cell r="B64">
            <v>52</v>
          </cell>
          <cell r="C64">
            <v>42197</v>
          </cell>
          <cell r="D64">
            <v>8.340277777777777E-2</v>
          </cell>
          <cell r="E64">
            <v>2457215.5822999999</v>
          </cell>
          <cell r="F64" t="str">
            <v>PSO</v>
          </cell>
          <cell r="G64" t="str">
            <v>TAT-HU</v>
          </cell>
          <cell r="H64" t="str">
            <v>T10+Lhires600+Atik414esm</v>
          </cell>
          <cell r="I64">
            <v>3077</v>
          </cell>
          <cell r="J64"/>
        </row>
        <row r="65">
          <cell r="B65">
            <v>53</v>
          </cell>
          <cell r="C65">
            <v>42198</v>
          </cell>
          <cell r="D65">
            <v>0.93901620370370376</v>
          </cell>
          <cell r="E65">
            <v>2457217.443</v>
          </cell>
          <cell r="F65" t="str">
            <v>JGF</v>
          </cell>
          <cell r="G65" t="str">
            <v>SMM-SP</v>
          </cell>
          <cell r="H65" t="str">
            <v>16REMOTATIK460EX</v>
          </cell>
          <cell r="I65">
            <v>640</v>
          </cell>
          <cell r="J65"/>
        </row>
        <row r="66">
          <cell r="B66">
            <v>54</v>
          </cell>
          <cell r="C66">
            <v>42202</v>
          </cell>
          <cell r="D66">
            <v>0.98728009259259253</v>
          </cell>
          <cell r="E66">
            <v>2457221.4907999998</v>
          </cell>
          <cell r="F66" t="str">
            <v>PSO</v>
          </cell>
          <cell r="G66" t="str">
            <v>TAT-HU</v>
          </cell>
          <cell r="H66" t="str">
            <v>25cmLH2400_23u414ex</v>
          </cell>
          <cell r="I66">
            <v>22426</v>
          </cell>
          <cell r="J66"/>
        </row>
        <row r="67">
          <cell r="B67">
            <v>55</v>
          </cell>
          <cell r="C67">
            <v>42207</v>
          </cell>
          <cell r="D67">
            <v>0.97673611111111114</v>
          </cell>
          <cell r="E67">
            <v>2457226.4830999998</v>
          </cell>
          <cell r="F67" t="str">
            <v>DBO</v>
          </cell>
          <cell r="G67" t="str">
            <v>WCO-UK</v>
          </cell>
          <cell r="H67" t="str">
            <v>C11+Lisa+SXVR-H694</v>
          </cell>
          <cell r="I67">
            <v>841</v>
          </cell>
          <cell r="J67"/>
        </row>
        <row r="68">
          <cell r="B68">
            <v>56</v>
          </cell>
          <cell r="C68">
            <v>42210</v>
          </cell>
          <cell r="D68">
            <v>0.92469907407407403</v>
          </cell>
          <cell r="E68">
            <v>2457229.4330000002</v>
          </cell>
          <cell r="F68" t="str">
            <v>JGF</v>
          </cell>
          <cell r="G68" t="str">
            <v>SMM-SP</v>
          </cell>
          <cell r="H68" t="str">
            <v>16REMOTATIK460EX</v>
          </cell>
          <cell r="I68">
            <v>878</v>
          </cell>
          <cell r="J68"/>
        </row>
        <row r="69">
          <cell r="B69">
            <v>57</v>
          </cell>
          <cell r="C69">
            <v>42212</v>
          </cell>
          <cell r="D69">
            <v>0.96231481481481485</v>
          </cell>
          <cell r="E69">
            <v>2457231.4641999998</v>
          </cell>
          <cell r="F69" t="str">
            <v>JGF</v>
          </cell>
          <cell r="G69" t="str">
            <v>SMM-SP</v>
          </cell>
          <cell r="H69" t="str">
            <v>16REMOTATIK460EX</v>
          </cell>
          <cell r="I69">
            <v>989</v>
          </cell>
          <cell r="J69"/>
        </row>
        <row r="70">
          <cell r="B70">
            <v>58</v>
          </cell>
          <cell r="C70">
            <v>42214</v>
          </cell>
          <cell r="D70">
            <v>0.94240740740740747</v>
          </cell>
          <cell r="E70">
            <v>2457233.4487999999</v>
          </cell>
          <cell r="F70" t="str">
            <v xml:space="preserve">FMT </v>
          </cell>
          <cell r="G70" t="str">
            <v>ORS-FR</v>
          </cell>
          <cell r="H70" t="str">
            <v>SC14+eShel+Atik460ex</v>
          </cell>
          <cell r="I70">
            <v>11000</v>
          </cell>
          <cell r="J70"/>
        </row>
        <row r="71">
          <cell r="B71">
            <v>59</v>
          </cell>
          <cell r="C71">
            <v>42217</v>
          </cell>
          <cell r="D71">
            <v>0.97299768518518526</v>
          </cell>
          <cell r="E71">
            <v>2457236.4802000001</v>
          </cell>
          <cell r="F71" t="str">
            <v>JMO</v>
          </cell>
          <cell r="G71" t="str">
            <v>OLC-FR</v>
          </cell>
          <cell r="H71" t="str">
            <v>MEADE355+Lhires</v>
          </cell>
          <cell r="I71">
            <v>13000</v>
          </cell>
          <cell r="J71"/>
        </row>
        <row r="72">
          <cell r="B72">
            <v>60</v>
          </cell>
          <cell r="C72">
            <v>42218</v>
          </cell>
          <cell r="D72">
            <v>1.3622685185185184E-2</v>
          </cell>
          <cell r="E72">
            <v>2457236.5189</v>
          </cell>
          <cell r="F72" t="str">
            <v>JGF</v>
          </cell>
          <cell r="G72" t="str">
            <v>SMM-SP</v>
          </cell>
          <cell r="H72" t="str">
            <v>16REMOTATIK460EX</v>
          </cell>
          <cell r="I72">
            <v>984</v>
          </cell>
          <cell r="J72"/>
        </row>
        <row r="73">
          <cell r="B73">
            <v>61</v>
          </cell>
          <cell r="C73">
            <v>42221</v>
          </cell>
          <cell r="D73">
            <v>3.4131944444444444E-2</v>
          </cell>
          <cell r="F73" t="str">
            <v>OTH</v>
          </cell>
          <cell r="G73" t="str">
            <v>OBE-FR</v>
          </cell>
          <cell r="H73" t="str">
            <v>eShel101_ST1603</v>
          </cell>
          <cell r="I73">
            <v>11000</v>
          </cell>
          <cell r="J73"/>
        </row>
        <row r="74">
          <cell r="B74">
            <v>62</v>
          </cell>
          <cell r="C74">
            <v>42222</v>
          </cell>
          <cell r="D74">
            <v>0.92104166666666665</v>
          </cell>
          <cell r="F74" t="str">
            <v>DBO</v>
          </cell>
          <cell r="G74" t="str">
            <v>WCO-UK</v>
          </cell>
          <cell r="H74" t="str">
            <v>C11+Lisa+SXVR-H694</v>
          </cell>
          <cell r="I74">
            <v>826</v>
          </cell>
          <cell r="J74"/>
        </row>
        <row r="75">
          <cell r="B75">
            <v>63</v>
          </cell>
          <cell r="C75">
            <v>42223</v>
          </cell>
          <cell r="D75">
            <v>0.90254629629629635</v>
          </cell>
          <cell r="E75">
            <v>2457242.4133000001</v>
          </cell>
          <cell r="F75" t="str">
            <v>PSO</v>
          </cell>
          <cell r="G75" t="str">
            <v>TAT-HU</v>
          </cell>
          <cell r="H75" t="str">
            <v>25cmLH2400_23u414ex</v>
          </cell>
          <cell r="I75">
            <v>20749</v>
          </cell>
          <cell r="J75"/>
        </row>
        <row r="76">
          <cell r="B76">
            <v>64</v>
          </cell>
          <cell r="C76">
            <v>42225</v>
          </cell>
          <cell r="D76">
            <v>0.19747685185185185</v>
          </cell>
          <cell r="E76">
            <v>2457243.7026999998</v>
          </cell>
          <cell r="F76" t="str">
            <v>LES</v>
          </cell>
          <cell r="G76" t="str">
            <v>MRO-CA</v>
          </cell>
          <cell r="H76" t="str">
            <v>31cmDK+23um1800lpm+</v>
          </cell>
          <cell r="I76">
            <v>8884</v>
          </cell>
          <cell r="J76"/>
        </row>
        <row r="77">
          <cell r="B77">
            <v>65</v>
          </cell>
          <cell r="C77">
            <v>42230</v>
          </cell>
          <cell r="D77">
            <v>0.82638888888888884</v>
          </cell>
          <cell r="E77">
            <v>2457249.3335000002</v>
          </cell>
          <cell r="F77" t="str">
            <v>OGA</v>
          </cell>
          <cell r="G77" t="str">
            <v>OTO-FR</v>
          </cell>
          <cell r="H77" t="str">
            <v>C14LisaATIK460EX</v>
          </cell>
          <cell r="I77">
            <v>554</v>
          </cell>
          <cell r="J77"/>
        </row>
        <row r="78">
          <cell r="B78">
            <v>66</v>
          </cell>
          <cell r="C78">
            <v>42230</v>
          </cell>
          <cell r="D78">
            <v>0.89648148148148143</v>
          </cell>
          <cell r="E78">
            <v>2457249.4158000001</v>
          </cell>
          <cell r="F78" t="str">
            <v>GMAYBU</v>
          </cell>
          <cell r="G78" t="str">
            <v>OSM-FR</v>
          </cell>
          <cell r="H78" t="str">
            <v>C11LisaQSI583ws</v>
          </cell>
          <cell r="I78">
            <v>1005</v>
          </cell>
          <cell r="J78"/>
        </row>
        <row r="79">
          <cell r="B79">
            <v>67</v>
          </cell>
          <cell r="C79">
            <v>42231</v>
          </cell>
          <cell r="D79">
            <v>0.93248842592592596</v>
          </cell>
          <cell r="E79">
            <v>2457250.4371000002</v>
          </cell>
          <cell r="F79" t="str">
            <v>VBO</v>
          </cell>
          <cell r="G79" t="str">
            <v>OHP-FR</v>
          </cell>
          <cell r="H79" t="str">
            <v>Newton200Alpy600A</v>
          </cell>
          <cell r="I79">
            <v>624</v>
          </cell>
          <cell r="J79"/>
        </row>
        <row r="80">
          <cell r="B80">
            <v>68</v>
          </cell>
          <cell r="C80">
            <v>42231</v>
          </cell>
          <cell r="D80">
            <v>0.93699074074074085</v>
          </cell>
          <cell r="E80">
            <v>2457250.4542</v>
          </cell>
          <cell r="F80" t="str">
            <v>JMO</v>
          </cell>
          <cell r="G80" t="str">
            <v>OLC-FR</v>
          </cell>
          <cell r="H80" t="str">
            <v>MEADE355+Lhires</v>
          </cell>
          <cell r="I80">
            <v>10744</v>
          </cell>
          <cell r="J80"/>
        </row>
        <row r="81">
          <cell r="B81">
            <v>69</v>
          </cell>
          <cell r="C81">
            <v>42232</v>
          </cell>
          <cell r="D81">
            <v>0.89255787037037038</v>
          </cell>
          <cell r="E81">
            <v>2457251.3936000001</v>
          </cell>
          <cell r="F81" t="str">
            <v>AHE</v>
          </cell>
          <cell r="G81" t="str">
            <v>SMU-FR</v>
          </cell>
          <cell r="H81" t="str">
            <v>FSQ106Alpyatik4</v>
          </cell>
          <cell r="I81">
            <v>600</v>
          </cell>
          <cell r="J81"/>
        </row>
        <row r="82">
          <cell r="B82">
            <v>70</v>
          </cell>
          <cell r="C82">
            <v>42233</v>
          </cell>
          <cell r="D82">
            <v>0.98336805555555562</v>
          </cell>
          <cell r="E82">
            <v>2457252.4857999999</v>
          </cell>
          <cell r="F82" t="str">
            <v>VBO</v>
          </cell>
          <cell r="G82" t="str">
            <v>OHP-FR</v>
          </cell>
          <cell r="H82" t="str">
            <v>OrionNewton200-1000</v>
          </cell>
          <cell r="I82">
            <v>695</v>
          </cell>
          <cell r="J82"/>
        </row>
        <row r="83">
          <cell r="B83">
            <v>71</v>
          </cell>
          <cell r="C83">
            <v>42237</v>
          </cell>
          <cell r="D83">
            <v>0.89560185185185182</v>
          </cell>
          <cell r="E83">
            <v>2457256.4029000001</v>
          </cell>
          <cell r="F83" t="str">
            <v xml:space="preserve">FMT </v>
          </cell>
          <cell r="G83" t="str">
            <v>ORS-FR</v>
          </cell>
          <cell r="H83" t="str">
            <v>SC14+eShel+Atik460ex</v>
          </cell>
          <cell r="I83">
            <v>11000</v>
          </cell>
          <cell r="J83"/>
        </row>
        <row r="84">
          <cell r="B84">
            <v>72</v>
          </cell>
          <cell r="C84">
            <v>42237</v>
          </cell>
          <cell r="D84">
            <v>0.96906250000000005</v>
          </cell>
          <cell r="E84">
            <v>2457256.4753</v>
          </cell>
          <cell r="F84" t="str">
            <v>LFR</v>
          </cell>
          <cell r="G84" t="str">
            <v>BAL-IT</v>
          </cell>
          <cell r="H84" t="str">
            <v>LX200-8+Alpy600+SXV</v>
          </cell>
          <cell r="I84">
            <v>511</v>
          </cell>
          <cell r="J84"/>
        </row>
        <row r="85">
          <cell r="B85">
            <v>73</v>
          </cell>
          <cell r="C85">
            <v>42239</v>
          </cell>
          <cell r="D85">
            <v>0.23074074074074072</v>
          </cell>
          <cell r="E85">
            <v>2457257.7396999998</v>
          </cell>
          <cell r="F85" t="str">
            <v>LES</v>
          </cell>
          <cell r="G85" t="str">
            <v>MRO-CA</v>
          </cell>
          <cell r="H85" t="str">
            <v>31cmDK+23um1800lpm+</v>
          </cell>
          <cell r="I85">
            <v>6415</v>
          </cell>
          <cell r="J85"/>
        </row>
        <row r="86">
          <cell r="B86">
            <v>74</v>
          </cell>
          <cell r="C86">
            <v>42239</v>
          </cell>
          <cell r="D86">
            <v>0.81754629629629638</v>
          </cell>
          <cell r="E86">
            <v>2457258.3250000002</v>
          </cell>
          <cell r="F86" t="str">
            <v>PSO</v>
          </cell>
          <cell r="G86" t="str">
            <v>TAT-HU</v>
          </cell>
          <cell r="H86" t="str">
            <v>25cmLH2400_23u414ex</v>
          </cell>
          <cell r="I86">
            <v>28209</v>
          </cell>
          <cell r="J86"/>
        </row>
        <row r="87">
          <cell r="B87">
            <v>75</v>
          </cell>
          <cell r="C87">
            <v>42243</v>
          </cell>
          <cell r="D87">
            <v>0.59107638888888892</v>
          </cell>
          <cell r="E87">
            <v>2457262.1118999999</v>
          </cell>
          <cell r="F87" t="str">
            <v xml:space="preserve">DLI </v>
          </cell>
          <cell r="G87" t="str">
            <v>JAD-CN</v>
          </cell>
          <cell r="H87" t="str">
            <v>C11Lhires3-2400_2x</v>
          </cell>
          <cell r="I87">
            <v>18751</v>
          </cell>
          <cell r="J87"/>
        </row>
        <row r="88">
          <cell r="B88">
            <v>76</v>
          </cell>
          <cell r="C88">
            <v>42244</v>
          </cell>
          <cell r="D88">
            <v>0.9269560185185185</v>
          </cell>
          <cell r="E88">
            <v>2457263.4374000002</v>
          </cell>
          <cell r="F88" t="str">
            <v xml:space="preserve">FMT </v>
          </cell>
          <cell r="G88" t="str">
            <v>ORS-FR</v>
          </cell>
          <cell r="H88" t="str">
            <v>SC14+eShel+Atik460ex</v>
          </cell>
          <cell r="I88">
            <v>11000</v>
          </cell>
          <cell r="J88"/>
        </row>
        <row r="89">
          <cell r="B89">
            <v>77</v>
          </cell>
          <cell r="C89">
            <v>42244</v>
          </cell>
          <cell r="D89">
            <v>0.9477199074074073</v>
          </cell>
          <cell r="E89">
            <v>2457263.4490999999</v>
          </cell>
          <cell r="F89" t="str">
            <v>PDL</v>
          </cell>
          <cell r="G89" t="str">
            <v>ACA-FR</v>
          </cell>
          <cell r="H89" t="str">
            <v>T400_Alpy600_Atik31</v>
          </cell>
          <cell r="I89">
            <v>489</v>
          </cell>
          <cell r="J89"/>
        </row>
        <row r="90">
          <cell r="B90">
            <v>78</v>
          </cell>
          <cell r="C90">
            <v>42246</v>
          </cell>
          <cell r="D90">
            <v>5.7719907407407407E-2</v>
          </cell>
          <cell r="E90">
            <v>2457264.5843000002</v>
          </cell>
          <cell r="F90" t="str">
            <v>PSO</v>
          </cell>
          <cell r="G90" t="str">
            <v>TAT-HU</v>
          </cell>
          <cell r="H90" t="str">
            <v>25cmLH2400_23u414ex</v>
          </cell>
          <cell r="I90">
            <v>26789</v>
          </cell>
          <cell r="J90"/>
        </row>
        <row r="91">
          <cell r="B91">
            <v>79</v>
          </cell>
          <cell r="C91">
            <v>42246</v>
          </cell>
          <cell r="D91">
            <v>0.94409722222222225</v>
          </cell>
          <cell r="E91">
            <v>2457265.4467000002</v>
          </cell>
          <cell r="F91" t="str">
            <v>CHK</v>
          </cell>
          <cell r="G91" t="str">
            <v>OAO-FR</v>
          </cell>
          <cell r="H91" t="str">
            <v>C14Alpy600ATIK31</v>
          </cell>
          <cell r="I91">
            <v>600</v>
          </cell>
          <cell r="J91"/>
        </row>
        <row r="92">
          <cell r="B92">
            <v>80</v>
          </cell>
          <cell r="C92">
            <v>42252</v>
          </cell>
          <cell r="D92">
            <v>0.99542824074074077</v>
          </cell>
          <cell r="E92">
            <v>2457271.5079000001</v>
          </cell>
          <cell r="F92" t="str">
            <v>GMAYBU</v>
          </cell>
          <cell r="G92" t="str">
            <v>OSM-FR</v>
          </cell>
          <cell r="H92" t="str">
            <v>C11LisaQSI583ws</v>
          </cell>
          <cell r="I92">
            <v>1037</v>
          </cell>
          <cell r="J92"/>
        </row>
        <row r="93">
          <cell r="B93">
            <v>81</v>
          </cell>
          <cell r="C93">
            <v>42253</v>
          </cell>
          <cell r="D93">
            <v>0.88337962962962957</v>
          </cell>
          <cell r="E93">
            <v>2457272.3873000001</v>
          </cell>
          <cell r="F93" t="str">
            <v xml:space="preserve">FMT </v>
          </cell>
          <cell r="G93" t="str">
            <v>ORS-FR</v>
          </cell>
          <cell r="H93" t="str">
            <v>SC14+eShel+Atik460ex</v>
          </cell>
          <cell r="I93">
            <v>11000</v>
          </cell>
          <cell r="J93"/>
        </row>
        <row r="94">
          <cell r="B94">
            <v>82</v>
          </cell>
          <cell r="C94">
            <v>42254</v>
          </cell>
          <cell r="D94">
            <v>7.0995370370370361E-2</v>
          </cell>
          <cell r="E94">
            <v>2457272.5758000002</v>
          </cell>
          <cell r="F94" t="str">
            <v>JMO</v>
          </cell>
          <cell r="G94" t="str">
            <v>OLC-FR</v>
          </cell>
          <cell r="H94" t="str">
            <v>MEADE355+Alpy600+</v>
          </cell>
          <cell r="I94">
            <v>643</v>
          </cell>
          <cell r="J94"/>
        </row>
        <row r="95">
          <cell r="B95">
            <v>83</v>
          </cell>
          <cell r="C95">
            <v>42256</v>
          </cell>
          <cell r="D95">
            <v>6.5173611111111113E-2</v>
          </cell>
          <cell r="E95">
            <v>2457274.5756000001</v>
          </cell>
          <cell r="F95" t="str">
            <v>JPM</v>
          </cell>
          <cell r="G95" t="str">
            <v>AMP-FR</v>
          </cell>
          <cell r="H95" t="str">
            <v>MakINTES150(F/D=7)+</v>
          </cell>
          <cell r="I95">
            <v>650</v>
          </cell>
          <cell r="J95"/>
        </row>
        <row r="96">
          <cell r="B96">
            <v>84</v>
          </cell>
          <cell r="C96">
            <v>42257</v>
          </cell>
          <cell r="D96">
            <v>0.85146990740740736</v>
          </cell>
          <cell r="E96">
            <v>2457276.3555999999</v>
          </cell>
          <cell r="F96" t="str">
            <v xml:space="preserve">FMT </v>
          </cell>
          <cell r="G96" t="str">
            <v>ORS-FR</v>
          </cell>
          <cell r="H96" t="str">
            <v>SC14+eShel+Atik460ex</v>
          </cell>
          <cell r="I96">
            <v>11000</v>
          </cell>
          <cell r="J96"/>
        </row>
        <row r="97">
          <cell r="B97">
            <v>85</v>
          </cell>
          <cell r="C97">
            <v>42258</v>
          </cell>
          <cell r="D97">
            <v>0.79825231481481485</v>
          </cell>
          <cell r="E97">
            <v>2457277.3017000002</v>
          </cell>
          <cell r="F97" t="str">
            <v>FRA</v>
          </cell>
          <cell r="G97" t="str">
            <v>BAL-IT</v>
          </cell>
          <cell r="H97" t="str">
            <v>SC8+Alpy600</v>
          </cell>
          <cell r="I97">
            <v>527</v>
          </cell>
          <cell r="J97"/>
        </row>
        <row r="98">
          <cell r="B98">
            <v>86</v>
          </cell>
          <cell r="C98">
            <v>42262</v>
          </cell>
          <cell r="D98">
            <v>0.15782407407407409</v>
          </cell>
          <cell r="E98">
            <v>2457280.6647000001</v>
          </cell>
          <cell r="F98" t="str">
            <v>LES</v>
          </cell>
          <cell r="G98" t="str">
            <v>MRO-CA</v>
          </cell>
          <cell r="H98" t="str">
            <v>31cmDK+23um1800lpm+</v>
          </cell>
          <cell r="I98">
            <v>9000</v>
          </cell>
          <cell r="J98"/>
        </row>
        <row r="99">
          <cell r="B99">
            <v>87</v>
          </cell>
          <cell r="C99">
            <v>42266</v>
          </cell>
          <cell r="D99">
            <v>0.87471064814814825</v>
          </cell>
          <cell r="E99">
            <v>2457285.3786999998</v>
          </cell>
          <cell r="F99" t="str">
            <v xml:space="preserve">FMT </v>
          </cell>
          <cell r="G99" t="str">
            <v>ORS-FR</v>
          </cell>
          <cell r="H99" t="str">
            <v>SC14+eShel+Atik460ex</v>
          </cell>
          <cell r="I99">
            <v>11000</v>
          </cell>
          <cell r="J99"/>
        </row>
        <row r="100">
          <cell r="B100">
            <v>88</v>
          </cell>
          <cell r="C100">
            <v>42267</v>
          </cell>
          <cell r="D100">
            <v>0.95109953703703709</v>
          </cell>
          <cell r="E100">
            <v>2457286.4586</v>
          </cell>
          <cell r="F100" t="str">
            <v>PSO</v>
          </cell>
          <cell r="G100" t="str">
            <v>TAT-HU</v>
          </cell>
          <cell r="H100" t="str">
            <v>25cmLH2400_23u414ex</v>
          </cell>
          <cell r="I100">
            <v>24228</v>
          </cell>
          <cell r="J100"/>
        </row>
        <row r="101">
          <cell r="B101">
            <v>89</v>
          </cell>
          <cell r="C101">
            <v>42272</v>
          </cell>
          <cell r="D101">
            <v>0.81008101851851855</v>
          </cell>
          <cell r="E101">
            <v>2457291.3132000002</v>
          </cell>
          <cell r="F101" t="str">
            <v>DBO</v>
          </cell>
          <cell r="G101" t="str">
            <v>WCO-UK</v>
          </cell>
          <cell r="H101" t="str">
            <v>C11+Lisa+SXVR-H694</v>
          </cell>
          <cell r="I101">
            <v>854</v>
          </cell>
          <cell r="J101"/>
        </row>
        <row r="102">
          <cell r="B102">
            <v>90</v>
          </cell>
          <cell r="C102">
            <v>42272</v>
          </cell>
          <cell r="D102">
            <v>0.83725694444444443</v>
          </cell>
          <cell r="E102">
            <v>2457291.3398000002</v>
          </cell>
          <cell r="F102" t="str">
            <v xml:space="preserve">FMT </v>
          </cell>
          <cell r="G102" t="str">
            <v>ORS-FR</v>
          </cell>
          <cell r="H102" t="str">
            <v>SC14+eShel+Atik460ex</v>
          </cell>
          <cell r="I102">
            <v>11000</v>
          </cell>
          <cell r="J102"/>
        </row>
        <row r="103">
          <cell r="B103">
            <v>91</v>
          </cell>
          <cell r="C103">
            <v>42273</v>
          </cell>
          <cell r="D103">
            <v>0.94998842592592592</v>
          </cell>
          <cell r="E103">
            <v>2457292.4578999998</v>
          </cell>
          <cell r="F103" t="str">
            <v>JMO</v>
          </cell>
          <cell r="G103" t="str">
            <v>OLC-FR</v>
          </cell>
          <cell r="H103" t="str">
            <v>MEADE355+Alpy600+</v>
          </cell>
          <cell r="I103">
            <v>637</v>
          </cell>
          <cell r="J103"/>
        </row>
        <row r="104">
          <cell r="B104">
            <v>92</v>
          </cell>
          <cell r="C104">
            <v>42278</v>
          </cell>
          <cell r="D104">
            <v>0.82540509259259265</v>
          </cell>
          <cell r="E104">
            <v>2457297.335</v>
          </cell>
          <cell r="F104" t="str">
            <v xml:space="preserve">FMT </v>
          </cell>
          <cell r="G104" t="str">
            <v>ORS-FR</v>
          </cell>
          <cell r="H104" t="str">
            <v>SC14+eShel+Atik460ex</v>
          </cell>
          <cell r="I104">
            <v>11000</v>
          </cell>
          <cell r="J104"/>
        </row>
        <row r="105">
          <cell r="B105">
            <v>93</v>
          </cell>
          <cell r="C105">
            <v>42278</v>
          </cell>
          <cell r="D105">
            <v>0.82555555555555549</v>
          </cell>
          <cell r="E105">
            <v>2457297.3273</v>
          </cell>
          <cell r="F105" t="str">
            <v>CHK</v>
          </cell>
          <cell r="G105" t="str">
            <v>OAF-FR</v>
          </cell>
          <cell r="H105" t="str">
            <v>CDK17+Alpy600+ATIK</v>
          </cell>
          <cell r="I105">
            <v>600</v>
          </cell>
          <cell r="J105"/>
        </row>
        <row r="106">
          <cell r="B106">
            <v>94</v>
          </cell>
          <cell r="C106">
            <v>42278</v>
          </cell>
          <cell r="D106">
            <v>0.9631249999999999</v>
          </cell>
          <cell r="E106">
            <v>2457297.4671999998</v>
          </cell>
          <cell r="F106" t="str">
            <v>PSO</v>
          </cell>
          <cell r="G106" t="str">
            <v>TAT-HU</v>
          </cell>
          <cell r="H106" t="str">
            <v>T10+Lhires150+Atik414esm</v>
          </cell>
          <cell r="I106">
            <v>524</v>
          </cell>
          <cell r="J106"/>
        </row>
        <row r="107">
          <cell r="B107">
            <v>95</v>
          </cell>
          <cell r="C107">
            <v>42285</v>
          </cell>
          <cell r="D107">
            <v>0.84938657407407403</v>
          </cell>
          <cell r="E107">
            <v>2457304.3550999998</v>
          </cell>
          <cell r="F107" t="str">
            <v xml:space="preserve">FMT </v>
          </cell>
          <cell r="G107" t="str">
            <v>ORS-FR</v>
          </cell>
          <cell r="H107" t="str">
            <v>SC14+eShel+Atik460ex</v>
          </cell>
          <cell r="I107">
            <v>11000</v>
          </cell>
          <cell r="J107"/>
        </row>
        <row r="108">
          <cell r="B108">
            <v>96</v>
          </cell>
          <cell r="C108">
            <v>42288</v>
          </cell>
          <cell r="D108">
            <v>0.77892361111111119</v>
          </cell>
          <cell r="E108">
            <v>2457307.2840999998</v>
          </cell>
          <cell r="F108" t="str">
            <v xml:space="preserve">FMT </v>
          </cell>
          <cell r="G108" t="str">
            <v>ORS-FR</v>
          </cell>
          <cell r="H108" t="str">
            <v>SC14+eShel+Atik460ex</v>
          </cell>
          <cell r="I108">
            <v>11000</v>
          </cell>
          <cell r="J108"/>
        </row>
        <row r="109">
          <cell r="B109">
            <v>97</v>
          </cell>
          <cell r="C109">
            <v>42288</v>
          </cell>
          <cell r="D109">
            <v>0.88356481481481486</v>
          </cell>
          <cell r="E109">
            <v>2457307.3911000001</v>
          </cell>
          <cell r="F109" t="str">
            <v>SOL</v>
          </cell>
          <cell r="G109" t="str">
            <v>AQL-IT</v>
          </cell>
          <cell r="H109" t="str">
            <v>Slit_specC8ST-830</v>
          </cell>
          <cell r="I109">
            <v>500</v>
          </cell>
          <cell r="J109"/>
        </row>
        <row r="110">
          <cell r="B110">
            <v>98</v>
          </cell>
          <cell r="C110">
            <v>42289</v>
          </cell>
          <cell r="D110">
            <v>8.564814814814815E-4</v>
          </cell>
          <cell r="E110">
            <v>2457307.5175000001</v>
          </cell>
          <cell r="F110" t="str">
            <v>LES</v>
          </cell>
          <cell r="G110" t="str">
            <v>MRO-CA</v>
          </cell>
          <cell r="H110" t="str">
            <v>31cmDK+23um1800lpm+</v>
          </cell>
          <cell r="I110">
            <v>6500</v>
          </cell>
          <cell r="J110"/>
        </row>
        <row r="111">
          <cell r="B111">
            <v>99</v>
          </cell>
          <cell r="C111">
            <v>42289</v>
          </cell>
          <cell r="D111">
            <v>9.2708333333333341E-3</v>
          </cell>
          <cell r="E111">
            <v>2457307.5303000002</v>
          </cell>
          <cell r="F111" t="str">
            <v>GKA</v>
          </cell>
          <cell r="G111" t="str">
            <v>MAN-US</v>
          </cell>
          <cell r="H111" t="str">
            <v>SC12+Lhires2400</v>
          </cell>
          <cell r="I111">
            <v>15000</v>
          </cell>
          <cell r="J111"/>
        </row>
        <row r="112">
          <cell r="B112">
            <v>100</v>
          </cell>
          <cell r="C112">
            <v>42289</v>
          </cell>
          <cell r="D112">
            <v>3.3275462962962958E-2</v>
          </cell>
          <cell r="E112">
            <v>2457307.5438000001</v>
          </cell>
          <cell r="F112" t="str">
            <v>GKA</v>
          </cell>
          <cell r="G112" t="str">
            <v>MAN-US</v>
          </cell>
          <cell r="H112" t="str">
            <v>SC10+Alpy600</v>
          </cell>
          <cell r="I112">
            <v>600</v>
          </cell>
          <cell r="J112"/>
        </row>
        <row r="113">
          <cell r="B113">
            <v>101</v>
          </cell>
          <cell r="C113">
            <v>42289</v>
          </cell>
          <cell r="D113">
            <v>6.9548611111111117E-2</v>
          </cell>
          <cell r="E113">
            <v>2457307.5841000001</v>
          </cell>
          <cell r="F113" t="str">
            <v>LES</v>
          </cell>
          <cell r="G113" t="str">
            <v>MRO-CA</v>
          </cell>
          <cell r="H113" t="str">
            <v>31cmDK+23um1800lpm+</v>
          </cell>
          <cell r="I113">
            <v>7600</v>
          </cell>
          <cell r="J113"/>
        </row>
        <row r="114">
          <cell r="B114">
            <v>102</v>
          </cell>
          <cell r="C114">
            <v>42289</v>
          </cell>
          <cell r="D114">
            <v>0.13083333333333333</v>
          </cell>
          <cell r="E114">
            <v>2457307.6376</v>
          </cell>
          <cell r="F114" t="str">
            <v>LES</v>
          </cell>
          <cell r="G114" t="str">
            <v>MRO-CA</v>
          </cell>
          <cell r="H114" t="str">
            <v>31cmDK+23um1800lpm+</v>
          </cell>
          <cell r="I114">
            <v>9000</v>
          </cell>
          <cell r="J114"/>
        </row>
        <row r="115">
          <cell r="B115">
            <v>103</v>
          </cell>
          <cell r="C115">
            <v>42290</v>
          </cell>
          <cell r="D115">
            <v>0.77684027777777775</v>
          </cell>
          <cell r="E115">
            <v>2457309.2837999999</v>
          </cell>
          <cell r="F115" t="str">
            <v xml:space="preserve">FMT </v>
          </cell>
          <cell r="G115" t="str">
            <v>ORS-FR</v>
          </cell>
          <cell r="H115" t="str">
            <v>SC14+eShel+Atik460ex</v>
          </cell>
          <cell r="I115">
            <v>11000</v>
          </cell>
          <cell r="J115"/>
        </row>
        <row r="116">
          <cell r="B116">
            <v>104</v>
          </cell>
          <cell r="C116">
            <v>42290</v>
          </cell>
          <cell r="D116">
            <v>0.93112268518518515</v>
          </cell>
          <cell r="E116">
            <v>2457309.4334999998</v>
          </cell>
          <cell r="F116" t="str">
            <v>DBO</v>
          </cell>
          <cell r="G116" t="str">
            <v>WCO-UK</v>
          </cell>
          <cell r="H116" t="str">
            <v>C11+Lisa+SXVR-H694</v>
          </cell>
          <cell r="I116">
            <v>838</v>
          </cell>
          <cell r="J116"/>
        </row>
        <row r="117">
          <cell r="B117">
            <v>105</v>
          </cell>
          <cell r="C117">
            <v>42291</v>
          </cell>
          <cell r="D117">
            <v>2.4062500000000001E-2</v>
          </cell>
          <cell r="E117">
            <v>2457309.5328000002</v>
          </cell>
          <cell r="F117" t="str">
            <v>GKA</v>
          </cell>
          <cell r="G117" t="str">
            <v>MAN-US</v>
          </cell>
          <cell r="H117" t="str">
            <v>SC10+Alpy600</v>
          </cell>
          <cell r="I117">
            <v>600</v>
          </cell>
          <cell r="J117"/>
        </row>
        <row r="118">
          <cell r="B118">
            <v>106</v>
          </cell>
          <cell r="C118">
            <v>42291</v>
          </cell>
          <cell r="D118">
            <v>2.8148148148148148E-2</v>
          </cell>
          <cell r="E118">
            <v>2457309.5457000001</v>
          </cell>
          <cell r="F118" t="str">
            <v>GKA</v>
          </cell>
          <cell r="G118" t="str">
            <v>MAN-US</v>
          </cell>
          <cell r="H118" t="str">
            <v>SC12+Lhires2400</v>
          </cell>
          <cell r="I118">
            <v>15000</v>
          </cell>
          <cell r="J118"/>
        </row>
        <row r="119">
          <cell r="B119">
            <v>107</v>
          </cell>
          <cell r="C119">
            <v>42291</v>
          </cell>
          <cell r="D119">
            <v>0.86790509259259263</v>
          </cell>
          <cell r="E119">
            <v>2457310.3695999999</v>
          </cell>
          <cell r="F119" t="str">
            <v>AJW</v>
          </cell>
          <cell r="G119" t="str">
            <v>YAT-UK</v>
          </cell>
          <cell r="H119" t="str">
            <v>GSO_RC250Lhires3_2</v>
          </cell>
          <cell r="I119">
            <v>19796</v>
          </cell>
          <cell r="J119"/>
        </row>
        <row r="120">
          <cell r="B120">
            <v>108</v>
          </cell>
          <cell r="C120">
            <v>42292</v>
          </cell>
          <cell r="D120">
            <v>1.736111111111111E-3</v>
          </cell>
          <cell r="E120">
            <v>2457310.5192999998</v>
          </cell>
          <cell r="F120" t="str">
            <v>GKA</v>
          </cell>
          <cell r="G120" t="str">
            <v>MAN-US</v>
          </cell>
          <cell r="H120" t="str">
            <v>SC12+Lhires2400</v>
          </cell>
          <cell r="I120">
            <v>15000</v>
          </cell>
          <cell r="J120"/>
        </row>
        <row r="121">
          <cell r="B121">
            <v>109</v>
          </cell>
          <cell r="C121">
            <v>42292</v>
          </cell>
          <cell r="D121">
            <v>1.4988425925925926E-2</v>
          </cell>
          <cell r="E121">
            <v>2457310.5161000001</v>
          </cell>
          <cell r="F121" t="str">
            <v>GKA</v>
          </cell>
          <cell r="G121" t="str">
            <v>MAN-US</v>
          </cell>
          <cell r="H121" t="str">
            <v>SC10+Alpy600</v>
          </cell>
          <cell r="I121">
            <v>600</v>
          </cell>
          <cell r="J121"/>
        </row>
        <row r="122">
          <cell r="B122">
            <v>110</v>
          </cell>
          <cell r="C122">
            <v>42293</v>
          </cell>
          <cell r="D122">
            <v>0.98979166666666663</v>
          </cell>
          <cell r="E122">
            <v>2457312.5073000002</v>
          </cell>
          <cell r="F122" t="str">
            <v>GKA</v>
          </cell>
          <cell r="G122" t="str">
            <v>MAN-US</v>
          </cell>
          <cell r="H122" t="str">
            <v>SC12+Lhires2400</v>
          </cell>
          <cell r="I122">
            <v>15000</v>
          </cell>
          <cell r="J122"/>
        </row>
        <row r="123">
          <cell r="B123">
            <v>111</v>
          </cell>
          <cell r="C123">
            <v>42294</v>
          </cell>
          <cell r="D123">
            <v>0.10125000000000001</v>
          </cell>
          <cell r="E123">
            <v>2457312.6116999998</v>
          </cell>
          <cell r="F123" t="str">
            <v>GKA</v>
          </cell>
          <cell r="G123" t="str">
            <v>MAN-US</v>
          </cell>
          <cell r="H123" t="str">
            <v>SC10+Alpy600</v>
          </cell>
          <cell r="I123">
            <v>600</v>
          </cell>
          <cell r="J123"/>
        </row>
        <row r="124">
          <cell r="B124">
            <v>112</v>
          </cell>
          <cell r="C124">
            <v>42294</v>
          </cell>
          <cell r="D124">
            <v>0.8731944444444445</v>
          </cell>
          <cell r="E124">
            <v>2457313.3886000002</v>
          </cell>
          <cell r="F124" t="str">
            <v>BER</v>
          </cell>
          <cell r="G124" t="str">
            <v>BVO-IT</v>
          </cell>
          <cell r="H124" t="str">
            <v>Lhires3600C9SXVR</v>
          </cell>
          <cell r="I124">
            <v>3000</v>
          </cell>
          <cell r="J124"/>
        </row>
        <row r="125">
          <cell r="B125">
            <v>113</v>
          </cell>
          <cell r="C125">
            <v>42294</v>
          </cell>
          <cell r="D125">
            <v>0.99770833333333331</v>
          </cell>
          <cell r="E125">
            <v>2457313.5082</v>
          </cell>
          <cell r="F125" t="str">
            <v>GKA</v>
          </cell>
          <cell r="G125" t="str">
            <v>MAN-US</v>
          </cell>
          <cell r="H125" t="str">
            <v>SC12+Lhires2400</v>
          </cell>
          <cell r="I125">
            <v>15000</v>
          </cell>
          <cell r="J125"/>
        </row>
        <row r="126">
          <cell r="B126">
            <v>114</v>
          </cell>
          <cell r="C126">
            <v>42295</v>
          </cell>
          <cell r="D126">
            <v>8.611111111111111E-3</v>
          </cell>
          <cell r="E126">
            <v>2457313.5191000002</v>
          </cell>
          <cell r="F126" t="str">
            <v>GKA</v>
          </cell>
          <cell r="G126" t="str">
            <v>MAN-US</v>
          </cell>
          <cell r="H126" t="str">
            <v>SC10+Alpy600</v>
          </cell>
          <cell r="I126">
            <v>600</v>
          </cell>
          <cell r="J126"/>
        </row>
        <row r="127">
          <cell r="B127">
            <v>115</v>
          </cell>
          <cell r="C127">
            <v>42295</v>
          </cell>
          <cell r="D127">
            <v>0.99056712962962967</v>
          </cell>
          <cell r="E127">
            <v>2457314.5046000001</v>
          </cell>
          <cell r="F127" t="str">
            <v>GKA</v>
          </cell>
          <cell r="G127" t="str">
            <v>MAN-US</v>
          </cell>
          <cell r="H127" t="str">
            <v>SC12+Lhires2400</v>
          </cell>
          <cell r="I127">
            <v>15000</v>
          </cell>
          <cell r="J127"/>
        </row>
        <row r="128">
          <cell r="B128">
            <v>116</v>
          </cell>
          <cell r="C128">
            <v>42296</v>
          </cell>
          <cell r="D128">
            <v>7.0023148148148154E-3</v>
          </cell>
          <cell r="E128">
            <v>2457314.5076000001</v>
          </cell>
          <cell r="F128" t="str">
            <v>GKA</v>
          </cell>
          <cell r="G128" t="str">
            <v>MAN-US</v>
          </cell>
          <cell r="H128" t="str">
            <v>SC10+Alpy600</v>
          </cell>
          <cell r="I128">
            <v>600</v>
          </cell>
          <cell r="J128"/>
        </row>
        <row r="129">
          <cell r="B129">
            <v>117</v>
          </cell>
          <cell r="C129">
            <v>42297</v>
          </cell>
          <cell r="D129">
            <v>0.83008101851851857</v>
          </cell>
          <cell r="E129">
            <v>2457316.3339999998</v>
          </cell>
          <cell r="F129" t="str">
            <v xml:space="preserve">FMT </v>
          </cell>
          <cell r="G129" t="str">
            <v>ORS-FR</v>
          </cell>
          <cell r="H129" t="str">
            <v>SC14+eShel+Atik460ex</v>
          </cell>
          <cell r="I129">
            <v>11000</v>
          </cell>
          <cell r="J129"/>
        </row>
        <row r="130">
          <cell r="B130">
            <v>118</v>
          </cell>
          <cell r="C130">
            <v>42298</v>
          </cell>
          <cell r="D130">
            <v>0.9916666666666667</v>
          </cell>
          <cell r="E130">
            <v>2457317.5003999998</v>
          </cell>
          <cell r="F130" t="str">
            <v>GKA</v>
          </cell>
          <cell r="G130" t="str">
            <v>MAN-US</v>
          </cell>
          <cell r="H130" t="str">
            <v>SC10+Alpy600</v>
          </cell>
          <cell r="I130">
            <v>600</v>
          </cell>
          <cell r="J130"/>
        </row>
        <row r="131">
          <cell r="B131">
            <v>119</v>
          </cell>
          <cell r="C131">
            <v>42299</v>
          </cell>
          <cell r="D131">
            <v>0.1539351851851852</v>
          </cell>
          <cell r="E131">
            <v>2457317.6554</v>
          </cell>
          <cell r="F131" t="str">
            <v>JPE</v>
          </cell>
          <cell r="G131" t="str">
            <v>DHO-US</v>
          </cell>
          <cell r="H131" t="str">
            <v>CDK24(0.61m)Lisa</v>
          </cell>
          <cell r="I131">
            <v>830</v>
          </cell>
          <cell r="J131"/>
        </row>
        <row r="132">
          <cell r="B132">
            <v>120</v>
          </cell>
          <cell r="C132">
            <v>42299</v>
          </cell>
          <cell r="D132">
            <v>0.90537037037037038</v>
          </cell>
          <cell r="E132">
            <v>2457318.4106000001</v>
          </cell>
          <cell r="F132" t="str">
            <v>PSO</v>
          </cell>
          <cell r="G132" t="str">
            <v>TAT-HU</v>
          </cell>
          <cell r="H132" t="str">
            <v>25cmLH2400_23u414ex</v>
          </cell>
          <cell r="I132">
            <v>19551</v>
          </cell>
          <cell r="J132"/>
        </row>
        <row r="133">
          <cell r="B133">
            <v>121</v>
          </cell>
          <cell r="C133">
            <v>42300</v>
          </cell>
          <cell r="D133">
            <v>0.85214120370370372</v>
          </cell>
          <cell r="E133">
            <v>2457319.3552999999</v>
          </cell>
          <cell r="F133" t="str">
            <v>PSO</v>
          </cell>
          <cell r="G133" t="str">
            <v>TAT-HU</v>
          </cell>
          <cell r="H133" t="str">
            <v>25cmLH150_23u414esm</v>
          </cell>
          <cell r="I133">
            <v>540</v>
          </cell>
          <cell r="J133"/>
        </row>
        <row r="134">
          <cell r="B134">
            <v>122</v>
          </cell>
          <cell r="C134">
            <v>42301</v>
          </cell>
          <cell r="D134">
            <v>0.7653240740740741</v>
          </cell>
          <cell r="E134">
            <v>2457320.2733999998</v>
          </cell>
          <cell r="F134" t="str">
            <v>BER</v>
          </cell>
          <cell r="G134" t="str">
            <v>BVO-IT</v>
          </cell>
          <cell r="H134" t="str">
            <v>Lhires31200C9SXV</v>
          </cell>
          <cell r="I134">
            <v>6000</v>
          </cell>
          <cell r="J134"/>
        </row>
        <row r="135">
          <cell r="B135">
            <v>123</v>
          </cell>
          <cell r="C135">
            <v>42302</v>
          </cell>
          <cell r="D135">
            <v>0.74686342592592592</v>
          </cell>
          <cell r="E135">
            <v>2457321.2549999999</v>
          </cell>
          <cell r="F135" t="str">
            <v xml:space="preserve">FMT </v>
          </cell>
          <cell r="G135" t="str">
            <v>ORS-FR</v>
          </cell>
          <cell r="H135" t="str">
            <v>SC14+eShel+Atik460ex</v>
          </cell>
          <cell r="I135">
            <v>11000</v>
          </cell>
          <cell r="J135"/>
        </row>
        <row r="136">
          <cell r="B136">
            <v>124</v>
          </cell>
          <cell r="C136">
            <v>42303</v>
          </cell>
          <cell r="D136">
            <v>2.9513888888888888E-3</v>
          </cell>
          <cell r="E136">
            <v>2457321.5041</v>
          </cell>
          <cell r="F136" t="str">
            <v>GKA</v>
          </cell>
          <cell r="G136" t="str">
            <v>DHO-US</v>
          </cell>
          <cell r="H136" t="str">
            <v>SC10+Alpy600</v>
          </cell>
          <cell r="I136">
            <v>600</v>
          </cell>
          <cell r="J136"/>
        </row>
        <row r="137">
          <cell r="B137">
            <v>125</v>
          </cell>
          <cell r="C137">
            <v>42303</v>
          </cell>
          <cell r="D137">
            <v>2.4236111111111111E-2</v>
          </cell>
          <cell r="E137">
            <v>2457321.5417999998</v>
          </cell>
          <cell r="F137" t="str">
            <v>GKA</v>
          </cell>
          <cell r="G137" t="str">
            <v>DHO-US</v>
          </cell>
          <cell r="H137" t="str">
            <v>SC12+Lhires2400</v>
          </cell>
          <cell r="I137">
            <v>15000</v>
          </cell>
          <cell r="J137"/>
        </row>
        <row r="138">
          <cell r="B138">
            <v>126</v>
          </cell>
          <cell r="C138">
            <v>42303</v>
          </cell>
          <cell r="D138">
            <v>0.84653935185185192</v>
          </cell>
          <cell r="E138">
            <v>2457322.3465</v>
          </cell>
          <cell r="F138" t="str">
            <v>CHK</v>
          </cell>
          <cell r="G138" t="str">
            <v>OAF-FR</v>
          </cell>
          <cell r="H138" t="str">
            <v>CDK17+Alpy600+314L+</v>
          </cell>
          <cell r="I138">
            <v>600</v>
          </cell>
          <cell r="J138"/>
        </row>
        <row r="139">
          <cell r="B139">
            <v>127</v>
          </cell>
          <cell r="C139">
            <v>42307</v>
          </cell>
          <cell r="D139">
            <v>0.98359953703703706</v>
          </cell>
          <cell r="E139">
            <v>2457326.4884000001</v>
          </cell>
          <cell r="F139" t="str">
            <v>PSO</v>
          </cell>
          <cell r="G139" t="str">
            <v>TAT-HU</v>
          </cell>
          <cell r="H139" t="str">
            <v>T10+Lhires600+Atik414esm</v>
          </cell>
          <cell r="I139">
            <v>2157</v>
          </cell>
          <cell r="J139"/>
        </row>
        <row r="140">
          <cell r="B140">
            <v>128</v>
          </cell>
          <cell r="C140">
            <v>42308</v>
          </cell>
          <cell r="D140">
            <v>7.0150462962962956E-2</v>
          </cell>
          <cell r="E140">
            <v>2457326.5750000002</v>
          </cell>
          <cell r="F140" t="str">
            <v>LES</v>
          </cell>
          <cell r="G140" t="str">
            <v>MRO-CA</v>
          </cell>
          <cell r="H140" t="str">
            <v>31cmDK+23um1800lpm+</v>
          </cell>
          <cell r="I140">
            <v>9000</v>
          </cell>
          <cell r="J140"/>
        </row>
        <row r="141">
          <cell r="B141">
            <v>129</v>
          </cell>
          <cell r="C141">
            <v>42308</v>
          </cell>
          <cell r="D141">
            <v>0.87519675925925933</v>
          </cell>
          <cell r="E141">
            <v>2457327.3868</v>
          </cell>
          <cell r="F141" t="str">
            <v>PSO</v>
          </cell>
          <cell r="G141" t="str">
            <v>TAT-HU</v>
          </cell>
          <cell r="H141" t="str">
            <v>25cmLH600_35u414esm</v>
          </cell>
          <cell r="I141">
            <v>2252</v>
          </cell>
          <cell r="J141"/>
        </row>
        <row r="142">
          <cell r="B142">
            <v>130</v>
          </cell>
          <cell r="C142">
            <v>42308</v>
          </cell>
          <cell r="D142">
            <v>0.90255787037037039</v>
          </cell>
          <cell r="E142">
            <v>2457327.4101</v>
          </cell>
          <cell r="F142" t="str">
            <v>PSO</v>
          </cell>
          <cell r="G142" t="str">
            <v>TAT-HU</v>
          </cell>
          <cell r="H142" t="str">
            <v>25cmLH600_35u414esm</v>
          </cell>
          <cell r="I142">
            <v>2286</v>
          </cell>
          <cell r="J142"/>
        </row>
        <row r="143">
          <cell r="B143">
            <v>131</v>
          </cell>
          <cell r="C143">
            <v>42309</v>
          </cell>
          <cell r="D143">
            <v>0.77121527777777776</v>
          </cell>
          <cell r="E143">
            <v>2457328.2746000001</v>
          </cell>
          <cell r="F143" t="str">
            <v xml:space="preserve">FMT </v>
          </cell>
          <cell r="G143" t="str">
            <v>ORS-FR</v>
          </cell>
          <cell r="H143" t="str">
            <v>SC14+eShel+Atik460ex</v>
          </cell>
          <cell r="I143">
            <v>11000</v>
          </cell>
          <cell r="J143"/>
        </row>
        <row r="144">
          <cell r="B144">
            <v>132</v>
          </cell>
          <cell r="C144">
            <v>42309</v>
          </cell>
          <cell r="D144">
            <v>0.80744212962962969</v>
          </cell>
          <cell r="E144">
            <v>2457328.3394999998</v>
          </cell>
          <cell r="F144" t="str">
            <v>OGA</v>
          </cell>
          <cell r="G144" t="str">
            <v>OTO-FR</v>
          </cell>
          <cell r="H144" t="str">
            <v>RC400+eShel_460EX</v>
          </cell>
          <cell r="I144">
            <v>11000</v>
          </cell>
          <cell r="J144"/>
        </row>
        <row r="145">
          <cell r="B145">
            <v>133</v>
          </cell>
          <cell r="C145">
            <v>42309</v>
          </cell>
          <cell r="D145">
            <v>0.83471064814814822</v>
          </cell>
          <cell r="E145">
            <v>2457328.3350999998</v>
          </cell>
          <cell r="F145" t="str">
            <v>PSO</v>
          </cell>
          <cell r="G145" t="str">
            <v>TAT-HU</v>
          </cell>
          <cell r="H145" t="str">
            <v>25cmLH600_35u414esm</v>
          </cell>
          <cell r="I145">
            <v>1850</v>
          </cell>
          <cell r="J145"/>
        </row>
        <row r="146">
          <cell r="B146">
            <v>134</v>
          </cell>
          <cell r="C146">
            <v>42316</v>
          </cell>
          <cell r="D146">
            <v>3.7453703703703704E-2</v>
          </cell>
          <cell r="E146">
            <v>2457334.5389999999</v>
          </cell>
          <cell r="F146" t="str">
            <v>GKA</v>
          </cell>
          <cell r="G146" t="str">
            <v>MAN-US</v>
          </cell>
          <cell r="H146" t="str">
            <v>SC10+Alpy600</v>
          </cell>
          <cell r="I146">
            <v>600</v>
          </cell>
          <cell r="J146"/>
        </row>
        <row r="147">
          <cell r="B147">
            <v>135</v>
          </cell>
          <cell r="C147">
            <v>42316</v>
          </cell>
          <cell r="D147">
            <v>0.83704861111111117</v>
          </cell>
          <cell r="E147">
            <v>2457335.3462</v>
          </cell>
          <cell r="F147" t="str">
            <v>PSO</v>
          </cell>
          <cell r="G147" t="str">
            <v>TAT-HU</v>
          </cell>
          <cell r="H147" t="str">
            <v>25cmLH2400_15u414ex</v>
          </cell>
          <cell r="I147">
            <v>20657</v>
          </cell>
          <cell r="J147"/>
        </row>
        <row r="148">
          <cell r="B148">
            <v>136</v>
          </cell>
          <cell r="C148">
            <v>42321</v>
          </cell>
          <cell r="D148">
            <v>0.74881944444444448</v>
          </cell>
          <cell r="E148">
            <v>2457340.2562000002</v>
          </cell>
          <cell r="F148" t="str">
            <v xml:space="preserve">FMT </v>
          </cell>
          <cell r="G148" t="str">
            <v>ORS-FR</v>
          </cell>
          <cell r="H148" t="str">
            <v>SC14+eShel+Atik460ex</v>
          </cell>
          <cell r="I148">
            <v>11000</v>
          </cell>
          <cell r="J148"/>
        </row>
        <row r="149">
          <cell r="B149">
            <v>137</v>
          </cell>
          <cell r="C149">
            <v>42329</v>
          </cell>
          <cell r="D149">
            <v>0.8090856481481481</v>
          </cell>
          <cell r="E149">
            <v>2457348.3105000001</v>
          </cell>
          <cell r="F149" t="str">
            <v>JGF</v>
          </cell>
          <cell r="G149" t="str">
            <v>SMM-SP</v>
          </cell>
          <cell r="H149" t="str">
            <v>16REMOTATIK460EX</v>
          </cell>
          <cell r="I149">
            <v>1057</v>
          </cell>
          <cell r="J149"/>
        </row>
        <row r="150">
          <cell r="B150">
            <v>138</v>
          </cell>
          <cell r="C150">
            <v>42330</v>
          </cell>
          <cell r="D150">
            <v>0.86668981481481477</v>
          </cell>
          <cell r="E150">
            <v>2457349.3772</v>
          </cell>
          <cell r="F150" t="str">
            <v>AJW</v>
          </cell>
          <cell r="G150" t="str">
            <v>YAT-UK</v>
          </cell>
          <cell r="H150" t="str">
            <v>GSO_RC250Lhires3_2</v>
          </cell>
          <cell r="I150">
            <v>19409</v>
          </cell>
          <cell r="J150"/>
        </row>
        <row r="151">
          <cell r="B151">
            <v>139</v>
          </cell>
          <cell r="C151">
            <v>42331</v>
          </cell>
          <cell r="D151">
            <v>0.87437500000000001</v>
          </cell>
          <cell r="E151">
            <v>2457350.3757000002</v>
          </cell>
          <cell r="F151" t="str">
            <v>FBO</v>
          </cell>
          <cell r="G151" t="str">
            <v>OPL-FR</v>
          </cell>
          <cell r="H151" t="str">
            <v>SC8+Lisa+ATIK314L+</v>
          </cell>
          <cell r="I151">
            <v>2200</v>
          </cell>
          <cell r="J151"/>
        </row>
        <row r="152">
          <cell r="B152">
            <v>140</v>
          </cell>
          <cell r="C152">
            <v>42331</v>
          </cell>
          <cell r="D152">
            <v>0.88195601851851846</v>
          </cell>
          <cell r="E152">
            <v>2457350.3838999998</v>
          </cell>
          <cell r="F152" t="str">
            <v>JGF</v>
          </cell>
          <cell r="G152" t="str">
            <v>SMM-SP</v>
          </cell>
          <cell r="H152" t="str">
            <v>16REMOTATIK460EX</v>
          </cell>
          <cell r="I152">
            <v>976</v>
          </cell>
          <cell r="J152"/>
        </row>
        <row r="153">
          <cell r="B153">
            <v>141</v>
          </cell>
          <cell r="C153">
            <v>42333</v>
          </cell>
          <cell r="D153">
            <v>0.8009722222222222</v>
          </cell>
          <cell r="E153">
            <v>2457352.3058000002</v>
          </cell>
          <cell r="F153" t="str">
            <v xml:space="preserve">FMT </v>
          </cell>
          <cell r="G153" t="str">
            <v>ORS-FR</v>
          </cell>
          <cell r="H153" t="str">
            <v>SC14+eShel+Atik460ex</v>
          </cell>
          <cell r="I153">
            <v>11000</v>
          </cell>
          <cell r="J153"/>
        </row>
        <row r="154">
          <cell r="B154">
            <v>142</v>
          </cell>
          <cell r="C154">
            <v>42335</v>
          </cell>
          <cell r="D154">
            <v>0.8784143518518519</v>
          </cell>
          <cell r="E154">
            <v>2457354.3793000001</v>
          </cell>
          <cell r="F154" t="str">
            <v>JGF</v>
          </cell>
          <cell r="G154" t="str">
            <v>SMM-SP</v>
          </cell>
          <cell r="H154" t="str">
            <v>16REMOTATIK460EX</v>
          </cell>
          <cell r="I154">
            <v>1025</v>
          </cell>
          <cell r="J154"/>
        </row>
        <row r="155">
          <cell r="B155">
            <v>143</v>
          </cell>
          <cell r="C155">
            <v>42337</v>
          </cell>
          <cell r="D155">
            <v>0.7483912037037036</v>
          </cell>
          <cell r="E155">
            <v>2457356.2629</v>
          </cell>
          <cell r="F155" t="str">
            <v>BER</v>
          </cell>
          <cell r="G155" t="str">
            <v>BVO-IT</v>
          </cell>
          <cell r="H155" t="str">
            <v>Lhires3C9SXVR-H69</v>
          </cell>
          <cell r="I155">
            <v>14849</v>
          </cell>
          <cell r="J155"/>
        </row>
        <row r="156">
          <cell r="B156">
            <v>144</v>
          </cell>
          <cell r="C156">
            <v>42337</v>
          </cell>
          <cell r="D156">
            <v>0.78981481481481486</v>
          </cell>
          <cell r="E156">
            <v>2457356.2914</v>
          </cell>
          <cell r="F156" t="str">
            <v>JGF</v>
          </cell>
          <cell r="G156" t="str">
            <v>SMM-SP</v>
          </cell>
          <cell r="H156" t="str">
            <v>16REMOTATIK460EX</v>
          </cell>
          <cell r="I156">
            <v>925</v>
          </cell>
          <cell r="J156"/>
        </row>
        <row r="157">
          <cell r="B157">
            <v>145</v>
          </cell>
          <cell r="C157">
            <v>42345</v>
          </cell>
          <cell r="D157">
            <v>0.80488425925925933</v>
          </cell>
          <cell r="E157">
            <v>2457364.3088000002</v>
          </cell>
          <cell r="F157" t="str">
            <v xml:space="preserve">FMT </v>
          </cell>
          <cell r="G157" t="str">
            <v>ORS-FR</v>
          </cell>
          <cell r="H157" t="str">
            <v>SC14+eShel+Atik460ex</v>
          </cell>
          <cell r="I157">
            <v>11000</v>
          </cell>
          <cell r="J157"/>
        </row>
        <row r="158">
          <cell r="B158">
            <v>146</v>
          </cell>
          <cell r="C158">
            <v>42348</v>
          </cell>
          <cell r="D158">
            <v>0.74861111111111101</v>
          </cell>
          <cell r="E158">
            <v>2457367.2522999998</v>
          </cell>
          <cell r="F158" t="str">
            <v>CHK</v>
          </cell>
          <cell r="G158" t="str">
            <v>OAF-FR</v>
          </cell>
          <cell r="H158" t="str">
            <v>CDK17+Alpy600+460EX</v>
          </cell>
          <cell r="I158">
            <v>600</v>
          </cell>
          <cell r="J158"/>
        </row>
        <row r="159">
          <cell r="B159">
            <v>147</v>
          </cell>
          <cell r="C159">
            <v>42350</v>
          </cell>
          <cell r="D159">
            <v>0.80291666666666661</v>
          </cell>
          <cell r="E159">
            <v>2457369.3099000002</v>
          </cell>
          <cell r="F159" t="str">
            <v xml:space="preserve">FMT </v>
          </cell>
          <cell r="G159" t="str">
            <v>ORS-FR</v>
          </cell>
          <cell r="H159" t="str">
            <v>SC14+eShel+Atik460ex</v>
          </cell>
          <cell r="I159">
            <v>11000</v>
          </cell>
          <cell r="J159"/>
        </row>
        <row r="160">
          <cell r="B160">
            <v>148</v>
          </cell>
          <cell r="C160">
            <v>42357</v>
          </cell>
          <cell r="D160">
            <v>0.7936805555555555</v>
          </cell>
          <cell r="E160">
            <v>2457376.2962000002</v>
          </cell>
          <cell r="F160" t="str">
            <v>JGF</v>
          </cell>
          <cell r="G160" t="str">
            <v>SMM-SP</v>
          </cell>
          <cell r="H160" t="str">
            <v>16REMOTATIK460EX</v>
          </cell>
          <cell r="I160">
            <v>827</v>
          </cell>
          <cell r="J160"/>
        </row>
        <row r="161">
          <cell r="B161">
            <v>149</v>
          </cell>
          <cell r="C161">
            <v>42361</v>
          </cell>
          <cell r="D161">
            <v>0.7353587962962963</v>
          </cell>
          <cell r="E161">
            <v>2457380.2384000001</v>
          </cell>
          <cell r="F161" t="str">
            <v xml:space="preserve">FMT </v>
          </cell>
          <cell r="G161" t="str">
            <v>ORS-FR</v>
          </cell>
          <cell r="H161" t="str">
            <v>SC14+eShel+Atik460ex</v>
          </cell>
          <cell r="I161">
            <v>11000</v>
          </cell>
          <cell r="J161"/>
        </row>
        <row r="162">
          <cell r="B162">
            <v>150</v>
          </cell>
          <cell r="C162">
            <v>42362</v>
          </cell>
          <cell r="D162">
            <v>0.79017361111111117</v>
          </cell>
          <cell r="E162">
            <v>2457381.2960000001</v>
          </cell>
          <cell r="F162" t="str">
            <v>DBO</v>
          </cell>
          <cell r="G162" t="str">
            <v>WCO-UK</v>
          </cell>
          <cell r="H162" t="str">
            <v>C11+Lisa+SXVR-H</v>
          </cell>
          <cell r="I162">
            <v>821</v>
          </cell>
          <cell r="J162"/>
        </row>
        <row r="163">
          <cell r="B163">
            <v>151</v>
          </cell>
          <cell r="C163">
            <v>42367</v>
          </cell>
          <cell r="D163">
            <v>0.76141203703703697</v>
          </cell>
          <cell r="E163">
            <v>2457386.2655000002</v>
          </cell>
          <cell r="F163" t="str">
            <v xml:space="preserve">FMT </v>
          </cell>
          <cell r="G163" t="str">
            <v>ORS-FR</v>
          </cell>
          <cell r="H163" t="str">
            <v>SC14+eShel+Atik460ex</v>
          </cell>
          <cell r="I163">
            <v>11000</v>
          </cell>
          <cell r="J163"/>
        </row>
        <row r="164">
          <cell r="B164">
            <v>152</v>
          </cell>
          <cell r="C164">
            <v>42368</v>
          </cell>
          <cell r="D164">
            <v>0.72341435185185177</v>
          </cell>
          <cell r="E164">
            <v>2457387.2313000001</v>
          </cell>
          <cell r="F164" t="str">
            <v>PSO</v>
          </cell>
          <cell r="G164" t="str">
            <v>TAT-HU</v>
          </cell>
          <cell r="H164" t="str">
            <v>T10+Lhires600+Atik414esm</v>
          </cell>
          <cell r="I164">
            <v>2427</v>
          </cell>
          <cell r="J164"/>
        </row>
        <row r="165">
          <cell r="B165">
            <v>153</v>
          </cell>
          <cell r="C165">
            <v>42371</v>
          </cell>
          <cell r="D165">
            <v>0.76059027777777777</v>
          </cell>
          <cell r="E165">
            <v>2457390.2620000001</v>
          </cell>
          <cell r="F165" t="str">
            <v>JGF</v>
          </cell>
          <cell r="G165" t="str">
            <v>SMM-SP</v>
          </cell>
          <cell r="H165" t="str">
            <v>16REMOTATIK460EX</v>
          </cell>
          <cell r="I165">
            <v>772</v>
          </cell>
          <cell r="J165"/>
        </row>
        <row r="166">
          <cell r="B166">
            <v>154</v>
          </cell>
          <cell r="C166">
            <v>42374</v>
          </cell>
          <cell r="D166">
            <v>0.75643518518518515</v>
          </cell>
          <cell r="E166"/>
          <cell r="F166" t="str">
            <v>FCA</v>
          </cell>
          <cell r="G166" t="str">
            <v>PAG-SP</v>
          </cell>
          <cell r="H166" t="str">
            <v>T8+Dados200</v>
          </cell>
          <cell r="I166">
            <v>800</v>
          </cell>
          <cell r="J166"/>
        </row>
        <row r="167">
          <cell r="B167">
            <v>155</v>
          </cell>
          <cell r="C167">
            <v>42382</v>
          </cell>
          <cell r="D167">
            <v>0.72296296296296303</v>
          </cell>
          <cell r="E167">
            <v>2457401.2313999999</v>
          </cell>
          <cell r="F167" t="str">
            <v xml:space="preserve">FMT </v>
          </cell>
          <cell r="G167" t="str">
            <v>ORS-FR</v>
          </cell>
          <cell r="H167" t="str">
            <v>SC14+eShel+Atik460ex</v>
          </cell>
          <cell r="I167">
            <v>11000</v>
          </cell>
          <cell r="J167"/>
        </row>
        <row r="168">
          <cell r="B168">
            <v>156</v>
          </cell>
          <cell r="C168">
            <v>42540</v>
          </cell>
          <cell r="D168">
            <v>1.1284722222222222E-2</v>
          </cell>
          <cell r="E168">
            <v>2457558.5164999999</v>
          </cell>
          <cell r="F168" t="str">
            <v>FCA</v>
          </cell>
          <cell r="G168" t="str">
            <v>PAG-SP</v>
          </cell>
          <cell r="H168" t="str">
            <v>N-200DADOS-200ATI</v>
          </cell>
          <cell r="I168">
            <v>820</v>
          </cell>
          <cell r="J168"/>
        </row>
        <row r="169">
          <cell r="B169">
            <v>157</v>
          </cell>
          <cell r="C169">
            <v>42552</v>
          </cell>
          <cell r="D169">
            <v>0.21888888888888888</v>
          </cell>
          <cell r="E169">
            <v>2457570.7250999999</v>
          </cell>
          <cell r="F169" t="str">
            <v>LES</v>
          </cell>
          <cell r="G169" t="str">
            <v>MRO-CA</v>
          </cell>
          <cell r="H169" t="str">
            <v>31cmDK+23um1800lpm+</v>
          </cell>
          <cell r="I169">
            <v>9000</v>
          </cell>
          <cell r="J169"/>
        </row>
        <row r="170">
          <cell r="B170">
            <v>158</v>
          </cell>
          <cell r="C170">
            <v>42553</v>
          </cell>
          <cell r="D170">
            <v>6.6527777777777783E-2</v>
          </cell>
          <cell r="E170">
            <v>2457571.5759000001</v>
          </cell>
          <cell r="F170" t="str">
            <v>PSO</v>
          </cell>
          <cell r="G170" t="str">
            <v>TAT-HU</v>
          </cell>
          <cell r="H170" t="str">
            <v>25cmLH600_35u414esm</v>
          </cell>
          <cell r="I170">
            <v>1900</v>
          </cell>
          <cell r="J170"/>
        </row>
        <row r="171">
          <cell r="B171">
            <v>159</v>
          </cell>
          <cell r="C171">
            <v>42555</v>
          </cell>
          <cell r="D171">
            <v>0.25790509259259259</v>
          </cell>
          <cell r="E171">
            <v>2457573.7790999999</v>
          </cell>
          <cell r="F171" t="str">
            <v>LES</v>
          </cell>
          <cell r="G171" t="str">
            <v>MRO-CA</v>
          </cell>
          <cell r="H171" t="str">
            <v>31cmDK+23um1800lpm+</v>
          </cell>
          <cell r="I171">
            <v>6400</v>
          </cell>
          <cell r="J171"/>
        </row>
        <row r="172">
          <cell r="B172">
            <v>160</v>
          </cell>
          <cell r="C172">
            <v>42560</v>
          </cell>
          <cell r="D172">
            <v>0.9783680555555555</v>
          </cell>
          <cell r="E172">
            <v>2457579.4942999999</v>
          </cell>
          <cell r="F172" t="str">
            <v xml:space="preserve">FMT </v>
          </cell>
          <cell r="G172" t="str">
            <v>ORS-FR</v>
          </cell>
          <cell r="H172" t="str">
            <v>SC14+eShel+Atik460ex</v>
          </cell>
          <cell r="I172">
            <v>11000</v>
          </cell>
          <cell r="J172"/>
        </row>
        <row r="173">
          <cell r="B173">
            <v>161</v>
          </cell>
          <cell r="C173">
            <v>42560</v>
          </cell>
          <cell r="D173">
            <v>0.98178240740740741</v>
          </cell>
          <cell r="E173">
            <v>2457579.4819</v>
          </cell>
          <cell r="F173" t="str">
            <v>FBO</v>
          </cell>
          <cell r="G173" t="str">
            <v>OPL-FR</v>
          </cell>
          <cell r="H173" t="str">
            <v>SC8+Lisa+ATIK314L+</v>
          </cell>
          <cell r="I173">
            <v>2200</v>
          </cell>
          <cell r="J173"/>
        </row>
        <row r="174">
          <cell r="B174">
            <v>162</v>
          </cell>
          <cell r="C174">
            <v>42581</v>
          </cell>
          <cell r="D174">
            <v>2.4351851851851857E-2</v>
          </cell>
          <cell r="E174">
            <v>2457599.5312999999</v>
          </cell>
          <cell r="F174" t="str">
            <v>FRA</v>
          </cell>
          <cell r="G174" t="str">
            <v>BAL-IT</v>
          </cell>
          <cell r="H174" t="str">
            <v>SC8+Alpy600</v>
          </cell>
          <cell r="I174">
            <v>501</v>
          </cell>
          <cell r="J174"/>
        </row>
        <row r="175">
          <cell r="B175">
            <v>163</v>
          </cell>
          <cell r="C175">
            <v>42586</v>
          </cell>
          <cell r="D175">
            <v>0.97807870370370376</v>
          </cell>
          <cell r="E175">
            <v>2457605.4844</v>
          </cell>
          <cell r="F175" t="str">
            <v>DBO</v>
          </cell>
          <cell r="G175" t="str">
            <v>WCO-UK</v>
          </cell>
          <cell r="H175" t="str">
            <v>C11+Lisa+SXVR-H</v>
          </cell>
          <cell r="I175">
            <v>824</v>
          </cell>
          <cell r="J175"/>
        </row>
        <row r="176">
          <cell r="B176">
            <v>164</v>
          </cell>
          <cell r="C176">
            <v>42588</v>
          </cell>
          <cell r="D176">
            <v>0.95167824074074081</v>
          </cell>
          <cell r="E176">
            <v>2457607.4566000002</v>
          </cell>
          <cell r="F176" t="str">
            <v xml:space="preserve">FMT </v>
          </cell>
          <cell r="G176" t="str">
            <v>ORS-FR</v>
          </cell>
          <cell r="H176" t="str">
            <v>SC14+eShel+Atik460ex</v>
          </cell>
          <cell r="I176">
            <v>11000</v>
          </cell>
          <cell r="J176"/>
        </row>
        <row r="177">
          <cell r="B177">
            <v>165</v>
          </cell>
          <cell r="C177">
            <v>42588</v>
          </cell>
          <cell r="D177">
            <v>0.96399305555555559</v>
          </cell>
          <cell r="E177">
            <v>2457607.4640000002</v>
          </cell>
          <cell r="F177" t="str">
            <v>DDJ</v>
          </cell>
          <cell r="G177" t="str">
            <v>LSS-FR</v>
          </cell>
          <cell r="H177" t="str">
            <v>Newton200+Alpy600+A</v>
          </cell>
          <cell r="I177">
            <v>543</v>
          </cell>
          <cell r="J177"/>
        </row>
        <row r="178">
          <cell r="B178">
            <v>166</v>
          </cell>
          <cell r="C178">
            <v>42593</v>
          </cell>
          <cell r="D178">
            <v>0.10249999999999999</v>
          </cell>
          <cell r="E178">
            <v>2457611.6101000002</v>
          </cell>
          <cell r="F178" t="str">
            <v>OGA</v>
          </cell>
          <cell r="G178" t="str">
            <v>OHP-FR</v>
          </cell>
          <cell r="H178" t="str">
            <v>C14LisaATIK414EX</v>
          </cell>
          <cell r="I178">
            <v>610</v>
          </cell>
          <cell r="J178"/>
        </row>
        <row r="179">
          <cell r="B179">
            <v>167</v>
          </cell>
          <cell r="C179">
            <v>42594</v>
          </cell>
          <cell r="D179">
            <v>1.6261574074074074E-2</v>
          </cell>
          <cell r="E179">
            <v>2457612.5255</v>
          </cell>
          <cell r="F179" t="str">
            <v>CBO</v>
          </cell>
          <cell r="G179" t="str">
            <v>OHP-FR</v>
          </cell>
          <cell r="H179" t="str">
            <v>Newton200F/5+</v>
          </cell>
          <cell r="I179">
            <v>509</v>
          </cell>
          <cell r="J179"/>
        </row>
        <row r="180">
          <cell r="B180">
            <v>168</v>
          </cell>
          <cell r="C180">
            <v>42596</v>
          </cell>
          <cell r="D180">
            <v>0.89642361111111113</v>
          </cell>
          <cell r="E180">
            <v>2457615.4089000002</v>
          </cell>
          <cell r="F180" t="str">
            <v>YBGM</v>
          </cell>
          <cell r="G180" t="str">
            <v>OHP-FR</v>
          </cell>
          <cell r="H180" t="str">
            <v>C11LisaQSI583ws</v>
          </cell>
          <cell r="I180">
            <v>921</v>
          </cell>
          <cell r="J180"/>
        </row>
        <row r="181">
          <cell r="B181">
            <v>169</v>
          </cell>
          <cell r="C181">
            <v>42598</v>
          </cell>
          <cell r="D181">
            <v>0.92447916666666663</v>
          </cell>
          <cell r="E181">
            <v>2457617.4325999999</v>
          </cell>
          <cell r="F181" t="str">
            <v xml:space="preserve">FMT </v>
          </cell>
          <cell r="G181" t="str">
            <v>ORS-FR</v>
          </cell>
          <cell r="H181" t="str">
            <v>SC14+eShel+Atik460ex</v>
          </cell>
          <cell r="I181">
            <v>11000</v>
          </cell>
          <cell r="J181"/>
        </row>
        <row r="182">
          <cell r="B182">
            <v>170</v>
          </cell>
          <cell r="C182">
            <v>42605</v>
          </cell>
          <cell r="D182">
            <v>0.87327546296296299</v>
          </cell>
          <cell r="E182">
            <v>2457624.3768000002</v>
          </cell>
          <cell r="F182" t="str">
            <v>FCA</v>
          </cell>
          <cell r="G182" t="str">
            <v>PAG-SP</v>
          </cell>
          <cell r="H182" t="str">
            <v>N-200DADOS-200ATI</v>
          </cell>
          <cell r="I182">
            <v>733</v>
          </cell>
          <cell r="J182"/>
        </row>
        <row r="183">
          <cell r="B183">
            <v>171</v>
          </cell>
          <cell r="C183">
            <v>42605</v>
          </cell>
          <cell r="D183">
            <v>0.91313657407407411</v>
          </cell>
          <cell r="E183">
            <v>2457624.4210999999</v>
          </cell>
          <cell r="F183" t="str">
            <v xml:space="preserve">FMT </v>
          </cell>
          <cell r="G183" t="str">
            <v>ORS-FR</v>
          </cell>
          <cell r="H183" t="str">
            <v>SC14+eShel+Atik460ex</v>
          </cell>
          <cell r="I183">
            <v>11000</v>
          </cell>
          <cell r="J183"/>
        </row>
        <row r="184">
          <cell r="B184">
            <v>172</v>
          </cell>
          <cell r="C184">
            <v>42608</v>
          </cell>
          <cell r="D184">
            <v>1.0879629629629629E-3</v>
          </cell>
          <cell r="E184">
            <v>2457626.5077999998</v>
          </cell>
          <cell r="F184" t="str">
            <v>PSO</v>
          </cell>
          <cell r="G184" t="str">
            <v>TAT-HU</v>
          </cell>
          <cell r="H184" t="str">
            <v>30cmLH600_35u414esm</v>
          </cell>
          <cell r="I184">
            <v>1690</v>
          </cell>
          <cell r="J184"/>
        </row>
        <row r="185">
          <cell r="B185">
            <v>173</v>
          </cell>
          <cell r="C185">
            <v>42612</v>
          </cell>
          <cell r="D185">
            <v>0.929224537037037</v>
          </cell>
          <cell r="E185">
            <v>2457631.4399000001</v>
          </cell>
          <cell r="F185" t="str">
            <v>DBO</v>
          </cell>
          <cell r="G185" t="str">
            <v>WCO-UK</v>
          </cell>
          <cell r="H185" t="str">
            <v>C11+Lisa+SXVR-H</v>
          </cell>
          <cell r="I185">
            <v>827</v>
          </cell>
          <cell r="J185"/>
        </row>
        <row r="186">
          <cell r="B186">
            <v>174</v>
          </cell>
          <cell r="C186">
            <v>42616</v>
          </cell>
          <cell r="D186">
            <v>0.18383101851851849</v>
          </cell>
          <cell r="E186">
            <v>2457634.6899000001</v>
          </cell>
          <cell r="F186" t="str">
            <v>LES</v>
          </cell>
          <cell r="G186" t="str">
            <v>MRO-CA</v>
          </cell>
          <cell r="H186" t="str">
            <v>31cmDK+23um1800lpm+</v>
          </cell>
          <cell r="I186">
            <v>9000</v>
          </cell>
          <cell r="J186"/>
        </row>
        <row r="187">
          <cell r="B187">
            <v>175</v>
          </cell>
          <cell r="C187">
            <v>42622</v>
          </cell>
          <cell r="D187">
            <v>0.86858796296296292</v>
          </cell>
          <cell r="E187">
            <v>2457641.3758999999</v>
          </cell>
          <cell r="F187" t="str">
            <v xml:space="preserve">FMT </v>
          </cell>
          <cell r="G187" t="str">
            <v>ORS-FR</v>
          </cell>
          <cell r="H187" t="str">
            <v>SC14+eShel+Atik460ex</v>
          </cell>
          <cell r="I187">
            <v>11000</v>
          </cell>
          <cell r="J187"/>
        </row>
        <row r="188">
          <cell r="B188">
            <v>176</v>
          </cell>
          <cell r="C188">
            <v>42626</v>
          </cell>
          <cell r="D188">
            <v>0.16493055555555555</v>
          </cell>
          <cell r="E188">
            <v>2457644.6798</v>
          </cell>
          <cell r="F188" t="str">
            <v>LES</v>
          </cell>
          <cell r="G188" t="str">
            <v>MRO-CA</v>
          </cell>
          <cell r="H188" t="str">
            <v>31cmDK+23um1800lpm+</v>
          </cell>
          <cell r="I188">
            <v>6000</v>
          </cell>
          <cell r="J188"/>
        </row>
        <row r="189">
          <cell r="B189">
            <v>177</v>
          </cell>
          <cell r="C189">
            <v>42636</v>
          </cell>
          <cell r="D189">
            <v>0.83215277777777785</v>
          </cell>
          <cell r="E189">
            <v>2457655.3401000001</v>
          </cell>
          <cell r="F189" t="str">
            <v xml:space="preserve">FMT </v>
          </cell>
          <cell r="G189" t="str">
            <v>ORS-FR</v>
          </cell>
          <cell r="H189" t="str">
            <v>SC14+eShel+Atik460ex</v>
          </cell>
          <cell r="I189">
            <v>11000</v>
          </cell>
          <cell r="J189"/>
        </row>
        <row r="190">
          <cell r="B190">
            <v>178</v>
          </cell>
          <cell r="C190">
            <v>42644</v>
          </cell>
          <cell r="D190">
            <v>0.89953703703703702</v>
          </cell>
          <cell r="E190">
            <v>2457663.409</v>
          </cell>
          <cell r="F190" t="str">
            <v xml:space="preserve">FMT </v>
          </cell>
          <cell r="G190" t="str">
            <v>ORS-FR</v>
          </cell>
          <cell r="H190" t="str">
            <v>SC14+eShel+Atik460ex</v>
          </cell>
          <cell r="I190">
            <v>11000</v>
          </cell>
          <cell r="J190"/>
        </row>
        <row r="191">
          <cell r="B191">
            <v>179</v>
          </cell>
          <cell r="C191">
            <v>42644</v>
          </cell>
          <cell r="D191">
            <v>0.97042824074074074</v>
          </cell>
          <cell r="E191">
            <v>2457663.4734</v>
          </cell>
          <cell r="F191" t="str">
            <v>JGF</v>
          </cell>
          <cell r="G191" t="str">
            <v>SMM-SP</v>
          </cell>
          <cell r="H191" t="str">
            <v>16REMOTATIK460EX</v>
          </cell>
          <cell r="I191">
            <v>1110</v>
          </cell>
          <cell r="J191"/>
        </row>
        <row r="192">
          <cell r="B192">
            <v>180</v>
          </cell>
          <cell r="C192">
            <v>42653</v>
          </cell>
          <cell r="D192">
            <v>0.11527777777777777</v>
          </cell>
          <cell r="E192">
            <v>2457671.6244999999</v>
          </cell>
          <cell r="F192" t="str">
            <v>LES</v>
          </cell>
          <cell r="G192" t="str">
            <v>MRO-CA</v>
          </cell>
          <cell r="H192" t="str">
            <v>31cmDK+23um1800lpm+</v>
          </cell>
          <cell r="I192">
            <v>9000</v>
          </cell>
          <cell r="J192"/>
        </row>
        <row r="193">
          <cell r="B193">
            <v>181</v>
          </cell>
          <cell r="C193">
            <v>42658</v>
          </cell>
          <cell r="D193">
            <v>0.88677083333333329</v>
          </cell>
          <cell r="E193">
            <v>2457677.3886000002</v>
          </cell>
          <cell r="F193" t="str">
            <v>FBO</v>
          </cell>
          <cell r="G193" t="str">
            <v>SJI-FR</v>
          </cell>
          <cell r="H193" t="str">
            <v>SC8+Lisa+ATIK314L+</v>
          </cell>
          <cell r="I193">
            <v>2200</v>
          </cell>
          <cell r="J193"/>
        </row>
        <row r="194">
          <cell r="B194">
            <v>182</v>
          </cell>
          <cell r="C194">
            <v>42666</v>
          </cell>
          <cell r="D194">
            <v>0.92879629629629623</v>
          </cell>
          <cell r="E194">
            <v>2457685.4334999998</v>
          </cell>
          <cell r="F194" t="str">
            <v>JGF</v>
          </cell>
          <cell r="G194" t="str">
            <v>SMM-SP</v>
          </cell>
          <cell r="H194" t="str">
            <v>16REMOTATIK460EX</v>
          </cell>
          <cell r="I194">
            <v>990</v>
          </cell>
          <cell r="J194"/>
        </row>
        <row r="195">
          <cell r="B195">
            <v>183</v>
          </cell>
          <cell r="C195">
            <v>42672</v>
          </cell>
          <cell r="D195">
            <v>0.8241087962962963</v>
          </cell>
          <cell r="E195">
            <v>2457691.3347999998</v>
          </cell>
          <cell r="F195" t="str">
            <v xml:space="preserve">FMT </v>
          </cell>
          <cell r="G195" t="str">
            <v>ORS-FR</v>
          </cell>
          <cell r="H195" t="str">
            <v>SC14+eShel+Atik460ex</v>
          </cell>
          <cell r="I195">
            <v>11000</v>
          </cell>
          <cell r="J195"/>
        </row>
        <row r="196">
          <cell r="B196">
            <v>184</v>
          </cell>
          <cell r="C196">
            <v>42675</v>
          </cell>
          <cell r="D196">
            <v>0.86886574074074074</v>
          </cell>
          <cell r="E196">
            <v>2457694.3922000001</v>
          </cell>
          <cell r="F196" t="str">
            <v>JGF</v>
          </cell>
          <cell r="G196" t="str">
            <v>PIE-SP</v>
          </cell>
          <cell r="H196" t="str">
            <v>MUSSOL</v>
          </cell>
          <cell r="I196">
            <v>10000</v>
          </cell>
          <cell r="J196"/>
        </row>
        <row r="197">
          <cell r="B197">
            <v>185</v>
          </cell>
          <cell r="C197">
            <v>42680</v>
          </cell>
          <cell r="D197">
            <v>0.80991898148148145</v>
          </cell>
          <cell r="E197">
            <v>2457699.3150999998</v>
          </cell>
          <cell r="F197" t="str">
            <v>FCA</v>
          </cell>
          <cell r="G197" t="str">
            <v>PAG-SP</v>
          </cell>
          <cell r="H197" t="str">
            <v>N-200DADOS-200ATI</v>
          </cell>
          <cell r="I197">
            <v>800</v>
          </cell>
          <cell r="J197"/>
        </row>
        <row r="198">
          <cell r="B198">
            <v>186</v>
          </cell>
          <cell r="C198">
            <v>42682</v>
          </cell>
          <cell r="D198">
            <v>0.83928240740740734</v>
          </cell>
          <cell r="E198">
            <v>2457701.3454999998</v>
          </cell>
          <cell r="F198" t="str">
            <v>JGF</v>
          </cell>
          <cell r="G198" t="str">
            <v>SMM-SP</v>
          </cell>
          <cell r="H198" t="str">
            <v>16REMOTATIK460EX</v>
          </cell>
          <cell r="I198">
            <v>1020</v>
          </cell>
          <cell r="J198"/>
        </row>
        <row r="199">
          <cell r="B199">
            <v>187</v>
          </cell>
          <cell r="C199">
            <v>42689</v>
          </cell>
          <cell r="D199">
            <v>0.90792824074074074</v>
          </cell>
          <cell r="E199">
            <v>2457708.4265999999</v>
          </cell>
          <cell r="F199" t="str">
            <v>JGF</v>
          </cell>
          <cell r="G199" t="str">
            <v>PIE-SP</v>
          </cell>
          <cell r="H199" t="str">
            <v>MUSSOL</v>
          </cell>
          <cell r="I199">
            <v>10000</v>
          </cell>
          <cell r="J199"/>
        </row>
        <row r="200">
          <cell r="B200">
            <v>188</v>
          </cell>
          <cell r="C200">
            <v>42690</v>
          </cell>
          <cell r="D200">
            <v>0.80325231481481485</v>
          </cell>
          <cell r="E200">
            <v>2457709.3239000002</v>
          </cell>
          <cell r="F200" t="str">
            <v>JGF</v>
          </cell>
          <cell r="G200" t="str">
            <v>PIE-SP</v>
          </cell>
          <cell r="H200" t="str">
            <v>MUSSOL</v>
          </cell>
          <cell r="I200">
            <v>10000</v>
          </cell>
          <cell r="J200"/>
        </row>
        <row r="201">
          <cell r="B201">
            <v>189</v>
          </cell>
          <cell r="C201">
            <v>42703</v>
          </cell>
          <cell r="D201">
            <v>0.80116898148148152</v>
          </cell>
          <cell r="E201">
            <v>2457722.3136</v>
          </cell>
          <cell r="F201" t="str">
            <v xml:space="preserve">FMT </v>
          </cell>
          <cell r="G201" t="str">
            <v>ORS-FR</v>
          </cell>
          <cell r="H201" t="str">
            <v>SC14+eShel+Atik460ex</v>
          </cell>
          <cell r="I201">
            <v>11000</v>
          </cell>
          <cell r="J201"/>
        </row>
        <row r="202">
          <cell r="B202">
            <v>190</v>
          </cell>
          <cell r="C202">
            <v>42704</v>
          </cell>
          <cell r="D202">
            <v>0.82635416666666661</v>
          </cell>
          <cell r="E202">
            <v>2457723.3374000001</v>
          </cell>
          <cell r="F202" t="str">
            <v>DBO</v>
          </cell>
          <cell r="G202" t="str">
            <v>WCO-UK</v>
          </cell>
          <cell r="H202" t="str">
            <v>C11+Lisa+SXVR-H</v>
          </cell>
          <cell r="I202">
            <v>826</v>
          </cell>
          <cell r="J202"/>
        </row>
        <row r="203">
          <cell r="B203">
            <v>191</v>
          </cell>
          <cell r="C203">
            <v>42705</v>
          </cell>
          <cell r="D203">
            <v>0.84634259259259259</v>
          </cell>
          <cell r="E203">
            <v>2457724.3697000002</v>
          </cell>
          <cell r="F203" t="str">
            <v>JGF</v>
          </cell>
          <cell r="G203" t="str">
            <v>PIE-SP</v>
          </cell>
          <cell r="H203" t="str">
            <v>MUSSOL</v>
          </cell>
          <cell r="I203">
            <v>11000</v>
          </cell>
          <cell r="J203"/>
        </row>
        <row r="204">
          <cell r="B204">
            <v>192</v>
          </cell>
          <cell r="C204">
            <v>42710</v>
          </cell>
          <cell r="D204">
            <v>0.73717592592592596</v>
          </cell>
          <cell r="E204">
            <v>2457729.2396</v>
          </cell>
          <cell r="F204" t="str">
            <v>JGF</v>
          </cell>
          <cell r="G204" t="str">
            <v>SMM-SP</v>
          </cell>
          <cell r="H204" t="str">
            <v>16REMOTATIK460EX</v>
          </cell>
          <cell r="I204">
            <v>1044</v>
          </cell>
          <cell r="J204"/>
        </row>
        <row r="205">
          <cell r="B205">
            <v>193</v>
          </cell>
          <cell r="C205">
            <v>42720</v>
          </cell>
          <cell r="D205">
            <v>0.74936342592592586</v>
          </cell>
          <cell r="E205">
            <v>2457739.2656999999</v>
          </cell>
          <cell r="F205" t="str">
            <v xml:space="preserve">FMT </v>
          </cell>
          <cell r="G205" t="str">
            <v>ORS-FR</v>
          </cell>
          <cell r="H205" t="str">
            <v>SC14+eShel+Atik460ex</v>
          </cell>
          <cell r="I205">
            <v>11000</v>
          </cell>
          <cell r="J205"/>
        </row>
        <row r="206">
          <cell r="B206">
            <v>194</v>
          </cell>
          <cell r="C206">
            <v>42737</v>
          </cell>
          <cell r="D206">
            <v>0.71785879629629623</v>
          </cell>
          <cell r="E206">
            <v>2457756.2321000001</v>
          </cell>
          <cell r="F206" t="str">
            <v xml:space="preserve">FMT </v>
          </cell>
          <cell r="G206" t="str">
            <v>ORS-FR</v>
          </cell>
          <cell r="H206" t="str">
            <v>SC14+eShel+Atik460ex</v>
          </cell>
          <cell r="I206">
            <v>11000</v>
          </cell>
          <cell r="J206"/>
        </row>
        <row r="207">
          <cell r="B207">
            <v>195</v>
          </cell>
          <cell r="C207">
            <v>42738</v>
          </cell>
          <cell r="D207">
            <v>0.74144675925925929</v>
          </cell>
          <cell r="E207">
            <v>2457757.2519</v>
          </cell>
          <cell r="F207" t="str">
            <v>FCA</v>
          </cell>
          <cell r="G207" t="str">
            <v>PAG-SP</v>
          </cell>
          <cell r="H207" t="str">
            <v>N-200DADOS-200ATI</v>
          </cell>
          <cell r="I207">
            <v>825</v>
          </cell>
          <cell r="J207"/>
        </row>
        <row r="208">
          <cell r="B208">
            <v>196</v>
          </cell>
          <cell r="C208">
            <v>42754</v>
          </cell>
          <cell r="D208">
            <v>0.73381944444444447</v>
          </cell>
          <cell r="E208">
            <v>2457773.2459</v>
          </cell>
          <cell r="F208" t="str">
            <v>DBO</v>
          </cell>
          <cell r="G208" t="str">
            <v>WCO-UK</v>
          </cell>
          <cell r="H208" t="str">
            <v>C11+Lisa+SXVR-H</v>
          </cell>
          <cell r="I208">
            <v>729</v>
          </cell>
          <cell r="J208"/>
        </row>
        <row r="209">
          <cell r="B209">
            <v>197</v>
          </cell>
          <cell r="C209">
            <v>42760</v>
          </cell>
          <cell r="D209">
            <v>0.75740740740740742</v>
          </cell>
          <cell r="E209">
            <v>2457779.2603000002</v>
          </cell>
          <cell r="F209" t="str">
            <v>FBO</v>
          </cell>
          <cell r="G209" t="str">
            <v>SJI-FR</v>
          </cell>
          <cell r="H209" t="str">
            <v>SC8+Lisa+ATIK314L+</v>
          </cell>
          <cell r="I209">
            <v>2200</v>
          </cell>
          <cell r="J209"/>
        </row>
        <row r="210">
          <cell r="B210">
            <v>198</v>
          </cell>
          <cell r="C210">
            <v>42904</v>
          </cell>
          <cell r="D210">
            <v>1.8101851851851852E-2</v>
          </cell>
          <cell r="E210">
            <v>2457922.5400999999</v>
          </cell>
          <cell r="F210" t="str">
            <v xml:space="preserve">FMT </v>
          </cell>
          <cell r="G210" t="str">
            <v>ORS-FR</v>
          </cell>
          <cell r="H210" t="str">
            <v>SC14+eShel+Atik460ex</v>
          </cell>
          <cell r="I210">
            <v>11000</v>
          </cell>
          <cell r="J210"/>
        </row>
        <row r="211">
          <cell r="B211">
            <v>199</v>
          </cell>
          <cell r="C211">
            <v>42921</v>
          </cell>
          <cell r="D211">
            <v>0.20304398148148148</v>
          </cell>
          <cell r="E211">
            <v>2457939.7389000002</v>
          </cell>
          <cell r="F211" t="str">
            <v>LES</v>
          </cell>
          <cell r="G211" t="str">
            <v>MRO-CA</v>
          </cell>
          <cell r="H211" t="str">
            <v>DK310+Echelle_ESSAT</v>
          </cell>
          <cell r="I211">
            <v>13000</v>
          </cell>
          <cell r="J211"/>
        </row>
        <row r="212">
          <cell r="B212">
            <v>200</v>
          </cell>
          <cell r="C212">
            <v>42943</v>
          </cell>
          <cell r="D212">
            <v>0.93012731481481481</v>
          </cell>
          <cell r="E212">
            <v>2457962.4404000002</v>
          </cell>
          <cell r="F212" t="str">
            <v>DBO</v>
          </cell>
          <cell r="G212" t="str">
            <v>WCO-UK</v>
          </cell>
          <cell r="H212" t="str">
            <v>C11+Lisa+SXVR-H</v>
          </cell>
          <cell r="I212">
            <v>978</v>
          </cell>
          <cell r="J212"/>
        </row>
        <row r="213">
          <cell r="B213">
            <v>201</v>
          </cell>
          <cell r="C213">
            <v>42952</v>
          </cell>
          <cell r="D213">
            <v>0.96339120370370368</v>
          </cell>
          <cell r="E213">
            <v>2457971.4764999999</v>
          </cell>
          <cell r="F213" t="str">
            <v xml:space="preserve">FMT </v>
          </cell>
          <cell r="G213" t="str">
            <v>ORS-FR</v>
          </cell>
          <cell r="H213" t="str">
            <v>SC14+eShel+Atik460ex</v>
          </cell>
          <cell r="I213">
            <v>11000</v>
          </cell>
          <cell r="J213"/>
        </row>
        <row r="214">
          <cell r="B214">
            <v>202</v>
          </cell>
          <cell r="C214">
            <v>42960</v>
          </cell>
          <cell r="D214">
            <v>0.93752314814814808</v>
          </cell>
          <cell r="E214">
            <v>2457979.4492000001</v>
          </cell>
          <cell r="F214" t="str">
            <v>FCA</v>
          </cell>
          <cell r="G214" t="str">
            <v>PAG-SP</v>
          </cell>
          <cell r="H214" t="str">
            <v>Newton-200DADOS-20</v>
          </cell>
          <cell r="I214">
            <v>944</v>
          </cell>
          <cell r="J214"/>
        </row>
        <row r="215">
          <cell r="B215">
            <v>203</v>
          </cell>
          <cell r="C215">
            <v>42966</v>
          </cell>
          <cell r="D215">
            <v>0.92759259259259252</v>
          </cell>
          <cell r="E215">
            <v>2457985.4416</v>
          </cell>
          <cell r="F215" t="str">
            <v xml:space="preserve">FMT </v>
          </cell>
          <cell r="G215" t="str">
            <v>ORS-FR</v>
          </cell>
          <cell r="H215" t="str">
            <v>SC14+eShel+Atik460ex</v>
          </cell>
          <cell r="I215">
            <v>11000</v>
          </cell>
          <cell r="J215"/>
        </row>
        <row r="216">
          <cell r="B216">
            <v>204</v>
          </cell>
          <cell r="C216">
            <v>42971</v>
          </cell>
          <cell r="D216">
            <v>0.87473379629629633</v>
          </cell>
          <cell r="E216">
            <v>2457990.3794</v>
          </cell>
          <cell r="F216" t="str">
            <v>FRA</v>
          </cell>
          <cell r="G216" t="str">
            <v>BAL-IT</v>
          </cell>
          <cell r="H216" t="str">
            <v>SC8+Alpy600</v>
          </cell>
          <cell r="I216">
            <v>514</v>
          </cell>
          <cell r="J216"/>
        </row>
        <row r="217">
          <cell r="B217">
            <v>205</v>
          </cell>
          <cell r="C217">
            <v>42972</v>
          </cell>
          <cell r="D217">
            <v>0.41652777777777777</v>
          </cell>
          <cell r="E217">
            <v>2457990.9287999999</v>
          </cell>
          <cell r="F217" t="str">
            <v>JRF</v>
          </cell>
          <cell r="G217" t="str">
            <v>MTP-US</v>
          </cell>
          <cell r="H217" t="str">
            <v>CC13LisaATIK460EX</v>
          </cell>
          <cell r="I217">
            <v>958</v>
          </cell>
          <cell r="J217"/>
        </row>
        <row r="218">
          <cell r="B218">
            <v>206</v>
          </cell>
          <cell r="C218">
            <v>42974</v>
          </cell>
          <cell r="D218">
            <v>0.42530092592592594</v>
          </cell>
          <cell r="E218">
            <v>2457992.9304</v>
          </cell>
          <cell r="F218" t="str">
            <v>JRF</v>
          </cell>
          <cell r="G218" t="str">
            <v>MTP-US</v>
          </cell>
          <cell r="H218" t="str">
            <v>CC13LisaATIK460EX</v>
          </cell>
          <cell r="I218">
            <v>943</v>
          </cell>
          <cell r="J218"/>
        </row>
        <row r="220">
          <cell r="B220">
            <v>208</v>
          </cell>
          <cell r="C220">
            <v>42990</v>
          </cell>
          <cell r="D220">
            <v>0.86807870370370377</v>
          </cell>
          <cell r="E220">
            <v>2458009.3903000001</v>
          </cell>
          <cell r="F220" t="str">
            <v>BUI</v>
          </cell>
          <cell r="G220" t="str">
            <v>CAS-FR</v>
          </cell>
          <cell r="H220" t="str">
            <v>SC11+VHires+MOAI16</v>
          </cell>
          <cell r="I220">
            <v>50000</v>
          </cell>
          <cell r="J220"/>
        </row>
        <row r="221">
          <cell r="B221">
            <v>209</v>
          </cell>
          <cell r="C221">
            <v>42994</v>
          </cell>
          <cell r="D221">
            <v>4.8344907407407406E-2</v>
          </cell>
          <cell r="E221">
            <v>2458012.5570999999</v>
          </cell>
          <cell r="F221" t="str">
            <v>GKA</v>
          </cell>
          <cell r="G221" t="str">
            <v>MAN-US</v>
          </cell>
          <cell r="H221" t="str">
            <v>SC10+Alpy600</v>
          </cell>
          <cell r="I221">
            <v>584</v>
          </cell>
          <cell r="J221"/>
        </row>
        <row r="222">
          <cell r="B222">
            <v>210</v>
          </cell>
          <cell r="C222">
            <v>42995</v>
          </cell>
          <cell r="D222">
            <v>0.88697916666666676</v>
          </cell>
          <cell r="E222">
            <v>2458014.3933999999</v>
          </cell>
          <cell r="F222" t="str">
            <v xml:space="preserve">FMT </v>
          </cell>
          <cell r="G222" t="str">
            <v>ORS-FR</v>
          </cell>
          <cell r="H222" t="str">
            <v>SC14+eShel+Atik460ex</v>
          </cell>
          <cell r="I222">
            <v>11000</v>
          </cell>
          <cell r="J222"/>
        </row>
        <row r="223">
          <cell r="B223">
            <v>211</v>
          </cell>
          <cell r="C223">
            <v>42998</v>
          </cell>
          <cell r="D223">
            <v>0.37556712962962963</v>
          </cell>
          <cell r="E223">
            <v>2458016.8794999998</v>
          </cell>
          <cell r="F223" t="str">
            <v>JRF</v>
          </cell>
          <cell r="G223" t="str">
            <v>MTP-US</v>
          </cell>
          <cell r="H223" t="str">
            <v>CC13LisaATIK460EX</v>
          </cell>
          <cell r="I223">
            <v>799</v>
          </cell>
          <cell r="J223"/>
        </row>
        <row r="224">
          <cell r="B224">
            <v>212</v>
          </cell>
          <cell r="C224">
            <v>42999</v>
          </cell>
          <cell r="D224">
            <v>0.11561342592592593</v>
          </cell>
          <cell r="E224">
            <v>2458017.6392000001</v>
          </cell>
          <cell r="F224" t="str">
            <v>LES</v>
          </cell>
          <cell r="G224" t="str">
            <v>MRO-CA</v>
          </cell>
          <cell r="H224" t="str">
            <v>DK310+Echelle_ESSAT</v>
          </cell>
          <cell r="I224">
            <v>13000</v>
          </cell>
          <cell r="J224"/>
        </row>
        <row r="225">
          <cell r="B225">
            <v>213</v>
          </cell>
          <cell r="C225">
            <v>42999</v>
          </cell>
          <cell r="D225">
            <v>0.91678240740740735</v>
          </cell>
          <cell r="E225">
            <v>2458018.4229000001</v>
          </cell>
          <cell r="F225" t="str">
            <v>DBO</v>
          </cell>
          <cell r="G225" t="str">
            <v>WCO-UK</v>
          </cell>
          <cell r="H225" t="str">
            <v>C11+Lisa+SXVR-H</v>
          </cell>
          <cell r="I225">
            <v>921</v>
          </cell>
          <cell r="J225"/>
        </row>
        <row r="226">
          <cell r="B226">
            <v>214</v>
          </cell>
          <cell r="C226">
            <v>43020</v>
          </cell>
          <cell r="D226">
            <v>0.82700231481481479</v>
          </cell>
          <cell r="E226">
            <v>2458039.3333000001</v>
          </cell>
          <cell r="F226" t="str">
            <v>DBO</v>
          </cell>
          <cell r="G226" t="str">
            <v>WCO-UK</v>
          </cell>
          <cell r="H226" t="str">
            <v>C11+Lisa+SXVR-H</v>
          </cell>
          <cell r="I226">
            <v>1047</v>
          </cell>
          <cell r="J226"/>
        </row>
        <row r="227">
          <cell r="B227">
            <v>215</v>
          </cell>
          <cell r="C227">
            <v>43021</v>
          </cell>
          <cell r="D227">
            <v>0.7303587962962963</v>
          </cell>
          <cell r="E227">
            <v>2458040.2527999999</v>
          </cell>
          <cell r="F227" t="str">
            <v>BER</v>
          </cell>
          <cell r="G227" t="str">
            <v>BVO-IT</v>
          </cell>
          <cell r="H227" t="str">
            <v>Lhires31200C9SXV</v>
          </cell>
          <cell r="I227">
            <v>4098</v>
          </cell>
          <cell r="J227"/>
        </row>
        <row r="228">
          <cell r="B228">
            <v>216</v>
          </cell>
          <cell r="C228">
            <v>43021</v>
          </cell>
          <cell r="D228">
            <v>0.85741898148148143</v>
          </cell>
          <cell r="E228">
            <v>2458040.3631000002</v>
          </cell>
          <cell r="F228" t="str">
            <v xml:space="preserve">FMT </v>
          </cell>
          <cell r="G228" t="str">
            <v>ORS-FR</v>
          </cell>
          <cell r="H228" t="str">
            <v>SC14+eShel+Atik460ex</v>
          </cell>
          <cell r="I228">
            <v>11000</v>
          </cell>
          <cell r="J228"/>
        </row>
        <row r="229">
          <cell r="B229">
            <v>217</v>
          </cell>
          <cell r="C229">
            <v>43035</v>
          </cell>
          <cell r="D229">
            <v>0.74145833333333344</v>
          </cell>
          <cell r="E229">
            <v>2458054.2543000001</v>
          </cell>
          <cell r="F229" t="str">
            <v xml:space="preserve">FMT </v>
          </cell>
          <cell r="G229" t="str">
            <v>ORS-FR</v>
          </cell>
          <cell r="H229" t="str">
            <v>SC14+eShel+Atik460ex</v>
          </cell>
          <cell r="I229">
            <v>11000</v>
          </cell>
          <cell r="J229"/>
        </row>
        <row r="230">
          <cell r="B230">
            <v>218</v>
          </cell>
          <cell r="C230">
            <v>43038</v>
          </cell>
          <cell r="D230">
            <v>0.14133101851851851</v>
          </cell>
          <cell r="E230">
            <v>2458056.6436999999</v>
          </cell>
          <cell r="F230" t="str">
            <v>FAS</v>
          </cell>
          <cell r="G230" t="str">
            <v>DCO-US</v>
          </cell>
          <cell r="H230" t="str">
            <v>DK14+Lisa+Atik414ex</v>
          </cell>
          <cell r="I230">
            <v>998</v>
          </cell>
          <cell r="J230"/>
        </row>
        <row r="231">
          <cell r="B231">
            <v>219</v>
          </cell>
          <cell r="C231">
            <v>43047</v>
          </cell>
          <cell r="D231">
            <v>0.95847222222222228</v>
          </cell>
          <cell r="E231">
            <v>2458066.4627</v>
          </cell>
          <cell r="F231" t="str">
            <v>DBO</v>
          </cell>
          <cell r="G231" t="str">
            <v>WCO-UK</v>
          </cell>
          <cell r="H231" t="str">
            <v>C11+Lisa+SXVR-H</v>
          </cell>
          <cell r="I231">
            <v>1055</v>
          </cell>
          <cell r="J231"/>
        </row>
        <row r="232">
          <cell r="B232">
            <v>220</v>
          </cell>
          <cell r="C232">
            <v>43080</v>
          </cell>
          <cell r="D232">
            <v>0.81730324074074068</v>
          </cell>
          <cell r="E232">
            <v>2458099.3407000001</v>
          </cell>
          <cell r="F232" t="str">
            <v>JGF</v>
          </cell>
          <cell r="G232" t="str">
            <v>SMM-SP</v>
          </cell>
          <cell r="H232" t="str">
            <v>T16+Echelle+Atik460</v>
          </cell>
          <cell r="I232">
            <v>9000</v>
          </cell>
          <cell r="J232"/>
        </row>
        <row r="233">
          <cell r="B233">
            <v>221</v>
          </cell>
          <cell r="C233">
            <v>43290</v>
          </cell>
          <cell r="D233">
            <v>4.7442129629629626E-2</v>
          </cell>
          <cell r="E233">
            <v>2458308.5619999999</v>
          </cell>
          <cell r="F233" t="str">
            <v>MVE</v>
          </cell>
          <cell r="G233" t="str">
            <v>MAU-FR</v>
          </cell>
          <cell r="H233" t="str">
            <v>SC8+Lhires600</v>
          </cell>
          <cell r="I233">
            <v>3688</v>
          </cell>
          <cell r="J233"/>
        </row>
        <row r="234">
          <cell r="B234">
            <v>222</v>
          </cell>
          <cell r="C234">
            <v>43292</v>
          </cell>
          <cell r="D234">
            <v>0.20350694444444442</v>
          </cell>
          <cell r="E234">
            <v>2458310.7368999999</v>
          </cell>
          <cell r="F234" t="str">
            <v>LES</v>
          </cell>
          <cell r="G234" t="str">
            <v>MRO-CA</v>
          </cell>
          <cell r="H234" t="str">
            <v>DK310+Echelle_ESSAT</v>
          </cell>
          <cell r="I234">
            <v>13000</v>
          </cell>
          <cell r="J234"/>
        </row>
        <row r="235">
          <cell r="B235">
            <v>223</v>
          </cell>
          <cell r="C235">
            <v>43292</v>
          </cell>
          <cell r="D235">
            <v>0.4824074074074074</v>
          </cell>
          <cell r="E235">
            <v>2458310.9884000001</v>
          </cell>
          <cell r="F235" t="str">
            <v>JRF</v>
          </cell>
          <cell r="G235" t="str">
            <v>MTP-US</v>
          </cell>
          <cell r="H235" t="str">
            <v>CC13LisaATIK460EX</v>
          </cell>
          <cell r="I235">
            <v>738</v>
          </cell>
          <cell r="J235"/>
        </row>
        <row r="236">
          <cell r="B236">
            <v>224</v>
          </cell>
          <cell r="C236">
            <v>43295</v>
          </cell>
          <cell r="D236">
            <v>0.96690972222222227</v>
          </cell>
          <cell r="E236">
            <v>2458314.4778</v>
          </cell>
          <cell r="F236" t="str">
            <v>DBO</v>
          </cell>
          <cell r="G236" t="str">
            <v>WCO-UK</v>
          </cell>
          <cell r="H236" t="str">
            <v>C11+Lisa+SXVR-H</v>
          </cell>
          <cell r="I236">
            <v>1091</v>
          </cell>
          <cell r="J236"/>
        </row>
        <row r="237">
          <cell r="B237">
            <v>225</v>
          </cell>
          <cell r="C237">
            <v>43315</v>
          </cell>
          <cell r="D237">
            <v>0.92878472222222219</v>
          </cell>
          <cell r="E237">
            <v>2458334.4501</v>
          </cell>
          <cell r="F237" t="str">
            <v xml:space="preserve">FMT </v>
          </cell>
          <cell r="G237" t="str">
            <v>ORS-FR</v>
          </cell>
          <cell r="H237" t="str">
            <v>SC14_F/5+eshel+Atik460EX_b2</v>
          </cell>
          <cell r="I237">
            <v>11000</v>
          </cell>
          <cell r="J237"/>
        </row>
        <row r="238">
          <cell r="B238">
            <v>226</v>
          </cell>
          <cell r="C238">
            <v>43332</v>
          </cell>
          <cell r="D238">
            <v>0.16670138888888889</v>
          </cell>
          <cell r="E238">
            <v>2458350.6841000002</v>
          </cell>
          <cell r="F238" t="str">
            <v>GKA</v>
          </cell>
          <cell r="G238" t="str">
            <v>MAN-US</v>
          </cell>
          <cell r="H238" t="str">
            <v>SC10"+Alpy600+ATIK314L</v>
          </cell>
          <cell r="I238">
            <v>537</v>
          </cell>
          <cell r="J238"/>
        </row>
        <row r="239">
          <cell r="B239">
            <v>227</v>
          </cell>
          <cell r="C239">
            <v>43333</v>
          </cell>
          <cell r="D239">
            <v>0.98160879629629638</v>
          </cell>
          <cell r="E239">
            <v>2458352.4855999998</v>
          </cell>
          <cell r="F239" t="str">
            <v>TRO</v>
          </cell>
          <cell r="G239" t="str">
            <v>PON_UK</v>
          </cell>
          <cell r="H239" t="str">
            <v>C925+Alpy600+ATIK460</v>
          </cell>
          <cell r="I239">
            <v>611</v>
          </cell>
          <cell r="J239"/>
        </row>
        <row r="240">
          <cell r="B240">
            <v>228</v>
          </cell>
          <cell r="C240">
            <v>43335</v>
          </cell>
          <cell r="D240">
            <v>0.16563657407407409</v>
          </cell>
          <cell r="E240">
            <v>2458353.6864</v>
          </cell>
          <cell r="F240" t="str">
            <v>LES</v>
          </cell>
          <cell r="G240" t="str">
            <v>MRO-CA</v>
          </cell>
          <cell r="H240" t="str">
            <v>DK310+Echelle_ESSAT</v>
          </cell>
          <cell r="I240">
            <v>14000</v>
          </cell>
          <cell r="J240"/>
        </row>
        <row r="241">
          <cell r="B241">
            <v>229</v>
          </cell>
          <cell r="C241">
            <v>43336</v>
          </cell>
          <cell r="D241">
            <v>0.91305555555555562</v>
          </cell>
          <cell r="E241">
            <v>2458355.4270000001</v>
          </cell>
          <cell r="F241" t="str">
            <v>JGF</v>
          </cell>
          <cell r="G241" t="str">
            <v>PIE-SP</v>
          </cell>
          <cell r="H241" t="str">
            <v>MUSSOL</v>
          </cell>
          <cell r="I241">
            <v>9000</v>
          </cell>
          <cell r="J241"/>
        </row>
        <row r="242">
          <cell r="B242">
            <v>230</v>
          </cell>
          <cell r="C242">
            <v>43337</v>
          </cell>
          <cell r="D242">
            <v>0.93905092592592598</v>
          </cell>
          <cell r="E242">
            <v>2458356.4599000001</v>
          </cell>
          <cell r="F242" t="str">
            <v>JGF</v>
          </cell>
          <cell r="G242" t="str">
            <v>SMM-SP</v>
          </cell>
          <cell r="H242" t="str">
            <v>16REMOTLINX460EX</v>
          </cell>
          <cell r="I242">
            <v>9000</v>
          </cell>
          <cell r="J242"/>
        </row>
        <row r="243">
          <cell r="B243">
            <v>231</v>
          </cell>
          <cell r="C243">
            <v>43343</v>
          </cell>
          <cell r="D243">
            <v>0.33818287037037037</v>
          </cell>
          <cell r="E243">
            <v>2458361.858</v>
          </cell>
          <cell r="F243" t="str">
            <v>JRF</v>
          </cell>
          <cell r="G243" t="str">
            <v>MTP-US</v>
          </cell>
          <cell r="H243" t="str">
            <v>CDK17+LhiresIII+ATIK460EX</v>
          </cell>
          <cell r="I243">
            <v>5962</v>
          </cell>
          <cell r="J243"/>
        </row>
        <row r="244">
          <cell r="B244">
            <v>232</v>
          </cell>
          <cell r="C244">
            <v>43343</v>
          </cell>
          <cell r="D244">
            <v>0.43396990740740743</v>
          </cell>
          <cell r="E244">
            <v>2458361.9465000001</v>
          </cell>
          <cell r="F244" t="str">
            <v>JRF</v>
          </cell>
          <cell r="G244" t="str">
            <v>MTP-US</v>
          </cell>
          <cell r="H244"/>
          <cell r="I244">
            <v>8769</v>
          </cell>
          <cell r="J244"/>
        </row>
        <row r="245">
          <cell r="B245">
            <v>233</v>
          </cell>
          <cell r="C245">
            <v>43344</v>
          </cell>
          <cell r="D245">
            <v>0.86181712962962964</v>
          </cell>
          <cell r="E245">
            <v>2458363.3766000001</v>
          </cell>
          <cell r="F245" t="str">
            <v>DBO</v>
          </cell>
          <cell r="G245" t="str">
            <v>WCO-UK</v>
          </cell>
          <cell r="H245" t="str">
            <v>C11+Lisa+SXVR-H694</v>
          </cell>
          <cell r="I245">
            <v>1011</v>
          </cell>
          <cell r="J245"/>
        </row>
        <row r="246">
          <cell r="B246">
            <v>234</v>
          </cell>
          <cell r="C246">
            <v>43349</v>
          </cell>
          <cell r="D246">
            <v>0.93767361111111114</v>
          </cell>
          <cell r="E246">
            <v>2458368.4575999998</v>
          </cell>
          <cell r="F246" t="str">
            <v>GMAYBU</v>
          </cell>
          <cell r="G246" t="str">
            <v>OSM-FR</v>
          </cell>
          <cell r="H246" t="str">
            <v>C8LisaQSI583wsg</v>
          </cell>
          <cell r="I246">
            <v>1170</v>
          </cell>
          <cell r="J246"/>
        </row>
        <row r="247">
          <cell r="B247">
            <v>235</v>
          </cell>
          <cell r="C247">
            <v>43357</v>
          </cell>
          <cell r="D247">
            <v>0.89373842592592589</v>
          </cell>
          <cell r="E247">
            <v>2458376.4145999998</v>
          </cell>
          <cell r="F247" t="str">
            <v>JGF</v>
          </cell>
          <cell r="G247" t="str">
            <v>PIE-SP</v>
          </cell>
          <cell r="H247" t="str">
            <v>MUSSOL</v>
          </cell>
          <cell r="I247">
            <v>9000</v>
          </cell>
          <cell r="J247"/>
        </row>
        <row r="248">
          <cell r="B248">
            <v>236</v>
          </cell>
          <cell r="C248">
            <v>43368</v>
          </cell>
          <cell r="D248">
            <v>0.80259259259259252</v>
          </cell>
          <cell r="E248">
            <v>2458387.327</v>
          </cell>
          <cell r="F248" t="str">
            <v>JGF</v>
          </cell>
          <cell r="G248" t="str">
            <v>PIE-SP</v>
          </cell>
          <cell r="H248" t="str">
            <v>MUSSOL</v>
          </cell>
          <cell r="I248">
            <v>9000</v>
          </cell>
          <cell r="J248"/>
        </row>
        <row r="249">
          <cell r="B249">
            <v>237</v>
          </cell>
          <cell r="C249">
            <v>43374</v>
          </cell>
          <cell r="D249">
            <v>0.79379629629629633</v>
          </cell>
          <cell r="E249">
            <v>2458393.3402999998</v>
          </cell>
          <cell r="F249" t="str">
            <v>JGF</v>
          </cell>
          <cell r="G249" t="str">
            <v>PIE-SP</v>
          </cell>
          <cell r="H249" t="str">
            <v>MUSSOL</v>
          </cell>
          <cell r="I249">
            <v>9000</v>
          </cell>
          <cell r="J249"/>
        </row>
        <row r="250">
          <cell r="B250">
            <v>238</v>
          </cell>
          <cell r="C250">
            <v>43392</v>
          </cell>
          <cell r="D250">
            <v>0.85787037037037039</v>
          </cell>
          <cell r="E250">
            <v>2458411.3928999999</v>
          </cell>
          <cell r="F250" t="str">
            <v>SCH</v>
          </cell>
          <cell r="G250" t="str">
            <v>DUR-FR</v>
          </cell>
          <cell r="H250" t="str">
            <v>T500+eShel+Atik460EX</v>
          </cell>
          <cell r="I250">
            <v>11000</v>
          </cell>
          <cell r="J250"/>
        </row>
        <row r="251">
          <cell r="B251">
            <v>239</v>
          </cell>
          <cell r="C251">
            <v>43394</v>
          </cell>
          <cell r="D251">
            <v>0.20528935185185185</v>
          </cell>
          <cell r="E251">
            <v>2458422.7179999999</v>
          </cell>
          <cell r="F251" t="str">
            <v>JRF</v>
          </cell>
          <cell r="G251" t="str">
            <v>UHO-US</v>
          </cell>
          <cell r="H251" t="str">
            <v>CC13ALPY600ATIK460EX</v>
          </cell>
          <cell r="I251">
            <v>600</v>
          </cell>
          <cell r="J251"/>
        </row>
        <row r="268">
          <cell r="B268">
            <v>256</v>
          </cell>
          <cell r="C268">
            <v>43676</v>
          </cell>
          <cell r="D268">
            <v>4.8182870370370369E-2</v>
          </cell>
          <cell r="E268">
            <v>2458694.5591000002</v>
          </cell>
          <cell r="F268" t="str">
            <v xml:space="preserve">FMT </v>
          </cell>
          <cell r="G268" t="str">
            <v>ORS-FR</v>
          </cell>
          <cell r="H268" t="str">
            <v>SC14+eShel+460EX_b2</v>
          </cell>
          <cell r="I268">
            <v>11000</v>
          </cell>
          <cell r="J268"/>
          <cell r="K268"/>
        </row>
        <row r="269">
          <cell r="B269">
            <v>257</v>
          </cell>
          <cell r="C269">
            <v>43680</v>
          </cell>
          <cell r="D269">
            <v>0.50369212962962961</v>
          </cell>
          <cell r="E269">
            <v>2458699.0096999998</v>
          </cell>
          <cell r="F269" t="str">
            <v>JRF</v>
          </cell>
          <cell r="G269" t="str">
            <v>MTP-US</v>
          </cell>
          <cell r="H269" t="str">
            <v>CC13ALPY600ATIK460EX</v>
          </cell>
          <cell r="I269">
            <v>599</v>
          </cell>
          <cell r="J269"/>
          <cell r="K269"/>
        </row>
        <row r="270">
          <cell r="B270">
            <v>258</v>
          </cell>
          <cell r="C270">
            <v>43682</v>
          </cell>
          <cell r="D270">
            <v>0.16410879629629629</v>
          </cell>
          <cell r="E270">
            <v>2458700.7022000002</v>
          </cell>
          <cell r="F270" t="str">
            <v>LES</v>
          </cell>
          <cell r="G270" t="str">
            <v>MRO-CA</v>
          </cell>
          <cell r="H270" t="str">
            <v>31cmDK+ESSAT</v>
          </cell>
          <cell r="I270">
            <v>14000</v>
          </cell>
          <cell r="J270"/>
          <cell r="K270"/>
        </row>
        <row r="271">
          <cell r="B271">
            <v>259</v>
          </cell>
          <cell r="C271">
            <v>43686</v>
          </cell>
          <cell r="D271">
            <v>0.88057870370370372</v>
          </cell>
          <cell r="E271">
            <v>2458705.4153999998</v>
          </cell>
          <cell r="F271" t="str">
            <v>JGF</v>
          </cell>
          <cell r="G271" t="str">
            <v>PIE-SP</v>
          </cell>
          <cell r="H271" t="str">
            <v>NOU_T</v>
          </cell>
          <cell r="I271">
            <v>9000</v>
          </cell>
          <cell r="J271"/>
          <cell r="K271"/>
        </row>
        <row r="272">
          <cell r="B272">
            <v>260</v>
          </cell>
          <cell r="C272">
            <v>43687</v>
          </cell>
          <cell r="D272">
            <v>0.36439814814814814</v>
          </cell>
          <cell r="E272">
            <v>2458705.8769</v>
          </cell>
          <cell r="F272" t="str">
            <v>JRF</v>
          </cell>
          <cell r="G272" t="str">
            <v>UHO-US</v>
          </cell>
          <cell r="H272" t="str">
            <v>CC13ALPY600ATIK460EX</v>
          </cell>
          <cell r="I272">
            <v>1018</v>
          </cell>
          <cell r="J272"/>
          <cell r="K272"/>
        </row>
        <row r="273">
          <cell r="B273">
            <v>261</v>
          </cell>
          <cell r="C273">
            <v>43688</v>
          </cell>
          <cell r="D273">
            <v>0.39879629629629632</v>
          </cell>
          <cell r="E273">
            <v>2458706.9149000002</v>
          </cell>
          <cell r="F273" t="str">
            <v>JRF</v>
          </cell>
          <cell r="G273" t="str">
            <v>UHO-US</v>
          </cell>
          <cell r="H273" t="str">
            <v>CDK17ALPY600ATIK460EX</v>
          </cell>
          <cell r="I273">
            <v>578</v>
          </cell>
          <cell r="J273"/>
          <cell r="K273"/>
        </row>
        <row r="274">
          <cell r="B274">
            <v>262</v>
          </cell>
          <cell r="C274">
            <v>43701</v>
          </cell>
          <cell r="D274">
            <v>0.90584490740740742</v>
          </cell>
          <cell r="E274">
            <v>2458720.4245000002</v>
          </cell>
          <cell r="F274" t="str">
            <v>DBO</v>
          </cell>
          <cell r="G274" t="str">
            <v>WCO-UK</v>
          </cell>
          <cell r="H274" t="str">
            <v>C11+LISA+SXVR-H694</v>
          </cell>
          <cell r="I274">
            <v>1005</v>
          </cell>
          <cell r="J274"/>
          <cell r="K274"/>
        </row>
        <row r="275">
          <cell r="B275">
            <v>263</v>
          </cell>
          <cell r="C275">
            <v>43722</v>
          </cell>
          <cell r="D275">
            <v>0.85931712962962958</v>
          </cell>
          <cell r="E275">
            <v>2458741.3747</v>
          </cell>
          <cell r="F275" t="str">
            <v xml:space="preserve">FMT </v>
          </cell>
          <cell r="G275" t="str">
            <v>ORS-FR</v>
          </cell>
          <cell r="H275" t="str">
            <v>SC14+eShel+460EX_b2</v>
          </cell>
          <cell r="I275">
            <v>11000</v>
          </cell>
          <cell r="J275"/>
          <cell r="K275"/>
        </row>
        <row r="276">
          <cell r="B276">
            <v>264</v>
          </cell>
          <cell r="C276">
            <v>43723</v>
          </cell>
          <cell r="D276">
            <v>0.32692129629629629</v>
          </cell>
          <cell r="E276">
            <v>2458741.8432</v>
          </cell>
          <cell r="F276" t="str">
            <v>JRF</v>
          </cell>
          <cell r="G276" t="str">
            <v>UHO-US</v>
          </cell>
          <cell r="H276" t="str">
            <v>CC13ALPY600ATIK414EX</v>
          </cell>
          <cell r="I276">
            <v>465</v>
          </cell>
          <cell r="J276"/>
          <cell r="K276"/>
        </row>
        <row r="277">
          <cell r="B277">
            <v>265</v>
          </cell>
          <cell r="C277">
            <v>43734</v>
          </cell>
          <cell r="D277">
            <v>0.84048611111111116</v>
          </cell>
          <cell r="E277">
            <v>2458753.3615000001</v>
          </cell>
          <cell r="F277" t="str">
            <v>JGF</v>
          </cell>
          <cell r="G277" t="str">
            <v>SMM-SP</v>
          </cell>
          <cell r="H277" t="str">
            <v>16REMOTLINX460EX</v>
          </cell>
          <cell r="I277">
            <v>9000</v>
          </cell>
          <cell r="J277"/>
          <cell r="K277"/>
        </row>
        <row r="278">
          <cell r="B278">
            <v>266</v>
          </cell>
          <cell r="C278">
            <v>43768</v>
          </cell>
          <cell r="D278">
            <v>0.1519675925925926</v>
          </cell>
          <cell r="E278">
            <v>2458786.6551999999</v>
          </cell>
          <cell r="F278" t="str">
            <v>FAS</v>
          </cell>
          <cell r="G278" t="str">
            <v>DCO-US</v>
          </cell>
          <cell r="H278" t="str">
            <v>CDK14LISAAtik414ex</v>
          </cell>
          <cell r="I278">
            <v>1047</v>
          </cell>
          <cell r="J278"/>
          <cell r="K278"/>
        </row>
        <row r="279">
          <cell r="B279">
            <v>267</v>
          </cell>
          <cell r="C279">
            <v>43783</v>
          </cell>
          <cell r="D279">
            <v>0.80849537037037045</v>
          </cell>
          <cell r="E279">
            <v>2458802.3270999999</v>
          </cell>
          <cell r="F279" t="str">
            <v xml:space="preserve">FMT </v>
          </cell>
          <cell r="G279" t="str">
            <v>ORS-FR</v>
          </cell>
          <cell r="H279" t="str">
            <v>SC14+eShel+460EX_b2</v>
          </cell>
          <cell r="I279">
            <v>11000</v>
          </cell>
        </row>
        <row r="280">
          <cell r="B280">
            <v>268</v>
          </cell>
          <cell r="C280">
            <v>43785</v>
          </cell>
          <cell r="D280">
            <v>0.77631944444444445</v>
          </cell>
          <cell r="E280">
            <v>2458804.3089000001</v>
          </cell>
          <cell r="F280" t="str">
            <v>JGF</v>
          </cell>
          <cell r="G280" t="str">
            <v>SMM-SP</v>
          </cell>
          <cell r="H280" t="str">
            <v>16REMOTLINX460EX</v>
          </cell>
          <cell r="I280">
            <v>9000</v>
          </cell>
        </row>
        <row r="281">
          <cell r="B281">
            <v>269</v>
          </cell>
          <cell r="C281">
            <v>43794</v>
          </cell>
          <cell r="D281">
            <v>0.14685185185185184</v>
          </cell>
          <cell r="E281">
            <v>2458812.6501000002</v>
          </cell>
          <cell r="F281" t="str">
            <v>FAS</v>
          </cell>
          <cell r="G281" t="str">
            <v>DCO-US</v>
          </cell>
          <cell r="H281" t="str">
            <v>CDK14LISAAtik414ex</v>
          </cell>
          <cell r="I281">
            <v>1029</v>
          </cell>
        </row>
        <row r="282">
          <cell r="B282">
            <v>270</v>
          </cell>
          <cell r="C282">
            <v>43798</v>
          </cell>
          <cell r="D282">
            <v>0.74873842592592599</v>
          </cell>
          <cell r="E282">
            <v>2458817.2634000001</v>
          </cell>
          <cell r="F282" t="str">
            <v>DBO</v>
          </cell>
          <cell r="G282" t="str">
            <v>WCO-UK</v>
          </cell>
          <cell r="H282" t="str">
            <v>C11+LISA+SXVR-H694</v>
          </cell>
          <cell r="I282">
            <v>1032</v>
          </cell>
        </row>
        <row r="283">
          <cell r="B283">
            <v>271</v>
          </cell>
          <cell r="C283">
            <v>43800</v>
          </cell>
          <cell r="D283">
            <v>0.84027777777777779</v>
          </cell>
          <cell r="E283">
            <v>2458819.3404999999</v>
          </cell>
          <cell r="F283" t="str">
            <v xml:space="preserve">FMT </v>
          </cell>
          <cell r="G283" t="str">
            <v>SMM-SP</v>
          </cell>
          <cell r="H283" t="str">
            <v>SC16+Echelle9000+Atik460EX</v>
          </cell>
          <cell r="I283">
            <v>9000</v>
          </cell>
        </row>
        <row r="284">
          <cell r="B284">
            <v>272</v>
          </cell>
          <cell r="C284">
            <v>43806</v>
          </cell>
          <cell r="D284">
            <v>0.74236111111111114</v>
          </cell>
          <cell r="E284"/>
          <cell r="F284" t="str">
            <v>JMI</v>
          </cell>
          <cell r="G284" t="str">
            <v>CLX-FR</v>
          </cell>
          <cell r="H284" t="str">
            <v>C11f7-Lisa-Atik460EX</v>
          </cell>
          <cell r="I284">
            <v>1000</v>
          </cell>
        </row>
        <row r="285">
          <cell r="B285">
            <v>273</v>
          </cell>
          <cell r="C285">
            <v>43808</v>
          </cell>
          <cell r="D285">
            <v>0.85655092592592597</v>
          </cell>
          <cell r="E285">
            <v>2458827.3774999999</v>
          </cell>
          <cell r="F285" t="str">
            <v xml:space="preserve">FMT </v>
          </cell>
          <cell r="G285" t="str">
            <v>SMM-SP</v>
          </cell>
          <cell r="H285" t="str">
            <v>SC16+Echelle9000+Atik460EX</v>
          </cell>
          <cell r="I285">
            <v>9000</v>
          </cell>
        </row>
        <row r="286">
          <cell r="B286">
            <v>274</v>
          </cell>
          <cell r="C286">
            <v>43981</v>
          </cell>
          <cell r="D286">
            <v>7.4999999999999997E-2</v>
          </cell>
          <cell r="E286">
            <v>2458999.5915999999</v>
          </cell>
          <cell r="F286" t="str">
            <v xml:space="preserve">FMT </v>
          </cell>
          <cell r="G286" t="str">
            <v>ROU-FR</v>
          </cell>
          <cell r="H286" t="str">
            <v>SC14+eShel+460EX_b2</v>
          </cell>
          <cell r="I286">
            <v>11000</v>
          </cell>
        </row>
        <row r="287">
          <cell r="B287">
            <v>275</v>
          </cell>
          <cell r="C287" t="str">
            <v>30/06/2020</v>
          </cell>
          <cell r="D287">
            <v>0.92708333333333337</v>
          </cell>
          <cell r="E287">
            <v>2459031.4270000001</v>
          </cell>
          <cell r="F287" t="str">
            <v>PDTM</v>
          </cell>
          <cell r="G287" t="str">
            <v>KOL-SK</v>
          </cell>
          <cell r="H287" t="str">
            <v>C11+LISA+Atik 460EX</v>
          </cell>
          <cell r="I287">
            <v>998</v>
          </cell>
        </row>
        <row r="288">
          <cell r="B288">
            <v>276</v>
          </cell>
          <cell r="C288" t="str">
            <v>10/07/2020</v>
          </cell>
          <cell r="D288">
            <v>0.96388888888888891</v>
          </cell>
          <cell r="E288">
            <v>2459041.4640000002</v>
          </cell>
          <cell r="F288" t="str">
            <v>PDTM</v>
          </cell>
          <cell r="G288" t="str">
            <v>KOL-SK</v>
          </cell>
          <cell r="H288" t="str">
            <v>C11+LISA+Atik 460EX</v>
          </cell>
          <cell r="I288">
            <v>1053</v>
          </cell>
        </row>
        <row r="289">
          <cell r="B289">
            <v>277</v>
          </cell>
          <cell r="C289" t="str">
            <v>17/07/2020</v>
          </cell>
          <cell r="D289">
            <v>0.97499999999999998</v>
          </cell>
          <cell r="E289">
            <v>2459048.4750000001</v>
          </cell>
          <cell r="F289" t="str">
            <v>DBO</v>
          </cell>
          <cell r="G289" t="str">
            <v>WCO-UK</v>
          </cell>
          <cell r="H289" t="str">
            <v>C11 + LISA + SXVR-H694</v>
          </cell>
          <cell r="I289">
            <v>1053</v>
          </cell>
        </row>
        <row r="290">
          <cell r="B290">
            <v>278</v>
          </cell>
          <cell r="C290" t="str">
            <v>20/07/2020</v>
          </cell>
          <cell r="D290">
            <v>0.96875</v>
          </cell>
          <cell r="E290">
            <v>2459051.469</v>
          </cell>
          <cell r="F290" t="str">
            <v xml:space="preserve">FMT </v>
          </cell>
          <cell r="G290" t="str">
            <v>ROU-FR</v>
          </cell>
          <cell r="H290" t="str">
            <v>SC14+eShel+460EX_b2</v>
          </cell>
          <cell r="I290">
            <v>11000</v>
          </cell>
        </row>
        <row r="291">
          <cell r="B291">
            <v>279</v>
          </cell>
          <cell r="C291" t="str">
            <v>22/07/2020</v>
          </cell>
          <cell r="D291">
            <v>0.87847222222222221</v>
          </cell>
          <cell r="E291">
            <v>2459053.4134999998</v>
          </cell>
          <cell r="F291" t="str">
            <v>SOL</v>
          </cell>
          <cell r="G291" t="str">
            <v>AQL-IT</v>
          </cell>
          <cell r="H291" t="str">
            <v>SlitUS - C9.25 ST-8300</v>
          </cell>
          <cell r="I291">
            <v>10223</v>
          </cell>
        </row>
        <row r="292">
          <cell r="B292">
            <v>280</v>
          </cell>
          <cell r="C292" t="str">
            <v>25/07/2020</v>
          </cell>
          <cell r="D292">
            <v>0.20347222222222219</v>
          </cell>
          <cell r="E292">
            <v>2459055.7179999999</v>
          </cell>
          <cell r="F292" t="str">
            <v>LES</v>
          </cell>
          <cell r="G292" t="str">
            <v>MRO-CA</v>
          </cell>
          <cell r="H292" t="str">
            <v>31cmDK+ESSAT_2</v>
          </cell>
          <cell r="I292">
            <v>14000</v>
          </cell>
        </row>
        <row r="293">
          <cell r="B293">
            <v>281</v>
          </cell>
          <cell r="C293" t="str">
            <v>25/07/2020</v>
          </cell>
          <cell r="D293">
            <v>0.94374999999999998</v>
          </cell>
          <cell r="E293">
            <v>2459056.4511000002</v>
          </cell>
          <cell r="F293" t="str">
            <v>FCA</v>
          </cell>
          <cell r="G293" t="str">
            <v>PAG-SP</v>
          </cell>
          <cell r="H293" t="str">
            <v>N-200 f/4.7 + Barlow 2X  DADOS 200 l/mm</v>
          </cell>
          <cell r="I293">
            <v>887</v>
          </cell>
        </row>
        <row r="294">
          <cell r="B294">
            <v>282</v>
          </cell>
          <cell r="C294" t="str">
            <v>26/07/2020</v>
          </cell>
          <cell r="D294">
            <v>0.24374999999999999</v>
          </cell>
          <cell r="E294">
            <v>2459056.7503</v>
          </cell>
          <cell r="F294" t="str">
            <v>CUR</v>
          </cell>
          <cell r="G294" t="str">
            <v>YGU-US</v>
          </cell>
          <cell r="H294" t="str">
            <v>ALPY600</v>
          </cell>
          <cell r="I294">
            <v>573</v>
          </cell>
        </row>
        <row r="295">
          <cell r="B295">
            <v>283</v>
          </cell>
          <cell r="C295" t="str">
            <v>28/07/2020</v>
          </cell>
          <cell r="D295">
            <v>0.30069444444444443</v>
          </cell>
          <cell r="E295">
            <v>2459058.8034000001</v>
          </cell>
          <cell r="F295" t="str">
            <v>FAS</v>
          </cell>
          <cell r="G295" t="str">
            <v>DCO-US</v>
          </cell>
          <cell r="H295" t="str">
            <v>CDK14 LISA Atik414ex</v>
          </cell>
          <cell r="I295">
            <v>1046</v>
          </cell>
        </row>
        <row r="296">
          <cell r="B296">
            <v>284</v>
          </cell>
          <cell r="C296" t="str">
            <v>29/07/2020</v>
          </cell>
          <cell r="D296">
            <v>0.97986111111111107</v>
          </cell>
          <cell r="E296">
            <v>2459060.4958000001</v>
          </cell>
          <cell r="F296" t="str">
            <v>IBR</v>
          </cell>
          <cell r="G296" t="str">
            <v>HVR-FR</v>
          </cell>
          <cell r="H296" t="str">
            <v>N200F5_UVEX_G300_25u_ATIK414ex</v>
          </cell>
          <cell r="I296">
            <v>685</v>
          </cell>
        </row>
        <row r="297">
          <cell r="B297">
            <v>285</v>
          </cell>
          <cell r="C297">
            <v>44044</v>
          </cell>
          <cell r="D297">
            <v>0.85763888888888884</v>
          </cell>
          <cell r="E297">
            <v>2459063.3703000001</v>
          </cell>
          <cell r="F297" t="str">
            <v>TVE</v>
          </cell>
          <cell r="G297" t="str">
            <v>LAT-IT</v>
          </cell>
          <cell r="H297" t="str">
            <v>UVEX3 300 Atik314L C8</v>
          </cell>
          <cell r="I297">
            <v>699</v>
          </cell>
        </row>
        <row r="298">
          <cell r="B298">
            <v>286</v>
          </cell>
          <cell r="C298">
            <v>44044</v>
          </cell>
          <cell r="D298">
            <v>0.97152777777777777</v>
          </cell>
          <cell r="E298">
            <v>2459063.4876999999</v>
          </cell>
          <cell r="F298" t="str">
            <v xml:space="preserve">FMT </v>
          </cell>
          <cell r="G298" t="str">
            <v>ROU-FR</v>
          </cell>
          <cell r="H298" t="str">
            <v>SC14+eShel+460EX_b2</v>
          </cell>
          <cell r="I298">
            <v>11000</v>
          </cell>
        </row>
        <row r="299">
          <cell r="B299">
            <v>287</v>
          </cell>
          <cell r="C299">
            <v>44045</v>
          </cell>
          <cell r="D299">
            <v>0.87847222222222221</v>
          </cell>
          <cell r="E299">
            <v>2459064.4139999999</v>
          </cell>
          <cell r="F299" t="str">
            <v>JGF</v>
          </cell>
          <cell r="G299" t="str">
            <v>SMM-SP</v>
          </cell>
          <cell r="H299" t="str">
            <v>16 REMOT LINX 460EX</v>
          </cell>
          <cell r="I299">
            <v>10000</v>
          </cell>
        </row>
        <row r="300">
          <cell r="B300">
            <v>288</v>
          </cell>
          <cell r="C300">
            <v>44046</v>
          </cell>
          <cell r="D300">
            <v>0.18611111111111112</v>
          </cell>
          <cell r="E300">
            <v>2459064.6910000001</v>
          </cell>
          <cell r="F300" t="str">
            <v>KSH</v>
          </cell>
          <cell r="G300" t="str">
            <v>CAR-US</v>
          </cell>
          <cell r="H300" t="str">
            <v>DEVO Observatory</v>
          </cell>
          <cell r="I300">
            <v>1000</v>
          </cell>
        </row>
        <row r="301">
          <cell r="B301">
            <v>289</v>
          </cell>
          <cell r="C301">
            <v>44048</v>
          </cell>
          <cell r="D301">
            <v>0.13125000000000001</v>
          </cell>
          <cell r="E301">
            <v>2459066.6421990702</v>
          </cell>
          <cell r="F301" t="str">
            <v>JMA</v>
          </cell>
          <cell r="G301" t="str">
            <v>HOR-UK</v>
          </cell>
          <cell r="H301" t="str">
            <v>C14 + Lhires III + Atik 460 EX</v>
          </cell>
          <cell r="I301">
            <v>15161</v>
          </cell>
        </row>
        <row r="302">
          <cell r="B302">
            <v>290</v>
          </cell>
          <cell r="C302">
            <v>44049</v>
          </cell>
          <cell r="D302">
            <v>0.98611111111111116</v>
          </cell>
          <cell r="E302">
            <v>2459068.4950000001</v>
          </cell>
          <cell r="F302" t="str">
            <v>DBO</v>
          </cell>
          <cell r="G302" t="str">
            <v>WCO-UK</v>
          </cell>
          <cell r="H302" t="str">
            <v>C11 + LISA + SXVR-H694</v>
          </cell>
          <cell r="I302">
            <v>1055</v>
          </cell>
        </row>
        <row r="303">
          <cell r="B303">
            <v>291</v>
          </cell>
          <cell r="C303">
            <v>44053</v>
          </cell>
          <cell r="D303">
            <v>0.19166666666666665</v>
          </cell>
          <cell r="E303">
            <v>2459071.6957999999</v>
          </cell>
          <cell r="F303" t="str">
            <v>KSH</v>
          </cell>
          <cell r="G303" t="str">
            <v>CAR-US</v>
          </cell>
          <cell r="H303" t="str">
            <v>DEVO Observatory</v>
          </cell>
          <cell r="I303">
            <v>1000</v>
          </cell>
        </row>
        <row r="304">
          <cell r="B304">
            <v>292</v>
          </cell>
          <cell r="C304">
            <v>44055</v>
          </cell>
          <cell r="D304">
            <v>0.19652777777777777</v>
          </cell>
          <cell r="E304">
            <v>2459073.7019000002</v>
          </cell>
          <cell r="F304" t="str">
            <v>KSH</v>
          </cell>
          <cell r="G304" t="str">
            <v>CAR-US</v>
          </cell>
          <cell r="H304" t="str">
            <v>DEVO Observatory</v>
          </cell>
          <cell r="I304">
            <v>1000</v>
          </cell>
        </row>
        <row r="305">
          <cell r="B305">
            <v>293</v>
          </cell>
          <cell r="C305">
            <v>44055</v>
          </cell>
          <cell r="D305">
            <v>0.94305555555555554</v>
          </cell>
          <cell r="E305">
            <v>2459074.4523999998</v>
          </cell>
          <cell r="F305" t="str">
            <v>PAD</v>
          </cell>
          <cell r="G305" t="str">
            <v>KOL-SK</v>
          </cell>
          <cell r="H305" t="str">
            <v>C11+LISA+Atik 460EX</v>
          </cell>
          <cell r="I305">
            <v>948</v>
          </cell>
        </row>
        <row r="306">
          <cell r="B306">
            <v>294</v>
          </cell>
          <cell r="C306" t="str">
            <v>13/08/2020</v>
          </cell>
          <cell r="D306">
            <v>0.95138888888888884</v>
          </cell>
          <cell r="E306">
            <v>2459075.4583999999</v>
          </cell>
          <cell r="F306" t="str">
            <v>FRA</v>
          </cell>
          <cell r="G306"/>
          <cell r="H306" t="str">
            <v>LX200-8(F/5)+Alpy600+SXV-M7</v>
          </cell>
          <cell r="I306">
            <v>538</v>
          </cell>
        </row>
        <row r="307">
          <cell r="B307">
            <v>295</v>
          </cell>
          <cell r="C307" t="str">
            <v>20/08/2020</v>
          </cell>
          <cell r="D307">
            <v>0.85069444444444453</v>
          </cell>
          <cell r="E307">
            <v>2459082.3730671299</v>
          </cell>
          <cell r="F307" t="str">
            <v>JMA</v>
          </cell>
          <cell r="G307" t="str">
            <v>HOR-UK</v>
          </cell>
          <cell r="H307" t="str">
            <v>C14 + Lhires III + Atik 460 EX</v>
          </cell>
          <cell r="I307">
            <v>8535</v>
          </cell>
        </row>
        <row r="308">
          <cell r="B308">
            <v>296</v>
          </cell>
          <cell r="C308" t="str">
            <v>20/08/2020</v>
          </cell>
          <cell r="D308">
            <v>0.92222222222222217</v>
          </cell>
          <cell r="E308">
            <v>2459082.4301999998</v>
          </cell>
          <cell r="F308" t="str">
            <v>HBO</v>
          </cell>
          <cell r="G308" t="str">
            <v>K10-FR</v>
          </cell>
          <cell r="H308" t="str">
            <v>M10_LISA_ATIK414EX</v>
          </cell>
          <cell r="I308">
            <v>816</v>
          </cell>
        </row>
        <row r="309">
          <cell r="B309">
            <v>297</v>
          </cell>
          <cell r="C309" t="str">
            <v>23/08/2020</v>
          </cell>
          <cell r="D309">
            <v>0.19513888888888889</v>
          </cell>
          <cell r="E309">
            <v>2459084.7006000001</v>
          </cell>
          <cell r="F309" t="str">
            <v>KSH</v>
          </cell>
          <cell r="G309" t="str">
            <v>CAR-US</v>
          </cell>
          <cell r="H309" t="str">
            <v>DEVO Observatory</v>
          </cell>
          <cell r="I309">
            <v>1000</v>
          </cell>
        </row>
        <row r="310">
          <cell r="B310">
            <v>298</v>
          </cell>
          <cell r="C310" t="str">
            <v>23/08/2020</v>
          </cell>
          <cell r="D310">
            <v>0.83611111111111114</v>
          </cell>
          <cell r="E310">
            <v>2459085.36774306</v>
          </cell>
          <cell r="F310" t="str">
            <v>JMA</v>
          </cell>
          <cell r="G310" t="str">
            <v>HOR-UK</v>
          </cell>
          <cell r="H310" t="str">
            <v>C14 + Lhires III + Atik 460 EX</v>
          </cell>
          <cell r="I310">
            <v>19147</v>
          </cell>
        </row>
        <row r="311">
          <cell r="B311">
            <v>299</v>
          </cell>
          <cell r="C311" t="str">
            <v>28/08/2020</v>
          </cell>
          <cell r="D311">
            <v>0.89236111111111116</v>
          </cell>
          <cell r="E311">
            <v>2459090.4</v>
          </cell>
          <cell r="F311" t="str">
            <v>TVE</v>
          </cell>
          <cell r="G311" t="str">
            <v>LAT-IT</v>
          </cell>
          <cell r="H311" t="str">
            <v>UVEX3 300 Atik314L C8</v>
          </cell>
          <cell r="I311">
            <v>844</v>
          </cell>
        </row>
        <row r="312">
          <cell r="B312">
            <v>300</v>
          </cell>
          <cell r="C312">
            <v>44077</v>
          </cell>
          <cell r="D312">
            <v>0.95833333333333337</v>
          </cell>
          <cell r="E312">
            <v>2459096.4797999999</v>
          </cell>
          <cell r="F312" t="str">
            <v>JGF</v>
          </cell>
          <cell r="G312" t="str">
            <v>SMM-SP</v>
          </cell>
          <cell r="H312" t="str">
            <v>16 REMOT LINX 460EX</v>
          </cell>
          <cell r="I312">
            <v>9500</v>
          </cell>
        </row>
        <row r="313">
          <cell r="B313">
            <v>301</v>
          </cell>
          <cell r="C313">
            <v>44083</v>
          </cell>
          <cell r="D313">
            <v>6.1111111111111116E-2</v>
          </cell>
          <cell r="E313">
            <v>2459101.59336806</v>
          </cell>
          <cell r="F313" t="str">
            <v>JMA</v>
          </cell>
          <cell r="G313" t="str">
            <v>HOR-UK</v>
          </cell>
          <cell r="H313" t="str">
            <v>C14 + Lhires III + Atik 460 EX</v>
          </cell>
          <cell r="I313">
            <v>18615</v>
          </cell>
        </row>
        <row r="314">
          <cell r="B314">
            <v>302</v>
          </cell>
          <cell r="C314" t="str">
            <v>13/09/2020</v>
          </cell>
          <cell r="D314">
            <v>0.85763888888888884</v>
          </cell>
          <cell r="E314">
            <v>2459106.3742999998</v>
          </cell>
          <cell r="F314" t="str">
            <v xml:space="preserve">FMT </v>
          </cell>
          <cell r="G314" t="str">
            <v>ROU-FR</v>
          </cell>
          <cell r="H314" t="str">
            <v>SC14+eShel+460EX_b2</v>
          </cell>
          <cell r="I314">
            <v>11000</v>
          </cell>
        </row>
        <row r="315">
          <cell r="B315">
            <v>303</v>
          </cell>
          <cell r="C315" t="str">
            <v>14/09/2020</v>
          </cell>
          <cell r="D315">
            <v>0.82847222222222217</v>
          </cell>
          <cell r="E315">
            <v>2459107.3404999999</v>
          </cell>
          <cell r="F315" t="str">
            <v>DBO</v>
          </cell>
          <cell r="G315" t="str">
            <v>WCO-UK</v>
          </cell>
          <cell r="H315" t="str">
            <v>C11 + LISA + SXVR-H694</v>
          </cell>
          <cell r="I315">
            <v>1102</v>
          </cell>
        </row>
        <row r="316">
          <cell r="B316">
            <v>304</v>
          </cell>
          <cell r="C316" t="str">
            <v>14/09/2020</v>
          </cell>
          <cell r="D316">
            <v>0.83472222222222225</v>
          </cell>
          <cell r="E316">
            <v>2459107.3627999998</v>
          </cell>
          <cell r="F316" t="str">
            <v xml:space="preserve">FMT </v>
          </cell>
          <cell r="G316" t="str">
            <v>ROU-FR</v>
          </cell>
          <cell r="H316" t="str">
            <v>SC14+eShel+460EX_b2</v>
          </cell>
          <cell r="I316">
            <v>11000</v>
          </cell>
        </row>
        <row r="317">
          <cell r="B317">
            <v>305</v>
          </cell>
          <cell r="C317" t="str">
            <v>15/09/2020</v>
          </cell>
          <cell r="D317">
            <v>0.26319444444444445</v>
          </cell>
          <cell r="E317">
            <v>2459107.7667999999</v>
          </cell>
          <cell r="F317" t="str">
            <v>FAS</v>
          </cell>
          <cell r="G317" t="str">
            <v>DCO-US</v>
          </cell>
          <cell r="H317" t="str">
            <v>CDK14 LISA Atik414ex</v>
          </cell>
          <cell r="I317">
            <v>974</v>
          </cell>
        </row>
        <row r="318">
          <cell r="B318">
            <v>306</v>
          </cell>
          <cell r="C318" t="str">
            <v>15/09/2020</v>
          </cell>
          <cell r="D318">
            <v>0.87986111111111109</v>
          </cell>
          <cell r="E318">
            <v>2459108.4117000001</v>
          </cell>
          <cell r="F318" t="str">
            <v>JGF</v>
          </cell>
          <cell r="G318" t="str">
            <v>SMM-SP</v>
          </cell>
          <cell r="H318" t="str">
            <v>16 REMOT LINX 460EX</v>
          </cell>
          <cell r="I318">
            <v>9500</v>
          </cell>
        </row>
        <row r="319">
          <cell r="B319">
            <v>307</v>
          </cell>
          <cell r="C319">
            <v>44095</v>
          </cell>
          <cell r="D319">
            <v>0.79791666666666661</v>
          </cell>
          <cell r="E319">
            <v>2459114.3397337999</v>
          </cell>
          <cell r="F319" t="str">
            <v>JMA</v>
          </cell>
          <cell r="G319" t="str">
            <v>HOR-UK</v>
          </cell>
          <cell r="H319" t="str">
            <v>C14 + Lhires III + Atik 460 EX</v>
          </cell>
          <cell r="I319">
            <v>13793</v>
          </cell>
        </row>
        <row r="320">
          <cell r="B320">
            <v>308</v>
          </cell>
          <cell r="C320" t="str">
            <v>24/09/2020</v>
          </cell>
          <cell r="D320">
            <v>0.81805555555555554</v>
          </cell>
          <cell r="E320">
            <v>2459117.3462</v>
          </cell>
          <cell r="F320" t="str">
            <v>SOL</v>
          </cell>
          <cell r="G320" t="str">
            <v>AQL-IT</v>
          </cell>
          <cell r="H320" t="str">
            <v>SlitUS - C9.25 ST-8300</v>
          </cell>
          <cell r="I320">
            <v>6092</v>
          </cell>
        </row>
        <row r="321">
          <cell r="B321">
            <v>309</v>
          </cell>
          <cell r="C321" t="str">
            <v>25/09/2020</v>
          </cell>
          <cell r="D321">
            <v>0.16388888888888889</v>
          </cell>
          <cell r="E321">
            <v>2459117.6708999998</v>
          </cell>
          <cell r="F321" t="str">
            <v>KSH</v>
          </cell>
          <cell r="G321" t="str">
            <v>CAR-US</v>
          </cell>
          <cell r="H321" t="str">
            <v>C14E@F7+LISA+ATIK414EX</v>
          </cell>
          <cell r="I321">
            <v>1000</v>
          </cell>
        </row>
        <row r="322">
          <cell r="B322">
            <v>310</v>
          </cell>
          <cell r="C322" t="str">
            <v>26/09/2020</v>
          </cell>
          <cell r="D322">
            <v>0.14583333333333334</v>
          </cell>
          <cell r="E322">
            <v>2459118.6497999998</v>
          </cell>
          <cell r="F322" t="str">
            <v>KSH</v>
          </cell>
          <cell r="G322" t="str">
            <v>CAR-US</v>
          </cell>
          <cell r="H322" t="str">
            <v>C14E@F7+LISA+ATIK414EX</v>
          </cell>
          <cell r="I322">
            <v>1000</v>
          </cell>
        </row>
        <row r="323">
          <cell r="B323">
            <v>311</v>
          </cell>
          <cell r="C323" t="str">
            <v>27/09/2020</v>
          </cell>
          <cell r="D323">
            <v>0.13402777777777777</v>
          </cell>
          <cell r="E323">
            <v>2459119.6379999998</v>
          </cell>
          <cell r="F323" t="str">
            <v>KSH</v>
          </cell>
          <cell r="G323" t="str">
            <v>CAR-US</v>
          </cell>
          <cell r="H323" t="str">
            <v>C14E@F7+LISA+ATIK414EX</v>
          </cell>
          <cell r="I323">
            <v>1000</v>
          </cell>
        </row>
        <row r="324">
          <cell r="B324">
            <v>312</v>
          </cell>
          <cell r="C324" t="str">
            <v>29/09/2020</v>
          </cell>
          <cell r="D324">
            <v>0.19305555555555554</v>
          </cell>
          <cell r="E324">
            <v>2459121.6948000002</v>
          </cell>
          <cell r="F324" t="str">
            <v>FAS</v>
          </cell>
          <cell r="G324" t="str">
            <v>DCO-US</v>
          </cell>
          <cell r="H324" t="str">
            <v>CDK14 LISA Atik414ex</v>
          </cell>
          <cell r="I324">
            <v>1065</v>
          </cell>
        </row>
        <row r="325">
          <cell r="B325">
            <v>313</v>
          </cell>
          <cell r="C325" t="str">
            <v>30/09/2020</v>
          </cell>
          <cell r="D325">
            <v>0.15763888888888888</v>
          </cell>
          <cell r="E325">
            <v>2459122.6593999998</v>
          </cell>
          <cell r="F325" t="str">
            <v>FAS</v>
          </cell>
          <cell r="G325" t="str">
            <v>DCO-US</v>
          </cell>
          <cell r="H325" t="str">
            <v>CDK14 LISA Atik414ex</v>
          </cell>
          <cell r="I325">
            <v>1068</v>
          </cell>
        </row>
        <row r="326">
          <cell r="B326">
            <v>314</v>
          </cell>
          <cell r="C326">
            <v>43840</v>
          </cell>
          <cell r="D326">
            <v>0.8027777777777777</v>
          </cell>
          <cell r="E326">
            <v>2459124.3136111102</v>
          </cell>
          <cell r="F326" t="str">
            <v>JMA</v>
          </cell>
          <cell r="G326" t="str">
            <v>HOR-UK</v>
          </cell>
          <cell r="H326" t="str">
            <v>C14 + Lhires III + Atik 460 EX</v>
          </cell>
          <cell r="I326">
            <v>14065</v>
          </cell>
        </row>
        <row r="327">
          <cell r="B327">
            <v>315</v>
          </cell>
          <cell r="C327">
            <v>44106</v>
          </cell>
          <cell r="D327">
            <v>0.12986111111111112</v>
          </cell>
          <cell r="E327">
            <v>2459124.6362999999</v>
          </cell>
          <cell r="F327" t="str">
            <v>KSH</v>
          </cell>
          <cell r="G327" t="str">
            <v>CAR-US</v>
          </cell>
          <cell r="H327" t="str">
            <v>KAS - DEVO Observatory</v>
          </cell>
          <cell r="I327">
            <v>1000</v>
          </cell>
        </row>
        <row r="328">
          <cell r="B328">
            <v>316</v>
          </cell>
          <cell r="C328">
            <v>44108</v>
          </cell>
          <cell r="D328">
            <v>0.9243055555555556</v>
          </cell>
          <cell r="E328">
            <v>2459127.4415000002</v>
          </cell>
          <cell r="F328" t="str">
            <v xml:space="preserve">FMT </v>
          </cell>
          <cell r="G328" t="str">
            <v>SMM-SP</v>
          </cell>
          <cell r="H328" t="str">
            <v>SC16+Echelle9000+Atik460EX</v>
          </cell>
          <cell r="I328">
            <v>9000</v>
          </cell>
        </row>
        <row r="329">
          <cell r="B329">
            <v>317</v>
          </cell>
          <cell r="C329">
            <v>44109</v>
          </cell>
          <cell r="D329">
            <v>0.10347222222222223</v>
          </cell>
          <cell r="E329">
            <v>2459127.6098000002</v>
          </cell>
          <cell r="F329" t="str">
            <v>KSH</v>
          </cell>
          <cell r="G329" t="str">
            <v>CAR-US</v>
          </cell>
          <cell r="H329" t="str">
            <v>C14E@F7+LISA+ATIK414EX</v>
          </cell>
          <cell r="I329">
            <v>1000</v>
          </cell>
        </row>
        <row r="330">
          <cell r="B330">
            <v>318</v>
          </cell>
          <cell r="C330">
            <v>44111</v>
          </cell>
          <cell r="D330">
            <v>0.15625</v>
          </cell>
          <cell r="E330">
            <v>2459129.6579999998</v>
          </cell>
          <cell r="F330" t="str">
            <v>FAS</v>
          </cell>
          <cell r="G330" t="str">
            <v>DCO-US</v>
          </cell>
          <cell r="H330" t="str">
            <v>CDK14 LISA Atik414ex</v>
          </cell>
          <cell r="I330">
            <v>1064</v>
          </cell>
        </row>
        <row r="331">
          <cell r="B331">
            <v>319</v>
          </cell>
          <cell r="C331">
            <v>44112</v>
          </cell>
          <cell r="D331">
            <v>0.98472222222222217</v>
          </cell>
          <cell r="E331">
            <v>2459131.514</v>
          </cell>
          <cell r="F331" t="str">
            <v>LES</v>
          </cell>
          <cell r="G331" t="str">
            <v>MRO-CA</v>
          </cell>
          <cell r="H331" t="str">
            <v>31cmDK+ESSAT_2</v>
          </cell>
          <cell r="I331">
            <v>14000</v>
          </cell>
        </row>
        <row r="332">
          <cell r="B332">
            <v>320</v>
          </cell>
          <cell r="C332">
            <v>44113</v>
          </cell>
          <cell r="D332">
            <v>0.80138888888888893</v>
          </cell>
          <cell r="E332">
            <v>2459132.3091000002</v>
          </cell>
          <cell r="F332" t="str">
            <v>TVE</v>
          </cell>
          <cell r="G332" t="str">
            <v>LAT-IT</v>
          </cell>
          <cell r="H332" t="str">
            <v>UVEX3 300 Atik314L C8</v>
          </cell>
          <cell r="I332">
            <v>853</v>
          </cell>
        </row>
        <row r="333">
          <cell r="B333">
            <v>321</v>
          </cell>
          <cell r="C333">
            <v>44115</v>
          </cell>
          <cell r="D333">
            <v>0.1125</v>
          </cell>
          <cell r="E333">
            <v>2459133.6184</v>
          </cell>
          <cell r="F333" t="str">
            <v>KSH</v>
          </cell>
          <cell r="G333" t="str">
            <v>CAR-US</v>
          </cell>
          <cell r="H333" t="str">
            <v>C14E@F7+LISA+ATIK414EX</v>
          </cell>
          <cell r="I333">
            <v>1000</v>
          </cell>
        </row>
        <row r="334">
          <cell r="B334">
            <v>322</v>
          </cell>
          <cell r="C334">
            <v>44116</v>
          </cell>
          <cell r="D334">
            <v>0.16666666666666666</v>
          </cell>
          <cell r="E334">
            <v>2459134.6683999998</v>
          </cell>
          <cell r="F334" t="str">
            <v>FAS</v>
          </cell>
          <cell r="G334" t="str">
            <v>DCO-US</v>
          </cell>
          <cell r="H334" t="str">
            <v>CDK14 LISA Atik414ex</v>
          </cell>
          <cell r="I334">
            <v>1050</v>
          </cell>
        </row>
        <row r="335">
          <cell r="B335">
            <v>323</v>
          </cell>
          <cell r="C335">
            <v>44119</v>
          </cell>
          <cell r="D335">
            <v>0.86458333333333337</v>
          </cell>
          <cell r="E335">
            <v>2459138.4031000002</v>
          </cell>
          <cell r="F335" t="str">
            <v>JGF</v>
          </cell>
          <cell r="G335" t="str">
            <v>SMM-SP</v>
          </cell>
          <cell r="H335" t="str">
            <v>16 REMOT LINX 460EX</v>
          </cell>
          <cell r="I335">
            <v>9500</v>
          </cell>
        </row>
        <row r="336">
          <cell r="B336">
            <v>324</v>
          </cell>
          <cell r="C336">
            <v>44120</v>
          </cell>
          <cell r="D336">
            <v>0.17222222222222225</v>
          </cell>
          <cell r="E336">
            <v>2459138.6800000002</v>
          </cell>
          <cell r="F336" t="str">
            <v>CUR</v>
          </cell>
          <cell r="G336" t="str">
            <v>YGU-US</v>
          </cell>
          <cell r="H336" t="str">
            <v>YG ALPY</v>
          </cell>
          <cell r="I336">
            <v>587</v>
          </cell>
        </row>
        <row r="337">
          <cell r="B337">
            <v>325</v>
          </cell>
          <cell r="C337">
            <v>44121</v>
          </cell>
          <cell r="D337">
            <v>0.1013888888888889</v>
          </cell>
          <cell r="E337">
            <v>2459139.6080999998</v>
          </cell>
          <cell r="F337" t="str">
            <v>KSH</v>
          </cell>
          <cell r="G337" t="str">
            <v>CAR-US</v>
          </cell>
          <cell r="H337" t="str">
            <v>C14E@F7+LISA+ATIK414EX</v>
          </cell>
          <cell r="I337">
            <v>1000</v>
          </cell>
        </row>
        <row r="338">
          <cell r="B338">
            <v>326</v>
          </cell>
          <cell r="C338">
            <v>44122</v>
          </cell>
          <cell r="D338">
            <v>0.8125</v>
          </cell>
          <cell r="E338">
            <v>2459141.3402999998</v>
          </cell>
          <cell r="F338" t="str">
            <v xml:space="preserve">FMT </v>
          </cell>
          <cell r="G338" t="str">
            <v>SMM-SP</v>
          </cell>
          <cell r="H338" t="str">
            <v>SC16+Echelle9000+Atik460EX</v>
          </cell>
          <cell r="I338">
            <v>9000</v>
          </cell>
        </row>
        <row r="339">
          <cell r="B339">
            <v>327</v>
          </cell>
          <cell r="C339">
            <v>44123</v>
          </cell>
          <cell r="D339">
            <v>0.14097222222222222</v>
          </cell>
          <cell r="E339">
            <v>2459141.6431</v>
          </cell>
          <cell r="F339" t="str">
            <v>FAS</v>
          </cell>
          <cell r="G339" t="str">
            <v>DCO-US</v>
          </cell>
          <cell r="H339" t="str">
            <v>CDK14 LISA Atik414ex</v>
          </cell>
          <cell r="I339">
            <v>1059</v>
          </cell>
        </row>
        <row r="340">
          <cell r="B340">
            <v>328</v>
          </cell>
          <cell r="C340">
            <v>44126</v>
          </cell>
          <cell r="D340">
            <v>0.72638888888888886</v>
          </cell>
          <cell r="E340">
            <v>2459145.2718000002</v>
          </cell>
          <cell r="F340" t="str">
            <v>SOL</v>
          </cell>
          <cell r="G340" t="str">
            <v>AQL-IT</v>
          </cell>
          <cell r="H340" t="str">
            <v>Slit_spec_ C9.25 _ST-8300M</v>
          </cell>
          <cell r="I340">
            <v>8189</v>
          </cell>
        </row>
        <row r="341">
          <cell r="B341">
            <v>329</v>
          </cell>
          <cell r="C341">
            <v>44126</v>
          </cell>
          <cell r="D341">
            <v>0.78611111111111109</v>
          </cell>
          <cell r="E341">
            <v>2459145.3384374999</v>
          </cell>
          <cell r="F341" t="str">
            <v>JMA</v>
          </cell>
          <cell r="G341" t="str">
            <v>HOR-UK</v>
          </cell>
          <cell r="H341" t="str">
            <v>C14 + Lhires III + Atik 460 EX</v>
          </cell>
          <cell r="I341">
            <v>14497</v>
          </cell>
        </row>
        <row r="342">
          <cell r="B342">
            <v>330</v>
          </cell>
          <cell r="C342">
            <v>44127</v>
          </cell>
          <cell r="D342">
            <v>0.81597222222222221</v>
          </cell>
          <cell r="E342">
            <v>2459146.3565000002</v>
          </cell>
          <cell r="F342" t="str">
            <v xml:space="preserve">FMT </v>
          </cell>
          <cell r="G342" t="str">
            <v>SMM-SP</v>
          </cell>
          <cell r="H342" t="str">
            <v>SC16+Echelle9000+Atik460EX</v>
          </cell>
          <cell r="I342">
            <v>9000</v>
          </cell>
        </row>
        <row r="343">
          <cell r="B343">
            <v>331</v>
          </cell>
          <cell r="C343">
            <v>44129</v>
          </cell>
          <cell r="D343">
            <v>0.91388888888888886</v>
          </cell>
          <cell r="E343">
            <v>2459148.4267000002</v>
          </cell>
          <cell r="F343" t="str">
            <v>DBO</v>
          </cell>
          <cell r="G343" t="str">
            <v>WCO-UK</v>
          </cell>
          <cell r="H343" t="str">
            <v>C11 + LISA + SXVR-H694</v>
          </cell>
          <cell r="I343">
            <v>1070</v>
          </cell>
        </row>
        <row r="344">
          <cell r="B344">
            <v>332</v>
          </cell>
          <cell r="C344">
            <v>44132</v>
          </cell>
          <cell r="D344">
            <v>0.48402777777777778</v>
          </cell>
          <cell r="E344">
            <v>2459151.0194999999</v>
          </cell>
          <cell r="F344" t="str">
            <v>CEL</v>
          </cell>
          <cell r="G344" t="str">
            <v>MAR-AU</v>
          </cell>
          <cell r="H344" t="str">
            <v>CDK1000-Alpy600-Atik460EX</v>
          </cell>
          <cell r="I344">
            <v>10000</v>
          </cell>
        </row>
        <row r="345">
          <cell r="B345">
            <v>333</v>
          </cell>
          <cell r="C345">
            <v>44132</v>
          </cell>
          <cell r="D345">
            <v>0.82430555555555562</v>
          </cell>
          <cell r="E345">
            <v>2459151.3646</v>
          </cell>
          <cell r="F345" t="str">
            <v>JGF</v>
          </cell>
          <cell r="G345" t="str">
            <v>SMM-SP</v>
          </cell>
          <cell r="H345" t="str">
            <v>16 REMOT LINX 460EX</v>
          </cell>
          <cell r="I345">
            <v>9500</v>
          </cell>
        </row>
        <row r="346">
          <cell r="B346">
            <v>334</v>
          </cell>
          <cell r="C346">
            <v>44135</v>
          </cell>
          <cell r="D346">
            <v>0.77847222222222223</v>
          </cell>
          <cell r="E346">
            <v>2459154.3341000001</v>
          </cell>
          <cell r="F346" t="str">
            <v xml:space="preserve">FMT </v>
          </cell>
          <cell r="G346" t="str">
            <v>SMM-SP</v>
          </cell>
          <cell r="H346" t="str">
            <v>SC16+Echelle9000+Atik460EX</v>
          </cell>
          <cell r="I346">
            <v>9000</v>
          </cell>
        </row>
        <row r="347">
          <cell r="B347">
            <v>335</v>
          </cell>
          <cell r="C347">
            <v>44140</v>
          </cell>
          <cell r="D347">
            <v>0.79513888888888884</v>
          </cell>
          <cell r="E347">
            <v>2459159.2990000001</v>
          </cell>
          <cell r="F347" t="str">
            <v xml:space="preserve">FMT </v>
          </cell>
          <cell r="G347" t="str">
            <v>ROU-FR</v>
          </cell>
          <cell r="H347" t="str">
            <v>SC14+eShel+460EX_b2</v>
          </cell>
          <cell r="I347">
            <v>11000</v>
          </cell>
        </row>
        <row r="348">
          <cell r="B348">
            <v>336</v>
          </cell>
          <cell r="C348">
            <v>44144</v>
          </cell>
          <cell r="D348">
            <v>0.76527777777777783</v>
          </cell>
          <cell r="E348">
            <v>2459163.3004999999</v>
          </cell>
          <cell r="F348" t="str">
            <v>JGF</v>
          </cell>
          <cell r="G348" t="str">
            <v>PIE-SP</v>
          </cell>
          <cell r="H348" t="str">
            <v>NOU_T</v>
          </cell>
          <cell r="I348">
            <v>10000</v>
          </cell>
        </row>
        <row r="349">
          <cell r="B349">
            <v>337</v>
          </cell>
          <cell r="C349">
            <v>44156</v>
          </cell>
          <cell r="D349">
            <v>0.77569444444444446</v>
          </cell>
          <cell r="E349">
            <v>2459175.2763</v>
          </cell>
          <cell r="F349" t="str">
            <v xml:space="preserve">FMT </v>
          </cell>
          <cell r="G349" t="str">
            <v>SMM-SP</v>
          </cell>
          <cell r="H349" t="str">
            <v>SC16+Echelle9000+Atik460EX</v>
          </cell>
          <cell r="I349">
            <v>9000</v>
          </cell>
        </row>
        <row r="350">
          <cell r="B350">
            <v>338</v>
          </cell>
          <cell r="C350">
            <v>44152</v>
          </cell>
          <cell r="D350">
            <v>0.82638888888888884</v>
          </cell>
          <cell r="E350">
            <v>2459171.3530999999</v>
          </cell>
          <cell r="F350" t="str">
            <v>JGF</v>
          </cell>
          <cell r="G350" t="str">
            <v>SMM-SP</v>
          </cell>
          <cell r="H350" t="str">
            <v>16 REMOT LINX 460EX</v>
          </cell>
          <cell r="I350">
            <v>9500</v>
          </cell>
        </row>
        <row r="351">
          <cell r="B351">
            <v>339</v>
          </cell>
          <cell r="C351">
            <v>44156</v>
          </cell>
          <cell r="D351">
            <v>0.84027777777777779</v>
          </cell>
          <cell r="E351">
            <v>2459175.3439946179</v>
          </cell>
          <cell r="F351" t="str">
            <v>FBO</v>
          </cell>
          <cell r="G351" t="str">
            <v>SJI-FR</v>
          </cell>
          <cell r="H351" t="str">
            <v>C8_LISA_ATIK414</v>
          </cell>
          <cell r="I351">
            <v>1000</v>
          </cell>
        </row>
        <row r="352">
          <cell r="B352">
            <v>340</v>
          </cell>
          <cell r="C352">
            <v>44177</v>
          </cell>
          <cell r="D352">
            <v>0.81874999999999998</v>
          </cell>
          <cell r="E352">
            <v>2459196.3363999999</v>
          </cell>
          <cell r="F352" t="str">
            <v>DBO</v>
          </cell>
          <cell r="G352" t="str">
            <v>WCO-UK</v>
          </cell>
          <cell r="H352" t="str">
            <v>C11 + LISA + SXVR-H694</v>
          </cell>
          <cell r="I352">
            <v>1021</v>
          </cell>
        </row>
        <row r="353">
          <cell r="B353">
            <v>341</v>
          </cell>
          <cell r="C353">
            <v>44189</v>
          </cell>
          <cell r="D353">
            <v>0.12013888888888889</v>
          </cell>
          <cell r="E353">
            <v>2459207.6312000002</v>
          </cell>
          <cell r="F353" t="str">
            <v>CUR</v>
          </cell>
          <cell r="G353" t="str">
            <v>YGU-US</v>
          </cell>
          <cell r="H353" t="str">
            <v>YG ALPY</v>
          </cell>
          <cell r="I353">
            <v>566</v>
          </cell>
        </row>
        <row r="354">
          <cell r="B354">
            <v>343</v>
          </cell>
          <cell r="C354">
            <v>44194</v>
          </cell>
          <cell r="D354">
            <v>0.11597222222222221</v>
          </cell>
          <cell r="E354">
            <v>2459212.6250999998</v>
          </cell>
          <cell r="F354" t="str">
            <v>CUR</v>
          </cell>
          <cell r="G354" t="str">
            <v>YGU-US</v>
          </cell>
          <cell r="H354" t="str">
            <v>YG ALPY</v>
          </cell>
          <cell r="I354">
            <v>564</v>
          </cell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>
        <row r="13">
          <cell r="C13">
            <v>40502</v>
          </cell>
        </row>
      </sheetData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1"/>
      <sheetName val="MacrosPerso"/>
    </sheetNames>
    <definedNames>
      <definedName name="DateToJD"/>
    </definedNames>
    <sheetDataSet>
      <sheetData sheetId="0"/>
      <sheetData sheetId="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Tri"/>
      <sheetName val="V"/>
      <sheetName val="B"/>
      <sheetName val="M"/>
      <sheetName val="Feuil1"/>
      <sheetName val="Ech"/>
    </sheetNames>
    <sheetDataSet>
      <sheetData sheetId="0"/>
      <sheetData sheetId="1"/>
      <sheetData sheetId="2"/>
      <sheetData sheetId="3"/>
      <sheetData sheetId="4"/>
      <sheetData sheetId="5">
        <row r="1">
          <cell r="A1">
            <v>1</v>
          </cell>
        </row>
        <row r="3">
          <cell r="A3">
            <v>1</v>
          </cell>
          <cell r="B3" t="str">
            <v>b</v>
          </cell>
        </row>
        <row r="4">
          <cell r="A4">
            <v>2</v>
          </cell>
          <cell r="B4" t="str">
            <v>r</v>
          </cell>
        </row>
        <row r="5">
          <cell r="A5">
            <v>3</v>
          </cell>
          <cell r="B5" t="str">
            <v>k</v>
          </cell>
        </row>
        <row r="6">
          <cell r="A6">
            <v>4</v>
          </cell>
          <cell r="B6" t="str">
            <v>g</v>
          </cell>
        </row>
      </sheetData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Vis"/>
      <sheetName val="V"/>
      <sheetName val="B-V"/>
      <sheetName val="B"/>
      <sheetName val="M"/>
      <sheetName val="CICyg_AAVSO_V"/>
      <sheetName val="Feuil1"/>
    </sheetNames>
    <definedNames>
      <definedName name="m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2:R371"/>
  <sheetViews>
    <sheetView showGridLines="0" topLeftCell="A338" workbookViewId="0">
      <selection activeCell="Q337" sqref="Q337"/>
    </sheetView>
  </sheetViews>
  <sheetFormatPr baseColWidth="10" defaultRowHeight="15" x14ac:dyDescent="0.25"/>
  <cols>
    <col min="3" max="3" width="11.85546875" bestFit="1" customWidth="1"/>
    <col min="5" max="5" width="13" bestFit="1" customWidth="1"/>
    <col min="6" max="6" width="13" customWidth="1"/>
  </cols>
  <sheetData>
    <row r="2" spans="1:14" x14ac:dyDescent="0.25">
      <c r="A2">
        <v>2431667.5</v>
      </c>
    </row>
    <row r="3" spans="1:14" x14ac:dyDescent="0.25">
      <c r="A3">
        <v>816.5</v>
      </c>
      <c r="N3" t="s">
        <v>97</v>
      </c>
    </row>
    <row r="16" spans="1:14" x14ac:dyDescent="0.25">
      <c r="D16">
        <f>+E126</f>
        <v>2457307.5438000001</v>
      </c>
      <c r="E16">
        <v>7</v>
      </c>
      <c r="J16">
        <v>2457200</v>
      </c>
      <c r="K16">
        <v>10</v>
      </c>
    </row>
    <row r="17" spans="1:16" x14ac:dyDescent="0.25">
      <c r="D17">
        <f>+D16:E16</f>
        <v>2457307.5438000001</v>
      </c>
      <c r="E17">
        <v>8.5</v>
      </c>
      <c r="J17">
        <v>2457330</v>
      </c>
      <c r="K17">
        <f>+K16</f>
        <v>10</v>
      </c>
    </row>
    <row r="21" spans="1:16" x14ac:dyDescent="0.25">
      <c r="C21" t="s">
        <v>1</v>
      </c>
    </row>
    <row r="22" spans="1:16" x14ac:dyDescent="0.25">
      <c r="O22">
        <v>8</v>
      </c>
      <c r="P22">
        <v>8</v>
      </c>
    </row>
    <row r="25" spans="1:16" x14ac:dyDescent="0.25">
      <c r="B25" s="7" t="str">
        <f>IF([2]AGPeg!B11&lt;&gt;"",[2]AGPeg!B11,"")</f>
        <v>#</v>
      </c>
      <c r="C25" s="8" t="str">
        <f>IF([2]AGPeg!C11&lt;&gt;"",[2]AGPeg!C11,"")</f>
        <v>Date</v>
      </c>
      <c r="D25" s="9" t="str">
        <f>IF([2]AGPeg!D11&lt;&gt;"",[2]AGPeg!D11,"")</f>
        <v>Time (UT)</v>
      </c>
      <c r="E25" s="7" t="str">
        <f>IF([2]AGPeg!E11&lt;&gt;"",[2]AGPeg!E11,"")</f>
        <v>J.D. mid</v>
      </c>
      <c r="F25" s="7"/>
      <c r="G25" s="7" t="str">
        <f>IF([2]AGPeg!F11&lt;&gt;"",[2]AGPeg!F11,"")</f>
        <v>Observer</v>
      </c>
      <c r="H25" s="7" t="str">
        <f>IF([2]AGPeg!G11&lt;&gt;"",[2]AGPeg!G11,"")</f>
        <v>Site</v>
      </c>
      <c r="I25" s="7" t="str">
        <f>IF([2]AGPeg!H11&lt;&gt;"",[2]AGPeg!H11,"")</f>
        <v>Instrument</v>
      </c>
      <c r="J25" s="7" t="str">
        <f>IF([2]AGPeg!I11&lt;&gt;"",[2]AGPeg!I11,"")</f>
        <v>Resolution</v>
      </c>
      <c r="K25" s="7" t="str">
        <f>IF([2]AGPeg!J11&lt;&gt;"",[2]AGPeg!J11,"")</f>
        <v>R</v>
      </c>
    </row>
    <row r="26" spans="1:16" x14ac:dyDescent="0.25">
      <c r="B26" s="7" t="str">
        <f>IF([2]AGPeg!B12&lt;&gt;"",[2]AGPeg!B12,"")</f>
        <v/>
      </c>
      <c r="C26" s="8" t="str">
        <f>IF([2]AGPeg!C12&lt;&gt;"",[2]AGPeg!C12,"")</f>
        <v/>
      </c>
      <c r="D26" s="9" t="str">
        <f>IF([2]AGPeg!D12&lt;&gt;"",[2]AGPeg!D12,"")</f>
        <v/>
      </c>
      <c r="E26" s="7" t="str">
        <f>IF([2]AGPeg!E12&lt;&gt;"",[2]AGPeg!E12,"")</f>
        <v/>
      </c>
      <c r="F26" s="7"/>
      <c r="G26" s="7" t="str">
        <f>IF([2]AGPeg!F12&lt;&gt;"",[2]AGPeg!F12,"")</f>
        <v/>
      </c>
      <c r="H26" s="7" t="str">
        <f>IF([2]AGPeg!G12&lt;&gt;"",[2]AGPeg!G12,"")</f>
        <v/>
      </c>
      <c r="I26" s="7" t="str">
        <f>IF([2]AGPeg!H12&lt;&gt;"",[2]AGPeg!H12,"")</f>
        <v/>
      </c>
      <c r="J26" s="7" t="str">
        <f>IF([2]AGPeg!I12&lt;&gt;"",[2]AGPeg!I12,"")</f>
        <v/>
      </c>
      <c r="K26" s="7" t="str">
        <f>IF([2]AGPeg!J12&lt;&gt;"",[2]AGPeg!J12,"")</f>
        <v/>
      </c>
    </row>
    <row r="27" spans="1:16" x14ac:dyDescent="0.25">
      <c r="B27" s="7">
        <f>IF([2]AGPeg!B13&lt;&gt;"",[2]AGPeg!B13,"")</f>
        <v>1</v>
      </c>
      <c r="C27" s="8">
        <f>IF([2]AGPeg!C13&lt;&gt;"",[2]AGPeg!C13,"")</f>
        <v>40153</v>
      </c>
      <c r="D27" s="9">
        <f>IF([2]AGPeg!D13&lt;&gt;"",[2]AGPeg!D13,"")</f>
        <v>0.7319444444444444</v>
      </c>
      <c r="E27" s="7" t="e">
        <f ca="1">+[3]!DateToJD(C27)</f>
        <v>#NAME?</v>
      </c>
      <c r="F27" s="20" t="e">
        <f ca="1">(E27-$A$2)/$A$3-INT((E27-$A$2)/$A$3)</f>
        <v>#NAME?</v>
      </c>
      <c r="G27" s="7" t="str">
        <f>IF([2]AGPeg!F13&lt;&gt;"",[2]AGPeg!F13,"")</f>
        <v xml:space="preserve">FMT </v>
      </c>
      <c r="H27" s="7" t="str">
        <f>IF([2]AGPeg!G13&lt;&gt;"",[2]AGPeg!G13,"")</f>
        <v>ORS-FR</v>
      </c>
      <c r="I27" s="7" t="str">
        <f>IF([2]AGPeg!H13&lt;&gt;"",[2]AGPeg!H13,"")</f>
        <v>SC10+LhiresIII_150</v>
      </c>
      <c r="J27" s="7">
        <f>IF([2]AGPeg!I13&lt;&gt;"",[2]AGPeg!I13,"")</f>
        <v>800</v>
      </c>
      <c r="K27" s="7" t="str">
        <f>IF([2]AGPeg!J13&lt;&gt;"",[2]AGPeg!J13,"")</f>
        <v/>
      </c>
    </row>
    <row r="28" spans="1:16" x14ac:dyDescent="0.25">
      <c r="B28" s="7">
        <f>IF([2]AGPeg!B14&lt;&gt;"",[2]AGPeg!B14,"")</f>
        <v>2</v>
      </c>
      <c r="C28" s="8">
        <f>IF([2]AGPeg!C14&lt;&gt;"",[2]AGPeg!C14,"")</f>
        <v>40446</v>
      </c>
      <c r="D28" s="9">
        <f>IF([2]AGPeg!D14&lt;&gt;"",[2]AGPeg!D14,"")</f>
        <v>0.88252314814814825</v>
      </c>
      <c r="E28" s="7" t="e">
        <f ca="1">+[3]!DateToJD(C28)</f>
        <v>#NAME?</v>
      </c>
      <c r="F28" s="20" t="e">
        <f t="shared" ref="F28:F91" ca="1" si="0">(E28-$A$2)/$A$3-INT((E28-$A$2)/$A$3)</f>
        <v>#NAME?</v>
      </c>
      <c r="G28" s="7" t="str">
        <f>IF([2]AGPeg!F14&lt;&gt;"",[2]AGPeg!F14,"")</f>
        <v xml:space="preserve">FMT </v>
      </c>
      <c r="H28" s="7" t="str">
        <f>IF([2]AGPeg!G14&lt;&gt;"",[2]AGPeg!G14,"")</f>
        <v>ORS-FR</v>
      </c>
      <c r="I28" s="7" t="str">
        <f>IF([2]AGPeg!H14&lt;&gt;"",[2]AGPeg!H14,"")</f>
        <v>SC10+LhiresIII_150</v>
      </c>
      <c r="J28" s="7">
        <f>IF([2]AGPeg!I14&lt;&gt;"",[2]AGPeg!I14,"")</f>
        <v>800</v>
      </c>
      <c r="K28" s="7" t="str">
        <f>IF([2]AGPeg!J14&lt;&gt;"",[2]AGPeg!J14,"")</f>
        <v/>
      </c>
    </row>
    <row r="29" spans="1:16" x14ac:dyDescent="0.25">
      <c r="B29" s="7">
        <f>IF([2]AGPeg!B15&lt;&gt;"",[2]AGPeg!B15,"")</f>
        <v>3</v>
      </c>
      <c r="C29" s="8">
        <f>IF([2]AGPeg!C15&lt;&gt;"",[2]AGPeg!C15,"")</f>
        <v>40482</v>
      </c>
      <c r="D29" s="9">
        <f>IF([2]AGPeg!D15&lt;&gt;"",[2]AGPeg!D15,"")</f>
        <v>0.87258101851851855</v>
      </c>
      <c r="E29" s="7" t="e">
        <f ca="1">+[3]!DateToJD(C29)</f>
        <v>#NAME?</v>
      </c>
      <c r="F29" s="20" t="e">
        <f t="shared" ca="1" si="0"/>
        <v>#NAME?</v>
      </c>
      <c r="G29" s="7" t="str">
        <f>IF([2]AGPeg!F15&lt;&gt;"",[2]AGPeg!F15,"")</f>
        <v xml:space="preserve">FMT </v>
      </c>
      <c r="H29" s="7" t="str">
        <f>IF([2]AGPeg!G15&lt;&gt;"",[2]AGPeg!G15,"")</f>
        <v>ORS-FR</v>
      </c>
      <c r="I29" s="7" t="str">
        <f>IF([2]AGPeg!H15&lt;&gt;"",[2]AGPeg!H15,"")</f>
        <v>SC10+LhiresIII_150</v>
      </c>
      <c r="J29" s="7">
        <f>IF([2]AGPeg!I15&lt;&gt;"",[2]AGPeg!I15,"")</f>
        <v>800</v>
      </c>
      <c r="K29" s="7" t="str">
        <f>IF([2]AGPeg!J15&lt;&gt;"",[2]AGPeg!J15,"")</f>
        <v/>
      </c>
    </row>
    <row r="30" spans="1:16" x14ac:dyDescent="0.25">
      <c r="B30" s="7">
        <f>IF([2]AGPeg!B16&lt;&gt;"",[2]AGPeg!B16,"")</f>
        <v>4</v>
      </c>
      <c r="C30" s="8">
        <f>IF([2]AGPeg!C16&lt;&gt;"",[2]AGPeg!C16,"")</f>
        <v>40776</v>
      </c>
      <c r="D30" s="9">
        <f>IF([2]AGPeg!D16&lt;&gt;"",[2]AGPeg!D16,"")</f>
        <v>0.97531249999999992</v>
      </c>
      <c r="E30" s="7" t="e">
        <f ca="1">+[3]!DateToJD(C30)</f>
        <v>#NAME?</v>
      </c>
      <c r="F30" s="20" t="e">
        <f t="shared" ca="1" si="0"/>
        <v>#NAME?</v>
      </c>
      <c r="G30" s="7" t="str">
        <f>IF([2]AGPeg!F16&lt;&gt;"",[2]AGPeg!F16,"")</f>
        <v xml:space="preserve">FMT </v>
      </c>
      <c r="H30" s="7" t="str">
        <f>IF([2]AGPeg!G16&lt;&gt;"",[2]AGPeg!G16,"")</f>
        <v>ORS-FR</v>
      </c>
      <c r="I30" s="7" t="str">
        <f>IF([2]AGPeg!H16&lt;&gt;"",[2]AGPeg!H16,"")</f>
        <v>SC10+Lisa</v>
      </c>
      <c r="J30" s="7">
        <f>IF([2]AGPeg!I16&lt;&gt;"",[2]AGPeg!I16,"")</f>
        <v>800</v>
      </c>
      <c r="K30" s="7" t="str">
        <f>IF([2]AGPeg!J16&lt;&gt;"",[2]AGPeg!J16,"")</f>
        <v/>
      </c>
    </row>
    <row r="31" spans="1:16" x14ac:dyDescent="0.25">
      <c r="B31" s="7">
        <f>IF([2]AGPeg!B17&lt;&gt;"",[2]AGPeg!B17,"")</f>
        <v>5</v>
      </c>
      <c r="C31" s="8">
        <f>IF([2]AGPeg!C17&lt;&gt;"",[2]AGPeg!C17,"")</f>
        <v>40832</v>
      </c>
      <c r="D31" s="9">
        <f>IF([2]AGPeg!D17&lt;&gt;"",[2]AGPeg!D17,"")</f>
        <v>0.8384490740740741</v>
      </c>
      <c r="E31" s="7" t="e">
        <f ca="1">+[3]!DateToJD(C31)</f>
        <v>#NAME?</v>
      </c>
      <c r="F31" s="20" t="e">
        <f t="shared" ca="1" si="0"/>
        <v>#NAME?</v>
      </c>
      <c r="G31" s="7" t="str">
        <f>IF([2]AGPeg!F17&lt;&gt;"",[2]AGPeg!F17,"")</f>
        <v>BUI</v>
      </c>
      <c r="H31" s="7" t="str">
        <f>IF([2]AGPeg!G17&lt;&gt;"",[2]AGPeg!G17,"")</f>
        <v>CAS-FR</v>
      </c>
      <c r="I31" s="7" t="str">
        <f>IF([2]AGPeg!H17&lt;&gt;"",[2]AGPeg!H17,"")</f>
        <v>SC11+Lisa+Atik314</v>
      </c>
      <c r="J31" s="7">
        <f>IF([2]AGPeg!I17&lt;&gt;"",[2]AGPeg!I17,"")</f>
        <v>800</v>
      </c>
      <c r="K31" s="7" t="str">
        <f>IF([2]AGPeg!J17&lt;&gt;"",[2]AGPeg!J17,"")</f>
        <v/>
      </c>
    </row>
    <row r="32" spans="1:16" x14ac:dyDescent="0.25">
      <c r="A32">
        <f>(E32-$A$2)/$A$3</f>
        <v>29.964538273116972</v>
      </c>
      <c r="B32" s="7">
        <f>IF([2]AGPeg!B18&lt;&gt;"",[2]AGPeg!B18,"")</f>
        <v>6</v>
      </c>
      <c r="C32" s="21">
        <f>IF([2]AGPeg!C18&lt;&gt;"",[2]AGPeg!C18,"")</f>
        <v>41115</v>
      </c>
      <c r="D32" s="9">
        <f>IF([2]AGPeg!D18&lt;&gt;"",[2]AGPeg!D18,"")</f>
        <v>3.8819444444444441E-2</v>
      </c>
      <c r="E32" s="7">
        <f>IF([2]AGPeg!E18&lt;&gt;"",[2]AGPeg!E18,"")</f>
        <v>2456133.5455</v>
      </c>
      <c r="F32" s="20">
        <f t="shared" si="0"/>
        <v>0.96453827311697182</v>
      </c>
      <c r="G32" s="7" t="str">
        <f>IF([2]AGPeg!F18&lt;&gt;"",[2]AGPeg!F18,"")</f>
        <v xml:space="preserve">FMT </v>
      </c>
      <c r="H32" s="7" t="str">
        <f>IF([2]AGPeg!G18&lt;&gt;"",[2]AGPeg!G18,"")</f>
        <v>ORS-FR</v>
      </c>
      <c r="I32" s="7" t="str">
        <f>IF([2]AGPeg!H18&lt;&gt;"",[2]AGPeg!H18,"")</f>
        <v>SC25cm+Lisa</v>
      </c>
      <c r="J32" s="7">
        <f>IF([2]AGPeg!I18&lt;&gt;"",[2]AGPeg!I18,"")</f>
        <v>1000</v>
      </c>
      <c r="K32" s="7" t="str">
        <f>IF([2]AGPeg!J18&lt;&gt;"",[2]AGPeg!J18,"")</f>
        <v/>
      </c>
    </row>
    <row r="33" spans="1:11" x14ac:dyDescent="0.25">
      <c r="A33">
        <f t="shared" ref="A33:A96" si="1">(E33-$A$2)/$A$3</f>
        <v>30.019507654623197</v>
      </c>
      <c r="B33" s="7">
        <f>IF([2]AGPeg!B19&lt;&gt;"",[2]AGPeg!B19,"")</f>
        <v>7</v>
      </c>
      <c r="C33" s="21">
        <f>IF([2]AGPeg!C19&lt;&gt;"",[2]AGPeg!C19,"")</f>
        <v>41159</v>
      </c>
      <c r="D33" s="9">
        <f>IF([2]AGPeg!D19&lt;&gt;"",[2]AGPeg!D19,"")</f>
        <v>0.91184027777777776</v>
      </c>
      <c r="E33" s="7">
        <f>IF([2]AGPeg!E19&lt;&gt;"",[2]AGPeg!E19,"")</f>
        <v>2456178.4279999998</v>
      </c>
      <c r="F33" s="20">
        <f t="shared" si="0"/>
        <v>1.9507654623197368E-2</v>
      </c>
      <c r="G33" s="7" t="str">
        <f>IF([2]AGPeg!F19&lt;&gt;"",[2]AGPeg!F19,"")</f>
        <v xml:space="preserve">FMT </v>
      </c>
      <c r="H33" s="7" t="str">
        <f>IF([2]AGPeg!G19&lt;&gt;"",[2]AGPeg!G19,"")</f>
        <v>ORS-FR</v>
      </c>
      <c r="I33" s="7" t="str">
        <f>IF([2]AGPeg!H19&lt;&gt;"",[2]AGPeg!H19,"")</f>
        <v>SC25cm+Lisa</v>
      </c>
      <c r="J33" s="7">
        <f>IF([2]AGPeg!I19&lt;&gt;"",[2]AGPeg!I19,"")</f>
        <v>1000</v>
      </c>
      <c r="K33" s="7" t="str">
        <f>IF([2]AGPeg!J19&lt;&gt;"",[2]AGPeg!J19,"")</f>
        <v/>
      </c>
    </row>
    <row r="34" spans="1:11" x14ac:dyDescent="0.25">
      <c r="A34">
        <f t="shared" si="1"/>
        <v>30.067173300673687</v>
      </c>
      <c r="B34" s="7">
        <f>IF([2]AGPeg!B20&lt;&gt;"",[2]AGPeg!B20,"")</f>
        <v>8</v>
      </c>
      <c r="C34" s="8">
        <f>IF([2]AGPeg!C20&lt;&gt;"",[2]AGPeg!C20,"")</f>
        <v>41198</v>
      </c>
      <c r="D34" s="9">
        <f>IF([2]AGPeg!D20&lt;&gt;"",[2]AGPeg!D20,"")</f>
        <v>0.83275462962962965</v>
      </c>
      <c r="E34" s="7">
        <f>IF([2]AGPeg!E20&lt;&gt;"",[2]AGPeg!E20,"")</f>
        <v>2456217.3470000001</v>
      </c>
      <c r="F34" s="20">
        <f t="shared" si="0"/>
        <v>6.7173300673687208E-2</v>
      </c>
      <c r="G34" s="7" t="str">
        <f>IF([2]AGPeg!F20&lt;&gt;"",[2]AGPeg!F20,"")</f>
        <v xml:space="preserve">FMT </v>
      </c>
      <c r="H34" s="7" t="str">
        <f>IF([2]AGPeg!G20&lt;&gt;"",[2]AGPeg!G20,"")</f>
        <v>ORS-FR</v>
      </c>
      <c r="I34" s="7" t="str">
        <f>IF([2]AGPeg!H20&lt;&gt;"",[2]AGPeg!H20,"")</f>
        <v>SC25cm+Lisa</v>
      </c>
      <c r="J34" s="7">
        <f>IF([2]AGPeg!I20&lt;&gt;"",[2]AGPeg!I20,"")</f>
        <v>959</v>
      </c>
      <c r="K34" s="7" t="str">
        <f>IF([2]AGPeg!J20&lt;&gt;"",[2]AGPeg!J20,"")</f>
        <v/>
      </c>
    </row>
    <row r="35" spans="1:11" x14ac:dyDescent="0.25">
      <c r="A35">
        <f t="shared" si="1"/>
        <v>30.098981751377689</v>
      </c>
      <c r="B35" s="7">
        <f>IF([2]AGPeg!B21&lt;&gt;"",[2]AGPeg!B21,"")</f>
        <v>9</v>
      </c>
      <c r="C35" s="8">
        <f>IF([2]AGPeg!C21&lt;&gt;"",[2]AGPeg!C21,"")</f>
        <v>41224</v>
      </c>
      <c r="D35" s="9">
        <f>IF([2]AGPeg!D21&lt;&gt;"",[2]AGPeg!D21,"")</f>
        <v>0.80276620370370377</v>
      </c>
      <c r="E35" s="7">
        <f>IF([2]AGPeg!E21&lt;&gt;"",[2]AGPeg!E21,"")</f>
        <v>2456243.3185999999</v>
      </c>
      <c r="F35" s="20">
        <f t="shared" si="0"/>
        <v>9.8981751377689164E-2</v>
      </c>
      <c r="G35" s="7" t="str">
        <f>IF([2]AGPeg!F21&lt;&gt;"",[2]AGPeg!F21,"")</f>
        <v xml:space="preserve">FMT </v>
      </c>
      <c r="H35" s="7" t="str">
        <f>IF([2]AGPeg!G21&lt;&gt;"",[2]AGPeg!G21,"")</f>
        <v>ORS-FR</v>
      </c>
      <c r="I35" s="7" t="str">
        <f>IF([2]AGPeg!H21&lt;&gt;"",[2]AGPeg!H21,"")</f>
        <v>SC25cm+Lisa</v>
      </c>
      <c r="J35" s="7">
        <f>IF([2]AGPeg!I21&lt;&gt;"",[2]AGPeg!I21,"")</f>
        <v>909</v>
      </c>
      <c r="K35" s="7" t="str">
        <f>IF([2]AGPeg!J21&lt;&gt;"",[2]AGPeg!J21,"")</f>
        <v/>
      </c>
    </row>
    <row r="36" spans="1:11" x14ac:dyDescent="0.25">
      <c r="A36">
        <f t="shared" si="1"/>
        <v>30.429976240049111</v>
      </c>
      <c r="B36" s="7">
        <f>IF([2]AGPeg!B22&lt;&gt;"",[2]AGPeg!B22,"")</f>
        <v>10</v>
      </c>
      <c r="C36" s="8">
        <f>IF([2]AGPeg!C22&lt;&gt;"",[2]AGPeg!C22,"")</f>
        <v>41495</v>
      </c>
      <c r="D36" s="9">
        <f>IF([2]AGPeg!D22&lt;&gt;"",[2]AGPeg!D22,"")</f>
        <v>6.6608796296296291E-2</v>
      </c>
      <c r="E36" s="7">
        <f>IF([2]AGPeg!E22&lt;&gt;"",[2]AGPeg!E22,"")</f>
        <v>2456513.5756000001</v>
      </c>
      <c r="F36" s="20">
        <f t="shared" si="0"/>
        <v>0.42997624004911117</v>
      </c>
      <c r="G36" s="7" t="str">
        <f>IF([2]AGPeg!F22&lt;&gt;"",[2]AGPeg!F22,"")</f>
        <v>DES</v>
      </c>
      <c r="H36" s="7" t="str">
        <f>IF([2]AGPeg!G22&lt;&gt;"",[2]AGPeg!G22,"")</f>
        <v>OHP-FR</v>
      </c>
      <c r="I36" s="7" t="str">
        <f>IF([2]AGPeg!H22&lt;&gt;"",[2]AGPeg!H22,"")</f>
        <v>SC9+LhiresIII_2400</v>
      </c>
      <c r="J36" s="7">
        <f>IF([2]AGPeg!I22&lt;&gt;"",[2]AGPeg!I22,"")</f>
        <v>13699</v>
      </c>
      <c r="K36" s="7" t="str">
        <f>IF([2]AGPeg!J22&lt;&gt;"",[2]AGPeg!J22,"")</f>
        <v/>
      </c>
    </row>
    <row r="37" spans="1:11" x14ac:dyDescent="0.25">
      <c r="A37">
        <f t="shared" si="1"/>
        <v>30.431055113288249</v>
      </c>
      <c r="B37" s="7">
        <f>IF([2]AGPeg!B23&lt;&gt;"",[2]AGPeg!B23,"")</f>
        <v>11</v>
      </c>
      <c r="C37" s="8">
        <f>IF([2]AGPeg!C23&lt;&gt;"",[2]AGPeg!C23,"")</f>
        <v>41495</v>
      </c>
      <c r="D37" s="9">
        <f>IF([2]AGPeg!D23&lt;&gt;"",[2]AGPeg!D23,"")</f>
        <v>0.93945601851851857</v>
      </c>
      <c r="E37" s="7">
        <f>IF([2]AGPeg!E23&lt;&gt;"",[2]AGPeg!E23,"")</f>
        <v>2456514.4564999999</v>
      </c>
      <c r="F37" s="20">
        <f t="shared" si="0"/>
        <v>0.43105511328824875</v>
      </c>
      <c r="G37" s="7" t="str">
        <f>IF([2]AGPeg!F23&lt;&gt;"",[2]AGPeg!F23,"")</f>
        <v xml:space="preserve">FMT </v>
      </c>
      <c r="H37" s="7" t="str">
        <f>IF([2]AGPeg!G23&lt;&gt;"",[2]AGPeg!G23,"")</f>
        <v>ORS-FR</v>
      </c>
      <c r="I37" s="7" t="str">
        <f>IF([2]AGPeg!H23&lt;&gt;"",[2]AGPeg!H23,"")</f>
        <v>SC10+Lisa+ATIK46EX</v>
      </c>
      <c r="J37" s="7">
        <f>IF([2]AGPeg!I23&lt;&gt;"",[2]AGPeg!I23,"")</f>
        <v>888</v>
      </c>
      <c r="K37" s="7" t="str">
        <f>IF([2]AGPeg!J23&lt;&gt;"",[2]AGPeg!J23,"")</f>
        <v/>
      </c>
    </row>
    <row r="38" spans="1:11" x14ac:dyDescent="0.25">
      <c r="A38">
        <f t="shared" si="1"/>
        <v>30.433439436619583</v>
      </c>
      <c r="B38" s="7">
        <f>IF([2]AGPeg!B24&lt;&gt;"",[2]AGPeg!B24,"")</f>
        <v>12</v>
      </c>
      <c r="C38" s="8">
        <f>IF([2]AGPeg!C24&lt;&gt;"",[2]AGPeg!C24,"")</f>
        <v>41497</v>
      </c>
      <c r="D38" s="9">
        <f>IF([2]AGPeg!D24&lt;&gt;"",[2]AGPeg!D24,"")</f>
        <v>0.88256944444444452</v>
      </c>
      <c r="E38" s="7">
        <f>IF([2]AGPeg!E24&lt;&gt;"",[2]AGPeg!E24,"")</f>
        <v>2456516.4032999999</v>
      </c>
      <c r="F38" s="20">
        <f t="shared" si="0"/>
        <v>0.43343943661958306</v>
      </c>
      <c r="G38" s="7" t="str">
        <f>IF([2]AGPeg!F24&lt;&gt;"",[2]AGPeg!F24,"")</f>
        <v>JNT</v>
      </c>
      <c r="H38" s="7" t="str">
        <f>IF([2]AGPeg!G24&lt;&gt;"",[2]AGPeg!G24,"")</f>
        <v>OHP-FR</v>
      </c>
      <c r="I38" s="7" t="str">
        <f>IF([2]AGPeg!H24&lt;&gt;"",[2]AGPeg!H24,"")</f>
        <v>TSC25cm_Alpy600_Sbi</v>
      </c>
      <c r="J38" s="7">
        <f>IF([2]AGPeg!I24&lt;&gt;"",[2]AGPeg!I24,"")</f>
        <v>684</v>
      </c>
      <c r="K38" s="7" t="str">
        <f>IF([2]AGPeg!J24&lt;&gt;"",[2]AGPeg!J24,"")</f>
        <v/>
      </c>
    </row>
    <row r="39" spans="1:11" x14ac:dyDescent="0.25">
      <c r="A39">
        <f t="shared" si="1"/>
        <v>30.433448867115551</v>
      </c>
      <c r="B39" s="7">
        <f>IF([2]AGPeg!B25&lt;&gt;"",[2]AGPeg!B25,"")</f>
        <v>13</v>
      </c>
      <c r="C39" s="8">
        <f>IF([2]AGPeg!C25&lt;&gt;"",[2]AGPeg!C25,"")</f>
        <v>41497</v>
      </c>
      <c r="D39" s="9">
        <f>IF([2]AGPeg!D25&lt;&gt;"",[2]AGPeg!D25,"")</f>
        <v>0.90009259259259267</v>
      </c>
      <c r="E39" s="7">
        <f>IF([2]AGPeg!E25&lt;&gt;"",[2]AGPeg!E25,"")</f>
        <v>2456516.4109999998</v>
      </c>
      <c r="F39" s="20">
        <f t="shared" si="0"/>
        <v>0.4334488671155512</v>
      </c>
      <c r="G39" s="7" t="str">
        <f>IF([2]AGPeg!F25&lt;&gt;"",[2]AGPeg!F25,"")</f>
        <v>TLE</v>
      </c>
      <c r="H39" s="7" t="str">
        <f>IF([2]AGPeg!G25&lt;&gt;"",[2]AGPeg!G25,"")</f>
        <v>OHP-FR</v>
      </c>
      <c r="I39" s="7" t="str">
        <f>IF([2]AGPeg!H25&lt;&gt;"",[2]AGPeg!H25,"")</f>
        <v>SC14+eShel+ATIK460EX</v>
      </c>
      <c r="J39" s="7">
        <f>IF([2]AGPeg!I25&lt;&gt;"",[2]AGPeg!I25,"")</f>
        <v>11000</v>
      </c>
      <c r="K39" s="7" t="str">
        <f>IF([2]AGPeg!J25&lt;&gt;"",[2]AGPeg!J25,"")</f>
        <v/>
      </c>
    </row>
    <row r="40" spans="1:11" x14ac:dyDescent="0.25">
      <c r="A40">
        <f t="shared" si="1"/>
        <v>30.483676301285769</v>
      </c>
      <c r="B40" s="7">
        <f>IF([2]AGPeg!B26&lt;&gt;"",[2]AGPeg!B26,"")</f>
        <v>14</v>
      </c>
      <c r="C40" s="8">
        <f>IF([2]AGPeg!C26&lt;&gt;"",[2]AGPeg!C26,"")</f>
        <v>41538</v>
      </c>
      <c r="D40" s="9">
        <f>IF([2]AGPeg!D26&lt;&gt;"",[2]AGPeg!D26,"")</f>
        <v>0.91350694444444447</v>
      </c>
      <c r="E40" s="7">
        <f>IF([2]AGPeg!E26&lt;&gt;"",[2]AGPeg!E26,"")</f>
        <v>2456557.4216999998</v>
      </c>
      <c r="F40" s="20">
        <f t="shared" si="0"/>
        <v>0.48367630128576877</v>
      </c>
      <c r="G40" s="7" t="str">
        <f>IF([2]AGPeg!F26&lt;&gt;"",[2]AGPeg!F26,"")</f>
        <v>JGF</v>
      </c>
      <c r="H40" s="7" t="str">
        <f>IF([2]AGPeg!G26&lt;&gt;"",[2]AGPeg!G26,"")</f>
        <v>SMM-SP</v>
      </c>
      <c r="I40" s="7" t="str">
        <f>IF([2]AGPeg!H26&lt;&gt;"",[2]AGPeg!H26,"")</f>
        <v>16REMOTATIK460EX</v>
      </c>
      <c r="J40" s="7">
        <f>IF([2]AGPeg!I26&lt;&gt;"",[2]AGPeg!I26,"")</f>
        <v>1068</v>
      </c>
      <c r="K40" s="7" t="str">
        <f>IF([2]AGPeg!J26&lt;&gt;"",[2]AGPeg!J26,"")</f>
        <v/>
      </c>
    </row>
    <row r="41" spans="1:11" x14ac:dyDescent="0.25">
      <c r="A41">
        <f t="shared" si="1"/>
        <v>30.526774525413128</v>
      </c>
      <c r="B41" s="7">
        <f>IF([2]AGPeg!B27&lt;&gt;"",[2]AGPeg!B27,"")</f>
        <v>15</v>
      </c>
      <c r="C41" s="8">
        <f>IF([2]AGPeg!C27&lt;&gt;"",[2]AGPeg!C27,"")</f>
        <v>41574</v>
      </c>
      <c r="D41" s="9">
        <f>IF([2]AGPeg!D27&lt;&gt;"",[2]AGPeg!D27,"")</f>
        <v>8.666666666666667E-2</v>
      </c>
      <c r="E41" s="7">
        <f>IF([2]AGPeg!E27&lt;&gt;"",[2]AGPeg!E27,"")</f>
        <v>2456592.6113999998</v>
      </c>
      <c r="F41" s="20">
        <f t="shared" si="0"/>
        <v>0.52677452541312775</v>
      </c>
      <c r="G41" s="7" t="str">
        <f>IF([2]AGPeg!F27&lt;&gt;"",[2]AGPeg!F27,"")</f>
        <v>GKA</v>
      </c>
      <c r="H41" s="7" t="str">
        <f>IF([2]AGPeg!G27&lt;&gt;"",[2]AGPeg!G27,"")</f>
        <v>MAN-US</v>
      </c>
      <c r="I41" s="7" t="str">
        <f>IF([2]AGPeg!H27&lt;&gt;"",[2]AGPeg!H27,"")</f>
        <v>lx20010"AlpyAti</v>
      </c>
      <c r="J41" s="7">
        <f>IF([2]AGPeg!I27&lt;&gt;"",[2]AGPeg!I27,"")</f>
        <v>500</v>
      </c>
      <c r="K41" s="7" t="str">
        <f>IF([2]AGPeg!J27&lt;&gt;"",[2]AGPeg!J27,"")</f>
        <v/>
      </c>
    </row>
    <row r="42" spans="1:11" x14ac:dyDescent="0.25">
      <c r="A42">
        <f t="shared" si="1"/>
        <v>30.541457685242154</v>
      </c>
      <c r="B42" s="7">
        <f>IF([2]AGPeg!B28&lt;&gt;"",[2]AGPeg!B28,"")</f>
        <v>16</v>
      </c>
      <c r="C42" s="8">
        <f>IF([2]AGPeg!C28&lt;&gt;"",[2]AGPeg!C28,"")</f>
        <v>41586</v>
      </c>
      <c r="D42" s="9">
        <f>IF([2]AGPeg!D28&lt;&gt;"",[2]AGPeg!D28,"")</f>
        <v>7.6516203703703697E-2</v>
      </c>
      <c r="E42" s="7">
        <f>IF([2]AGPeg!E28&lt;&gt;"",[2]AGPeg!E28,"")</f>
        <v>2456604.6002000002</v>
      </c>
      <c r="F42" s="20">
        <f t="shared" si="0"/>
        <v>0.54145768524215399</v>
      </c>
      <c r="G42" s="7" t="str">
        <f>IF([2]AGPeg!F28&lt;&gt;"",[2]AGPeg!F28,"")</f>
        <v>GKA</v>
      </c>
      <c r="H42" s="7" t="str">
        <f>IF([2]AGPeg!G28&lt;&gt;"",[2]AGPeg!G28,"")</f>
        <v>MAN-US</v>
      </c>
      <c r="I42" s="7" t="str">
        <f>IF([2]AGPeg!H28&lt;&gt;"",[2]AGPeg!H28,"")</f>
        <v>lx20010"AlpyAti</v>
      </c>
      <c r="J42" s="7">
        <f>IF([2]AGPeg!I28&lt;&gt;"",[2]AGPeg!I28,"")</f>
        <v>539</v>
      </c>
      <c r="K42" s="7" t="str">
        <f>IF([2]AGPeg!J28&lt;&gt;"",[2]AGPeg!J28,"")</f>
        <v/>
      </c>
    </row>
    <row r="43" spans="1:11" x14ac:dyDescent="0.25">
      <c r="A43">
        <f t="shared" si="1"/>
        <v>30.565843845682821</v>
      </c>
      <c r="B43" s="7">
        <f>IF([2]AGPeg!B29&lt;&gt;"",[2]AGPeg!B29,"")</f>
        <v>17</v>
      </c>
      <c r="C43" s="8">
        <f>IF([2]AGPeg!C29&lt;&gt;"",[2]AGPeg!C29,"")</f>
        <v>41606</v>
      </c>
      <c r="D43" s="9">
        <f>IF([2]AGPeg!D29&lt;&gt;"",[2]AGPeg!D29,"")</f>
        <v>4.5138888888888893E-3</v>
      </c>
      <c r="E43" s="7">
        <f>IF([2]AGPeg!E29&lt;&gt;"",[2]AGPeg!E29,"")</f>
        <v>2456624.5115</v>
      </c>
      <c r="F43" s="20">
        <f t="shared" si="0"/>
        <v>0.56584384568282076</v>
      </c>
      <c r="G43" s="7" t="str">
        <f>IF([2]AGPeg!F29&lt;&gt;"",[2]AGPeg!F29,"")</f>
        <v>GKA</v>
      </c>
      <c r="H43" s="7" t="str">
        <f>IF([2]AGPeg!G29&lt;&gt;"",[2]AGPeg!G29,"")</f>
        <v>MAN-US</v>
      </c>
      <c r="I43" s="7" t="str">
        <f>IF([2]AGPeg!H29&lt;&gt;"",[2]AGPeg!H29,"")</f>
        <v>lx20010"AlpyAti</v>
      </c>
      <c r="J43" s="7">
        <f>IF([2]AGPeg!I29&lt;&gt;"",[2]AGPeg!I29,"")</f>
        <v>569</v>
      </c>
      <c r="K43" s="7" t="str">
        <f>IF([2]AGPeg!J29&lt;&gt;"",[2]AGPeg!J29,"")</f>
        <v/>
      </c>
    </row>
    <row r="44" spans="1:11" x14ac:dyDescent="0.25">
      <c r="A44">
        <f t="shared" si="1"/>
        <v>30.579080097978981</v>
      </c>
      <c r="B44" s="7">
        <f>IF([2]AGPeg!B30&lt;&gt;"",[2]AGPeg!B30,"")</f>
        <v>18</v>
      </c>
      <c r="C44" s="8">
        <f>IF([2]AGPeg!C30&lt;&gt;"",[2]AGPeg!C30,"")</f>
        <v>41616</v>
      </c>
      <c r="D44" s="9">
        <f>IF([2]AGPeg!D30&lt;&gt;"",[2]AGPeg!D30,"")</f>
        <v>0.80436342592592591</v>
      </c>
      <c r="E44" s="7">
        <f>IF([2]AGPeg!E30&lt;&gt;"",[2]AGPeg!E30,"")</f>
        <v>2456635.3188999998</v>
      </c>
      <c r="F44" s="20">
        <f t="shared" si="0"/>
        <v>0.57908009797898075</v>
      </c>
      <c r="G44" s="7" t="str">
        <f>IF([2]AGPeg!F30&lt;&gt;"",[2]AGPeg!F30,"")</f>
        <v xml:space="preserve">FMT </v>
      </c>
      <c r="H44" s="7" t="str">
        <f>IF([2]AGPeg!G30&lt;&gt;"",[2]AGPeg!G30,"")</f>
        <v>ORS-FR</v>
      </c>
      <c r="I44" s="7" t="str">
        <f>IF([2]AGPeg!H30&lt;&gt;"",[2]AGPeg!H30,"")</f>
        <v>SC25cm_Lisa_ATIK460</v>
      </c>
      <c r="J44" s="7">
        <f>IF([2]AGPeg!I30&lt;&gt;"",[2]AGPeg!I30,"")</f>
        <v>1002</v>
      </c>
      <c r="K44" s="7" t="str">
        <f>IF([2]AGPeg!J30&lt;&gt;"",[2]AGPeg!J30,"")</f>
        <v/>
      </c>
    </row>
    <row r="45" spans="1:11" x14ac:dyDescent="0.25">
      <c r="A45">
        <f t="shared" si="1"/>
        <v>30.593704715247945</v>
      </c>
      <c r="B45" s="7">
        <f>IF([2]AGPeg!B31&lt;&gt;"",[2]AGPeg!B31,"")</f>
        <v>19</v>
      </c>
      <c r="C45" s="8">
        <f>IF([2]AGPeg!C31&lt;&gt;"",[2]AGPeg!C31,"")</f>
        <v>41628</v>
      </c>
      <c r="D45" s="9">
        <f>IF([2]AGPeg!D31&lt;&gt;"",[2]AGPeg!D31,"")</f>
        <v>0.75260416666666663</v>
      </c>
      <c r="E45" s="7">
        <f>IF([2]AGPeg!E31&lt;&gt;"",[2]AGPeg!E31,"")</f>
        <v>2456647.2598999999</v>
      </c>
      <c r="F45" s="20">
        <f t="shared" si="0"/>
        <v>0.5937047152479451</v>
      </c>
      <c r="G45" s="7" t="str">
        <f>IF([2]AGPeg!F31&lt;&gt;"",[2]AGPeg!F31,"")</f>
        <v xml:space="preserve">FMT </v>
      </c>
      <c r="H45" s="7" t="str">
        <f>IF([2]AGPeg!G31&lt;&gt;"",[2]AGPeg!G31,"")</f>
        <v>ORS-FR</v>
      </c>
      <c r="I45" s="7" t="str">
        <f>IF([2]AGPeg!H31&lt;&gt;"",[2]AGPeg!H31,"")</f>
        <v>SC25cm_Lisa_ATIK460</v>
      </c>
      <c r="J45" s="7">
        <f>IF([2]AGPeg!I31&lt;&gt;"",[2]AGPeg!I31,"")</f>
        <v>972</v>
      </c>
      <c r="K45" s="7" t="str">
        <f>IF([2]AGPeg!J31&lt;&gt;"",[2]AGPeg!J31,"")</f>
        <v/>
      </c>
    </row>
    <row r="46" spans="1:11" x14ac:dyDescent="0.25">
      <c r="A46">
        <f t="shared" si="1"/>
        <v>30.852606001224505</v>
      </c>
      <c r="B46" s="7">
        <f>IF([2]AGPeg!B32&lt;&gt;"",[2]AGPeg!B32,"")</f>
        <v>20</v>
      </c>
      <c r="C46" s="8">
        <f>IF([2]AGPeg!C32&lt;&gt;"",[2]AGPeg!C32,"")</f>
        <v>41840</v>
      </c>
      <c r="D46" s="9">
        <f>IF([2]AGPeg!D32&lt;&gt;"",[2]AGPeg!D32,"")</f>
        <v>0.14587962962962964</v>
      </c>
      <c r="E46" s="7">
        <f>IF([2]AGPeg!E32&lt;&gt;"",[2]AGPeg!E32,"")</f>
        <v>2456858.6527999998</v>
      </c>
      <c r="F46" s="20">
        <f t="shared" si="0"/>
        <v>0.85260600122450469</v>
      </c>
      <c r="G46" s="7" t="str">
        <f>IF([2]AGPeg!F32&lt;&gt;"",[2]AGPeg!F32,"")</f>
        <v>PSO</v>
      </c>
      <c r="H46" s="7" t="str">
        <f>IF([2]AGPeg!G32&lt;&gt;"",[2]AGPeg!G32,"")</f>
        <v>TAT-HU</v>
      </c>
      <c r="I46" s="7" t="str">
        <f>IF([2]AGPeg!H32&lt;&gt;"",[2]AGPeg!H32,"")</f>
        <v>T10+Alpy600+OrionG3</v>
      </c>
      <c r="J46" s="7">
        <f>IF([2]AGPeg!I32&lt;&gt;"",[2]AGPeg!I32,"")</f>
        <v>600</v>
      </c>
      <c r="K46" s="7" t="str">
        <f>IF([2]AGPeg!J32&lt;&gt;"",[2]AGPeg!J32,"")</f>
        <v/>
      </c>
    </row>
    <row r="47" spans="1:11" x14ac:dyDescent="0.25">
      <c r="A47">
        <f t="shared" si="1"/>
        <v>30.860969993876111</v>
      </c>
      <c r="B47" s="7">
        <f>IF([2]AGPeg!B33&lt;&gt;"",[2]AGPeg!B33,"")</f>
        <v>21</v>
      </c>
      <c r="C47" s="8">
        <f>IF([2]AGPeg!C33&lt;&gt;"",[2]AGPeg!C33,"")</f>
        <v>41846</v>
      </c>
      <c r="D47" s="9">
        <f>IF([2]AGPeg!D33&lt;&gt;"",[2]AGPeg!D33,"")</f>
        <v>0.97150462962962969</v>
      </c>
      <c r="E47" s="7">
        <f>IF([2]AGPeg!E33&lt;&gt;"",[2]AGPeg!E33,"")</f>
        <v>2456865.4819999998</v>
      </c>
      <c r="F47" s="20">
        <f t="shared" si="0"/>
        <v>0.86096999387611106</v>
      </c>
      <c r="G47" s="7" t="str">
        <f>IF([2]AGPeg!F33&lt;&gt;"",[2]AGPeg!F33,"")</f>
        <v>DUB</v>
      </c>
      <c r="H47" s="7" t="str">
        <f>IF([2]AGPeg!G33&lt;&gt;"",[2]AGPeg!G33,"")</f>
        <v>OHP-FR</v>
      </c>
      <c r="I47" s="7" t="str">
        <f>IF([2]AGPeg!H33&lt;&gt;"",[2]AGPeg!H33,"")</f>
        <v>VixenVC200LLisaS</v>
      </c>
      <c r="J47" s="7">
        <f>IF([2]AGPeg!I33&lt;&gt;"",[2]AGPeg!I33,"")</f>
        <v>808</v>
      </c>
      <c r="K47" s="7" t="str">
        <f>IF([2]AGPeg!J33&lt;&gt;"",[2]AGPeg!J33,"")</f>
        <v/>
      </c>
    </row>
    <row r="48" spans="1:11" x14ac:dyDescent="0.25">
      <c r="A48">
        <f t="shared" si="1"/>
        <v>30.891661971830864</v>
      </c>
      <c r="B48" s="7">
        <f>IF([2]AGPeg!B34&lt;&gt;"",[2]AGPeg!B34,"")</f>
        <v>22</v>
      </c>
      <c r="C48" s="8">
        <f>IF([2]AGPeg!C34&lt;&gt;"",[2]AGPeg!C34,"")</f>
        <v>41872</v>
      </c>
      <c r="D48" s="9">
        <f>IF([2]AGPeg!D34&lt;&gt;"",[2]AGPeg!D34,"")</f>
        <v>3.3993055555555561E-2</v>
      </c>
      <c r="E48" s="7">
        <f>IF([2]AGPeg!E34&lt;&gt;"",[2]AGPeg!E34,"")</f>
        <v>2456890.5419999999</v>
      </c>
      <c r="F48" s="20">
        <f t="shared" si="0"/>
        <v>0.89166197183086382</v>
      </c>
      <c r="G48" s="7" t="str">
        <f>IF([2]AGPeg!F34&lt;&gt;"",[2]AGPeg!F34,"")</f>
        <v>JMO</v>
      </c>
      <c r="H48" s="7" t="str">
        <f>IF([2]AGPeg!G34&lt;&gt;"",[2]AGPeg!G34,"")</f>
        <v>OLC-FR</v>
      </c>
      <c r="I48" s="7" t="str">
        <f>IF([2]AGPeg!H34&lt;&gt;"",[2]AGPeg!H34,"")</f>
        <v>Meade355+Atik460E</v>
      </c>
      <c r="J48" s="7">
        <f>IF([2]AGPeg!I34&lt;&gt;"",[2]AGPeg!I34,"")</f>
        <v>627</v>
      </c>
      <c r="K48" s="7" t="str">
        <f>IF([2]AGPeg!J34&lt;&gt;"",[2]AGPeg!J34,"")</f>
        <v/>
      </c>
    </row>
    <row r="49" spans="1:11" x14ac:dyDescent="0.25">
      <c r="A49">
        <f t="shared" si="1"/>
        <v>30.906361175750071</v>
      </c>
      <c r="B49" s="7">
        <f>IF([2]AGPeg!B35&lt;&gt;"",[2]AGPeg!B35,"")</f>
        <v>23</v>
      </c>
      <c r="C49" s="8">
        <f>IF([2]AGPeg!C35&lt;&gt;"",[2]AGPeg!C35,"")</f>
        <v>41884</v>
      </c>
      <c r="D49" s="9">
        <f>IF([2]AGPeg!D35&lt;&gt;"",[2]AGPeg!D35,"")</f>
        <v>3.5995370370370372E-2</v>
      </c>
      <c r="E49" s="7">
        <f>IF([2]AGPeg!E35&lt;&gt;"",[2]AGPeg!E35,"")</f>
        <v>2456902.5438999999</v>
      </c>
      <c r="F49" s="20">
        <f t="shared" si="0"/>
        <v>0.90636117575007091</v>
      </c>
      <c r="G49" s="7" t="str">
        <f>IF([2]AGPeg!F35&lt;&gt;"",[2]AGPeg!F35,"")</f>
        <v>JMO</v>
      </c>
      <c r="H49" s="7" t="str">
        <f>IF([2]AGPeg!G35&lt;&gt;"",[2]AGPeg!G35,"")</f>
        <v>OLC-FR</v>
      </c>
      <c r="I49" s="7" t="str">
        <f>IF([2]AGPeg!H35&lt;&gt;"",[2]AGPeg!H35,"")</f>
        <v>Meade355+Atik460E</v>
      </c>
      <c r="J49" s="7">
        <f>IF([2]AGPeg!I35&lt;&gt;"",[2]AGPeg!I35,"")</f>
        <v>641</v>
      </c>
      <c r="K49" s="7" t="str">
        <f>IF([2]AGPeg!J35&lt;&gt;"",[2]AGPeg!J35,"")</f>
        <v/>
      </c>
    </row>
    <row r="50" spans="1:11" x14ac:dyDescent="0.25">
      <c r="A50">
        <f t="shared" si="1"/>
        <v>30.919639681567439</v>
      </c>
      <c r="B50" s="7">
        <f>IF([2]AGPeg!B36&lt;&gt;"",[2]AGPeg!B36,"")</f>
        <v>24</v>
      </c>
      <c r="C50" s="8">
        <f>IF([2]AGPeg!C36&lt;&gt;"",[2]AGPeg!C36,"")</f>
        <v>41894</v>
      </c>
      <c r="D50" s="9">
        <f>IF([2]AGPeg!D36&lt;&gt;"",[2]AGPeg!D36,"")</f>
        <v>0.88215277777777779</v>
      </c>
      <c r="E50" s="7">
        <f>IF([2]AGPeg!E36&lt;&gt;"",[2]AGPeg!E36,"")</f>
        <v>2456913.3857999998</v>
      </c>
      <c r="F50" s="20">
        <f t="shared" si="0"/>
        <v>0.91963968156743903</v>
      </c>
      <c r="G50" s="7" t="str">
        <f>IF([2]AGPeg!F36&lt;&gt;"",[2]AGPeg!F36,"")</f>
        <v xml:space="preserve">FMT </v>
      </c>
      <c r="H50" s="7" t="str">
        <f>IF([2]AGPeg!G36&lt;&gt;"",[2]AGPeg!G36,"")</f>
        <v>ORS-FR</v>
      </c>
      <c r="I50" s="7" t="str">
        <f>IF([2]AGPeg!H36&lt;&gt;"",[2]AGPeg!H36,"")</f>
        <v>SC10+Lisa</v>
      </c>
      <c r="J50" s="7">
        <f>IF([2]AGPeg!I36&lt;&gt;"",[2]AGPeg!I36,"")</f>
        <v>1221</v>
      </c>
      <c r="K50" s="7" t="str">
        <f>IF([2]AGPeg!J36&lt;&gt;"",[2]AGPeg!J36,"")</f>
        <v/>
      </c>
    </row>
    <row r="51" spans="1:11" x14ac:dyDescent="0.25">
      <c r="A51">
        <f t="shared" si="1"/>
        <v>30.91965033680335</v>
      </c>
      <c r="B51" s="7">
        <f>IF([2]AGPeg!B37&lt;&gt;"",[2]AGPeg!B37,"")</f>
        <v>25</v>
      </c>
      <c r="C51" s="8">
        <f>IF([2]AGPeg!C37&lt;&gt;"",[2]AGPeg!C37,"")</f>
        <v>41894</v>
      </c>
      <c r="D51" s="9">
        <f>IF([2]AGPeg!D37&lt;&gt;"",[2]AGPeg!D37,"")</f>
        <v>0.89003472222222213</v>
      </c>
      <c r="E51" s="7">
        <f>IF([2]AGPeg!E37&lt;&gt;"",[2]AGPeg!E37,"")</f>
        <v>2456913.3944999999</v>
      </c>
      <c r="F51" s="20">
        <f t="shared" si="0"/>
        <v>0.9196503368033504</v>
      </c>
      <c r="G51" s="7" t="str">
        <f>IF([2]AGPeg!F37&lt;&gt;"",[2]AGPeg!F37,"")</f>
        <v xml:space="preserve">FMT </v>
      </c>
      <c r="H51" s="7" t="str">
        <f>IF([2]AGPeg!G37&lt;&gt;"",[2]AGPeg!G37,"")</f>
        <v>ORS-FR</v>
      </c>
      <c r="I51" s="7" t="str">
        <f>IF([2]AGPeg!H37&lt;&gt;"",[2]AGPeg!H37,"")</f>
        <v>SC10+Lisa</v>
      </c>
      <c r="J51" s="7">
        <f>IF([2]AGPeg!I37&lt;&gt;"",[2]AGPeg!I37,"")</f>
        <v>1221</v>
      </c>
      <c r="K51" s="7" t="str">
        <f>IF([2]AGPeg!J37&lt;&gt;"",[2]AGPeg!J37,"")</f>
        <v/>
      </c>
    </row>
    <row r="52" spans="1:11" x14ac:dyDescent="0.25">
      <c r="A52">
        <f t="shared" si="1"/>
        <v>30.935763870177713</v>
      </c>
      <c r="B52" s="7">
        <f>IF([2]AGPeg!B38&lt;&gt;"",[2]AGPeg!B38,"")</f>
        <v>26</v>
      </c>
      <c r="C52" s="8">
        <f>IF([2]AGPeg!C38&lt;&gt;"",[2]AGPeg!C38,"")</f>
        <v>41908</v>
      </c>
      <c r="D52" s="9">
        <f>IF([2]AGPeg!D38&lt;&gt;"",[2]AGPeg!D38,"")</f>
        <v>3.9988425925925927E-2</v>
      </c>
      <c r="E52" s="7">
        <f>IF([2]AGPeg!E38&lt;&gt;"",[2]AGPeg!E38,"")</f>
        <v>2456926.5512000001</v>
      </c>
      <c r="F52" s="20">
        <f t="shared" si="0"/>
        <v>0.93576387017771268</v>
      </c>
      <c r="G52" s="7" t="str">
        <f>IF([2]AGPeg!F38&lt;&gt;"",[2]AGPeg!F38,"")</f>
        <v>JMO</v>
      </c>
      <c r="H52" s="7" t="str">
        <f>IF([2]AGPeg!G38&lt;&gt;"",[2]AGPeg!G38,"")</f>
        <v>OLC-FR</v>
      </c>
      <c r="I52" s="7" t="str">
        <f>IF([2]AGPeg!H38&lt;&gt;"",[2]AGPeg!H38,"")</f>
        <v>Meade355+Atik460E</v>
      </c>
      <c r="J52" s="7">
        <f>IF([2]AGPeg!I38&lt;&gt;"",[2]AGPeg!I38,"")</f>
        <v>632</v>
      </c>
      <c r="K52" s="7" t="str">
        <f>IF([2]AGPeg!J38&lt;&gt;"",[2]AGPeg!J38,"")</f>
        <v/>
      </c>
    </row>
    <row r="53" spans="1:11" x14ac:dyDescent="0.25">
      <c r="A53">
        <f t="shared" si="1"/>
        <v>30.991879363135372</v>
      </c>
      <c r="B53" s="7">
        <f>IF([2]AGPeg!B39&lt;&gt;"",[2]AGPeg!B39,"")</f>
        <v>27</v>
      </c>
      <c r="C53" s="8">
        <f>IF([2]AGPeg!C39&lt;&gt;"",[2]AGPeg!C39,"")</f>
        <v>41953</v>
      </c>
      <c r="D53" s="9">
        <f>IF([2]AGPeg!D39&lt;&gt;"",[2]AGPeg!D39,"")</f>
        <v>0.8658217592592593</v>
      </c>
      <c r="E53" s="7">
        <f>IF([2]AGPeg!E39&lt;&gt;"",[2]AGPeg!E39,"")</f>
        <v>2456972.3695</v>
      </c>
      <c r="F53" s="20">
        <f t="shared" si="0"/>
        <v>0.99187936313537151</v>
      </c>
      <c r="G53" s="7" t="str">
        <f>IF([2]AGPeg!F39&lt;&gt;"",[2]AGPeg!F39,"")</f>
        <v>JGF</v>
      </c>
      <c r="H53" s="7" t="str">
        <f>IF([2]AGPeg!G39&lt;&gt;"",[2]AGPeg!G39,"")</f>
        <v>SMM-SP</v>
      </c>
      <c r="I53" s="7" t="str">
        <f>IF([2]AGPeg!H39&lt;&gt;"",[2]AGPeg!H39,"")</f>
        <v>16REMOTATIK460EX</v>
      </c>
      <c r="J53" s="7" t="str">
        <f>IF([2]AGPeg!I39&lt;&gt;"",[2]AGPeg!I39,"")</f>
        <v/>
      </c>
      <c r="K53" s="7" t="str">
        <f>IF([2]AGPeg!J39&lt;&gt;"",[2]AGPeg!J39,"")</f>
        <v/>
      </c>
    </row>
    <row r="54" spans="1:11" x14ac:dyDescent="0.25">
      <c r="A54">
        <f t="shared" si="1"/>
        <v>30.996826576852609</v>
      </c>
      <c r="B54" s="7">
        <f>IF([2]AGPeg!B40&lt;&gt;"",[2]AGPeg!B40,"")</f>
        <v>28</v>
      </c>
      <c r="C54" s="8">
        <f>IF([2]AGPeg!C40&lt;&gt;"",[2]AGPeg!C40,"")</f>
        <v>41957</v>
      </c>
      <c r="D54" s="9">
        <f>IF([2]AGPeg!D40&lt;&gt;"",[2]AGPeg!D40,"")</f>
        <v>0.90192129629629625</v>
      </c>
      <c r="E54" s="7">
        <f>IF([2]AGPeg!E40&lt;&gt;"",[2]AGPeg!E40,"")</f>
        <v>2456976.4089000002</v>
      </c>
      <c r="F54" s="20">
        <f t="shared" si="0"/>
        <v>0.99682657685260878</v>
      </c>
      <c r="G54" s="7" t="str">
        <f>IF([2]AGPeg!F40&lt;&gt;"",[2]AGPeg!F40,"")</f>
        <v>PSO</v>
      </c>
      <c r="H54" s="7" t="str">
        <f>IF([2]AGPeg!G40&lt;&gt;"",[2]AGPeg!G40,"")</f>
        <v>TAT-HU</v>
      </c>
      <c r="I54" s="7" t="str">
        <f>IF([2]AGPeg!H40&lt;&gt;"",[2]AGPeg!H40,"")</f>
        <v>T10+Alpy600+OrionG3</v>
      </c>
      <c r="J54" s="7">
        <f>IF([2]AGPeg!I40&lt;&gt;"",[2]AGPeg!I40,"")</f>
        <v>510</v>
      </c>
      <c r="K54" s="7" t="str">
        <f>IF([2]AGPeg!J40&lt;&gt;"",[2]AGPeg!J40,"")</f>
        <v/>
      </c>
    </row>
    <row r="55" spans="1:11" x14ac:dyDescent="0.25">
      <c r="A55">
        <f t="shared" si="1"/>
        <v>31.000400244947855</v>
      </c>
      <c r="B55" s="7">
        <f>IF([2]AGPeg!B41&lt;&gt;"",[2]AGPeg!B41,"")</f>
        <v>29</v>
      </c>
      <c r="C55" s="8">
        <f>IF([2]AGPeg!C41&lt;&gt;"",[2]AGPeg!C41,"")</f>
        <v>41960</v>
      </c>
      <c r="D55" s="9">
        <f>IF([2]AGPeg!D41&lt;&gt;"",[2]AGPeg!D41,"")</f>
        <v>0.81859953703703703</v>
      </c>
      <c r="E55" s="7">
        <f>IF([2]AGPeg!E41&lt;&gt;"",[2]AGPeg!E41,"")</f>
        <v>2456979.3267999999</v>
      </c>
      <c r="F55" s="20">
        <f t="shared" si="0"/>
        <v>4.0024494785484421E-4</v>
      </c>
      <c r="G55" s="7" t="str">
        <f>IF([2]AGPeg!F41&lt;&gt;"",[2]AGPeg!F41,"")</f>
        <v>JGF</v>
      </c>
      <c r="H55" s="7" t="str">
        <f>IF([2]AGPeg!G41&lt;&gt;"",[2]AGPeg!G41,"")</f>
        <v>SMM-SP</v>
      </c>
      <c r="I55" s="7" t="str">
        <f>IF([2]AGPeg!H41&lt;&gt;"",[2]AGPeg!H41,"")</f>
        <v>16REMOTATIK460EX</v>
      </c>
      <c r="J55" s="7" t="str">
        <f>IF([2]AGPeg!I41&lt;&gt;"",[2]AGPeg!I41,"")</f>
        <v/>
      </c>
      <c r="K55" s="7" t="str">
        <f>IF([2]AGPeg!J41&lt;&gt;"",[2]AGPeg!J41,"")</f>
        <v/>
      </c>
    </row>
    <row r="56" spans="1:11" x14ac:dyDescent="0.25">
      <c r="A56">
        <f t="shared" si="1"/>
        <v>31.004084017146571</v>
      </c>
      <c r="B56" s="7">
        <f>IF([2]AGPeg!B42&lt;&gt;"",[2]AGPeg!B42,"")</f>
        <v>30</v>
      </c>
      <c r="C56" s="8">
        <f>IF([2]AGPeg!C42&lt;&gt;"",[2]AGPeg!C42,"")</f>
        <v>41963</v>
      </c>
      <c r="D56" s="9">
        <f>IF([2]AGPeg!D42&lt;&gt;"",[2]AGPeg!D42,"")</f>
        <v>0.8240277777777778</v>
      </c>
      <c r="E56" s="7">
        <f>IF([2]AGPeg!E42&lt;&gt;"",[2]AGPeg!E42,"")</f>
        <v>2456982.3346000002</v>
      </c>
      <c r="F56" s="20">
        <f t="shared" si="0"/>
        <v>4.0840171465710284E-3</v>
      </c>
      <c r="G56" s="7" t="str">
        <f>IF([2]AGPeg!F42&lt;&gt;"",[2]AGPeg!F42,"")</f>
        <v>JGF</v>
      </c>
      <c r="H56" s="7" t="str">
        <f>IF([2]AGPeg!G42&lt;&gt;"",[2]AGPeg!G42,"")</f>
        <v>SMM-SP</v>
      </c>
      <c r="I56" s="7" t="str">
        <f>IF([2]AGPeg!H42&lt;&gt;"",[2]AGPeg!H42,"")</f>
        <v>16REMOTATIK460EX</v>
      </c>
      <c r="J56" s="7" t="str">
        <f>IF([2]AGPeg!I42&lt;&gt;"",[2]AGPeg!I42,"")</f>
        <v/>
      </c>
      <c r="K56" s="7" t="str">
        <f>IF([2]AGPeg!J42&lt;&gt;"",[2]AGPeg!J42,"")</f>
        <v/>
      </c>
    </row>
    <row r="57" spans="1:11" x14ac:dyDescent="0.25">
      <c r="A57">
        <f t="shared" si="1"/>
        <v>31.022403551745231</v>
      </c>
      <c r="B57" s="7">
        <f>IF([2]AGPeg!B43&lt;&gt;"",[2]AGPeg!B43,"")</f>
        <v>31</v>
      </c>
      <c r="C57" s="8">
        <f>IF([2]AGPeg!C43&lt;&gt;"",[2]AGPeg!C43,"")</f>
        <v>41978</v>
      </c>
      <c r="D57" s="9">
        <f>IF([2]AGPeg!D43&lt;&gt;"",[2]AGPeg!D43,"")</f>
        <v>0.78291666666666659</v>
      </c>
      <c r="E57" s="7">
        <f>IF([2]AGPeg!E43&lt;&gt;"",[2]AGPeg!E43,"")</f>
        <v>2456997.2925</v>
      </c>
      <c r="F57" s="20">
        <f t="shared" si="0"/>
        <v>2.2403551745231454E-2</v>
      </c>
      <c r="G57" s="7" t="str">
        <f>IF([2]AGPeg!F43&lt;&gt;"",[2]AGPeg!F43,"")</f>
        <v>JGF</v>
      </c>
      <c r="H57" s="7" t="str">
        <f>IF([2]AGPeg!G43&lt;&gt;"",[2]AGPeg!G43,"")</f>
        <v>SMM-SP</v>
      </c>
      <c r="I57" s="7" t="str">
        <f>IF([2]AGPeg!H43&lt;&gt;"",[2]AGPeg!H43,"")</f>
        <v>16REMOTATIK460EX</v>
      </c>
      <c r="J57" s="7" t="str">
        <f>IF([2]AGPeg!I43&lt;&gt;"",[2]AGPeg!I43,"")</f>
        <v/>
      </c>
      <c r="K57" s="7" t="str">
        <f>IF([2]AGPeg!J43&lt;&gt;"",[2]AGPeg!J43,"")</f>
        <v/>
      </c>
    </row>
    <row r="58" spans="1:11" x14ac:dyDescent="0.25">
      <c r="A58">
        <f t="shared" si="1"/>
        <v>31.03115345988952</v>
      </c>
      <c r="B58" s="7">
        <f>IF([2]AGPeg!B44&lt;&gt;"",[2]AGPeg!B44,"")</f>
        <v>32</v>
      </c>
      <c r="C58" s="21">
        <f>IF([2]AGPeg!C44&lt;&gt;"",[2]AGPeg!C44,"")</f>
        <v>41985</v>
      </c>
      <c r="D58" s="9">
        <f>IF([2]AGPeg!D44&lt;&gt;"",[2]AGPeg!D44,"")</f>
        <v>0.93094907407407401</v>
      </c>
      <c r="E58" s="7">
        <f>IF([2]AGPeg!E44&lt;&gt;"",[2]AGPeg!E44,"")</f>
        <v>2457004.4367999998</v>
      </c>
      <c r="F58" s="20">
        <f t="shared" si="0"/>
        <v>3.1153459889520008E-2</v>
      </c>
      <c r="G58" s="7" t="str">
        <f>IF([2]AGPeg!F44&lt;&gt;"",[2]AGPeg!F44,"")</f>
        <v>PSO</v>
      </c>
      <c r="H58" s="7" t="str">
        <f>IF([2]AGPeg!G44&lt;&gt;"",[2]AGPeg!G44,"")</f>
        <v>TAT-HU</v>
      </c>
      <c r="I58" s="7" t="str">
        <f>IF([2]AGPeg!H44&lt;&gt;"",[2]AGPeg!H44,"")</f>
        <v>T10+Alpy600+OrionG3</v>
      </c>
      <c r="J58" s="7" t="str">
        <f>IF([2]AGPeg!I44&lt;&gt;"",[2]AGPeg!I44,"")</f>
        <v/>
      </c>
      <c r="K58" s="7" t="str">
        <f>IF([2]AGPeg!J44&lt;&gt;"",[2]AGPeg!J44,"")</f>
        <v/>
      </c>
    </row>
    <row r="59" spans="1:11" x14ac:dyDescent="0.25">
      <c r="A59">
        <f t="shared" si="1"/>
        <v>31.032158726270826</v>
      </c>
      <c r="B59" s="7">
        <f>IF([2]AGPeg!B45&lt;&gt;"",[2]AGPeg!B45,"")</f>
        <v>33</v>
      </c>
      <c r="C59" s="8">
        <f>IF([2]AGPeg!C45&lt;&gt;"",[2]AGPeg!C45,"")</f>
        <v>41986</v>
      </c>
      <c r="D59" s="9">
        <f>IF([2]AGPeg!D45&lt;&gt;"",[2]AGPeg!D45,"")</f>
        <v>0.7518287037037038</v>
      </c>
      <c r="E59" s="7">
        <f>IF([2]AGPeg!E45&lt;&gt;"",[2]AGPeg!E45,"")</f>
        <v>2457005.2576000001</v>
      </c>
      <c r="F59" s="20">
        <f t="shared" si="0"/>
        <v>3.2158726270825611E-2</v>
      </c>
      <c r="G59" s="7" t="str">
        <f>IF([2]AGPeg!F45&lt;&gt;"",[2]AGPeg!F45,"")</f>
        <v>JGF</v>
      </c>
      <c r="H59" s="7" t="str">
        <f>IF([2]AGPeg!G45&lt;&gt;"",[2]AGPeg!G45,"")</f>
        <v>SMM-SP</v>
      </c>
      <c r="I59" s="7" t="str">
        <f>IF([2]AGPeg!H45&lt;&gt;"",[2]AGPeg!H45,"")</f>
        <v>16REMOTATIK460EX</v>
      </c>
      <c r="J59" s="7" t="str">
        <f>IF([2]AGPeg!I45&lt;&gt;"",[2]AGPeg!I45,"")</f>
        <v/>
      </c>
      <c r="K59" s="7" t="str">
        <f>IF([2]AGPeg!J45&lt;&gt;"",[2]AGPeg!J45,"")</f>
        <v/>
      </c>
    </row>
    <row r="60" spans="1:11" x14ac:dyDescent="0.25">
      <c r="A60">
        <f t="shared" si="1"/>
        <v>31.046891120637142</v>
      </c>
      <c r="B60" s="7">
        <f>IF([2]AGPeg!B46&lt;&gt;"",[2]AGPeg!B46,"")</f>
        <v>34</v>
      </c>
      <c r="C60" s="8">
        <f>IF([2]AGPeg!C46&lt;&gt;"",[2]AGPeg!C46,"")</f>
        <v>41998</v>
      </c>
      <c r="D60" s="9">
        <f>IF([2]AGPeg!D46&lt;&gt;"",[2]AGPeg!D46,"")</f>
        <v>0.77778935185185183</v>
      </c>
      <c r="E60" s="7">
        <f>IF([2]AGPeg!E46&lt;&gt;"",[2]AGPeg!E46,"")</f>
        <v>2457017.2866000002</v>
      </c>
      <c r="F60" s="20">
        <f t="shared" si="0"/>
        <v>4.6891120637141626E-2</v>
      </c>
      <c r="G60" s="7" t="str">
        <f>IF([2]AGPeg!F46&lt;&gt;"",[2]AGPeg!F46,"")</f>
        <v xml:space="preserve">FMT </v>
      </c>
      <c r="H60" s="7" t="str">
        <f>IF([2]AGPeg!G46&lt;&gt;"",[2]AGPeg!G46,"")</f>
        <v>ORS-FR</v>
      </c>
      <c r="I60" s="7" t="str">
        <f>IF([2]AGPeg!H46&lt;&gt;"",[2]AGPeg!H46,"")</f>
        <v>SC10+Lisa</v>
      </c>
      <c r="J60" s="7">
        <f>IF([2]AGPeg!I46&lt;&gt;"",[2]AGPeg!I46,"")</f>
        <v>918</v>
      </c>
      <c r="K60" s="7" t="str">
        <f>IF([2]AGPeg!J46&lt;&gt;"",[2]AGPeg!J46,"")</f>
        <v/>
      </c>
    </row>
    <row r="61" spans="1:11" x14ac:dyDescent="0.25">
      <c r="A61">
        <f t="shared" si="1"/>
        <v>31.253902755664583</v>
      </c>
      <c r="B61" s="7">
        <f>IF([2]AGPeg!B47&lt;&gt;"",[2]AGPeg!B47,"")</f>
        <v>35</v>
      </c>
      <c r="C61" s="8">
        <f>IF([2]AGPeg!C47&lt;&gt;"",[2]AGPeg!C47,"")</f>
        <v>42167</v>
      </c>
      <c r="D61" s="9">
        <f>IF([2]AGPeg!D47&lt;&gt;"",[2]AGPeg!D47,"")</f>
        <v>0.79078703703703701</v>
      </c>
      <c r="E61" s="7">
        <f>IF([2]AGPeg!E47&lt;&gt;"",[2]AGPeg!E47,"")</f>
        <v>2457186.3116000001</v>
      </c>
      <c r="F61" s="20">
        <f t="shared" si="0"/>
        <v>0.25390275566458342</v>
      </c>
      <c r="G61" s="7" t="str">
        <f>IF([2]AGPeg!F47&lt;&gt;"",[2]AGPeg!F47,"")</f>
        <v xml:space="preserve">DLI </v>
      </c>
      <c r="H61" s="7" t="str">
        <f>IF([2]AGPeg!G47&lt;&gt;"",[2]AGPeg!G47,"")</f>
        <v>JAD-CN</v>
      </c>
      <c r="I61" s="7" t="str">
        <f>IF([2]AGPeg!H47&lt;&gt;"",[2]AGPeg!H47,"")</f>
        <v>C11Lhires3-2400_2x</v>
      </c>
      <c r="J61" s="7">
        <f>IF([2]AGPeg!I47&lt;&gt;"",[2]AGPeg!I47,"")</f>
        <v>14662</v>
      </c>
      <c r="K61" s="7" t="str">
        <f>IF([2]AGPeg!J47&lt;&gt;"",[2]AGPeg!J47,"")</f>
        <v/>
      </c>
    </row>
    <row r="62" spans="1:11" x14ac:dyDescent="0.25">
      <c r="A62">
        <f t="shared" si="1"/>
        <v>31.271238211879993</v>
      </c>
      <c r="B62" s="7">
        <f>IF([2]AGPeg!B48&lt;&gt;"",[2]AGPeg!B48,"")</f>
        <v>36</v>
      </c>
      <c r="C62" s="8">
        <f>IF([2]AGPeg!C48&lt;&gt;"",[2]AGPeg!C48,"")</f>
        <v>42181</v>
      </c>
      <c r="D62" s="9">
        <f>IF([2]AGPeg!D48&lt;&gt;"",[2]AGPeg!D48,"")</f>
        <v>0.95482638888888882</v>
      </c>
      <c r="E62" s="7">
        <f>IF([2]AGPeg!E48&lt;&gt;"",[2]AGPeg!E48,"")</f>
        <v>2457200.466</v>
      </c>
      <c r="F62" s="20">
        <f t="shared" si="0"/>
        <v>0.27123821187999297</v>
      </c>
      <c r="G62" s="7" t="str">
        <f>IF([2]AGPeg!F48&lt;&gt;"",[2]AGPeg!F48,"")</f>
        <v>SOL</v>
      </c>
      <c r="H62" s="7" t="str">
        <f>IF([2]AGPeg!G48&lt;&gt;"",[2]AGPeg!G48,"")</f>
        <v>AQL-IT</v>
      </c>
      <c r="I62" s="7" t="str">
        <f>IF([2]AGPeg!H48&lt;&gt;"",[2]AGPeg!H48,"")</f>
        <v>Slit_specC8ST-830</v>
      </c>
      <c r="J62" s="7" t="str">
        <f>IF([2]AGPeg!I48&lt;&gt;"",[2]AGPeg!I48,"")</f>
        <v/>
      </c>
      <c r="K62" s="7" t="str">
        <f>IF([2]AGPeg!J48&lt;&gt;"",[2]AGPeg!J48,"")</f>
        <v/>
      </c>
    </row>
    <row r="63" spans="1:11" x14ac:dyDescent="0.25">
      <c r="A63">
        <f t="shared" si="1"/>
        <v>31.271355786895185</v>
      </c>
      <c r="B63" s="7">
        <f>IF([2]AGPeg!B49&lt;&gt;"",[2]AGPeg!B49,"")</f>
        <v>37</v>
      </c>
      <c r="C63" s="8">
        <f>IF([2]AGPeg!C49&lt;&gt;"",[2]AGPeg!C49,"")</f>
        <v>42182</v>
      </c>
      <c r="D63" s="9">
        <f>IF([2]AGPeg!D49&lt;&gt;"",[2]AGPeg!D49,"")</f>
        <v>6.4317129629629641E-2</v>
      </c>
      <c r="E63" s="7">
        <f>IF([2]AGPeg!E49&lt;&gt;"",[2]AGPeg!E49,"")</f>
        <v>2457200.5619999999</v>
      </c>
      <c r="F63" s="20">
        <f t="shared" si="0"/>
        <v>0.27135578689518525</v>
      </c>
      <c r="G63" s="7" t="str">
        <f>IF([2]AGPeg!F49&lt;&gt;"",[2]AGPeg!F49,"")</f>
        <v>PSO</v>
      </c>
      <c r="H63" s="7" t="str">
        <f>IF([2]AGPeg!G49&lt;&gt;"",[2]AGPeg!G49,"")</f>
        <v>TAT-HU</v>
      </c>
      <c r="I63" s="7" t="str">
        <f>IF([2]AGPeg!H49&lt;&gt;"",[2]AGPeg!H49,"")</f>
        <v>25cmLH24K15u414esm</v>
      </c>
      <c r="J63" s="7">
        <f>IF([2]AGPeg!I49&lt;&gt;"",[2]AGPeg!I49,"")</f>
        <v>20673</v>
      </c>
      <c r="K63" s="7" t="str">
        <f>IF([2]AGPeg!J49&lt;&gt;"",[2]AGPeg!J49,"")</f>
        <v/>
      </c>
    </row>
    <row r="64" spans="1:11" x14ac:dyDescent="0.25">
      <c r="A64">
        <f t="shared" si="1"/>
        <v>31.271571953459862</v>
      </c>
      <c r="B64" s="7">
        <f>IF([2]AGPeg!B50&lt;&gt;"",[2]AGPeg!B50,"")</f>
        <v>38</v>
      </c>
      <c r="C64" s="8">
        <f>IF([2]AGPeg!C50&lt;&gt;"",[2]AGPeg!C50,"")</f>
        <v>42182</v>
      </c>
      <c r="D64" s="9">
        <f>IF([2]AGPeg!D50&lt;&gt;"",[2]AGPeg!D50,"")</f>
        <v>0.22668981481481479</v>
      </c>
      <c r="E64" s="7">
        <f>IF([2]AGPeg!E50&lt;&gt;"",[2]AGPeg!E50,"")</f>
        <v>2457200.7385</v>
      </c>
      <c r="F64" s="20">
        <f t="shared" si="0"/>
        <v>0.27157195345986196</v>
      </c>
      <c r="G64" s="7" t="str">
        <f>IF([2]AGPeg!F50&lt;&gt;"",[2]AGPeg!F50,"")</f>
        <v>LES</v>
      </c>
      <c r="H64" s="7" t="str">
        <f>IF([2]AGPeg!G50&lt;&gt;"",[2]AGPeg!G50,"")</f>
        <v>MRO-CA</v>
      </c>
      <c r="I64" s="7" t="str">
        <f>IF([2]AGPeg!H50&lt;&gt;"",[2]AGPeg!H50,"")</f>
        <v>31cmDK+23um1800lpm+</v>
      </c>
      <c r="J64" s="7">
        <f>IF([2]AGPeg!I50&lt;&gt;"",[2]AGPeg!I50,"")</f>
        <v>9200</v>
      </c>
      <c r="K64" s="7" t="str">
        <f>IF([2]AGPeg!J50&lt;&gt;"",[2]AGPeg!J50,"")</f>
        <v/>
      </c>
    </row>
    <row r="65" spans="1:14" x14ac:dyDescent="0.25">
      <c r="A65">
        <f t="shared" si="1"/>
        <v>31.272567421922759</v>
      </c>
      <c r="B65" s="7">
        <f>IF([2]AGPeg!B51&lt;&gt;"",[2]AGPeg!B51,"")</f>
        <v>39</v>
      </c>
      <c r="C65" s="8">
        <f>IF([2]AGPeg!C51&lt;&gt;"",[2]AGPeg!C51,"")</f>
        <v>42183</v>
      </c>
      <c r="D65" s="9">
        <f>IF([2]AGPeg!D51&lt;&gt;"",[2]AGPeg!D51,"")</f>
        <v>4.1990740740740745E-2</v>
      </c>
      <c r="E65" s="7">
        <f>IF([2]AGPeg!E51&lt;&gt;"",[2]AGPeg!E51,"")</f>
        <v>2457201.5512999999</v>
      </c>
      <c r="F65" s="20">
        <f t="shared" si="0"/>
        <v>0.27256742192275851</v>
      </c>
      <c r="G65" s="7" t="str">
        <f>IF([2]AGPeg!F51&lt;&gt;"",[2]AGPeg!F51,"")</f>
        <v>JMO</v>
      </c>
      <c r="H65" s="7" t="str">
        <f>IF([2]AGPeg!G51&lt;&gt;"",[2]AGPeg!G51,"")</f>
        <v>OLC-FR</v>
      </c>
      <c r="I65" s="7" t="str">
        <f>IF([2]AGPeg!H51&lt;&gt;"",[2]AGPeg!H51,"")</f>
        <v>MEADE355+Lhires</v>
      </c>
      <c r="J65" s="7">
        <f>IF([2]AGPeg!I51&lt;&gt;"",[2]AGPeg!I51,"")</f>
        <v>12303</v>
      </c>
      <c r="K65" s="7" t="str">
        <f>IF([2]AGPeg!J51&lt;&gt;"",[2]AGPeg!J51,"")</f>
        <v/>
      </c>
    </row>
    <row r="66" spans="1:14" x14ac:dyDescent="0.25">
      <c r="A66">
        <f t="shared" si="1"/>
        <v>31.273681077770821</v>
      </c>
      <c r="B66" s="7">
        <f>IF([2]AGPeg!B52&lt;&gt;"",[2]AGPeg!B52,"")</f>
        <v>40</v>
      </c>
      <c r="C66" s="8">
        <f>IF([2]AGPeg!C52&lt;&gt;"",[2]AGPeg!C52,"")</f>
        <v>42183</v>
      </c>
      <c r="D66" s="9">
        <f>IF([2]AGPeg!D52&lt;&gt;"",[2]AGPeg!D52,"")</f>
        <v>0.94966435185185183</v>
      </c>
      <c r="E66" s="7">
        <f>IF([2]AGPeg!E52&lt;&gt;"",[2]AGPeg!E52,"")</f>
        <v>2457202.4605999999</v>
      </c>
      <c r="F66" s="20">
        <f t="shared" si="0"/>
        <v>0.27368107777082074</v>
      </c>
      <c r="G66" s="7" t="str">
        <f>IF([2]AGPeg!F52&lt;&gt;"",[2]AGPeg!F52,"")</f>
        <v>REV</v>
      </c>
      <c r="H66" s="7" t="str">
        <f>IF([2]AGPeg!G52&lt;&gt;"",[2]AGPeg!G52,"")</f>
        <v>RIV-FR</v>
      </c>
      <c r="I66" s="7" t="str">
        <f>IF([2]AGPeg!H52&lt;&gt;"",[2]AGPeg!H52,"")</f>
        <v>L160_Lisa_Atik314L</v>
      </c>
      <c r="J66" s="7">
        <f>IF([2]AGPeg!I52&lt;&gt;"",[2]AGPeg!I52,"")</f>
        <v>961</v>
      </c>
      <c r="K66" s="7" t="str">
        <f>IF([2]AGPeg!J52&lt;&gt;"",[2]AGPeg!J52,"")</f>
        <v/>
      </c>
    </row>
    <row r="67" spans="1:14" x14ac:dyDescent="0.25">
      <c r="A67">
        <f t="shared" si="1"/>
        <v>31.273731781996158</v>
      </c>
      <c r="B67" s="7">
        <f>IF([2]AGPeg!B53&lt;&gt;"",[2]AGPeg!B53,"")</f>
        <v>41</v>
      </c>
      <c r="C67" s="8">
        <f>IF([2]AGPeg!C53&lt;&gt;"",[2]AGPeg!C53,"")</f>
        <v>42183</v>
      </c>
      <c r="D67" s="9">
        <f>IF([2]AGPeg!D53&lt;&gt;"",[2]AGPeg!D53,"")</f>
        <v>0.99454861111111104</v>
      </c>
      <c r="E67" s="7">
        <f>IF([2]AGPeg!E53&lt;&gt;"",[2]AGPeg!E53,"")</f>
        <v>2457202.5019999999</v>
      </c>
      <c r="F67" s="20">
        <f t="shared" si="0"/>
        <v>0.27373178199615822</v>
      </c>
      <c r="G67" s="7" t="str">
        <f>IF([2]AGPeg!F53&lt;&gt;"",[2]AGPeg!F53,"")</f>
        <v>SOL</v>
      </c>
      <c r="H67" s="7" t="str">
        <f>IF([2]AGPeg!G53&lt;&gt;"",[2]AGPeg!G53,"")</f>
        <v>AQL-IT</v>
      </c>
      <c r="I67" s="7" t="str">
        <f>IF([2]AGPeg!H53&lt;&gt;"",[2]AGPeg!H53,"")</f>
        <v>Slit_specC8ST-830</v>
      </c>
      <c r="J67" s="7" t="str">
        <f>IF([2]AGPeg!I53&lt;&gt;"",[2]AGPeg!I53,"")</f>
        <v/>
      </c>
      <c r="K67" s="7" t="str">
        <f>IF([2]AGPeg!J53&lt;&gt;"",[2]AGPeg!J53,"")</f>
        <v/>
      </c>
      <c r="L67" s="7"/>
    </row>
    <row r="68" spans="1:14" x14ac:dyDescent="0.25">
      <c r="A68">
        <f t="shared" si="1"/>
        <v>31.274984078383127</v>
      </c>
      <c r="B68" s="7">
        <f>IF([2]AGPeg!B54&lt;&gt;"",[2]AGPeg!B54,"")</f>
        <v>42</v>
      </c>
      <c r="C68" s="8">
        <f>IF([2]AGPeg!C54&lt;&gt;"",[2]AGPeg!C54,"")</f>
        <v>42185</v>
      </c>
      <c r="D68" s="9">
        <f>IF([2]AGPeg!D54&lt;&gt;"",[2]AGPeg!D54,"")</f>
        <v>1.5995370370370372E-2</v>
      </c>
      <c r="E68" s="7">
        <f>IF([2]AGPeg!E54&lt;&gt;"",[2]AGPeg!E54,"")</f>
        <v>2457203.5244999998</v>
      </c>
      <c r="F68" s="20">
        <f t="shared" si="0"/>
        <v>0.27498407838312744</v>
      </c>
      <c r="G68" s="7" t="str">
        <f>IF([2]AGPeg!F54&lt;&gt;"",[2]AGPeg!F54,"")</f>
        <v>JMO</v>
      </c>
      <c r="H68" s="7" t="str">
        <f>IF([2]AGPeg!G54&lt;&gt;"",[2]AGPeg!G54,"")</f>
        <v>OLC-FR</v>
      </c>
      <c r="I68" s="7" t="str">
        <f>IF([2]AGPeg!H54&lt;&gt;"",[2]AGPeg!H54,"")</f>
        <v>MEADE355+Lhires</v>
      </c>
      <c r="J68" s="7">
        <f>IF([2]AGPeg!I54&lt;&gt;"",[2]AGPeg!I54,"")</f>
        <v>12925</v>
      </c>
      <c r="K68" s="7" t="str">
        <f>IF([2]AGPeg!J54&lt;&gt;"",[2]AGPeg!J54,"")</f>
        <v/>
      </c>
      <c r="L68" s="7"/>
    </row>
    <row r="69" spans="1:14" x14ac:dyDescent="0.25">
      <c r="A69">
        <f t="shared" si="1"/>
        <v>31.275014941824686</v>
      </c>
      <c r="B69" s="7">
        <f>IF([2]AGPeg!B55&lt;&gt;"",[2]AGPeg!B55,"")</f>
        <v>43</v>
      </c>
      <c r="C69" s="8">
        <f>IF([2]AGPeg!C55&lt;&gt;"",[2]AGPeg!C55,"")</f>
        <v>42185</v>
      </c>
      <c r="D69" s="9">
        <f>IF([2]AGPeg!D55&lt;&gt;"",[2]AGPeg!D55,"")</f>
        <v>4.3981481481481483E-2</v>
      </c>
      <c r="E69" s="7">
        <f>IF([2]AGPeg!E55&lt;&gt;"",[2]AGPeg!E55,"")</f>
        <v>2457203.5496999999</v>
      </c>
      <c r="F69" s="20">
        <f t="shared" si="0"/>
        <v>0.27501494182468633</v>
      </c>
      <c r="G69" s="7" t="str">
        <f>IF([2]AGPeg!F55&lt;&gt;"",[2]AGPeg!F55,"")</f>
        <v>DBO</v>
      </c>
      <c r="H69" s="7" t="str">
        <f>IF([2]AGPeg!G55&lt;&gt;"",[2]AGPeg!G55,"")</f>
        <v>WCO-UK</v>
      </c>
      <c r="I69" s="7" t="str">
        <f>IF([2]AGPeg!H55&lt;&gt;"",[2]AGPeg!H55,"")</f>
        <v>C11+Lisa+SXVR-H694</v>
      </c>
      <c r="J69" s="7">
        <f>IF([2]AGPeg!I55&lt;&gt;"",[2]AGPeg!I55,"")</f>
        <v>798</v>
      </c>
      <c r="K69" s="7" t="str">
        <f>IF([2]AGPeg!J55&lt;&gt;"",[2]AGPeg!J55,"")</f>
        <v/>
      </c>
      <c r="L69" s="7"/>
    </row>
    <row r="70" spans="1:14" x14ac:dyDescent="0.25">
      <c r="A70">
        <f t="shared" si="1"/>
        <v>31.275287568891411</v>
      </c>
      <c r="B70" s="7">
        <f>IF([2]AGPeg!B56&lt;&gt;"",[2]AGPeg!B56,"")</f>
        <v>44</v>
      </c>
      <c r="C70" s="8">
        <f>IF([2]AGPeg!C56&lt;&gt;"",[2]AGPeg!C56,"")</f>
        <v>42185</v>
      </c>
      <c r="D70" s="9">
        <f>IF([2]AGPeg!D56&lt;&gt;"",[2]AGPeg!D56,"")</f>
        <v>0.25146990740740743</v>
      </c>
      <c r="E70" s="7">
        <f>IF([2]AGPeg!E56&lt;&gt;"",[2]AGPeg!E56,"")</f>
        <v>2457203.7722999998</v>
      </c>
      <c r="F70" s="20">
        <f t="shared" si="0"/>
        <v>0.27528756889141093</v>
      </c>
      <c r="G70" s="7" t="str">
        <f>IF([2]AGPeg!F56&lt;&gt;"",[2]AGPeg!F56,"")</f>
        <v>LES</v>
      </c>
      <c r="H70" s="7" t="str">
        <f>IF([2]AGPeg!G56&lt;&gt;"",[2]AGPeg!G56,"")</f>
        <v>MRO-CA</v>
      </c>
      <c r="I70" s="7" t="str">
        <f>IF([2]AGPeg!H56&lt;&gt;"",[2]AGPeg!H56,"")</f>
        <v>31cmDK+23um1800lpm+</v>
      </c>
      <c r="J70" s="7">
        <f>IF([2]AGPeg!I56&lt;&gt;"",[2]AGPeg!I56,"")</f>
        <v>6350</v>
      </c>
      <c r="K70" s="7" t="str">
        <f>IF([2]AGPeg!J56&lt;&gt;"",[2]AGPeg!J56,"")</f>
        <v/>
      </c>
      <c r="L70" s="7"/>
    </row>
    <row r="71" spans="1:14" x14ac:dyDescent="0.25">
      <c r="A71">
        <f t="shared" si="1"/>
        <v>31.27621126760582</v>
      </c>
      <c r="B71" s="7">
        <f>IF([2]AGPeg!B57&lt;&gt;"",[2]AGPeg!B57,"")</f>
        <v>45</v>
      </c>
      <c r="C71" s="8">
        <f>IF([2]AGPeg!C57&lt;&gt;"",[2]AGPeg!C57,"")</f>
        <v>42186</v>
      </c>
      <c r="D71" s="9">
        <f>IF([2]AGPeg!D57&lt;&gt;"",[2]AGPeg!D57,"")</f>
        <v>1.064814814814815E-2</v>
      </c>
      <c r="E71" s="7">
        <f>IF([2]AGPeg!E57&lt;&gt;"",[2]AGPeg!E57,"")</f>
        <v>2457204.5265000002</v>
      </c>
      <c r="F71" s="20">
        <f t="shared" si="0"/>
        <v>0.27621126760582015</v>
      </c>
      <c r="G71" s="7" t="str">
        <f>IF([2]AGPeg!F57&lt;&gt;"",[2]AGPeg!F57,"")</f>
        <v>OGA</v>
      </c>
      <c r="H71" s="7" t="str">
        <f>IF([2]AGPeg!G57&lt;&gt;"",[2]AGPeg!G57,"")</f>
        <v>OTO-FR</v>
      </c>
      <c r="I71" s="7" t="str">
        <f>IF([2]AGPeg!H57&lt;&gt;"",[2]AGPeg!H57,"")</f>
        <v>RC400+eShel_460EX</v>
      </c>
      <c r="J71" s="7">
        <f>IF([2]AGPeg!I57&lt;&gt;"",[2]AGPeg!I57,"")</f>
        <v>11000</v>
      </c>
      <c r="K71" s="7" t="str">
        <f>IF([2]AGPeg!J57&lt;&gt;"",[2]AGPeg!J57,"")</f>
        <v/>
      </c>
      <c r="L71" s="7"/>
    </row>
    <row r="72" spans="1:14" x14ac:dyDescent="0.25">
      <c r="A72">
        <f t="shared" si="1"/>
        <v>31.27990679730549</v>
      </c>
      <c r="B72" s="7">
        <f>IF([2]AGPeg!B58&lt;&gt;"",[2]AGPeg!B58,"")</f>
        <v>46</v>
      </c>
      <c r="C72" s="8">
        <f>IF([2]AGPeg!C58&lt;&gt;"",[2]AGPeg!C58,"")</f>
        <v>42189</v>
      </c>
      <c r="D72" s="9">
        <f>IF([2]AGPeg!D58&lt;&gt;"",[2]AGPeg!D58,"")</f>
        <v>3.6886574074074079E-2</v>
      </c>
      <c r="E72" s="7">
        <f>IF([2]AGPeg!E58&lt;&gt;"",[2]AGPeg!E58,"")</f>
        <v>2457207.5438999999</v>
      </c>
      <c r="F72" s="20">
        <f t="shared" si="0"/>
        <v>0.27990679730548962</v>
      </c>
      <c r="G72" s="7" t="str">
        <f>IF([2]AGPeg!F58&lt;&gt;"",[2]AGPeg!F58,"")</f>
        <v>PSO</v>
      </c>
      <c r="H72" s="7" t="str">
        <f>IF([2]AGPeg!G58&lt;&gt;"",[2]AGPeg!G58,"")</f>
        <v>TAT-HU</v>
      </c>
      <c r="I72" s="7" t="str">
        <f>IF([2]AGPeg!H58&lt;&gt;"",[2]AGPeg!H58,"")</f>
        <v>25cmLH24K15u414esm</v>
      </c>
      <c r="J72" s="7">
        <f>IF([2]AGPeg!I58&lt;&gt;"",[2]AGPeg!I58,"")</f>
        <v>18112</v>
      </c>
      <c r="K72" s="7" t="str">
        <f>IF([2]AGPeg!J58&lt;&gt;"",[2]AGPeg!J58,"")</f>
        <v/>
      </c>
      <c r="L72" s="7"/>
    </row>
    <row r="73" spans="1:14" x14ac:dyDescent="0.25">
      <c r="A73">
        <f t="shared" si="1"/>
        <v>31.279941334966306</v>
      </c>
      <c r="B73" s="7">
        <f>IF([2]AGPeg!B59&lt;&gt;"",[2]AGPeg!B59,"")</f>
        <v>47</v>
      </c>
      <c r="C73" s="8">
        <f>IF([2]AGPeg!C59&lt;&gt;"",[2]AGPeg!C59,"")</f>
        <v>42189</v>
      </c>
      <c r="D73" s="9">
        <f>IF([2]AGPeg!D59&lt;&gt;"",[2]AGPeg!D59,"")</f>
        <v>6.5127314814814818E-2</v>
      </c>
      <c r="E73" s="7">
        <f>IF([2]AGPeg!E59&lt;&gt;"",[2]AGPeg!E59,"")</f>
        <v>2457207.5721</v>
      </c>
      <c r="F73" s="20">
        <f t="shared" si="0"/>
        <v>0.27994133496630624</v>
      </c>
      <c r="G73" s="7" t="str">
        <f>IF([2]AGPeg!F59&lt;&gt;"",[2]AGPeg!F59,"")</f>
        <v>PSO</v>
      </c>
      <c r="H73" s="7" t="str">
        <f>IF([2]AGPeg!G59&lt;&gt;"",[2]AGPeg!G59,"")</f>
        <v>TAT-HU</v>
      </c>
      <c r="I73" s="7" t="str">
        <f>IF([2]AGPeg!H59&lt;&gt;"",[2]AGPeg!H59,"")</f>
        <v>25cmLH24K15u414esm</v>
      </c>
      <c r="J73" s="7">
        <f>IF([2]AGPeg!I59&lt;&gt;"",[2]AGPeg!I59,"")</f>
        <v>21042</v>
      </c>
      <c r="K73" s="7" t="str">
        <f>IF([2]AGPeg!J59&lt;&gt;"",[2]AGPeg!J59,"")</f>
        <v/>
      </c>
      <c r="L73" s="7"/>
      <c r="M73" s="3"/>
      <c r="N73" s="3"/>
    </row>
    <row r="74" spans="1:14" x14ac:dyDescent="0.25">
      <c r="A74">
        <f t="shared" si="1"/>
        <v>31.281036742192402</v>
      </c>
      <c r="B74" s="7">
        <f>IF([2]AGPeg!B60&lt;&gt;"",[2]AGPeg!B60,"")</f>
        <v>48</v>
      </c>
      <c r="C74" s="8">
        <f>IF([2]AGPeg!C60&lt;&gt;"",[2]AGPeg!C60,"")</f>
        <v>42189</v>
      </c>
      <c r="D74" s="9">
        <f>IF([2]AGPeg!D60&lt;&gt;"",[2]AGPeg!D60,"")</f>
        <v>0.96122685185185175</v>
      </c>
      <c r="E74" s="7">
        <f>IF([2]AGPeg!E60&lt;&gt;"",[2]AGPeg!E60,"")</f>
        <v>2457208.4665000001</v>
      </c>
      <c r="F74" s="20">
        <f t="shared" si="0"/>
        <v>0.28103674219240204</v>
      </c>
      <c r="G74" s="7" t="str">
        <f>IF([2]AGPeg!F60&lt;&gt;"",[2]AGPeg!F60,"")</f>
        <v>PSO</v>
      </c>
      <c r="H74" s="7" t="str">
        <f>IF([2]AGPeg!G60&lt;&gt;"",[2]AGPeg!G60,"")</f>
        <v>TAT-HU</v>
      </c>
      <c r="I74" s="7" t="str">
        <f>IF([2]AGPeg!H60&lt;&gt;"",[2]AGPeg!H60,"")</f>
        <v>25cmLH24K15u414esm</v>
      </c>
      <c r="J74" s="7">
        <f>IF([2]AGPeg!I60&lt;&gt;"",[2]AGPeg!I60,"")</f>
        <v>2924</v>
      </c>
      <c r="K74" s="7" t="str">
        <f>IF([2]AGPeg!J60&lt;&gt;"",[2]AGPeg!J60,"")</f>
        <v/>
      </c>
      <c r="L74" s="7"/>
      <c r="M74" s="3"/>
      <c r="N74" s="3"/>
    </row>
    <row r="75" spans="1:14" x14ac:dyDescent="0.25">
      <c r="A75">
        <f t="shared" si="1"/>
        <v>31.282272749540521</v>
      </c>
      <c r="B75" s="7">
        <f>IF([2]AGPeg!B61&lt;&gt;"",[2]AGPeg!B61,"")</f>
        <v>49</v>
      </c>
      <c r="C75" s="8">
        <f>IF([2]AGPeg!C61&lt;&gt;"",[2]AGPeg!C61,"")</f>
        <v>42190</v>
      </c>
      <c r="D75" s="9">
        <f>IF([2]AGPeg!D61&lt;&gt;"",[2]AGPeg!D61,"")</f>
        <v>0.96392361111111102</v>
      </c>
      <c r="E75" s="7">
        <f>IF([2]AGPeg!E61&lt;&gt;"",[2]AGPeg!E61,"")</f>
        <v>2457209.4756999998</v>
      </c>
      <c r="F75" s="20">
        <f t="shared" si="0"/>
        <v>0.28227274954052106</v>
      </c>
      <c r="G75" s="7" t="str">
        <f>IF([2]AGPeg!F61&lt;&gt;"",[2]AGPeg!F61,"")</f>
        <v>PSO</v>
      </c>
      <c r="H75" s="7" t="str">
        <f>IF([2]AGPeg!G61&lt;&gt;"",[2]AGPeg!G61,"")</f>
        <v>TAT-HU</v>
      </c>
      <c r="I75" s="7" t="str">
        <f>IF([2]AGPeg!H61&lt;&gt;"",[2]AGPeg!H61,"")</f>
        <v>25cmLH60015u414esm</v>
      </c>
      <c r="J75" s="7">
        <f>IF([2]AGPeg!I61&lt;&gt;"",[2]AGPeg!I61,"")</f>
        <v>3444</v>
      </c>
      <c r="K75" s="7" t="str">
        <f>IF([2]AGPeg!J61&lt;&gt;"",[2]AGPeg!J61,"")</f>
        <v/>
      </c>
      <c r="L75" s="7"/>
      <c r="M75" s="3"/>
      <c r="N75" s="3"/>
    </row>
    <row r="76" spans="1:14" x14ac:dyDescent="0.25">
      <c r="A76">
        <f t="shared" si="1"/>
        <v>31.287164115125687</v>
      </c>
      <c r="B76" s="7">
        <f>IF([2]AGPeg!B62&lt;&gt;"",[2]AGPeg!B62,"")</f>
        <v>50</v>
      </c>
      <c r="C76" s="8">
        <f>IF([2]AGPeg!C62&lt;&gt;"",[2]AGPeg!C62,"")</f>
        <v>42194</v>
      </c>
      <c r="D76" s="9">
        <f>IF([2]AGPeg!D62&lt;&gt;"",[2]AGPeg!D62,"")</f>
        <v>0.96574074074074068</v>
      </c>
      <c r="E76" s="7">
        <f>IF([2]AGPeg!E62&lt;&gt;"",[2]AGPeg!E62,"")</f>
        <v>2457213.4695000001</v>
      </c>
      <c r="F76" s="20">
        <f t="shared" si="0"/>
        <v>0.2871641151256874</v>
      </c>
      <c r="G76" s="7" t="str">
        <f>IF([2]AGPeg!F62&lt;&gt;"",[2]AGPeg!F62,"")</f>
        <v>JGF</v>
      </c>
      <c r="H76" s="7" t="str">
        <f>IF([2]AGPeg!G62&lt;&gt;"",[2]AGPeg!G62,"")</f>
        <v>SMM-SP</v>
      </c>
      <c r="I76" s="7" t="str">
        <f>IF([2]AGPeg!H62&lt;&gt;"",[2]AGPeg!H62,"")</f>
        <v>16REMOTATIK460EX</v>
      </c>
      <c r="J76" s="7">
        <f>IF([2]AGPeg!I62&lt;&gt;"",[2]AGPeg!I62,"")</f>
        <v>715</v>
      </c>
      <c r="K76" s="7" t="str">
        <f>IF([2]AGPeg!J62&lt;&gt;"",[2]AGPeg!J62,"")</f>
        <v/>
      </c>
      <c r="L76" s="7"/>
      <c r="M76" s="3"/>
      <c r="N76" s="3"/>
    </row>
    <row r="77" spans="1:14" x14ac:dyDescent="0.25">
      <c r="A77">
        <f t="shared" si="1"/>
        <v>31.289724923453573</v>
      </c>
      <c r="B77" s="7">
        <f>IF([2]AGPeg!B63&lt;&gt;"",[2]AGPeg!B63,"")</f>
        <v>51</v>
      </c>
      <c r="C77" s="8">
        <f>IF([2]AGPeg!C63&lt;&gt;"",[2]AGPeg!C63,"")</f>
        <v>42197</v>
      </c>
      <c r="D77" s="9">
        <f>IF([2]AGPeg!D63&lt;&gt;"",[2]AGPeg!D63,"")</f>
        <v>5.0995370370370365E-2</v>
      </c>
      <c r="E77" s="7">
        <f>IF([2]AGPeg!E63&lt;&gt;"",[2]AGPeg!E63,"")</f>
        <v>2457215.5603999998</v>
      </c>
      <c r="F77" s="20">
        <f t="shared" si="0"/>
        <v>0.28972492345357281</v>
      </c>
      <c r="G77" s="7" t="str">
        <f>IF([2]AGPeg!F63&lt;&gt;"",[2]AGPeg!F63,"")</f>
        <v>JMO</v>
      </c>
      <c r="H77" s="7" t="str">
        <f>IF([2]AGPeg!G63&lt;&gt;"",[2]AGPeg!G63,"")</f>
        <v>OLC-FR</v>
      </c>
      <c r="I77" s="7" t="str">
        <f>IF([2]AGPeg!H63&lt;&gt;"",[2]AGPeg!H63,"")</f>
        <v>MEADE355+Lhires</v>
      </c>
      <c r="J77" s="7">
        <f>IF([2]AGPeg!I63&lt;&gt;"",[2]AGPeg!I63,"")</f>
        <v>12284</v>
      </c>
      <c r="K77" s="7" t="str">
        <f>IF([2]AGPeg!J63&lt;&gt;"",[2]AGPeg!J63,"")</f>
        <v/>
      </c>
      <c r="L77" s="7"/>
    </row>
    <row r="78" spans="1:14" x14ac:dyDescent="0.25">
      <c r="A78">
        <f t="shared" si="1"/>
        <v>31.289751745254001</v>
      </c>
      <c r="B78" s="7">
        <f>IF([2]AGPeg!B64&lt;&gt;"",[2]AGPeg!B64,"")</f>
        <v>52</v>
      </c>
      <c r="C78" s="8">
        <f>IF([2]AGPeg!C64&lt;&gt;"",[2]AGPeg!C64,"")</f>
        <v>42197</v>
      </c>
      <c r="D78" s="9">
        <f>IF([2]AGPeg!D64&lt;&gt;"",[2]AGPeg!D64,"")</f>
        <v>8.340277777777777E-2</v>
      </c>
      <c r="E78" s="7">
        <f>IF([2]AGPeg!E64&lt;&gt;"",[2]AGPeg!E64,"")</f>
        <v>2457215.5822999999</v>
      </c>
      <c r="F78" s="20">
        <f t="shared" si="0"/>
        <v>0.28975174525400149</v>
      </c>
      <c r="G78" s="7" t="str">
        <f>IF([2]AGPeg!F64&lt;&gt;"",[2]AGPeg!F64,"")</f>
        <v>PSO</v>
      </c>
      <c r="H78" s="7" t="str">
        <f>IF([2]AGPeg!G64&lt;&gt;"",[2]AGPeg!G64,"")</f>
        <v>TAT-HU</v>
      </c>
      <c r="I78" s="7" t="str">
        <f>IF([2]AGPeg!H64&lt;&gt;"",[2]AGPeg!H64,"")</f>
        <v>T10+Lhires600+Atik414esm</v>
      </c>
      <c r="J78" s="7">
        <f>IF([2]AGPeg!I64&lt;&gt;"",[2]AGPeg!I64,"")</f>
        <v>3077</v>
      </c>
      <c r="K78" s="7" t="str">
        <f>IF([2]AGPeg!J64&lt;&gt;"",[2]AGPeg!J64,"")</f>
        <v/>
      </c>
      <c r="L78" s="7"/>
    </row>
    <row r="79" spans="1:14" x14ac:dyDescent="0.25">
      <c r="A79">
        <f t="shared" si="1"/>
        <v>31.292030618493534</v>
      </c>
      <c r="B79" s="7">
        <f>IF([2]AGPeg!B65&lt;&gt;"",[2]AGPeg!B65,"")</f>
        <v>53</v>
      </c>
      <c r="C79" s="8">
        <f>IF([2]AGPeg!C65&lt;&gt;"",[2]AGPeg!C65,"")</f>
        <v>42198</v>
      </c>
      <c r="D79" s="9">
        <f>IF([2]AGPeg!D65&lt;&gt;"",[2]AGPeg!D65,"")</f>
        <v>0.93901620370370376</v>
      </c>
      <c r="E79" s="7">
        <f>IF([2]AGPeg!E65&lt;&gt;"",[2]AGPeg!E65,"")</f>
        <v>2457217.443</v>
      </c>
      <c r="F79" s="20">
        <f t="shared" si="0"/>
        <v>0.29203061849353418</v>
      </c>
      <c r="G79" s="7" t="str">
        <f>IF([2]AGPeg!F65&lt;&gt;"",[2]AGPeg!F65,"")</f>
        <v>JGF</v>
      </c>
      <c r="H79" s="7" t="str">
        <f>IF([2]AGPeg!G65&lt;&gt;"",[2]AGPeg!G65,"")</f>
        <v>SMM-SP</v>
      </c>
      <c r="I79" s="7" t="str">
        <f>IF([2]AGPeg!H65&lt;&gt;"",[2]AGPeg!H65,"")</f>
        <v>16REMOTATIK460EX</v>
      </c>
      <c r="J79" s="7">
        <f>IF([2]AGPeg!I65&lt;&gt;"",[2]AGPeg!I65,"")</f>
        <v>640</v>
      </c>
      <c r="K79" s="7" t="str">
        <f>IF([2]AGPeg!J65&lt;&gt;"",[2]AGPeg!J65,"")</f>
        <v/>
      </c>
      <c r="L79" s="7"/>
      <c r="M79" s="3"/>
      <c r="N79" s="3"/>
    </row>
    <row r="80" spans="1:14" ht="15.75" x14ac:dyDescent="0.25">
      <c r="A80">
        <f t="shared" si="1"/>
        <v>31.296988120024245</v>
      </c>
      <c r="B80" s="7">
        <f>IF([2]AGPeg!B66&lt;&gt;"",[2]AGPeg!B66,"")</f>
        <v>54</v>
      </c>
      <c r="C80" s="8">
        <f>IF([2]AGPeg!C66&lt;&gt;"",[2]AGPeg!C66,"")</f>
        <v>42202</v>
      </c>
      <c r="D80" s="9">
        <f>IF([2]AGPeg!D66&lt;&gt;"",[2]AGPeg!D66,"")</f>
        <v>0.98728009259259253</v>
      </c>
      <c r="E80" s="7">
        <f>IF([2]AGPeg!E66&lt;&gt;"",[2]AGPeg!E66,"")</f>
        <v>2457221.4907999998</v>
      </c>
      <c r="F80" s="20">
        <f t="shared" si="0"/>
        <v>0.29698812002424546</v>
      </c>
      <c r="G80" s="7" t="str">
        <f>IF([2]AGPeg!F66&lt;&gt;"",[2]AGPeg!F66,"")</f>
        <v>PSO</v>
      </c>
      <c r="H80" s="7" t="str">
        <f>IF([2]AGPeg!G66&lt;&gt;"",[2]AGPeg!G66,"")</f>
        <v>TAT-HU</v>
      </c>
      <c r="I80" s="7" t="str">
        <f>IF([2]AGPeg!H66&lt;&gt;"",[2]AGPeg!H66,"")</f>
        <v>25cmLH2400_23u414ex</v>
      </c>
      <c r="J80" s="7">
        <f>IF([2]AGPeg!I66&lt;&gt;"",[2]AGPeg!I66,"")</f>
        <v>22426</v>
      </c>
      <c r="K80" s="7" t="str">
        <f>IF([2]AGPeg!J66&lt;&gt;"",[2]AGPeg!J66,"")</f>
        <v/>
      </c>
      <c r="L80" s="7"/>
      <c r="M80" s="4"/>
      <c r="N80" s="2"/>
    </row>
    <row r="81" spans="1:14" x14ac:dyDescent="0.25">
      <c r="A81">
        <f t="shared" si="1"/>
        <v>31.303102388242298</v>
      </c>
      <c r="B81" s="7">
        <f>IF([2]AGPeg!B67&lt;&gt;"",[2]AGPeg!B67,"")</f>
        <v>55</v>
      </c>
      <c r="C81" s="8">
        <f>IF([2]AGPeg!C67&lt;&gt;"",[2]AGPeg!C67,"")</f>
        <v>42207</v>
      </c>
      <c r="D81" s="9">
        <f>IF([2]AGPeg!D67&lt;&gt;"",[2]AGPeg!D67,"")</f>
        <v>0.97673611111111114</v>
      </c>
      <c r="E81" s="7">
        <f>IF([2]AGPeg!E67&lt;&gt;"",[2]AGPeg!E67,"")</f>
        <v>2457226.4830999998</v>
      </c>
      <c r="F81" s="20">
        <f t="shared" si="0"/>
        <v>0.30310238824229785</v>
      </c>
      <c r="G81" s="7" t="str">
        <f>IF([2]AGPeg!F67&lt;&gt;"",[2]AGPeg!F67,"")</f>
        <v>DBO</v>
      </c>
      <c r="H81" s="7" t="str">
        <f>IF([2]AGPeg!G67&lt;&gt;"",[2]AGPeg!G67,"")</f>
        <v>WCO-UK</v>
      </c>
      <c r="I81" s="7" t="str">
        <f>IF([2]AGPeg!H67&lt;&gt;"",[2]AGPeg!H67,"")</f>
        <v>C11+Lisa+SXVR-H694</v>
      </c>
      <c r="J81" s="7">
        <f>IF([2]AGPeg!I67&lt;&gt;"",[2]AGPeg!I67,"")</f>
        <v>841</v>
      </c>
      <c r="K81" s="7" t="str">
        <f>IF([2]AGPeg!J67&lt;&gt;"",[2]AGPeg!J67,"")</f>
        <v/>
      </c>
      <c r="L81" s="7"/>
      <c r="N81" s="2"/>
    </row>
    <row r="82" spans="1:14" x14ac:dyDescent="0.25">
      <c r="A82">
        <f t="shared" si="1"/>
        <v>31.306715248010036</v>
      </c>
      <c r="B82" s="7">
        <f>IF([2]AGPeg!B68&lt;&gt;"",[2]AGPeg!B68,"")</f>
        <v>56</v>
      </c>
      <c r="C82" s="8">
        <f>IF([2]AGPeg!C68&lt;&gt;"",[2]AGPeg!C68,"")</f>
        <v>42210</v>
      </c>
      <c r="D82" s="9">
        <f>IF([2]AGPeg!D68&lt;&gt;"",[2]AGPeg!D68,"")</f>
        <v>0.92469907407407403</v>
      </c>
      <c r="E82" s="7">
        <f>IF([2]AGPeg!E68&lt;&gt;"",[2]AGPeg!E68,"")</f>
        <v>2457229.4330000002</v>
      </c>
      <c r="F82" s="20">
        <f t="shared" si="0"/>
        <v>0.30671524801003613</v>
      </c>
      <c r="G82" s="7" t="str">
        <f>IF([2]AGPeg!F68&lt;&gt;"",[2]AGPeg!F68,"")</f>
        <v>JGF</v>
      </c>
      <c r="H82" s="7" t="str">
        <f>IF([2]AGPeg!G68&lt;&gt;"",[2]AGPeg!G68,"")</f>
        <v>SMM-SP</v>
      </c>
      <c r="I82" s="7" t="str">
        <f>IF([2]AGPeg!H68&lt;&gt;"",[2]AGPeg!H68,"")</f>
        <v>16REMOTATIK460EX</v>
      </c>
      <c r="J82" s="7">
        <f>IF([2]AGPeg!I68&lt;&gt;"",[2]AGPeg!I68,"")</f>
        <v>878</v>
      </c>
      <c r="K82" s="7" t="str">
        <f>IF([2]AGPeg!J68&lt;&gt;"",[2]AGPeg!J68,"")</f>
        <v/>
      </c>
      <c r="L82" s="7"/>
      <c r="N82" s="2"/>
    </row>
    <row r="83" spans="1:14" x14ac:dyDescent="0.25">
      <c r="A83">
        <f t="shared" si="1"/>
        <v>31.309202939375155</v>
      </c>
      <c r="B83" s="7">
        <f>IF([2]AGPeg!B69&lt;&gt;"",[2]AGPeg!B69,"")</f>
        <v>57</v>
      </c>
      <c r="C83" s="8">
        <f>IF([2]AGPeg!C69&lt;&gt;"",[2]AGPeg!C69,"")</f>
        <v>42212</v>
      </c>
      <c r="D83" s="9">
        <f>IF([2]AGPeg!D69&lt;&gt;"",[2]AGPeg!D69,"")</f>
        <v>0.96231481481481485</v>
      </c>
      <c r="E83" s="7">
        <f>IF([2]AGPeg!E69&lt;&gt;"",[2]AGPeg!E69,"")</f>
        <v>2457231.4641999998</v>
      </c>
      <c r="F83" s="20">
        <f t="shared" si="0"/>
        <v>0.30920293937515453</v>
      </c>
      <c r="G83" s="7" t="str">
        <f>IF([2]AGPeg!F69&lt;&gt;"",[2]AGPeg!F69,"")</f>
        <v>JGF</v>
      </c>
      <c r="H83" s="7" t="str">
        <f>IF([2]AGPeg!G69&lt;&gt;"",[2]AGPeg!G69,"")</f>
        <v>SMM-SP</v>
      </c>
      <c r="I83" s="7" t="str">
        <f>IF([2]AGPeg!H69&lt;&gt;"",[2]AGPeg!H69,"")</f>
        <v>16REMOTATIK460EX</v>
      </c>
      <c r="J83" s="7">
        <f>IF([2]AGPeg!I69&lt;&gt;"",[2]AGPeg!I69,"")</f>
        <v>989</v>
      </c>
      <c r="K83" s="7" t="str">
        <f>IF([2]AGPeg!J69&lt;&gt;"",[2]AGPeg!J69,"")</f>
        <v/>
      </c>
      <c r="L83" s="7"/>
      <c r="N83" s="2"/>
    </row>
    <row r="84" spans="1:14" x14ac:dyDescent="0.25">
      <c r="A84">
        <f t="shared" si="1"/>
        <v>31.311633557868827</v>
      </c>
      <c r="B84" s="7">
        <f>IF([2]AGPeg!B70&lt;&gt;"",[2]AGPeg!B70,"")</f>
        <v>58</v>
      </c>
      <c r="C84" s="8">
        <f>IF([2]AGPeg!C70&lt;&gt;"",[2]AGPeg!C70,"")</f>
        <v>42214</v>
      </c>
      <c r="D84" s="9">
        <f>IF([2]AGPeg!D70&lt;&gt;"",[2]AGPeg!D70,"")</f>
        <v>0.94240740740740747</v>
      </c>
      <c r="E84" s="7">
        <f>IF([2]AGPeg!E70&lt;&gt;"",[2]AGPeg!E70,"")</f>
        <v>2457233.4487999999</v>
      </c>
      <c r="F84" s="20">
        <f t="shared" si="0"/>
        <v>0.31163355786882718</v>
      </c>
      <c r="G84" s="7" t="str">
        <f>IF([2]AGPeg!F70&lt;&gt;"",[2]AGPeg!F70,"")</f>
        <v xml:space="preserve">FMT </v>
      </c>
      <c r="H84" s="7" t="str">
        <f>IF([2]AGPeg!G70&lt;&gt;"",[2]AGPeg!G70,"")</f>
        <v>ORS-FR</v>
      </c>
      <c r="I84" s="7" t="str">
        <f>IF([2]AGPeg!H70&lt;&gt;"",[2]AGPeg!H70,"")</f>
        <v>SC14+eShel+Atik460ex</v>
      </c>
      <c r="J84" s="7">
        <f>IF([2]AGPeg!I70&lt;&gt;"",[2]AGPeg!I70,"")</f>
        <v>11000</v>
      </c>
      <c r="K84" s="7" t="str">
        <f>IF([2]AGPeg!J70&lt;&gt;"",[2]AGPeg!J70,"")</f>
        <v/>
      </c>
      <c r="L84" s="7"/>
      <c r="N84" s="2"/>
    </row>
    <row r="85" spans="1:14" x14ac:dyDescent="0.25">
      <c r="A85">
        <f t="shared" si="1"/>
        <v>31.315346233925421</v>
      </c>
      <c r="B85" s="7">
        <f>IF([2]AGPeg!B71&lt;&gt;"",[2]AGPeg!B71,"")</f>
        <v>59</v>
      </c>
      <c r="C85" s="8">
        <f>IF([2]AGPeg!C71&lt;&gt;"",[2]AGPeg!C71,"")</f>
        <v>42217</v>
      </c>
      <c r="D85" s="9">
        <f>IF([2]AGPeg!D71&lt;&gt;"",[2]AGPeg!D71,"")</f>
        <v>0.97299768518518526</v>
      </c>
      <c r="E85" s="7">
        <f>IF([2]AGPeg!E71&lt;&gt;"",[2]AGPeg!E71,"")</f>
        <v>2457236.4802000001</v>
      </c>
      <c r="F85" s="20">
        <f t="shared" si="0"/>
        <v>0.31534623392542116</v>
      </c>
      <c r="G85" s="7" t="str">
        <f>IF([2]AGPeg!F71&lt;&gt;"",[2]AGPeg!F71,"")</f>
        <v>JMO</v>
      </c>
      <c r="H85" s="7" t="str">
        <f>IF([2]AGPeg!G71&lt;&gt;"",[2]AGPeg!G71,"")</f>
        <v>OLC-FR</v>
      </c>
      <c r="I85" s="7" t="str">
        <f>IF([2]AGPeg!H71&lt;&gt;"",[2]AGPeg!H71,"")</f>
        <v>MEADE355+Lhires</v>
      </c>
      <c r="J85" s="7">
        <f>IF([2]AGPeg!I71&lt;&gt;"",[2]AGPeg!I71,"")</f>
        <v>13000</v>
      </c>
      <c r="K85" s="7" t="str">
        <f>IF([2]AGPeg!J71&lt;&gt;"",[2]AGPeg!J71,"")</f>
        <v/>
      </c>
      <c r="L85" s="7"/>
      <c r="N85" s="2"/>
    </row>
    <row r="86" spans="1:14" x14ac:dyDescent="0.25">
      <c r="A86">
        <f t="shared" si="1"/>
        <v>31.315393631353366</v>
      </c>
      <c r="B86" s="7">
        <f>IF([2]AGPeg!B72&lt;&gt;"",[2]AGPeg!B72,"")</f>
        <v>60</v>
      </c>
      <c r="C86" s="8">
        <f>IF([2]AGPeg!C72&lt;&gt;"",[2]AGPeg!C72,"")</f>
        <v>42218</v>
      </c>
      <c r="D86" s="9">
        <f>IF([2]AGPeg!D72&lt;&gt;"",[2]AGPeg!D72,"")</f>
        <v>1.3622685185185184E-2</v>
      </c>
      <c r="E86" s="7">
        <f>IF([2]AGPeg!E72&lt;&gt;"",[2]AGPeg!E72,"")</f>
        <v>2457236.5189</v>
      </c>
      <c r="F86" s="20">
        <f t="shared" si="0"/>
        <v>0.31539363135336629</v>
      </c>
      <c r="G86" s="7" t="str">
        <f>IF([2]AGPeg!F72&lt;&gt;"",[2]AGPeg!F72,"")</f>
        <v>JGF</v>
      </c>
      <c r="H86" s="7" t="str">
        <f>IF([2]AGPeg!G72&lt;&gt;"",[2]AGPeg!G72,"")</f>
        <v>SMM-SP</v>
      </c>
      <c r="I86" s="7" t="str">
        <f>IF([2]AGPeg!H72&lt;&gt;"",[2]AGPeg!H72,"")</f>
        <v>16REMOTATIK460EX</v>
      </c>
      <c r="J86" s="7">
        <f>IF([2]AGPeg!I72&lt;&gt;"",[2]AGPeg!I72,"")</f>
        <v>984</v>
      </c>
      <c r="K86" s="7" t="str">
        <f>IF([2]AGPeg!J72&lt;&gt;"",[2]AGPeg!J72,"")</f>
        <v/>
      </c>
      <c r="L86" s="7"/>
      <c r="N86" s="2"/>
    </row>
    <row r="87" spans="1:14" x14ac:dyDescent="0.25">
      <c r="B87" s="7">
        <f>IF([2]AGPeg!B73&lt;&gt;"",[2]AGPeg!B73,"")</f>
        <v>61</v>
      </c>
      <c r="C87" s="8">
        <f>IF([2]AGPeg!C73&lt;&gt;"",[2]AGPeg!C73,"")</f>
        <v>42221</v>
      </c>
      <c r="D87" s="9">
        <f>IF([2]AGPeg!D73&lt;&gt;"",[2]AGPeg!D73,"")</f>
        <v>3.4131944444444444E-2</v>
      </c>
      <c r="E87" s="7"/>
      <c r="F87" s="20"/>
      <c r="G87" s="7" t="str">
        <f>IF([2]AGPeg!F73&lt;&gt;"",[2]AGPeg!F73,"")</f>
        <v>OTH</v>
      </c>
      <c r="H87" s="7" t="str">
        <f>IF([2]AGPeg!G73&lt;&gt;"",[2]AGPeg!G73,"")</f>
        <v>OBE-FR</v>
      </c>
      <c r="I87" s="7" t="str">
        <f>IF([2]AGPeg!H73&lt;&gt;"",[2]AGPeg!H73,"")</f>
        <v>eShel101_ST1603</v>
      </c>
      <c r="J87" s="7">
        <f>IF([2]AGPeg!I73&lt;&gt;"",[2]AGPeg!I73,"")</f>
        <v>11000</v>
      </c>
      <c r="K87" s="7" t="str">
        <f>IF([2]AGPeg!J73&lt;&gt;"",[2]AGPeg!J73,"")</f>
        <v/>
      </c>
      <c r="L87" s="7"/>
      <c r="N87" s="2"/>
    </row>
    <row r="88" spans="1:14" x14ac:dyDescent="0.25">
      <c r="B88" s="7">
        <f>IF([2]AGPeg!B74&lt;&gt;"",[2]AGPeg!B74,"")</f>
        <v>62</v>
      </c>
      <c r="C88" s="8">
        <f>IF([2]AGPeg!C74&lt;&gt;"",[2]AGPeg!C74,"")</f>
        <v>42222</v>
      </c>
      <c r="D88" s="9">
        <f>IF([2]AGPeg!D74&lt;&gt;"",[2]AGPeg!D74,"")</f>
        <v>0.92104166666666665</v>
      </c>
      <c r="E88" s="7"/>
      <c r="F88" s="20"/>
      <c r="G88" s="7" t="str">
        <f>IF([2]AGPeg!F74&lt;&gt;"",[2]AGPeg!F74,"")</f>
        <v>DBO</v>
      </c>
      <c r="H88" s="7" t="str">
        <f>IF([2]AGPeg!G74&lt;&gt;"",[2]AGPeg!G74,"")</f>
        <v>WCO-UK</v>
      </c>
      <c r="I88" s="7" t="str">
        <f>IF([2]AGPeg!H74&lt;&gt;"",[2]AGPeg!H74,"")</f>
        <v>C11+Lisa+SXVR-H694</v>
      </c>
      <c r="J88" s="7">
        <f>IF([2]AGPeg!I74&lt;&gt;"",[2]AGPeg!I74,"")</f>
        <v>826</v>
      </c>
      <c r="K88" s="7" t="str">
        <f>IF([2]AGPeg!J74&lt;&gt;"",[2]AGPeg!J74,"")</f>
        <v/>
      </c>
      <c r="L88" s="7"/>
      <c r="N88" s="2"/>
    </row>
    <row r="89" spans="1:14" x14ac:dyDescent="0.25">
      <c r="A89">
        <f t="shared" si="1"/>
        <v>31.322612737293486</v>
      </c>
      <c r="B89" s="7">
        <f>IF([2]AGPeg!B75&lt;&gt;"",[2]AGPeg!B75,"")</f>
        <v>63</v>
      </c>
      <c r="C89" s="8">
        <f>IF([2]AGPeg!C75&lt;&gt;"",[2]AGPeg!C75,"")</f>
        <v>42223</v>
      </c>
      <c r="D89" s="9">
        <f>IF([2]AGPeg!D75&lt;&gt;"",[2]AGPeg!D75,"")</f>
        <v>0.90254629629629635</v>
      </c>
      <c r="E89" s="7">
        <f>IF([2]AGPeg!E75&lt;&gt;"",[2]AGPeg!E75,"")</f>
        <v>2457242.4133000001</v>
      </c>
      <c r="F89" s="20">
        <f t="shared" si="0"/>
        <v>0.32261273729348616</v>
      </c>
      <c r="G89" s="7" t="str">
        <f>IF([2]AGPeg!F75&lt;&gt;"",[2]AGPeg!F75,"")</f>
        <v>PSO</v>
      </c>
      <c r="H89" s="7" t="str">
        <f>IF([2]AGPeg!G75&lt;&gt;"",[2]AGPeg!G75,"")</f>
        <v>TAT-HU</v>
      </c>
      <c r="I89" s="7" t="str">
        <f>IF([2]AGPeg!H75&lt;&gt;"",[2]AGPeg!H75,"")</f>
        <v>25cmLH2400_23u414ex</v>
      </c>
      <c r="J89" s="7">
        <f>IF([2]AGPeg!I75&lt;&gt;"",[2]AGPeg!I75,"")</f>
        <v>20749</v>
      </c>
      <c r="K89" s="7" t="str">
        <f>IF([2]AGPeg!J75&lt;&gt;"",[2]AGPeg!J75,"")</f>
        <v/>
      </c>
      <c r="L89" s="7"/>
      <c r="N89" s="2"/>
    </row>
    <row r="90" spans="1:14" x14ac:dyDescent="0.25">
      <c r="A90">
        <f t="shared" si="1"/>
        <v>31.324191916717442</v>
      </c>
      <c r="B90" s="7">
        <f>IF([2]AGPeg!B76&lt;&gt;"",[2]AGPeg!B76,"")</f>
        <v>64</v>
      </c>
      <c r="C90" s="8">
        <f>IF([2]AGPeg!C76&lt;&gt;"",[2]AGPeg!C76,"")</f>
        <v>42225</v>
      </c>
      <c r="D90" s="9">
        <f>IF([2]AGPeg!D76&lt;&gt;"",[2]AGPeg!D76,"")</f>
        <v>0.19747685185185185</v>
      </c>
      <c r="E90" s="7">
        <f>IF([2]AGPeg!E76&lt;&gt;"",[2]AGPeg!E76,"")</f>
        <v>2457243.7026999998</v>
      </c>
      <c r="F90" s="20">
        <f t="shared" si="0"/>
        <v>0.3241919167174423</v>
      </c>
      <c r="G90" s="7" t="str">
        <f>IF([2]AGPeg!F76&lt;&gt;"",[2]AGPeg!F76,"")</f>
        <v>LES</v>
      </c>
      <c r="H90" s="7" t="str">
        <f>IF([2]AGPeg!G76&lt;&gt;"",[2]AGPeg!G76,"")</f>
        <v>MRO-CA</v>
      </c>
      <c r="I90" s="7" t="str">
        <f>IF([2]AGPeg!H76&lt;&gt;"",[2]AGPeg!H76,"")</f>
        <v>31cmDK+23um1800lpm+</v>
      </c>
      <c r="J90" s="7">
        <f>IF([2]AGPeg!I76&lt;&gt;"",[2]AGPeg!I76,"")</f>
        <v>8884</v>
      </c>
      <c r="K90" s="7" t="str">
        <f>IF([2]AGPeg!J76&lt;&gt;"",[2]AGPeg!J76,"")</f>
        <v/>
      </c>
      <c r="L90" s="7"/>
      <c r="N90" s="2"/>
    </row>
    <row r="91" spans="1:14" x14ac:dyDescent="0.25">
      <c r="A91">
        <f t="shared" si="1"/>
        <v>31.331088181261705</v>
      </c>
      <c r="B91" s="7">
        <f>IF([2]AGPeg!B77&lt;&gt;"",[2]AGPeg!B77,"")</f>
        <v>65</v>
      </c>
      <c r="C91" s="8">
        <f>IF([2]AGPeg!C77&lt;&gt;"",[2]AGPeg!C77,"")</f>
        <v>42230</v>
      </c>
      <c r="D91" s="9">
        <f>IF([2]AGPeg!D77&lt;&gt;"",[2]AGPeg!D77,"")</f>
        <v>0.82638888888888884</v>
      </c>
      <c r="E91" s="7">
        <f>IF([2]AGPeg!E77&lt;&gt;"",[2]AGPeg!E77,"")</f>
        <v>2457249.3335000002</v>
      </c>
      <c r="F91" s="20">
        <f t="shared" si="0"/>
        <v>0.33108818126170547</v>
      </c>
      <c r="G91" s="7" t="str">
        <f>IF([2]AGPeg!F77&lt;&gt;"",[2]AGPeg!F77,"")</f>
        <v>OGA</v>
      </c>
      <c r="H91" s="7" t="str">
        <f>IF([2]AGPeg!G77&lt;&gt;"",[2]AGPeg!G77,"")</f>
        <v>OTO-FR</v>
      </c>
      <c r="I91" s="7" t="str">
        <f>IF([2]AGPeg!H77&lt;&gt;"",[2]AGPeg!H77,"")</f>
        <v>C14LisaATIK460EX</v>
      </c>
      <c r="J91" s="7">
        <f>IF([2]AGPeg!I77&lt;&gt;"",[2]AGPeg!I77,"")</f>
        <v>554</v>
      </c>
      <c r="K91" s="7" t="str">
        <f>IF([2]AGPeg!J77&lt;&gt;"",[2]AGPeg!J77,"")</f>
        <v/>
      </c>
      <c r="L91" s="7"/>
      <c r="N91" s="2"/>
    </row>
    <row r="92" spans="1:14" x14ac:dyDescent="0.25">
      <c r="A92">
        <f t="shared" si="1"/>
        <v>31.331188977342407</v>
      </c>
      <c r="B92" s="7">
        <f>IF([2]AGPeg!B78&lt;&gt;"",[2]AGPeg!B78,"")</f>
        <v>66</v>
      </c>
      <c r="C92" s="8">
        <f>IF([2]AGPeg!C78&lt;&gt;"",[2]AGPeg!C78,"")</f>
        <v>42230</v>
      </c>
      <c r="D92" s="9">
        <f>IF([2]AGPeg!D78&lt;&gt;"",[2]AGPeg!D78,"")</f>
        <v>0.89648148148148143</v>
      </c>
      <c r="E92" s="7">
        <f>IF([2]AGPeg!E78&lt;&gt;"",[2]AGPeg!E78,"")</f>
        <v>2457249.4158000001</v>
      </c>
      <c r="F92" s="20">
        <f t="shared" ref="F92:F155" si="2">(E92-$A$2)/$A$3-INT((E92-$A$2)/$A$3)</f>
        <v>0.33118897734240704</v>
      </c>
      <c r="G92" s="7" t="str">
        <f>IF([2]AGPeg!F78&lt;&gt;"",[2]AGPeg!F78,"")</f>
        <v>GMAYBU</v>
      </c>
      <c r="H92" s="7" t="str">
        <f>IF([2]AGPeg!G78&lt;&gt;"",[2]AGPeg!G78,"")</f>
        <v>OSM-FR</v>
      </c>
      <c r="I92" s="7" t="str">
        <f>IF([2]AGPeg!H78&lt;&gt;"",[2]AGPeg!H78,"")</f>
        <v>C11LisaQSI583ws</v>
      </c>
      <c r="J92" s="7">
        <f>IF([2]AGPeg!I78&lt;&gt;"",[2]AGPeg!I78,"")</f>
        <v>1005</v>
      </c>
      <c r="K92" s="7" t="str">
        <f>IF([2]AGPeg!J78&lt;&gt;"",[2]AGPeg!J78,"")</f>
        <v/>
      </c>
      <c r="L92" s="7"/>
      <c r="N92" s="2"/>
    </row>
    <row r="93" spans="1:14" x14ac:dyDescent="0.25">
      <c r="A93">
        <f t="shared" si="1"/>
        <v>31.332439804041904</v>
      </c>
      <c r="B93" s="7">
        <f>IF([2]AGPeg!B79&lt;&gt;"",[2]AGPeg!B79,"")</f>
        <v>67</v>
      </c>
      <c r="C93" s="8">
        <f>IF([2]AGPeg!C79&lt;&gt;"",[2]AGPeg!C79,"")</f>
        <v>42231</v>
      </c>
      <c r="D93" s="9">
        <f>IF([2]AGPeg!D79&lt;&gt;"",[2]AGPeg!D79,"")</f>
        <v>0.93248842592592596</v>
      </c>
      <c r="E93" s="7">
        <f>IF([2]AGPeg!E79&lt;&gt;"",[2]AGPeg!E79,"")</f>
        <v>2457250.4371000002</v>
      </c>
      <c r="F93" s="20">
        <f t="shared" si="2"/>
        <v>0.3324398040419041</v>
      </c>
      <c r="G93" s="7" t="str">
        <f>IF([2]AGPeg!F79&lt;&gt;"",[2]AGPeg!F79,"")</f>
        <v>VBO</v>
      </c>
      <c r="H93" s="7" t="str">
        <f>IF([2]AGPeg!G79&lt;&gt;"",[2]AGPeg!G79,"")</f>
        <v>OHP-FR</v>
      </c>
      <c r="I93" s="7" t="str">
        <f>IF([2]AGPeg!H79&lt;&gt;"",[2]AGPeg!H79,"")</f>
        <v>Newton200Alpy600A</v>
      </c>
      <c r="J93" s="7">
        <f>IF([2]AGPeg!I79&lt;&gt;"",[2]AGPeg!I79,"")</f>
        <v>624</v>
      </c>
      <c r="K93" s="7" t="str">
        <f>IF([2]AGPeg!J79&lt;&gt;"",[2]AGPeg!J79,"")</f>
        <v/>
      </c>
      <c r="L93" s="7"/>
      <c r="N93" s="2"/>
    </row>
    <row r="94" spans="1:14" x14ac:dyDescent="0.25">
      <c r="A94">
        <f t="shared" si="1"/>
        <v>31.332460747091289</v>
      </c>
      <c r="B94" s="7">
        <f>IF([2]AGPeg!B80&lt;&gt;"",[2]AGPeg!B80,"")</f>
        <v>68</v>
      </c>
      <c r="C94" s="8">
        <f>IF([2]AGPeg!C80&lt;&gt;"",[2]AGPeg!C80,"")</f>
        <v>42231</v>
      </c>
      <c r="D94" s="9">
        <f>IF([2]AGPeg!D80&lt;&gt;"",[2]AGPeg!D80,"")</f>
        <v>0.93699074074074085</v>
      </c>
      <c r="E94" s="7">
        <f>IF([2]AGPeg!E80&lt;&gt;"",[2]AGPeg!E80,"")</f>
        <v>2457250.4542</v>
      </c>
      <c r="F94" s="20">
        <f t="shared" si="2"/>
        <v>0.33246074709128948</v>
      </c>
      <c r="G94" s="7" t="str">
        <f>IF([2]AGPeg!F80&lt;&gt;"",[2]AGPeg!F80,"")</f>
        <v>JMO</v>
      </c>
      <c r="H94" s="7" t="str">
        <f>IF([2]AGPeg!G80&lt;&gt;"",[2]AGPeg!G80,"")</f>
        <v>OLC-FR</v>
      </c>
      <c r="I94" s="7" t="str">
        <f>IF([2]AGPeg!H80&lt;&gt;"",[2]AGPeg!H80,"")</f>
        <v>MEADE355+Lhires</v>
      </c>
      <c r="J94" s="7">
        <f>IF([2]AGPeg!I80&lt;&gt;"",[2]AGPeg!I80,"")</f>
        <v>10744</v>
      </c>
      <c r="K94" s="7" t="str">
        <f>IF([2]AGPeg!J80&lt;&gt;"",[2]AGPeg!J80,"")</f>
        <v/>
      </c>
      <c r="L94" s="7"/>
      <c r="N94" s="2"/>
    </row>
    <row r="95" spans="1:14" x14ac:dyDescent="0.25">
      <c r="A95">
        <f t="shared" si="1"/>
        <v>31.333611267605718</v>
      </c>
      <c r="B95" s="7">
        <f>IF([2]AGPeg!B81&lt;&gt;"",[2]AGPeg!B81,"")</f>
        <v>69</v>
      </c>
      <c r="C95" s="8">
        <f>IF([2]AGPeg!C81&lt;&gt;"",[2]AGPeg!C81,"")</f>
        <v>42232</v>
      </c>
      <c r="D95" s="9">
        <f>IF([2]AGPeg!D81&lt;&gt;"",[2]AGPeg!D81,"")</f>
        <v>0.89255787037037038</v>
      </c>
      <c r="E95" s="7">
        <f>IF([2]AGPeg!E81&lt;&gt;"",[2]AGPeg!E81,"")</f>
        <v>2457251.3936000001</v>
      </c>
      <c r="F95" s="20">
        <f t="shared" si="2"/>
        <v>0.33361126760571835</v>
      </c>
      <c r="G95" s="7" t="str">
        <f>IF([2]AGPeg!F81&lt;&gt;"",[2]AGPeg!F81,"")</f>
        <v>AHE</v>
      </c>
      <c r="H95" s="7" t="str">
        <f>IF([2]AGPeg!G81&lt;&gt;"",[2]AGPeg!G81,"")</f>
        <v>SMU-FR</v>
      </c>
      <c r="I95" s="7" t="str">
        <f>IF([2]AGPeg!H81&lt;&gt;"",[2]AGPeg!H81,"")</f>
        <v>FSQ106Alpyatik4</v>
      </c>
      <c r="J95" s="7">
        <f>IF([2]AGPeg!I81&lt;&gt;"",[2]AGPeg!I81,"")</f>
        <v>600</v>
      </c>
      <c r="K95" s="7" t="str">
        <f>IF([2]AGPeg!J81&lt;&gt;"",[2]AGPeg!J81,"")</f>
        <v/>
      </c>
      <c r="L95" s="7"/>
      <c r="N95" s="2"/>
    </row>
    <row r="96" spans="1:14" x14ac:dyDescent="0.25">
      <c r="A96">
        <f t="shared" si="1"/>
        <v>31.334948928352613</v>
      </c>
      <c r="B96" s="7">
        <f>IF([2]AGPeg!B82&lt;&gt;"",[2]AGPeg!B82,"")</f>
        <v>70</v>
      </c>
      <c r="C96" s="8">
        <f>IF([2]AGPeg!C82&lt;&gt;"",[2]AGPeg!C82,"")</f>
        <v>42233</v>
      </c>
      <c r="D96" s="9">
        <f>IF([2]AGPeg!D82&lt;&gt;"",[2]AGPeg!D82,"")</f>
        <v>0.98336805555555562</v>
      </c>
      <c r="E96" s="7">
        <f>IF([2]AGPeg!E82&lt;&gt;"",[2]AGPeg!E82,"")</f>
        <v>2457252.4857999999</v>
      </c>
      <c r="F96" s="20">
        <f t="shared" si="2"/>
        <v>0.33494892835261325</v>
      </c>
      <c r="G96" s="7" t="str">
        <f>IF([2]AGPeg!F82&lt;&gt;"",[2]AGPeg!F82,"")</f>
        <v>VBO</v>
      </c>
      <c r="H96" s="7" t="str">
        <f>IF([2]AGPeg!G82&lt;&gt;"",[2]AGPeg!G82,"")</f>
        <v>OHP-FR</v>
      </c>
      <c r="I96" s="7" t="str">
        <f>IF([2]AGPeg!H82&lt;&gt;"",[2]AGPeg!H82,"")</f>
        <v>OrionNewton200-1000</v>
      </c>
      <c r="J96" s="7">
        <f>IF([2]AGPeg!I82&lt;&gt;"",[2]AGPeg!I82,"")</f>
        <v>695</v>
      </c>
      <c r="K96" s="7" t="str">
        <f>IF([2]AGPeg!J82&lt;&gt;"",[2]AGPeg!J82,"")</f>
        <v/>
      </c>
      <c r="L96" s="7"/>
      <c r="N96" s="2"/>
    </row>
    <row r="97" spans="1:14" x14ac:dyDescent="0.25">
      <c r="A97">
        <f t="shared" ref="A97:A160" si="3">(E97-$A$2)/$A$3</f>
        <v>31.339746356399392</v>
      </c>
      <c r="B97" s="7">
        <f>IF([2]AGPeg!B83&lt;&gt;"",[2]AGPeg!B83,"")</f>
        <v>71</v>
      </c>
      <c r="C97" s="8">
        <f>IF([2]AGPeg!C83&lt;&gt;"",[2]AGPeg!C83,"")</f>
        <v>42237</v>
      </c>
      <c r="D97" s="9">
        <f>IF([2]AGPeg!D83&lt;&gt;"",[2]AGPeg!D83,"")</f>
        <v>0.89560185185185182</v>
      </c>
      <c r="E97" s="7">
        <f>IF([2]AGPeg!E83&lt;&gt;"",[2]AGPeg!E83,"")</f>
        <v>2457256.4029000001</v>
      </c>
      <c r="F97" s="20">
        <f t="shared" si="2"/>
        <v>0.33974635639939166</v>
      </c>
      <c r="G97" s="7" t="str">
        <f>IF([2]AGPeg!F83&lt;&gt;"",[2]AGPeg!F83,"")</f>
        <v xml:space="preserve">FMT </v>
      </c>
      <c r="H97" s="7" t="str">
        <f>IF([2]AGPeg!G83&lt;&gt;"",[2]AGPeg!G83,"")</f>
        <v>ORS-FR</v>
      </c>
      <c r="I97" s="7" t="str">
        <f>IF([2]AGPeg!H83&lt;&gt;"",[2]AGPeg!H83,"")</f>
        <v>SC14+eShel+Atik460ex</v>
      </c>
      <c r="J97" s="7">
        <f>IF([2]AGPeg!I83&lt;&gt;"",[2]AGPeg!I83,"")</f>
        <v>11000</v>
      </c>
      <c r="K97" s="7" t="str">
        <f>IF([2]AGPeg!J83&lt;&gt;"",[2]AGPeg!J83,"")</f>
        <v/>
      </c>
      <c r="L97" s="7"/>
      <c r="N97" s="2"/>
    </row>
    <row r="98" spans="1:14" x14ac:dyDescent="0.25">
      <c r="A98">
        <f t="shared" si="3"/>
        <v>31.339835027556706</v>
      </c>
      <c r="B98" s="7">
        <f>IF([2]AGPeg!B84&lt;&gt;"",[2]AGPeg!B84,"")</f>
        <v>72</v>
      </c>
      <c r="C98" s="8">
        <f>IF([2]AGPeg!C84&lt;&gt;"",[2]AGPeg!C84,"")</f>
        <v>42237</v>
      </c>
      <c r="D98" s="9">
        <f>IF([2]AGPeg!D84&lt;&gt;"",[2]AGPeg!D84,"")</f>
        <v>0.96906250000000005</v>
      </c>
      <c r="E98" s="7">
        <f>IF([2]AGPeg!E84&lt;&gt;"",[2]AGPeg!E84,"")</f>
        <v>2457256.4753</v>
      </c>
      <c r="F98" s="20">
        <f t="shared" si="2"/>
        <v>0.33983502755670614</v>
      </c>
      <c r="G98" s="7" t="str">
        <f>IF([2]AGPeg!F84&lt;&gt;"",[2]AGPeg!F84,"")</f>
        <v>LFR</v>
      </c>
      <c r="H98" s="7" t="str">
        <f>IF([2]AGPeg!G84&lt;&gt;"",[2]AGPeg!G84,"")</f>
        <v>BAL-IT</v>
      </c>
      <c r="I98" s="7" t="str">
        <f>IF([2]AGPeg!H84&lt;&gt;"",[2]AGPeg!H84,"")</f>
        <v>LX200-8+Alpy600+SXV</v>
      </c>
      <c r="J98" s="7">
        <f>IF([2]AGPeg!I84&lt;&gt;"",[2]AGPeg!I84,"")</f>
        <v>511</v>
      </c>
      <c r="K98" s="7" t="str">
        <f>IF([2]AGPeg!J84&lt;&gt;"",[2]AGPeg!J84,"")</f>
        <v/>
      </c>
      <c r="L98" s="7"/>
      <c r="N98" s="2"/>
    </row>
    <row r="99" spans="1:14" x14ac:dyDescent="0.25">
      <c r="A99">
        <f t="shared" si="3"/>
        <v>31.341383588487204</v>
      </c>
      <c r="B99" s="7">
        <f>IF([2]AGPeg!B85&lt;&gt;"",[2]AGPeg!B85,"")</f>
        <v>73</v>
      </c>
      <c r="C99" s="8">
        <f>IF([2]AGPeg!C85&lt;&gt;"",[2]AGPeg!C85,"")</f>
        <v>42239</v>
      </c>
      <c r="D99" s="9">
        <f>IF([2]AGPeg!D85&lt;&gt;"",[2]AGPeg!D85,"")</f>
        <v>0.23074074074074072</v>
      </c>
      <c r="E99" s="7">
        <f>IF([2]AGPeg!E85&lt;&gt;"",[2]AGPeg!E85,"")</f>
        <v>2457257.7396999998</v>
      </c>
      <c r="F99" s="20">
        <f t="shared" si="2"/>
        <v>0.34138358848720429</v>
      </c>
      <c r="G99" s="7" t="str">
        <f>IF([2]AGPeg!F85&lt;&gt;"",[2]AGPeg!F85,"")</f>
        <v>LES</v>
      </c>
      <c r="H99" s="7" t="str">
        <f>IF([2]AGPeg!G85&lt;&gt;"",[2]AGPeg!G85,"")</f>
        <v>MRO-CA</v>
      </c>
      <c r="I99" s="7" t="str">
        <f>IF([2]AGPeg!H85&lt;&gt;"",[2]AGPeg!H85,"")</f>
        <v>31cmDK+23um1800lpm+</v>
      </c>
      <c r="J99" s="7">
        <f>IF([2]AGPeg!I85&lt;&gt;"",[2]AGPeg!I85,"")</f>
        <v>6415</v>
      </c>
      <c r="K99" s="7" t="str">
        <f>IF([2]AGPeg!J85&lt;&gt;"",[2]AGPeg!J85,"")</f>
        <v/>
      </c>
      <c r="L99" s="7"/>
      <c r="N99" s="2"/>
    </row>
    <row r="100" spans="1:14" x14ac:dyDescent="0.25">
      <c r="A100">
        <f t="shared" si="3"/>
        <v>31.342100428659137</v>
      </c>
      <c r="B100" s="7">
        <f>IF([2]AGPeg!B86&lt;&gt;"",[2]AGPeg!B86,"")</f>
        <v>74</v>
      </c>
      <c r="C100" s="8">
        <f>IF([2]AGPeg!C86&lt;&gt;"",[2]AGPeg!C86,"")</f>
        <v>42239</v>
      </c>
      <c r="D100" s="9">
        <f>IF([2]AGPeg!D86&lt;&gt;"",[2]AGPeg!D86,"")</f>
        <v>0.81754629629629638</v>
      </c>
      <c r="E100" s="7">
        <f>IF([2]AGPeg!E86&lt;&gt;"",[2]AGPeg!E86,"")</f>
        <v>2457258.3250000002</v>
      </c>
      <c r="F100" s="20">
        <f t="shared" si="2"/>
        <v>0.34210042865913692</v>
      </c>
      <c r="G100" s="7" t="str">
        <f>IF([2]AGPeg!F86&lt;&gt;"",[2]AGPeg!F86,"")</f>
        <v>PSO</v>
      </c>
      <c r="H100" s="7" t="str">
        <f>IF([2]AGPeg!G86&lt;&gt;"",[2]AGPeg!G86,"")</f>
        <v>TAT-HU</v>
      </c>
      <c r="I100" s="7" t="str">
        <f>IF([2]AGPeg!H86&lt;&gt;"",[2]AGPeg!H86,"")</f>
        <v>25cmLH2400_23u414ex</v>
      </c>
      <c r="J100" s="7">
        <f>IF([2]AGPeg!I86&lt;&gt;"",[2]AGPeg!I86,"")</f>
        <v>28209</v>
      </c>
      <c r="K100" s="7" t="str">
        <f>IF([2]AGPeg!J86&lt;&gt;"",[2]AGPeg!J86,"")</f>
        <v/>
      </c>
      <c r="L100" s="7"/>
      <c r="N100" s="2"/>
    </row>
    <row r="101" spans="1:14" x14ac:dyDescent="0.25">
      <c r="A101">
        <f t="shared" si="3"/>
        <v>31.346738395590815</v>
      </c>
      <c r="B101" s="7">
        <f>IF([2]AGPeg!B87&lt;&gt;"",[2]AGPeg!B87,"")</f>
        <v>75</v>
      </c>
      <c r="C101" s="8">
        <f>IF([2]AGPeg!C87&lt;&gt;"",[2]AGPeg!C87,"")</f>
        <v>42243</v>
      </c>
      <c r="D101" s="9">
        <f>IF([2]AGPeg!D87&lt;&gt;"",[2]AGPeg!D87,"")</f>
        <v>0.59107638888888892</v>
      </c>
      <c r="E101" s="7">
        <f>IF([2]AGPeg!E87&lt;&gt;"",[2]AGPeg!E87,"")</f>
        <v>2457262.1118999999</v>
      </c>
      <c r="F101" s="20">
        <f t="shared" si="2"/>
        <v>0.34673839559081543</v>
      </c>
      <c r="G101" s="7" t="str">
        <f>IF([2]AGPeg!F87&lt;&gt;"",[2]AGPeg!F87,"")</f>
        <v xml:space="preserve">DLI </v>
      </c>
      <c r="H101" s="7" t="str">
        <f>IF([2]AGPeg!G87&lt;&gt;"",[2]AGPeg!G87,"")</f>
        <v>JAD-CN</v>
      </c>
      <c r="I101" s="7" t="str">
        <f>IF([2]AGPeg!H87&lt;&gt;"",[2]AGPeg!H87,"")</f>
        <v>C11Lhires3-2400_2x</v>
      </c>
      <c r="J101" s="7">
        <f>IF([2]AGPeg!I87&lt;&gt;"",[2]AGPeg!I87,"")</f>
        <v>18751</v>
      </c>
      <c r="K101" s="7" t="str">
        <f>IF([2]AGPeg!J87&lt;&gt;"",[2]AGPeg!J87,"")</f>
        <v/>
      </c>
      <c r="L101" s="7"/>
      <c r="N101" s="2"/>
    </row>
    <row r="102" spans="1:14" x14ac:dyDescent="0.25">
      <c r="A102">
        <f t="shared" si="3"/>
        <v>31.348361788120233</v>
      </c>
      <c r="B102" s="7">
        <f>IF([2]AGPeg!B88&lt;&gt;"",[2]AGPeg!B88,"")</f>
        <v>76</v>
      </c>
      <c r="C102" s="8">
        <f>IF([2]AGPeg!C88&lt;&gt;"",[2]AGPeg!C88,"")</f>
        <v>42244</v>
      </c>
      <c r="D102" s="9">
        <f>IF([2]AGPeg!D88&lt;&gt;"",[2]AGPeg!D88,"")</f>
        <v>0.9269560185185185</v>
      </c>
      <c r="E102" s="7">
        <f>IF([2]AGPeg!E88&lt;&gt;"",[2]AGPeg!E88,"")</f>
        <v>2457263.4374000002</v>
      </c>
      <c r="F102" s="20">
        <f t="shared" si="2"/>
        <v>0.34836178812023277</v>
      </c>
      <c r="G102" s="7" t="str">
        <f>IF([2]AGPeg!F88&lt;&gt;"",[2]AGPeg!F88,"")</f>
        <v xml:space="preserve">FMT </v>
      </c>
      <c r="H102" s="7" t="str">
        <f>IF([2]AGPeg!G88&lt;&gt;"",[2]AGPeg!G88,"")</f>
        <v>ORS-FR</v>
      </c>
      <c r="I102" s="7" t="str">
        <f>IF([2]AGPeg!H88&lt;&gt;"",[2]AGPeg!H88,"")</f>
        <v>SC14+eShel+Atik460ex</v>
      </c>
      <c r="J102" s="7">
        <f>IF([2]AGPeg!I88&lt;&gt;"",[2]AGPeg!I88,"")</f>
        <v>11000</v>
      </c>
      <c r="K102" s="7" t="str">
        <f>IF([2]AGPeg!J88&lt;&gt;"",[2]AGPeg!J88,"")</f>
        <v/>
      </c>
      <c r="L102" s="7"/>
      <c r="N102" s="2"/>
    </row>
    <row r="103" spans="1:14" x14ac:dyDescent="0.25">
      <c r="A103">
        <f t="shared" si="3"/>
        <v>31.348376117574833</v>
      </c>
      <c r="B103" s="7">
        <f>IF([2]AGPeg!B89&lt;&gt;"",[2]AGPeg!B89,"")</f>
        <v>77</v>
      </c>
      <c r="C103" s="8">
        <f>IF([2]AGPeg!C89&lt;&gt;"",[2]AGPeg!C89,"")</f>
        <v>42244</v>
      </c>
      <c r="D103" s="9">
        <f>IF([2]AGPeg!D89&lt;&gt;"",[2]AGPeg!D89,"")</f>
        <v>0.9477199074074073</v>
      </c>
      <c r="E103" s="7">
        <f>IF([2]AGPeg!E89&lt;&gt;"",[2]AGPeg!E89,"")</f>
        <v>2457263.4490999999</v>
      </c>
      <c r="F103" s="20">
        <f t="shared" si="2"/>
        <v>0.34837611757483344</v>
      </c>
      <c r="G103" s="7" t="str">
        <f>IF([2]AGPeg!F89&lt;&gt;"",[2]AGPeg!F89,"")</f>
        <v>PDL</v>
      </c>
      <c r="H103" s="7" t="str">
        <f>IF([2]AGPeg!G89&lt;&gt;"",[2]AGPeg!G89,"")</f>
        <v>ACA-FR</v>
      </c>
      <c r="I103" s="7" t="str">
        <f>IF([2]AGPeg!H89&lt;&gt;"",[2]AGPeg!H89,"")</f>
        <v>T400_Alpy600_Atik31</v>
      </c>
      <c r="J103" s="7">
        <f>IF([2]AGPeg!I89&lt;&gt;"",[2]AGPeg!I89,"")</f>
        <v>489</v>
      </c>
      <c r="K103" s="7" t="str">
        <f>IF([2]AGPeg!J89&lt;&gt;"",[2]AGPeg!J89,"")</f>
        <v/>
      </c>
      <c r="L103" s="7"/>
      <c r="N103" s="2"/>
    </row>
    <row r="104" spans="1:14" x14ac:dyDescent="0.25">
      <c r="A104">
        <f t="shared" si="3"/>
        <v>31.349766442131319</v>
      </c>
      <c r="B104" s="7">
        <f>IF([2]AGPeg!B90&lt;&gt;"",[2]AGPeg!B90,"")</f>
        <v>78</v>
      </c>
      <c r="C104" s="8">
        <f>IF([2]AGPeg!C90&lt;&gt;"",[2]AGPeg!C90,"")</f>
        <v>42246</v>
      </c>
      <c r="D104" s="9">
        <f>IF([2]AGPeg!D90&lt;&gt;"",[2]AGPeg!D90,"")</f>
        <v>5.7719907407407407E-2</v>
      </c>
      <c r="E104" s="7">
        <f>IF([2]AGPeg!E90&lt;&gt;"",[2]AGPeg!E90,"")</f>
        <v>2457264.5843000002</v>
      </c>
      <c r="F104" s="20">
        <f t="shared" si="2"/>
        <v>0.34976644213131891</v>
      </c>
      <c r="G104" s="7" t="str">
        <f>IF([2]AGPeg!F90&lt;&gt;"",[2]AGPeg!F90,"")</f>
        <v>PSO</v>
      </c>
      <c r="H104" s="7" t="str">
        <f>IF([2]AGPeg!G90&lt;&gt;"",[2]AGPeg!G90,"")</f>
        <v>TAT-HU</v>
      </c>
      <c r="I104" s="7" t="str">
        <f>IF([2]AGPeg!H90&lt;&gt;"",[2]AGPeg!H90,"")</f>
        <v>25cmLH2400_23u414ex</v>
      </c>
      <c r="J104" s="7">
        <f>IF([2]AGPeg!I90&lt;&gt;"",[2]AGPeg!I90,"")</f>
        <v>26789</v>
      </c>
      <c r="K104" s="7" t="str">
        <f>IF([2]AGPeg!J90&lt;&gt;"",[2]AGPeg!J90,"")</f>
        <v/>
      </c>
      <c r="L104" s="7"/>
      <c r="N104" s="2"/>
    </row>
    <row r="105" spans="1:14" x14ac:dyDescent="0.25">
      <c r="A105">
        <f t="shared" si="3"/>
        <v>31.350822657685491</v>
      </c>
      <c r="B105" s="7">
        <f>IF([2]AGPeg!B91&lt;&gt;"",[2]AGPeg!B91,"")</f>
        <v>79</v>
      </c>
      <c r="C105" s="8">
        <f>IF([2]AGPeg!C91&lt;&gt;"",[2]AGPeg!C91,"")</f>
        <v>42246</v>
      </c>
      <c r="D105" s="9">
        <f>IF([2]AGPeg!D91&lt;&gt;"",[2]AGPeg!D91,"")</f>
        <v>0.94409722222222225</v>
      </c>
      <c r="E105" s="7">
        <f>IF([2]AGPeg!E91&lt;&gt;"",[2]AGPeg!E91,"")</f>
        <v>2457265.4467000002</v>
      </c>
      <c r="F105" s="20">
        <f t="shared" si="2"/>
        <v>0.35082265768549092</v>
      </c>
      <c r="G105" s="7" t="str">
        <f>IF([2]AGPeg!F91&lt;&gt;"",[2]AGPeg!F91,"")</f>
        <v>CHK</v>
      </c>
      <c r="H105" s="7" t="str">
        <f>IF([2]AGPeg!G91&lt;&gt;"",[2]AGPeg!G91,"")</f>
        <v>OAO-FR</v>
      </c>
      <c r="I105" s="7" t="str">
        <f>IF([2]AGPeg!H91&lt;&gt;"",[2]AGPeg!H91,"")</f>
        <v>C14Alpy600ATIK31</v>
      </c>
      <c r="J105" s="7">
        <f>IF([2]AGPeg!I91&lt;&gt;"",[2]AGPeg!I91,"")</f>
        <v>600</v>
      </c>
      <c r="K105" s="7" t="str">
        <f>IF([2]AGPeg!J91&lt;&gt;"",[2]AGPeg!J91,"")</f>
        <v/>
      </c>
      <c r="L105" s="7"/>
      <c r="N105" s="2"/>
    </row>
    <row r="106" spans="1:14" x14ac:dyDescent="0.25">
      <c r="A106">
        <f t="shared" si="3"/>
        <v>31.358246050214433</v>
      </c>
      <c r="B106" s="7">
        <f>IF([2]AGPeg!B92&lt;&gt;"",[2]AGPeg!B92,"")</f>
        <v>80</v>
      </c>
      <c r="C106" s="8">
        <f>IF([2]AGPeg!C92&lt;&gt;"",[2]AGPeg!C92,"")</f>
        <v>42252</v>
      </c>
      <c r="D106" s="9">
        <f>IF([2]AGPeg!D92&lt;&gt;"",[2]AGPeg!D92,"")</f>
        <v>0.99542824074074077</v>
      </c>
      <c r="E106" s="7">
        <f>IF([2]AGPeg!E92&lt;&gt;"",[2]AGPeg!E92,"")</f>
        <v>2457271.5079000001</v>
      </c>
      <c r="F106" s="20">
        <f t="shared" si="2"/>
        <v>0.3582460502144329</v>
      </c>
      <c r="G106" s="7" t="str">
        <f>IF([2]AGPeg!F92&lt;&gt;"",[2]AGPeg!F92,"")</f>
        <v>GMAYBU</v>
      </c>
      <c r="H106" s="7" t="str">
        <f>IF([2]AGPeg!G92&lt;&gt;"",[2]AGPeg!G92,"")</f>
        <v>OSM-FR</v>
      </c>
      <c r="I106" s="7" t="str">
        <f>IF([2]AGPeg!H92&lt;&gt;"",[2]AGPeg!H92,"")</f>
        <v>C11LisaQSI583ws</v>
      </c>
      <c r="J106" s="7">
        <f>IF([2]AGPeg!I92&lt;&gt;"",[2]AGPeg!I92,"")</f>
        <v>1037</v>
      </c>
      <c r="K106" s="7" t="str">
        <f>IF([2]AGPeg!J92&lt;&gt;"",[2]AGPeg!J92,"")</f>
        <v/>
      </c>
      <c r="L106" s="7"/>
      <c r="N106" s="2"/>
    </row>
    <row r="107" spans="1:14" x14ac:dyDescent="0.25">
      <c r="A107">
        <f t="shared" si="3"/>
        <v>31.359323086344226</v>
      </c>
      <c r="B107" s="7">
        <f>IF([2]AGPeg!B93&lt;&gt;"",[2]AGPeg!B93,"")</f>
        <v>81</v>
      </c>
      <c r="C107" s="8">
        <f>IF([2]AGPeg!C93&lt;&gt;"",[2]AGPeg!C93,"")</f>
        <v>42253</v>
      </c>
      <c r="D107" s="9">
        <f>IF([2]AGPeg!D93&lt;&gt;"",[2]AGPeg!D93,"")</f>
        <v>0.88337962962962957</v>
      </c>
      <c r="E107" s="7">
        <f>IF([2]AGPeg!E93&lt;&gt;"",[2]AGPeg!E93,"")</f>
        <v>2457272.3873000001</v>
      </c>
      <c r="F107" s="20">
        <f t="shared" si="2"/>
        <v>0.35932308634422583</v>
      </c>
      <c r="G107" s="7" t="str">
        <f>IF([2]AGPeg!F93&lt;&gt;"",[2]AGPeg!F93,"")</f>
        <v xml:space="preserve">FMT </v>
      </c>
      <c r="H107" s="7" t="str">
        <f>IF([2]AGPeg!G93&lt;&gt;"",[2]AGPeg!G93,"")</f>
        <v>ORS-FR</v>
      </c>
      <c r="I107" s="7" t="str">
        <f>IF([2]AGPeg!H93&lt;&gt;"",[2]AGPeg!H93,"")</f>
        <v>SC14+eShel+Atik460ex</v>
      </c>
      <c r="J107" s="7">
        <f>IF([2]AGPeg!I93&lt;&gt;"",[2]AGPeg!I93,"")</f>
        <v>11000</v>
      </c>
      <c r="K107" s="7" t="str">
        <f>IF([2]AGPeg!J93&lt;&gt;"",[2]AGPeg!J93,"")</f>
        <v/>
      </c>
      <c r="L107" s="7"/>
      <c r="N107" s="2"/>
    </row>
    <row r="108" spans="1:14" x14ac:dyDescent="0.25">
      <c r="A108">
        <f t="shared" si="3"/>
        <v>31.359553949785944</v>
      </c>
      <c r="B108" s="7">
        <f>IF([2]AGPeg!B94&lt;&gt;"",[2]AGPeg!B94,"")</f>
        <v>82</v>
      </c>
      <c r="C108" s="8">
        <f>IF([2]AGPeg!C94&lt;&gt;"",[2]AGPeg!C94,"")</f>
        <v>42254</v>
      </c>
      <c r="D108" s="9">
        <f>IF([2]AGPeg!D94&lt;&gt;"",[2]AGPeg!D94,"")</f>
        <v>7.0995370370370361E-2</v>
      </c>
      <c r="E108" s="7">
        <f>IF([2]AGPeg!E94&lt;&gt;"",[2]AGPeg!E94,"")</f>
        <v>2457272.5758000002</v>
      </c>
      <c r="F108" s="20">
        <f t="shared" si="2"/>
        <v>0.35955394978594413</v>
      </c>
      <c r="G108" s="7" t="str">
        <f>IF([2]AGPeg!F94&lt;&gt;"",[2]AGPeg!F94,"")</f>
        <v>JMO</v>
      </c>
      <c r="H108" s="7" t="str">
        <f>IF([2]AGPeg!G94&lt;&gt;"",[2]AGPeg!G94,"")</f>
        <v>OLC-FR</v>
      </c>
      <c r="I108" s="7" t="str">
        <f>IF([2]AGPeg!H94&lt;&gt;"",[2]AGPeg!H94,"")</f>
        <v>MEADE355+Alpy600+</v>
      </c>
      <c r="J108" s="7">
        <f>IF([2]AGPeg!I94&lt;&gt;"",[2]AGPeg!I94,"")</f>
        <v>643</v>
      </c>
      <c r="K108" s="7" t="str">
        <f>IF([2]AGPeg!J94&lt;&gt;"",[2]AGPeg!J94,"")</f>
        <v/>
      </c>
      <c r="L108" s="7"/>
      <c r="N108" s="2"/>
    </row>
    <row r="109" spans="1:14" x14ac:dyDescent="0.25">
      <c r="A109">
        <f t="shared" si="3"/>
        <v>31.362003184323452</v>
      </c>
      <c r="B109" s="7">
        <f>IF([2]AGPeg!B95&lt;&gt;"",[2]AGPeg!B95,"")</f>
        <v>83</v>
      </c>
      <c r="C109" s="8">
        <f>IF([2]AGPeg!C95&lt;&gt;"",[2]AGPeg!C95,"")</f>
        <v>42256</v>
      </c>
      <c r="D109" s="9">
        <f>IF([2]AGPeg!D95&lt;&gt;"",[2]AGPeg!D95,"")</f>
        <v>6.5173611111111113E-2</v>
      </c>
      <c r="E109" s="7">
        <f>IF([2]AGPeg!E95&lt;&gt;"",[2]AGPeg!E95,"")</f>
        <v>2457274.5756000001</v>
      </c>
      <c r="F109" s="20">
        <f t="shared" si="2"/>
        <v>0.36200318432345213</v>
      </c>
      <c r="G109" s="7" t="str">
        <f>IF([2]AGPeg!F95&lt;&gt;"",[2]AGPeg!F95,"")</f>
        <v>JPM</v>
      </c>
      <c r="H109" s="7" t="str">
        <f>IF([2]AGPeg!G95&lt;&gt;"",[2]AGPeg!G95,"")</f>
        <v>AMP-FR</v>
      </c>
      <c r="I109" s="7" t="str">
        <f>IF([2]AGPeg!H95&lt;&gt;"",[2]AGPeg!H95,"")</f>
        <v>MakINTES150(F/D=7)+</v>
      </c>
      <c r="J109" s="7">
        <f>IF([2]AGPeg!I95&lt;&gt;"",[2]AGPeg!I95,"")</f>
        <v>650</v>
      </c>
      <c r="K109" s="7" t="str">
        <f>IF([2]AGPeg!J95&lt;&gt;"",[2]AGPeg!J95,"")</f>
        <v/>
      </c>
      <c r="L109" s="7"/>
      <c r="N109" s="2"/>
    </row>
    <row r="110" spans="1:14" x14ac:dyDescent="0.25">
      <c r="A110">
        <f t="shared" si="3"/>
        <v>31.364183221065392</v>
      </c>
      <c r="B110" s="7">
        <f>IF([2]AGPeg!B96&lt;&gt;"",[2]AGPeg!B96,"")</f>
        <v>84</v>
      </c>
      <c r="C110" s="8">
        <f>IF([2]AGPeg!C96&lt;&gt;"",[2]AGPeg!C96,"")</f>
        <v>42257</v>
      </c>
      <c r="D110" s="9">
        <f>IF([2]AGPeg!D96&lt;&gt;"",[2]AGPeg!D96,"")</f>
        <v>0.85146990740740736</v>
      </c>
      <c r="E110" s="7">
        <f>IF([2]AGPeg!E96&lt;&gt;"",[2]AGPeg!E96,"")</f>
        <v>2457276.3555999999</v>
      </c>
      <c r="F110" s="20">
        <f t="shared" si="2"/>
        <v>0.36418322106539236</v>
      </c>
      <c r="G110" s="7" t="str">
        <f>IF([2]AGPeg!F96&lt;&gt;"",[2]AGPeg!F96,"")</f>
        <v xml:space="preserve">FMT </v>
      </c>
      <c r="H110" s="7" t="str">
        <f>IF([2]AGPeg!G96&lt;&gt;"",[2]AGPeg!G96,"")</f>
        <v>ORS-FR</v>
      </c>
      <c r="I110" s="7" t="str">
        <f>IF([2]AGPeg!H96&lt;&gt;"",[2]AGPeg!H96,"")</f>
        <v>SC14+eShel+Atik460ex</v>
      </c>
      <c r="J110" s="7">
        <f>IF([2]AGPeg!I96&lt;&gt;"",[2]AGPeg!I96,"")</f>
        <v>11000</v>
      </c>
      <c r="K110" s="7" t="str">
        <f>IF([2]AGPeg!J96&lt;&gt;"",[2]AGPeg!J96,"")</f>
        <v/>
      </c>
      <c r="L110" s="7"/>
      <c r="N110" s="2"/>
    </row>
    <row r="111" spans="1:14" x14ac:dyDescent="0.25">
      <c r="A111">
        <f t="shared" si="3"/>
        <v>31.365341947336418</v>
      </c>
      <c r="B111" s="7">
        <f>IF([2]AGPeg!B97&lt;&gt;"",[2]AGPeg!B97,"")</f>
        <v>85</v>
      </c>
      <c r="C111" s="8">
        <f>IF([2]AGPeg!C97&lt;&gt;"",[2]AGPeg!C97,"")</f>
        <v>42258</v>
      </c>
      <c r="D111" s="9">
        <f>IF([2]AGPeg!D97&lt;&gt;"",[2]AGPeg!D97,"")</f>
        <v>0.79825231481481485</v>
      </c>
      <c r="E111" s="7">
        <f>IF([2]AGPeg!E97&lt;&gt;"",[2]AGPeg!E97,"")</f>
        <v>2457277.3017000002</v>
      </c>
      <c r="F111" s="20">
        <f t="shared" si="2"/>
        <v>0.36534194733641812</v>
      </c>
      <c r="G111" s="7" t="str">
        <f>IF([2]AGPeg!F97&lt;&gt;"",[2]AGPeg!F97,"")</f>
        <v>FRA</v>
      </c>
      <c r="H111" s="7" t="str">
        <f>IF([2]AGPeg!G97&lt;&gt;"",[2]AGPeg!G97,"")</f>
        <v>BAL-IT</v>
      </c>
      <c r="I111" s="7" t="str">
        <f>IF([2]AGPeg!H97&lt;&gt;"",[2]AGPeg!H97,"")</f>
        <v>SC8+Alpy600</v>
      </c>
      <c r="J111" s="7">
        <f>IF([2]AGPeg!I97&lt;&gt;"",[2]AGPeg!I97,"")</f>
        <v>527</v>
      </c>
      <c r="K111" s="7" t="str">
        <f>IF([2]AGPeg!J97&lt;&gt;"",[2]AGPeg!J97,"")</f>
        <v/>
      </c>
      <c r="L111" s="7"/>
      <c r="N111" s="2"/>
    </row>
    <row r="112" spans="1:14" x14ac:dyDescent="0.25">
      <c r="A112">
        <f t="shared" si="3"/>
        <v>31.369460747091342</v>
      </c>
      <c r="B112" s="7">
        <f>IF([2]AGPeg!B98&lt;&gt;"",[2]AGPeg!B98,"")</f>
        <v>86</v>
      </c>
      <c r="C112" s="8">
        <f>IF([2]AGPeg!C98&lt;&gt;"",[2]AGPeg!C98,"")</f>
        <v>42262</v>
      </c>
      <c r="D112" s="9">
        <f>IF([2]AGPeg!D98&lt;&gt;"",[2]AGPeg!D98,"")</f>
        <v>0.15782407407407409</v>
      </c>
      <c r="E112" s="7">
        <f>IF([2]AGPeg!E98&lt;&gt;"",[2]AGPeg!E98,"")</f>
        <v>2457280.6647000001</v>
      </c>
      <c r="F112" s="20">
        <f t="shared" si="2"/>
        <v>0.3694607470913418</v>
      </c>
      <c r="G112" s="7" t="str">
        <f>IF([2]AGPeg!F98&lt;&gt;"",[2]AGPeg!F98,"")</f>
        <v>LES</v>
      </c>
      <c r="H112" s="7" t="str">
        <f>IF([2]AGPeg!G98&lt;&gt;"",[2]AGPeg!G98,"")</f>
        <v>MRO-CA</v>
      </c>
      <c r="I112" s="7" t="str">
        <f>IF([2]AGPeg!H98&lt;&gt;"",[2]AGPeg!H98,"")</f>
        <v>31cmDK+23um1800lpm+</v>
      </c>
      <c r="J112" s="7">
        <f>IF([2]AGPeg!I98&lt;&gt;"",[2]AGPeg!I98,"")</f>
        <v>9000</v>
      </c>
      <c r="K112" s="7" t="str">
        <f>IF([2]AGPeg!J98&lt;&gt;"",[2]AGPeg!J98,"")</f>
        <v/>
      </c>
      <c r="L112" s="7"/>
      <c r="N112" s="2"/>
    </row>
    <row r="113" spans="1:14" x14ac:dyDescent="0.25">
      <c r="A113">
        <f t="shared" si="3"/>
        <v>31.375234170238542</v>
      </c>
      <c r="B113" s="7">
        <f>IF([2]AGPeg!B99&lt;&gt;"",[2]AGPeg!B99,"")</f>
        <v>87</v>
      </c>
      <c r="C113" s="8">
        <f>IF([2]AGPeg!C99&lt;&gt;"",[2]AGPeg!C99,"")</f>
        <v>42266</v>
      </c>
      <c r="D113" s="9">
        <f>IF([2]AGPeg!D99&lt;&gt;"",[2]AGPeg!D99,"")</f>
        <v>0.87471064814814825</v>
      </c>
      <c r="E113" s="7">
        <f>IF([2]AGPeg!E99&lt;&gt;"",[2]AGPeg!E99,"")</f>
        <v>2457285.3786999998</v>
      </c>
      <c r="F113" s="20">
        <f t="shared" si="2"/>
        <v>0.37523417023854222</v>
      </c>
      <c r="G113" s="7" t="str">
        <f>IF([2]AGPeg!F99&lt;&gt;"",[2]AGPeg!F99,"")</f>
        <v xml:space="preserve">FMT </v>
      </c>
      <c r="H113" s="7" t="str">
        <f>IF([2]AGPeg!G99&lt;&gt;"",[2]AGPeg!G99,"")</f>
        <v>ORS-FR</v>
      </c>
      <c r="I113" s="7" t="str">
        <f>IF([2]AGPeg!H99&lt;&gt;"",[2]AGPeg!H99,"")</f>
        <v>SC14+eShel+Atik460ex</v>
      </c>
      <c r="J113" s="7">
        <f>IF([2]AGPeg!I99&lt;&gt;"",[2]AGPeg!I99,"")</f>
        <v>11000</v>
      </c>
      <c r="K113" s="7" t="str">
        <f>IF([2]AGPeg!J99&lt;&gt;"",[2]AGPeg!J99,"")</f>
        <v/>
      </c>
      <c r="L113" s="7"/>
      <c r="N113" s="2"/>
    </row>
    <row r="114" spans="1:14" x14ac:dyDescent="0.25">
      <c r="A114">
        <f t="shared" si="3"/>
        <v>31.376556766687095</v>
      </c>
      <c r="B114" s="7">
        <f>IF([2]AGPeg!B100&lt;&gt;"",[2]AGPeg!B100,"")</f>
        <v>88</v>
      </c>
      <c r="C114" s="8">
        <f>IF([2]AGPeg!C100&lt;&gt;"",[2]AGPeg!C100,"")</f>
        <v>42267</v>
      </c>
      <c r="D114" s="9">
        <f>IF([2]AGPeg!D100&lt;&gt;"",[2]AGPeg!D100,"")</f>
        <v>0.95109953703703709</v>
      </c>
      <c r="E114" s="7">
        <f>IF([2]AGPeg!E100&lt;&gt;"",[2]AGPeg!E100,"")</f>
        <v>2457286.4586</v>
      </c>
      <c r="F114" s="20">
        <f t="shared" si="2"/>
        <v>0.37655676668709503</v>
      </c>
      <c r="G114" s="7" t="str">
        <f>IF([2]AGPeg!F100&lt;&gt;"",[2]AGPeg!F100,"")</f>
        <v>PSO</v>
      </c>
      <c r="H114" s="7" t="str">
        <f>IF([2]AGPeg!G100&lt;&gt;"",[2]AGPeg!G100,"")</f>
        <v>TAT-HU</v>
      </c>
      <c r="I114" s="7" t="str">
        <f>IF([2]AGPeg!H100&lt;&gt;"",[2]AGPeg!H100,"")</f>
        <v>25cmLH2400_23u414ex</v>
      </c>
      <c r="J114" s="7">
        <f>IF([2]AGPeg!I100&lt;&gt;"",[2]AGPeg!I100,"")</f>
        <v>24228</v>
      </c>
      <c r="K114" s="7" t="str">
        <f>IF([2]AGPeg!J100&lt;&gt;"",[2]AGPeg!J100,"")</f>
        <v/>
      </c>
      <c r="L114" s="7"/>
      <c r="N114" s="2"/>
    </row>
    <row r="115" spans="1:14" x14ac:dyDescent="0.25">
      <c r="A115">
        <f t="shared" si="3"/>
        <v>31.382502388242752</v>
      </c>
      <c r="B115" s="7">
        <f>IF([2]AGPeg!B101&lt;&gt;"",[2]AGPeg!B101,"")</f>
        <v>89</v>
      </c>
      <c r="C115" s="8">
        <f>IF([2]AGPeg!C101&lt;&gt;"",[2]AGPeg!C101,"")</f>
        <v>42272</v>
      </c>
      <c r="D115" s="9">
        <f>IF([2]AGPeg!D101&lt;&gt;"",[2]AGPeg!D101,"")</f>
        <v>0.81008101851851855</v>
      </c>
      <c r="E115" s="7">
        <f>IF([2]AGPeg!E101&lt;&gt;"",[2]AGPeg!E101,"")</f>
        <v>2457291.3132000002</v>
      </c>
      <c r="F115" s="20">
        <f t="shared" si="2"/>
        <v>0.38250238824275229</v>
      </c>
      <c r="G115" s="7" t="str">
        <f>IF([2]AGPeg!F101&lt;&gt;"",[2]AGPeg!F101,"")</f>
        <v>DBO</v>
      </c>
      <c r="H115" s="7" t="str">
        <f>IF([2]AGPeg!G101&lt;&gt;"",[2]AGPeg!G101,"")</f>
        <v>WCO-UK</v>
      </c>
      <c r="I115" s="7" t="str">
        <f>IF([2]AGPeg!H101&lt;&gt;"",[2]AGPeg!H101,"")</f>
        <v>C11+Lisa+SXVR-H694</v>
      </c>
      <c r="J115" s="7">
        <f>IF([2]AGPeg!I101&lt;&gt;"",[2]AGPeg!I101,"")</f>
        <v>854</v>
      </c>
      <c r="K115" s="7" t="str">
        <f>IF([2]AGPeg!J101&lt;&gt;"",[2]AGPeg!J101,"")</f>
        <v/>
      </c>
      <c r="L115" s="7"/>
      <c r="N115" s="2"/>
    </row>
    <row r="116" spans="1:14" x14ac:dyDescent="0.25">
      <c r="A116">
        <f t="shared" si="3"/>
        <v>31.382534966319891</v>
      </c>
      <c r="B116" s="7">
        <f>IF([2]AGPeg!B102&lt;&gt;"",[2]AGPeg!B102,"")</f>
        <v>90</v>
      </c>
      <c r="C116" s="8">
        <f>IF([2]AGPeg!C102&lt;&gt;"",[2]AGPeg!C102,"")</f>
        <v>42272</v>
      </c>
      <c r="D116" s="9">
        <f>IF([2]AGPeg!D102&lt;&gt;"",[2]AGPeg!D102,"")</f>
        <v>0.83725694444444443</v>
      </c>
      <c r="E116" s="7">
        <f>IF([2]AGPeg!E102&lt;&gt;"",[2]AGPeg!E102,"")</f>
        <v>2457291.3398000002</v>
      </c>
      <c r="F116" s="20">
        <f t="shared" si="2"/>
        <v>0.38253496631989137</v>
      </c>
      <c r="G116" s="7" t="str">
        <f>IF([2]AGPeg!F102&lt;&gt;"",[2]AGPeg!F102,"")</f>
        <v xml:space="preserve">FMT </v>
      </c>
      <c r="H116" s="7" t="str">
        <f>IF([2]AGPeg!G102&lt;&gt;"",[2]AGPeg!G102,"")</f>
        <v>ORS-FR</v>
      </c>
      <c r="I116" s="7" t="str">
        <f>IF([2]AGPeg!H102&lt;&gt;"",[2]AGPeg!H102,"")</f>
        <v>SC14+eShel+Atik460ex</v>
      </c>
      <c r="J116" s="7">
        <f>IF([2]AGPeg!I102&lt;&gt;"",[2]AGPeg!I102,"")</f>
        <v>11000</v>
      </c>
      <c r="K116" s="7" t="str">
        <f>IF([2]AGPeg!J102&lt;&gt;"",[2]AGPeg!J102,"")</f>
        <v/>
      </c>
      <c r="L116" s="7"/>
      <c r="N116" s="2"/>
    </row>
    <row r="117" spans="1:14" x14ac:dyDescent="0.25">
      <c r="A117">
        <f t="shared" si="3"/>
        <v>31.383904347825847</v>
      </c>
      <c r="B117" s="7">
        <f>IF([2]AGPeg!B103&lt;&gt;"",[2]AGPeg!B103,"")</f>
        <v>91</v>
      </c>
      <c r="C117" s="8">
        <f>IF([2]AGPeg!C103&lt;&gt;"",[2]AGPeg!C103,"")</f>
        <v>42273</v>
      </c>
      <c r="D117" s="9">
        <f>IF([2]AGPeg!D103&lt;&gt;"",[2]AGPeg!D103,"")</f>
        <v>0.94998842592592592</v>
      </c>
      <c r="E117" s="7">
        <f>IF([2]AGPeg!E103&lt;&gt;"",[2]AGPeg!E103,"")</f>
        <v>2457292.4578999998</v>
      </c>
      <c r="F117" s="20">
        <f t="shared" si="2"/>
        <v>0.38390434782584748</v>
      </c>
      <c r="G117" s="7" t="str">
        <f>IF([2]AGPeg!F103&lt;&gt;"",[2]AGPeg!F103,"")</f>
        <v>JMO</v>
      </c>
      <c r="H117" s="7" t="str">
        <f>IF([2]AGPeg!G103&lt;&gt;"",[2]AGPeg!G103,"")</f>
        <v>OLC-FR</v>
      </c>
      <c r="I117" s="7" t="str">
        <f>IF([2]AGPeg!H103&lt;&gt;"",[2]AGPeg!H103,"")</f>
        <v>MEADE355+Alpy600+</v>
      </c>
      <c r="J117" s="7">
        <f>IF([2]AGPeg!I103&lt;&gt;"",[2]AGPeg!I103,"")</f>
        <v>637</v>
      </c>
      <c r="K117" s="7" t="str">
        <f>IF([2]AGPeg!J103&lt;&gt;"",[2]AGPeg!J103,"")</f>
        <v/>
      </c>
      <c r="L117" s="7"/>
      <c r="N117" s="2"/>
    </row>
    <row r="118" spans="1:14" x14ac:dyDescent="0.25">
      <c r="A118">
        <f t="shared" si="3"/>
        <v>31.389877526025675</v>
      </c>
      <c r="B118" s="7">
        <f>IF([2]AGPeg!B104&lt;&gt;"",[2]AGPeg!B104,"")</f>
        <v>92</v>
      </c>
      <c r="C118" s="8">
        <f>IF([2]AGPeg!C104&lt;&gt;"",[2]AGPeg!C104,"")</f>
        <v>42278</v>
      </c>
      <c r="D118" s="9">
        <f>IF([2]AGPeg!D104&lt;&gt;"",[2]AGPeg!D104,"")</f>
        <v>0.82540509259259265</v>
      </c>
      <c r="E118" s="7">
        <f>IF([2]AGPeg!E104&lt;&gt;"",[2]AGPeg!E104,"")</f>
        <v>2457297.335</v>
      </c>
      <c r="F118" s="20">
        <f t="shared" si="2"/>
        <v>0.38987752602567483</v>
      </c>
      <c r="G118" s="7" t="str">
        <f>IF([2]AGPeg!F104&lt;&gt;"",[2]AGPeg!F104,"")</f>
        <v xml:space="preserve">FMT </v>
      </c>
      <c r="H118" s="7" t="str">
        <f>IF([2]AGPeg!G104&lt;&gt;"",[2]AGPeg!G104,"")</f>
        <v>ORS-FR</v>
      </c>
      <c r="I118" s="7" t="str">
        <f>IF([2]AGPeg!H104&lt;&gt;"",[2]AGPeg!H104,"")</f>
        <v>SC14+eShel+Atik460ex</v>
      </c>
      <c r="J118" s="7">
        <f>IF([2]AGPeg!I104&lt;&gt;"",[2]AGPeg!I104,"")</f>
        <v>11000</v>
      </c>
      <c r="K118" s="7" t="str">
        <f>IF([2]AGPeg!J104&lt;&gt;"",[2]AGPeg!J104,"")</f>
        <v/>
      </c>
      <c r="L118" s="7"/>
      <c r="N118" s="2"/>
    </row>
    <row r="119" spans="1:14" x14ac:dyDescent="0.25">
      <c r="A119">
        <f t="shared" si="3"/>
        <v>31.389868095529707</v>
      </c>
      <c r="B119" s="7">
        <f>IF([2]AGPeg!B105&lt;&gt;"",[2]AGPeg!B105,"")</f>
        <v>93</v>
      </c>
      <c r="C119" s="8">
        <f>IF([2]AGPeg!C105&lt;&gt;"",[2]AGPeg!C105,"")</f>
        <v>42278</v>
      </c>
      <c r="D119" s="9">
        <f>IF([2]AGPeg!D105&lt;&gt;"",[2]AGPeg!D105,"")</f>
        <v>0.82555555555555549</v>
      </c>
      <c r="E119" s="7">
        <f>IF([2]AGPeg!E105&lt;&gt;"",[2]AGPeg!E105,"")</f>
        <v>2457297.3273</v>
      </c>
      <c r="F119" s="20">
        <f t="shared" si="2"/>
        <v>0.38986809552970669</v>
      </c>
      <c r="G119" s="7" t="str">
        <f>IF([2]AGPeg!F105&lt;&gt;"",[2]AGPeg!F105,"")</f>
        <v>CHK</v>
      </c>
      <c r="H119" s="7" t="str">
        <f>IF([2]AGPeg!G105&lt;&gt;"",[2]AGPeg!G105,"")</f>
        <v>OAF-FR</v>
      </c>
      <c r="I119" s="7" t="str">
        <f>IF([2]AGPeg!H105&lt;&gt;"",[2]AGPeg!H105,"")</f>
        <v>CDK17+Alpy600+ATIK</v>
      </c>
      <c r="J119" s="7">
        <f>IF([2]AGPeg!I105&lt;&gt;"",[2]AGPeg!I105,"")</f>
        <v>600</v>
      </c>
      <c r="K119" s="7" t="str">
        <f>IF([2]AGPeg!J105&lt;&gt;"",[2]AGPeg!J105,"")</f>
        <v/>
      </c>
      <c r="L119" s="7"/>
      <c r="N119" s="2"/>
    </row>
    <row r="120" spans="1:14" x14ac:dyDescent="0.25">
      <c r="A120">
        <f t="shared" si="3"/>
        <v>31.390039436619521</v>
      </c>
      <c r="B120" s="7">
        <f>IF([2]AGPeg!B106&lt;&gt;"",[2]AGPeg!B106,"")</f>
        <v>94</v>
      </c>
      <c r="C120" s="8">
        <f>IF([2]AGPeg!C106&lt;&gt;"",[2]AGPeg!C106,"")</f>
        <v>42278</v>
      </c>
      <c r="D120" s="9">
        <f>IF([2]AGPeg!D106&lt;&gt;"",[2]AGPeg!D106,"")</f>
        <v>0.9631249999999999</v>
      </c>
      <c r="E120" s="7">
        <f>IF([2]AGPeg!E106&lt;&gt;"",[2]AGPeg!E106,"")</f>
        <v>2457297.4671999998</v>
      </c>
      <c r="F120" s="20">
        <f t="shared" si="2"/>
        <v>0.39003943661952079</v>
      </c>
      <c r="G120" s="7" t="str">
        <f>IF([2]AGPeg!F106&lt;&gt;"",[2]AGPeg!F106,"")</f>
        <v>PSO</v>
      </c>
      <c r="H120" s="7" t="str">
        <f>IF([2]AGPeg!G106&lt;&gt;"",[2]AGPeg!G106,"")</f>
        <v>TAT-HU</v>
      </c>
      <c r="I120" s="7" t="str">
        <f>IF([2]AGPeg!H106&lt;&gt;"",[2]AGPeg!H106,"")</f>
        <v>T10+Lhires150+Atik414esm</v>
      </c>
      <c r="J120" s="7">
        <f>IF([2]AGPeg!I106&lt;&gt;"",[2]AGPeg!I106,"")</f>
        <v>524</v>
      </c>
      <c r="K120" s="7" t="str">
        <f>IF([2]AGPeg!J106&lt;&gt;"",[2]AGPeg!J106,"")</f>
        <v/>
      </c>
      <c r="L120" s="7"/>
      <c r="N120" s="2"/>
    </row>
    <row r="121" spans="1:14" x14ac:dyDescent="0.25">
      <c r="A121">
        <f t="shared" si="3"/>
        <v>31.398475321493951</v>
      </c>
      <c r="B121" s="7">
        <f>IF([2]AGPeg!B107&lt;&gt;"",[2]AGPeg!B107,"")</f>
        <v>95</v>
      </c>
      <c r="C121" s="8">
        <f>IF([2]AGPeg!C107&lt;&gt;"",[2]AGPeg!C107,"")</f>
        <v>42285</v>
      </c>
      <c r="D121" s="9">
        <f>IF([2]AGPeg!D107&lt;&gt;"",[2]AGPeg!D107,"")</f>
        <v>0.84938657407407403</v>
      </c>
      <c r="E121" s="7">
        <f>IF([2]AGPeg!E107&lt;&gt;"",[2]AGPeg!E107,"")</f>
        <v>2457304.3550999998</v>
      </c>
      <c r="F121" s="20">
        <f t="shared" si="2"/>
        <v>0.39847532149395093</v>
      </c>
      <c r="G121" s="7" t="str">
        <f>IF([2]AGPeg!F107&lt;&gt;"",[2]AGPeg!F107,"")</f>
        <v xml:space="preserve">FMT </v>
      </c>
      <c r="H121" s="7" t="str">
        <f>IF([2]AGPeg!G107&lt;&gt;"",[2]AGPeg!G107,"")</f>
        <v>ORS-FR</v>
      </c>
      <c r="I121" s="7" t="str">
        <f>IF([2]AGPeg!H107&lt;&gt;"",[2]AGPeg!H107,"")</f>
        <v>SC14+eShel+Atik460ex</v>
      </c>
      <c r="J121" s="7">
        <f>IF([2]AGPeg!I107&lt;&gt;"",[2]AGPeg!I107,"")</f>
        <v>11000</v>
      </c>
      <c r="K121" s="7" t="str">
        <f>IF([2]AGPeg!J107&lt;&gt;"",[2]AGPeg!J107,"")</f>
        <v/>
      </c>
      <c r="L121" s="7"/>
      <c r="N121" s="2"/>
    </row>
    <row r="122" spans="1:14" x14ac:dyDescent="0.25">
      <c r="A122">
        <f t="shared" si="3"/>
        <v>31.402062584200632</v>
      </c>
      <c r="B122" s="7">
        <f>IF([2]AGPeg!B108&lt;&gt;"",[2]AGPeg!B108,"")</f>
        <v>96</v>
      </c>
      <c r="C122" s="8">
        <f>IF([2]AGPeg!C108&lt;&gt;"",[2]AGPeg!C108,"")</f>
        <v>42288</v>
      </c>
      <c r="D122" s="9">
        <f>IF([2]AGPeg!D108&lt;&gt;"",[2]AGPeg!D108,"")</f>
        <v>0.77892361111111119</v>
      </c>
      <c r="E122" s="7">
        <f>IF([2]AGPeg!E108&lt;&gt;"",[2]AGPeg!E108,"")</f>
        <v>2457307.2840999998</v>
      </c>
      <c r="F122" s="20">
        <f t="shared" si="2"/>
        <v>0.40206258420063179</v>
      </c>
      <c r="G122" s="7" t="str">
        <f>IF([2]AGPeg!F108&lt;&gt;"",[2]AGPeg!F108,"")</f>
        <v xml:space="preserve">FMT </v>
      </c>
      <c r="H122" s="7" t="str">
        <f>IF([2]AGPeg!G108&lt;&gt;"",[2]AGPeg!G108,"")</f>
        <v>ORS-FR</v>
      </c>
      <c r="I122" s="7" t="str">
        <f>IF([2]AGPeg!H108&lt;&gt;"",[2]AGPeg!H108,"")</f>
        <v>SC14+eShel+Atik460ex</v>
      </c>
      <c r="J122" s="7">
        <f>IF([2]AGPeg!I108&lt;&gt;"",[2]AGPeg!I108,"")</f>
        <v>11000</v>
      </c>
      <c r="K122" s="7" t="str">
        <f>IF([2]AGPeg!J108&lt;&gt;"",[2]AGPeg!J108,"")</f>
        <v/>
      </c>
      <c r="L122" s="7"/>
      <c r="N122" s="2"/>
    </row>
    <row r="123" spans="1:14" x14ac:dyDescent="0.25">
      <c r="A123">
        <f t="shared" si="3"/>
        <v>31.402193631353491</v>
      </c>
      <c r="B123" s="7">
        <f>IF([2]AGPeg!B109&lt;&gt;"",[2]AGPeg!B109,"")</f>
        <v>97</v>
      </c>
      <c r="C123" s="8">
        <f>IF([2]AGPeg!C109&lt;&gt;"",[2]AGPeg!C109,"")</f>
        <v>42288</v>
      </c>
      <c r="D123" s="9">
        <f>IF([2]AGPeg!D109&lt;&gt;"",[2]AGPeg!D109,"")</f>
        <v>0.88356481481481486</v>
      </c>
      <c r="E123" s="7">
        <f>IF([2]AGPeg!E109&lt;&gt;"",[2]AGPeg!E109,"")</f>
        <v>2457307.3911000001</v>
      </c>
      <c r="F123" s="20">
        <f t="shared" si="2"/>
        <v>0.40219363135349084</v>
      </c>
      <c r="G123" s="7" t="str">
        <f>IF([2]AGPeg!F109&lt;&gt;"",[2]AGPeg!F109,"")</f>
        <v>SOL</v>
      </c>
      <c r="H123" s="7" t="str">
        <f>IF([2]AGPeg!G109&lt;&gt;"",[2]AGPeg!G109,"")</f>
        <v>AQL-IT</v>
      </c>
      <c r="I123" s="7" t="str">
        <f>IF([2]AGPeg!H109&lt;&gt;"",[2]AGPeg!H109,"")</f>
        <v>Slit_specC8ST-830</v>
      </c>
      <c r="J123" s="7">
        <f>IF([2]AGPeg!I109&lt;&gt;"",[2]AGPeg!I109,"")</f>
        <v>500</v>
      </c>
      <c r="K123" s="7" t="str">
        <f>IF([2]AGPeg!J109&lt;&gt;"",[2]AGPeg!J109,"")</f>
        <v/>
      </c>
      <c r="L123" s="7"/>
      <c r="N123" s="2"/>
    </row>
    <row r="124" spans="1:14" x14ac:dyDescent="0.25">
      <c r="A124">
        <f t="shared" si="3"/>
        <v>31.402348438456919</v>
      </c>
      <c r="B124" s="7">
        <f>IF([2]AGPeg!B110&lt;&gt;"",[2]AGPeg!B110,"")</f>
        <v>98</v>
      </c>
      <c r="C124" s="8">
        <f>IF([2]AGPeg!C110&lt;&gt;"",[2]AGPeg!C110,"")</f>
        <v>42289</v>
      </c>
      <c r="D124" s="9">
        <f>IF([2]AGPeg!D110&lt;&gt;"",[2]AGPeg!D110,"")</f>
        <v>8.564814814814815E-4</v>
      </c>
      <c r="E124" s="7">
        <f>IF([2]AGPeg!E110&lt;&gt;"",[2]AGPeg!E110,"")</f>
        <v>2457307.5175000001</v>
      </c>
      <c r="F124" s="20">
        <f t="shared" si="2"/>
        <v>0.4023484384569187</v>
      </c>
      <c r="G124" s="7" t="str">
        <f>IF([2]AGPeg!F110&lt;&gt;"",[2]AGPeg!F110,"")</f>
        <v>LES</v>
      </c>
      <c r="H124" s="7" t="str">
        <f>IF([2]AGPeg!G110&lt;&gt;"",[2]AGPeg!G110,"")</f>
        <v>MRO-CA</v>
      </c>
      <c r="I124" s="7" t="str">
        <f>IF([2]AGPeg!H110&lt;&gt;"",[2]AGPeg!H110,"")</f>
        <v>31cmDK+23um1800lpm+</v>
      </c>
      <c r="J124" s="7">
        <f>IF([2]AGPeg!I110&lt;&gt;"",[2]AGPeg!I110,"")</f>
        <v>6500</v>
      </c>
      <c r="K124" s="7" t="str">
        <f>IF([2]AGPeg!J110&lt;&gt;"",[2]AGPeg!J110,"")</f>
        <v/>
      </c>
      <c r="L124" s="7"/>
      <c r="N124" s="2"/>
    </row>
    <row r="125" spans="1:14" x14ac:dyDescent="0.25">
      <c r="A125">
        <f t="shared" si="3"/>
        <v>31.402364115125803</v>
      </c>
      <c r="B125" s="7">
        <f>IF([2]AGPeg!B111&lt;&gt;"",[2]AGPeg!B111,"")</f>
        <v>99</v>
      </c>
      <c r="C125" s="8">
        <f>IF([2]AGPeg!C111&lt;&gt;"",[2]AGPeg!C111,"")</f>
        <v>42289</v>
      </c>
      <c r="D125" s="9">
        <f>IF([2]AGPeg!D111&lt;&gt;"",[2]AGPeg!D111,"")</f>
        <v>9.2708333333333341E-3</v>
      </c>
      <c r="E125" s="7">
        <f>IF([2]AGPeg!E111&lt;&gt;"",[2]AGPeg!E111,"")</f>
        <v>2457307.5303000002</v>
      </c>
      <c r="F125" s="20">
        <f t="shared" si="2"/>
        <v>0.40236411512580261</v>
      </c>
      <c r="G125" s="7" t="str">
        <f>IF([2]AGPeg!F111&lt;&gt;"",[2]AGPeg!F111,"")</f>
        <v>GKA</v>
      </c>
      <c r="H125" s="7" t="str">
        <f>IF([2]AGPeg!G111&lt;&gt;"",[2]AGPeg!G111,"")</f>
        <v>MAN-US</v>
      </c>
      <c r="I125" s="7" t="str">
        <f>IF([2]AGPeg!H111&lt;&gt;"",[2]AGPeg!H111,"")</f>
        <v>SC12+Lhires2400</v>
      </c>
      <c r="J125" s="7">
        <f>IF([2]AGPeg!I111&lt;&gt;"",[2]AGPeg!I111,"")</f>
        <v>15000</v>
      </c>
      <c r="K125" s="7" t="str">
        <f>IF([2]AGPeg!J111&lt;&gt;"",[2]AGPeg!J111,"")</f>
        <v/>
      </c>
      <c r="L125" s="7"/>
      <c r="N125" s="2"/>
    </row>
    <row r="126" spans="1:14" x14ac:dyDescent="0.25">
      <c r="A126">
        <f t="shared" si="3"/>
        <v>31.402380649112189</v>
      </c>
      <c r="B126" s="7">
        <f>IF([2]AGPeg!B112&lt;&gt;"",[2]AGPeg!B112,"")</f>
        <v>100</v>
      </c>
      <c r="C126" s="8">
        <f>IF([2]AGPeg!C112&lt;&gt;"",[2]AGPeg!C112,"")</f>
        <v>42289</v>
      </c>
      <c r="D126" s="9">
        <f>IF([2]AGPeg!D112&lt;&gt;"",[2]AGPeg!D112,"")</f>
        <v>3.3275462962962958E-2</v>
      </c>
      <c r="E126" s="7">
        <f>IF([2]AGPeg!E112&lt;&gt;"",[2]AGPeg!E112,"")</f>
        <v>2457307.5438000001</v>
      </c>
      <c r="F126" s="20">
        <f t="shared" si="2"/>
        <v>0.40238064911218885</v>
      </c>
      <c r="G126" s="7" t="str">
        <f>IF([2]AGPeg!F112&lt;&gt;"",[2]AGPeg!F112,"")</f>
        <v>GKA</v>
      </c>
      <c r="H126" s="7" t="str">
        <f>IF([2]AGPeg!G112&lt;&gt;"",[2]AGPeg!G112,"")</f>
        <v>MAN-US</v>
      </c>
      <c r="I126" s="7" t="str">
        <f>IF([2]AGPeg!H112&lt;&gt;"",[2]AGPeg!H112,"")</f>
        <v>SC10+Alpy600</v>
      </c>
      <c r="J126" s="7">
        <f>IF([2]AGPeg!I112&lt;&gt;"",[2]AGPeg!I112,"")</f>
        <v>600</v>
      </c>
      <c r="K126" s="7" t="str">
        <f>IF([2]AGPeg!J112&lt;&gt;"",[2]AGPeg!J112,"")</f>
        <v/>
      </c>
      <c r="L126" s="7"/>
      <c r="N126" s="2"/>
    </row>
    <row r="127" spans="1:14" x14ac:dyDescent="0.25">
      <c r="A127">
        <f t="shared" si="3"/>
        <v>31.402430006123815</v>
      </c>
      <c r="B127" s="7">
        <f>IF([2]AGPeg!B113&lt;&gt;"",[2]AGPeg!B113,"")</f>
        <v>101</v>
      </c>
      <c r="C127" s="8">
        <f>IF([2]AGPeg!C113&lt;&gt;"",[2]AGPeg!C113,"")</f>
        <v>42289</v>
      </c>
      <c r="D127" s="9">
        <f>IF([2]AGPeg!D113&lt;&gt;"",[2]AGPeg!D113,"")</f>
        <v>6.9548611111111117E-2</v>
      </c>
      <c r="E127" s="7">
        <f>IF([2]AGPeg!E113&lt;&gt;"",[2]AGPeg!E113,"")</f>
        <v>2457307.5841000001</v>
      </c>
      <c r="F127" s="20">
        <f t="shared" si="2"/>
        <v>0.40243000612381508</v>
      </c>
      <c r="G127" s="7" t="str">
        <f>IF([2]AGPeg!F113&lt;&gt;"",[2]AGPeg!F113,"")</f>
        <v>LES</v>
      </c>
      <c r="H127" s="7" t="str">
        <f>IF([2]AGPeg!G113&lt;&gt;"",[2]AGPeg!G113,"")</f>
        <v>MRO-CA</v>
      </c>
      <c r="I127" s="7" t="str">
        <f>IF([2]AGPeg!H113&lt;&gt;"",[2]AGPeg!H113,"")</f>
        <v>31cmDK+23um1800lpm+</v>
      </c>
      <c r="J127" s="7">
        <f>IF([2]AGPeg!I113&lt;&gt;"",[2]AGPeg!I113,"")</f>
        <v>7600</v>
      </c>
      <c r="K127" s="7" t="str">
        <f>IF([2]AGPeg!J113&lt;&gt;"",[2]AGPeg!J113,"")</f>
        <v/>
      </c>
      <c r="L127" s="7"/>
      <c r="N127" s="2"/>
    </row>
    <row r="128" spans="1:14" x14ac:dyDescent="0.25">
      <c r="A128">
        <f t="shared" si="3"/>
        <v>31.402495529699959</v>
      </c>
      <c r="B128" s="7">
        <f>IF([2]AGPeg!B114&lt;&gt;"",[2]AGPeg!B114,"")</f>
        <v>102</v>
      </c>
      <c r="C128" s="8">
        <f>IF([2]AGPeg!C114&lt;&gt;"",[2]AGPeg!C114,"")</f>
        <v>42289</v>
      </c>
      <c r="D128" s="9">
        <f>IF([2]AGPeg!D114&lt;&gt;"",[2]AGPeg!D114,"")</f>
        <v>0.13083333333333333</v>
      </c>
      <c r="E128" s="7">
        <f>IF([2]AGPeg!E114&lt;&gt;"",[2]AGPeg!E114,"")</f>
        <v>2457307.6376</v>
      </c>
      <c r="F128" s="20">
        <f t="shared" si="2"/>
        <v>0.40249552969995861</v>
      </c>
      <c r="G128" s="7" t="str">
        <f>IF([2]AGPeg!F114&lt;&gt;"",[2]AGPeg!F114,"")</f>
        <v>LES</v>
      </c>
      <c r="H128" s="7" t="str">
        <f>IF([2]AGPeg!G114&lt;&gt;"",[2]AGPeg!G114,"")</f>
        <v>MRO-CA</v>
      </c>
      <c r="I128" s="7" t="str">
        <f>IF([2]AGPeg!H114&lt;&gt;"",[2]AGPeg!H114,"")</f>
        <v>31cmDK+23um1800lpm+</v>
      </c>
      <c r="J128" s="7">
        <f>IF([2]AGPeg!I114&lt;&gt;"",[2]AGPeg!I114,"")</f>
        <v>9000</v>
      </c>
      <c r="K128" s="7" t="str">
        <f>IF([2]AGPeg!J114&lt;&gt;"",[2]AGPeg!J114,"")</f>
        <v/>
      </c>
      <c r="L128" s="7"/>
      <c r="N128" s="2"/>
    </row>
    <row r="129" spans="1:14" x14ac:dyDescent="0.25">
      <c r="A129">
        <f t="shared" si="3"/>
        <v>31.404511696264372</v>
      </c>
      <c r="B129" s="7">
        <f>IF([2]AGPeg!B115&lt;&gt;"",[2]AGPeg!B115,"")</f>
        <v>103</v>
      </c>
      <c r="C129" s="8">
        <f>IF([2]AGPeg!C115&lt;&gt;"",[2]AGPeg!C115,"")</f>
        <v>42290</v>
      </c>
      <c r="D129" s="9">
        <f>IF([2]AGPeg!D115&lt;&gt;"",[2]AGPeg!D115,"")</f>
        <v>0.77684027777777775</v>
      </c>
      <c r="E129" s="7">
        <f>IF([2]AGPeg!E115&lt;&gt;"",[2]AGPeg!E115,"")</f>
        <v>2457309.2837999999</v>
      </c>
      <c r="F129" s="20">
        <f t="shared" si="2"/>
        <v>0.40451169626437178</v>
      </c>
      <c r="G129" s="7" t="str">
        <f>IF([2]AGPeg!F115&lt;&gt;"",[2]AGPeg!F115,"")</f>
        <v xml:space="preserve">FMT </v>
      </c>
      <c r="H129" s="7" t="str">
        <f>IF([2]AGPeg!G115&lt;&gt;"",[2]AGPeg!G115,"")</f>
        <v>ORS-FR</v>
      </c>
      <c r="I129" s="7" t="str">
        <f>IF([2]AGPeg!H115&lt;&gt;"",[2]AGPeg!H115,"")</f>
        <v>SC14+eShel+Atik460ex</v>
      </c>
      <c r="J129" s="7">
        <f>IF([2]AGPeg!I115&lt;&gt;"",[2]AGPeg!I115,"")</f>
        <v>11000</v>
      </c>
      <c r="K129" s="7" t="str">
        <f>IF([2]AGPeg!J115&lt;&gt;"",[2]AGPeg!J115,"")</f>
        <v/>
      </c>
      <c r="L129" s="7"/>
      <c r="N129" s="2"/>
    </row>
    <row r="130" spans="1:14" x14ac:dyDescent="0.25">
      <c r="A130">
        <f t="shared" si="3"/>
        <v>31.404695039803808</v>
      </c>
      <c r="B130" s="7">
        <f>IF([2]AGPeg!B116&lt;&gt;"",[2]AGPeg!B116,"")</f>
        <v>104</v>
      </c>
      <c r="C130" s="8">
        <f>IF([2]AGPeg!C116&lt;&gt;"",[2]AGPeg!C116,"")</f>
        <v>42290</v>
      </c>
      <c r="D130" s="9">
        <f>IF([2]AGPeg!D116&lt;&gt;"",[2]AGPeg!D116,"")</f>
        <v>0.93112268518518515</v>
      </c>
      <c r="E130" s="7">
        <f>IF([2]AGPeg!E116&lt;&gt;"",[2]AGPeg!E116,"")</f>
        <v>2457309.4334999998</v>
      </c>
      <c r="F130" s="20">
        <f t="shared" si="2"/>
        <v>0.4046950398038085</v>
      </c>
      <c r="G130" s="7" t="str">
        <f>IF([2]AGPeg!F116&lt;&gt;"",[2]AGPeg!F116,"")</f>
        <v>DBO</v>
      </c>
      <c r="H130" s="7" t="str">
        <f>IF([2]AGPeg!G116&lt;&gt;"",[2]AGPeg!G116,"")</f>
        <v>WCO-UK</v>
      </c>
      <c r="I130" s="7" t="str">
        <f>IF([2]AGPeg!H116&lt;&gt;"",[2]AGPeg!H116,"")</f>
        <v>C11+Lisa+SXVR-H694</v>
      </c>
      <c r="J130" s="7">
        <f>IF([2]AGPeg!I116&lt;&gt;"",[2]AGPeg!I116,"")</f>
        <v>838</v>
      </c>
      <c r="K130" s="7" t="str">
        <f>IF([2]AGPeg!J116&lt;&gt;"",[2]AGPeg!J116,"")</f>
        <v/>
      </c>
      <c r="L130" s="7"/>
      <c r="N130" s="2"/>
    </row>
    <row r="131" spans="1:14" x14ac:dyDescent="0.25">
      <c r="A131">
        <f t="shared" si="3"/>
        <v>31.404816656460699</v>
      </c>
      <c r="B131" s="7">
        <f>IF([2]AGPeg!B117&lt;&gt;"",[2]AGPeg!B117,"")</f>
        <v>105</v>
      </c>
      <c r="C131" s="8">
        <f>IF([2]AGPeg!C117&lt;&gt;"",[2]AGPeg!C117,"")</f>
        <v>42291</v>
      </c>
      <c r="D131" s="9">
        <f>IF([2]AGPeg!D117&lt;&gt;"",[2]AGPeg!D117,"")</f>
        <v>2.4062500000000001E-2</v>
      </c>
      <c r="E131" s="7">
        <f>IF([2]AGPeg!E117&lt;&gt;"",[2]AGPeg!E117,"")</f>
        <v>2457309.5328000002</v>
      </c>
      <c r="F131" s="20">
        <f t="shared" si="2"/>
        <v>0.40481665646069942</v>
      </c>
      <c r="G131" s="7" t="str">
        <f>IF([2]AGPeg!F117&lt;&gt;"",[2]AGPeg!F117,"")</f>
        <v>GKA</v>
      </c>
      <c r="H131" s="7" t="str">
        <f>IF([2]AGPeg!G117&lt;&gt;"",[2]AGPeg!G117,"")</f>
        <v>MAN-US</v>
      </c>
      <c r="I131" s="7" t="str">
        <f>IF([2]AGPeg!H117&lt;&gt;"",[2]AGPeg!H117,"")</f>
        <v>SC10+Alpy600</v>
      </c>
      <c r="J131" s="7">
        <f>IF([2]AGPeg!I117&lt;&gt;"",[2]AGPeg!I117,"")</f>
        <v>600</v>
      </c>
      <c r="K131" s="7" t="str">
        <f>IF([2]AGPeg!J117&lt;&gt;"",[2]AGPeg!J117,"")</f>
        <v/>
      </c>
      <c r="L131" s="7"/>
      <c r="N131" s="2"/>
    </row>
    <row r="132" spans="1:14" x14ac:dyDescent="0.25">
      <c r="A132">
        <f t="shared" si="3"/>
        <v>31.404832455603348</v>
      </c>
      <c r="B132" s="7">
        <f>IF([2]AGPeg!B118&lt;&gt;"",[2]AGPeg!B118,"")</f>
        <v>106</v>
      </c>
      <c r="C132" s="8">
        <f>IF([2]AGPeg!C118&lt;&gt;"",[2]AGPeg!C118,"")</f>
        <v>42291</v>
      </c>
      <c r="D132" s="9">
        <f>IF([2]AGPeg!D118&lt;&gt;"",[2]AGPeg!D118,"")</f>
        <v>2.8148148148148148E-2</v>
      </c>
      <c r="E132" s="7">
        <f>IF([2]AGPeg!E118&lt;&gt;"",[2]AGPeg!E118,"")</f>
        <v>2457309.5457000001</v>
      </c>
      <c r="F132" s="20">
        <f t="shared" si="2"/>
        <v>0.4048324556033478</v>
      </c>
      <c r="G132" s="7" t="str">
        <f>IF([2]AGPeg!F118&lt;&gt;"",[2]AGPeg!F118,"")</f>
        <v>GKA</v>
      </c>
      <c r="H132" s="7" t="str">
        <f>IF([2]AGPeg!G118&lt;&gt;"",[2]AGPeg!G118,"")</f>
        <v>MAN-US</v>
      </c>
      <c r="I132" s="7" t="str">
        <f>IF([2]AGPeg!H118&lt;&gt;"",[2]AGPeg!H118,"")</f>
        <v>SC12+Lhires2400</v>
      </c>
      <c r="J132" s="7">
        <f>IF([2]AGPeg!I118&lt;&gt;"",[2]AGPeg!I118,"")</f>
        <v>15000</v>
      </c>
      <c r="K132" s="7" t="str">
        <f>IF([2]AGPeg!J118&lt;&gt;"",[2]AGPeg!J118,"")</f>
        <v/>
      </c>
      <c r="L132" s="7"/>
      <c r="N132" s="2"/>
    </row>
    <row r="133" spans="1:14" x14ac:dyDescent="0.25">
      <c r="A133">
        <f t="shared" si="3"/>
        <v>31.405841518677111</v>
      </c>
      <c r="B133" s="7">
        <f>IF([2]AGPeg!B119&lt;&gt;"",[2]AGPeg!B119,"")</f>
        <v>107</v>
      </c>
      <c r="C133" s="8">
        <f>IF([2]AGPeg!C119&lt;&gt;"",[2]AGPeg!C119,"")</f>
        <v>42291</v>
      </c>
      <c r="D133" s="9">
        <f>IF([2]AGPeg!D119&lt;&gt;"",[2]AGPeg!D119,"")</f>
        <v>0.86790509259259263</v>
      </c>
      <c r="E133" s="7">
        <f>IF([2]AGPeg!E119&lt;&gt;"",[2]AGPeg!E119,"")</f>
        <v>2457310.3695999999</v>
      </c>
      <c r="F133" s="20">
        <f t="shared" si="2"/>
        <v>0.40584151867711071</v>
      </c>
      <c r="G133" s="7" t="str">
        <f>IF([2]AGPeg!F119&lt;&gt;"",[2]AGPeg!F119,"")</f>
        <v>AJW</v>
      </c>
      <c r="H133" s="7" t="str">
        <f>IF([2]AGPeg!G119&lt;&gt;"",[2]AGPeg!G119,"")</f>
        <v>YAT-UK</v>
      </c>
      <c r="I133" s="7" t="str">
        <f>IF([2]AGPeg!H119&lt;&gt;"",[2]AGPeg!H119,"")</f>
        <v>GSO_RC250Lhires3_2</v>
      </c>
      <c r="J133" s="7">
        <f>IF([2]AGPeg!I119&lt;&gt;"",[2]AGPeg!I119,"")</f>
        <v>19796</v>
      </c>
      <c r="K133" s="7" t="str">
        <f>IF([2]AGPeg!J119&lt;&gt;"",[2]AGPeg!J119,"")</f>
        <v/>
      </c>
      <c r="L133" s="7"/>
      <c r="N133" s="2"/>
    </row>
    <row r="134" spans="1:14" x14ac:dyDescent="0.25">
      <c r="A134">
        <f t="shared" si="3"/>
        <v>31.406024862216547</v>
      </c>
      <c r="B134" s="7">
        <f>IF([2]AGPeg!B120&lt;&gt;"",[2]AGPeg!B120,"")</f>
        <v>108</v>
      </c>
      <c r="C134" s="8">
        <f>IF([2]AGPeg!C120&lt;&gt;"",[2]AGPeg!C120,"")</f>
        <v>42292</v>
      </c>
      <c r="D134" s="9">
        <f>IF([2]AGPeg!D120&lt;&gt;"",[2]AGPeg!D120,"")</f>
        <v>1.736111111111111E-3</v>
      </c>
      <c r="E134" s="7">
        <f>IF([2]AGPeg!E120&lt;&gt;"",[2]AGPeg!E120,"")</f>
        <v>2457310.5192999998</v>
      </c>
      <c r="F134" s="20">
        <f t="shared" si="2"/>
        <v>0.40602486221654743</v>
      </c>
      <c r="G134" s="7" t="str">
        <f>IF([2]AGPeg!F120&lt;&gt;"",[2]AGPeg!F120,"")</f>
        <v>GKA</v>
      </c>
      <c r="H134" s="7" t="str">
        <f>IF([2]AGPeg!G120&lt;&gt;"",[2]AGPeg!G120,"")</f>
        <v>MAN-US</v>
      </c>
      <c r="I134" s="7" t="str">
        <f>IF([2]AGPeg!H120&lt;&gt;"",[2]AGPeg!H120,"")</f>
        <v>SC12+Lhires2400</v>
      </c>
      <c r="J134" s="7">
        <f>IF([2]AGPeg!I120&lt;&gt;"",[2]AGPeg!I120,"")</f>
        <v>15000</v>
      </c>
      <c r="K134" s="7" t="str">
        <f>IF([2]AGPeg!J120&lt;&gt;"",[2]AGPeg!J120,"")</f>
        <v/>
      </c>
      <c r="L134" s="7"/>
      <c r="N134" s="2"/>
    </row>
    <row r="135" spans="1:14" x14ac:dyDescent="0.25">
      <c r="A135">
        <f t="shared" si="3"/>
        <v>31.406020943049754</v>
      </c>
      <c r="B135" s="7">
        <f>IF([2]AGPeg!B121&lt;&gt;"",[2]AGPeg!B121,"")</f>
        <v>109</v>
      </c>
      <c r="C135" s="8">
        <f>IF([2]AGPeg!C121&lt;&gt;"",[2]AGPeg!C121,"")</f>
        <v>42292</v>
      </c>
      <c r="D135" s="9">
        <f>IF([2]AGPeg!D121&lt;&gt;"",[2]AGPeg!D121,"")</f>
        <v>1.4988425925925926E-2</v>
      </c>
      <c r="E135" s="7">
        <f>IF([2]AGPeg!E121&lt;&gt;"",[2]AGPeg!E121,"")</f>
        <v>2457310.5161000001</v>
      </c>
      <c r="F135" s="20">
        <f t="shared" si="2"/>
        <v>0.40602094304975367</v>
      </c>
      <c r="G135" s="7" t="str">
        <f>IF([2]AGPeg!F121&lt;&gt;"",[2]AGPeg!F121,"")</f>
        <v>GKA</v>
      </c>
      <c r="H135" s="7" t="str">
        <f>IF([2]AGPeg!G121&lt;&gt;"",[2]AGPeg!G121,"")</f>
        <v>MAN-US</v>
      </c>
      <c r="I135" s="7" t="str">
        <f>IF([2]AGPeg!H121&lt;&gt;"",[2]AGPeg!H121,"")</f>
        <v>SC10+Alpy600</v>
      </c>
      <c r="J135" s="7">
        <f>IF([2]AGPeg!I121&lt;&gt;"",[2]AGPeg!I121,"")</f>
        <v>600</v>
      </c>
      <c r="K135" s="7" t="str">
        <f>IF([2]AGPeg!J121&lt;&gt;"",[2]AGPeg!J121,"")</f>
        <v/>
      </c>
      <c r="L135" s="7"/>
      <c r="N135" s="2"/>
    </row>
    <row r="136" spans="1:14" x14ac:dyDescent="0.25">
      <c r="A136">
        <f t="shared" si="3"/>
        <v>31.408459644825687</v>
      </c>
      <c r="B136" s="7">
        <f>IF([2]AGPeg!B122&lt;&gt;"",[2]AGPeg!B122,"")</f>
        <v>110</v>
      </c>
      <c r="C136" s="8">
        <f>IF([2]AGPeg!C122&lt;&gt;"",[2]AGPeg!C122,"")</f>
        <v>42293</v>
      </c>
      <c r="D136" s="9">
        <f>IF([2]AGPeg!D122&lt;&gt;"",[2]AGPeg!D122,"")</f>
        <v>0.98979166666666663</v>
      </c>
      <c r="E136" s="7">
        <f>IF([2]AGPeg!E122&lt;&gt;"",[2]AGPeg!E122,"")</f>
        <v>2457312.5073000002</v>
      </c>
      <c r="F136" s="20">
        <f t="shared" si="2"/>
        <v>0.40845964482568675</v>
      </c>
      <c r="G136" s="7" t="str">
        <f>IF([2]AGPeg!F122&lt;&gt;"",[2]AGPeg!F122,"")</f>
        <v>GKA</v>
      </c>
      <c r="H136" s="7" t="str">
        <f>IF([2]AGPeg!G122&lt;&gt;"",[2]AGPeg!G122,"")</f>
        <v>MAN-US</v>
      </c>
      <c r="I136" s="7" t="str">
        <f>IF([2]AGPeg!H122&lt;&gt;"",[2]AGPeg!H122,"")</f>
        <v>SC12+Lhires2400</v>
      </c>
      <c r="J136" s="7">
        <f>IF([2]AGPeg!I122&lt;&gt;"",[2]AGPeg!I122,"")</f>
        <v>15000</v>
      </c>
      <c r="K136" s="7" t="str">
        <f>IF([2]AGPeg!J122&lt;&gt;"",[2]AGPeg!J122,"")</f>
        <v/>
      </c>
      <c r="L136" s="7"/>
      <c r="N136" s="2"/>
    </row>
    <row r="137" spans="1:14" x14ac:dyDescent="0.25">
      <c r="A137">
        <f t="shared" si="3"/>
        <v>31.408587507654349</v>
      </c>
      <c r="B137" s="7">
        <f>IF([2]AGPeg!B123&lt;&gt;"",[2]AGPeg!B123,"")</f>
        <v>111</v>
      </c>
      <c r="C137" s="8">
        <f>IF([2]AGPeg!C123&lt;&gt;"",[2]AGPeg!C123,"")</f>
        <v>42294</v>
      </c>
      <c r="D137" s="9">
        <f>IF([2]AGPeg!D123&lt;&gt;"",[2]AGPeg!D123,"")</f>
        <v>0.10125000000000001</v>
      </c>
      <c r="E137" s="7">
        <f>IF([2]AGPeg!E123&lt;&gt;"",[2]AGPeg!E123,"")</f>
        <v>2457312.6116999998</v>
      </c>
      <c r="F137" s="20">
        <f t="shared" si="2"/>
        <v>0.40858750765434948</v>
      </c>
      <c r="G137" s="7" t="str">
        <f>IF([2]AGPeg!F123&lt;&gt;"",[2]AGPeg!F123,"")</f>
        <v>GKA</v>
      </c>
      <c r="H137" s="7" t="str">
        <f>IF([2]AGPeg!G123&lt;&gt;"",[2]AGPeg!G123,"")</f>
        <v>MAN-US</v>
      </c>
      <c r="I137" s="7" t="str">
        <f>IF([2]AGPeg!H123&lt;&gt;"",[2]AGPeg!H123,"")</f>
        <v>SC10+Alpy600</v>
      </c>
      <c r="J137" s="7">
        <f>IF([2]AGPeg!I123&lt;&gt;"",[2]AGPeg!I123,"")</f>
        <v>600</v>
      </c>
      <c r="K137" s="7" t="str">
        <f>IF([2]AGPeg!J123&lt;&gt;"",[2]AGPeg!J123,"")</f>
        <v/>
      </c>
      <c r="L137" s="7"/>
      <c r="N137" s="2"/>
    </row>
    <row r="138" spans="1:14" x14ac:dyDescent="0.25">
      <c r="A138">
        <f t="shared" si="3"/>
        <v>31.40953900796103</v>
      </c>
      <c r="B138" s="7">
        <f>IF([2]AGPeg!B124&lt;&gt;"",[2]AGPeg!B124,"")</f>
        <v>112</v>
      </c>
      <c r="C138" s="8">
        <f>IF([2]AGPeg!C124&lt;&gt;"",[2]AGPeg!C124,"")</f>
        <v>42294</v>
      </c>
      <c r="D138" s="9">
        <f>IF([2]AGPeg!D124&lt;&gt;"",[2]AGPeg!D124,"")</f>
        <v>0.8731944444444445</v>
      </c>
      <c r="E138" s="7">
        <f>IF([2]AGPeg!E124&lt;&gt;"",[2]AGPeg!E124,"")</f>
        <v>2457313.3886000002</v>
      </c>
      <c r="F138" s="20">
        <f t="shared" si="2"/>
        <v>0.40953900796102971</v>
      </c>
      <c r="G138" s="7" t="str">
        <f>IF([2]AGPeg!F124&lt;&gt;"",[2]AGPeg!F124,"")</f>
        <v>BER</v>
      </c>
      <c r="H138" s="7" t="str">
        <f>IF([2]AGPeg!G124&lt;&gt;"",[2]AGPeg!G124,"")</f>
        <v>BVO-IT</v>
      </c>
      <c r="I138" s="7" t="str">
        <f>IF([2]AGPeg!H124&lt;&gt;"",[2]AGPeg!H124,"")</f>
        <v>Lhires3600C9SXVR</v>
      </c>
      <c r="J138" s="7">
        <f>IF([2]AGPeg!I124&lt;&gt;"",[2]AGPeg!I124,"")</f>
        <v>3000</v>
      </c>
      <c r="K138" s="7" t="str">
        <f>IF([2]AGPeg!J124&lt;&gt;"",[2]AGPeg!J124,"")</f>
        <v/>
      </c>
      <c r="L138" s="7"/>
      <c r="N138" s="2"/>
    </row>
    <row r="139" spans="1:14" x14ac:dyDescent="0.25">
      <c r="A139">
        <f t="shared" si="3"/>
        <v>31.409685486834096</v>
      </c>
      <c r="B139" s="7">
        <f>IF([2]AGPeg!B125&lt;&gt;"",[2]AGPeg!B125,"")</f>
        <v>113</v>
      </c>
      <c r="C139" s="8">
        <f>IF([2]AGPeg!C125&lt;&gt;"",[2]AGPeg!C125,"")</f>
        <v>42294</v>
      </c>
      <c r="D139" s="9">
        <f>IF([2]AGPeg!D125&lt;&gt;"",[2]AGPeg!D125,"")</f>
        <v>0.99770833333333331</v>
      </c>
      <c r="E139" s="7">
        <f>IF([2]AGPeg!E125&lt;&gt;"",[2]AGPeg!E125,"")</f>
        <v>2457313.5082</v>
      </c>
      <c r="F139" s="20">
        <f t="shared" si="2"/>
        <v>0.40968548683409622</v>
      </c>
      <c r="G139" s="7" t="str">
        <f>IF([2]AGPeg!F125&lt;&gt;"",[2]AGPeg!F125,"")</f>
        <v>GKA</v>
      </c>
      <c r="H139" s="7" t="str">
        <f>IF([2]AGPeg!G125&lt;&gt;"",[2]AGPeg!G125,"")</f>
        <v>MAN-US</v>
      </c>
      <c r="I139" s="7" t="str">
        <f>IF([2]AGPeg!H125&lt;&gt;"",[2]AGPeg!H125,"")</f>
        <v>SC12+Lhires2400</v>
      </c>
      <c r="J139" s="7">
        <f>IF([2]AGPeg!I125&lt;&gt;"",[2]AGPeg!I125,"")</f>
        <v>15000</v>
      </c>
      <c r="K139" s="7" t="str">
        <f>IF([2]AGPeg!J125&lt;&gt;"",[2]AGPeg!J125,"")</f>
        <v/>
      </c>
      <c r="L139" s="7"/>
      <c r="N139" s="2"/>
    </row>
    <row r="140" spans="1:14" x14ac:dyDescent="0.25">
      <c r="A140">
        <f t="shared" si="3"/>
        <v>31.40969883649743</v>
      </c>
      <c r="B140" s="7">
        <f>IF([2]AGPeg!B126&lt;&gt;"",[2]AGPeg!B126,"")</f>
        <v>114</v>
      </c>
      <c r="C140" s="8">
        <f>IF([2]AGPeg!C126&lt;&gt;"",[2]AGPeg!C126,"")</f>
        <v>42295</v>
      </c>
      <c r="D140" s="9">
        <f>IF([2]AGPeg!D126&lt;&gt;"",[2]AGPeg!D126,"")</f>
        <v>8.611111111111111E-3</v>
      </c>
      <c r="E140" s="7">
        <f>IF([2]AGPeg!E126&lt;&gt;"",[2]AGPeg!E126,"")</f>
        <v>2457313.5191000002</v>
      </c>
      <c r="F140" s="20">
        <f t="shared" si="2"/>
        <v>0.40969883649743011</v>
      </c>
      <c r="G140" s="7" t="str">
        <f>IF([2]AGPeg!F126&lt;&gt;"",[2]AGPeg!F126,"")</f>
        <v>GKA</v>
      </c>
      <c r="H140" s="7" t="str">
        <f>IF([2]AGPeg!G126&lt;&gt;"",[2]AGPeg!G126,"")</f>
        <v>MAN-US</v>
      </c>
      <c r="I140" s="7" t="str">
        <f>IF([2]AGPeg!H126&lt;&gt;"",[2]AGPeg!H126,"")</f>
        <v>SC10+Alpy600</v>
      </c>
      <c r="J140" s="7">
        <f>IF([2]AGPeg!I126&lt;&gt;"",[2]AGPeg!I126,"")</f>
        <v>600</v>
      </c>
      <c r="K140" s="7" t="str">
        <f>IF([2]AGPeg!J126&lt;&gt;"",[2]AGPeg!J126,"")</f>
        <v/>
      </c>
      <c r="L140" s="7"/>
      <c r="N140" s="2"/>
    </row>
    <row r="141" spans="1:14" x14ac:dyDescent="0.25">
      <c r="A141">
        <f t="shared" si="3"/>
        <v>31.410905817513903</v>
      </c>
      <c r="B141" s="7">
        <f>IF([2]AGPeg!B127&lt;&gt;"",[2]AGPeg!B127,"")</f>
        <v>115</v>
      </c>
      <c r="C141" s="8">
        <f>IF([2]AGPeg!C127&lt;&gt;"",[2]AGPeg!C127,"")</f>
        <v>42295</v>
      </c>
      <c r="D141" s="9">
        <f>IF([2]AGPeg!D127&lt;&gt;"",[2]AGPeg!D127,"")</f>
        <v>0.99056712962962967</v>
      </c>
      <c r="E141" s="7">
        <f>IF([2]AGPeg!E127&lt;&gt;"",[2]AGPeg!E127,"")</f>
        <v>2457314.5046000001</v>
      </c>
      <c r="F141" s="20">
        <f t="shared" si="2"/>
        <v>0.41090581751390332</v>
      </c>
      <c r="G141" s="7" t="str">
        <f>IF([2]AGPeg!F127&lt;&gt;"",[2]AGPeg!F127,"")</f>
        <v>GKA</v>
      </c>
      <c r="H141" s="7" t="str">
        <f>IF([2]AGPeg!G127&lt;&gt;"",[2]AGPeg!G127,"")</f>
        <v>MAN-US</v>
      </c>
      <c r="I141" s="7" t="str">
        <f>IF([2]AGPeg!H127&lt;&gt;"",[2]AGPeg!H127,"")</f>
        <v>SC12+Lhires2400</v>
      </c>
      <c r="J141" s="7">
        <f>IF([2]AGPeg!I127&lt;&gt;"",[2]AGPeg!I127,"")</f>
        <v>15000</v>
      </c>
      <c r="K141" s="7" t="str">
        <f>IF([2]AGPeg!J127&lt;&gt;"",[2]AGPeg!J127,"")</f>
        <v/>
      </c>
      <c r="L141" s="7"/>
      <c r="N141" s="2"/>
    </row>
    <row r="142" spans="1:14" x14ac:dyDescent="0.25">
      <c r="A142">
        <f t="shared" si="3"/>
        <v>31.410909491733165</v>
      </c>
      <c r="B142" s="7">
        <f>IF([2]AGPeg!B128&lt;&gt;"",[2]AGPeg!B128,"")</f>
        <v>116</v>
      </c>
      <c r="C142" s="8">
        <f>IF([2]AGPeg!C128&lt;&gt;"",[2]AGPeg!C128,"")</f>
        <v>42296</v>
      </c>
      <c r="D142" s="9">
        <f>IF([2]AGPeg!D128&lt;&gt;"",[2]AGPeg!D128,"")</f>
        <v>7.0023148148148154E-3</v>
      </c>
      <c r="E142" s="7">
        <f>IF([2]AGPeg!E128&lt;&gt;"",[2]AGPeg!E128,"")</f>
        <v>2457314.5076000001</v>
      </c>
      <c r="F142" s="20">
        <f t="shared" si="2"/>
        <v>0.4109094917331646</v>
      </c>
      <c r="G142" s="7" t="str">
        <f>IF([2]AGPeg!F128&lt;&gt;"",[2]AGPeg!F128,"")</f>
        <v>GKA</v>
      </c>
      <c r="H142" s="7" t="str">
        <f>IF([2]AGPeg!G128&lt;&gt;"",[2]AGPeg!G128,"")</f>
        <v>MAN-US</v>
      </c>
      <c r="I142" s="7" t="str">
        <f>IF([2]AGPeg!H128&lt;&gt;"",[2]AGPeg!H128,"")</f>
        <v>SC10+Alpy600</v>
      </c>
      <c r="J142" s="7">
        <f>IF([2]AGPeg!I128&lt;&gt;"",[2]AGPeg!I128,"")</f>
        <v>600</v>
      </c>
      <c r="K142" s="7" t="str">
        <f>IF([2]AGPeg!J128&lt;&gt;"",[2]AGPeg!J128,"")</f>
        <v/>
      </c>
      <c r="L142" s="7"/>
      <c r="N142" s="2"/>
    </row>
    <row r="143" spans="1:14" x14ac:dyDescent="0.25">
      <c r="A143">
        <f t="shared" si="3"/>
        <v>31.413146356399018</v>
      </c>
      <c r="B143" s="7">
        <f>IF([2]AGPeg!B129&lt;&gt;"",[2]AGPeg!B129,"")</f>
        <v>117</v>
      </c>
      <c r="C143" s="8">
        <f>IF([2]AGPeg!C129&lt;&gt;"",[2]AGPeg!C129,"")</f>
        <v>42297</v>
      </c>
      <c r="D143" s="9">
        <f>IF([2]AGPeg!D129&lt;&gt;"",[2]AGPeg!D129,"")</f>
        <v>0.83008101851851857</v>
      </c>
      <c r="E143" s="7">
        <f>IF([2]AGPeg!E129&lt;&gt;"",[2]AGPeg!E129,"")</f>
        <v>2457316.3339999998</v>
      </c>
      <c r="F143" s="20">
        <f t="shared" si="2"/>
        <v>0.41314635639901809</v>
      </c>
      <c r="G143" s="7" t="str">
        <f>IF([2]AGPeg!F129&lt;&gt;"",[2]AGPeg!F129,"")</f>
        <v xml:space="preserve">FMT </v>
      </c>
      <c r="H143" s="7" t="str">
        <f>IF([2]AGPeg!G129&lt;&gt;"",[2]AGPeg!G129,"")</f>
        <v>ORS-FR</v>
      </c>
      <c r="I143" s="7" t="str">
        <f>IF([2]AGPeg!H129&lt;&gt;"",[2]AGPeg!H129,"")</f>
        <v>SC14+eShel+Atik460ex</v>
      </c>
      <c r="J143" s="7">
        <f>IF([2]AGPeg!I129&lt;&gt;"",[2]AGPeg!I129,"")</f>
        <v>11000</v>
      </c>
      <c r="K143" s="7" t="str">
        <f>IF([2]AGPeg!J129&lt;&gt;"",[2]AGPeg!J129,"")</f>
        <v/>
      </c>
      <c r="L143" s="7"/>
      <c r="N143" s="2"/>
    </row>
    <row r="144" spans="1:14" x14ac:dyDescent="0.25">
      <c r="A144">
        <f t="shared" si="3"/>
        <v>31.414574892835009</v>
      </c>
      <c r="B144" s="7">
        <f>IF([2]AGPeg!B130&lt;&gt;"",[2]AGPeg!B130,"")</f>
        <v>118</v>
      </c>
      <c r="C144" s="8">
        <f>IF([2]AGPeg!C130&lt;&gt;"",[2]AGPeg!C130,"")</f>
        <v>42298</v>
      </c>
      <c r="D144" s="9">
        <f>IF([2]AGPeg!D130&lt;&gt;"",[2]AGPeg!D130,"")</f>
        <v>0.9916666666666667</v>
      </c>
      <c r="E144" s="7">
        <f>IF([2]AGPeg!E130&lt;&gt;"",[2]AGPeg!E130,"")</f>
        <v>2457317.5003999998</v>
      </c>
      <c r="F144" s="20">
        <f t="shared" si="2"/>
        <v>0.41457489283500948</v>
      </c>
      <c r="G144" s="7" t="str">
        <f>IF([2]AGPeg!F130&lt;&gt;"",[2]AGPeg!F130,"")</f>
        <v>GKA</v>
      </c>
      <c r="H144" s="7" t="str">
        <f>IF([2]AGPeg!G130&lt;&gt;"",[2]AGPeg!G130,"")</f>
        <v>MAN-US</v>
      </c>
      <c r="I144" s="7" t="str">
        <f>IF([2]AGPeg!H130&lt;&gt;"",[2]AGPeg!H130,"")</f>
        <v>SC10+Alpy600</v>
      </c>
      <c r="J144" s="7">
        <f>IF([2]AGPeg!I130&lt;&gt;"",[2]AGPeg!I130,"")</f>
        <v>600</v>
      </c>
      <c r="K144" s="7" t="str">
        <f>IF([2]AGPeg!J130&lt;&gt;"",[2]AGPeg!J130,"")</f>
        <v/>
      </c>
      <c r="L144" s="7"/>
      <c r="N144" s="2"/>
    </row>
    <row r="145" spans="1:14" x14ac:dyDescent="0.25">
      <c r="A145">
        <f t="shared" si="3"/>
        <v>31.414764727495466</v>
      </c>
      <c r="B145" s="7">
        <f>IF([2]AGPeg!B131&lt;&gt;"",[2]AGPeg!B131,"")</f>
        <v>119</v>
      </c>
      <c r="C145" s="8">
        <f>IF([2]AGPeg!C131&lt;&gt;"",[2]AGPeg!C131,"")</f>
        <v>42299</v>
      </c>
      <c r="D145" s="9">
        <f>IF([2]AGPeg!D131&lt;&gt;"",[2]AGPeg!D131,"")</f>
        <v>0.1539351851851852</v>
      </c>
      <c r="E145" s="7">
        <f>IF([2]AGPeg!E131&lt;&gt;"",[2]AGPeg!E131,"")</f>
        <v>2457317.6554</v>
      </c>
      <c r="F145" s="20">
        <f t="shared" si="2"/>
        <v>0.41476472749546645</v>
      </c>
      <c r="G145" s="7" t="str">
        <f>IF([2]AGPeg!F131&lt;&gt;"",[2]AGPeg!F131,"")</f>
        <v>JPE</v>
      </c>
      <c r="H145" s="7" t="str">
        <f>IF([2]AGPeg!G131&lt;&gt;"",[2]AGPeg!G131,"")</f>
        <v>DHO-US</v>
      </c>
      <c r="I145" s="7" t="str">
        <f>IF([2]AGPeg!H131&lt;&gt;"",[2]AGPeg!H131,"")</f>
        <v>CDK24(0.61m)Lisa</v>
      </c>
      <c r="J145" s="7">
        <f>IF([2]AGPeg!I131&lt;&gt;"",[2]AGPeg!I131,"")</f>
        <v>830</v>
      </c>
      <c r="K145" s="7" t="str">
        <f>IF([2]AGPeg!J131&lt;&gt;"",[2]AGPeg!J131,"")</f>
        <v/>
      </c>
      <c r="L145" s="7"/>
      <c r="N145" s="2"/>
    </row>
    <row r="146" spans="1:14" x14ac:dyDescent="0.25">
      <c r="A146">
        <f t="shared" si="3"/>
        <v>31.415689650949247</v>
      </c>
      <c r="B146" s="7">
        <f>IF([2]AGPeg!B132&lt;&gt;"",[2]AGPeg!B132,"")</f>
        <v>120</v>
      </c>
      <c r="C146" s="8">
        <f>IF([2]AGPeg!C132&lt;&gt;"",[2]AGPeg!C132,"")</f>
        <v>42299</v>
      </c>
      <c r="D146" s="9">
        <f>IF([2]AGPeg!D132&lt;&gt;"",[2]AGPeg!D132,"")</f>
        <v>0.90537037037037038</v>
      </c>
      <c r="E146" s="7">
        <f>IF([2]AGPeg!E132&lt;&gt;"",[2]AGPeg!E132,"")</f>
        <v>2457318.4106000001</v>
      </c>
      <c r="F146" s="20">
        <f t="shared" si="2"/>
        <v>0.41568965094924692</v>
      </c>
      <c r="G146" s="7" t="str">
        <f>IF([2]AGPeg!F132&lt;&gt;"",[2]AGPeg!F132,"")</f>
        <v>PSO</v>
      </c>
      <c r="H146" s="7" t="str">
        <f>IF([2]AGPeg!G132&lt;&gt;"",[2]AGPeg!G132,"")</f>
        <v>TAT-HU</v>
      </c>
      <c r="I146" s="7" t="str">
        <f>IF([2]AGPeg!H132&lt;&gt;"",[2]AGPeg!H132,"")</f>
        <v>25cmLH2400_23u414ex</v>
      </c>
      <c r="J146" s="7">
        <f>IF([2]AGPeg!I132&lt;&gt;"",[2]AGPeg!I132,"")</f>
        <v>19551</v>
      </c>
      <c r="K146" s="7" t="str">
        <f>IF([2]AGPeg!J132&lt;&gt;"",[2]AGPeg!J132,"")</f>
        <v/>
      </c>
      <c r="L146" s="7"/>
      <c r="N146" s="2"/>
    </row>
    <row r="147" spans="1:14" x14ac:dyDescent="0.25">
      <c r="A147">
        <f t="shared" si="3"/>
        <v>31.416846662584124</v>
      </c>
      <c r="B147" s="7">
        <f>IF([2]AGPeg!B133&lt;&gt;"",[2]AGPeg!B133,"")</f>
        <v>121</v>
      </c>
      <c r="C147" s="8">
        <f>IF([2]AGPeg!C133&lt;&gt;"",[2]AGPeg!C133,"")</f>
        <v>42300</v>
      </c>
      <c r="D147" s="9">
        <f>IF([2]AGPeg!D133&lt;&gt;"",[2]AGPeg!D133,"")</f>
        <v>0.85214120370370372</v>
      </c>
      <c r="E147" s="7">
        <f>IF([2]AGPeg!E133&lt;&gt;"",[2]AGPeg!E133,"")</f>
        <v>2457319.3552999999</v>
      </c>
      <c r="F147" s="20">
        <f t="shared" si="2"/>
        <v>0.41684666258412406</v>
      </c>
      <c r="G147" s="7" t="str">
        <f>IF([2]AGPeg!F133&lt;&gt;"",[2]AGPeg!F133,"")</f>
        <v>PSO</v>
      </c>
      <c r="H147" s="7" t="str">
        <f>IF([2]AGPeg!G133&lt;&gt;"",[2]AGPeg!G133,"")</f>
        <v>TAT-HU</v>
      </c>
      <c r="I147" s="7" t="str">
        <f>IF([2]AGPeg!H133&lt;&gt;"",[2]AGPeg!H133,"")</f>
        <v>25cmLH150_23u414esm</v>
      </c>
      <c r="J147" s="7">
        <f>IF([2]AGPeg!I133&lt;&gt;"",[2]AGPeg!I133,"")</f>
        <v>540</v>
      </c>
      <c r="K147" s="7" t="str">
        <f>IF([2]AGPeg!J133&lt;&gt;"",[2]AGPeg!J133,"")</f>
        <v/>
      </c>
      <c r="L147" s="7"/>
      <c r="N147" s="2"/>
    </row>
    <row r="148" spans="1:14" x14ac:dyDescent="0.25">
      <c r="A148">
        <f t="shared" si="3"/>
        <v>31.417971096141862</v>
      </c>
      <c r="B148" s="7">
        <f>IF([2]AGPeg!B134&lt;&gt;"",[2]AGPeg!B134,"")</f>
        <v>122</v>
      </c>
      <c r="C148" s="8">
        <f>IF([2]AGPeg!C134&lt;&gt;"",[2]AGPeg!C134,"")</f>
        <v>42301</v>
      </c>
      <c r="D148" s="9">
        <f>IF([2]AGPeg!D134&lt;&gt;"",[2]AGPeg!D134,"")</f>
        <v>0.7653240740740741</v>
      </c>
      <c r="E148" s="7">
        <f>IF([2]AGPeg!E134&lt;&gt;"",[2]AGPeg!E134,"")</f>
        <v>2457320.2733999998</v>
      </c>
      <c r="F148" s="20">
        <f t="shared" si="2"/>
        <v>0.41797109614186212</v>
      </c>
      <c r="G148" s="7" t="str">
        <f>IF([2]AGPeg!F134&lt;&gt;"",[2]AGPeg!F134,"")</f>
        <v>BER</v>
      </c>
      <c r="H148" s="7" t="str">
        <f>IF([2]AGPeg!G134&lt;&gt;"",[2]AGPeg!G134,"")</f>
        <v>BVO-IT</v>
      </c>
      <c r="I148" s="7" t="str">
        <f>IF([2]AGPeg!H134&lt;&gt;"",[2]AGPeg!H134,"")</f>
        <v>Lhires31200C9SXV</v>
      </c>
      <c r="J148" s="7">
        <f>IF([2]AGPeg!I134&lt;&gt;"",[2]AGPeg!I134,"")</f>
        <v>6000</v>
      </c>
      <c r="K148" s="7" t="str">
        <f>IF([2]AGPeg!J134&lt;&gt;"",[2]AGPeg!J134,"")</f>
        <v/>
      </c>
      <c r="L148" s="7"/>
      <c r="N148" s="2"/>
    </row>
    <row r="149" spans="1:14" x14ac:dyDescent="0.25">
      <c r="A149">
        <f t="shared" si="3"/>
        <v>31.419173300673471</v>
      </c>
      <c r="B149" s="7">
        <f>IF([2]AGPeg!B135&lt;&gt;"",[2]AGPeg!B135,"")</f>
        <v>123</v>
      </c>
      <c r="C149" s="8">
        <f>IF([2]AGPeg!C135&lt;&gt;"",[2]AGPeg!C135,"")</f>
        <v>42302</v>
      </c>
      <c r="D149" s="9">
        <f>IF([2]AGPeg!D135&lt;&gt;"",[2]AGPeg!D135,"")</f>
        <v>0.74686342592592592</v>
      </c>
      <c r="E149" s="7">
        <f>IF([2]AGPeg!E135&lt;&gt;"",[2]AGPeg!E135,"")</f>
        <v>2457321.2549999999</v>
      </c>
      <c r="F149" s="20">
        <f t="shared" si="2"/>
        <v>0.41917330067347081</v>
      </c>
      <c r="G149" s="7" t="str">
        <f>IF([2]AGPeg!F135&lt;&gt;"",[2]AGPeg!F135,"")</f>
        <v xml:space="preserve">FMT </v>
      </c>
      <c r="H149" s="7" t="str">
        <f>IF([2]AGPeg!G135&lt;&gt;"",[2]AGPeg!G135,"")</f>
        <v>ORS-FR</v>
      </c>
      <c r="I149" s="7" t="str">
        <f>IF([2]AGPeg!H135&lt;&gt;"",[2]AGPeg!H135,"")</f>
        <v>SC14+eShel+Atik460ex</v>
      </c>
      <c r="J149" s="7">
        <f>IF([2]AGPeg!I135&lt;&gt;"",[2]AGPeg!I135,"")</f>
        <v>11000</v>
      </c>
      <c r="K149" s="7" t="str">
        <f>IF([2]AGPeg!J135&lt;&gt;"",[2]AGPeg!J135,"")</f>
        <v/>
      </c>
      <c r="L149" s="7"/>
      <c r="N149" s="2"/>
    </row>
    <row r="150" spans="1:14" x14ac:dyDescent="0.25">
      <c r="A150">
        <f t="shared" si="3"/>
        <v>31.419478383343563</v>
      </c>
      <c r="B150" s="7">
        <f>IF([2]AGPeg!B136&lt;&gt;"",[2]AGPeg!B136,"")</f>
        <v>124</v>
      </c>
      <c r="C150" s="8">
        <f>IF([2]AGPeg!C136&lt;&gt;"",[2]AGPeg!C136,"")</f>
        <v>42303</v>
      </c>
      <c r="D150" s="9">
        <f>IF([2]AGPeg!D136&lt;&gt;"",[2]AGPeg!D136,"")</f>
        <v>2.9513888888888888E-3</v>
      </c>
      <c r="E150" s="7">
        <f>IF([2]AGPeg!E136&lt;&gt;"",[2]AGPeg!E136,"")</f>
        <v>2457321.5041</v>
      </c>
      <c r="F150" s="20">
        <f t="shared" si="2"/>
        <v>0.41947838334356291</v>
      </c>
      <c r="G150" s="7" t="str">
        <f>IF([2]AGPeg!F136&lt;&gt;"",[2]AGPeg!F136,"")</f>
        <v>GKA</v>
      </c>
      <c r="H150" s="7" t="str">
        <f>IF([2]AGPeg!G136&lt;&gt;"",[2]AGPeg!G136,"")</f>
        <v>DHO-US</v>
      </c>
      <c r="I150" s="7" t="str">
        <f>IF([2]AGPeg!H136&lt;&gt;"",[2]AGPeg!H136,"")</f>
        <v>SC10+Alpy600</v>
      </c>
      <c r="J150" s="7">
        <f>IF([2]AGPeg!I136&lt;&gt;"",[2]AGPeg!I136,"")</f>
        <v>600</v>
      </c>
      <c r="K150" s="7" t="str">
        <f>IF([2]AGPeg!J136&lt;&gt;"",[2]AGPeg!J136,"")</f>
        <v/>
      </c>
      <c r="L150" s="7"/>
      <c r="N150" s="2"/>
    </row>
    <row r="151" spans="1:14" x14ac:dyDescent="0.25">
      <c r="A151">
        <f t="shared" si="3"/>
        <v>31.419524556031565</v>
      </c>
      <c r="B151" s="7">
        <f>IF([2]AGPeg!B137&lt;&gt;"",[2]AGPeg!B137,"")</f>
        <v>125</v>
      </c>
      <c r="C151" s="8">
        <f>IF([2]AGPeg!C137&lt;&gt;"",[2]AGPeg!C137,"")</f>
        <v>42303</v>
      </c>
      <c r="D151" s="9">
        <f>IF([2]AGPeg!D137&lt;&gt;"",[2]AGPeg!D137,"")</f>
        <v>2.4236111111111111E-2</v>
      </c>
      <c r="E151" s="7">
        <f>IF([2]AGPeg!E137&lt;&gt;"",[2]AGPeg!E137,"")</f>
        <v>2457321.5417999998</v>
      </c>
      <c r="F151" s="20">
        <f t="shared" si="2"/>
        <v>0.4195245560315648</v>
      </c>
      <c r="G151" s="7" t="str">
        <f>IF([2]AGPeg!F137&lt;&gt;"",[2]AGPeg!F137,"")</f>
        <v>GKA</v>
      </c>
      <c r="H151" s="7" t="str">
        <f>IF([2]AGPeg!G137&lt;&gt;"",[2]AGPeg!G137,"")</f>
        <v>DHO-US</v>
      </c>
      <c r="I151" s="7" t="str">
        <f>IF([2]AGPeg!H137&lt;&gt;"",[2]AGPeg!H137,"")</f>
        <v>SC12+Lhires2400</v>
      </c>
      <c r="J151" s="7">
        <f>IF([2]AGPeg!I137&lt;&gt;"",[2]AGPeg!I137,"")</f>
        <v>15000</v>
      </c>
      <c r="K151" s="7" t="str">
        <f>IF([2]AGPeg!J137&lt;&gt;"",[2]AGPeg!J137,"")</f>
        <v/>
      </c>
      <c r="L151" s="7"/>
      <c r="N151" s="2"/>
    </row>
    <row r="152" spans="1:14" x14ac:dyDescent="0.25">
      <c r="A152">
        <f t="shared" si="3"/>
        <v>31.42051010410286</v>
      </c>
      <c r="B152" s="7">
        <f>IF([2]AGPeg!B138&lt;&gt;"",[2]AGPeg!B138,"")</f>
        <v>126</v>
      </c>
      <c r="C152" s="8">
        <f>IF([2]AGPeg!C138&lt;&gt;"",[2]AGPeg!C138,"")</f>
        <v>42303</v>
      </c>
      <c r="D152" s="9">
        <f>IF([2]AGPeg!D138&lt;&gt;"",[2]AGPeg!D138,"")</f>
        <v>0.84653935185185192</v>
      </c>
      <c r="E152" s="7">
        <f>IF([2]AGPeg!E138&lt;&gt;"",[2]AGPeg!E138,"")</f>
        <v>2457322.3465</v>
      </c>
      <c r="F152" s="20">
        <f t="shared" si="2"/>
        <v>0.42051010410285983</v>
      </c>
      <c r="G152" s="7" t="str">
        <f>IF([2]AGPeg!F138&lt;&gt;"",[2]AGPeg!F138,"")</f>
        <v>CHK</v>
      </c>
      <c r="H152" s="7" t="str">
        <f>IF([2]AGPeg!G138&lt;&gt;"",[2]AGPeg!G138,"")</f>
        <v>OAF-FR</v>
      </c>
      <c r="I152" s="7" t="str">
        <f>IF([2]AGPeg!H138&lt;&gt;"",[2]AGPeg!H138,"")</f>
        <v>CDK17+Alpy600+314L+</v>
      </c>
      <c r="J152" s="7">
        <f>IF([2]AGPeg!I138&lt;&gt;"",[2]AGPeg!I138,"")</f>
        <v>600</v>
      </c>
      <c r="K152" s="7" t="str">
        <f>IF([2]AGPeg!J138&lt;&gt;"",[2]AGPeg!J138,"")</f>
        <v/>
      </c>
      <c r="L152" s="7"/>
      <c r="N152" s="2"/>
    </row>
    <row r="153" spans="1:14" x14ac:dyDescent="0.25">
      <c r="A153">
        <f t="shared" si="3"/>
        <v>31.425582853643782</v>
      </c>
      <c r="B153" s="7">
        <f>IF([2]AGPeg!B139&lt;&gt;"",[2]AGPeg!B139,"")</f>
        <v>127</v>
      </c>
      <c r="C153" s="8">
        <f>IF([2]AGPeg!C139&lt;&gt;"",[2]AGPeg!C139,"")</f>
        <v>42307</v>
      </c>
      <c r="D153" s="9">
        <f>IF([2]AGPeg!D139&lt;&gt;"",[2]AGPeg!D139,"")</f>
        <v>0.98359953703703706</v>
      </c>
      <c r="E153" s="7">
        <f>IF([2]AGPeg!E139&lt;&gt;"",[2]AGPeg!E139,"")</f>
        <v>2457326.4884000001</v>
      </c>
      <c r="F153" s="20">
        <f t="shared" si="2"/>
        <v>0.42558285364378179</v>
      </c>
      <c r="G153" s="7" t="str">
        <f>IF([2]AGPeg!F139&lt;&gt;"",[2]AGPeg!F139,"")</f>
        <v>PSO</v>
      </c>
      <c r="H153" s="7" t="str">
        <f>IF([2]AGPeg!G139&lt;&gt;"",[2]AGPeg!G139,"")</f>
        <v>TAT-HU</v>
      </c>
      <c r="I153" s="7" t="str">
        <f>IF([2]AGPeg!H139&lt;&gt;"",[2]AGPeg!H139,"")</f>
        <v>T10+Lhires600+Atik414esm</v>
      </c>
      <c r="J153" s="7">
        <f>IF([2]AGPeg!I139&lt;&gt;"",[2]AGPeg!I139,"")</f>
        <v>2157</v>
      </c>
      <c r="K153" s="7" t="str">
        <f>IF([2]AGPeg!J139&lt;&gt;"",[2]AGPeg!J139,"")</f>
        <v/>
      </c>
      <c r="L153" s="7"/>
      <c r="N153" s="2"/>
    </row>
    <row r="154" spans="1:14" x14ac:dyDescent="0.25">
      <c r="A154">
        <f t="shared" si="3"/>
        <v>31.425688916105557</v>
      </c>
      <c r="B154" s="7">
        <f>IF([2]AGPeg!B140&lt;&gt;"",[2]AGPeg!B140,"")</f>
        <v>128</v>
      </c>
      <c r="C154" s="8">
        <f>IF([2]AGPeg!C140&lt;&gt;"",[2]AGPeg!C140,"")</f>
        <v>42308</v>
      </c>
      <c r="D154" s="9">
        <f>IF([2]AGPeg!D140&lt;&gt;"",[2]AGPeg!D140,"")</f>
        <v>7.0150462962962956E-2</v>
      </c>
      <c r="E154" s="7">
        <f>IF([2]AGPeg!E140&lt;&gt;"",[2]AGPeg!E140,"")</f>
        <v>2457326.5750000002</v>
      </c>
      <c r="F154" s="20">
        <f t="shared" si="2"/>
        <v>0.42568891610555681</v>
      </c>
      <c r="G154" s="7" t="str">
        <f>IF([2]AGPeg!F140&lt;&gt;"",[2]AGPeg!F140,"")</f>
        <v>LES</v>
      </c>
      <c r="H154" s="7" t="str">
        <f>IF([2]AGPeg!G140&lt;&gt;"",[2]AGPeg!G140,"")</f>
        <v>MRO-CA</v>
      </c>
      <c r="I154" s="7" t="str">
        <f>IF([2]AGPeg!H140&lt;&gt;"",[2]AGPeg!H140,"")</f>
        <v>31cmDK+23um1800lpm+</v>
      </c>
      <c r="J154" s="7">
        <f>IF([2]AGPeg!I140&lt;&gt;"",[2]AGPeg!I140,"")</f>
        <v>9000</v>
      </c>
      <c r="K154" s="7" t="str">
        <f>IF([2]AGPeg!J140&lt;&gt;"",[2]AGPeg!J140,"")</f>
        <v/>
      </c>
      <c r="L154" s="7"/>
      <c r="N154" s="2"/>
    </row>
    <row r="155" spans="1:14" x14ac:dyDescent="0.25">
      <c r="A155">
        <f t="shared" si="3"/>
        <v>31.42668315982851</v>
      </c>
      <c r="B155" s="7">
        <f>IF([2]AGPeg!B141&lt;&gt;"",[2]AGPeg!B141,"")</f>
        <v>129</v>
      </c>
      <c r="C155" s="8">
        <f>IF([2]AGPeg!C141&lt;&gt;"",[2]AGPeg!C141,"")</f>
        <v>42308</v>
      </c>
      <c r="D155" s="9">
        <f>IF([2]AGPeg!D141&lt;&gt;"",[2]AGPeg!D141,"")</f>
        <v>0.87519675925925933</v>
      </c>
      <c r="E155" s="7">
        <f>IF([2]AGPeg!E141&lt;&gt;"",[2]AGPeg!E141,"")</f>
        <v>2457327.3868</v>
      </c>
      <c r="F155" s="20">
        <f t="shared" si="2"/>
        <v>0.42668315982851013</v>
      </c>
      <c r="G155" s="7" t="str">
        <f>IF([2]AGPeg!F141&lt;&gt;"",[2]AGPeg!F141,"")</f>
        <v>PSO</v>
      </c>
      <c r="H155" s="7" t="str">
        <f>IF([2]AGPeg!G141&lt;&gt;"",[2]AGPeg!G141,"")</f>
        <v>TAT-HU</v>
      </c>
      <c r="I155" s="7" t="str">
        <f>IF([2]AGPeg!H141&lt;&gt;"",[2]AGPeg!H141,"")</f>
        <v>25cmLH600_35u414esm</v>
      </c>
      <c r="J155" s="7">
        <f>IF([2]AGPeg!I141&lt;&gt;"",[2]AGPeg!I141,"")</f>
        <v>2252</v>
      </c>
      <c r="K155" s="7" t="str">
        <f>IF([2]AGPeg!J141&lt;&gt;"",[2]AGPeg!J141,"")</f>
        <v/>
      </c>
      <c r="L155" s="7"/>
      <c r="N155" s="2"/>
    </row>
    <row r="156" spans="1:14" x14ac:dyDescent="0.25">
      <c r="A156">
        <f t="shared" si="3"/>
        <v>31.426711696264519</v>
      </c>
      <c r="B156" s="7">
        <f>IF([2]AGPeg!B142&lt;&gt;"",[2]AGPeg!B142,"")</f>
        <v>130</v>
      </c>
      <c r="C156" s="8">
        <f>IF([2]AGPeg!C142&lt;&gt;"",[2]AGPeg!C142,"")</f>
        <v>42308</v>
      </c>
      <c r="D156" s="9">
        <f>IF([2]AGPeg!D142&lt;&gt;"",[2]AGPeg!D142,"")</f>
        <v>0.90255787037037039</v>
      </c>
      <c r="E156" s="7">
        <f>IF([2]AGPeg!E142&lt;&gt;"",[2]AGPeg!E142,"")</f>
        <v>2457327.4101</v>
      </c>
      <c r="F156" s="20">
        <f t="shared" ref="F156:F219" si="4">(E156-$A$2)/$A$3-INT((E156-$A$2)/$A$3)</f>
        <v>0.42671169626451899</v>
      </c>
      <c r="G156" s="7" t="str">
        <f>IF([2]AGPeg!F142&lt;&gt;"",[2]AGPeg!F142,"")</f>
        <v>PSO</v>
      </c>
      <c r="H156" s="7" t="str">
        <f>IF([2]AGPeg!G142&lt;&gt;"",[2]AGPeg!G142,"")</f>
        <v>TAT-HU</v>
      </c>
      <c r="I156" s="7" t="str">
        <f>IF([2]AGPeg!H142&lt;&gt;"",[2]AGPeg!H142,"")</f>
        <v>25cmLH600_35u414esm</v>
      </c>
      <c r="J156" s="7">
        <f>IF([2]AGPeg!I142&lt;&gt;"",[2]AGPeg!I142,"")</f>
        <v>2286</v>
      </c>
      <c r="K156" s="7" t="str">
        <f>IF([2]AGPeg!J142&lt;&gt;"",[2]AGPeg!J142,"")</f>
        <v/>
      </c>
      <c r="L156" s="7"/>
      <c r="N156" s="2"/>
    </row>
    <row r="157" spans="1:14" x14ac:dyDescent="0.25">
      <c r="A157">
        <f t="shared" si="3"/>
        <v>31.427770483772346</v>
      </c>
      <c r="B157" s="7">
        <f>IF([2]AGPeg!B143&lt;&gt;"",[2]AGPeg!B143,"")</f>
        <v>131</v>
      </c>
      <c r="C157" s="8">
        <f>IF([2]AGPeg!C143&lt;&gt;"",[2]AGPeg!C143,"")</f>
        <v>42309</v>
      </c>
      <c r="D157" s="9">
        <f>IF([2]AGPeg!D143&lt;&gt;"",[2]AGPeg!D143,"")</f>
        <v>0.77121527777777776</v>
      </c>
      <c r="E157" s="7">
        <f>IF([2]AGPeg!E143&lt;&gt;"",[2]AGPeg!E143,"")</f>
        <v>2457328.2746000001</v>
      </c>
      <c r="F157" s="20">
        <f t="shared" si="4"/>
        <v>0.4277704837723455</v>
      </c>
      <c r="G157" s="7" t="str">
        <f>IF([2]AGPeg!F143&lt;&gt;"",[2]AGPeg!F143,"")</f>
        <v xml:space="preserve">FMT </v>
      </c>
      <c r="H157" s="7" t="str">
        <f>IF([2]AGPeg!G143&lt;&gt;"",[2]AGPeg!G143,"")</f>
        <v>ORS-FR</v>
      </c>
      <c r="I157" s="7" t="str">
        <f>IF([2]AGPeg!H143&lt;&gt;"",[2]AGPeg!H143,"")</f>
        <v>SC14+eShel+Atik460ex</v>
      </c>
      <c r="J157" s="7">
        <f>IF([2]AGPeg!I143&lt;&gt;"",[2]AGPeg!I143,"")</f>
        <v>11000</v>
      </c>
      <c r="K157" s="7" t="str">
        <f>IF([2]AGPeg!J143&lt;&gt;"",[2]AGPeg!J143,"")</f>
        <v/>
      </c>
      <c r="L157" s="7"/>
      <c r="N157" s="2"/>
    </row>
    <row r="158" spans="1:14" x14ac:dyDescent="0.25">
      <c r="A158">
        <f t="shared" si="3"/>
        <v>31.427849969381224</v>
      </c>
      <c r="B158" s="7">
        <f>IF([2]AGPeg!B144&lt;&gt;"",[2]AGPeg!B144,"")</f>
        <v>132</v>
      </c>
      <c r="C158" s="8">
        <f>IF([2]AGPeg!C144&lt;&gt;"",[2]AGPeg!C144,"")</f>
        <v>42309</v>
      </c>
      <c r="D158" s="9">
        <f>IF([2]AGPeg!D144&lt;&gt;"",[2]AGPeg!D144,"")</f>
        <v>0.80744212962962969</v>
      </c>
      <c r="E158" s="7">
        <f>IF([2]AGPeg!E144&lt;&gt;"",[2]AGPeg!E144,"")</f>
        <v>2457328.3394999998</v>
      </c>
      <c r="F158" s="20">
        <f t="shared" si="4"/>
        <v>0.42784996938122433</v>
      </c>
      <c r="G158" s="7" t="str">
        <f>IF([2]AGPeg!F144&lt;&gt;"",[2]AGPeg!F144,"")</f>
        <v>OGA</v>
      </c>
      <c r="H158" s="7" t="str">
        <f>IF([2]AGPeg!G144&lt;&gt;"",[2]AGPeg!G144,"")</f>
        <v>OTO-FR</v>
      </c>
      <c r="I158" s="7" t="str">
        <f>IF([2]AGPeg!H144&lt;&gt;"",[2]AGPeg!H144,"")</f>
        <v>RC400+eShel_460EX</v>
      </c>
      <c r="J158" s="7">
        <f>IF([2]AGPeg!I144&lt;&gt;"",[2]AGPeg!I144,"")</f>
        <v>11000</v>
      </c>
      <c r="K158" s="7" t="str">
        <f>IF([2]AGPeg!J144&lt;&gt;"",[2]AGPeg!J144,"")</f>
        <v/>
      </c>
      <c r="L158" s="7"/>
      <c r="N158" s="2"/>
    </row>
    <row r="159" spans="1:14" x14ac:dyDescent="0.25">
      <c r="A159">
        <f t="shared" si="3"/>
        <v>31.427844580526383</v>
      </c>
      <c r="B159" s="7">
        <f>IF([2]AGPeg!B145&lt;&gt;"",[2]AGPeg!B145,"")</f>
        <v>133</v>
      </c>
      <c r="C159" s="8">
        <f>IF([2]AGPeg!C145&lt;&gt;"",[2]AGPeg!C145,"")</f>
        <v>42309</v>
      </c>
      <c r="D159" s="9">
        <f>IF([2]AGPeg!D145&lt;&gt;"",[2]AGPeg!D145,"")</f>
        <v>0.83471064814814822</v>
      </c>
      <c r="E159" s="7">
        <f>IF([2]AGPeg!E145&lt;&gt;"",[2]AGPeg!E145,"")</f>
        <v>2457328.3350999998</v>
      </c>
      <c r="F159" s="20">
        <f t="shared" si="4"/>
        <v>0.42784458052638286</v>
      </c>
      <c r="G159" s="7" t="str">
        <f>IF([2]AGPeg!F145&lt;&gt;"",[2]AGPeg!F145,"")</f>
        <v>PSO</v>
      </c>
      <c r="H159" s="7" t="str">
        <f>IF([2]AGPeg!G145&lt;&gt;"",[2]AGPeg!G145,"")</f>
        <v>TAT-HU</v>
      </c>
      <c r="I159" s="7" t="str">
        <f>IF([2]AGPeg!H145&lt;&gt;"",[2]AGPeg!H145,"")</f>
        <v>25cmLH600_35u414esm</v>
      </c>
      <c r="J159" s="7">
        <f>IF([2]AGPeg!I145&lt;&gt;"",[2]AGPeg!I145,"")</f>
        <v>1850</v>
      </c>
      <c r="K159" s="7" t="str">
        <f>IF([2]AGPeg!J145&lt;&gt;"",[2]AGPeg!J145,"")</f>
        <v/>
      </c>
      <c r="L159" s="7"/>
      <c r="N159" s="2"/>
    </row>
    <row r="160" spans="1:14" x14ac:dyDescent="0.25">
      <c r="A160">
        <f t="shared" si="3"/>
        <v>31.435442743416868</v>
      </c>
      <c r="B160" s="7">
        <f>IF([2]AGPeg!B146&lt;&gt;"",[2]AGPeg!B146,"")</f>
        <v>134</v>
      </c>
      <c r="C160" s="8">
        <f>IF([2]AGPeg!C146&lt;&gt;"",[2]AGPeg!C146,"")</f>
        <v>42316</v>
      </c>
      <c r="D160" s="9">
        <f>IF([2]AGPeg!D146&lt;&gt;"",[2]AGPeg!D146,"")</f>
        <v>3.7453703703703704E-2</v>
      </c>
      <c r="E160" s="7">
        <f>IF([2]AGPeg!E146&lt;&gt;"",[2]AGPeg!E146,"")</f>
        <v>2457334.5389999999</v>
      </c>
      <c r="F160" s="20">
        <f t="shared" si="4"/>
        <v>0.43544274341686773</v>
      </c>
      <c r="G160" s="7" t="str">
        <f>IF([2]AGPeg!F146&lt;&gt;"",[2]AGPeg!F146,"")</f>
        <v>GKA</v>
      </c>
      <c r="H160" s="7" t="str">
        <f>IF([2]AGPeg!G146&lt;&gt;"",[2]AGPeg!G146,"")</f>
        <v>MAN-US</v>
      </c>
      <c r="I160" s="7" t="str">
        <f>IF([2]AGPeg!H146&lt;&gt;"",[2]AGPeg!H146,"")</f>
        <v>SC10+Alpy600</v>
      </c>
      <c r="J160" s="7">
        <f>IF([2]AGPeg!I146&lt;&gt;"",[2]AGPeg!I146,"")</f>
        <v>600</v>
      </c>
      <c r="K160" s="7" t="str">
        <f>IF([2]AGPeg!J146&lt;&gt;"",[2]AGPeg!J146,"")</f>
        <v/>
      </c>
      <c r="L160" s="7"/>
      <c r="N160" s="2"/>
    </row>
    <row r="161" spans="1:14" x14ac:dyDescent="0.25">
      <c r="A161">
        <f t="shared" ref="A161:A224" si="5">(E161-$A$2)/$A$3</f>
        <v>31.436431353337451</v>
      </c>
      <c r="B161" s="7">
        <f>IF([2]AGPeg!B147&lt;&gt;"",[2]AGPeg!B147,"")</f>
        <v>135</v>
      </c>
      <c r="C161" s="8">
        <f>IF([2]AGPeg!C147&lt;&gt;"",[2]AGPeg!C147,"")</f>
        <v>42316</v>
      </c>
      <c r="D161" s="9">
        <f>IF([2]AGPeg!D147&lt;&gt;"",[2]AGPeg!D147,"")</f>
        <v>0.83704861111111117</v>
      </c>
      <c r="E161" s="7">
        <f>IF([2]AGPeg!E147&lt;&gt;"",[2]AGPeg!E147,"")</f>
        <v>2457335.3462</v>
      </c>
      <c r="F161" s="20">
        <f t="shared" si="4"/>
        <v>0.43643135333745064</v>
      </c>
      <c r="G161" s="7" t="str">
        <f>IF([2]AGPeg!F147&lt;&gt;"",[2]AGPeg!F147,"")</f>
        <v>PSO</v>
      </c>
      <c r="H161" s="7" t="str">
        <f>IF([2]AGPeg!G147&lt;&gt;"",[2]AGPeg!G147,"")</f>
        <v>TAT-HU</v>
      </c>
      <c r="I161" s="7" t="str">
        <f>IF([2]AGPeg!H147&lt;&gt;"",[2]AGPeg!H147,"")</f>
        <v>25cmLH2400_15u414ex</v>
      </c>
      <c r="J161" s="7">
        <f>IF([2]AGPeg!I147&lt;&gt;"",[2]AGPeg!I147,"")</f>
        <v>20657</v>
      </c>
      <c r="K161" s="7" t="str">
        <f>IF([2]AGPeg!J147&lt;&gt;"",[2]AGPeg!J147,"")</f>
        <v/>
      </c>
      <c r="L161" s="7"/>
      <c r="N161" s="2"/>
    </row>
    <row r="162" spans="1:14" x14ac:dyDescent="0.25">
      <c r="A162">
        <f t="shared" si="5"/>
        <v>31.442444825474805</v>
      </c>
      <c r="B162" s="7">
        <f>IF([2]AGPeg!B148&lt;&gt;"",[2]AGPeg!B148,"")</f>
        <v>136</v>
      </c>
      <c r="C162" s="8">
        <f>IF([2]AGPeg!C148&lt;&gt;"",[2]AGPeg!C148,"")</f>
        <v>42321</v>
      </c>
      <c r="D162" s="9">
        <f>IF([2]AGPeg!D148&lt;&gt;"",[2]AGPeg!D148,"")</f>
        <v>0.74881944444444448</v>
      </c>
      <c r="E162" s="7">
        <f>IF([2]AGPeg!E148&lt;&gt;"",[2]AGPeg!E148,"")</f>
        <v>2457340.2562000002</v>
      </c>
      <c r="F162" s="20">
        <f t="shared" si="4"/>
        <v>0.44244482547480501</v>
      </c>
      <c r="G162" s="7" t="str">
        <f>IF([2]AGPeg!F148&lt;&gt;"",[2]AGPeg!F148,"")</f>
        <v xml:space="preserve">FMT </v>
      </c>
      <c r="H162" s="7" t="str">
        <f>IF([2]AGPeg!G148&lt;&gt;"",[2]AGPeg!G148,"")</f>
        <v>ORS-FR</v>
      </c>
      <c r="I162" s="7" t="str">
        <f>IF([2]AGPeg!H148&lt;&gt;"",[2]AGPeg!H148,"")</f>
        <v>SC14+eShel+Atik460ex</v>
      </c>
      <c r="J162" s="7">
        <f>IF([2]AGPeg!I148&lt;&gt;"",[2]AGPeg!I148,"")</f>
        <v>11000</v>
      </c>
      <c r="K162" s="7" t="str">
        <f>IF([2]AGPeg!J148&lt;&gt;"",[2]AGPeg!J148,"")</f>
        <v/>
      </c>
      <c r="L162" s="7"/>
      <c r="N162" s="2"/>
    </row>
    <row r="163" spans="1:14" x14ac:dyDescent="0.25">
      <c r="A163">
        <f t="shared" si="5"/>
        <v>31.452309246785227</v>
      </c>
      <c r="B163" s="7">
        <f>IF([2]AGPeg!B149&lt;&gt;"",[2]AGPeg!B149,"")</f>
        <v>137</v>
      </c>
      <c r="C163" s="8">
        <f>IF([2]AGPeg!C149&lt;&gt;"",[2]AGPeg!C149,"")</f>
        <v>42329</v>
      </c>
      <c r="D163" s="9">
        <f>IF([2]AGPeg!D149&lt;&gt;"",[2]AGPeg!D149,"")</f>
        <v>0.8090856481481481</v>
      </c>
      <c r="E163" s="7">
        <f>IF([2]AGPeg!E149&lt;&gt;"",[2]AGPeg!E149,"")</f>
        <v>2457348.3105000001</v>
      </c>
      <c r="F163" s="20">
        <f t="shared" si="4"/>
        <v>0.45230924678522655</v>
      </c>
      <c r="G163" s="7" t="str">
        <f>IF([2]AGPeg!F149&lt;&gt;"",[2]AGPeg!F149,"")</f>
        <v>JGF</v>
      </c>
      <c r="H163" s="7" t="str">
        <f>IF([2]AGPeg!G149&lt;&gt;"",[2]AGPeg!G149,"")</f>
        <v>SMM-SP</v>
      </c>
      <c r="I163" s="7" t="str">
        <f>IF([2]AGPeg!H149&lt;&gt;"",[2]AGPeg!H149,"")</f>
        <v>16REMOTATIK460EX</v>
      </c>
      <c r="J163" s="7">
        <f>IF([2]AGPeg!I149&lt;&gt;"",[2]AGPeg!I149,"")</f>
        <v>1057</v>
      </c>
      <c r="K163" s="7" t="str">
        <f>IF([2]AGPeg!J149&lt;&gt;"",[2]AGPeg!J149,"")</f>
        <v/>
      </c>
      <c r="L163" s="7"/>
      <c r="N163" s="2"/>
    </row>
    <row r="164" spans="1:14" x14ac:dyDescent="0.25">
      <c r="A164">
        <f t="shared" si="5"/>
        <v>31.453615676668694</v>
      </c>
      <c r="B164" s="7">
        <f>IF([2]AGPeg!B150&lt;&gt;"",[2]AGPeg!B150,"")</f>
        <v>138</v>
      </c>
      <c r="C164" s="8">
        <f>IF([2]AGPeg!C150&lt;&gt;"",[2]AGPeg!C150,"")</f>
        <v>42330</v>
      </c>
      <c r="D164" s="9">
        <f>IF([2]AGPeg!D150&lt;&gt;"",[2]AGPeg!D150,"")</f>
        <v>0.86668981481481477</v>
      </c>
      <c r="E164" s="7">
        <f>IF([2]AGPeg!E150&lt;&gt;"",[2]AGPeg!E150,"")</f>
        <v>2457349.3772</v>
      </c>
      <c r="F164" s="20">
        <f t="shared" si="4"/>
        <v>0.45361567666869362</v>
      </c>
      <c r="G164" s="7" t="str">
        <f>IF([2]AGPeg!F150&lt;&gt;"",[2]AGPeg!F150,"")</f>
        <v>AJW</v>
      </c>
      <c r="H164" s="7" t="str">
        <f>IF([2]AGPeg!G150&lt;&gt;"",[2]AGPeg!G150,"")</f>
        <v>YAT-UK</v>
      </c>
      <c r="I164" s="7" t="str">
        <f>IF([2]AGPeg!H150&lt;&gt;"",[2]AGPeg!H150,"")</f>
        <v>GSO_RC250Lhires3_2</v>
      </c>
      <c r="J164" s="7">
        <f>IF([2]AGPeg!I150&lt;&gt;"",[2]AGPeg!I150,"")</f>
        <v>19409</v>
      </c>
      <c r="K164" s="7" t="str">
        <f>IF([2]AGPeg!J150&lt;&gt;"",[2]AGPeg!J150,"")</f>
        <v/>
      </c>
      <c r="L164" s="7"/>
      <c r="N164" s="2"/>
    </row>
    <row r="165" spans="1:14" x14ac:dyDescent="0.25">
      <c r="A165">
        <f t="shared" si="5"/>
        <v>31.454838579302152</v>
      </c>
      <c r="B165" s="7">
        <f>IF([2]AGPeg!B151&lt;&gt;"",[2]AGPeg!B151,"")</f>
        <v>139</v>
      </c>
      <c r="C165" s="8">
        <f>IF([2]AGPeg!C151&lt;&gt;"",[2]AGPeg!C151,"")</f>
        <v>42331</v>
      </c>
      <c r="D165" s="9">
        <f>IF([2]AGPeg!D151&lt;&gt;"",[2]AGPeg!D151,"")</f>
        <v>0.87437500000000001</v>
      </c>
      <c r="E165" s="7">
        <f>IF([2]AGPeg!E151&lt;&gt;"",[2]AGPeg!E151,"")</f>
        <v>2457350.3757000002</v>
      </c>
      <c r="F165" s="20">
        <f t="shared" si="4"/>
        <v>0.45483857930215166</v>
      </c>
      <c r="G165" s="7" t="str">
        <f>IF([2]AGPeg!F151&lt;&gt;"",[2]AGPeg!F151,"")</f>
        <v>FBO</v>
      </c>
      <c r="H165" s="7" t="str">
        <f>IF([2]AGPeg!G151&lt;&gt;"",[2]AGPeg!G151,"")</f>
        <v>OPL-FR</v>
      </c>
      <c r="I165" s="7" t="str">
        <f>IF([2]AGPeg!H151&lt;&gt;"",[2]AGPeg!H151,"")</f>
        <v>SC8+Lisa+ATIK314L+</v>
      </c>
      <c r="J165" s="7">
        <f>IF([2]AGPeg!I151&lt;&gt;"",[2]AGPeg!I151,"")</f>
        <v>2200</v>
      </c>
      <c r="K165" s="7" t="str">
        <f>IF([2]AGPeg!J151&lt;&gt;"",[2]AGPeg!J151,"")</f>
        <v/>
      </c>
      <c r="L165" s="7"/>
      <c r="N165" s="2"/>
    </row>
    <row r="166" spans="1:14" x14ac:dyDescent="0.25">
      <c r="A166">
        <f t="shared" si="5"/>
        <v>31.454848622167521</v>
      </c>
      <c r="B166" s="7">
        <f>IF([2]AGPeg!B152&lt;&gt;"",[2]AGPeg!B152,"")</f>
        <v>140</v>
      </c>
      <c r="C166" s="8">
        <f>IF([2]AGPeg!C152&lt;&gt;"",[2]AGPeg!C152,"")</f>
        <v>42331</v>
      </c>
      <c r="D166" s="9">
        <f>IF([2]AGPeg!D152&lt;&gt;"",[2]AGPeg!D152,"")</f>
        <v>0.88195601851851846</v>
      </c>
      <c r="E166" s="7">
        <f>IF([2]AGPeg!E152&lt;&gt;"",[2]AGPeg!E152,"")</f>
        <v>2457350.3838999998</v>
      </c>
      <c r="F166" s="20">
        <f t="shared" si="4"/>
        <v>0.4548486221675212</v>
      </c>
      <c r="G166" s="7" t="str">
        <f>IF([2]AGPeg!F152&lt;&gt;"",[2]AGPeg!F152,"")</f>
        <v>JGF</v>
      </c>
      <c r="H166" s="7" t="str">
        <f>IF([2]AGPeg!G152&lt;&gt;"",[2]AGPeg!G152,"")</f>
        <v>SMM-SP</v>
      </c>
      <c r="I166" s="7" t="str">
        <f>IF([2]AGPeg!H152&lt;&gt;"",[2]AGPeg!H152,"")</f>
        <v>16REMOTATIK460EX</v>
      </c>
      <c r="J166" s="7">
        <f>IF([2]AGPeg!I152&lt;&gt;"",[2]AGPeg!I152,"")</f>
        <v>976</v>
      </c>
      <c r="K166" s="7" t="str">
        <f>IF([2]AGPeg!J152&lt;&gt;"",[2]AGPeg!J152,"")</f>
        <v/>
      </c>
      <c r="L166" s="7"/>
      <c r="N166" s="2"/>
    </row>
    <row r="167" spans="1:14" x14ac:dyDescent="0.25">
      <c r="A167">
        <f t="shared" si="5"/>
        <v>31.457202449479738</v>
      </c>
      <c r="B167" s="7">
        <f>IF([2]AGPeg!B153&lt;&gt;"",[2]AGPeg!B153,"")</f>
        <v>141</v>
      </c>
      <c r="C167" s="8">
        <f>IF([2]AGPeg!C153&lt;&gt;"",[2]AGPeg!C153,"")</f>
        <v>42333</v>
      </c>
      <c r="D167" s="9">
        <f>IF([2]AGPeg!D153&lt;&gt;"",[2]AGPeg!D153,"")</f>
        <v>0.8009722222222222</v>
      </c>
      <c r="E167" s="7">
        <f>IF([2]AGPeg!E153&lt;&gt;"",[2]AGPeg!E153,"")</f>
        <v>2457352.3058000002</v>
      </c>
      <c r="F167" s="20">
        <f t="shared" si="4"/>
        <v>0.45720244947973754</v>
      </c>
      <c r="G167" s="7" t="str">
        <f>IF([2]AGPeg!F153&lt;&gt;"",[2]AGPeg!F153,"")</f>
        <v xml:space="preserve">FMT </v>
      </c>
      <c r="H167" s="7" t="str">
        <f>IF([2]AGPeg!G153&lt;&gt;"",[2]AGPeg!G153,"")</f>
        <v>ORS-FR</v>
      </c>
      <c r="I167" s="7" t="str">
        <f>IF([2]AGPeg!H153&lt;&gt;"",[2]AGPeg!H153,"")</f>
        <v>SC14+eShel+Atik460ex</v>
      </c>
      <c r="J167" s="7">
        <f>IF([2]AGPeg!I153&lt;&gt;"",[2]AGPeg!I153,"")</f>
        <v>11000</v>
      </c>
      <c r="K167" s="7" t="str">
        <f>IF([2]AGPeg!J153&lt;&gt;"",[2]AGPeg!J153,"")</f>
        <v/>
      </c>
      <c r="L167" s="7"/>
      <c r="N167" s="2"/>
    </row>
    <row r="168" spans="1:14" x14ac:dyDescent="0.25">
      <c r="A168">
        <f t="shared" si="5"/>
        <v>31.459741947336369</v>
      </c>
      <c r="B168" s="7">
        <f>IF([2]AGPeg!B154&lt;&gt;"",[2]AGPeg!B154,"")</f>
        <v>142</v>
      </c>
      <c r="C168" s="8">
        <f>IF([2]AGPeg!C154&lt;&gt;"",[2]AGPeg!C154,"")</f>
        <v>42335</v>
      </c>
      <c r="D168" s="9">
        <f>IF([2]AGPeg!D154&lt;&gt;"",[2]AGPeg!D154,"")</f>
        <v>0.8784143518518519</v>
      </c>
      <c r="E168" s="7">
        <f>IF([2]AGPeg!E154&lt;&gt;"",[2]AGPeg!E154,"")</f>
        <v>2457354.3793000001</v>
      </c>
      <c r="F168" s="20">
        <f t="shared" si="4"/>
        <v>0.45974194733636864</v>
      </c>
      <c r="G168" s="7" t="str">
        <f>IF([2]AGPeg!F154&lt;&gt;"",[2]AGPeg!F154,"")</f>
        <v>JGF</v>
      </c>
      <c r="H168" s="7" t="str">
        <f>IF([2]AGPeg!G154&lt;&gt;"",[2]AGPeg!G154,"")</f>
        <v>SMM-SP</v>
      </c>
      <c r="I168" s="7" t="str">
        <f>IF([2]AGPeg!H154&lt;&gt;"",[2]AGPeg!H154,"")</f>
        <v>16REMOTATIK460EX</v>
      </c>
      <c r="J168" s="7">
        <f>IF([2]AGPeg!I154&lt;&gt;"",[2]AGPeg!I154,"")</f>
        <v>1025</v>
      </c>
      <c r="K168" s="7" t="str">
        <f>IF([2]AGPeg!J154&lt;&gt;"",[2]AGPeg!J154,"")</f>
        <v/>
      </c>
      <c r="L168" s="7"/>
      <c r="N168" s="2"/>
    </row>
    <row r="169" spans="1:14" x14ac:dyDescent="0.25">
      <c r="A169">
        <f t="shared" si="5"/>
        <v>31.462048867115705</v>
      </c>
      <c r="B169" s="7">
        <f>IF([2]AGPeg!B155&lt;&gt;"",[2]AGPeg!B155,"")</f>
        <v>143</v>
      </c>
      <c r="C169" s="8">
        <f>IF([2]AGPeg!C155&lt;&gt;"",[2]AGPeg!C155,"")</f>
        <v>42337</v>
      </c>
      <c r="D169" s="9">
        <f>IF([2]AGPeg!D155&lt;&gt;"",[2]AGPeg!D155,"")</f>
        <v>0.7483912037037036</v>
      </c>
      <c r="E169" s="7">
        <f>IF([2]AGPeg!E155&lt;&gt;"",[2]AGPeg!E155,"")</f>
        <v>2457356.2629</v>
      </c>
      <c r="F169" s="20">
        <f t="shared" si="4"/>
        <v>0.46204886711570481</v>
      </c>
      <c r="G169" s="7" t="str">
        <f>IF([2]AGPeg!F155&lt;&gt;"",[2]AGPeg!F155,"")</f>
        <v>BER</v>
      </c>
      <c r="H169" s="7" t="str">
        <f>IF([2]AGPeg!G155&lt;&gt;"",[2]AGPeg!G155,"")</f>
        <v>BVO-IT</v>
      </c>
      <c r="I169" s="7" t="str">
        <f>IF([2]AGPeg!H155&lt;&gt;"",[2]AGPeg!H155,"")</f>
        <v>Lhires3C9SXVR-H69</v>
      </c>
      <c r="J169" s="7">
        <f>IF([2]AGPeg!I155&lt;&gt;"",[2]AGPeg!I155,"")</f>
        <v>14849</v>
      </c>
      <c r="K169" s="7" t="str">
        <f>IF([2]AGPeg!J155&lt;&gt;"",[2]AGPeg!J155,"")</f>
        <v/>
      </c>
      <c r="L169" s="7"/>
      <c r="N169" s="2"/>
    </row>
    <row r="170" spans="1:14" x14ac:dyDescent="0.25">
      <c r="A170">
        <f t="shared" si="5"/>
        <v>31.462083772198394</v>
      </c>
      <c r="B170" s="7">
        <f>IF([2]AGPeg!B156&lt;&gt;"",[2]AGPeg!B156,"")</f>
        <v>144</v>
      </c>
      <c r="C170" s="8">
        <f>IF([2]AGPeg!C156&lt;&gt;"",[2]AGPeg!C156,"")</f>
        <v>42337</v>
      </c>
      <c r="D170" s="9">
        <f>IF([2]AGPeg!D156&lt;&gt;"",[2]AGPeg!D156,"")</f>
        <v>0.78981481481481486</v>
      </c>
      <c r="E170" s="7">
        <f>IF([2]AGPeg!E156&lt;&gt;"",[2]AGPeg!E156,"")</f>
        <v>2457356.2914</v>
      </c>
      <c r="F170" s="20">
        <f t="shared" si="4"/>
        <v>0.46208377219839392</v>
      </c>
      <c r="G170" s="7" t="str">
        <f>IF([2]AGPeg!F156&lt;&gt;"",[2]AGPeg!F156,"")</f>
        <v>JGF</v>
      </c>
      <c r="H170" s="7" t="str">
        <f>IF([2]AGPeg!G156&lt;&gt;"",[2]AGPeg!G156,"")</f>
        <v>SMM-SP</v>
      </c>
      <c r="I170" s="7" t="str">
        <f>IF([2]AGPeg!H156&lt;&gt;"",[2]AGPeg!H156,"")</f>
        <v>16REMOTATIK460EX</v>
      </c>
      <c r="J170" s="7">
        <f>IF([2]AGPeg!I156&lt;&gt;"",[2]AGPeg!I156,"")</f>
        <v>925</v>
      </c>
      <c r="K170" s="7" t="str">
        <f>IF([2]AGPeg!J156&lt;&gt;"",[2]AGPeg!J156,"")</f>
        <v/>
      </c>
      <c r="L170" s="7"/>
      <c r="N170" s="2"/>
    </row>
    <row r="171" spans="1:14" x14ac:dyDescent="0.25">
      <c r="A171">
        <f t="shared" si="5"/>
        <v>31.471903000612652</v>
      </c>
      <c r="B171" s="7">
        <f>IF([2]AGPeg!B157&lt;&gt;"",[2]AGPeg!B157,"")</f>
        <v>145</v>
      </c>
      <c r="C171" s="8">
        <f>IF([2]AGPeg!C157&lt;&gt;"",[2]AGPeg!C157,"")</f>
        <v>42345</v>
      </c>
      <c r="D171" s="9">
        <f>IF([2]AGPeg!D157&lt;&gt;"",[2]AGPeg!D157,"")</f>
        <v>0.80488425925925933</v>
      </c>
      <c r="E171" s="7">
        <f>IF([2]AGPeg!E157&lt;&gt;"",[2]AGPeg!E157,"")</f>
        <v>2457364.3088000002</v>
      </c>
      <c r="F171" s="20">
        <f t="shared" si="4"/>
        <v>0.47190300061265233</v>
      </c>
      <c r="G171" s="7" t="str">
        <f>IF([2]AGPeg!F157&lt;&gt;"",[2]AGPeg!F157,"")</f>
        <v xml:space="preserve">FMT </v>
      </c>
      <c r="H171" s="7" t="str">
        <f>IF([2]AGPeg!G157&lt;&gt;"",[2]AGPeg!G157,"")</f>
        <v>ORS-FR</v>
      </c>
      <c r="I171" s="7" t="str">
        <f>IF([2]AGPeg!H157&lt;&gt;"",[2]AGPeg!H157,"")</f>
        <v>SC14+eShel+Atik460ex</v>
      </c>
      <c r="J171" s="7">
        <f>IF([2]AGPeg!I157&lt;&gt;"",[2]AGPeg!I157,"")</f>
        <v>11000</v>
      </c>
      <c r="K171" s="7" t="str">
        <f>IF([2]AGPeg!J157&lt;&gt;"",[2]AGPeg!J157,"")</f>
        <v/>
      </c>
      <c r="L171" s="7"/>
      <c r="N171" s="2"/>
    </row>
    <row r="172" spans="1:14" x14ac:dyDescent="0.25">
      <c r="A172">
        <f t="shared" si="5"/>
        <v>31.475508022045094</v>
      </c>
      <c r="B172" s="7">
        <f>IF([2]AGPeg!B158&lt;&gt;"",[2]AGPeg!B158,"")</f>
        <v>146</v>
      </c>
      <c r="C172" s="8">
        <f>IF([2]AGPeg!C158&lt;&gt;"",[2]AGPeg!C158,"")</f>
        <v>42348</v>
      </c>
      <c r="D172" s="9">
        <f>IF([2]AGPeg!D158&lt;&gt;"",[2]AGPeg!D158,"")</f>
        <v>0.74861111111111101</v>
      </c>
      <c r="E172" s="7">
        <f>IF([2]AGPeg!E158&lt;&gt;"",[2]AGPeg!E158,"")</f>
        <v>2457367.2522999998</v>
      </c>
      <c r="F172" s="20">
        <f t="shared" si="4"/>
        <v>0.47550802204509424</v>
      </c>
      <c r="G172" s="7" t="str">
        <f>IF([2]AGPeg!F158&lt;&gt;"",[2]AGPeg!F158,"")</f>
        <v>CHK</v>
      </c>
      <c r="H172" s="7" t="str">
        <f>IF([2]AGPeg!G158&lt;&gt;"",[2]AGPeg!G158,"")</f>
        <v>OAF-FR</v>
      </c>
      <c r="I172" s="7" t="str">
        <f>IF([2]AGPeg!H158&lt;&gt;"",[2]AGPeg!H158,"")</f>
        <v>CDK17+Alpy600+460EX</v>
      </c>
      <c r="J172" s="7">
        <f>IF([2]AGPeg!I158&lt;&gt;"",[2]AGPeg!I158,"")</f>
        <v>600</v>
      </c>
      <c r="K172" s="7" t="str">
        <f>IF([2]AGPeg!J158&lt;&gt;"",[2]AGPeg!J158,"")</f>
        <v/>
      </c>
      <c r="L172" s="7"/>
      <c r="N172" s="2"/>
    </row>
    <row r="173" spans="1:14" x14ac:dyDescent="0.25">
      <c r="A173">
        <f t="shared" si="5"/>
        <v>31.478028046540388</v>
      </c>
      <c r="B173" s="7">
        <f>IF([2]AGPeg!B159&lt;&gt;"",[2]AGPeg!B159,"")</f>
        <v>147</v>
      </c>
      <c r="C173" s="8">
        <f>IF([2]AGPeg!C159&lt;&gt;"",[2]AGPeg!C159,"")</f>
        <v>42350</v>
      </c>
      <c r="D173" s="9">
        <f>IF([2]AGPeg!D159&lt;&gt;"",[2]AGPeg!D159,"")</f>
        <v>0.80291666666666661</v>
      </c>
      <c r="E173" s="7">
        <f>IF([2]AGPeg!E159&lt;&gt;"",[2]AGPeg!E159,"")</f>
        <v>2457369.3099000002</v>
      </c>
      <c r="F173" s="20">
        <f t="shared" si="4"/>
        <v>0.47802804654038766</v>
      </c>
      <c r="G173" s="7" t="str">
        <f>IF([2]AGPeg!F159&lt;&gt;"",[2]AGPeg!F159,"")</f>
        <v xml:space="preserve">FMT </v>
      </c>
      <c r="H173" s="7" t="str">
        <f>IF([2]AGPeg!G159&lt;&gt;"",[2]AGPeg!G159,"")</f>
        <v>ORS-FR</v>
      </c>
      <c r="I173" s="7" t="str">
        <f>IF([2]AGPeg!H159&lt;&gt;"",[2]AGPeg!H159,"")</f>
        <v>SC14+eShel+Atik460ex</v>
      </c>
      <c r="J173" s="7">
        <f>IF([2]AGPeg!I159&lt;&gt;"",[2]AGPeg!I159,"")</f>
        <v>11000</v>
      </c>
      <c r="K173" s="7" t="str">
        <f>IF([2]AGPeg!J159&lt;&gt;"",[2]AGPeg!J159,"")</f>
        <v/>
      </c>
      <c r="L173" s="7"/>
      <c r="N173" s="2"/>
    </row>
    <row r="174" spans="1:14" x14ac:dyDescent="0.25">
      <c r="A174">
        <f t="shared" si="5"/>
        <v>31.48658444580553</v>
      </c>
      <c r="B174" s="7">
        <f>IF([2]AGPeg!B160&lt;&gt;"",[2]AGPeg!B160,"")</f>
        <v>148</v>
      </c>
      <c r="C174" s="8">
        <f>IF([2]AGPeg!C160&lt;&gt;"",[2]AGPeg!C160,"")</f>
        <v>42357</v>
      </c>
      <c r="D174" s="9">
        <f>IF([2]AGPeg!D160&lt;&gt;"",[2]AGPeg!D160,"")</f>
        <v>0.7936805555555555</v>
      </c>
      <c r="E174" s="7">
        <f>IF([2]AGPeg!E160&lt;&gt;"",[2]AGPeg!E160,"")</f>
        <v>2457376.2962000002</v>
      </c>
      <c r="F174" s="20">
        <f t="shared" si="4"/>
        <v>0.48658444580552995</v>
      </c>
      <c r="G174" s="7" t="str">
        <f>IF([2]AGPeg!F160&lt;&gt;"",[2]AGPeg!F160,"")</f>
        <v>JGF</v>
      </c>
      <c r="H174" s="7" t="str">
        <f>IF([2]AGPeg!G160&lt;&gt;"",[2]AGPeg!G160,"")</f>
        <v>SMM-SP</v>
      </c>
      <c r="I174" s="7" t="str">
        <f>IF([2]AGPeg!H160&lt;&gt;"",[2]AGPeg!H160,"")</f>
        <v>16REMOTATIK460EX</v>
      </c>
      <c r="J174" s="7">
        <f>IF([2]AGPeg!I160&lt;&gt;"",[2]AGPeg!I160,"")</f>
        <v>827</v>
      </c>
      <c r="K174" s="7" t="str">
        <f>IF([2]AGPeg!J160&lt;&gt;"",[2]AGPeg!J160,"")</f>
        <v/>
      </c>
      <c r="L174" s="7"/>
      <c r="N174" s="2"/>
    </row>
    <row r="175" spans="1:14" x14ac:dyDescent="0.25">
      <c r="A175">
        <f t="shared" si="5"/>
        <v>31.491412614819531</v>
      </c>
      <c r="B175" s="7">
        <f>IF([2]AGPeg!B161&lt;&gt;"",[2]AGPeg!B161,"")</f>
        <v>149</v>
      </c>
      <c r="C175" s="8">
        <f>IF([2]AGPeg!C161&lt;&gt;"",[2]AGPeg!C161,"")</f>
        <v>42361</v>
      </c>
      <c r="D175" s="9">
        <f>IF([2]AGPeg!D161&lt;&gt;"",[2]AGPeg!D161,"")</f>
        <v>0.7353587962962963</v>
      </c>
      <c r="E175" s="7">
        <f>IF([2]AGPeg!E161&lt;&gt;"",[2]AGPeg!E161,"")</f>
        <v>2457380.2384000001</v>
      </c>
      <c r="F175" s="20">
        <f t="shared" si="4"/>
        <v>0.4914126148195308</v>
      </c>
      <c r="G175" s="7" t="str">
        <f>IF([2]AGPeg!F161&lt;&gt;"",[2]AGPeg!F161,"")</f>
        <v xml:space="preserve">FMT </v>
      </c>
      <c r="H175" s="7" t="str">
        <f>IF([2]AGPeg!G161&lt;&gt;"",[2]AGPeg!G161,"")</f>
        <v>ORS-FR</v>
      </c>
      <c r="I175" s="7" t="str">
        <f>IF([2]AGPeg!H161&lt;&gt;"",[2]AGPeg!H161,"")</f>
        <v>SC14+eShel+Atik460ex</v>
      </c>
      <c r="J175" s="7">
        <f>IF([2]AGPeg!I161&lt;&gt;"",[2]AGPeg!I161,"")</f>
        <v>11000</v>
      </c>
      <c r="K175" s="7" t="str">
        <f>IF([2]AGPeg!J161&lt;&gt;"",[2]AGPeg!J161,"")</f>
        <v/>
      </c>
      <c r="L175" s="7"/>
      <c r="N175" s="2"/>
    </row>
    <row r="176" spans="1:14" x14ac:dyDescent="0.25">
      <c r="A176">
        <f t="shared" si="5"/>
        <v>31.49270789957145</v>
      </c>
      <c r="B176" s="7">
        <f>IF([2]AGPeg!B162&lt;&gt;"",[2]AGPeg!B162,"")</f>
        <v>150</v>
      </c>
      <c r="C176" s="8">
        <f>IF([2]AGPeg!C162&lt;&gt;"",[2]AGPeg!C162,"")</f>
        <v>42362</v>
      </c>
      <c r="D176" s="9">
        <f>IF([2]AGPeg!D162&lt;&gt;"",[2]AGPeg!D162,"")</f>
        <v>0.79017361111111117</v>
      </c>
      <c r="E176" s="7">
        <f>IF([2]AGPeg!E162&lt;&gt;"",[2]AGPeg!E162,"")</f>
        <v>2457381.2960000001</v>
      </c>
      <c r="F176" s="20">
        <f t="shared" si="4"/>
        <v>0.49270789957144956</v>
      </c>
      <c r="G176" s="7" t="str">
        <f>IF([2]AGPeg!F162&lt;&gt;"",[2]AGPeg!F162,"")</f>
        <v>DBO</v>
      </c>
      <c r="H176" s="7" t="str">
        <f>IF([2]AGPeg!G162&lt;&gt;"",[2]AGPeg!G162,"")</f>
        <v>WCO-UK</v>
      </c>
      <c r="I176" s="7" t="str">
        <f>IF([2]AGPeg!H162&lt;&gt;"",[2]AGPeg!H162,"")</f>
        <v>C11+Lisa+SXVR-H</v>
      </c>
      <c r="J176" s="7">
        <f>IF([2]AGPeg!I162&lt;&gt;"",[2]AGPeg!I162,"")</f>
        <v>821</v>
      </c>
      <c r="K176" s="7" t="str">
        <f>IF([2]AGPeg!J162&lt;&gt;"",[2]AGPeg!J162,"")</f>
        <v/>
      </c>
      <c r="L176" s="7"/>
      <c r="N176" s="2"/>
    </row>
    <row r="177" spans="1:18" x14ac:dyDescent="0.25">
      <c r="A177">
        <f t="shared" si="5"/>
        <v>31.49879424372347</v>
      </c>
      <c r="B177" s="7">
        <f>IF([2]AGPeg!B163&lt;&gt;"",[2]AGPeg!B163,"")</f>
        <v>151</v>
      </c>
      <c r="C177" s="8">
        <f>IF([2]AGPeg!C163&lt;&gt;"",[2]AGPeg!C163,"")</f>
        <v>42367</v>
      </c>
      <c r="D177" s="9">
        <f>IF([2]AGPeg!D163&lt;&gt;"",[2]AGPeg!D163,"")</f>
        <v>0.76141203703703697</v>
      </c>
      <c r="E177" s="7">
        <f>IF([2]AGPeg!E163&lt;&gt;"",[2]AGPeg!E163,"")</f>
        <v>2457386.2655000002</v>
      </c>
      <c r="F177" s="20">
        <f t="shared" si="4"/>
        <v>0.49879424372347003</v>
      </c>
      <c r="G177" s="7" t="str">
        <f>IF([2]AGPeg!F163&lt;&gt;"",[2]AGPeg!F163,"")</f>
        <v xml:space="preserve">FMT </v>
      </c>
      <c r="H177" s="7" t="str">
        <f>IF([2]AGPeg!G163&lt;&gt;"",[2]AGPeg!G163,"")</f>
        <v>ORS-FR</v>
      </c>
      <c r="I177" s="7" t="str">
        <f>IF([2]AGPeg!H163&lt;&gt;"",[2]AGPeg!H163,"")</f>
        <v>SC14+eShel+Atik460ex</v>
      </c>
      <c r="J177" s="7">
        <f>IF([2]AGPeg!I163&lt;&gt;"",[2]AGPeg!I163,"")</f>
        <v>11000</v>
      </c>
      <c r="K177" s="7" t="str">
        <f>IF([2]AGPeg!J163&lt;&gt;"",[2]AGPeg!J163,"")</f>
        <v/>
      </c>
      <c r="L177" s="7"/>
      <c r="N177" s="2"/>
    </row>
    <row r="178" spans="1:18" x14ac:dyDescent="0.25">
      <c r="A178">
        <f t="shared" si="5"/>
        <v>31.499977097366934</v>
      </c>
      <c r="B178" s="7">
        <f>IF([2]AGPeg!B164&lt;&gt;"",[2]AGPeg!B164,"")</f>
        <v>152</v>
      </c>
      <c r="C178" s="8">
        <f>IF([2]AGPeg!C164&lt;&gt;"",[2]AGPeg!C164,"")</f>
        <v>42368</v>
      </c>
      <c r="D178" s="9">
        <f>IF([2]AGPeg!D164&lt;&gt;"",[2]AGPeg!D164,"")</f>
        <v>0.72341435185185177</v>
      </c>
      <c r="E178" s="7">
        <f>IF([2]AGPeg!E164&lt;&gt;"",[2]AGPeg!E164,"")</f>
        <v>2457387.2313000001</v>
      </c>
      <c r="F178" s="20">
        <f t="shared" si="4"/>
        <v>0.49997709736693352</v>
      </c>
      <c r="G178" s="7" t="str">
        <f>IF([2]AGPeg!F164&lt;&gt;"",[2]AGPeg!F164,"")</f>
        <v>PSO</v>
      </c>
      <c r="H178" s="7" t="str">
        <f>IF([2]AGPeg!G164&lt;&gt;"",[2]AGPeg!G164,"")</f>
        <v>TAT-HU</v>
      </c>
      <c r="I178" s="7" t="str">
        <f>IF([2]AGPeg!H164&lt;&gt;"",[2]AGPeg!H164,"")</f>
        <v>T10+Lhires600+Atik414esm</v>
      </c>
      <c r="J178" s="7">
        <f>IF([2]AGPeg!I164&lt;&gt;"",[2]AGPeg!I164,"")</f>
        <v>2427</v>
      </c>
      <c r="K178" s="7" t="str">
        <f>IF([2]AGPeg!J164&lt;&gt;"",[2]AGPeg!J164,"")</f>
        <v/>
      </c>
      <c r="L178" s="7"/>
      <c r="N178" s="2"/>
    </row>
    <row r="179" spans="1:18" x14ac:dyDescent="0.25">
      <c r="A179">
        <f t="shared" si="5"/>
        <v>31.503688916105457</v>
      </c>
      <c r="B179" s="7">
        <f>IF([2]AGPeg!B165&lt;&gt;"",[2]AGPeg!B165,"")</f>
        <v>153</v>
      </c>
      <c r="C179" s="8">
        <f>IF([2]AGPeg!C165&lt;&gt;"",[2]AGPeg!C165,"")</f>
        <v>42371</v>
      </c>
      <c r="D179" s="9">
        <f>IF([2]AGPeg!D165&lt;&gt;"",[2]AGPeg!D165,"")</f>
        <v>0.76059027777777777</v>
      </c>
      <c r="E179" s="7">
        <f>IF([2]AGPeg!E165&lt;&gt;"",[2]AGPeg!E165,"")</f>
        <v>2457390.2620000001</v>
      </c>
      <c r="F179" s="20">
        <f t="shared" si="4"/>
        <v>0.50368891610545674</v>
      </c>
      <c r="G179" s="7" t="str">
        <f>IF([2]AGPeg!F165&lt;&gt;"",[2]AGPeg!F165,"")</f>
        <v>JGF</v>
      </c>
      <c r="H179" s="7" t="str">
        <f>IF([2]AGPeg!G165&lt;&gt;"",[2]AGPeg!G165,"")</f>
        <v>SMM-SP</v>
      </c>
      <c r="I179" s="7" t="str">
        <f>IF([2]AGPeg!H165&lt;&gt;"",[2]AGPeg!H165,"")</f>
        <v>16REMOTATIK460EX</v>
      </c>
      <c r="J179" s="7">
        <f>IF([2]AGPeg!I165&lt;&gt;"",[2]AGPeg!I165,"")</f>
        <v>772</v>
      </c>
      <c r="K179" s="7" t="str">
        <f>IF([2]AGPeg!J165&lt;&gt;"",[2]AGPeg!J165,"")</f>
        <v/>
      </c>
      <c r="L179" s="7"/>
      <c r="N179" s="2"/>
    </row>
    <row r="180" spans="1:18" x14ac:dyDescent="0.25">
      <c r="A180" t="e">
        <f t="shared" si="5"/>
        <v>#VALUE!</v>
      </c>
      <c r="B180" s="7">
        <f>IF([2]AGPeg!B166&lt;&gt;"",[2]AGPeg!B166,"")</f>
        <v>154</v>
      </c>
      <c r="C180" s="8">
        <f>IF([2]AGPeg!C166&lt;&gt;"",[2]AGPeg!C166,"")</f>
        <v>42374</v>
      </c>
      <c r="D180" s="9">
        <f>IF([2]AGPeg!D166&lt;&gt;"",[2]AGPeg!D166,"")</f>
        <v>0.75643518518518515</v>
      </c>
      <c r="E180" s="7" t="str">
        <f>IF([2]AGPeg!E166&lt;&gt;"",[2]AGPeg!E166,"")</f>
        <v/>
      </c>
      <c r="F180" s="20"/>
      <c r="G180" s="7" t="str">
        <f>IF([2]AGPeg!F166&lt;&gt;"",[2]AGPeg!F166,"")</f>
        <v>FCA</v>
      </c>
      <c r="H180" s="7" t="str">
        <f>IF([2]AGPeg!G166&lt;&gt;"",[2]AGPeg!G166,"")</f>
        <v>PAG-SP</v>
      </c>
      <c r="I180" s="7" t="str">
        <f>IF([2]AGPeg!H166&lt;&gt;"",[2]AGPeg!H166,"")</f>
        <v>T8+Dados200</v>
      </c>
      <c r="J180" s="7">
        <f>IF([2]AGPeg!I166&lt;&gt;"",[2]AGPeg!I166,"")</f>
        <v>800</v>
      </c>
      <c r="K180" s="7" t="str">
        <f>IF([2]AGPeg!J166&lt;&gt;"",[2]AGPeg!J166,"")</f>
        <v/>
      </c>
      <c r="L180" s="7"/>
      <c r="N180" s="2"/>
    </row>
    <row r="181" spans="1:18" x14ac:dyDescent="0.25">
      <c r="A181">
        <f t="shared" si="5"/>
        <v>31.517123576239964</v>
      </c>
      <c r="B181" s="7">
        <f>IF([2]AGPeg!B167&lt;&gt;"",[2]AGPeg!B167,"")</f>
        <v>155</v>
      </c>
      <c r="C181" s="8">
        <f>IF([2]AGPeg!C167&lt;&gt;"",[2]AGPeg!C167,"")</f>
        <v>42382</v>
      </c>
      <c r="D181" s="9">
        <f>IF([2]AGPeg!D167&lt;&gt;"",[2]AGPeg!D167,"")</f>
        <v>0.72296296296296303</v>
      </c>
      <c r="E181" s="7">
        <f>IF([2]AGPeg!E167&lt;&gt;"",[2]AGPeg!E167,"")</f>
        <v>2457401.2313999999</v>
      </c>
      <c r="F181" s="20">
        <f t="shared" si="4"/>
        <v>0.51712357623996397</v>
      </c>
      <c r="G181" s="7" t="str">
        <f>IF([2]AGPeg!F167&lt;&gt;"",[2]AGPeg!F167,"")</f>
        <v xml:space="preserve">FMT </v>
      </c>
      <c r="H181" s="7" t="str">
        <f>IF([2]AGPeg!G167&lt;&gt;"",[2]AGPeg!G167,"")</f>
        <v>ORS-FR</v>
      </c>
      <c r="I181" s="7" t="str">
        <f>IF([2]AGPeg!H167&lt;&gt;"",[2]AGPeg!H167,"")</f>
        <v>SC14+eShel+Atik460ex</v>
      </c>
      <c r="J181" s="7">
        <f>IF([2]AGPeg!I167&lt;&gt;"",[2]AGPeg!I167,"")</f>
        <v>11000</v>
      </c>
      <c r="K181" s="7" t="str">
        <f>IF([2]AGPeg!J167&lt;&gt;"",[2]AGPeg!J167,"")</f>
        <v/>
      </c>
      <c r="L181" s="7"/>
      <c r="N181" s="2"/>
    </row>
    <row r="182" spans="1:18" x14ac:dyDescent="0.25">
      <c r="A182">
        <f t="shared" si="5"/>
        <v>31.709756889160943</v>
      </c>
      <c r="B182" s="7">
        <f>IF([2]AGPeg!B168&lt;&gt;"",[2]AGPeg!B168,"")</f>
        <v>156</v>
      </c>
      <c r="C182" s="8">
        <f>IF([2]AGPeg!C168&lt;&gt;"",[2]AGPeg!C168,"")</f>
        <v>42540</v>
      </c>
      <c r="D182" s="9">
        <f>IF([2]AGPeg!D168&lt;&gt;"",[2]AGPeg!D168,"")</f>
        <v>1.1284722222222222E-2</v>
      </c>
      <c r="E182" s="7">
        <f>IF([2]AGPeg!E168&lt;&gt;"",[2]AGPeg!E168,"")</f>
        <v>2457558.5164999999</v>
      </c>
      <c r="F182" s="20">
        <f t="shared" si="4"/>
        <v>0.70975688916094271</v>
      </c>
      <c r="G182" s="7" t="str">
        <f>IF([2]AGPeg!F168&lt;&gt;"",[2]AGPeg!F168,"")</f>
        <v>FCA</v>
      </c>
      <c r="H182" s="7" t="str">
        <f>IF([2]AGPeg!G168&lt;&gt;"",[2]AGPeg!G168,"")</f>
        <v>PAG-SP</v>
      </c>
      <c r="I182" s="7" t="str">
        <f>IF([2]AGPeg!H168&lt;&gt;"",[2]AGPeg!H168,"")</f>
        <v>N-200DADOS-200ATI</v>
      </c>
      <c r="J182" s="7">
        <f>IF([2]AGPeg!I168&lt;&gt;"",[2]AGPeg!I168,"")</f>
        <v>820</v>
      </c>
      <c r="K182" s="7" t="str">
        <f>IF([2]AGPeg!J168&lt;&gt;"",[2]AGPeg!J168,"")</f>
        <v/>
      </c>
      <c r="L182" s="7"/>
      <c r="M182" s="5"/>
      <c r="N182" s="2"/>
    </row>
    <row r="183" spans="1:18" x14ac:dyDescent="0.25">
      <c r="A183">
        <f t="shared" si="5"/>
        <v>31.724709246784965</v>
      </c>
      <c r="B183" s="7">
        <f>IF([2]AGPeg!B169&lt;&gt;"",[2]AGPeg!B169,"")</f>
        <v>157</v>
      </c>
      <c r="C183" s="8">
        <f>IF([2]AGPeg!C169&lt;&gt;"",[2]AGPeg!C169,"")</f>
        <v>42552</v>
      </c>
      <c r="D183" s="9">
        <f>IF([2]AGPeg!D169&lt;&gt;"",[2]AGPeg!D169,"")</f>
        <v>0.21888888888888888</v>
      </c>
      <c r="E183" s="7">
        <f>IF([2]AGPeg!E169&lt;&gt;"",[2]AGPeg!E169,"")</f>
        <v>2457570.7250999999</v>
      </c>
      <c r="F183" s="20">
        <f t="shared" si="4"/>
        <v>0.72470924678496473</v>
      </c>
      <c r="G183" s="7" t="str">
        <f>IF([2]AGPeg!F169&lt;&gt;"",[2]AGPeg!F169,"")</f>
        <v>LES</v>
      </c>
      <c r="H183" s="7" t="str">
        <f>IF([2]AGPeg!G169&lt;&gt;"",[2]AGPeg!G169,"")</f>
        <v>MRO-CA</v>
      </c>
      <c r="I183" s="7" t="str">
        <f>IF([2]AGPeg!H169&lt;&gt;"",[2]AGPeg!H169,"")</f>
        <v>31cmDK+23um1800lpm+</v>
      </c>
      <c r="J183" s="7">
        <f>IF([2]AGPeg!I169&lt;&gt;"",[2]AGPeg!I169,"")</f>
        <v>9000</v>
      </c>
      <c r="K183" s="7" t="str">
        <f>IF([2]AGPeg!J169&lt;&gt;"",[2]AGPeg!J169,"")</f>
        <v/>
      </c>
      <c r="L183" s="7"/>
      <c r="M183" s="5"/>
      <c r="N183" s="2"/>
      <c r="Q183" s="6"/>
      <c r="R183" s="6"/>
    </row>
    <row r="184" spans="1:18" x14ac:dyDescent="0.25">
      <c r="A184">
        <f t="shared" si="5"/>
        <v>31.725751255358304</v>
      </c>
      <c r="B184" s="7">
        <f>IF([2]AGPeg!B170&lt;&gt;"",[2]AGPeg!B170,"")</f>
        <v>158</v>
      </c>
      <c r="C184" s="8">
        <f>IF([2]AGPeg!C170&lt;&gt;"",[2]AGPeg!C170,"")</f>
        <v>42553</v>
      </c>
      <c r="D184" s="9">
        <f>IF([2]AGPeg!D170&lt;&gt;"",[2]AGPeg!D170,"")</f>
        <v>6.6527777777777783E-2</v>
      </c>
      <c r="E184" s="7">
        <f>IF([2]AGPeg!E170&lt;&gt;"",[2]AGPeg!E170,"")</f>
        <v>2457571.5759000001</v>
      </c>
      <c r="F184" s="20">
        <f t="shared" si="4"/>
        <v>0.72575125535830409</v>
      </c>
      <c r="G184" s="7" t="str">
        <f>IF([2]AGPeg!F170&lt;&gt;"",[2]AGPeg!F170,"")</f>
        <v>PSO</v>
      </c>
      <c r="H184" s="7" t="str">
        <f>IF([2]AGPeg!G170&lt;&gt;"",[2]AGPeg!G170,"")</f>
        <v>TAT-HU</v>
      </c>
      <c r="I184" s="7" t="str">
        <f>IF([2]AGPeg!H170&lt;&gt;"",[2]AGPeg!H170,"")</f>
        <v>25cmLH600_35u414esm</v>
      </c>
      <c r="J184" s="7">
        <f>IF([2]AGPeg!I170&lt;&gt;"",[2]AGPeg!I170,"")</f>
        <v>1900</v>
      </c>
      <c r="K184" s="7" t="str">
        <f>IF([2]AGPeg!J170&lt;&gt;"",[2]AGPeg!J170,"")</f>
        <v/>
      </c>
      <c r="L184" s="7"/>
      <c r="M184" s="5"/>
      <c r="N184" s="2"/>
      <c r="Q184" s="6"/>
      <c r="R184" s="6"/>
    </row>
    <row r="185" spans="1:18" x14ac:dyDescent="0.25">
      <c r="A185">
        <f t="shared" si="5"/>
        <v>31.728449601959493</v>
      </c>
      <c r="B185" s="7">
        <f>IF([2]AGPeg!B171&lt;&gt;"",[2]AGPeg!B171,"")</f>
        <v>159</v>
      </c>
      <c r="C185" s="8">
        <f>IF([2]AGPeg!C171&lt;&gt;"",[2]AGPeg!C171,"")</f>
        <v>42555</v>
      </c>
      <c r="D185" s="9">
        <f>IF([2]AGPeg!D171&lt;&gt;"",[2]AGPeg!D171,"")</f>
        <v>0.25790509259259259</v>
      </c>
      <c r="E185" s="7">
        <f>IF([2]AGPeg!E171&lt;&gt;"",[2]AGPeg!E171,"")</f>
        <v>2457573.7790999999</v>
      </c>
      <c r="F185" s="20">
        <f t="shared" si="4"/>
        <v>0.72844960195949326</v>
      </c>
      <c r="G185" s="7" t="str">
        <f>IF([2]AGPeg!F171&lt;&gt;"",[2]AGPeg!F171,"")</f>
        <v>LES</v>
      </c>
      <c r="H185" s="7" t="str">
        <f>IF([2]AGPeg!G171&lt;&gt;"",[2]AGPeg!G171,"")</f>
        <v>MRO-CA</v>
      </c>
      <c r="I185" s="7" t="str">
        <f>IF([2]AGPeg!H171&lt;&gt;"",[2]AGPeg!H171,"")</f>
        <v>31cmDK+23um1800lpm+</v>
      </c>
      <c r="J185" s="7">
        <f>IF([2]AGPeg!I171&lt;&gt;"",[2]AGPeg!I171,"")</f>
        <v>6400</v>
      </c>
      <c r="K185" s="7" t="str">
        <f>IF([2]AGPeg!J171&lt;&gt;"",[2]AGPeg!J171,"")</f>
        <v/>
      </c>
      <c r="L185" s="7"/>
      <c r="M185" s="5"/>
      <c r="N185" s="2"/>
      <c r="Q185" s="6"/>
      <c r="R185" s="6"/>
    </row>
    <row r="186" spans="1:18" x14ac:dyDescent="0.25">
      <c r="A186">
        <f t="shared" si="5"/>
        <v>31.735449234537544</v>
      </c>
      <c r="B186" s="7">
        <f>IF([2]AGPeg!B172&lt;&gt;"",[2]AGPeg!B172,"")</f>
        <v>160</v>
      </c>
      <c r="C186" s="8">
        <f>IF([2]AGPeg!C172&lt;&gt;"",[2]AGPeg!C172,"")</f>
        <v>42560</v>
      </c>
      <c r="D186" s="9">
        <f>IF([2]AGPeg!D172&lt;&gt;"",[2]AGPeg!D172,"")</f>
        <v>0.9783680555555555</v>
      </c>
      <c r="E186" s="7">
        <f>IF([2]AGPeg!E172&lt;&gt;"",[2]AGPeg!E172,"")</f>
        <v>2457579.4942999999</v>
      </c>
      <c r="F186" s="20">
        <f t="shared" si="4"/>
        <v>0.73544923453754407</v>
      </c>
      <c r="G186" s="7" t="str">
        <f>IF([2]AGPeg!F172&lt;&gt;"",[2]AGPeg!F172,"")</f>
        <v xml:space="preserve">FMT </v>
      </c>
      <c r="H186" s="7" t="str">
        <f>IF([2]AGPeg!G172&lt;&gt;"",[2]AGPeg!G172,"")</f>
        <v>ORS-FR</v>
      </c>
      <c r="I186" s="7" t="str">
        <f>IF([2]AGPeg!H172&lt;&gt;"",[2]AGPeg!H172,"")</f>
        <v>SC14+eShel+Atik460ex</v>
      </c>
      <c r="J186" s="7">
        <f>IF([2]AGPeg!I172&lt;&gt;"",[2]AGPeg!I172,"")</f>
        <v>11000</v>
      </c>
      <c r="K186" s="7" t="str">
        <f>IF([2]AGPeg!J172&lt;&gt;"",[2]AGPeg!J172,"")</f>
        <v/>
      </c>
      <c r="L186" s="7"/>
      <c r="M186" s="5"/>
      <c r="N186" s="2"/>
      <c r="Q186" s="6"/>
      <c r="R186" s="6"/>
    </row>
    <row r="187" spans="1:18" x14ac:dyDescent="0.25">
      <c r="A187">
        <f t="shared" si="5"/>
        <v>31.735434047764866</v>
      </c>
      <c r="B187" s="7">
        <f>IF([2]AGPeg!B173&lt;&gt;"",[2]AGPeg!B173,"")</f>
        <v>161</v>
      </c>
      <c r="C187" s="8">
        <f>IF([2]AGPeg!C173&lt;&gt;"",[2]AGPeg!C173,"")</f>
        <v>42560</v>
      </c>
      <c r="D187" s="9">
        <f>IF([2]AGPeg!D173&lt;&gt;"",[2]AGPeg!D173,"")</f>
        <v>0.98178240740740741</v>
      </c>
      <c r="E187" s="7">
        <f>IF([2]AGPeg!E173&lt;&gt;"",[2]AGPeg!E173,"")</f>
        <v>2457579.4819</v>
      </c>
      <c r="F187" s="20">
        <f t="shared" si="4"/>
        <v>0.73543404776486554</v>
      </c>
      <c r="G187" s="7" t="str">
        <f>IF([2]AGPeg!F173&lt;&gt;"",[2]AGPeg!F173,"")</f>
        <v>FBO</v>
      </c>
      <c r="H187" s="7" t="str">
        <f>IF([2]AGPeg!G173&lt;&gt;"",[2]AGPeg!G173,"")</f>
        <v>OPL-FR</v>
      </c>
      <c r="I187" s="7" t="str">
        <f>IF([2]AGPeg!H173&lt;&gt;"",[2]AGPeg!H173,"")</f>
        <v>SC8+Lisa+ATIK314L+</v>
      </c>
      <c r="J187" s="7">
        <f>IF([2]AGPeg!I173&lt;&gt;"",[2]AGPeg!I173,"")</f>
        <v>2200</v>
      </c>
      <c r="K187" s="7" t="str">
        <f>IF([2]AGPeg!J173&lt;&gt;"",[2]AGPeg!J173,"")</f>
        <v/>
      </c>
      <c r="L187" s="7"/>
      <c r="M187" s="5"/>
      <c r="N187" s="2"/>
      <c r="Q187" s="6"/>
      <c r="R187" s="6"/>
    </row>
    <row r="188" spans="1:18" x14ac:dyDescent="0.25">
      <c r="A188">
        <f t="shared" si="5"/>
        <v>31.759989344764133</v>
      </c>
      <c r="B188" s="7">
        <f>IF([2]AGPeg!B174&lt;&gt;"",[2]AGPeg!B174,"")</f>
        <v>162</v>
      </c>
      <c r="C188" s="8">
        <f>IF([2]AGPeg!C174&lt;&gt;"",[2]AGPeg!C174,"")</f>
        <v>42581</v>
      </c>
      <c r="D188" s="9">
        <f>IF([2]AGPeg!D174&lt;&gt;"",[2]AGPeg!D174,"")</f>
        <v>2.4351851851851857E-2</v>
      </c>
      <c r="E188" s="7">
        <f>IF([2]AGPeg!E174&lt;&gt;"",[2]AGPeg!E174,"")</f>
        <v>2457599.5312999999</v>
      </c>
      <c r="F188" s="20">
        <f t="shared" si="4"/>
        <v>0.75998934476413282</v>
      </c>
      <c r="G188" s="7" t="str">
        <f>IF([2]AGPeg!F174&lt;&gt;"",[2]AGPeg!F174,"")</f>
        <v>FRA</v>
      </c>
      <c r="H188" s="7" t="str">
        <f>IF([2]AGPeg!G174&lt;&gt;"",[2]AGPeg!G174,"")</f>
        <v>BAL-IT</v>
      </c>
      <c r="I188" s="7" t="str">
        <f>IF([2]AGPeg!H174&lt;&gt;"",[2]AGPeg!H174,"")</f>
        <v>SC8+Alpy600</v>
      </c>
      <c r="J188" s="7">
        <f>IF([2]AGPeg!I174&lt;&gt;"",[2]AGPeg!I174,"")</f>
        <v>501</v>
      </c>
      <c r="K188" s="7" t="str">
        <f>IF([2]AGPeg!J174&lt;&gt;"",[2]AGPeg!J174,"")</f>
        <v/>
      </c>
      <c r="L188" s="7"/>
      <c r="M188" s="5"/>
      <c r="N188" s="2"/>
      <c r="Q188" s="6"/>
      <c r="R188" s="6"/>
    </row>
    <row r="189" spans="1:18" x14ac:dyDescent="0.25">
      <c r="A189">
        <f t="shared" si="5"/>
        <v>31.767280342927076</v>
      </c>
      <c r="B189" s="7">
        <f>IF([2]AGPeg!B175&lt;&gt;"",[2]AGPeg!B175,"")</f>
        <v>163</v>
      </c>
      <c r="C189" s="8">
        <f>IF([2]AGPeg!C175&lt;&gt;"",[2]AGPeg!C175,"")</f>
        <v>42586</v>
      </c>
      <c r="D189" s="9">
        <f>IF([2]AGPeg!D175&lt;&gt;"",[2]AGPeg!D175,"")</f>
        <v>0.97807870370370376</v>
      </c>
      <c r="E189" s="7">
        <f>IF([2]AGPeg!E175&lt;&gt;"",[2]AGPeg!E175,"")</f>
        <v>2457605.4844</v>
      </c>
      <c r="F189" s="20">
        <f t="shared" si="4"/>
        <v>0.76728034292707648</v>
      </c>
      <c r="G189" s="7" t="str">
        <f>IF([2]AGPeg!F175&lt;&gt;"",[2]AGPeg!F175,"")</f>
        <v>DBO</v>
      </c>
      <c r="H189" s="7" t="str">
        <f>IF([2]AGPeg!G175&lt;&gt;"",[2]AGPeg!G175,"")</f>
        <v>WCO-UK</v>
      </c>
      <c r="I189" s="7" t="str">
        <f>IF([2]AGPeg!H175&lt;&gt;"",[2]AGPeg!H175,"")</f>
        <v>C11+Lisa+SXVR-H</v>
      </c>
      <c r="J189" s="7">
        <f>IF([2]AGPeg!I175&lt;&gt;"",[2]AGPeg!I175,"")</f>
        <v>824</v>
      </c>
      <c r="K189" s="7" t="str">
        <f>IF([2]AGPeg!J175&lt;&gt;"",[2]AGPeg!J175,"")</f>
        <v/>
      </c>
      <c r="L189" s="7"/>
      <c r="M189" s="5"/>
      <c r="N189" s="2"/>
      <c r="Q189" s="6"/>
      <c r="R189" s="6"/>
    </row>
    <row r="190" spans="1:18" x14ac:dyDescent="0.25">
      <c r="A190">
        <f t="shared" si="5"/>
        <v>31.769695774648071</v>
      </c>
      <c r="B190" s="7">
        <f>IF([2]AGPeg!B176&lt;&gt;"",[2]AGPeg!B176,"")</f>
        <v>164</v>
      </c>
      <c r="C190" s="8">
        <f>IF([2]AGPeg!C176&lt;&gt;"",[2]AGPeg!C176,"")</f>
        <v>42588</v>
      </c>
      <c r="D190" s="9">
        <f>IF([2]AGPeg!D176&lt;&gt;"",[2]AGPeg!D176,"")</f>
        <v>0.95167824074074081</v>
      </c>
      <c r="E190" s="7">
        <f>IF([2]AGPeg!E176&lt;&gt;"",[2]AGPeg!E176,"")</f>
        <v>2457607.4566000002</v>
      </c>
      <c r="F190" s="20">
        <f t="shared" si="4"/>
        <v>0.7696957746480706</v>
      </c>
      <c r="G190" s="7" t="str">
        <f>IF([2]AGPeg!F176&lt;&gt;"",[2]AGPeg!F176,"")</f>
        <v xml:space="preserve">FMT </v>
      </c>
      <c r="H190" s="7" t="str">
        <f>IF([2]AGPeg!G176&lt;&gt;"",[2]AGPeg!G176,"")</f>
        <v>ORS-FR</v>
      </c>
      <c r="I190" s="7" t="str">
        <f>IF([2]AGPeg!H176&lt;&gt;"",[2]AGPeg!H176,"")</f>
        <v>SC14+eShel+Atik460ex</v>
      </c>
      <c r="J190" s="7">
        <f>IF([2]AGPeg!I176&lt;&gt;"",[2]AGPeg!I176,"")</f>
        <v>11000</v>
      </c>
      <c r="K190" s="7" t="str">
        <f>IF([2]AGPeg!J176&lt;&gt;"",[2]AGPeg!J176,"")</f>
        <v/>
      </c>
      <c r="L190" s="7"/>
      <c r="M190" s="5"/>
      <c r="N190" s="2"/>
      <c r="Q190" s="6"/>
      <c r="R190" s="6"/>
    </row>
    <row r="191" spans="1:18" x14ac:dyDescent="0.25">
      <c r="A191">
        <f t="shared" si="5"/>
        <v>31.76970483772217</v>
      </c>
      <c r="B191" s="7">
        <f>IF([2]AGPeg!B177&lt;&gt;"",[2]AGPeg!B177,"")</f>
        <v>165</v>
      </c>
      <c r="C191" s="8">
        <f>IF([2]AGPeg!C177&lt;&gt;"",[2]AGPeg!C177,"")</f>
        <v>42588</v>
      </c>
      <c r="D191" s="9">
        <f>IF([2]AGPeg!D177&lt;&gt;"",[2]AGPeg!D177,"")</f>
        <v>0.96399305555555559</v>
      </c>
      <c r="E191" s="7">
        <f>IF([2]AGPeg!E177&lt;&gt;"",[2]AGPeg!E177,"")</f>
        <v>2457607.4640000002</v>
      </c>
      <c r="F191" s="20">
        <f t="shared" si="4"/>
        <v>0.7697048377221698</v>
      </c>
      <c r="G191" s="7" t="str">
        <f>IF([2]AGPeg!F177&lt;&gt;"",[2]AGPeg!F177,"")</f>
        <v>DDJ</v>
      </c>
      <c r="H191" s="7" t="str">
        <f>IF([2]AGPeg!G177&lt;&gt;"",[2]AGPeg!G177,"")</f>
        <v>LSS-FR</v>
      </c>
      <c r="I191" s="7" t="str">
        <f>IF([2]AGPeg!H177&lt;&gt;"",[2]AGPeg!H177,"")</f>
        <v>Newton200+Alpy600+A</v>
      </c>
      <c r="J191" s="7">
        <f>IF([2]AGPeg!I177&lt;&gt;"",[2]AGPeg!I177,"")</f>
        <v>543</v>
      </c>
      <c r="K191" s="7" t="str">
        <f>IF([2]AGPeg!J177&lt;&gt;"",[2]AGPeg!J177,"")</f>
        <v/>
      </c>
      <c r="L191" s="7"/>
      <c r="M191" s="5"/>
      <c r="N191" s="2"/>
      <c r="Q191" s="6"/>
      <c r="R191" s="6"/>
    </row>
    <row r="192" spans="1:18" x14ac:dyDescent="0.25">
      <c r="A192">
        <f t="shared" si="5"/>
        <v>31.774782731169829</v>
      </c>
      <c r="B192" s="7">
        <f>IF([2]AGPeg!B178&lt;&gt;"",[2]AGPeg!B178,"")</f>
        <v>166</v>
      </c>
      <c r="C192" s="8">
        <f>IF([2]AGPeg!C178&lt;&gt;"",[2]AGPeg!C178,"")</f>
        <v>42593</v>
      </c>
      <c r="D192" s="9">
        <f>IF([2]AGPeg!D178&lt;&gt;"",[2]AGPeg!D178,"")</f>
        <v>0.10249999999999999</v>
      </c>
      <c r="E192" s="7">
        <f>IF([2]AGPeg!E178&lt;&gt;"",[2]AGPeg!E178,"")</f>
        <v>2457611.6101000002</v>
      </c>
      <c r="F192" s="20">
        <f t="shared" si="4"/>
        <v>0.77478273116982876</v>
      </c>
      <c r="G192" s="7" t="str">
        <f>IF([2]AGPeg!F178&lt;&gt;"",[2]AGPeg!F178,"")</f>
        <v>OGA</v>
      </c>
      <c r="H192" s="7" t="str">
        <f>IF([2]AGPeg!G178&lt;&gt;"",[2]AGPeg!G178,"")</f>
        <v>OHP-FR</v>
      </c>
      <c r="I192" s="7" t="str">
        <f>IF([2]AGPeg!H178&lt;&gt;"",[2]AGPeg!H178,"")</f>
        <v>C14LisaATIK414EX</v>
      </c>
      <c r="J192" s="7">
        <f>IF([2]AGPeg!I178&lt;&gt;"",[2]AGPeg!I178,"")</f>
        <v>610</v>
      </c>
      <c r="K192" s="7" t="str">
        <f>IF([2]AGPeg!J178&lt;&gt;"",[2]AGPeg!J178,"")</f>
        <v/>
      </c>
      <c r="L192" s="7"/>
      <c r="M192" s="5"/>
      <c r="N192" s="2"/>
      <c r="Q192" s="6"/>
      <c r="R192" s="6"/>
    </row>
    <row r="193" spans="1:18" x14ac:dyDescent="0.25">
      <c r="A193">
        <f t="shared" si="5"/>
        <v>31.775903857930174</v>
      </c>
      <c r="B193" s="7">
        <f>IF([2]AGPeg!B179&lt;&gt;"",[2]AGPeg!B179,"")</f>
        <v>167</v>
      </c>
      <c r="C193" s="8">
        <f>IF([2]AGPeg!C179&lt;&gt;"",[2]AGPeg!C179,"")</f>
        <v>42594</v>
      </c>
      <c r="D193" s="9">
        <f>IF([2]AGPeg!D179&lt;&gt;"",[2]AGPeg!D179,"")</f>
        <v>1.6261574074074074E-2</v>
      </c>
      <c r="E193" s="7">
        <f>IF([2]AGPeg!E179&lt;&gt;"",[2]AGPeg!E179,"")</f>
        <v>2457612.5255</v>
      </c>
      <c r="F193" s="20">
        <f t="shared" si="4"/>
        <v>0.77590385793017447</v>
      </c>
      <c r="G193" s="7" t="str">
        <f>IF([2]AGPeg!F179&lt;&gt;"",[2]AGPeg!F179,"")</f>
        <v>CBO</v>
      </c>
      <c r="H193" s="7" t="str">
        <f>IF([2]AGPeg!G179&lt;&gt;"",[2]AGPeg!G179,"")</f>
        <v>OHP-FR</v>
      </c>
      <c r="I193" s="7" t="str">
        <f>IF([2]AGPeg!H179&lt;&gt;"",[2]AGPeg!H179,"")</f>
        <v>Newton200F/5+</v>
      </c>
      <c r="J193" s="7">
        <f>IF([2]AGPeg!I179&lt;&gt;"",[2]AGPeg!I179,"")</f>
        <v>509</v>
      </c>
      <c r="K193" s="7" t="str">
        <f>IF([2]AGPeg!J179&lt;&gt;"",[2]AGPeg!J179,"")</f>
        <v/>
      </c>
      <c r="L193" s="7"/>
      <c r="M193" s="5"/>
      <c r="N193" s="2"/>
      <c r="Q193" s="6"/>
      <c r="R193" s="6"/>
    </row>
    <row r="194" spans="1:18" x14ac:dyDescent="0.25">
      <c r="A194">
        <f t="shared" si="5"/>
        <v>31.779435272504781</v>
      </c>
      <c r="B194" s="7">
        <f>IF([2]AGPeg!B180&lt;&gt;"",[2]AGPeg!B180,"")</f>
        <v>168</v>
      </c>
      <c r="C194" s="8">
        <f>IF([2]AGPeg!C180&lt;&gt;"",[2]AGPeg!C180,"")</f>
        <v>42596</v>
      </c>
      <c r="D194" s="9">
        <f>IF([2]AGPeg!D180&lt;&gt;"",[2]AGPeg!D180,"")</f>
        <v>0.89642361111111113</v>
      </c>
      <c r="E194" s="7">
        <f>IF([2]AGPeg!E180&lt;&gt;"",[2]AGPeg!E180,"")</f>
        <v>2457615.4089000002</v>
      </c>
      <c r="F194" s="20">
        <f t="shared" si="4"/>
        <v>0.77943527250478084</v>
      </c>
      <c r="G194" s="7" t="str">
        <f>IF([2]AGPeg!F180&lt;&gt;"",[2]AGPeg!F180,"")</f>
        <v>YBGM</v>
      </c>
      <c r="H194" s="7" t="str">
        <f>IF([2]AGPeg!G180&lt;&gt;"",[2]AGPeg!G180,"")</f>
        <v>OHP-FR</v>
      </c>
      <c r="I194" s="7" t="str">
        <f>IF([2]AGPeg!H180&lt;&gt;"",[2]AGPeg!H180,"")</f>
        <v>C11LisaQSI583ws</v>
      </c>
      <c r="J194" s="7">
        <f>IF([2]AGPeg!I180&lt;&gt;"",[2]AGPeg!I180,"")</f>
        <v>921</v>
      </c>
      <c r="K194" s="7" t="str">
        <f>IF([2]AGPeg!J180&lt;&gt;"",[2]AGPeg!J180,"")</f>
        <v/>
      </c>
      <c r="L194" s="7"/>
      <c r="M194" s="5"/>
      <c r="N194" s="2"/>
      <c r="Q194" s="6"/>
      <c r="R194" s="6"/>
    </row>
    <row r="195" spans="1:18" x14ac:dyDescent="0.25">
      <c r="A195">
        <f t="shared" si="5"/>
        <v>31.781913778322036</v>
      </c>
      <c r="B195" s="7">
        <f>IF([2]AGPeg!B181&lt;&gt;"",[2]AGPeg!B181,"")</f>
        <v>169</v>
      </c>
      <c r="C195" s="8">
        <f>IF([2]AGPeg!C181&lt;&gt;"",[2]AGPeg!C181,"")</f>
        <v>42598</v>
      </c>
      <c r="D195" s="9">
        <f>IF([2]AGPeg!D181&lt;&gt;"",[2]AGPeg!D181,"")</f>
        <v>0.92447916666666663</v>
      </c>
      <c r="E195" s="7">
        <f>IF([2]AGPeg!E181&lt;&gt;"",[2]AGPeg!E181,"")</f>
        <v>2457617.4325999999</v>
      </c>
      <c r="F195" s="20">
        <f t="shared" si="4"/>
        <v>0.78191377832203557</v>
      </c>
      <c r="G195" s="7" t="str">
        <f>IF([2]AGPeg!F181&lt;&gt;"",[2]AGPeg!F181,"")</f>
        <v xml:space="preserve">FMT </v>
      </c>
      <c r="H195" s="7" t="str">
        <f>IF([2]AGPeg!G181&lt;&gt;"",[2]AGPeg!G181,"")</f>
        <v>ORS-FR</v>
      </c>
      <c r="I195" s="7" t="str">
        <f>IF([2]AGPeg!H181&lt;&gt;"",[2]AGPeg!H181,"")</f>
        <v>SC14+eShel+Atik460ex</v>
      </c>
      <c r="J195" s="7">
        <f>IF([2]AGPeg!I181&lt;&gt;"",[2]AGPeg!I181,"")</f>
        <v>11000</v>
      </c>
      <c r="K195" s="7" t="str">
        <f>IF([2]AGPeg!J181&lt;&gt;"",[2]AGPeg!J181,"")</f>
        <v/>
      </c>
      <c r="L195" s="7"/>
      <c r="M195" s="5"/>
      <c r="N195" s="2"/>
      <c r="Q195" s="6"/>
      <c r="R195" s="6"/>
    </row>
    <row r="196" spans="1:18" x14ac:dyDescent="0.25">
      <c r="A196">
        <f t="shared" si="5"/>
        <v>31.790418616044338</v>
      </c>
      <c r="B196" s="7">
        <f>IF([2]AGPeg!B182&lt;&gt;"",[2]AGPeg!B182,"")</f>
        <v>170</v>
      </c>
      <c r="C196" s="8">
        <f>IF([2]AGPeg!C182&lt;&gt;"",[2]AGPeg!C182,"")</f>
        <v>42605</v>
      </c>
      <c r="D196" s="9">
        <f>IF([2]AGPeg!D182&lt;&gt;"",[2]AGPeg!D182,"")</f>
        <v>0.87327546296296299</v>
      </c>
      <c r="E196" s="7">
        <f>IF([2]AGPeg!E182&lt;&gt;"",[2]AGPeg!E182,"")</f>
        <v>2457624.3768000002</v>
      </c>
      <c r="F196" s="20">
        <f t="shared" si="4"/>
        <v>0.79041861604433805</v>
      </c>
      <c r="G196" s="7" t="str">
        <f>IF([2]AGPeg!F182&lt;&gt;"",[2]AGPeg!F182,"")</f>
        <v>FCA</v>
      </c>
      <c r="H196" s="7" t="str">
        <f>IF([2]AGPeg!G182&lt;&gt;"",[2]AGPeg!G182,"")</f>
        <v>PAG-SP</v>
      </c>
      <c r="I196" s="7" t="str">
        <f>IF([2]AGPeg!H182&lt;&gt;"",[2]AGPeg!H182,"")</f>
        <v>N-200DADOS-200ATI</v>
      </c>
      <c r="J196" s="7">
        <f>IF([2]AGPeg!I182&lt;&gt;"",[2]AGPeg!I182,"")</f>
        <v>733</v>
      </c>
      <c r="K196" s="7" t="str">
        <f>IF([2]AGPeg!J182&lt;&gt;"",[2]AGPeg!J182,"")</f>
        <v/>
      </c>
      <c r="L196" s="7"/>
      <c r="M196" s="5"/>
      <c r="N196" s="2"/>
      <c r="Q196" s="6"/>
      <c r="R196" s="6"/>
    </row>
    <row r="197" spans="1:18" x14ac:dyDescent="0.25">
      <c r="A197">
        <f t="shared" si="5"/>
        <v>31.790472872014597</v>
      </c>
      <c r="B197" s="7">
        <f>IF([2]AGPeg!B183&lt;&gt;"",[2]AGPeg!B183,"")</f>
        <v>171</v>
      </c>
      <c r="C197" s="8">
        <f>IF([2]AGPeg!C183&lt;&gt;"",[2]AGPeg!C183,"")</f>
        <v>42605</v>
      </c>
      <c r="D197" s="9">
        <f>IF([2]AGPeg!D183&lt;&gt;"",[2]AGPeg!D183,"")</f>
        <v>0.91313657407407411</v>
      </c>
      <c r="E197" s="7">
        <f>IF([2]AGPeg!E183&lt;&gt;"",[2]AGPeg!E183,"")</f>
        <v>2457624.4210999999</v>
      </c>
      <c r="F197" s="20">
        <f t="shared" si="4"/>
        <v>0.79047287201459682</v>
      </c>
      <c r="G197" s="7" t="str">
        <f>IF([2]AGPeg!F183&lt;&gt;"",[2]AGPeg!F183,"")</f>
        <v xml:space="preserve">FMT </v>
      </c>
      <c r="H197" s="7" t="str">
        <f>IF([2]AGPeg!G183&lt;&gt;"",[2]AGPeg!G183,"")</f>
        <v>ORS-FR</v>
      </c>
      <c r="I197" s="7" t="str">
        <f>IF([2]AGPeg!H183&lt;&gt;"",[2]AGPeg!H183,"")</f>
        <v>SC14+eShel+Atik460ex</v>
      </c>
      <c r="J197" s="7">
        <f>IF([2]AGPeg!I183&lt;&gt;"",[2]AGPeg!I183,"")</f>
        <v>11000</v>
      </c>
      <c r="K197" s="7" t="str">
        <f>IF([2]AGPeg!J183&lt;&gt;"",[2]AGPeg!J183,"")</f>
        <v/>
      </c>
      <c r="L197" s="7"/>
      <c r="M197" s="5"/>
      <c r="N197" s="2"/>
      <c r="Q197" s="6"/>
      <c r="R197" s="6"/>
    </row>
    <row r="198" spans="1:18" x14ac:dyDescent="0.25">
      <c r="A198">
        <f t="shared" si="5"/>
        <v>31.793028536435749</v>
      </c>
      <c r="B198" s="7">
        <f>IF([2]AGPeg!B184&lt;&gt;"",[2]AGPeg!B184,"")</f>
        <v>172</v>
      </c>
      <c r="C198" s="8">
        <f>IF([2]AGPeg!C184&lt;&gt;"",[2]AGPeg!C184,"")</f>
        <v>42608</v>
      </c>
      <c r="D198" s="9">
        <f>IF([2]AGPeg!D184&lt;&gt;"",[2]AGPeg!D184,"")</f>
        <v>1.0879629629629629E-3</v>
      </c>
      <c r="E198" s="7">
        <f>IF([2]AGPeg!E184&lt;&gt;"",[2]AGPeg!E184,"")</f>
        <v>2457626.5077999998</v>
      </c>
      <c r="F198" s="20">
        <f t="shared" si="4"/>
        <v>0.79302853643574878</v>
      </c>
      <c r="G198" s="7" t="str">
        <f>IF([2]AGPeg!F184&lt;&gt;"",[2]AGPeg!F184,"")</f>
        <v>PSO</v>
      </c>
      <c r="H198" s="7" t="str">
        <f>IF([2]AGPeg!G184&lt;&gt;"",[2]AGPeg!G184,"")</f>
        <v>TAT-HU</v>
      </c>
      <c r="I198" s="7" t="str">
        <f>IF([2]AGPeg!H184&lt;&gt;"",[2]AGPeg!H184,"")</f>
        <v>30cmLH600_35u414esm</v>
      </c>
      <c r="J198" s="7">
        <f>IF([2]AGPeg!I184&lt;&gt;"",[2]AGPeg!I184,"")</f>
        <v>1690</v>
      </c>
      <c r="K198" s="7" t="str">
        <f>IF([2]AGPeg!J184&lt;&gt;"",[2]AGPeg!J184,"")</f>
        <v/>
      </c>
      <c r="L198" s="7"/>
      <c r="M198" s="5"/>
      <c r="N198" s="2"/>
      <c r="Q198" s="6"/>
      <c r="R198" s="6"/>
    </row>
    <row r="199" spans="1:18" x14ac:dyDescent="0.25">
      <c r="A199">
        <f t="shared" si="5"/>
        <v>31.799069075321633</v>
      </c>
      <c r="B199" s="7">
        <f>IF([2]AGPeg!B185&lt;&gt;"",[2]AGPeg!B185,"")</f>
        <v>173</v>
      </c>
      <c r="C199" s="8">
        <f>IF([2]AGPeg!C185&lt;&gt;"",[2]AGPeg!C185,"")</f>
        <v>42612</v>
      </c>
      <c r="D199" s="9">
        <f>IF([2]AGPeg!D185&lt;&gt;"",[2]AGPeg!D185,"")</f>
        <v>0.929224537037037</v>
      </c>
      <c r="E199" s="7">
        <f>IF([2]AGPeg!E185&lt;&gt;"",[2]AGPeg!E185,"")</f>
        <v>2457631.4399000001</v>
      </c>
      <c r="F199" s="20">
        <f t="shared" si="4"/>
        <v>0.79906907532163274</v>
      </c>
      <c r="G199" s="7" t="str">
        <f>IF([2]AGPeg!F185&lt;&gt;"",[2]AGPeg!F185,"")</f>
        <v>DBO</v>
      </c>
      <c r="H199" s="7" t="str">
        <f>IF([2]AGPeg!G185&lt;&gt;"",[2]AGPeg!G185,"")</f>
        <v>WCO-UK</v>
      </c>
      <c r="I199" s="7" t="str">
        <f>IF([2]AGPeg!H185&lt;&gt;"",[2]AGPeg!H185,"")</f>
        <v>C11+Lisa+SXVR-H</v>
      </c>
      <c r="J199" s="7">
        <f>IF([2]AGPeg!I185&lt;&gt;"",[2]AGPeg!I185,"")</f>
        <v>827</v>
      </c>
      <c r="K199" s="7" t="str">
        <f>IF([2]AGPeg!J185&lt;&gt;"",[2]AGPeg!J185,"")</f>
        <v/>
      </c>
      <c r="L199" s="7"/>
      <c r="M199" s="5"/>
      <c r="N199" s="2"/>
      <c r="Q199" s="6"/>
      <c r="R199" s="6"/>
    </row>
    <row r="200" spans="1:18" x14ac:dyDescent="0.25">
      <c r="A200">
        <f t="shared" si="5"/>
        <v>31.80304947948575</v>
      </c>
      <c r="B200" s="7">
        <f>IF([2]AGPeg!B186&lt;&gt;"",[2]AGPeg!B186,"")</f>
        <v>174</v>
      </c>
      <c r="C200" s="8">
        <f>IF([2]AGPeg!C186&lt;&gt;"",[2]AGPeg!C186,"")</f>
        <v>42616</v>
      </c>
      <c r="D200" s="9">
        <f>IF([2]AGPeg!D186&lt;&gt;"",[2]AGPeg!D186,"")</f>
        <v>0.18383101851851849</v>
      </c>
      <c r="E200" s="7">
        <f>IF([2]AGPeg!E186&lt;&gt;"",[2]AGPeg!E186,"")</f>
        <v>2457634.6899000001</v>
      </c>
      <c r="F200" s="20">
        <f t="shared" si="4"/>
        <v>0.80304947948575034</v>
      </c>
      <c r="G200" s="7" t="str">
        <f>IF([2]AGPeg!F186&lt;&gt;"",[2]AGPeg!F186,"")</f>
        <v>LES</v>
      </c>
      <c r="H200" s="7" t="str">
        <f>IF([2]AGPeg!G186&lt;&gt;"",[2]AGPeg!G186,"")</f>
        <v>MRO-CA</v>
      </c>
      <c r="I200" s="7" t="str">
        <f>IF([2]AGPeg!H186&lt;&gt;"",[2]AGPeg!H186,"")</f>
        <v>31cmDK+23um1800lpm+</v>
      </c>
      <c r="J200" s="7">
        <f>IF([2]AGPeg!I186&lt;&gt;"",[2]AGPeg!I186,"")</f>
        <v>9000</v>
      </c>
      <c r="K200" s="7" t="str">
        <f>IF([2]AGPeg!J186&lt;&gt;"",[2]AGPeg!J186,"")</f>
        <v/>
      </c>
      <c r="L200" s="7"/>
      <c r="M200" s="5"/>
      <c r="N200" s="2"/>
      <c r="Q200" s="6"/>
      <c r="R200" s="6"/>
    </row>
    <row r="201" spans="1:18" x14ac:dyDescent="0.25">
      <c r="A201">
        <f t="shared" si="5"/>
        <v>31.81123808940584</v>
      </c>
      <c r="B201" s="7">
        <f>IF([2]AGPeg!B187&lt;&gt;"",[2]AGPeg!B187,"")</f>
        <v>175</v>
      </c>
      <c r="C201" s="8">
        <f>IF([2]AGPeg!C187&lt;&gt;"",[2]AGPeg!C187,"")</f>
        <v>42622</v>
      </c>
      <c r="D201" s="9">
        <f>IF([2]AGPeg!D187&lt;&gt;"",[2]AGPeg!D187,"")</f>
        <v>0.86858796296296292</v>
      </c>
      <c r="E201" s="7">
        <f>IF([2]AGPeg!E187&lt;&gt;"",[2]AGPeg!E187,"")</f>
        <v>2457641.3758999999</v>
      </c>
      <c r="F201" s="20">
        <f t="shared" si="4"/>
        <v>0.81123808940584041</v>
      </c>
      <c r="G201" s="7" t="str">
        <f>IF([2]AGPeg!F187&lt;&gt;"",[2]AGPeg!F187,"")</f>
        <v xml:space="preserve">FMT </v>
      </c>
      <c r="H201" s="7" t="str">
        <f>IF([2]AGPeg!G187&lt;&gt;"",[2]AGPeg!G187,"")</f>
        <v>ORS-FR</v>
      </c>
      <c r="I201" s="7" t="str">
        <f>IF([2]AGPeg!H187&lt;&gt;"",[2]AGPeg!H187,"")</f>
        <v>SC14+eShel+Atik460ex</v>
      </c>
      <c r="J201" s="7">
        <f>IF([2]AGPeg!I187&lt;&gt;"",[2]AGPeg!I187,"")</f>
        <v>11000</v>
      </c>
      <c r="K201" s="7" t="str">
        <f>IF([2]AGPeg!J187&lt;&gt;"",[2]AGPeg!J187,"")</f>
        <v/>
      </c>
      <c r="L201" s="7"/>
      <c r="M201" s="5"/>
      <c r="N201" s="2"/>
      <c r="Q201" s="6"/>
      <c r="R201" s="6"/>
    </row>
    <row r="202" spans="1:18" x14ac:dyDescent="0.25">
      <c r="A202">
        <f t="shared" si="5"/>
        <v>31.815284507042303</v>
      </c>
      <c r="B202" s="7">
        <f>IF([2]AGPeg!B188&lt;&gt;"",[2]AGPeg!B188,"")</f>
        <v>176</v>
      </c>
      <c r="C202" s="8">
        <f>IF([2]AGPeg!C188&lt;&gt;"",[2]AGPeg!C188,"")</f>
        <v>42626</v>
      </c>
      <c r="D202" s="9">
        <f>IF([2]AGPeg!D188&lt;&gt;"",[2]AGPeg!D188,"")</f>
        <v>0.16493055555555555</v>
      </c>
      <c r="E202" s="7">
        <f>IF([2]AGPeg!E188&lt;&gt;"",[2]AGPeg!E188,"")</f>
        <v>2457644.6798</v>
      </c>
      <c r="F202" s="20">
        <f t="shared" si="4"/>
        <v>0.81528450704230337</v>
      </c>
      <c r="G202" s="7" t="str">
        <f>IF([2]AGPeg!F188&lt;&gt;"",[2]AGPeg!F188,"")</f>
        <v>LES</v>
      </c>
      <c r="H202" s="7" t="str">
        <f>IF([2]AGPeg!G188&lt;&gt;"",[2]AGPeg!G188,"")</f>
        <v>MRO-CA</v>
      </c>
      <c r="I202" s="7" t="str">
        <f>IF([2]AGPeg!H188&lt;&gt;"",[2]AGPeg!H188,"")</f>
        <v>31cmDK+23um1800lpm+</v>
      </c>
      <c r="J202" s="7">
        <f>IF([2]AGPeg!I188&lt;&gt;"",[2]AGPeg!I188,"")</f>
        <v>6000</v>
      </c>
      <c r="K202" s="7" t="str">
        <f>IF([2]AGPeg!J188&lt;&gt;"",[2]AGPeg!J188,"")</f>
        <v/>
      </c>
      <c r="L202" s="7"/>
      <c r="M202" s="5"/>
      <c r="N202" s="2"/>
      <c r="Q202" s="6"/>
      <c r="R202" s="6"/>
    </row>
    <row r="203" spans="1:18" x14ac:dyDescent="0.25">
      <c r="A203">
        <f t="shared" si="5"/>
        <v>31.828340600122655</v>
      </c>
      <c r="B203" s="7">
        <f>IF([2]AGPeg!B189&lt;&gt;"",[2]AGPeg!B189,"")</f>
        <v>177</v>
      </c>
      <c r="C203" s="8">
        <f>IF([2]AGPeg!C189&lt;&gt;"",[2]AGPeg!C189,"")</f>
        <v>42636</v>
      </c>
      <c r="D203" s="9">
        <f>IF([2]AGPeg!D189&lt;&gt;"",[2]AGPeg!D189,"")</f>
        <v>0.83215277777777785</v>
      </c>
      <c r="E203" s="7">
        <f>IF([2]AGPeg!E189&lt;&gt;"",[2]AGPeg!E189,"")</f>
        <v>2457655.3401000001</v>
      </c>
      <c r="F203" s="20">
        <f t="shared" si="4"/>
        <v>0.82834060012265454</v>
      </c>
      <c r="G203" s="7" t="str">
        <f>IF([2]AGPeg!F189&lt;&gt;"",[2]AGPeg!F189,"")</f>
        <v xml:space="preserve">FMT </v>
      </c>
      <c r="H203" s="7" t="str">
        <f>IF([2]AGPeg!G189&lt;&gt;"",[2]AGPeg!G189,"")</f>
        <v>ORS-FR</v>
      </c>
      <c r="I203" s="7" t="str">
        <f>IF([2]AGPeg!H189&lt;&gt;"",[2]AGPeg!H189,"")</f>
        <v>SC14+eShel+Atik460ex</v>
      </c>
      <c r="J203" s="7">
        <f>IF([2]AGPeg!I189&lt;&gt;"",[2]AGPeg!I189,"")</f>
        <v>11000</v>
      </c>
      <c r="K203" s="7" t="str">
        <f>IF([2]AGPeg!J189&lt;&gt;"",[2]AGPeg!J189,"")</f>
        <v/>
      </c>
      <c r="L203" s="7"/>
      <c r="M203" s="5"/>
      <c r="N203" s="2"/>
      <c r="Q203" s="6"/>
      <c r="R203" s="6"/>
    </row>
    <row r="204" spans="1:18" x14ac:dyDescent="0.25">
      <c r="A204">
        <f t="shared" si="5"/>
        <v>31.838222902633174</v>
      </c>
      <c r="B204" s="7">
        <f>IF([2]AGPeg!B190&lt;&gt;"",[2]AGPeg!B190,"")</f>
        <v>178</v>
      </c>
      <c r="C204" s="8">
        <f>IF([2]AGPeg!C190&lt;&gt;"",[2]AGPeg!C190,"")</f>
        <v>42644</v>
      </c>
      <c r="D204" s="9">
        <f>IF([2]AGPeg!D190&lt;&gt;"",[2]AGPeg!D190,"")</f>
        <v>0.89953703703703702</v>
      </c>
      <c r="E204" s="7">
        <f>IF([2]AGPeg!E190&lt;&gt;"",[2]AGPeg!E190,"")</f>
        <v>2457663.409</v>
      </c>
      <c r="F204" s="20">
        <f t="shared" si="4"/>
        <v>0.83822290263317356</v>
      </c>
      <c r="G204" s="7" t="str">
        <f>IF([2]AGPeg!F190&lt;&gt;"",[2]AGPeg!F190,"")</f>
        <v xml:space="preserve">FMT </v>
      </c>
      <c r="H204" s="7" t="str">
        <f>IF([2]AGPeg!G190&lt;&gt;"",[2]AGPeg!G190,"")</f>
        <v>ORS-FR</v>
      </c>
      <c r="I204" s="7" t="str">
        <f>IF([2]AGPeg!H190&lt;&gt;"",[2]AGPeg!H190,"")</f>
        <v>SC14+eShel+Atik460ex</v>
      </c>
      <c r="J204" s="7">
        <f>IF([2]AGPeg!I190&lt;&gt;"",[2]AGPeg!I190,"")</f>
        <v>11000</v>
      </c>
      <c r="K204" s="7" t="str">
        <f>IF([2]AGPeg!J190&lt;&gt;"",[2]AGPeg!J190,"")</f>
        <v/>
      </c>
      <c r="L204" s="7"/>
      <c r="M204" s="5"/>
      <c r="N204" s="2"/>
      <c r="Q204" s="6"/>
      <c r="R204" s="6"/>
    </row>
    <row r="205" spans="1:18" x14ac:dyDescent="0.25">
      <c r="A205">
        <f t="shared" si="5"/>
        <v>31.838301775872647</v>
      </c>
      <c r="B205" s="7">
        <f>IF([2]AGPeg!B191&lt;&gt;"",[2]AGPeg!B191,"")</f>
        <v>179</v>
      </c>
      <c r="C205" s="8">
        <f>IF([2]AGPeg!C191&lt;&gt;"",[2]AGPeg!C191,"")</f>
        <v>42644</v>
      </c>
      <c r="D205" s="9">
        <f>IF([2]AGPeg!D191&lt;&gt;"",[2]AGPeg!D191,"")</f>
        <v>0.97042824074074074</v>
      </c>
      <c r="E205" s="7">
        <f>IF([2]AGPeg!E191&lt;&gt;"",[2]AGPeg!E191,"")</f>
        <v>2457663.4734</v>
      </c>
      <c r="F205" s="20">
        <f t="shared" si="4"/>
        <v>0.83830177587264743</v>
      </c>
      <c r="G205" s="7" t="str">
        <f>IF([2]AGPeg!F191&lt;&gt;"",[2]AGPeg!F191,"")</f>
        <v>JGF</v>
      </c>
      <c r="H205" s="7" t="str">
        <f>IF([2]AGPeg!G191&lt;&gt;"",[2]AGPeg!G191,"")</f>
        <v>SMM-SP</v>
      </c>
      <c r="I205" s="7" t="str">
        <f>IF([2]AGPeg!H191&lt;&gt;"",[2]AGPeg!H191,"")</f>
        <v>16REMOTATIK460EX</v>
      </c>
      <c r="J205" s="7">
        <f>IF([2]AGPeg!I191&lt;&gt;"",[2]AGPeg!I191,"")</f>
        <v>1110</v>
      </c>
      <c r="K205" s="7" t="str">
        <f>IF([2]AGPeg!J191&lt;&gt;"",[2]AGPeg!J191,"")</f>
        <v/>
      </c>
      <c r="L205" s="7"/>
      <c r="M205" s="5"/>
      <c r="N205" s="2"/>
      <c r="Q205" s="6"/>
      <c r="R205" s="6"/>
    </row>
    <row r="206" spans="1:18" x14ac:dyDescent="0.25">
      <c r="A206">
        <f t="shared" si="5"/>
        <v>31.8482847519901</v>
      </c>
      <c r="B206" s="7">
        <f>IF([2]AGPeg!B192&lt;&gt;"",[2]AGPeg!B192,"")</f>
        <v>180</v>
      </c>
      <c r="C206" s="8">
        <f>IF([2]AGPeg!C192&lt;&gt;"",[2]AGPeg!C192,"")</f>
        <v>42653</v>
      </c>
      <c r="D206" s="9">
        <f>IF([2]AGPeg!D192&lt;&gt;"",[2]AGPeg!D192,"")</f>
        <v>0.11527777777777777</v>
      </c>
      <c r="E206" s="7">
        <f>IF([2]AGPeg!E192&lt;&gt;"",[2]AGPeg!E192,"")</f>
        <v>2457671.6244999999</v>
      </c>
      <c r="F206" s="20">
        <f t="shared" si="4"/>
        <v>0.84828475199010001</v>
      </c>
      <c r="G206" s="7" t="str">
        <f>IF([2]AGPeg!F192&lt;&gt;"",[2]AGPeg!F192,"")</f>
        <v>LES</v>
      </c>
      <c r="H206" s="7" t="str">
        <f>IF([2]AGPeg!G192&lt;&gt;"",[2]AGPeg!G192,"")</f>
        <v>MRO-CA</v>
      </c>
      <c r="I206" s="7" t="str">
        <f>IF([2]AGPeg!H192&lt;&gt;"",[2]AGPeg!H192,"")</f>
        <v>31cmDK+23um1800lpm+</v>
      </c>
      <c r="J206" s="7">
        <f>IF([2]AGPeg!I192&lt;&gt;"",[2]AGPeg!I192,"")</f>
        <v>9000</v>
      </c>
      <c r="K206" s="7" t="str">
        <f>IF([2]AGPeg!J192&lt;&gt;"",[2]AGPeg!J192,"")</f>
        <v/>
      </c>
      <c r="L206" s="7"/>
      <c r="M206" s="5"/>
      <c r="N206" s="2"/>
      <c r="Q206" s="6"/>
      <c r="R206" s="6"/>
    </row>
    <row r="207" spans="1:18" x14ac:dyDescent="0.25">
      <c r="A207">
        <f t="shared" si="5"/>
        <v>31.855344274341924</v>
      </c>
      <c r="B207" s="7">
        <f>IF([2]AGPeg!B193&lt;&gt;"",[2]AGPeg!B193,"")</f>
        <v>181</v>
      </c>
      <c r="C207" s="8">
        <f>IF([2]AGPeg!C193&lt;&gt;"",[2]AGPeg!C193,"")</f>
        <v>42658</v>
      </c>
      <c r="D207" s="9">
        <f>IF([2]AGPeg!D193&lt;&gt;"",[2]AGPeg!D193,"")</f>
        <v>0.88677083333333329</v>
      </c>
      <c r="E207" s="7">
        <f>IF([2]AGPeg!E193&lt;&gt;"",[2]AGPeg!E193,"")</f>
        <v>2457677.3886000002</v>
      </c>
      <c r="F207" s="20">
        <f t="shared" si="4"/>
        <v>0.85534427434192395</v>
      </c>
      <c r="G207" s="7" t="str">
        <f>IF([2]AGPeg!F193&lt;&gt;"",[2]AGPeg!F193,"")</f>
        <v>FBO</v>
      </c>
      <c r="H207" s="7" t="str">
        <f>IF([2]AGPeg!G193&lt;&gt;"",[2]AGPeg!G193,"")</f>
        <v>SJI-FR</v>
      </c>
      <c r="I207" s="7" t="str">
        <f>IF([2]AGPeg!H193&lt;&gt;"",[2]AGPeg!H193,"")</f>
        <v>SC8+Lisa+ATIK314L+</v>
      </c>
      <c r="J207" s="7">
        <f>IF([2]AGPeg!I193&lt;&gt;"",[2]AGPeg!I193,"")</f>
        <v>2200</v>
      </c>
      <c r="K207" s="7" t="str">
        <f>IF([2]AGPeg!J193&lt;&gt;"",[2]AGPeg!J193,"")</f>
        <v/>
      </c>
      <c r="L207" s="7"/>
      <c r="M207" s="5"/>
      <c r="N207" s="2"/>
      <c r="Q207" s="6"/>
      <c r="R207" s="6"/>
    </row>
    <row r="208" spans="1:18" x14ac:dyDescent="0.25">
      <c r="A208">
        <f t="shared" si="5"/>
        <v>31.86519718309836</v>
      </c>
      <c r="B208" s="17">
        <f>IF([2]AGPeg!B194&lt;&gt;"",[2]AGPeg!B194,"")</f>
        <v>182</v>
      </c>
      <c r="C208" s="18">
        <f>IF([2]AGPeg!C194&lt;&gt;"",[2]AGPeg!C194,"")</f>
        <v>42666</v>
      </c>
      <c r="D208" s="19">
        <f>IF([2]AGPeg!D194&lt;&gt;"",[2]AGPeg!D194,"")</f>
        <v>0.92879629629629623</v>
      </c>
      <c r="E208" s="17">
        <f>IF([2]AGPeg!E194&lt;&gt;"",[2]AGPeg!E194,"")</f>
        <v>2457685.4334999998</v>
      </c>
      <c r="F208" s="26">
        <f t="shared" si="4"/>
        <v>0.8651971830983598</v>
      </c>
      <c r="G208" s="17" t="str">
        <f>IF([2]AGPeg!F194&lt;&gt;"",[2]AGPeg!F194,"")</f>
        <v>JGF</v>
      </c>
      <c r="H208" s="17" t="str">
        <f>IF([2]AGPeg!G194&lt;&gt;"",[2]AGPeg!G194,"")</f>
        <v>SMM-SP</v>
      </c>
      <c r="I208" s="17" t="str">
        <f>IF([2]AGPeg!H194&lt;&gt;"",[2]AGPeg!H194,"")</f>
        <v>16REMOTATIK460EX</v>
      </c>
      <c r="J208" s="17">
        <f>IF([2]AGPeg!I194&lt;&gt;"",[2]AGPeg!I194,"")</f>
        <v>990</v>
      </c>
      <c r="K208" s="17" t="str">
        <f>IF([2]AGPeg!J194&lt;&gt;"",[2]AGPeg!J194,"")</f>
        <v/>
      </c>
      <c r="L208" s="17"/>
      <c r="M208" s="5"/>
      <c r="N208" s="2"/>
      <c r="Q208" s="6"/>
      <c r="R208" s="6"/>
    </row>
    <row r="209" spans="1:18" x14ac:dyDescent="0.25">
      <c r="A209">
        <f t="shared" si="5"/>
        <v>31.872424739742605</v>
      </c>
      <c r="B209" s="17">
        <f>IF([2]AGPeg!B195&lt;&gt;"",[2]AGPeg!B195,"")</f>
        <v>183</v>
      </c>
      <c r="C209" s="18">
        <f>IF([2]AGPeg!C195&lt;&gt;"",[2]AGPeg!C195,"")</f>
        <v>42672</v>
      </c>
      <c r="D209" s="19">
        <f>IF([2]AGPeg!D195&lt;&gt;"",[2]AGPeg!D195,"")</f>
        <v>0.8241087962962963</v>
      </c>
      <c r="E209" s="17">
        <f>IF([2]AGPeg!E195&lt;&gt;"",[2]AGPeg!E195,"")</f>
        <v>2457691.3347999998</v>
      </c>
      <c r="F209" s="26">
        <f t="shared" si="4"/>
        <v>0.87242473974260548</v>
      </c>
      <c r="G209" s="17" t="str">
        <f>IF([2]AGPeg!F195&lt;&gt;"",[2]AGPeg!F195,"")</f>
        <v xml:space="preserve">FMT </v>
      </c>
      <c r="H209" s="17" t="str">
        <f>IF([2]AGPeg!G195&lt;&gt;"",[2]AGPeg!G195,"")</f>
        <v>ORS-FR</v>
      </c>
      <c r="I209" s="17" t="str">
        <f>IF([2]AGPeg!H195&lt;&gt;"",[2]AGPeg!H195,"")</f>
        <v>SC14+eShel+Atik460ex</v>
      </c>
      <c r="J209" s="17">
        <f>IF([2]AGPeg!I195&lt;&gt;"",[2]AGPeg!I195,"")</f>
        <v>11000</v>
      </c>
      <c r="K209" s="17" t="str">
        <f>IF([2]AGPeg!J195&lt;&gt;"",[2]AGPeg!J195,"")</f>
        <v/>
      </c>
      <c r="L209" s="17"/>
      <c r="M209" s="5"/>
      <c r="N209" s="2"/>
      <c r="Q209" s="6"/>
      <c r="R209" s="6"/>
    </row>
    <row r="210" spans="1:18" x14ac:dyDescent="0.25">
      <c r="A210">
        <f t="shared" si="5"/>
        <v>31.876169259032601</v>
      </c>
      <c r="B210" s="17">
        <f>IF([2]AGPeg!B196&lt;&gt;"",[2]AGPeg!B196,"")</f>
        <v>184</v>
      </c>
      <c r="C210" s="18">
        <f>IF([2]AGPeg!C196&lt;&gt;"",[2]AGPeg!C196,"")</f>
        <v>42675</v>
      </c>
      <c r="D210" s="19">
        <f>IF([2]AGPeg!D196&lt;&gt;"",[2]AGPeg!D196,"")</f>
        <v>0.86886574074074074</v>
      </c>
      <c r="E210" s="17">
        <f>IF([2]AGPeg!E196&lt;&gt;"",[2]AGPeg!E196,"")</f>
        <v>2457694.3922000001</v>
      </c>
      <c r="F210" s="26">
        <f t="shared" si="4"/>
        <v>0.87616925903260068</v>
      </c>
      <c r="G210" s="17" t="str">
        <f>IF([2]AGPeg!F196&lt;&gt;"",[2]AGPeg!F196,"")</f>
        <v>JGF</v>
      </c>
      <c r="H210" s="17" t="str">
        <f>IF([2]AGPeg!G196&lt;&gt;"",[2]AGPeg!G196,"")</f>
        <v>PIE-SP</v>
      </c>
      <c r="I210" s="17" t="str">
        <f>IF([2]AGPeg!H196&lt;&gt;"",[2]AGPeg!H196,"")</f>
        <v>MUSSOL</v>
      </c>
      <c r="J210" s="17">
        <f>IF([2]AGPeg!I196&lt;&gt;"",[2]AGPeg!I196,"")</f>
        <v>10000</v>
      </c>
      <c r="K210" s="17" t="str">
        <f>IF([2]AGPeg!J196&lt;&gt;"",[2]AGPeg!J196,"")</f>
        <v/>
      </c>
      <c r="L210" s="17"/>
      <c r="M210" s="5"/>
      <c r="N210" s="2"/>
      <c r="Q210" s="6"/>
      <c r="R210" s="6"/>
    </row>
    <row r="211" spans="1:18" x14ac:dyDescent="0.25">
      <c r="A211">
        <f t="shared" si="5"/>
        <v>31.882198530312031</v>
      </c>
      <c r="B211" s="17">
        <f>IF([2]AGPeg!B197&lt;&gt;"",[2]AGPeg!B197,"")</f>
        <v>185</v>
      </c>
      <c r="C211" s="18">
        <f>IF([2]AGPeg!C197&lt;&gt;"",[2]AGPeg!C197,"")</f>
        <v>42680</v>
      </c>
      <c r="D211" s="19">
        <f>IF([2]AGPeg!D197&lt;&gt;"",[2]AGPeg!D197,"")</f>
        <v>0.80991898148148145</v>
      </c>
      <c r="E211" s="17">
        <f>IF([2]AGPeg!E197&lt;&gt;"",[2]AGPeg!E197,"")</f>
        <v>2457699.3150999998</v>
      </c>
      <c r="F211" s="26">
        <f t="shared" si="4"/>
        <v>0.88219853031203144</v>
      </c>
      <c r="G211" s="17" t="str">
        <f>IF([2]AGPeg!F197&lt;&gt;"",[2]AGPeg!F197,"")</f>
        <v>FCA</v>
      </c>
      <c r="H211" s="17" t="str">
        <f>IF([2]AGPeg!G197&lt;&gt;"",[2]AGPeg!G197,"")</f>
        <v>PAG-SP</v>
      </c>
      <c r="I211" s="17" t="str">
        <f>IF([2]AGPeg!H197&lt;&gt;"",[2]AGPeg!H197,"")</f>
        <v>N-200DADOS-200ATI</v>
      </c>
      <c r="J211" s="17">
        <f>IF([2]AGPeg!I197&lt;&gt;"",[2]AGPeg!I197,"")</f>
        <v>800</v>
      </c>
      <c r="K211" s="17" t="str">
        <f>IF([2]AGPeg!J197&lt;&gt;"",[2]AGPeg!J197,"")</f>
        <v/>
      </c>
      <c r="L211" s="17"/>
      <c r="M211" s="5"/>
      <c r="N211" s="2"/>
      <c r="Q211" s="6"/>
      <c r="R211" s="6"/>
    </row>
    <row r="212" spans="1:18" x14ac:dyDescent="0.25">
      <c r="A212">
        <f t="shared" si="5"/>
        <v>31.884685241885879</v>
      </c>
      <c r="B212" s="17">
        <f>IF([2]AGPeg!B198&lt;&gt;"",[2]AGPeg!B198,"")</f>
        <v>186</v>
      </c>
      <c r="C212" s="18">
        <f>IF([2]AGPeg!C198&lt;&gt;"",[2]AGPeg!C198,"")</f>
        <v>42682</v>
      </c>
      <c r="D212" s="19">
        <f>IF([2]AGPeg!D198&lt;&gt;"",[2]AGPeg!D198,"")</f>
        <v>0.83928240740740734</v>
      </c>
      <c r="E212" s="17">
        <f>IF([2]AGPeg!E198&lt;&gt;"",[2]AGPeg!E198,"")</f>
        <v>2457701.3454999998</v>
      </c>
      <c r="F212" s="26">
        <f t="shared" si="4"/>
        <v>0.88468524188587949</v>
      </c>
      <c r="G212" s="17" t="str">
        <f>IF([2]AGPeg!F198&lt;&gt;"",[2]AGPeg!F198,"")</f>
        <v>JGF</v>
      </c>
      <c r="H212" s="17" t="str">
        <f>IF([2]AGPeg!G198&lt;&gt;"",[2]AGPeg!G198,"")</f>
        <v>SMM-SP</v>
      </c>
      <c r="I212" s="17" t="str">
        <f>IF([2]AGPeg!H198&lt;&gt;"",[2]AGPeg!H198,"")</f>
        <v>16REMOTATIK460EX</v>
      </c>
      <c r="J212" s="17">
        <f>IF([2]AGPeg!I198&lt;&gt;"",[2]AGPeg!I198,"")</f>
        <v>1020</v>
      </c>
      <c r="K212" s="17" t="str">
        <f>IF([2]AGPeg!J198&lt;&gt;"",[2]AGPeg!J198,"")</f>
        <v/>
      </c>
      <c r="L212" s="17"/>
      <c r="M212" s="5"/>
      <c r="N212" s="2"/>
      <c r="Q212" s="6"/>
      <c r="R212" s="6"/>
    </row>
    <row r="213" spans="1:18" x14ac:dyDescent="0.25">
      <c r="A213">
        <f t="shared" si="5"/>
        <v>31.893357746478738</v>
      </c>
      <c r="B213" s="17">
        <f>IF([2]AGPeg!B199&lt;&gt;"",[2]AGPeg!B199,"")</f>
        <v>187</v>
      </c>
      <c r="C213" s="18">
        <f>IF([2]AGPeg!C199&lt;&gt;"",[2]AGPeg!C199,"")</f>
        <v>42689</v>
      </c>
      <c r="D213" s="19">
        <f>IF([2]AGPeg!D199&lt;&gt;"",[2]AGPeg!D199,"")</f>
        <v>0.90792824074074074</v>
      </c>
      <c r="E213" s="17">
        <f>IF([2]AGPeg!E199&lt;&gt;"",[2]AGPeg!E199,"")</f>
        <v>2457708.4265999999</v>
      </c>
      <c r="F213" s="26">
        <f t="shared" si="4"/>
        <v>0.89335774647873833</v>
      </c>
      <c r="G213" s="17" t="str">
        <f>IF([2]AGPeg!F199&lt;&gt;"",[2]AGPeg!F199,"")</f>
        <v>JGF</v>
      </c>
      <c r="H213" s="17" t="str">
        <f>IF([2]AGPeg!G199&lt;&gt;"",[2]AGPeg!G199,"")</f>
        <v>PIE-SP</v>
      </c>
      <c r="I213" s="17" t="str">
        <f>IF([2]AGPeg!H199&lt;&gt;"",[2]AGPeg!H199,"")</f>
        <v>MUSSOL</v>
      </c>
      <c r="J213" s="17">
        <f>IF([2]AGPeg!I199&lt;&gt;"",[2]AGPeg!I199,"")</f>
        <v>10000</v>
      </c>
      <c r="K213" s="17" t="str">
        <f>IF([2]AGPeg!J199&lt;&gt;"",[2]AGPeg!J199,"")</f>
        <v/>
      </c>
      <c r="L213" s="17"/>
      <c r="M213" s="5"/>
      <c r="N213" s="2"/>
      <c r="Q213" s="6"/>
      <c r="R213" s="6"/>
    </row>
    <row r="214" spans="1:18" x14ac:dyDescent="0.25">
      <c r="A214">
        <f t="shared" si="5"/>
        <v>31.894456705450327</v>
      </c>
      <c r="B214" s="17">
        <f>IF([2]AGPeg!B200&lt;&gt;"",[2]AGPeg!B200,"")</f>
        <v>188</v>
      </c>
      <c r="C214" s="18">
        <f>IF([2]AGPeg!C200&lt;&gt;"",[2]AGPeg!C200,"")</f>
        <v>42690</v>
      </c>
      <c r="D214" s="19">
        <f>IF([2]AGPeg!D200&lt;&gt;"",[2]AGPeg!D200,"")</f>
        <v>0.80325231481481485</v>
      </c>
      <c r="E214" s="17">
        <f>IF([2]AGPeg!E200&lt;&gt;"",[2]AGPeg!E200,"")</f>
        <v>2457709.3239000002</v>
      </c>
      <c r="F214" s="26">
        <f t="shared" si="4"/>
        <v>0.89445670545032741</v>
      </c>
      <c r="G214" s="17" t="str">
        <f>IF([2]AGPeg!F200&lt;&gt;"",[2]AGPeg!F200,"")</f>
        <v>JGF</v>
      </c>
      <c r="H214" s="17" t="str">
        <f>IF([2]AGPeg!G200&lt;&gt;"",[2]AGPeg!G200,"")</f>
        <v>PIE-SP</v>
      </c>
      <c r="I214" s="17" t="str">
        <f>IF([2]AGPeg!H200&lt;&gt;"",[2]AGPeg!H200,"")</f>
        <v>MUSSOL</v>
      </c>
      <c r="J214" s="17">
        <f>IF([2]AGPeg!I200&lt;&gt;"",[2]AGPeg!I200,"")</f>
        <v>10000</v>
      </c>
      <c r="K214" s="17" t="str">
        <f>IF([2]AGPeg!J200&lt;&gt;"",[2]AGPeg!J200,"")</f>
        <v/>
      </c>
      <c r="L214" s="17"/>
      <c r="M214" s="5"/>
      <c r="N214" s="2"/>
      <c r="Q214" s="6"/>
      <c r="R214" s="6"/>
    </row>
    <row r="215" spans="1:18" x14ac:dyDescent="0.25">
      <c r="A215">
        <f t="shared" si="5"/>
        <v>31.910365707287195</v>
      </c>
      <c r="B215" s="17">
        <f>IF([2]AGPeg!B201&lt;&gt;"",[2]AGPeg!B201,"")</f>
        <v>189</v>
      </c>
      <c r="C215" s="18">
        <f>IF([2]AGPeg!C201&lt;&gt;"",[2]AGPeg!C201,"")</f>
        <v>42703</v>
      </c>
      <c r="D215" s="19">
        <f>IF([2]AGPeg!D201&lt;&gt;"",[2]AGPeg!D201,"")</f>
        <v>0.80116898148148152</v>
      </c>
      <c r="E215" s="17">
        <f>IF([2]AGPeg!E201&lt;&gt;"",[2]AGPeg!E201,"")</f>
        <v>2457722.3136</v>
      </c>
      <c r="F215" s="26">
        <f t="shared" si="4"/>
        <v>0.91036570728719468</v>
      </c>
      <c r="G215" s="17" t="str">
        <f>IF([2]AGPeg!F201&lt;&gt;"",[2]AGPeg!F201,"")</f>
        <v xml:space="preserve">FMT </v>
      </c>
      <c r="H215" s="17" t="str">
        <f>IF([2]AGPeg!G201&lt;&gt;"",[2]AGPeg!G201,"")</f>
        <v>ORS-FR</v>
      </c>
      <c r="I215" s="17" t="str">
        <f>IF([2]AGPeg!H201&lt;&gt;"",[2]AGPeg!H201,"")</f>
        <v>SC14+eShel+Atik460ex</v>
      </c>
      <c r="J215" s="17">
        <f>IF([2]AGPeg!I201&lt;&gt;"",[2]AGPeg!I201,"")</f>
        <v>11000</v>
      </c>
      <c r="K215" s="17" t="str">
        <f>IF([2]AGPeg!J201&lt;&gt;"",[2]AGPeg!J201,"")</f>
        <v/>
      </c>
      <c r="L215" s="17"/>
      <c r="M215" s="5"/>
      <c r="N215" s="2"/>
      <c r="Q215" s="6"/>
      <c r="R215" s="6"/>
    </row>
    <row r="216" spans="1:18" x14ac:dyDescent="0.25">
      <c r="A216">
        <f t="shared" si="5"/>
        <v>31.91161959583598</v>
      </c>
      <c r="B216" s="17">
        <f>IF([2]AGPeg!B202&lt;&gt;"",[2]AGPeg!B202,"")</f>
        <v>190</v>
      </c>
      <c r="C216" s="18">
        <f>IF([2]AGPeg!C202&lt;&gt;"",[2]AGPeg!C202,"")</f>
        <v>42704</v>
      </c>
      <c r="D216" s="19">
        <f>IF([2]AGPeg!D202&lt;&gt;"",[2]AGPeg!D202,"")</f>
        <v>0.82635416666666661</v>
      </c>
      <c r="E216" s="17">
        <f>IF([2]AGPeg!E202&lt;&gt;"",[2]AGPeg!E202,"")</f>
        <v>2457723.3374000001</v>
      </c>
      <c r="F216" s="26">
        <f t="shared" si="4"/>
        <v>0.91161959583597962</v>
      </c>
      <c r="G216" s="17" t="str">
        <f>IF([2]AGPeg!F202&lt;&gt;"",[2]AGPeg!F202,"")</f>
        <v>DBO</v>
      </c>
      <c r="H216" s="17" t="str">
        <f>IF([2]AGPeg!G202&lt;&gt;"",[2]AGPeg!G202,"")</f>
        <v>WCO-UK</v>
      </c>
      <c r="I216" s="17" t="str">
        <f>IF([2]AGPeg!H202&lt;&gt;"",[2]AGPeg!H202,"")</f>
        <v>C11+Lisa+SXVR-H</v>
      </c>
      <c r="J216" s="17">
        <f>IF([2]AGPeg!I202&lt;&gt;"",[2]AGPeg!I202,"")</f>
        <v>826</v>
      </c>
      <c r="K216" s="17" t="str">
        <f>IF([2]AGPeg!J202&lt;&gt;"",[2]AGPeg!J202,"")</f>
        <v/>
      </c>
      <c r="L216" s="17"/>
      <c r="M216" s="5"/>
      <c r="N216" s="2"/>
      <c r="Q216" s="6"/>
      <c r="R216" s="6"/>
    </row>
    <row r="217" spans="1:18" x14ac:dyDescent="0.25">
      <c r="A217">
        <f t="shared" si="5"/>
        <v>31.912883894672571</v>
      </c>
      <c r="B217" s="17">
        <f>IF([2]AGPeg!B203&lt;&gt;"",[2]AGPeg!B203,"")</f>
        <v>191</v>
      </c>
      <c r="C217" s="18">
        <f>IF([2]AGPeg!C203&lt;&gt;"",[2]AGPeg!C203,"")</f>
        <v>42705</v>
      </c>
      <c r="D217" s="19">
        <f>IF([2]AGPeg!D203&lt;&gt;"",[2]AGPeg!D203,"")</f>
        <v>0.84634259259259259</v>
      </c>
      <c r="E217" s="17">
        <f>IF([2]AGPeg!E203&lt;&gt;"",[2]AGPeg!E203,"")</f>
        <v>2457724.3697000002</v>
      </c>
      <c r="F217" s="26">
        <f t="shared" si="4"/>
        <v>0.91288389467257147</v>
      </c>
      <c r="G217" s="17" t="str">
        <f>IF([2]AGPeg!F203&lt;&gt;"",[2]AGPeg!F203,"")</f>
        <v>JGF</v>
      </c>
      <c r="H217" s="17" t="str">
        <f>IF([2]AGPeg!G203&lt;&gt;"",[2]AGPeg!G203,"")</f>
        <v>PIE-SP</v>
      </c>
      <c r="I217" s="17" t="str">
        <f>IF([2]AGPeg!H203&lt;&gt;"",[2]AGPeg!H203,"")</f>
        <v>MUSSOL</v>
      </c>
      <c r="J217" s="17">
        <f>IF([2]AGPeg!I203&lt;&gt;"",[2]AGPeg!I203,"")</f>
        <v>11000</v>
      </c>
      <c r="K217" s="17" t="str">
        <f>IF([2]AGPeg!J203&lt;&gt;"",[2]AGPeg!J203,"")</f>
        <v/>
      </c>
      <c r="L217" s="17"/>
      <c r="M217" s="5"/>
      <c r="N217" s="2"/>
      <c r="Q217" s="6"/>
      <c r="R217" s="6"/>
    </row>
    <row r="218" spans="1:18" x14ac:dyDescent="0.25">
      <c r="A218">
        <f t="shared" si="5"/>
        <v>31.918848254745832</v>
      </c>
      <c r="B218" s="17">
        <f>IF([2]AGPeg!B204&lt;&gt;"",[2]AGPeg!B204,"")</f>
        <v>192</v>
      </c>
      <c r="C218" s="18">
        <f>IF([2]AGPeg!C204&lt;&gt;"",[2]AGPeg!C204,"")</f>
        <v>42710</v>
      </c>
      <c r="D218" s="19">
        <f>IF([2]AGPeg!D204&lt;&gt;"",[2]AGPeg!D204,"")</f>
        <v>0.73717592592592596</v>
      </c>
      <c r="E218" s="17">
        <f>IF([2]AGPeg!E204&lt;&gt;"",[2]AGPeg!E204,"")</f>
        <v>2457729.2396</v>
      </c>
      <c r="F218" s="26">
        <f t="shared" si="4"/>
        <v>0.91884825474583209</v>
      </c>
      <c r="G218" s="17" t="str">
        <f>IF([2]AGPeg!F204&lt;&gt;"",[2]AGPeg!F204,"")</f>
        <v>JGF</v>
      </c>
      <c r="H218" s="17" t="str">
        <f>IF([2]AGPeg!G204&lt;&gt;"",[2]AGPeg!G204,"")</f>
        <v>SMM-SP</v>
      </c>
      <c r="I218" s="17" t="str">
        <f>IF([2]AGPeg!H204&lt;&gt;"",[2]AGPeg!H204,"")</f>
        <v>16REMOTATIK460EX</v>
      </c>
      <c r="J218" s="17">
        <f>IF([2]AGPeg!I204&lt;&gt;"",[2]AGPeg!I204,"")</f>
        <v>1044</v>
      </c>
      <c r="K218" s="17" t="str">
        <f>IF([2]AGPeg!J204&lt;&gt;"",[2]AGPeg!J204,"")</f>
        <v/>
      </c>
      <c r="L218" s="17"/>
      <c r="M218" s="5"/>
      <c r="N218" s="2"/>
      <c r="Q218" s="6"/>
      <c r="R218" s="6"/>
    </row>
    <row r="219" spans="1:18" x14ac:dyDescent="0.25">
      <c r="A219">
        <f t="shared" si="5"/>
        <v>31.931127617881046</v>
      </c>
      <c r="B219" s="17">
        <f>IF([2]AGPeg!B205&lt;&gt;"",[2]AGPeg!B205,"")</f>
        <v>193</v>
      </c>
      <c r="C219" s="18">
        <f>IF([2]AGPeg!C205&lt;&gt;"",[2]AGPeg!C205,"")</f>
        <v>42720</v>
      </c>
      <c r="D219" s="19">
        <f>IF([2]AGPeg!D205&lt;&gt;"",[2]AGPeg!D205,"")</f>
        <v>0.74936342592592586</v>
      </c>
      <c r="E219" s="17">
        <f>IF([2]AGPeg!E205&lt;&gt;"",[2]AGPeg!E205,"")</f>
        <v>2457739.2656999999</v>
      </c>
      <c r="F219" s="26">
        <f t="shared" si="4"/>
        <v>0.93112761788104592</v>
      </c>
      <c r="G219" s="17" t="str">
        <f>IF([2]AGPeg!F205&lt;&gt;"",[2]AGPeg!F205,"")</f>
        <v xml:space="preserve">FMT </v>
      </c>
      <c r="H219" s="17" t="str">
        <f>IF([2]AGPeg!G205&lt;&gt;"",[2]AGPeg!G205,"")</f>
        <v>ORS-FR</v>
      </c>
      <c r="I219" s="17" t="str">
        <f>IF([2]AGPeg!H205&lt;&gt;"",[2]AGPeg!H205,"")</f>
        <v>SC14+eShel+Atik460ex</v>
      </c>
      <c r="J219" s="17">
        <f>IF([2]AGPeg!I205&lt;&gt;"",[2]AGPeg!I205,"")</f>
        <v>11000</v>
      </c>
      <c r="K219" s="17" t="str">
        <f>IF([2]AGPeg!J205&lt;&gt;"",[2]AGPeg!J205,"")</f>
        <v/>
      </c>
      <c r="L219" s="17"/>
      <c r="M219" s="5"/>
      <c r="N219" s="2"/>
      <c r="Q219" s="6"/>
      <c r="R219" s="6"/>
    </row>
    <row r="220" spans="1:18" x14ac:dyDescent="0.25">
      <c r="A220">
        <f t="shared" si="5"/>
        <v>31.951907042253691</v>
      </c>
      <c r="B220" s="17">
        <f>IF([2]AGPeg!B206&lt;&gt;"",[2]AGPeg!B206,"")</f>
        <v>194</v>
      </c>
      <c r="C220" s="18">
        <f>IF([2]AGPeg!C206&lt;&gt;"",[2]AGPeg!C206,"")</f>
        <v>42737</v>
      </c>
      <c r="D220" s="19">
        <f>IF([2]AGPeg!D206&lt;&gt;"",[2]AGPeg!D206,"")</f>
        <v>0.71785879629629623</v>
      </c>
      <c r="E220" s="17">
        <f>IF([2]AGPeg!E206&lt;&gt;"",[2]AGPeg!E206,"")</f>
        <v>2457756.2321000001</v>
      </c>
      <c r="F220" s="26">
        <f t="shared" ref="F220:F225" si="6">(E220-$A$2)/$A$3-INT((E220-$A$2)/$A$3)</f>
        <v>0.95190704225369061</v>
      </c>
      <c r="G220" s="17" t="str">
        <f>IF([2]AGPeg!F206&lt;&gt;"",[2]AGPeg!F206,"")</f>
        <v xml:space="preserve">FMT </v>
      </c>
      <c r="H220" s="17" t="str">
        <f>IF([2]AGPeg!G206&lt;&gt;"",[2]AGPeg!G206,"")</f>
        <v>ORS-FR</v>
      </c>
      <c r="I220" s="17" t="str">
        <f>IF([2]AGPeg!H206&lt;&gt;"",[2]AGPeg!H206,"")</f>
        <v>SC14+eShel+Atik460ex</v>
      </c>
      <c r="J220" s="17">
        <f>IF([2]AGPeg!I206&lt;&gt;"",[2]AGPeg!I206,"")</f>
        <v>11000</v>
      </c>
      <c r="K220" s="17" t="str">
        <f>IF([2]AGPeg!J206&lt;&gt;"",[2]AGPeg!J206,"")</f>
        <v/>
      </c>
      <c r="L220" s="17"/>
      <c r="M220" s="5"/>
      <c r="N220" s="2"/>
      <c r="Q220" s="6"/>
      <c r="R220" s="6"/>
    </row>
    <row r="221" spans="1:18" x14ac:dyDescent="0.25">
      <c r="A221">
        <f t="shared" si="5"/>
        <v>31.953156031843271</v>
      </c>
      <c r="B221" s="17">
        <f>IF([2]AGPeg!B207&lt;&gt;"",[2]AGPeg!B207,"")</f>
        <v>195</v>
      </c>
      <c r="C221" s="18">
        <f>IF([2]AGPeg!C207&lt;&gt;"",[2]AGPeg!C207,"")</f>
        <v>42738</v>
      </c>
      <c r="D221" s="19">
        <f>IF([2]AGPeg!D207&lt;&gt;"",[2]AGPeg!D207,"")</f>
        <v>0.74144675925925929</v>
      </c>
      <c r="E221" s="17">
        <f>IF([2]AGPeg!E207&lt;&gt;"",[2]AGPeg!E207,"")</f>
        <v>2457757.2519</v>
      </c>
      <c r="F221" s="26">
        <f t="shared" si="6"/>
        <v>0.95315603184327102</v>
      </c>
      <c r="G221" s="17" t="str">
        <f>IF([2]AGPeg!F207&lt;&gt;"",[2]AGPeg!F207,"")</f>
        <v>FCA</v>
      </c>
      <c r="H221" s="17" t="str">
        <f>IF([2]AGPeg!G207&lt;&gt;"",[2]AGPeg!G207,"")</f>
        <v>PAG-SP</v>
      </c>
      <c r="I221" s="17" t="str">
        <f>IF([2]AGPeg!H207&lt;&gt;"",[2]AGPeg!H207,"")</f>
        <v>N-200DADOS-200ATI</v>
      </c>
      <c r="J221" s="17">
        <f>IF([2]AGPeg!I207&lt;&gt;"",[2]AGPeg!I207,"")</f>
        <v>825</v>
      </c>
      <c r="K221" s="17" t="str">
        <f>IF([2]AGPeg!J207&lt;&gt;"",[2]AGPeg!J207,"")</f>
        <v/>
      </c>
      <c r="L221" s="17"/>
      <c r="M221" s="5"/>
      <c r="N221" s="2"/>
      <c r="Q221" s="6"/>
      <c r="R221" s="6"/>
    </row>
    <row r="222" spans="1:18" x14ac:dyDescent="0.25">
      <c r="A222">
        <f t="shared" si="5"/>
        <v>31.972744519289627</v>
      </c>
      <c r="B222" s="17">
        <f>IF([2]AGPeg!B208&lt;&gt;"",[2]AGPeg!B208,"")</f>
        <v>196</v>
      </c>
      <c r="C222" s="18">
        <f>IF([2]AGPeg!C208&lt;&gt;"",[2]AGPeg!C208,"")</f>
        <v>42754</v>
      </c>
      <c r="D222" s="19">
        <f>IF([2]AGPeg!D208&lt;&gt;"",[2]AGPeg!D208,"")</f>
        <v>0.73381944444444447</v>
      </c>
      <c r="E222" s="17">
        <f>IF([2]AGPeg!E208&lt;&gt;"",[2]AGPeg!E208,"")</f>
        <v>2457773.2459</v>
      </c>
      <c r="F222" s="26">
        <f t="shared" si="6"/>
        <v>0.97274451928962691</v>
      </c>
      <c r="G222" s="17" t="str">
        <f>IF([2]AGPeg!F208&lt;&gt;"",[2]AGPeg!F208,"")</f>
        <v>DBO</v>
      </c>
      <c r="H222" s="17" t="str">
        <f>IF([2]AGPeg!G208&lt;&gt;"",[2]AGPeg!G208,"")</f>
        <v>WCO-UK</v>
      </c>
      <c r="I222" s="17" t="str">
        <f>IF([2]AGPeg!H208&lt;&gt;"",[2]AGPeg!H208,"")</f>
        <v>C11+Lisa+SXVR-H</v>
      </c>
      <c r="J222" s="17">
        <f>IF([2]AGPeg!I208&lt;&gt;"",[2]AGPeg!I208,"")</f>
        <v>729</v>
      </c>
      <c r="K222" s="17" t="str">
        <f>IF([2]AGPeg!J208&lt;&gt;"",[2]AGPeg!J208,"")</f>
        <v/>
      </c>
      <c r="L222" s="17"/>
      <c r="N222" s="2"/>
    </row>
    <row r="223" spans="1:18" x14ac:dyDescent="0.25">
      <c r="A223">
        <f t="shared" si="5"/>
        <v>31.980110593999019</v>
      </c>
      <c r="B223" s="17">
        <f>IF([2]AGPeg!B209&lt;&gt;"",[2]AGPeg!B209,"")</f>
        <v>197</v>
      </c>
      <c r="C223" s="18">
        <f>IF([2]AGPeg!C209&lt;&gt;"",[2]AGPeg!C209,"")</f>
        <v>42760</v>
      </c>
      <c r="D223" s="19">
        <f>IF([2]AGPeg!D209&lt;&gt;"",[2]AGPeg!D209,"")</f>
        <v>0.75740740740740742</v>
      </c>
      <c r="E223" s="17">
        <f>IF([2]AGPeg!E209&lt;&gt;"",[2]AGPeg!E209,"")</f>
        <v>2457779.2603000002</v>
      </c>
      <c r="F223" s="26">
        <f t="shared" si="6"/>
        <v>0.98011059399901868</v>
      </c>
      <c r="G223" s="17" t="str">
        <f>IF([2]AGPeg!F209&lt;&gt;"",[2]AGPeg!F209,"")</f>
        <v>FBO</v>
      </c>
      <c r="H223" s="17" t="str">
        <f>IF([2]AGPeg!G209&lt;&gt;"",[2]AGPeg!G209,"")</f>
        <v>SJI-FR</v>
      </c>
      <c r="I223" s="17" t="str">
        <f>IF([2]AGPeg!H209&lt;&gt;"",[2]AGPeg!H209,"")</f>
        <v>SC8+Lisa+ATIK314L+</v>
      </c>
      <c r="J223" s="17">
        <f>IF([2]AGPeg!I209&lt;&gt;"",[2]AGPeg!I209,"")</f>
        <v>2200</v>
      </c>
      <c r="K223" s="17" t="str">
        <f>IF([2]AGPeg!J209&lt;&gt;"",[2]AGPeg!J209,"")</f>
        <v/>
      </c>
      <c r="L223" s="17"/>
      <c r="N223" s="2"/>
    </row>
    <row r="224" spans="1:18" x14ac:dyDescent="0.25">
      <c r="A224">
        <f t="shared" si="5"/>
        <v>32.155591059399718</v>
      </c>
      <c r="B224" s="17">
        <f>IF([2]AGPeg!B210&lt;&gt;"",[2]AGPeg!B210,"")</f>
        <v>198</v>
      </c>
      <c r="C224" s="18">
        <f>IF([2]AGPeg!C210&lt;&gt;"",[2]AGPeg!C210,"")</f>
        <v>42904</v>
      </c>
      <c r="D224" s="19">
        <f>IF([2]AGPeg!D210&lt;&gt;"",[2]AGPeg!D210,"")</f>
        <v>1.8101851851851852E-2</v>
      </c>
      <c r="E224" s="17">
        <f>IF([2]AGPeg!E210&lt;&gt;"",[2]AGPeg!E210,"")</f>
        <v>2457922.5400999999</v>
      </c>
      <c r="F224" s="26">
        <f t="shared" si="6"/>
        <v>0.15559105939971829</v>
      </c>
      <c r="G224" s="17" t="str">
        <f>IF([2]AGPeg!F210&lt;&gt;"",[2]AGPeg!F210,"")</f>
        <v xml:space="preserve">FMT </v>
      </c>
      <c r="H224" s="17" t="str">
        <f>IF([2]AGPeg!G210&lt;&gt;"",[2]AGPeg!G210,"")</f>
        <v>ORS-FR</v>
      </c>
      <c r="I224" s="17" t="str">
        <f>IF([2]AGPeg!H210&lt;&gt;"",[2]AGPeg!H210,"")</f>
        <v>SC14+eShel+Atik460ex</v>
      </c>
      <c r="J224" s="17">
        <f>IF([2]AGPeg!I210&lt;&gt;"",[2]AGPeg!I210,"")</f>
        <v>11000</v>
      </c>
      <c r="K224" s="17" t="str">
        <f>IF([2]AGPeg!J210&lt;&gt;"",[2]AGPeg!J210,"")</f>
        <v/>
      </c>
      <c r="L224" s="17"/>
      <c r="N224" s="2"/>
    </row>
    <row r="225" spans="1:14" x14ac:dyDescent="0.25">
      <c r="A225">
        <f t="shared" ref="A225:A288" si="7">(E225-$A$2)/$A$3</f>
        <v>32.17665511328871</v>
      </c>
      <c r="B225" s="17">
        <f>IF([2]AGPeg!B211&lt;&gt;"",[2]AGPeg!B211,"")</f>
        <v>199</v>
      </c>
      <c r="C225" s="18">
        <f>IF([2]AGPeg!C211&lt;&gt;"",[2]AGPeg!C211,"")</f>
        <v>42921</v>
      </c>
      <c r="D225" s="19">
        <f>IF([2]AGPeg!D211&lt;&gt;"",[2]AGPeg!D211,"")</f>
        <v>0.20304398148148148</v>
      </c>
      <c r="E225" s="17">
        <f>IF([2]AGPeg!E211&lt;&gt;"",[2]AGPeg!E211,"")</f>
        <v>2457939.7389000002</v>
      </c>
      <c r="F225" s="26">
        <f t="shared" si="6"/>
        <v>0.1766551132887102</v>
      </c>
      <c r="G225" s="17" t="str">
        <f>IF([2]AGPeg!F211&lt;&gt;"",[2]AGPeg!F211,"")</f>
        <v>LES</v>
      </c>
      <c r="H225" s="17" t="str">
        <f>IF([2]AGPeg!G211&lt;&gt;"",[2]AGPeg!G211,"")</f>
        <v>MRO-CA</v>
      </c>
      <c r="I225" s="17" t="str">
        <f>IF([2]AGPeg!H211&lt;&gt;"",[2]AGPeg!H211,"")</f>
        <v>DK310+Echelle_ESSAT</v>
      </c>
      <c r="J225" s="17">
        <f>IF([2]AGPeg!I211&lt;&gt;"",[2]AGPeg!I211,"")</f>
        <v>13000</v>
      </c>
      <c r="K225" s="17" t="str">
        <f>IF([2]AGPeg!J211&lt;&gt;"",[2]AGPeg!J211,"")</f>
        <v/>
      </c>
      <c r="L225" s="17"/>
      <c r="N225" s="2"/>
    </row>
    <row r="226" spans="1:14" x14ac:dyDescent="0.25">
      <c r="A226">
        <f t="shared" si="7"/>
        <v>32.204458542559948</v>
      </c>
      <c r="B226" s="17">
        <f>IF([2]AGPeg!B212&lt;&gt;"",[2]AGPeg!B212,"")</f>
        <v>200</v>
      </c>
      <c r="C226" s="18">
        <f>IF([2]AGPeg!C212&lt;&gt;"",[2]AGPeg!C212,"")</f>
        <v>42943</v>
      </c>
      <c r="D226" s="19">
        <f>IF([2]AGPeg!D212&lt;&gt;"",[2]AGPeg!D212,"")</f>
        <v>0.93012731481481481</v>
      </c>
      <c r="E226" s="17">
        <f>IF([2]AGPeg!E212&lt;&gt;"",[2]AGPeg!E212,"")</f>
        <v>2457962.4404000002</v>
      </c>
      <c r="F226" s="26">
        <f t="shared" ref="F226:F233" si="8">(E226-$A$2)/$A$3-INT((E226-$A$2)/$A$3)</f>
        <v>0.20445854255994789</v>
      </c>
      <c r="G226" s="17" t="str">
        <f>IF([2]AGPeg!F212&lt;&gt;"",[2]AGPeg!F212,"")</f>
        <v>DBO</v>
      </c>
      <c r="H226" s="17" t="str">
        <f>IF([2]AGPeg!G212&lt;&gt;"",[2]AGPeg!G212,"")</f>
        <v>WCO-UK</v>
      </c>
      <c r="I226" s="17" t="str">
        <f>IF([2]AGPeg!H212&lt;&gt;"",[2]AGPeg!H212,"")</f>
        <v>C11+Lisa+SXVR-H</v>
      </c>
      <c r="J226" s="17">
        <f>IF([2]AGPeg!I212&lt;&gt;"",[2]AGPeg!I212,"")</f>
        <v>978</v>
      </c>
      <c r="K226" s="17" t="str">
        <f>IF([2]AGPeg!J212&lt;&gt;"",[2]AGPeg!J212,"")</f>
        <v/>
      </c>
      <c r="L226" s="17"/>
      <c r="N226" s="2"/>
    </row>
    <row r="227" spans="1:14" x14ac:dyDescent="0.25">
      <c r="A227">
        <f t="shared" si="7"/>
        <v>32.215525413349511</v>
      </c>
      <c r="B227" s="17">
        <f>IF([2]AGPeg!B213&lt;&gt;"",[2]AGPeg!B213,"")</f>
        <v>201</v>
      </c>
      <c r="C227" s="18">
        <f>IF([2]AGPeg!C213&lt;&gt;"",[2]AGPeg!C213,"")</f>
        <v>42952</v>
      </c>
      <c r="D227" s="19">
        <f>IF([2]AGPeg!D213&lt;&gt;"",[2]AGPeg!D213,"")</f>
        <v>0.96339120370370368</v>
      </c>
      <c r="E227" s="17">
        <f>IF([2]AGPeg!E213&lt;&gt;"",[2]AGPeg!E213,"")</f>
        <v>2457971.4764999999</v>
      </c>
      <c r="F227" s="26">
        <f t="shared" si="8"/>
        <v>0.21552541334951059</v>
      </c>
      <c r="G227" s="17" t="str">
        <f>IF([2]AGPeg!F213&lt;&gt;"",[2]AGPeg!F213,"")</f>
        <v xml:space="preserve">FMT </v>
      </c>
      <c r="H227" s="17" t="str">
        <f>IF([2]AGPeg!G213&lt;&gt;"",[2]AGPeg!G213,"")</f>
        <v>ORS-FR</v>
      </c>
      <c r="I227" s="17" t="str">
        <f>IF([2]AGPeg!H213&lt;&gt;"",[2]AGPeg!H213,"")</f>
        <v>SC14+eShel+Atik460ex</v>
      </c>
      <c r="J227" s="17">
        <f>IF([2]AGPeg!I213&lt;&gt;"",[2]AGPeg!I213,"")</f>
        <v>11000</v>
      </c>
      <c r="K227" s="17" t="str">
        <f>IF([2]AGPeg!J213&lt;&gt;"",[2]AGPeg!J213,"")</f>
        <v/>
      </c>
      <c r="L227" s="17"/>
      <c r="N227" s="2"/>
    </row>
    <row r="228" spans="1:14" x14ac:dyDescent="0.25">
      <c r="A228">
        <f t="shared" si="7"/>
        <v>32.225289895897305</v>
      </c>
      <c r="B228" s="17">
        <f>IF([2]AGPeg!B214&lt;&gt;"",[2]AGPeg!B214,"")</f>
        <v>202</v>
      </c>
      <c r="C228" s="18">
        <f>IF([2]AGPeg!C214&lt;&gt;"",[2]AGPeg!C214,"")</f>
        <v>42960</v>
      </c>
      <c r="D228" s="19">
        <f>IF([2]AGPeg!D214&lt;&gt;"",[2]AGPeg!D214,"")</f>
        <v>0.93752314814814808</v>
      </c>
      <c r="E228" s="17">
        <f>IF([2]AGPeg!E214&lt;&gt;"",[2]AGPeg!E214,"")</f>
        <v>2457979.4492000001</v>
      </c>
      <c r="F228" s="26">
        <f t="shared" si="8"/>
        <v>0.22528989589730486</v>
      </c>
      <c r="G228" s="17" t="str">
        <f>IF([2]AGPeg!F214&lt;&gt;"",[2]AGPeg!F214,"")</f>
        <v>FCA</v>
      </c>
      <c r="H228" s="17" t="str">
        <f>IF([2]AGPeg!G214&lt;&gt;"",[2]AGPeg!G214,"")</f>
        <v>PAG-SP</v>
      </c>
      <c r="I228" s="17" t="str">
        <f>IF([2]AGPeg!H214&lt;&gt;"",[2]AGPeg!H214,"")</f>
        <v>Newton-200DADOS-20</v>
      </c>
      <c r="J228" s="17">
        <f>IF([2]AGPeg!I214&lt;&gt;"",[2]AGPeg!I214,"")</f>
        <v>944</v>
      </c>
      <c r="K228" s="17" t="str">
        <f>IF([2]AGPeg!J214&lt;&gt;"",[2]AGPeg!J214,"")</f>
        <v/>
      </c>
      <c r="L228" s="17"/>
      <c r="N228" s="2"/>
    </row>
    <row r="229" spans="1:14" x14ac:dyDescent="0.25">
      <c r="A229">
        <f t="shared" si="7"/>
        <v>32.232629026331928</v>
      </c>
      <c r="B229" s="17">
        <f>IF([2]AGPeg!B215&lt;&gt;"",[2]AGPeg!B215,"")</f>
        <v>203</v>
      </c>
      <c r="C229" s="18">
        <f>IF([2]AGPeg!C215&lt;&gt;"",[2]AGPeg!C215,"")</f>
        <v>42966</v>
      </c>
      <c r="D229" s="19">
        <f>IF([2]AGPeg!D215&lt;&gt;"",[2]AGPeg!D215,"")</f>
        <v>0.92759259259259252</v>
      </c>
      <c r="E229" s="17">
        <f>IF([2]AGPeg!E215&lt;&gt;"",[2]AGPeg!E215,"")</f>
        <v>2457985.4416</v>
      </c>
      <c r="F229" s="26">
        <f t="shared" si="8"/>
        <v>0.23262902633192795</v>
      </c>
      <c r="G229" s="17" t="str">
        <f>IF([2]AGPeg!F215&lt;&gt;"",[2]AGPeg!F215,"")</f>
        <v xml:space="preserve">FMT </v>
      </c>
      <c r="H229" s="17" t="str">
        <f>IF([2]AGPeg!G215&lt;&gt;"",[2]AGPeg!G215,"")</f>
        <v>ORS-FR</v>
      </c>
      <c r="I229" s="17" t="str">
        <f>IF([2]AGPeg!H215&lt;&gt;"",[2]AGPeg!H215,"")</f>
        <v>SC14+eShel+Atik460ex</v>
      </c>
      <c r="J229" s="17">
        <f>IF([2]AGPeg!I215&lt;&gt;"",[2]AGPeg!I215,"")</f>
        <v>11000</v>
      </c>
      <c r="K229" s="17" t="str">
        <f>IF([2]AGPeg!J215&lt;&gt;"",[2]AGPeg!J215,"")</f>
        <v/>
      </c>
      <c r="L229" s="17"/>
      <c r="N229" s="2"/>
    </row>
    <row r="230" spans="1:14" x14ac:dyDescent="0.25">
      <c r="A230">
        <f t="shared" si="7"/>
        <v>32.238676546233897</v>
      </c>
      <c r="B230" s="17">
        <f>IF([2]AGPeg!B216&lt;&gt;"",[2]AGPeg!B216,"")</f>
        <v>204</v>
      </c>
      <c r="C230" s="18">
        <f>IF([2]AGPeg!C216&lt;&gt;"",[2]AGPeg!C216,"")</f>
        <v>42971</v>
      </c>
      <c r="D230" s="19">
        <f>IF([2]AGPeg!D216&lt;&gt;"",[2]AGPeg!D216,"")</f>
        <v>0.87473379629629633</v>
      </c>
      <c r="E230" s="17">
        <f>IF([2]AGPeg!E216&lt;&gt;"",[2]AGPeg!E216,"")</f>
        <v>2457990.3794</v>
      </c>
      <c r="F230" s="26">
        <f t="shared" si="8"/>
        <v>0.23867654623389711</v>
      </c>
      <c r="G230" s="17" t="str">
        <f>IF([2]AGPeg!F216&lt;&gt;"",[2]AGPeg!F216,"")</f>
        <v>FRA</v>
      </c>
      <c r="H230" s="17" t="str">
        <f>IF([2]AGPeg!G216&lt;&gt;"",[2]AGPeg!G216,"")</f>
        <v>BAL-IT</v>
      </c>
      <c r="I230" s="17" t="str">
        <f>IF([2]AGPeg!H216&lt;&gt;"",[2]AGPeg!H216,"")</f>
        <v>SC8+Alpy600</v>
      </c>
      <c r="J230" s="17">
        <f>IF([2]AGPeg!I216&lt;&gt;"",[2]AGPeg!I216,"")</f>
        <v>514</v>
      </c>
      <c r="K230" s="17" t="str">
        <f>IF([2]AGPeg!J216&lt;&gt;"",[2]AGPeg!J216,"")</f>
        <v/>
      </c>
      <c r="L230" s="17"/>
      <c r="N230" s="2"/>
    </row>
    <row r="231" spans="1:14" x14ac:dyDescent="0.25">
      <c r="A231">
        <f t="shared" si="7"/>
        <v>32.239349418248473</v>
      </c>
      <c r="B231" s="22">
        <f>IF([2]AGPeg!B217&lt;&gt;"",[2]AGPeg!B217,"")</f>
        <v>205</v>
      </c>
      <c r="C231" s="23">
        <f>IF([2]AGPeg!C217&lt;&gt;"",[2]AGPeg!C217,"")</f>
        <v>42972</v>
      </c>
      <c r="D231" s="24">
        <f>IF([2]AGPeg!D217&lt;&gt;"",[2]AGPeg!D217,"")</f>
        <v>0.41652777777777777</v>
      </c>
      <c r="E231" s="22">
        <f>IF([2]AGPeg!E217&lt;&gt;"",[2]AGPeg!E217,"")</f>
        <v>2457990.9287999999</v>
      </c>
      <c r="F231" s="25">
        <f t="shared" si="8"/>
        <v>0.239349418248473</v>
      </c>
      <c r="G231" s="22" t="str">
        <f>IF([2]AGPeg!F217&lt;&gt;"",[2]AGPeg!F217,"")</f>
        <v>JRF</v>
      </c>
      <c r="H231" s="22" t="str">
        <f>IF([2]AGPeg!G217&lt;&gt;"",[2]AGPeg!G217,"")</f>
        <v>MTP-US</v>
      </c>
      <c r="I231" s="22" t="str">
        <f>IF([2]AGPeg!H217&lt;&gt;"",[2]AGPeg!H217,"")</f>
        <v>CC13LisaATIK460EX</v>
      </c>
      <c r="J231" s="22">
        <f>IF([2]AGPeg!I217&lt;&gt;"",[2]AGPeg!I217,"")</f>
        <v>958</v>
      </c>
      <c r="K231" s="22" t="str">
        <f>IF([2]AGPeg!J217&lt;&gt;"",[2]AGPeg!J217,"")</f>
        <v/>
      </c>
      <c r="L231" s="22"/>
      <c r="N231" s="2"/>
    </row>
    <row r="232" spans="1:14" x14ac:dyDescent="0.25">
      <c r="A232">
        <f t="shared" si="7"/>
        <v>32.241800857317763</v>
      </c>
      <c r="B232" s="22">
        <f>IF([2]AGPeg!B218&lt;&gt;"",[2]AGPeg!B218,"")</f>
        <v>206</v>
      </c>
      <c r="C232" s="23">
        <f>IF([2]AGPeg!C218&lt;&gt;"",[2]AGPeg!C218,"")</f>
        <v>42974</v>
      </c>
      <c r="D232" s="24">
        <f>IF([2]AGPeg!D218&lt;&gt;"",[2]AGPeg!D218,"")</f>
        <v>0.42530092592592594</v>
      </c>
      <c r="E232" s="22">
        <f>IF([2]AGPeg!E218&lt;&gt;"",[2]AGPeg!E218,"")</f>
        <v>2457992.9304</v>
      </c>
      <c r="F232" s="25">
        <f t="shared" si="8"/>
        <v>0.24180085731776302</v>
      </c>
      <c r="G232" s="22" t="str">
        <f>IF([2]AGPeg!F218&lt;&gt;"",[2]AGPeg!F218,"")</f>
        <v>JRF</v>
      </c>
      <c r="H232" s="22" t="str">
        <f>IF([2]AGPeg!G218&lt;&gt;"",[2]AGPeg!G218,"")</f>
        <v>MTP-US</v>
      </c>
      <c r="I232" s="22" t="str">
        <f>IF([2]AGPeg!H218&lt;&gt;"",[2]AGPeg!H218,"")</f>
        <v>CC13LisaATIK460EX</v>
      </c>
      <c r="J232" s="22">
        <f>IF([2]AGPeg!I218&lt;&gt;"",[2]AGPeg!I218,"")</f>
        <v>943</v>
      </c>
      <c r="K232" s="22" t="str">
        <f>IF([2]AGPeg!J218&lt;&gt;"",[2]AGPeg!J218,"")</f>
        <v/>
      </c>
      <c r="L232" s="22"/>
      <c r="N232" s="2"/>
    </row>
    <row r="233" spans="1:14" x14ac:dyDescent="0.25">
      <c r="A233">
        <f t="shared" si="7"/>
        <v>32.261959951010517</v>
      </c>
      <c r="B233" s="22">
        <f>IF([2]AGPeg!B220&lt;&gt;"",[2]AGPeg!B220,"")</f>
        <v>208</v>
      </c>
      <c r="C233" s="23">
        <f>IF([2]AGPeg!C220&lt;&gt;"",[2]AGPeg!C220,"")</f>
        <v>42990</v>
      </c>
      <c r="D233" s="24">
        <f>IF([2]AGPeg!D220&lt;&gt;"",[2]AGPeg!D220,"")</f>
        <v>0.86807870370370377</v>
      </c>
      <c r="E233" s="22">
        <f>IF([2]AGPeg!E220&lt;&gt;"",[2]AGPeg!E220,"")</f>
        <v>2458009.3903000001</v>
      </c>
      <c r="F233" s="25">
        <f t="shared" si="8"/>
        <v>0.2619599510105175</v>
      </c>
      <c r="G233" s="22" t="str">
        <f>IF([2]AGPeg!F220&lt;&gt;"",[2]AGPeg!F220,"")</f>
        <v>BUI</v>
      </c>
      <c r="H233" s="22" t="str">
        <f>IF([2]AGPeg!G220&lt;&gt;"",[2]AGPeg!G220,"")</f>
        <v>CAS-FR</v>
      </c>
      <c r="I233" s="22" t="str">
        <f>IF([2]AGPeg!H220&lt;&gt;"",[2]AGPeg!H220,"")</f>
        <v>SC11+VHires+MOAI16</v>
      </c>
      <c r="J233" s="22">
        <f>IF([2]AGPeg!I220&lt;&gt;"",[2]AGPeg!I220,"")</f>
        <v>50000</v>
      </c>
      <c r="K233" s="22" t="str">
        <f>IF([2]AGPeg!J220&lt;&gt;"",[2]AGPeg!J220,"")</f>
        <v/>
      </c>
      <c r="L233" s="22"/>
      <c r="N233" s="2"/>
    </row>
    <row r="234" spans="1:14" x14ac:dyDescent="0.25">
      <c r="A234">
        <f t="shared" si="7"/>
        <v>32.265838456827751</v>
      </c>
      <c r="B234" s="22">
        <f>IF([2]AGPeg!B221&lt;&gt;"",[2]AGPeg!B221,"")</f>
        <v>209</v>
      </c>
      <c r="C234" s="23">
        <f>IF([2]AGPeg!C221&lt;&gt;"",[2]AGPeg!C221,"")</f>
        <v>42994</v>
      </c>
      <c r="D234" s="24">
        <f>IF([2]AGPeg!D221&lt;&gt;"",[2]AGPeg!D221,"")</f>
        <v>4.8344907407407406E-2</v>
      </c>
      <c r="E234" s="22">
        <f>IF([2]AGPeg!E221&lt;&gt;"",[2]AGPeg!E221,"")</f>
        <v>2458012.5570999999</v>
      </c>
      <c r="F234" s="25">
        <f t="shared" ref="F234:F244" si="9">(E234-$A$2)/$A$3-INT((E234-$A$2)/$A$3)</f>
        <v>0.2658384568277512</v>
      </c>
      <c r="G234" s="22" t="str">
        <f>IF([2]AGPeg!F221&lt;&gt;"",[2]AGPeg!F221,"")</f>
        <v>GKA</v>
      </c>
      <c r="H234" s="22" t="str">
        <f>IF([2]AGPeg!G221&lt;&gt;"",[2]AGPeg!G221,"")</f>
        <v>MAN-US</v>
      </c>
      <c r="I234" s="22" t="str">
        <f>IF([2]AGPeg!H221&lt;&gt;"",[2]AGPeg!H221,"")</f>
        <v>SC10+Alpy600</v>
      </c>
      <c r="J234" s="22">
        <f>IF([2]AGPeg!I221&lt;&gt;"",[2]AGPeg!I221,"")</f>
        <v>584</v>
      </c>
      <c r="K234" s="22" t="str">
        <f>IF([2]AGPeg!J221&lt;&gt;"",[2]AGPeg!J221,"")</f>
        <v/>
      </c>
      <c r="L234" s="22"/>
      <c r="N234" s="2"/>
    </row>
    <row r="235" spans="1:14" x14ac:dyDescent="0.25">
      <c r="A235">
        <f t="shared" si="7"/>
        <v>32.268087446417567</v>
      </c>
      <c r="B235" s="22">
        <f>IF([2]AGPeg!B222&lt;&gt;"",[2]AGPeg!B222,"")</f>
        <v>210</v>
      </c>
      <c r="C235" s="23">
        <f>IF([2]AGPeg!C222&lt;&gt;"",[2]AGPeg!C222,"")</f>
        <v>42995</v>
      </c>
      <c r="D235" s="24">
        <f>IF([2]AGPeg!D222&lt;&gt;"",[2]AGPeg!D222,"")</f>
        <v>0.88697916666666676</v>
      </c>
      <c r="E235" s="22">
        <f>IF([2]AGPeg!E222&lt;&gt;"",[2]AGPeg!E222,"")</f>
        <v>2458014.3933999999</v>
      </c>
      <c r="F235" s="25">
        <f t="shared" si="9"/>
        <v>0.26808744641756732</v>
      </c>
      <c r="G235" s="22" t="str">
        <f>IF([2]AGPeg!F222&lt;&gt;"",[2]AGPeg!F222,"")</f>
        <v xml:space="preserve">FMT </v>
      </c>
      <c r="H235" s="22" t="str">
        <f>IF([2]AGPeg!G222&lt;&gt;"",[2]AGPeg!G222,"")</f>
        <v>ORS-FR</v>
      </c>
      <c r="I235" s="22" t="str">
        <f>IF([2]AGPeg!H222&lt;&gt;"",[2]AGPeg!H222,"")</f>
        <v>SC14+eShel+Atik460ex</v>
      </c>
      <c r="J235" s="22">
        <f>IF([2]AGPeg!I222&lt;&gt;"",[2]AGPeg!I222,"")</f>
        <v>11000</v>
      </c>
      <c r="K235" s="22" t="str">
        <f>IF([2]AGPeg!J222&lt;&gt;"",[2]AGPeg!J222,"")</f>
        <v/>
      </c>
      <c r="L235" s="22"/>
      <c r="N235" s="2"/>
    </row>
    <row r="236" spans="1:14" x14ac:dyDescent="0.25">
      <c r="A236">
        <f t="shared" si="7"/>
        <v>32.271132271891986</v>
      </c>
      <c r="B236" s="22">
        <f>IF([2]AGPeg!B223&lt;&gt;"",[2]AGPeg!B223,"")</f>
        <v>211</v>
      </c>
      <c r="C236" s="23">
        <f>IF([2]AGPeg!C223&lt;&gt;"",[2]AGPeg!C223,"")</f>
        <v>42998</v>
      </c>
      <c r="D236" s="24">
        <f>IF([2]AGPeg!D223&lt;&gt;"",[2]AGPeg!D223,"")</f>
        <v>0.37556712962962963</v>
      </c>
      <c r="E236" s="22">
        <f>IF([2]AGPeg!E223&lt;&gt;"",[2]AGPeg!E223,"")</f>
        <v>2458016.8794999998</v>
      </c>
      <c r="F236" s="25">
        <f t="shared" si="9"/>
        <v>0.27113227189198597</v>
      </c>
      <c r="G236" s="22" t="str">
        <f>IF([2]AGPeg!F223&lt;&gt;"",[2]AGPeg!F223,"")</f>
        <v>JRF</v>
      </c>
      <c r="H236" s="22" t="str">
        <f>IF([2]AGPeg!G223&lt;&gt;"",[2]AGPeg!G223,"")</f>
        <v>MTP-US</v>
      </c>
      <c r="I236" s="22" t="str">
        <f>IF([2]AGPeg!H223&lt;&gt;"",[2]AGPeg!H223,"")</f>
        <v>CC13LisaATIK460EX</v>
      </c>
      <c r="J236" s="22">
        <f>IF([2]AGPeg!I223&lt;&gt;"",[2]AGPeg!I223,"")</f>
        <v>799</v>
      </c>
      <c r="K236" s="22" t="str">
        <f>IF([2]AGPeg!J223&lt;&gt;"",[2]AGPeg!J223,"")</f>
        <v/>
      </c>
      <c r="L236" s="22"/>
      <c r="N236" s="2"/>
    </row>
    <row r="237" spans="1:14" x14ac:dyDescent="0.25">
      <c r="A237">
        <f t="shared" si="7"/>
        <v>32.272062706674944</v>
      </c>
      <c r="B237" s="22">
        <f>IF([2]AGPeg!B224&lt;&gt;"",[2]AGPeg!B224,"")</f>
        <v>212</v>
      </c>
      <c r="C237" s="23">
        <f>IF([2]AGPeg!C224&lt;&gt;"",[2]AGPeg!C224,"")</f>
        <v>42999</v>
      </c>
      <c r="D237" s="24">
        <f>IF([2]AGPeg!D224&lt;&gt;"",[2]AGPeg!D224,"")</f>
        <v>0.11561342592592593</v>
      </c>
      <c r="E237" s="22">
        <f>IF([2]AGPeg!E224&lt;&gt;"",[2]AGPeg!E224,"")</f>
        <v>2458017.6392000001</v>
      </c>
      <c r="F237" s="25">
        <f t="shared" si="9"/>
        <v>0.27206270667494437</v>
      </c>
      <c r="G237" s="22" t="str">
        <f>IF([2]AGPeg!F224&lt;&gt;"",[2]AGPeg!F224,"")</f>
        <v>LES</v>
      </c>
      <c r="H237" s="22" t="str">
        <f>IF([2]AGPeg!G224&lt;&gt;"",[2]AGPeg!G224,"")</f>
        <v>MRO-CA</v>
      </c>
      <c r="I237" s="22" t="str">
        <f>IF([2]AGPeg!H224&lt;&gt;"",[2]AGPeg!H224,"")</f>
        <v>DK310+Echelle_ESSAT</v>
      </c>
      <c r="J237" s="22">
        <f>IF([2]AGPeg!I224&lt;&gt;"",[2]AGPeg!I224,"")</f>
        <v>13000</v>
      </c>
      <c r="K237" s="22" t="str">
        <f>IF([2]AGPeg!J224&lt;&gt;"",[2]AGPeg!J224,"")</f>
        <v/>
      </c>
      <c r="L237" s="22"/>
      <c r="N237" s="2"/>
    </row>
    <row r="238" spans="1:14" x14ac:dyDescent="0.25">
      <c r="A238">
        <f t="shared" si="7"/>
        <v>32.273022535211418</v>
      </c>
      <c r="B238" s="22">
        <f>IF([2]AGPeg!B225&lt;&gt;"",[2]AGPeg!B225,"")</f>
        <v>213</v>
      </c>
      <c r="C238" s="23">
        <f>IF([2]AGPeg!C225&lt;&gt;"",[2]AGPeg!C225,"")</f>
        <v>42999</v>
      </c>
      <c r="D238" s="24">
        <f>IF([2]AGPeg!D225&lt;&gt;"",[2]AGPeg!D225,"")</f>
        <v>0.91678240740740735</v>
      </c>
      <c r="E238" s="22">
        <f>IF([2]AGPeg!E225&lt;&gt;"",[2]AGPeg!E225,"")</f>
        <v>2458018.4229000001</v>
      </c>
      <c r="F238" s="25">
        <f t="shared" si="9"/>
        <v>0.27302253521141751</v>
      </c>
      <c r="G238" s="22" t="str">
        <f>IF([2]AGPeg!F225&lt;&gt;"",[2]AGPeg!F225,"")</f>
        <v>DBO</v>
      </c>
      <c r="H238" s="22" t="str">
        <f>IF([2]AGPeg!G225&lt;&gt;"",[2]AGPeg!G225,"")</f>
        <v>WCO-UK</v>
      </c>
      <c r="I238" s="22" t="str">
        <f>IF([2]AGPeg!H225&lt;&gt;"",[2]AGPeg!H225,"")</f>
        <v>C11+Lisa+SXVR-H</v>
      </c>
      <c r="J238" s="22">
        <f>IF([2]AGPeg!I225&lt;&gt;"",[2]AGPeg!I225,"")</f>
        <v>921</v>
      </c>
      <c r="K238" s="22" t="str">
        <f>IF([2]AGPeg!J225&lt;&gt;"",[2]AGPeg!J225,"")</f>
        <v/>
      </c>
      <c r="L238" s="22"/>
      <c r="N238" s="2"/>
    </row>
    <row r="239" spans="1:14" x14ac:dyDescent="0.25">
      <c r="A239">
        <f t="shared" si="7"/>
        <v>32.298632333129277</v>
      </c>
      <c r="B239" s="22">
        <f>IF([2]AGPeg!B226&lt;&gt;"",[2]AGPeg!B226,"")</f>
        <v>214</v>
      </c>
      <c r="C239" s="23">
        <f>IF([2]AGPeg!C226&lt;&gt;"",[2]AGPeg!C226,"")</f>
        <v>43020</v>
      </c>
      <c r="D239" s="24">
        <f>IF([2]AGPeg!D226&lt;&gt;"",[2]AGPeg!D226,"")</f>
        <v>0.82700231481481479</v>
      </c>
      <c r="E239" s="22">
        <f>IF([2]AGPeg!E226&lt;&gt;"",[2]AGPeg!E226,"")</f>
        <v>2458039.3333000001</v>
      </c>
      <c r="F239" s="25">
        <f t="shared" si="9"/>
        <v>0.29863233312927662</v>
      </c>
      <c r="G239" s="22" t="str">
        <f>IF([2]AGPeg!F226&lt;&gt;"",[2]AGPeg!F226,"")</f>
        <v>DBO</v>
      </c>
      <c r="H239" s="22" t="str">
        <f>IF([2]AGPeg!G226&lt;&gt;"",[2]AGPeg!G226,"")</f>
        <v>WCO-UK</v>
      </c>
      <c r="I239" s="22" t="str">
        <f>IF([2]AGPeg!H226&lt;&gt;"",[2]AGPeg!H226,"")</f>
        <v>C11+Lisa+SXVR-H</v>
      </c>
      <c r="J239" s="22">
        <f>IF([2]AGPeg!I226&lt;&gt;"",[2]AGPeg!I226,"")</f>
        <v>1047</v>
      </c>
      <c r="K239" s="22" t="str">
        <f>IF([2]AGPeg!J226&lt;&gt;"",[2]AGPeg!J226,"")</f>
        <v/>
      </c>
      <c r="L239" s="22"/>
      <c r="N239" s="2"/>
    </row>
    <row r="240" spans="1:14" x14ac:dyDescent="0.25">
      <c r="A240">
        <f t="shared" si="7"/>
        <v>32.299758481322598</v>
      </c>
      <c r="B240" s="22">
        <f>IF([2]AGPeg!B227&lt;&gt;"",[2]AGPeg!B227,"")</f>
        <v>215</v>
      </c>
      <c r="C240" s="23">
        <f>IF([2]AGPeg!C227&lt;&gt;"",[2]AGPeg!C227,"")</f>
        <v>43021</v>
      </c>
      <c r="D240" s="24">
        <f>IF([2]AGPeg!D227&lt;&gt;"",[2]AGPeg!D227,"")</f>
        <v>0.7303587962962963</v>
      </c>
      <c r="E240" s="22">
        <f>IF([2]AGPeg!E227&lt;&gt;"",[2]AGPeg!E227,"")</f>
        <v>2458040.2527999999</v>
      </c>
      <c r="F240" s="25">
        <f t="shared" si="9"/>
        <v>0.29975848132259841</v>
      </c>
      <c r="G240" s="22" t="str">
        <f>IF([2]AGPeg!F227&lt;&gt;"",[2]AGPeg!F227,"")</f>
        <v>BER</v>
      </c>
      <c r="H240" s="22" t="str">
        <f>IF([2]AGPeg!G227&lt;&gt;"",[2]AGPeg!G227,"")</f>
        <v>BVO-IT</v>
      </c>
      <c r="I240" s="22" t="str">
        <f>IF([2]AGPeg!H227&lt;&gt;"",[2]AGPeg!H227,"")</f>
        <v>Lhires31200C9SXV</v>
      </c>
      <c r="J240" s="22">
        <f>IF([2]AGPeg!I227&lt;&gt;"",[2]AGPeg!I227,"")</f>
        <v>4098</v>
      </c>
      <c r="K240" s="22" t="str">
        <f>IF([2]AGPeg!J227&lt;&gt;"",[2]AGPeg!J227,"")</f>
        <v/>
      </c>
      <c r="L240" s="22"/>
      <c r="N240" s="2"/>
    </row>
    <row r="241" spans="1:14" x14ac:dyDescent="0.25">
      <c r="A241">
        <f t="shared" si="7"/>
        <v>32.299893570116588</v>
      </c>
      <c r="B241" s="22">
        <f>IF([2]AGPeg!B228&lt;&gt;"",[2]AGPeg!B228,"")</f>
        <v>216</v>
      </c>
      <c r="C241" s="23">
        <f>IF([2]AGPeg!C228&lt;&gt;"",[2]AGPeg!C228,"")</f>
        <v>43021</v>
      </c>
      <c r="D241" s="24">
        <f>IF([2]AGPeg!D228&lt;&gt;"",[2]AGPeg!D228,"")</f>
        <v>0.85741898148148143</v>
      </c>
      <c r="E241" s="22">
        <f>IF([2]AGPeg!E228&lt;&gt;"",[2]AGPeg!E228,"")</f>
        <v>2458040.3631000002</v>
      </c>
      <c r="F241" s="25">
        <f t="shared" si="9"/>
        <v>0.29989357011658768</v>
      </c>
      <c r="G241" s="22" t="str">
        <f>IF([2]AGPeg!F228&lt;&gt;"",[2]AGPeg!F228,"")</f>
        <v xml:space="preserve">FMT </v>
      </c>
      <c r="H241" s="22" t="str">
        <f>IF([2]AGPeg!G228&lt;&gt;"",[2]AGPeg!G228,"")</f>
        <v>ORS-FR</v>
      </c>
      <c r="I241" s="22" t="str">
        <f>IF([2]AGPeg!H228&lt;&gt;"",[2]AGPeg!H228,"")</f>
        <v>SC14+eShel+Atik460ex</v>
      </c>
      <c r="J241" s="22">
        <f>IF([2]AGPeg!I228&lt;&gt;"",[2]AGPeg!I228,"")</f>
        <v>11000</v>
      </c>
      <c r="K241" s="22" t="str">
        <f>IF([2]AGPeg!J228&lt;&gt;"",[2]AGPeg!J228,"")</f>
        <v/>
      </c>
      <c r="L241" s="22"/>
      <c r="N241" s="2"/>
    </row>
    <row r="242" spans="1:14" x14ac:dyDescent="0.25">
      <c r="A242">
        <f t="shared" si="7"/>
        <v>32.316906674831777</v>
      </c>
      <c r="B242" s="22">
        <f>IF([2]AGPeg!B229&lt;&gt;"",[2]AGPeg!B229,"")</f>
        <v>217</v>
      </c>
      <c r="C242" s="23">
        <f>IF([2]AGPeg!C229&lt;&gt;"",[2]AGPeg!C229,"")</f>
        <v>43035</v>
      </c>
      <c r="D242" s="24">
        <f>IF([2]AGPeg!D229&lt;&gt;"",[2]AGPeg!D229,"")</f>
        <v>0.74145833333333344</v>
      </c>
      <c r="E242" s="22">
        <f>IF([2]AGPeg!E229&lt;&gt;"",[2]AGPeg!E229,"")</f>
        <v>2458054.2543000001</v>
      </c>
      <c r="F242" s="25">
        <f t="shared" si="9"/>
        <v>0.31690667483177748</v>
      </c>
      <c r="G242" s="22" t="str">
        <f>IF([2]AGPeg!F229&lt;&gt;"",[2]AGPeg!F229,"")</f>
        <v xml:space="preserve">FMT </v>
      </c>
      <c r="H242" s="22" t="str">
        <f>IF([2]AGPeg!G229&lt;&gt;"",[2]AGPeg!G229,"")</f>
        <v>ORS-FR</v>
      </c>
      <c r="I242" s="22" t="str">
        <f>IF([2]AGPeg!H229&lt;&gt;"",[2]AGPeg!H229,"")</f>
        <v>SC14+eShel+Atik460ex</v>
      </c>
      <c r="J242" s="22">
        <f>IF([2]AGPeg!I229&lt;&gt;"",[2]AGPeg!I229,"")</f>
        <v>11000</v>
      </c>
      <c r="K242" s="22" t="str">
        <f>IF([2]AGPeg!J229&lt;&gt;"",[2]AGPeg!J229,"")</f>
        <v/>
      </c>
      <c r="L242" s="22"/>
      <c r="N242" s="2"/>
    </row>
    <row r="243" spans="1:14" x14ac:dyDescent="0.25">
      <c r="A243">
        <f t="shared" si="7"/>
        <v>32.31983306797293</v>
      </c>
      <c r="B243" s="22">
        <f>IF([2]AGPeg!B230&lt;&gt;"",[2]AGPeg!B230,"")</f>
        <v>218</v>
      </c>
      <c r="C243" s="23">
        <f>IF([2]AGPeg!C230&lt;&gt;"",[2]AGPeg!C230,"")</f>
        <v>43038</v>
      </c>
      <c r="D243" s="24">
        <f>IF([2]AGPeg!D230&lt;&gt;"",[2]AGPeg!D230,"")</f>
        <v>0.14133101851851851</v>
      </c>
      <c r="E243" s="22">
        <f>IF([2]AGPeg!E230&lt;&gt;"",[2]AGPeg!E230,"")</f>
        <v>2458056.6436999999</v>
      </c>
      <c r="F243" s="25">
        <f t="shared" si="9"/>
        <v>0.31983306797292954</v>
      </c>
      <c r="G243" s="22" t="str">
        <f>IF([2]AGPeg!F230&lt;&gt;"",[2]AGPeg!F230,"")</f>
        <v>FAS</v>
      </c>
      <c r="H243" s="22" t="str">
        <f>IF([2]AGPeg!G230&lt;&gt;"",[2]AGPeg!G230,"")</f>
        <v>DCO-US</v>
      </c>
      <c r="I243" s="22" t="str">
        <f>IF([2]AGPeg!H230&lt;&gt;"",[2]AGPeg!H230,"")</f>
        <v>DK14+Lisa+Atik414ex</v>
      </c>
      <c r="J243" s="22">
        <f>IF([2]AGPeg!I230&lt;&gt;"",[2]AGPeg!I230,"")</f>
        <v>998</v>
      </c>
      <c r="K243" s="22" t="str">
        <f>IF([2]AGPeg!J230&lt;&gt;"",[2]AGPeg!J230,"")</f>
        <v/>
      </c>
      <c r="L243" s="22"/>
      <c r="N243" s="2"/>
    </row>
    <row r="244" spans="1:14" x14ac:dyDescent="0.25">
      <c r="A244">
        <f t="shared" si="7"/>
        <v>32.331858787507691</v>
      </c>
      <c r="B244" s="22">
        <f>IF([2]AGPeg!B231&lt;&gt;"",[2]AGPeg!B231,"")</f>
        <v>219</v>
      </c>
      <c r="C244" s="23">
        <f>IF([2]AGPeg!C231&lt;&gt;"",[2]AGPeg!C231,"")</f>
        <v>43047</v>
      </c>
      <c r="D244" s="24">
        <f>IF([2]AGPeg!D231&lt;&gt;"",[2]AGPeg!D231,"")</f>
        <v>0.95847222222222228</v>
      </c>
      <c r="E244" s="22">
        <f>IF([2]AGPeg!E231&lt;&gt;"",[2]AGPeg!E231,"")</f>
        <v>2458066.4627</v>
      </c>
      <c r="F244" s="25">
        <f t="shared" si="9"/>
        <v>0.33185878750769149</v>
      </c>
      <c r="G244" s="22" t="str">
        <f>IF([2]AGPeg!F231&lt;&gt;"",[2]AGPeg!F231,"")</f>
        <v>DBO</v>
      </c>
      <c r="H244" s="22" t="str">
        <f>IF([2]AGPeg!G231&lt;&gt;"",[2]AGPeg!G231,"")</f>
        <v>WCO-UK</v>
      </c>
      <c r="I244" s="22" t="str">
        <f>IF([2]AGPeg!H231&lt;&gt;"",[2]AGPeg!H231,"")</f>
        <v>C11+Lisa+SXVR-H</v>
      </c>
      <c r="J244" s="22">
        <f>IF([2]AGPeg!I231&lt;&gt;"",[2]AGPeg!I231,"")</f>
        <v>1055</v>
      </c>
      <c r="K244" s="22" t="str">
        <f>IF([2]AGPeg!J231&lt;&gt;"",[2]AGPeg!J231,"")</f>
        <v/>
      </c>
      <c r="L244" s="22"/>
      <c r="N244" s="2"/>
    </row>
    <row r="245" spans="1:14" x14ac:dyDescent="0.25">
      <c r="A245">
        <f t="shared" si="7"/>
        <v>32.372125780771661</v>
      </c>
      <c r="B245" s="22">
        <f>IF([2]AGPeg!B232&lt;&gt;"",[2]AGPeg!B232,"")</f>
        <v>220</v>
      </c>
      <c r="C245" s="23">
        <f>IF([2]AGPeg!C232&lt;&gt;"",[2]AGPeg!C232,"")</f>
        <v>43080</v>
      </c>
      <c r="D245" s="24">
        <f>IF([2]AGPeg!D232&lt;&gt;"",[2]AGPeg!D232,"")</f>
        <v>0.81730324074074068</v>
      </c>
      <c r="E245" s="22">
        <f>IF([2]AGPeg!E232&lt;&gt;"",[2]AGPeg!E232,"")</f>
        <v>2458099.3407000001</v>
      </c>
      <c r="F245" s="25">
        <f t="shared" ref="F245:F249" si="10">(E245-$A$2)/$A$3-INT((E245-$A$2)/$A$3)</f>
        <v>0.37212578077166114</v>
      </c>
      <c r="G245" s="22" t="str">
        <f>IF([2]AGPeg!F232&lt;&gt;"",[2]AGPeg!F232,"")</f>
        <v>JGF</v>
      </c>
      <c r="H245" s="22" t="str">
        <f>IF([2]AGPeg!G232&lt;&gt;"",[2]AGPeg!G232,"")</f>
        <v>SMM-SP</v>
      </c>
      <c r="I245" s="22" t="str">
        <f>IF([2]AGPeg!H232&lt;&gt;"",[2]AGPeg!H232,"")</f>
        <v>T16+Echelle+Atik460</v>
      </c>
      <c r="J245" s="22">
        <f>IF([2]AGPeg!I232&lt;&gt;"",[2]AGPeg!I232,"")</f>
        <v>9000</v>
      </c>
      <c r="K245" s="22" t="str">
        <f>IF([2]AGPeg!J232&lt;&gt;"",[2]AGPeg!J232,"")</f>
        <v/>
      </c>
      <c r="L245" s="22"/>
      <c r="N245" s="2"/>
    </row>
    <row r="246" spans="1:14" x14ac:dyDescent="0.25">
      <c r="A246">
        <f t="shared" si="7"/>
        <v>32.628367421922739</v>
      </c>
      <c r="B246" s="22">
        <f>IF([2]AGPeg!B233&lt;&gt;"",[2]AGPeg!B233,"")</f>
        <v>221</v>
      </c>
      <c r="C246" s="23">
        <f>IF([2]AGPeg!C233&lt;&gt;"",[2]AGPeg!C233,"")</f>
        <v>43290</v>
      </c>
      <c r="D246" s="24">
        <f>IF([2]AGPeg!D233&lt;&gt;"",[2]AGPeg!D233,"")</f>
        <v>4.7442129629629626E-2</v>
      </c>
      <c r="E246" s="22">
        <f>IF([2]AGPeg!E233&lt;&gt;"",[2]AGPeg!E233,"")</f>
        <v>2458308.5619999999</v>
      </c>
      <c r="F246" s="25">
        <f t="shared" si="10"/>
        <v>0.62836742192273931</v>
      </c>
      <c r="G246" s="22" t="str">
        <f>IF([2]AGPeg!F233&lt;&gt;"",[2]AGPeg!F233,"")</f>
        <v>MVE</v>
      </c>
      <c r="H246" s="22" t="str">
        <f>IF([2]AGPeg!G233&lt;&gt;"",[2]AGPeg!G233,"")</f>
        <v>MAU-FR</v>
      </c>
      <c r="I246" s="22" t="str">
        <f>IF([2]AGPeg!H233&lt;&gt;"",[2]AGPeg!H233,"")</f>
        <v>SC8+Lhires600</v>
      </c>
      <c r="J246" s="22">
        <f>IF([2]AGPeg!I233&lt;&gt;"",[2]AGPeg!I233,"")</f>
        <v>3688</v>
      </c>
      <c r="K246" s="22" t="str">
        <f>IF([2]AGPeg!J233&lt;&gt;"",[2]AGPeg!J233,"")</f>
        <v/>
      </c>
      <c r="L246" s="22"/>
      <c r="N246" s="2"/>
    </row>
    <row r="247" spans="1:14" x14ac:dyDescent="0.25">
      <c r="A247">
        <f t="shared" si="7"/>
        <v>32.631031108389344</v>
      </c>
      <c r="B247" s="22">
        <f>IF([2]AGPeg!B234&lt;&gt;"",[2]AGPeg!B234,"")</f>
        <v>222</v>
      </c>
      <c r="C247" s="23">
        <f>IF([2]AGPeg!C234&lt;&gt;"",[2]AGPeg!C234,"")</f>
        <v>43292</v>
      </c>
      <c r="D247" s="24">
        <f>IF([2]AGPeg!D234&lt;&gt;"",[2]AGPeg!D234,"")</f>
        <v>0.20350694444444442</v>
      </c>
      <c r="E247" s="22">
        <f>IF([2]AGPeg!E234&lt;&gt;"",[2]AGPeg!E234,"")</f>
        <v>2458310.7368999999</v>
      </c>
      <c r="F247" s="25">
        <f t="shared" si="10"/>
        <v>0.63103110838934384</v>
      </c>
      <c r="G247" s="22" t="str">
        <f>IF([2]AGPeg!F234&lt;&gt;"",[2]AGPeg!F234,"")</f>
        <v>LES</v>
      </c>
      <c r="H247" s="22" t="str">
        <f>IF([2]AGPeg!G234&lt;&gt;"",[2]AGPeg!G234,"")</f>
        <v>MRO-CA</v>
      </c>
      <c r="I247" s="22" t="str">
        <f>IF([2]AGPeg!H234&lt;&gt;"",[2]AGPeg!H234,"")</f>
        <v>DK310+Echelle_ESSAT</v>
      </c>
      <c r="J247" s="22">
        <f>IF([2]AGPeg!I234&lt;&gt;"",[2]AGPeg!I234,"")</f>
        <v>13000</v>
      </c>
      <c r="K247" s="22" t="str">
        <f>IF([2]AGPeg!J234&lt;&gt;"",[2]AGPeg!J234,"")</f>
        <v/>
      </c>
      <c r="L247" s="22"/>
      <c r="N247" s="2"/>
    </row>
    <row r="248" spans="1:14" x14ac:dyDescent="0.25">
      <c r="A248">
        <f t="shared" si="7"/>
        <v>32.631339130434966</v>
      </c>
      <c r="B248" s="17">
        <f>IF([2]AGPeg!B235&lt;&gt;"",[2]AGPeg!B235,"")</f>
        <v>223</v>
      </c>
      <c r="C248" s="18">
        <f>IF([2]AGPeg!C235&lt;&gt;"",[2]AGPeg!C235,"")</f>
        <v>43292</v>
      </c>
      <c r="D248" s="19">
        <f>IF([2]AGPeg!D235&lt;&gt;"",[2]AGPeg!D235,"")</f>
        <v>0.4824074074074074</v>
      </c>
      <c r="E248" s="17">
        <f>IF([2]AGPeg!E235&lt;&gt;"",[2]AGPeg!E235,"")</f>
        <v>2458310.9884000001</v>
      </c>
      <c r="F248" s="26">
        <f t="shared" si="10"/>
        <v>0.63133913043496648</v>
      </c>
      <c r="G248" s="17" t="str">
        <f>IF([2]AGPeg!F235&lt;&gt;"",[2]AGPeg!F235,"")</f>
        <v>JRF</v>
      </c>
      <c r="H248" s="17" t="str">
        <f>IF([2]AGPeg!G235&lt;&gt;"",[2]AGPeg!G235,"")</f>
        <v>MTP-US</v>
      </c>
      <c r="I248" s="17" t="str">
        <f>IF([2]AGPeg!H235&lt;&gt;"",[2]AGPeg!H235,"")</f>
        <v>CC13LisaATIK460EX</v>
      </c>
      <c r="J248" s="17">
        <f>IF([2]AGPeg!I235&lt;&gt;"",[2]AGPeg!I235,"")</f>
        <v>738</v>
      </c>
      <c r="K248" s="17" t="str">
        <f>IF([2]AGPeg!J235&lt;&gt;"",[2]AGPeg!J235,"")</f>
        <v/>
      </c>
      <c r="L248" s="17"/>
      <c r="N248" s="2"/>
    </row>
    <row r="249" spans="1:14" x14ac:dyDescent="0.25">
      <c r="A249">
        <f t="shared" si="7"/>
        <v>32.635612737293314</v>
      </c>
      <c r="B249" s="17">
        <f>IF([2]AGPeg!B236&lt;&gt;"",[2]AGPeg!B236,"")</f>
        <v>224</v>
      </c>
      <c r="C249" s="18">
        <f>IF([2]AGPeg!C236&lt;&gt;"",[2]AGPeg!C236,"")</f>
        <v>43295</v>
      </c>
      <c r="D249" s="19">
        <f>IF([2]AGPeg!D236&lt;&gt;"",[2]AGPeg!D236,"")</f>
        <v>0.96690972222222227</v>
      </c>
      <c r="E249" s="17">
        <f>IF([2]AGPeg!E236&lt;&gt;"",[2]AGPeg!E236,"")</f>
        <v>2458314.4778</v>
      </c>
      <c r="F249" s="26">
        <f t="shared" si="10"/>
        <v>0.63561273729331447</v>
      </c>
      <c r="G249" s="17" t="str">
        <f>IF([2]AGPeg!F236&lt;&gt;"",[2]AGPeg!F236,"")</f>
        <v>DBO</v>
      </c>
      <c r="H249" s="17" t="str">
        <f>IF([2]AGPeg!G236&lt;&gt;"",[2]AGPeg!G236,"")</f>
        <v>WCO-UK</v>
      </c>
      <c r="I249" s="17" t="str">
        <f>IF([2]AGPeg!H236&lt;&gt;"",[2]AGPeg!H236,"")</f>
        <v>C11+Lisa+SXVR-H</v>
      </c>
      <c r="J249" s="17">
        <f>IF([2]AGPeg!I236&lt;&gt;"",[2]AGPeg!I236,"")</f>
        <v>1091</v>
      </c>
      <c r="K249" s="17" t="str">
        <f>IF([2]AGPeg!J236&lt;&gt;"",[2]AGPeg!J236,"")</f>
        <v/>
      </c>
      <c r="L249" s="17"/>
      <c r="N249" s="2"/>
    </row>
    <row r="250" spans="1:14" x14ac:dyDescent="0.25">
      <c r="A250">
        <f t="shared" si="7"/>
        <v>32.66007360685856</v>
      </c>
      <c r="B250" s="17">
        <f>IF([2]AGPeg!B237&lt;&gt;"",[2]AGPeg!B237,"")</f>
        <v>225</v>
      </c>
      <c r="C250" s="18">
        <f>IF([2]AGPeg!C237&lt;&gt;"",[2]AGPeg!C237,"")</f>
        <v>43315</v>
      </c>
      <c r="D250" s="19">
        <f>IF([2]AGPeg!D237&lt;&gt;"",[2]AGPeg!D237,"")</f>
        <v>0.92878472222222219</v>
      </c>
      <c r="E250" s="17">
        <f>IF([2]AGPeg!E237&lt;&gt;"",[2]AGPeg!E237,"")</f>
        <v>2458334.4501</v>
      </c>
      <c r="F250" s="26">
        <f t="shared" ref="F250:F264" si="11">(E250-$A$2)/$A$3-INT((E250-$A$2)/$A$3)</f>
        <v>0.66007360685856042</v>
      </c>
      <c r="G250" s="17" t="str">
        <f>IF([2]AGPeg!F237&lt;&gt;"",[2]AGPeg!F237,"")</f>
        <v xml:space="preserve">FMT </v>
      </c>
      <c r="H250" s="17" t="str">
        <f>IF([2]AGPeg!G237&lt;&gt;"",[2]AGPeg!G237,"")</f>
        <v>ORS-FR</v>
      </c>
      <c r="I250" s="17" t="str">
        <f>IF([2]AGPeg!H237&lt;&gt;"",[2]AGPeg!H237,"")</f>
        <v>SC14_F/5+eshel+Atik460EX_b2</v>
      </c>
      <c r="J250" s="17">
        <f>IF([2]AGPeg!I237&lt;&gt;"",[2]AGPeg!I237,"")</f>
        <v>11000</v>
      </c>
      <c r="K250" s="17" t="str">
        <f>IF([2]AGPeg!J237&lt;&gt;"",[2]AGPeg!J237,"")</f>
        <v/>
      </c>
      <c r="L250" s="17"/>
      <c r="N250" s="2"/>
    </row>
    <row r="251" spans="1:14" x14ac:dyDescent="0.25">
      <c r="A251">
        <f t="shared" si="7"/>
        <v>32.67995603184346</v>
      </c>
      <c r="B251" s="17">
        <f>IF([2]AGPeg!B238&lt;&gt;"",[2]AGPeg!B238,"")</f>
        <v>226</v>
      </c>
      <c r="C251" s="18">
        <f>IF([2]AGPeg!C238&lt;&gt;"",[2]AGPeg!C238,"")</f>
        <v>43332</v>
      </c>
      <c r="D251" s="19">
        <f>IF([2]AGPeg!D238&lt;&gt;"",[2]AGPeg!D238,"")</f>
        <v>0.16670138888888889</v>
      </c>
      <c r="E251" s="17">
        <f>IF([2]AGPeg!E238&lt;&gt;"",[2]AGPeg!E238,"")</f>
        <v>2458350.6841000002</v>
      </c>
      <c r="F251" s="26">
        <f t="shared" si="11"/>
        <v>0.6799560318434601</v>
      </c>
      <c r="G251" s="17" t="str">
        <f>IF([2]AGPeg!F238&lt;&gt;"",[2]AGPeg!F238,"")</f>
        <v>GKA</v>
      </c>
      <c r="H251" s="17" t="str">
        <f>IF([2]AGPeg!G238&lt;&gt;"",[2]AGPeg!G238,"")</f>
        <v>MAN-US</v>
      </c>
      <c r="I251" s="17" t="str">
        <f>IF([2]AGPeg!H238&lt;&gt;"",[2]AGPeg!H238,"")</f>
        <v>SC10"+Alpy600+ATIK314L</v>
      </c>
      <c r="J251" s="17">
        <f>IF([2]AGPeg!I238&lt;&gt;"",[2]AGPeg!I238,"")</f>
        <v>537</v>
      </c>
      <c r="K251" s="17" t="str">
        <f>IF([2]AGPeg!J238&lt;&gt;"",[2]AGPeg!J238,"")</f>
        <v/>
      </c>
      <c r="L251" s="17"/>
      <c r="N251" s="2"/>
    </row>
    <row r="252" spans="1:14" x14ac:dyDescent="0.25">
      <c r="A252">
        <f t="shared" si="7"/>
        <v>32.682162400489631</v>
      </c>
      <c r="B252" s="17">
        <f>IF([2]AGPeg!B239&lt;&gt;"",[2]AGPeg!B239,"")</f>
        <v>227</v>
      </c>
      <c r="C252" s="18">
        <f>IF([2]AGPeg!C239&lt;&gt;"",[2]AGPeg!C239,"")</f>
        <v>43333</v>
      </c>
      <c r="D252" s="19">
        <f>IF([2]AGPeg!D239&lt;&gt;"",[2]AGPeg!D239,"")</f>
        <v>0.98160879629629638</v>
      </c>
      <c r="E252" s="17">
        <f>IF([2]AGPeg!E239&lt;&gt;"",[2]AGPeg!E239,"")</f>
        <v>2458352.4855999998</v>
      </c>
      <c r="F252" s="26">
        <f t="shared" si="11"/>
        <v>0.68216240048963073</v>
      </c>
      <c r="G252" s="17" t="str">
        <f>IF([2]AGPeg!F239&lt;&gt;"",[2]AGPeg!F239,"")</f>
        <v>TRO</v>
      </c>
      <c r="H252" s="17" t="str">
        <f>IF([2]AGPeg!G239&lt;&gt;"",[2]AGPeg!G239,"")</f>
        <v>PON_UK</v>
      </c>
      <c r="I252" s="17" t="str">
        <f>IF([2]AGPeg!H239&lt;&gt;"",[2]AGPeg!H239,"")</f>
        <v>C925+Alpy600+ATIK460</v>
      </c>
      <c r="J252" s="17">
        <f>IF([2]AGPeg!I239&lt;&gt;"",[2]AGPeg!I239,"")</f>
        <v>611</v>
      </c>
      <c r="K252" s="17" t="str">
        <f>IF([2]AGPeg!J239&lt;&gt;"",[2]AGPeg!J239,"")</f>
        <v/>
      </c>
      <c r="L252" s="17"/>
      <c r="N252" s="2"/>
    </row>
    <row r="253" spans="1:14" x14ac:dyDescent="0.25">
      <c r="A253">
        <f t="shared" si="7"/>
        <v>32.683633067973062</v>
      </c>
      <c r="B253" s="17">
        <f>IF([2]AGPeg!B240&lt;&gt;"",[2]AGPeg!B240,"")</f>
        <v>228</v>
      </c>
      <c r="C253" s="18">
        <f>IF([2]AGPeg!C240&lt;&gt;"",[2]AGPeg!C240,"")</f>
        <v>43335</v>
      </c>
      <c r="D253" s="19">
        <f>IF([2]AGPeg!D240&lt;&gt;"",[2]AGPeg!D240,"")</f>
        <v>0.16563657407407409</v>
      </c>
      <c r="E253" s="17">
        <f>IF([2]AGPeg!E240&lt;&gt;"",[2]AGPeg!E240,"")</f>
        <v>2458353.6864</v>
      </c>
      <c r="F253" s="26">
        <f t="shared" si="11"/>
        <v>0.68363306797306223</v>
      </c>
      <c r="G253" s="17" t="str">
        <f>IF([2]AGPeg!F240&lt;&gt;"",[2]AGPeg!F240,"")</f>
        <v>LES</v>
      </c>
      <c r="H253" s="17" t="str">
        <f>IF([2]AGPeg!G240&lt;&gt;"",[2]AGPeg!G240,"")</f>
        <v>MRO-CA</v>
      </c>
      <c r="I253" s="17" t="str">
        <f>IF([2]AGPeg!H240&lt;&gt;"",[2]AGPeg!H240,"")</f>
        <v>DK310+Echelle_ESSAT</v>
      </c>
      <c r="J253" s="17">
        <f>IF([2]AGPeg!I240&lt;&gt;"",[2]AGPeg!I240,"")</f>
        <v>14000</v>
      </c>
      <c r="K253" s="17" t="str">
        <f>IF([2]AGPeg!J240&lt;&gt;"",[2]AGPeg!J240,"")</f>
        <v/>
      </c>
      <c r="L253" s="17"/>
      <c r="N253" s="2"/>
    </row>
    <row r="254" spans="1:14" x14ac:dyDescent="0.25">
      <c r="A254">
        <f t="shared" si="7"/>
        <v>32.685764849969551</v>
      </c>
      <c r="B254" s="17">
        <f>IF([2]AGPeg!B241&lt;&gt;"",[2]AGPeg!B241,"")</f>
        <v>229</v>
      </c>
      <c r="C254" s="18">
        <f>IF([2]AGPeg!C241&lt;&gt;"",[2]AGPeg!C241,"")</f>
        <v>43336</v>
      </c>
      <c r="D254" s="19">
        <f>IF([2]AGPeg!D241&lt;&gt;"",[2]AGPeg!D241,"")</f>
        <v>0.91305555555555562</v>
      </c>
      <c r="E254" s="17">
        <f>IF([2]AGPeg!E241&lt;&gt;"",[2]AGPeg!E241,"")</f>
        <v>2458355.4270000001</v>
      </c>
      <c r="F254" s="26">
        <f t="shared" si="11"/>
        <v>0.68576484996955145</v>
      </c>
      <c r="G254" s="17" t="str">
        <f>IF([2]AGPeg!F241&lt;&gt;"",[2]AGPeg!F241,"")</f>
        <v>JGF</v>
      </c>
      <c r="H254" s="17" t="str">
        <f>IF([2]AGPeg!G241&lt;&gt;"",[2]AGPeg!G241,"")</f>
        <v>PIE-SP</v>
      </c>
      <c r="I254" s="17" t="str">
        <f>IF([2]AGPeg!H241&lt;&gt;"",[2]AGPeg!H241,"")</f>
        <v>MUSSOL</v>
      </c>
      <c r="J254" s="17">
        <f>IF([2]AGPeg!I241&lt;&gt;"",[2]AGPeg!I241,"")</f>
        <v>9000</v>
      </c>
      <c r="K254" s="17" t="str">
        <f>IF([2]AGPeg!J241&lt;&gt;"",[2]AGPeg!J241,"")</f>
        <v/>
      </c>
      <c r="L254" s="17"/>
      <c r="N254" s="2"/>
    </row>
    <row r="255" spans="1:14" x14ac:dyDescent="0.25">
      <c r="A255">
        <f t="shared" si="7"/>
        <v>32.687029883649885</v>
      </c>
      <c r="B255" s="17">
        <f>IF([2]AGPeg!B242&lt;&gt;"",[2]AGPeg!B242,"")</f>
        <v>230</v>
      </c>
      <c r="C255" s="18">
        <f>IF([2]AGPeg!C242&lt;&gt;"",[2]AGPeg!C242,"")</f>
        <v>43337</v>
      </c>
      <c r="D255" s="19">
        <f>IF([2]AGPeg!D242&lt;&gt;"",[2]AGPeg!D242,"")</f>
        <v>0.93905092592592598</v>
      </c>
      <c r="E255" s="17">
        <f>IF([2]AGPeg!E242&lt;&gt;"",[2]AGPeg!E242,"")</f>
        <v>2458356.4599000001</v>
      </c>
      <c r="F255" s="26">
        <f t="shared" si="11"/>
        <v>0.68702988364988471</v>
      </c>
      <c r="G255" s="17" t="str">
        <f>IF([2]AGPeg!F242&lt;&gt;"",[2]AGPeg!F242,"")</f>
        <v>JGF</v>
      </c>
      <c r="H255" s="17" t="str">
        <f>IF([2]AGPeg!G242&lt;&gt;"",[2]AGPeg!G242,"")</f>
        <v>SMM-SP</v>
      </c>
      <c r="I255" s="17" t="str">
        <f>IF([2]AGPeg!H242&lt;&gt;"",[2]AGPeg!H242,"")</f>
        <v>16REMOTLINX460EX</v>
      </c>
      <c r="J255" s="17">
        <f>IF([2]AGPeg!I242&lt;&gt;"",[2]AGPeg!I242,"")</f>
        <v>9000</v>
      </c>
      <c r="K255" s="17" t="str">
        <f>IF([2]AGPeg!J242&lt;&gt;"",[2]AGPeg!J242,"")</f>
        <v/>
      </c>
      <c r="L255" s="17"/>
      <c r="N255" s="2"/>
    </row>
    <row r="256" spans="1:14" x14ac:dyDescent="0.25">
      <c r="A256">
        <f t="shared" si="7"/>
        <v>32.69364115125537</v>
      </c>
      <c r="B256" s="17">
        <f>IF([2]AGPeg!B243&lt;&gt;"",[2]AGPeg!B243,"")</f>
        <v>231</v>
      </c>
      <c r="C256" s="18">
        <f>IF([2]AGPeg!C243&lt;&gt;"",[2]AGPeg!C243,"")</f>
        <v>43343</v>
      </c>
      <c r="D256" s="19">
        <f>IF([2]AGPeg!D243&lt;&gt;"",[2]AGPeg!D243,"")</f>
        <v>0.33818287037037037</v>
      </c>
      <c r="E256" s="17">
        <f>IF([2]AGPeg!E243&lt;&gt;"",[2]AGPeg!E243,"")</f>
        <v>2458361.858</v>
      </c>
      <c r="F256" s="26">
        <f t="shared" si="11"/>
        <v>0.6936411512553704</v>
      </c>
      <c r="G256" s="17" t="str">
        <f>IF([2]AGPeg!F243&lt;&gt;"",[2]AGPeg!F243,"")</f>
        <v>JRF</v>
      </c>
      <c r="H256" s="17" t="str">
        <f>IF([2]AGPeg!G243&lt;&gt;"",[2]AGPeg!G243,"")</f>
        <v>MTP-US</v>
      </c>
      <c r="I256" s="17" t="str">
        <f>IF([2]AGPeg!H243&lt;&gt;"",[2]AGPeg!H243,"")</f>
        <v>CDK17+LhiresIII+ATIK460EX</v>
      </c>
      <c r="J256" s="17">
        <f>IF([2]AGPeg!I243&lt;&gt;"",[2]AGPeg!I243,"")</f>
        <v>5962</v>
      </c>
      <c r="K256" s="17" t="str">
        <f>IF([2]AGPeg!J243&lt;&gt;"",[2]AGPeg!J243,"")</f>
        <v/>
      </c>
      <c r="L256" s="17"/>
      <c r="N256" s="2"/>
    </row>
    <row r="257" spans="1:14" x14ac:dyDescent="0.25">
      <c r="A257">
        <f t="shared" si="7"/>
        <v>32.693749540722692</v>
      </c>
      <c r="B257" s="17">
        <f>IF([2]AGPeg!B244&lt;&gt;"",[2]AGPeg!B244,"")</f>
        <v>232</v>
      </c>
      <c r="C257" s="18">
        <f>IF([2]AGPeg!C244&lt;&gt;"",[2]AGPeg!C244,"")</f>
        <v>43343</v>
      </c>
      <c r="D257" s="19">
        <f>IF([2]AGPeg!D244&lt;&gt;"",[2]AGPeg!D244,"")</f>
        <v>0.43396990740740743</v>
      </c>
      <c r="E257" s="17">
        <f>IF([2]AGPeg!E244&lt;&gt;"",[2]AGPeg!E244,"")</f>
        <v>2458361.9465000001</v>
      </c>
      <c r="F257" s="26">
        <f t="shared" si="11"/>
        <v>0.6937495407226919</v>
      </c>
      <c r="G257" s="17" t="str">
        <f>IF([2]AGPeg!F244&lt;&gt;"",[2]AGPeg!F244,"")</f>
        <v>JRF</v>
      </c>
      <c r="H257" s="17" t="str">
        <f>IF([2]AGPeg!G244&lt;&gt;"",[2]AGPeg!G244,"")</f>
        <v>MTP-US</v>
      </c>
      <c r="I257" s="17" t="str">
        <f>IF([2]AGPeg!H244&lt;&gt;"",[2]AGPeg!H244,"")</f>
        <v/>
      </c>
      <c r="J257" s="17">
        <f>IF([2]AGPeg!I244&lt;&gt;"",[2]AGPeg!I244,"")</f>
        <v>8769</v>
      </c>
      <c r="K257" s="17" t="str">
        <f>IF([2]AGPeg!J244&lt;&gt;"",[2]AGPeg!J244,"")</f>
        <v/>
      </c>
      <c r="L257" s="17"/>
      <c r="N257" s="2"/>
    </row>
    <row r="258" spans="1:14" x14ac:dyDescent="0.25">
      <c r="A258">
        <f t="shared" si="7"/>
        <v>32.695501041028876</v>
      </c>
      <c r="B258" s="17">
        <f>IF([2]AGPeg!B245&lt;&gt;"",[2]AGPeg!B245,"")</f>
        <v>233</v>
      </c>
      <c r="C258" s="18">
        <f>IF([2]AGPeg!C245&lt;&gt;"",[2]AGPeg!C245,"")</f>
        <v>43344</v>
      </c>
      <c r="D258" s="19">
        <f>IF([2]AGPeg!D245&lt;&gt;"",[2]AGPeg!D245,"")</f>
        <v>0.86181712962962964</v>
      </c>
      <c r="E258" s="17">
        <f>IF([2]AGPeg!E245&lt;&gt;"",[2]AGPeg!E245,"")</f>
        <v>2458363.3766000001</v>
      </c>
      <c r="F258" s="26">
        <f t="shared" si="11"/>
        <v>0.69550104102887644</v>
      </c>
      <c r="G258" s="17" t="str">
        <f>IF([2]AGPeg!F245&lt;&gt;"",[2]AGPeg!F245,"")</f>
        <v>DBO</v>
      </c>
      <c r="H258" s="17" t="str">
        <f>IF([2]AGPeg!G245&lt;&gt;"",[2]AGPeg!G245,"")</f>
        <v>WCO-UK</v>
      </c>
      <c r="I258" s="17" t="str">
        <f>IF([2]AGPeg!H245&lt;&gt;"",[2]AGPeg!H245,"")</f>
        <v>C11+Lisa+SXVR-H694</v>
      </c>
      <c r="J258" s="17">
        <f>IF([2]AGPeg!I245&lt;&gt;"",[2]AGPeg!I245,"")</f>
        <v>1011</v>
      </c>
      <c r="K258" s="17" t="str">
        <f>IF([2]AGPeg!J245&lt;&gt;"",[2]AGPeg!J245,"")</f>
        <v/>
      </c>
      <c r="L258" s="17"/>
      <c r="N258" s="2"/>
    </row>
    <row r="259" spans="1:14" x14ac:dyDescent="0.25">
      <c r="A259">
        <f t="shared" si="7"/>
        <v>32.70172394366179</v>
      </c>
      <c r="B259" s="17">
        <f>IF([2]AGPeg!B246&lt;&gt;"",[2]AGPeg!B246,"")</f>
        <v>234</v>
      </c>
      <c r="C259" s="18">
        <f>IF([2]AGPeg!C246&lt;&gt;"",[2]AGPeg!C246,"")</f>
        <v>43349</v>
      </c>
      <c r="D259" s="19">
        <f>IF([2]AGPeg!D246&lt;&gt;"",[2]AGPeg!D246,"")</f>
        <v>0.93767361111111114</v>
      </c>
      <c r="E259" s="17">
        <f>IF([2]AGPeg!E246&lt;&gt;"",[2]AGPeg!E246,"")</f>
        <v>2458368.4575999998</v>
      </c>
      <c r="F259" s="26">
        <f t="shared" si="11"/>
        <v>0.70172394366178992</v>
      </c>
      <c r="G259" s="17" t="str">
        <f>IF([2]AGPeg!F246&lt;&gt;"",[2]AGPeg!F246,"")</f>
        <v>GMAYBU</v>
      </c>
      <c r="H259" s="17" t="str">
        <f>IF([2]AGPeg!G246&lt;&gt;"",[2]AGPeg!G246,"")</f>
        <v>OSM-FR</v>
      </c>
      <c r="I259" s="17" t="str">
        <f>IF([2]AGPeg!H246&lt;&gt;"",[2]AGPeg!H246,"")</f>
        <v>C8LisaQSI583wsg</v>
      </c>
      <c r="J259" s="17">
        <f>IF([2]AGPeg!I246&lt;&gt;"",[2]AGPeg!I246,"")</f>
        <v>1170</v>
      </c>
      <c r="K259" s="17" t="str">
        <f>IF([2]AGPeg!J246&lt;&gt;"",[2]AGPeg!J246,"")</f>
        <v/>
      </c>
      <c r="L259" s="17"/>
      <c r="N259" s="2"/>
    </row>
    <row r="260" spans="1:14" x14ac:dyDescent="0.25">
      <c r="A260">
        <f t="shared" si="7"/>
        <v>32.711469197795203</v>
      </c>
      <c r="B260" s="17">
        <f>IF([2]AGPeg!B247&lt;&gt;"",[2]AGPeg!B247,"")</f>
        <v>235</v>
      </c>
      <c r="C260" s="18">
        <f>IF([2]AGPeg!C247&lt;&gt;"",[2]AGPeg!C247,"")</f>
        <v>43357</v>
      </c>
      <c r="D260" s="19">
        <f>IF([2]AGPeg!D247&lt;&gt;"",[2]AGPeg!D247,"")</f>
        <v>0.89373842592592589</v>
      </c>
      <c r="E260" s="17">
        <f>IF([2]AGPeg!E247&lt;&gt;"",[2]AGPeg!E247,"")</f>
        <v>2458376.4145999998</v>
      </c>
      <c r="F260" s="26">
        <f t="shared" si="11"/>
        <v>0.71146919779520346</v>
      </c>
      <c r="G260" s="17" t="str">
        <f>IF([2]AGPeg!F247&lt;&gt;"",[2]AGPeg!F247,"")</f>
        <v>JGF</v>
      </c>
      <c r="H260" s="17" t="str">
        <f>IF([2]AGPeg!G247&lt;&gt;"",[2]AGPeg!G247,"")</f>
        <v>PIE-SP</v>
      </c>
      <c r="I260" s="17" t="str">
        <f>IF([2]AGPeg!H247&lt;&gt;"",[2]AGPeg!H247,"")</f>
        <v>MUSSOL</v>
      </c>
      <c r="J260" s="17">
        <f>IF([2]AGPeg!I247&lt;&gt;"",[2]AGPeg!I247,"")</f>
        <v>9000</v>
      </c>
      <c r="K260" s="17" t="str">
        <f>IF([2]AGPeg!J247&lt;&gt;"",[2]AGPeg!J247,"")</f>
        <v/>
      </c>
      <c r="L260" s="17"/>
      <c r="N260" s="2"/>
    </row>
    <row r="261" spans="1:14" x14ac:dyDescent="0.25">
      <c r="A261">
        <f t="shared" si="7"/>
        <v>32.724834047764908</v>
      </c>
      <c r="B261" s="17">
        <f>IF([2]AGPeg!B248&lt;&gt;"",[2]AGPeg!B248,"")</f>
        <v>236</v>
      </c>
      <c r="C261" s="18">
        <f>IF([2]AGPeg!C248&lt;&gt;"",[2]AGPeg!C248,"")</f>
        <v>43368</v>
      </c>
      <c r="D261" s="19">
        <f>IF([2]AGPeg!D248&lt;&gt;"",[2]AGPeg!D248,"")</f>
        <v>0.80259259259259252</v>
      </c>
      <c r="E261" s="17">
        <f>IF([2]AGPeg!E248&lt;&gt;"",[2]AGPeg!E248,"")</f>
        <v>2458387.327</v>
      </c>
      <c r="F261" s="26">
        <f t="shared" si="11"/>
        <v>0.72483404776490801</v>
      </c>
      <c r="G261" s="17" t="str">
        <f>IF([2]AGPeg!F248&lt;&gt;"",[2]AGPeg!F248,"")</f>
        <v>JGF</v>
      </c>
      <c r="H261" s="17" t="str">
        <f>IF([2]AGPeg!G248&lt;&gt;"",[2]AGPeg!G248,"")</f>
        <v>PIE-SP</v>
      </c>
      <c r="I261" s="17" t="str">
        <f>IF([2]AGPeg!H248&lt;&gt;"",[2]AGPeg!H248,"")</f>
        <v>MUSSOL</v>
      </c>
      <c r="J261" s="17">
        <f>IF([2]AGPeg!I248&lt;&gt;"",[2]AGPeg!I248,"")</f>
        <v>9000</v>
      </c>
      <c r="K261" s="17" t="str">
        <f>IF([2]AGPeg!J248&lt;&gt;"",[2]AGPeg!J248,"")</f>
        <v/>
      </c>
      <c r="L261" s="17"/>
      <c r="N261" s="2"/>
    </row>
    <row r="262" spans="1:14" x14ac:dyDescent="0.25">
      <c r="A262">
        <f t="shared" si="7"/>
        <v>32.732198775260024</v>
      </c>
      <c r="B262" s="17">
        <f>IF([2]AGPeg!B249&lt;&gt;"",[2]AGPeg!B249,"")</f>
        <v>237</v>
      </c>
      <c r="C262" s="18">
        <f>IF([2]AGPeg!C249&lt;&gt;"",[2]AGPeg!C249,"")</f>
        <v>43374</v>
      </c>
      <c r="D262" s="19">
        <f>IF([2]AGPeg!D249&lt;&gt;"",[2]AGPeg!D249,"")</f>
        <v>0.79379629629629633</v>
      </c>
      <c r="E262" s="17">
        <f>IF([2]AGPeg!E249&lt;&gt;"",[2]AGPeg!E249,"")</f>
        <v>2458393.3402999998</v>
      </c>
      <c r="F262" s="26">
        <f t="shared" si="11"/>
        <v>0.73219877526002364</v>
      </c>
      <c r="G262" s="17" t="str">
        <f>IF([2]AGPeg!F249&lt;&gt;"",[2]AGPeg!F249,"")</f>
        <v>JGF</v>
      </c>
      <c r="H262" s="17" t="str">
        <f>IF([2]AGPeg!G249&lt;&gt;"",[2]AGPeg!G249,"")</f>
        <v>PIE-SP</v>
      </c>
      <c r="I262" s="17" t="str">
        <f>IF([2]AGPeg!H249&lt;&gt;"",[2]AGPeg!H249,"")</f>
        <v>MUSSOL</v>
      </c>
      <c r="J262" s="17">
        <f>IF([2]AGPeg!I249&lt;&gt;"",[2]AGPeg!I249,"")</f>
        <v>9000</v>
      </c>
      <c r="K262" s="17" t="str">
        <f>IF([2]AGPeg!J249&lt;&gt;"",[2]AGPeg!J249,"")</f>
        <v/>
      </c>
      <c r="L262" s="17"/>
      <c r="N262" s="2"/>
    </row>
    <row r="263" spans="1:14" x14ac:dyDescent="0.25">
      <c r="A263">
        <f t="shared" si="7"/>
        <v>32.754308511941041</v>
      </c>
      <c r="B263" s="17">
        <f>IF([2]AGPeg!B250&lt;&gt;"",[2]AGPeg!B250,"")</f>
        <v>238</v>
      </c>
      <c r="C263" s="18">
        <f>IF([2]AGPeg!C250&lt;&gt;"",[2]AGPeg!C250,"")</f>
        <v>43392</v>
      </c>
      <c r="D263" s="19">
        <f>IF([2]AGPeg!D250&lt;&gt;"",[2]AGPeg!D250,"")</f>
        <v>0.85787037037037039</v>
      </c>
      <c r="E263" s="17">
        <f>IF([2]AGPeg!E250&lt;&gt;"",[2]AGPeg!E250,"")</f>
        <v>2458411.3928999999</v>
      </c>
      <c r="F263" s="26">
        <f t="shared" si="11"/>
        <v>0.75430851194104065</v>
      </c>
      <c r="G263" s="17" t="str">
        <f>IF([2]AGPeg!F250&lt;&gt;"",[2]AGPeg!F250,"")</f>
        <v>SCH</v>
      </c>
      <c r="H263" s="17" t="str">
        <f>IF([2]AGPeg!G250&lt;&gt;"",[2]AGPeg!G250,"")</f>
        <v>DUR-FR</v>
      </c>
      <c r="I263" s="17" t="str">
        <f>IF([2]AGPeg!H250&lt;&gt;"",[2]AGPeg!H250,"")</f>
        <v>T500+eShel+Atik460EX</v>
      </c>
      <c r="J263" s="17">
        <f>IF([2]AGPeg!I250&lt;&gt;"",[2]AGPeg!I250,"")</f>
        <v>11000</v>
      </c>
      <c r="K263" s="17" t="str">
        <f>IF([2]AGPeg!J250&lt;&gt;"",[2]AGPeg!J250,"")</f>
        <v/>
      </c>
      <c r="L263" s="17"/>
      <c r="N263" s="2"/>
    </row>
    <row r="264" spans="1:14" x14ac:dyDescent="0.25">
      <c r="A264">
        <f t="shared" si="7"/>
        <v>32.768178812002297</v>
      </c>
      <c r="B264" s="17">
        <f>IF([2]AGPeg!B251&lt;&gt;"",[2]AGPeg!B251,"")</f>
        <v>239</v>
      </c>
      <c r="C264" s="18">
        <f>IF([2]AGPeg!C251&lt;&gt;"",[2]AGPeg!C251,"")</f>
        <v>43394</v>
      </c>
      <c r="D264" s="19">
        <f>IF([2]AGPeg!D251&lt;&gt;"",[2]AGPeg!D251,"")</f>
        <v>0.20528935185185185</v>
      </c>
      <c r="E264" s="17">
        <f>IF([2]AGPeg!E251&lt;&gt;"",[2]AGPeg!E251,"")</f>
        <v>2458422.7179999999</v>
      </c>
      <c r="F264" s="26">
        <f t="shared" si="11"/>
        <v>0.76817881200229721</v>
      </c>
      <c r="G264" s="17" t="str">
        <f>IF([2]AGPeg!F251&lt;&gt;"",[2]AGPeg!F251,"")</f>
        <v>JRF</v>
      </c>
      <c r="H264" s="17" t="str">
        <f>IF([2]AGPeg!G251&lt;&gt;"",[2]AGPeg!G251,"")</f>
        <v>UHO-US</v>
      </c>
      <c r="I264" s="17" t="str">
        <f>IF([2]AGPeg!H251&lt;&gt;"",[2]AGPeg!H251,"")</f>
        <v>CC13ALPY600ATIK460EX</v>
      </c>
      <c r="J264" s="17">
        <f>IF([2]AGPeg!I251&lt;&gt;"",[2]AGPeg!I251,"")</f>
        <v>600</v>
      </c>
      <c r="K264" s="17" t="str">
        <f>IF([2]AGPeg!J251&lt;&gt;"",[2]AGPeg!J251,"")</f>
        <v/>
      </c>
      <c r="L264" s="17"/>
      <c r="N264" s="2"/>
    </row>
    <row r="265" spans="1:14" x14ac:dyDescent="0.25">
      <c r="A265">
        <f t="shared" si="7"/>
        <v>32.781734231475625</v>
      </c>
      <c r="B265" s="22">
        <v>249</v>
      </c>
      <c r="C265" s="23">
        <v>43415</v>
      </c>
      <c r="D265" s="24">
        <v>0.27954861111111112</v>
      </c>
      <c r="E265" s="22">
        <v>2458433.7859999998</v>
      </c>
      <c r="F265" s="25">
        <v>0.7817342314756246</v>
      </c>
      <c r="G265" s="22" t="s">
        <v>1702</v>
      </c>
      <c r="H265" s="22" t="s">
        <v>1705</v>
      </c>
      <c r="I265" s="22" t="s">
        <v>1706</v>
      </c>
      <c r="J265" s="22">
        <v>529</v>
      </c>
      <c r="K265" s="22">
        <v>3605</v>
      </c>
      <c r="L265" s="22">
        <v>7400</v>
      </c>
      <c r="N265" s="2"/>
    </row>
    <row r="266" spans="1:14" x14ac:dyDescent="0.25">
      <c r="A266">
        <f t="shared" si="7"/>
        <v>32.781734231475625</v>
      </c>
      <c r="B266" s="22">
        <v>250</v>
      </c>
      <c r="C266" s="23">
        <v>43415</v>
      </c>
      <c r="D266" s="24">
        <v>0.27954861111111112</v>
      </c>
      <c r="E266" s="22">
        <v>2458433.7859999998</v>
      </c>
      <c r="F266" s="25">
        <v>0.7817342314756246</v>
      </c>
      <c r="G266" s="22" t="s">
        <v>1702</v>
      </c>
      <c r="H266" s="22" t="s">
        <v>1703</v>
      </c>
      <c r="I266" s="22" t="s">
        <v>1706</v>
      </c>
      <c r="J266" s="22">
        <v>529</v>
      </c>
      <c r="K266" s="22">
        <v>3605</v>
      </c>
      <c r="L266" s="22">
        <v>7400</v>
      </c>
      <c r="N266" s="2"/>
    </row>
    <row r="267" spans="1:14" x14ac:dyDescent="0.25">
      <c r="A267">
        <f t="shared" si="7"/>
        <v>32.815332026944013</v>
      </c>
      <c r="B267" s="22">
        <v>252</v>
      </c>
      <c r="C267" s="23">
        <v>43442</v>
      </c>
      <c r="D267" s="24">
        <v>0.71442129629629625</v>
      </c>
      <c r="E267" s="22">
        <v>2458461.2185999998</v>
      </c>
      <c r="F267" s="25">
        <v>0.81533202694401297</v>
      </c>
      <c r="G267" s="22" t="s">
        <v>1708</v>
      </c>
      <c r="H267" s="22" t="s">
        <v>1709</v>
      </c>
      <c r="I267" s="22" t="s">
        <v>1710</v>
      </c>
      <c r="J267" s="22">
        <v>543</v>
      </c>
      <c r="K267" s="22">
        <v>3830</v>
      </c>
      <c r="L267" s="22">
        <v>7231</v>
      </c>
      <c r="N267" s="2"/>
    </row>
    <row r="268" spans="1:14" x14ac:dyDescent="0.25">
      <c r="A268">
        <f t="shared" si="7"/>
        <v>32.80979877526017</v>
      </c>
      <c r="B268" s="22">
        <v>251</v>
      </c>
      <c r="C268" s="23">
        <v>43438</v>
      </c>
      <c r="D268" s="24">
        <v>0.19376157407407404</v>
      </c>
      <c r="E268" s="22">
        <v>2458456.7006999999</v>
      </c>
      <c r="F268" s="25">
        <v>0.80979877526016963</v>
      </c>
      <c r="G268" s="22" t="s">
        <v>1702</v>
      </c>
      <c r="H268" s="22" t="s">
        <v>1705</v>
      </c>
      <c r="I268" s="22" t="s">
        <v>1707</v>
      </c>
      <c r="J268" s="22">
        <v>555</v>
      </c>
      <c r="K268" s="22">
        <v>3700</v>
      </c>
      <c r="L268" s="22">
        <v>7400</v>
      </c>
      <c r="N268" s="2"/>
    </row>
    <row r="269" spans="1:14" x14ac:dyDescent="0.25">
      <c r="A269">
        <f t="shared" si="7"/>
        <v>32.768178812002297</v>
      </c>
      <c r="B269" s="22">
        <v>257</v>
      </c>
      <c r="C269" s="23" t="s">
        <v>1714</v>
      </c>
      <c r="D269" s="24">
        <v>0.20528935185185185</v>
      </c>
      <c r="E269" s="22">
        <v>2458422.7179999999</v>
      </c>
      <c r="F269" s="25">
        <v>0.76817881200229721</v>
      </c>
      <c r="G269" s="22" t="s">
        <v>1702</v>
      </c>
      <c r="H269" s="22" t="s">
        <v>1705</v>
      </c>
      <c r="I269" s="22" t="s">
        <v>1706</v>
      </c>
      <c r="J269" s="22">
        <v>600</v>
      </c>
      <c r="K269" s="22">
        <v>3700</v>
      </c>
      <c r="L269" s="22">
        <v>7400</v>
      </c>
      <c r="N269" s="2"/>
    </row>
    <row r="270" spans="1:14" x14ac:dyDescent="0.25">
      <c r="A270">
        <f t="shared" si="7"/>
        <v>32.78280379669313</v>
      </c>
      <c r="B270" s="22">
        <v>253</v>
      </c>
      <c r="C270" s="23">
        <v>43445</v>
      </c>
      <c r="D270" s="24">
        <v>0.15289351851851851</v>
      </c>
      <c r="E270" s="22">
        <v>2458434.6592999999</v>
      </c>
      <c r="F270" s="25">
        <v>0.78280379669313049</v>
      </c>
      <c r="G270" s="22" t="s">
        <v>1702</v>
      </c>
      <c r="H270" s="22" t="s">
        <v>1703</v>
      </c>
      <c r="I270" s="22" t="s">
        <v>1704</v>
      </c>
      <c r="J270" s="22">
        <v>736</v>
      </c>
      <c r="K270" s="22">
        <v>6151</v>
      </c>
      <c r="L270" s="22">
        <v>9600</v>
      </c>
      <c r="N270" s="2"/>
    </row>
    <row r="271" spans="1:14" x14ac:dyDescent="0.25">
      <c r="A271">
        <f t="shared" si="7"/>
        <v>32.78280379669313</v>
      </c>
      <c r="B271" s="22">
        <v>254</v>
      </c>
      <c r="C271" s="23">
        <v>43445</v>
      </c>
      <c r="D271" s="24">
        <v>0.15289351851851851</v>
      </c>
      <c r="E271" s="22">
        <v>2458434.6592999999</v>
      </c>
      <c r="F271" s="25">
        <v>0.78280379669313049</v>
      </c>
      <c r="G271" s="22" t="s">
        <v>1702</v>
      </c>
      <c r="H271" s="22" t="s">
        <v>1703</v>
      </c>
      <c r="I271" s="22" t="s">
        <v>1704</v>
      </c>
      <c r="J271" s="22">
        <v>736</v>
      </c>
      <c r="K271" s="22">
        <v>6151</v>
      </c>
      <c r="L271" s="22">
        <v>9600</v>
      </c>
      <c r="N271" s="2"/>
    </row>
    <row r="272" spans="1:14" x14ac:dyDescent="0.25">
      <c r="A272">
        <f t="shared" si="7"/>
        <v>32.743823392528853</v>
      </c>
      <c r="B272" s="22">
        <v>248</v>
      </c>
      <c r="C272" s="23">
        <v>43414</v>
      </c>
      <c r="D272" s="24">
        <v>0.31928240740740738</v>
      </c>
      <c r="E272" s="22">
        <v>2458402.8317999998</v>
      </c>
      <c r="F272" s="25">
        <v>0.74382339252885288</v>
      </c>
      <c r="G272" s="22" t="s">
        <v>1702</v>
      </c>
      <c r="H272" s="22" t="s">
        <v>1703</v>
      </c>
      <c r="I272" s="22" t="s">
        <v>1704</v>
      </c>
      <c r="J272" s="22">
        <v>742</v>
      </c>
      <c r="K272" s="22">
        <v>3835</v>
      </c>
      <c r="L272" s="22">
        <v>7396</v>
      </c>
      <c r="N272" s="2"/>
    </row>
    <row r="273" spans="1:14" x14ac:dyDescent="0.25">
      <c r="A273">
        <f t="shared" si="7"/>
        <v>32.808525658297576</v>
      </c>
      <c r="B273" s="22">
        <v>250</v>
      </c>
      <c r="C273" s="23">
        <v>43437</v>
      </c>
      <c r="D273" s="24">
        <v>0.15151620370370369</v>
      </c>
      <c r="E273" s="22">
        <v>2458455.6612</v>
      </c>
      <c r="F273" s="25">
        <v>0.80852565829757594</v>
      </c>
      <c r="G273" s="22" t="s">
        <v>1702</v>
      </c>
      <c r="H273" s="22" t="s">
        <v>1705</v>
      </c>
      <c r="I273" s="22" t="s">
        <v>1707</v>
      </c>
      <c r="J273" s="22">
        <v>806</v>
      </c>
      <c r="K273" s="22">
        <v>6151</v>
      </c>
      <c r="L273" s="22">
        <v>9676</v>
      </c>
      <c r="N273" s="2"/>
    </row>
    <row r="274" spans="1:14" x14ac:dyDescent="0.25">
      <c r="A274">
        <f t="shared" si="7"/>
        <v>32.766487201469886</v>
      </c>
      <c r="B274" s="27">
        <v>244</v>
      </c>
      <c r="C274" s="21">
        <v>43402</v>
      </c>
      <c r="D274" s="28">
        <v>0.82608796296296294</v>
      </c>
      <c r="E274" s="27">
        <v>2458421.3368000002</v>
      </c>
      <c r="F274" s="29">
        <v>0.7664872014698858</v>
      </c>
      <c r="G274" s="27" t="s">
        <v>1691</v>
      </c>
      <c r="H274" s="27" t="s">
        <v>1692</v>
      </c>
      <c r="I274" s="27" t="s">
        <v>1693</v>
      </c>
      <c r="J274" s="27">
        <v>1118</v>
      </c>
      <c r="K274" s="27">
        <v>3901</v>
      </c>
      <c r="L274" s="27">
        <v>7379</v>
      </c>
      <c r="N274" s="2"/>
    </row>
    <row r="275" spans="1:14" x14ac:dyDescent="0.25">
      <c r="A275">
        <f t="shared" si="7"/>
        <v>32.835021555419743</v>
      </c>
      <c r="B275" s="27">
        <v>256</v>
      </c>
      <c r="C275" s="21" t="s">
        <v>1712</v>
      </c>
      <c r="D275" s="28">
        <v>0.77380787037037047</v>
      </c>
      <c r="E275" s="27">
        <v>2458477.2951000002</v>
      </c>
      <c r="F275" s="29">
        <v>0.83502155541974332</v>
      </c>
      <c r="G275" s="27" t="s">
        <v>1691</v>
      </c>
      <c r="H275" s="27" t="s">
        <v>1692</v>
      </c>
      <c r="I275" s="27" t="s">
        <v>1713</v>
      </c>
      <c r="J275" s="27">
        <v>1108</v>
      </c>
      <c r="K275" s="27">
        <v>3901</v>
      </c>
      <c r="L275" s="27">
        <v>7380</v>
      </c>
      <c r="N275" s="2"/>
    </row>
    <row r="276" spans="1:14" x14ac:dyDescent="0.25">
      <c r="A276">
        <f t="shared" si="7"/>
        <v>32.768988854868311</v>
      </c>
      <c r="B276" s="30">
        <v>245</v>
      </c>
      <c r="C276" s="31">
        <v>43404</v>
      </c>
      <c r="D276" s="32">
        <v>0.8938194444444445</v>
      </c>
      <c r="E276" s="30">
        <v>2458423.3794</v>
      </c>
      <c r="F276" s="33">
        <v>0.76898885486831148</v>
      </c>
      <c r="G276" s="30" t="s">
        <v>1694</v>
      </c>
      <c r="H276" s="30" t="s">
        <v>1695</v>
      </c>
      <c r="I276" s="30" t="s">
        <v>1696</v>
      </c>
      <c r="J276" s="30">
        <v>2742</v>
      </c>
      <c r="K276" s="30">
        <v>8090</v>
      </c>
      <c r="L276" s="30">
        <v>8788</v>
      </c>
      <c r="N276" s="2"/>
    </row>
    <row r="277" spans="1:14" x14ac:dyDescent="0.25">
      <c r="A277">
        <f t="shared" si="7"/>
        <v>32.732198775260024</v>
      </c>
      <c r="B277" s="22">
        <v>241</v>
      </c>
      <c r="C277" s="23">
        <v>43374</v>
      </c>
      <c r="D277" s="24">
        <v>0.79379629629629633</v>
      </c>
      <c r="E277" s="22">
        <v>2458393.3402999998</v>
      </c>
      <c r="F277" s="25">
        <v>0.73219877526002364</v>
      </c>
      <c r="G277" s="22" t="s">
        <v>1684</v>
      </c>
      <c r="H277" s="22" t="s">
        <v>1685</v>
      </c>
      <c r="I277" s="22" t="s">
        <v>1686</v>
      </c>
      <c r="J277" s="22">
        <v>9000</v>
      </c>
      <c r="K277" s="22">
        <v>4058</v>
      </c>
      <c r="L277" s="22">
        <v>7752</v>
      </c>
      <c r="N277" s="2"/>
    </row>
    <row r="278" spans="1:14" x14ac:dyDescent="0.25">
      <c r="A278">
        <f t="shared" si="7"/>
        <v>32.754308511941041</v>
      </c>
      <c r="B278" s="22">
        <v>242</v>
      </c>
      <c r="C278" s="23">
        <v>43392</v>
      </c>
      <c r="D278" s="24">
        <v>0.85787037037037039</v>
      </c>
      <c r="E278" s="22">
        <v>2458411.3928999999</v>
      </c>
      <c r="F278" s="25">
        <v>0.75430851194104065</v>
      </c>
      <c r="G278" s="22" t="s">
        <v>1687</v>
      </c>
      <c r="H278" s="22" t="s">
        <v>1688</v>
      </c>
      <c r="I278" s="22" t="s">
        <v>1689</v>
      </c>
      <c r="J278" s="22">
        <v>11000</v>
      </c>
      <c r="K278" s="22">
        <v>3917</v>
      </c>
      <c r="L278" s="22">
        <v>7592</v>
      </c>
      <c r="N278" s="2"/>
    </row>
    <row r="279" spans="1:14" x14ac:dyDescent="0.25">
      <c r="A279">
        <f t="shared" si="7"/>
        <v>32.756705327617631</v>
      </c>
      <c r="B279" s="22">
        <v>243</v>
      </c>
      <c r="C279" s="23">
        <v>43394</v>
      </c>
      <c r="D279" s="24">
        <v>0.80918981481481478</v>
      </c>
      <c r="E279" s="22">
        <v>2458413.3498999998</v>
      </c>
      <c r="F279" s="25">
        <v>0.75670532761763099</v>
      </c>
      <c r="G279" s="22" t="s">
        <v>1684</v>
      </c>
      <c r="H279" s="22" t="s">
        <v>1690</v>
      </c>
      <c r="I279" s="22" t="s">
        <v>1686</v>
      </c>
      <c r="J279" s="22">
        <v>9000</v>
      </c>
      <c r="K279" s="22">
        <v>3979</v>
      </c>
      <c r="L279" s="22">
        <v>7762</v>
      </c>
      <c r="N279" s="2"/>
    </row>
    <row r="280" spans="1:14" x14ac:dyDescent="0.25">
      <c r="A280">
        <f t="shared" si="7"/>
        <v>32.773837599509825</v>
      </c>
      <c r="B280" s="22">
        <v>246</v>
      </c>
      <c r="C280" s="23">
        <v>43408</v>
      </c>
      <c r="D280" s="24">
        <v>0.80937500000000007</v>
      </c>
      <c r="E280" s="22">
        <v>2458427.3383999998</v>
      </c>
      <c r="F280" s="25">
        <v>0.77383759950982522</v>
      </c>
      <c r="G280" s="22" t="s">
        <v>1684</v>
      </c>
      <c r="H280" s="22" t="s">
        <v>1697</v>
      </c>
      <c r="I280" s="22" t="s">
        <v>1698</v>
      </c>
      <c r="J280" s="22">
        <v>9000</v>
      </c>
      <c r="K280" s="22">
        <v>4052</v>
      </c>
      <c r="L280" s="22">
        <v>7762</v>
      </c>
      <c r="N280" s="2"/>
    </row>
    <row r="281" spans="1:14" x14ac:dyDescent="0.25">
      <c r="A281">
        <f t="shared" si="7"/>
        <v>32.779845560318577</v>
      </c>
      <c r="B281" s="22">
        <v>247</v>
      </c>
      <c r="C281" s="23">
        <v>43413</v>
      </c>
      <c r="D281" s="24">
        <v>0.73273148148148148</v>
      </c>
      <c r="E281" s="22">
        <v>2458432.2439000001</v>
      </c>
      <c r="F281" s="25">
        <v>0.77984556031857721</v>
      </c>
      <c r="G281" s="22" t="s">
        <v>1699</v>
      </c>
      <c r="H281" s="22" t="s">
        <v>1700</v>
      </c>
      <c r="I281" s="22" t="s">
        <v>1701</v>
      </c>
      <c r="J281" s="22">
        <v>5618</v>
      </c>
      <c r="K281" s="22">
        <v>6374</v>
      </c>
      <c r="L281" s="22">
        <v>6790</v>
      </c>
      <c r="N281" s="2"/>
    </row>
    <row r="282" spans="1:14" x14ac:dyDescent="0.25">
      <c r="A282">
        <f t="shared" si="7"/>
        <v>32.82282767911822</v>
      </c>
      <c r="B282" s="22">
        <v>255</v>
      </c>
      <c r="C282" s="23" t="s">
        <v>1711</v>
      </c>
      <c r="D282" s="24">
        <v>0.80973379629629638</v>
      </c>
      <c r="E282" s="22">
        <v>2458467.3388</v>
      </c>
      <c r="F282" s="25">
        <v>0.82282767911821963</v>
      </c>
      <c r="G282" s="22" t="s">
        <v>1684</v>
      </c>
      <c r="H282" s="22" t="s">
        <v>1697</v>
      </c>
      <c r="I282" s="22" t="s">
        <v>1698</v>
      </c>
      <c r="J282" s="22">
        <v>9000</v>
      </c>
      <c r="K282" s="22">
        <v>4052</v>
      </c>
      <c r="L282" s="22">
        <v>7498</v>
      </c>
      <c r="N282" s="2"/>
    </row>
    <row r="283" spans="1:14" x14ac:dyDescent="0.25">
      <c r="A283">
        <f t="shared" si="7"/>
        <v>33.10111341090041</v>
      </c>
      <c r="B283" s="17">
        <f>IF([2]AGPeg!B268&lt;&gt;"",[2]AGPeg!B268,"")</f>
        <v>256</v>
      </c>
      <c r="C283" s="18">
        <f>IF([2]AGPeg!C268&lt;&gt;"",[2]AGPeg!C268,"")</f>
        <v>43676</v>
      </c>
      <c r="D283" s="19">
        <f>IF([2]AGPeg!D268&lt;&gt;"",[2]AGPeg!D268,"")</f>
        <v>4.8182870370370369E-2</v>
      </c>
      <c r="E283" s="17">
        <f>IF([2]AGPeg!E268&lt;&gt;"",[2]AGPeg!E268,"")</f>
        <v>2458694.5591000002</v>
      </c>
      <c r="F283" s="20">
        <f t="shared" ref="F283" si="12">(E283-$A$2)/$A$3-INT((E283-$A$2)/$A$3)</f>
        <v>0.10111341090041037</v>
      </c>
      <c r="G283" s="17" t="str">
        <f>IF([2]AGPeg!F268&lt;&gt;"",[2]AGPeg!F268,"")</f>
        <v xml:space="preserve">FMT </v>
      </c>
      <c r="H283" s="17" t="str">
        <f>IF([2]AGPeg!G268&lt;&gt;"",[2]AGPeg!G268,"")</f>
        <v>ORS-FR</v>
      </c>
      <c r="I283" s="17" t="str">
        <f>IF([2]AGPeg!H268&lt;&gt;"",[2]AGPeg!H268,"")</f>
        <v>SC14+eShel+460EX_b2</v>
      </c>
      <c r="J283" s="17">
        <f>IF([2]AGPeg!I268&lt;&gt;"",[2]AGPeg!I268,"")</f>
        <v>11000</v>
      </c>
      <c r="K283" s="17" t="str">
        <f>IF([2]AGPeg!J268&lt;&gt;"",[2]AGPeg!J268,"")</f>
        <v/>
      </c>
      <c r="L283" s="17" t="str">
        <f>IF([2]AGPeg!K268&lt;&gt;"",[2]AGPeg!K268,"")</f>
        <v/>
      </c>
      <c r="N283" s="2"/>
    </row>
    <row r="284" spans="1:14" x14ac:dyDescent="0.25">
      <c r="A284">
        <f t="shared" si="7"/>
        <v>33.106564237599294</v>
      </c>
      <c r="B284" s="17">
        <f>IF([2]AGPeg!B269&lt;&gt;"",[2]AGPeg!B269,"")</f>
        <v>257</v>
      </c>
      <c r="C284" s="18">
        <f>IF([2]AGPeg!C269&lt;&gt;"",[2]AGPeg!C269,"")</f>
        <v>43680</v>
      </c>
      <c r="D284" s="19">
        <f>IF([2]AGPeg!D269&lt;&gt;"",[2]AGPeg!D269,"")</f>
        <v>0.50369212962962961</v>
      </c>
      <c r="E284" s="17">
        <f>IF([2]AGPeg!E269&lt;&gt;"",[2]AGPeg!E269,"")</f>
        <v>2458699.0096999998</v>
      </c>
      <c r="F284" s="20">
        <f t="shared" ref="F284:F292" si="13">(E284-$A$2)/$A$3-INT((E284-$A$2)/$A$3)</f>
        <v>0.10656423759929368</v>
      </c>
      <c r="G284" s="17" t="str">
        <f>IF([2]AGPeg!F269&lt;&gt;"",[2]AGPeg!F269,"")</f>
        <v>JRF</v>
      </c>
      <c r="H284" s="17" t="str">
        <f>IF([2]AGPeg!G269&lt;&gt;"",[2]AGPeg!G269,"")</f>
        <v>MTP-US</v>
      </c>
      <c r="I284" s="17" t="str">
        <f>IF([2]AGPeg!H269&lt;&gt;"",[2]AGPeg!H269,"")</f>
        <v>CC13ALPY600ATIK460EX</v>
      </c>
      <c r="J284" s="17">
        <f>IF([2]AGPeg!I269&lt;&gt;"",[2]AGPeg!I269,"")</f>
        <v>599</v>
      </c>
      <c r="K284" s="17" t="str">
        <f>IF([2]AGPeg!J269&lt;&gt;"",[2]AGPeg!J269,"")</f>
        <v/>
      </c>
      <c r="L284" s="17" t="str">
        <f>IF([2]AGPeg!K269&lt;&gt;"",[2]AGPeg!K269,"")</f>
        <v/>
      </c>
      <c r="N284" s="2"/>
    </row>
    <row r="285" spans="1:14" x14ac:dyDescent="0.25">
      <c r="A285">
        <f t="shared" si="7"/>
        <v>33.108637109614421</v>
      </c>
      <c r="B285" s="17">
        <f>IF([2]AGPeg!B270&lt;&gt;"",[2]AGPeg!B270,"")</f>
        <v>258</v>
      </c>
      <c r="C285" s="18">
        <f>IF([2]AGPeg!C270&lt;&gt;"",[2]AGPeg!C270,"")</f>
        <v>43682</v>
      </c>
      <c r="D285" s="19">
        <f>IF([2]AGPeg!D270&lt;&gt;"",[2]AGPeg!D270,"")</f>
        <v>0.16410879629629629</v>
      </c>
      <c r="E285" s="17">
        <f>IF([2]AGPeg!E270&lt;&gt;"",[2]AGPeg!E270,"")</f>
        <v>2458700.7022000002</v>
      </c>
      <c r="F285" s="20">
        <f t="shared" si="13"/>
        <v>0.10863710961442052</v>
      </c>
      <c r="G285" s="17" t="str">
        <f>IF([2]AGPeg!F270&lt;&gt;"",[2]AGPeg!F270,"")</f>
        <v>LES</v>
      </c>
      <c r="H285" s="17" t="str">
        <f>IF([2]AGPeg!G270&lt;&gt;"",[2]AGPeg!G270,"")</f>
        <v>MRO-CA</v>
      </c>
      <c r="I285" s="17" t="str">
        <f>IF([2]AGPeg!H270&lt;&gt;"",[2]AGPeg!H270,"")</f>
        <v>31cmDK+ESSAT</v>
      </c>
      <c r="J285" s="17">
        <f>IF([2]AGPeg!I270&lt;&gt;"",[2]AGPeg!I270,"")</f>
        <v>14000</v>
      </c>
      <c r="K285" s="17" t="str">
        <f>IF([2]AGPeg!J270&lt;&gt;"",[2]AGPeg!J270,"")</f>
        <v/>
      </c>
      <c r="L285" s="17" t="str">
        <f>IF([2]AGPeg!K270&lt;&gt;"",[2]AGPeg!K270,"")</f>
        <v/>
      </c>
      <c r="N285" s="2"/>
    </row>
    <row r="286" spans="1:14" x14ac:dyDescent="0.25">
      <c r="A286">
        <f t="shared" si="7"/>
        <v>33.114409552969775</v>
      </c>
      <c r="B286" s="17">
        <f>IF([2]AGPeg!B271&lt;&gt;"",[2]AGPeg!B271,"")</f>
        <v>259</v>
      </c>
      <c r="C286" s="18">
        <f>IF([2]AGPeg!C271&lt;&gt;"",[2]AGPeg!C271,"")</f>
        <v>43686</v>
      </c>
      <c r="D286" s="19">
        <f>IF([2]AGPeg!D271&lt;&gt;"",[2]AGPeg!D271,"")</f>
        <v>0.88057870370370372</v>
      </c>
      <c r="E286" s="17">
        <f>IF([2]AGPeg!E271&lt;&gt;"",[2]AGPeg!E271,"")</f>
        <v>2458705.4153999998</v>
      </c>
      <c r="F286" s="20">
        <f t="shared" si="13"/>
        <v>0.11440955296977506</v>
      </c>
      <c r="G286" s="17" t="str">
        <f>IF([2]AGPeg!F271&lt;&gt;"",[2]AGPeg!F271,"")</f>
        <v>JGF</v>
      </c>
      <c r="H286" s="17" t="str">
        <f>IF([2]AGPeg!G271&lt;&gt;"",[2]AGPeg!G271,"")</f>
        <v>PIE-SP</v>
      </c>
      <c r="I286" s="17" t="str">
        <f>IF([2]AGPeg!H271&lt;&gt;"",[2]AGPeg!H271,"")</f>
        <v>NOU_T</v>
      </c>
      <c r="J286" s="17">
        <f>IF([2]AGPeg!I271&lt;&gt;"",[2]AGPeg!I271,"")</f>
        <v>9000</v>
      </c>
      <c r="K286" s="17" t="str">
        <f>IF([2]AGPeg!J271&lt;&gt;"",[2]AGPeg!J271,"")</f>
        <v/>
      </c>
      <c r="L286" s="17" t="str">
        <f>IF([2]AGPeg!K271&lt;&gt;"",[2]AGPeg!K271,"")</f>
        <v/>
      </c>
      <c r="N286" s="2"/>
    </row>
    <row r="287" spans="1:14" x14ac:dyDescent="0.25">
      <c r="A287">
        <f t="shared" si="7"/>
        <v>33.114974770361336</v>
      </c>
      <c r="B287" s="17">
        <f>IF([2]AGPeg!B272&lt;&gt;"",[2]AGPeg!B272,"")</f>
        <v>260</v>
      </c>
      <c r="C287" s="18">
        <f>IF([2]AGPeg!C272&lt;&gt;"",[2]AGPeg!C272,"")</f>
        <v>43687</v>
      </c>
      <c r="D287" s="19">
        <f>IF([2]AGPeg!D272&lt;&gt;"",[2]AGPeg!D272,"")</f>
        <v>0.36439814814814814</v>
      </c>
      <c r="E287" s="17">
        <f>IF([2]AGPeg!E272&lt;&gt;"",[2]AGPeg!E272,"")</f>
        <v>2458705.8769</v>
      </c>
      <c r="F287" s="20">
        <f t="shared" si="13"/>
        <v>0.11497477036133574</v>
      </c>
      <c r="G287" s="17" t="str">
        <f>IF([2]AGPeg!F272&lt;&gt;"",[2]AGPeg!F272,"")</f>
        <v>JRF</v>
      </c>
      <c r="H287" s="17" t="str">
        <f>IF([2]AGPeg!G272&lt;&gt;"",[2]AGPeg!G272,"")</f>
        <v>UHO-US</v>
      </c>
      <c r="I287" s="17" t="str">
        <f>IF([2]AGPeg!H272&lt;&gt;"",[2]AGPeg!H272,"")</f>
        <v>CC13ALPY600ATIK460EX</v>
      </c>
      <c r="J287" s="17">
        <f>IF([2]AGPeg!I272&lt;&gt;"",[2]AGPeg!I272,"")</f>
        <v>1018</v>
      </c>
      <c r="K287" s="17" t="str">
        <f>IF([2]AGPeg!J272&lt;&gt;"",[2]AGPeg!J272,"")</f>
        <v/>
      </c>
      <c r="L287" s="17" t="str">
        <f>IF([2]AGPeg!K272&lt;&gt;"",[2]AGPeg!K272,"")</f>
        <v/>
      </c>
      <c r="N287" s="2"/>
    </row>
    <row r="288" spans="1:14" x14ac:dyDescent="0.25">
      <c r="A288">
        <f t="shared" si="7"/>
        <v>33.116246050214585</v>
      </c>
      <c r="B288" s="17">
        <f>IF([2]AGPeg!B273&lt;&gt;"",[2]AGPeg!B273,"")</f>
        <v>261</v>
      </c>
      <c r="C288" s="18">
        <f>IF([2]AGPeg!C273&lt;&gt;"",[2]AGPeg!C273,"")</f>
        <v>43688</v>
      </c>
      <c r="D288" s="19">
        <f>IF([2]AGPeg!D273&lt;&gt;"",[2]AGPeg!D273,"")</f>
        <v>0.39879629629629632</v>
      </c>
      <c r="E288" s="17">
        <f>IF([2]AGPeg!E273&lt;&gt;"",[2]AGPeg!E273,"")</f>
        <v>2458706.9149000002</v>
      </c>
      <c r="F288" s="20">
        <f t="shared" si="13"/>
        <v>0.11624605021458478</v>
      </c>
      <c r="G288" s="17" t="str">
        <f>IF([2]AGPeg!F273&lt;&gt;"",[2]AGPeg!F273,"")</f>
        <v>JRF</v>
      </c>
      <c r="H288" s="17" t="str">
        <f>IF([2]AGPeg!G273&lt;&gt;"",[2]AGPeg!G273,"")</f>
        <v>UHO-US</v>
      </c>
      <c r="I288" s="17" t="str">
        <f>IF([2]AGPeg!H273&lt;&gt;"",[2]AGPeg!H273,"")</f>
        <v>CDK17ALPY600ATIK460EX</v>
      </c>
      <c r="J288" s="17">
        <f>IF([2]AGPeg!I273&lt;&gt;"",[2]AGPeg!I273,"")</f>
        <v>578</v>
      </c>
      <c r="K288" s="17" t="str">
        <f>IF([2]AGPeg!J273&lt;&gt;"",[2]AGPeg!J273,"")</f>
        <v/>
      </c>
      <c r="L288" s="17" t="str">
        <f>IF([2]AGPeg!K273&lt;&gt;"",[2]AGPeg!K273,"")</f>
        <v/>
      </c>
      <c r="N288" s="2"/>
    </row>
    <row r="289" spans="1:14" x14ac:dyDescent="0.25">
      <c r="A289">
        <f t="shared" ref="A289:A299" si="14">(E289-$A$2)/$A$3</f>
        <v>33.132791794243964</v>
      </c>
      <c r="B289" s="17">
        <f>IF([2]AGPeg!B274&lt;&gt;"",[2]AGPeg!B274,"")</f>
        <v>262</v>
      </c>
      <c r="C289" s="18">
        <f>IF([2]AGPeg!C274&lt;&gt;"",[2]AGPeg!C274,"")</f>
        <v>43701</v>
      </c>
      <c r="D289" s="19">
        <f>IF([2]AGPeg!D274&lt;&gt;"",[2]AGPeg!D274,"")</f>
        <v>0.90584490740740742</v>
      </c>
      <c r="E289" s="17">
        <f>IF([2]AGPeg!E274&lt;&gt;"",[2]AGPeg!E274,"")</f>
        <v>2458720.4245000002</v>
      </c>
      <c r="F289" s="20">
        <f t="shared" si="13"/>
        <v>0.13279179424396403</v>
      </c>
      <c r="G289" s="17" t="str">
        <f>IF([2]AGPeg!F274&lt;&gt;"",[2]AGPeg!F274,"")</f>
        <v>DBO</v>
      </c>
      <c r="H289" s="17" t="str">
        <f>IF([2]AGPeg!G274&lt;&gt;"",[2]AGPeg!G274,"")</f>
        <v>WCO-UK</v>
      </c>
      <c r="I289" s="17" t="str">
        <f>IF([2]AGPeg!H274&lt;&gt;"",[2]AGPeg!H274,"")</f>
        <v>C11+LISA+SXVR-H694</v>
      </c>
      <c r="J289" s="17">
        <f>IF([2]AGPeg!I274&lt;&gt;"",[2]AGPeg!I274,"")</f>
        <v>1005</v>
      </c>
      <c r="K289" s="17" t="str">
        <f>IF([2]AGPeg!J274&lt;&gt;"",[2]AGPeg!J274,"")</f>
        <v/>
      </c>
      <c r="L289" s="17" t="str">
        <f>IF([2]AGPeg!K274&lt;&gt;"",[2]AGPeg!K274,"")</f>
        <v/>
      </c>
      <c r="N289" s="2"/>
    </row>
    <row r="290" spans="1:14" x14ac:dyDescent="0.25">
      <c r="A290">
        <f t="shared" si="14"/>
        <v>33.158450336803483</v>
      </c>
      <c r="B290" s="17">
        <f>IF([2]AGPeg!B275&lt;&gt;"",[2]AGPeg!B275,"")</f>
        <v>263</v>
      </c>
      <c r="C290" s="18">
        <f>IF([2]AGPeg!C275&lt;&gt;"",[2]AGPeg!C275,"")</f>
        <v>43722</v>
      </c>
      <c r="D290" s="19">
        <f>IF([2]AGPeg!D275&lt;&gt;"",[2]AGPeg!D275,"")</f>
        <v>0.85931712962962958</v>
      </c>
      <c r="E290" s="17">
        <f>IF([2]AGPeg!E275&lt;&gt;"",[2]AGPeg!E275,"")</f>
        <v>2458741.3747</v>
      </c>
      <c r="F290" s="20">
        <f t="shared" si="13"/>
        <v>0.15845033680348308</v>
      </c>
      <c r="G290" s="17" t="str">
        <f>IF([2]AGPeg!F275&lt;&gt;"",[2]AGPeg!F275,"")</f>
        <v xml:space="preserve">FMT </v>
      </c>
      <c r="H290" s="17" t="str">
        <f>IF([2]AGPeg!G275&lt;&gt;"",[2]AGPeg!G275,"")</f>
        <v>ORS-FR</v>
      </c>
      <c r="I290" s="17" t="str">
        <f>IF([2]AGPeg!H275&lt;&gt;"",[2]AGPeg!H275,"")</f>
        <v>SC14+eShel+460EX_b2</v>
      </c>
      <c r="J290" s="17">
        <f>IF([2]AGPeg!I275&lt;&gt;"",[2]AGPeg!I275,"")</f>
        <v>11000</v>
      </c>
      <c r="K290" s="17" t="str">
        <f>IF([2]AGPeg!J275&lt;&gt;"",[2]AGPeg!J275,"")</f>
        <v/>
      </c>
      <c r="L290" s="17" t="str">
        <f>IF([2]AGPeg!K275&lt;&gt;"",[2]AGPeg!K275,"")</f>
        <v/>
      </c>
      <c r="N290" s="2"/>
    </row>
    <row r="291" spans="1:14" x14ac:dyDescent="0.25">
      <c r="A291">
        <f t="shared" si="14"/>
        <v>33.159024127372938</v>
      </c>
      <c r="B291" s="17">
        <f>IF([2]AGPeg!B276&lt;&gt;"",[2]AGPeg!B276,"")</f>
        <v>264</v>
      </c>
      <c r="C291" s="18">
        <f>IF([2]AGPeg!C276&lt;&gt;"",[2]AGPeg!C276,"")</f>
        <v>43723</v>
      </c>
      <c r="D291" s="19">
        <f>IF([2]AGPeg!D276&lt;&gt;"",[2]AGPeg!D276,"")</f>
        <v>0.32692129629629629</v>
      </c>
      <c r="E291" s="17">
        <f>IF([2]AGPeg!E276&lt;&gt;"",[2]AGPeg!E276,"")</f>
        <v>2458741.8432</v>
      </c>
      <c r="F291" s="20">
        <f t="shared" si="13"/>
        <v>0.15902412737293758</v>
      </c>
      <c r="G291" s="17" t="str">
        <f>IF([2]AGPeg!F276&lt;&gt;"",[2]AGPeg!F276,"")</f>
        <v>JRF</v>
      </c>
      <c r="H291" s="17" t="str">
        <f>IF([2]AGPeg!G276&lt;&gt;"",[2]AGPeg!G276,"")</f>
        <v>UHO-US</v>
      </c>
      <c r="I291" s="17" t="str">
        <f>IF([2]AGPeg!H276&lt;&gt;"",[2]AGPeg!H276,"")</f>
        <v>CC13ALPY600ATIK414EX</v>
      </c>
      <c r="J291" s="17">
        <f>IF([2]AGPeg!I276&lt;&gt;"",[2]AGPeg!I276,"")</f>
        <v>465</v>
      </c>
      <c r="K291" s="17" t="str">
        <f>IF([2]AGPeg!J276&lt;&gt;"",[2]AGPeg!J276,"")</f>
        <v/>
      </c>
      <c r="L291" s="17" t="str">
        <f>IF([2]AGPeg!K276&lt;&gt;"",[2]AGPeg!K276,"")</f>
        <v/>
      </c>
      <c r="N291" s="2"/>
    </row>
    <row r="292" spans="1:14" x14ac:dyDescent="0.25">
      <c r="A292">
        <f t="shared" si="14"/>
        <v>33.173131047152623</v>
      </c>
      <c r="B292" s="17">
        <f>IF([2]AGPeg!B277&lt;&gt;"",[2]AGPeg!B277,"")</f>
        <v>265</v>
      </c>
      <c r="C292" s="18">
        <f>IF([2]AGPeg!C277&lt;&gt;"",[2]AGPeg!C277,"")</f>
        <v>43734</v>
      </c>
      <c r="D292" s="19">
        <f>IF([2]AGPeg!D277&lt;&gt;"",[2]AGPeg!D277,"")</f>
        <v>0.84048611111111116</v>
      </c>
      <c r="E292" s="17">
        <f>IF([2]AGPeg!E277&lt;&gt;"",[2]AGPeg!E277,"")</f>
        <v>2458753.3615000001</v>
      </c>
      <c r="F292" s="20">
        <f t="shared" si="13"/>
        <v>0.17313104715262284</v>
      </c>
      <c r="G292" s="17" t="str">
        <f>IF([2]AGPeg!F277&lt;&gt;"",[2]AGPeg!F277,"")</f>
        <v>JGF</v>
      </c>
      <c r="H292" s="17" t="str">
        <f>IF([2]AGPeg!G277&lt;&gt;"",[2]AGPeg!G277,"")</f>
        <v>SMM-SP</v>
      </c>
      <c r="I292" s="17" t="str">
        <f>IF([2]AGPeg!H277&lt;&gt;"",[2]AGPeg!H277,"")</f>
        <v>16REMOTLINX460EX</v>
      </c>
      <c r="J292" s="17">
        <f>IF([2]AGPeg!I277&lt;&gt;"",[2]AGPeg!I277,"")</f>
        <v>9000</v>
      </c>
      <c r="K292" s="17" t="str">
        <f>IF([2]AGPeg!J277&lt;&gt;"",[2]AGPeg!J277,"")</f>
        <v/>
      </c>
      <c r="L292" s="17" t="str">
        <f>IF([2]AGPeg!K277&lt;&gt;"",[2]AGPeg!K277,"")</f>
        <v/>
      </c>
      <c r="N292" s="2"/>
    </row>
    <row r="293" spans="1:14" x14ac:dyDescent="0.25">
      <c r="A293">
        <f t="shared" si="14"/>
        <v>33.213907164727402</v>
      </c>
      <c r="B293" s="17">
        <f>IF([2]AGPeg!B278&lt;&gt;"",[2]AGPeg!B278,"")</f>
        <v>266</v>
      </c>
      <c r="C293" s="18">
        <f>IF([2]AGPeg!C278&lt;&gt;"",[2]AGPeg!C278,"")</f>
        <v>43768</v>
      </c>
      <c r="D293" s="19">
        <f>IF([2]AGPeg!D278&lt;&gt;"",[2]AGPeg!D278,"")</f>
        <v>0.1519675925925926</v>
      </c>
      <c r="E293" s="17">
        <f>IF([2]AGPeg!E278&lt;&gt;"",[2]AGPeg!E278,"")</f>
        <v>2458786.6551999999</v>
      </c>
      <c r="F293" s="20">
        <f t="shared" ref="F293:F299" si="15">(E293-$A$2)/$A$3-INT((E293-$A$2)/$A$3)</f>
        <v>0.21390716472740223</v>
      </c>
      <c r="G293" s="17" t="str">
        <f>IF([2]AGPeg!F278&lt;&gt;"",[2]AGPeg!F278,"")</f>
        <v>FAS</v>
      </c>
      <c r="H293" s="17" t="str">
        <f>IF([2]AGPeg!G278&lt;&gt;"",[2]AGPeg!G278,"")</f>
        <v>DCO-US</v>
      </c>
      <c r="I293" s="17" t="str">
        <f>IF([2]AGPeg!H278&lt;&gt;"",[2]AGPeg!H278,"")</f>
        <v>CDK14LISAAtik414ex</v>
      </c>
      <c r="J293" s="17">
        <f>IF([2]AGPeg!I278&lt;&gt;"",[2]AGPeg!I278,"")</f>
        <v>1047</v>
      </c>
      <c r="K293" s="17" t="str">
        <f>IF([2]AGPeg!J278&lt;&gt;"",[2]AGPeg!J278,"")</f>
        <v/>
      </c>
      <c r="L293" s="17" t="str">
        <f>IF([2]AGPeg!K278&lt;&gt;"",[2]AGPeg!K278,"")</f>
        <v/>
      </c>
      <c r="N293" s="2"/>
    </row>
    <row r="294" spans="1:14" x14ac:dyDescent="0.25">
      <c r="A294">
        <f t="shared" si="14"/>
        <v>33.23310116350261</v>
      </c>
      <c r="B294" s="17">
        <f>IF([2]AGPeg!B279&lt;&gt;"",[2]AGPeg!B279,"")</f>
        <v>267</v>
      </c>
      <c r="C294" s="18">
        <f>IF([2]AGPeg!C279&lt;&gt;"",[2]AGPeg!C279,"")</f>
        <v>43783</v>
      </c>
      <c r="D294" s="19">
        <f>IF([2]AGPeg!D279&lt;&gt;"",[2]AGPeg!D279,"")</f>
        <v>0.80849537037037045</v>
      </c>
      <c r="E294" s="17">
        <f>IF([2]AGPeg!E279&lt;&gt;"",[2]AGPeg!E279,"")</f>
        <v>2458802.3270999999</v>
      </c>
      <c r="F294" s="20">
        <f t="shared" si="15"/>
        <v>0.23310116350261012</v>
      </c>
      <c r="G294" s="17" t="str">
        <f>IF([2]AGPeg!F279&lt;&gt;"",[2]AGPeg!F279,"")</f>
        <v xml:space="preserve">FMT </v>
      </c>
      <c r="H294" s="17" t="str">
        <f>IF([2]AGPeg!G279&lt;&gt;"",[2]AGPeg!G279,"")</f>
        <v>ORS-FR</v>
      </c>
      <c r="I294" s="17" t="str">
        <f>IF([2]AGPeg!H279&lt;&gt;"",[2]AGPeg!H279,"")</f>
        <v>SC14+eShel+460EX_b2</v>
      </c>
      <c r="J294" s="17">
        <f>IF([2]AGPeg!I279&lt;&gt;"",[2]AGPeg!I279,"")</f>
        <v>11000</v>
      </c>
      <c r="N294" s="2"/>
    </row>
    <row r="295" spans="1:14" x14ac:dyDescent="0.25">
      <c r="A295">
        <f t="shared" si="14"/>
        <v>33.235528352725119</v>
      </c>
      <c r="B295" s="17">
        <f>IF([2]AGPeg!B280&lt;&gt;"",[2]AGPeg!B280,"")</f>
        <v>268</v>
      </c>
      <c r="C295" s="18">
        <f>IF([2]AGPeg!C280&lt;&gt;"",[2]AGPeg!C280,"")</f>
        <v>43785</v>
      </c>
      <c r="D295" s="19">
        <f>IF([2]AGPeg!D280&lt;&gt;"",[2]AGPeg!D280,"")</f>
        <v>0.77631944444444445</v>
      </c>
      <c r="E295" s="17">
        <f>IF([2]AGPeg!E280&lt;&gt;"",[2]AGPeg!E280,"")</f>
        <v>2458804.3089000001</v>
      </c>
      <c r="F295" s="20">
        <f t="shared" si="15"/>
        <v>0.23552835272511885</v>
      </c>
      <c r="G295" s="17" t="str">
        <f>IF([2]AGPeg!F280&lt;&gt;"",[2]AGPeg!F280,"")</f>
        <v>JGF</v>
      </c>
      <c r="H295" s="17" t="str">
        <f>IF([2]AGPeg!G280&lt;&gt;"",[2]AGPeg!G280,"")</f>
        <v>SMM-SP</v>
      </c>
      <c r="I295" s="17" t="str">
        <f>IF([2]AGPeg!H280&lt;&gt;"",[2]AGPeg!H280,"")</f>
        <v>16REMOTLINX460EX</v>
      </c>
      <c r="J295" s="17">
        <f>IF([2]AGPeg!I280&lt;&gt;"",[2]AGPeg!I280,"")</f>
        <v>9000</v>
      </c>
      <c r="N295" s="2"/>
    </row>
    <row r="296" spans="1:14" x14ac:dyDescent="0.25">
      <c r="A296">
        <f t="shared" si="14"/>
        <v>33.245744151867974</v>
      </c>
      <c r="B296" s="17">
        <f>IF([2]AGPeg!B281&lt;&gt;"",[2]AGPeg!B281,"")</f>
        <v>269</v>
      </c>
      <c r="C296" s="18">
        <f>IF([2]AGPeg!C281&lt;&gt;"",[2]AGPeg!C281,"")</f>
        <v>43794</v>
      </c>
      <c r="D296" s="19">
        <f>IF([2]AGPeg!D281&lt;&gt;"",[2]AGPeg!D281,"")</f>
        <v>0.14685185185185184</v>
      </c>
      <c r="E296" s="17">
        <f>IF([2]AGPeg!E281&lt;&gt;"",[2]AGPeg!E281,"")</f>
        <v>2458812.6501000002</v>
      </c>
      <c r="F296" s="20">
        <f t="shared" si="15"/>
        <v>0.24574415186797438</v>
      </c>
      <c r="G296" s="17" t="str">
        <f>IF([2]AGPeg!F281&lt;&gt;"",[2]AGPeg!F281,"")</f>
        <v>FAS</v>
      </c>
      <c r="H296" s="17" t="str">
        <f>IF([2]AGPeg!G281&lt;&gt;"",[2]AGPeg!G281,"")</f>
        <v>DCO-US</v>
      </c>
      <c r="I296" s="17" t="str">
        <f>IF([2]AGPeg!H281&lt;&gt;"",[2]AGPeg!H281,"")</f>
        <v>CDK14LISAAtik414ex</v>
      </c>
      <c r="J296" s="17">
        <f>IF([2]AGPeg!I281&lt;&gt;"",[2]AGPeg!I281,"")</f>
        <v>1029</v>
      </c>
      <c r="N296" s="2"/>
    </row>
    <row r="297" spans="1:14" x14ac:dyDescent="0.25">
      <c r="A297">
        <f t="shared" si="14"/>
        <v>33.251394243723276</v>
      </c>
      <c r="B297" s="17">
        <f>IF([2]AGPeg!B282&lt;&gt;"",[2]AGPeg!B282,"")</f>
        <v>270</v>
      </c>
      <c r="C297" s="18">
        <f>IF([2]AGPeg!C282&lt;&gt;"",[2]AGPeg!C282,"")</f>
        <v>43798</v>
      </c>
      <c r="D297" s="19">
        <f>IF([2]AGPeg!D282&lt;&gt;"",[2]AGPeg!D282,"")</f>
        <v>0.74873842592592599</v>
      </c>
      <c r="E297" s="17">
        <f>IF([2]AGPeg!E282&lt;&gt;"",[2]AGPeg!E282,"")</f>
        <v>2458817.2634000001</v>
      </c>
      <c r="F297" s="20">
        <f t="shared" si="15"/>
        <v>0.25139424372327568</v>
      </c>
      <c r="G297" s="17" t="str">
        <f>IF([2]AGPeg!F282&lt;&gt;"",[2]AGPeg!F282,"")</f>
        <v>DBO</v>
      </c>
      <c r="H297" s="17" t="str">
        <f>IF([2]AGPeg!G282&lt;&gt;"",[2]AGPeg!G282,"")</f>
        <v>WCO-UK</v>
      </c>
      <c r="I297" s="17" t="str">
        <f>IF([2]AGPeg!H282&lt;&gt;"",[2]AGPeg!H282,"")</f>
        <v>C11+LISA+SXVR-H694</v>
      </c>
      <c r="J297" s="17">
        <f>IF([2]AGPeg!I282&lt;&gt;"",[2]AGPeg!I282,"")</f>
        <v>1032</v>
      </c>
      <c r="N297" s="2"/>
    </row>
    <row r="298" spans="1:14" x14ac:dyDescent="0.25">
      <c r="A298">
        <f t="shared" si="14"/>
        <v>33.253938150642909</v>
      </c>
      <c r="B298" s="17">
        <f>IF([2]AGPeg!B283&lt;&gt;"",[2]AGPeg!B283,"")</f>
        <v>271</v>
      </c>
      <c r="C298" s="18">
        <f>IF([2]AGPeg!C283&lt;&gt;"",[2]AGPeg!C283,"")</f>
        <v>43800</v>
      </c>
      <c r="D298" s="19">
        <f>IF([2]AGPeg!D283&lt;&gt;"",[2]AGPeg!D283,"")</f>
        <v>0.84027777777777779</v>
      </c>
      <c r="E298" s="17">
        <f>IF([2]AGPeg!E283&lt;&gt;"",[2]AGPeg!E283,"")</f>
        <v>2458819.3404999999</v>
      </c>
      <c r="F298" s="20">
        <f t="shared" si="15"/>
        <v>0.25393815064290948</v>
      </c>
      <c r="G298" s="17" t="str">
        <f>IF([2]AGPeg!F283&lt;&gt;"",[2]AGPeg!F283,"")</f>
        <v xml:space="preserve">FMT </v>
      </c>
      <c r="H298" s="17" t="str">
        <f>IF([2]AGPeg!G283&lt;&gt;"",[2]AGPeg!G283,"")</f>
        <v>SMM-SP</v>
      </c>
      <c r="I298" s="17" t="str">
        <f>IF([2]AGPeg!H283&lt;&gt;"",[2]AGPeg!H283,"")</f>
        <v>SC16+Echelle9000+Atik460EX</v>
      </c>
      <c r="J298" s="17">
        <f>IF([2]AGPeg!I283&lt;&gt;"",[2]AGPeg!I283,"")</f>
        <v>9000</v>
      </c>
      <c r="N298" s="2"/>
    </row>
    <row r="299" spans="1:14" x14ac:dyDescent="0.25">
      <c r="A299" t="e">
        <f t="shared" ref="A299:A317" si="16">(E299-$A$2)/$A$3</f>
        <v>#VALUE!</v>
      </c>
      <c r="B299" s="17">
        <f>IF([2]AGPeg!B284&lt;&gt;"",[2]AGPeg!B284,"")</f>
        <v>272</v>
      </c>
      <c r="C299" s="18">
        <f>IF([2]AGPeg!C284&lt;&gt;"",[2]AGPeg!C284,"")</f>
        <v>43806</v>
      </c>
      <c r="D299" s="19">
        <f>IF([2]AGPeg!D284&lt;&gt;"",[2]AGPeg!D284,"")</f>
        <v>0.74236111111111114</v>
      </c>
      <c r="E299" s="17" t="str">
        <f>IF([2]AGPeg!E284&lt;&gt;"",[2]AGPeg!E284,"")</f>
        <v/>
      </c>
      <c r="F299" s="20" t="e">
        <f t="shared" ref="F299:F317" si="17">(E299-$A$2)/$A$3-INT((E299-$A$2)/$A$3)</f>
        <v>#VALUE!</v>
      </c>
      <c r="G299" s="17" t="str">
        <f>IF([2]AGPeg!F284&lt;&gt;"",[2]AGPeg!F284,"")</f>
        <v>JMI</v>
      </c>
      <c r="H299" s="17" t="str">
        <f>IF([2]AGPeg!G284&lt;&gt;"",[2]AGPeg!G284,"")</f>
        <v>CLX-FR</v>
      </c>
      <c r="I299" s="17" t="str">
        <f>IF([2]AGPeg!H284&lt;&gt;"",[2]AGPeg!H284,"")</f>
        <v>C11f7-Lisa-Atik460EX</v>
      </c>
      <c r="J299" s="17">
        <f>IF([2]AGPeg!I284&lt;&gt;"",[2]AGPeg!I284,"")</f>
        <v>1000</v>
      </c>
      <c r="N299" s="2"/>
    </row>
    <row r="300" spans="1:14" x14ac:dyDescent="0.25">
      <c r="A300">
        <f t="shared" si="16"/>
        <v>33.263781383955838</v>
      </c>
      <c r="B300" s="17">
        <f>IF([2]AGPeg!B285&lt;&gt;"",[2]AGPeg!B285,"")</f>
        <v>273</v>
      </c>
      <c r="C300" s="18">
        <f>IF([2]AGPeg!C285&lt;&gt;"",[2]AGPeg!C285,"")</f>
        <v>43808</v>
      </c>
      <c r="D300" s="19">
        <f>IF([2]AGPeg!D285&lt;&gt;"",[2]AGPeg!D285,"")</f>
        <v>0.85655092592592597</v>
      </c>
      <c r="E300" s="17">
        <f>IF([2]AGPeg!E285&lt;&gt;"",[2]AGPeg!E285,"")</f>
        <v>2458827.3774999999</v>
      </c>
      <c r="F300" s="20">
        <f t="shared" si="17"/>
        <v>0.26378138395583761</v>
      </c>
      <c r="G300" s="17" t="str">
        <f>IF([2]AGPeg!F285&lt;&gt;"",[2]AGPeg!F285,"")</f>
        <v xml:space="preserve">FMT </v>
      </c>
      <c r="H300" s="17" t="str">
        <f>IF([2]AGPeg!G285&lt;&gt;"",[2]AGPeg!G285,"")</f>
        <v>SMM-SP</v>
      </c>
      <c r="I300" s="17" t="str">
        <f>IF([2]AGPeg!H285&lt;&gt;"",[2]AGPeg!H285,"")</f>
        <v>SC16+Echelle9000+Atik460EX</v>
      </c>
      <c r="J300" s="17">
        <f>IF([2]AGPeg!I285&lt;&gt;"",[2]AGPeg!I285,"")</f>
        <v>9000</v>
      </c>
      <c r="N300" s="2"/>
    </row>
    <row r="301" spans="1:14" x14ac:dyDescent="0.25">
      <c r="A301">
        <f t="shared" si="16"/>
        <v>33.474698836497154</v>
      </c>
      <c r="B301" s="17">
        <f>IF([2]AGPeg!B286&lt;&gt;"",[2]AGPeg!B286,"")</f>
        <v>274</v>
      </c>
      <c r="C301" s="18">
        <f>IF([2]AGPeg!C286&lt;&gt;"",[2]AGPeg!C286,"")</f>
        <v>43981</v>
      </c>
      <c r="D301" s="19">
        <f>IF([2]AGPeg!D286&lt;&gt;"",[2]AGPeg!D286,"")</f>
        <v>7.4999999999999997E-2</v>
      </c>
      <c r="E301" s="17">
        <f>IF([2]AGPeg!E286&lt;&gt;"",[2]AGPeg!E286,"")</f>
        <v>2458999.5915999999</v>
      </c>
      <c r="F301" s="20">
        <f t="shared" si="17"/>
        <v>0.47469883649715428</v>
      </c>
      <c r="G301" s="17" t="str">
        <f>IF([2]AGPeg!F286&lt;&gt;"",[2]AGPeg!F286,"")</f>
        <v xml:space="preserve">FMT </v>
      </c>
      <c r="H301" s="17" t="str">
        <f>IF([2]AGPeg!G286&lt;&gt;"",[2]AGPeg!G286,"")</f>
        <v>ROU-FR</v>
      </c>
      <c r="I301" s="17" t="str">
        <f>IF([2]AGPeg!H286&lt;&gt;"",[2]AGPeg!H286,"")</f>
        <v>SC14+eShel+460EX_b2</v>
      </c>
      <c r="J301" s="17">
        <f>IF([2]AGPeg!I286&lt;&gt;"",[2]AGPeg!I286,"")</f>
        <v>11000</v>
      </c>
      <c r="N301" s="2"/>
    </row>
    <row r="302" spans="1:14" x14ac:dyDescent="0.25">
      <c r="A302">
        <f t="shared" si="16"/>
        <v>33.513688916105501</v>
      </c>
      <c r="B302" s="17">
        <f>IF([2]AGPeg!B287&lt;&gt;"",[2]AGPeg!B287,"")</f>
        <v>275</v>
      </c>
      <c r="C302" s="18" t="str">
        <f>IF([2]AGPeg!C287&lt;&gt;"",[2]AGPeg!C287,"")</f>
        <v>30/06/2020</v>
      </c>
      <c r="D302" s="19">
        <f>IF([2]AGPeg!D287&lt;&gt;"",[2]AGPeg!D287,"")</f>
        <v>0.92708333333333337</v>
      </c>
      <c r="E302" s="17">
        <f>IF([2]AGPeg!E287&lt;&gt;"",[2]AGPeg!E287,"")</f>
        <v>2459031.4270000001</v>
      </c>
      <c r="F302" s="20">
        <f t="shared" si="17"/>
        <v>0.51368891610550094</v>
      </c>
      <c r="G302" s="17" t="str">
        <f>IF([2]AGPeg!F287&lt;&gt;"",[2]AGPeg!F287,"")</f>
        <v>PDTM</v>
      </c>
      <c r="H302" s="17" t="str">
        <f>IF([2]AGPeg!G287&lt;&gt;"",[2]AGPeg!G287,"")</f>
        <v>KOL-SK</v>
      </c>
      <c r="I302" s="17" t="str">
        <f>IF([2]AGPeg!H287&lt;&gt;"",[2]AGPeg!H287,"")</f>
        <v>C11+LISA+Atik 460EX</v>
      </c>
      <c r="J302" s="17">
        <f>IF([2]AGPeg!I287&lt;&gt;"",[2]AGPeg!I287,"")</f>
        <v>998</v>
      </c>
      <c r="N302" s="2"/>
    </row>
    <row r="303" spans="1:14" x14ac:dyDescent="0.25">
      <c r="A303">
        <f t="shared" si="16"/>
        <v>33.525981628904042</v>
      </c>
      <c r="B303" s="17">
        <f>IF([2]AGPeg!B288&lt;&gt;"",[2]AGPeg!B288,"")</f>
        <v>276</v>
      </c>
      <c r="C303" s="18" t="str">
        <f>IF([2]AGPeg!C288&lt;&gt;"",[2]AGPeg!C288,"")</f>
        <v>10/07/2020</v>
      </c>
      <c r="D303" s="19">
        <f>IF([2]AGPeg!D288&lt;&gt;"",[2]AGPeg!D288,"")</f>
        <v>0.96388888888888891</v>
      </c>
      <c r="E303" s="17">
        <f>IF([2]AGPeg!E288&lt;&gt;"",[2]AGPeg!E288,"")</f>
        <v>2459041.4640000002</v>
      </c>
      <c r="F303" s="20">
        <f t="shared" si="17"/>
        <v>0.52598162890404154</v>
      </c>
      <c r="G303" s="17" t="str">
        <f>IF([2]AGPeg!F288&lt;&gt;"",[2]AGPeg!F288,"")</f>
        <v>PDTM</v>
      </c>
      <c r="H303" s="17" t="str">
        <f>IF([2]AGPeg!G288&lt;&gt;"",[2]AGPeg!G288,"")</f>
        <v>KOL-SK</v>
      </c>
      <c r="I303" s="17" t="str">
        <f>IF([2]AGPeg!H288&lt;&gt;"",[2]AGPeg!H288,"")</f>
        <v>C11+LISA+Atik 460EX</v>
      </c>
      <c r="J303" s="17">
        <f>IF([2]AGPeg!I288&lt;&gt;"",[2]AGPeg!I288,"")</f>
        <v>1053</v>
      </c>
      <c r="N303" s="2"/>
    </row>
    <row r="304" spans="1:14" x14ac:dyDescent="0.25">
      <c r="A304">
        <f t="shared" si="16"/>
        <v>33.534568279240773</v>
      </c>
      <c r="B304" s="17">
        <f>IF([2]AGPeg!B289&lt;&gt;"",[2]AGPeg!B289,"")</f>
        <v>277</v>
      </c>
      <c r="C304" s="18" t="str">
        <f>IF([2]AGPeg!C289&lt;&gt;"",[2]AGPeg!C289,"")</f>
        <v>17/07/2020</v>
      </c>
      <c r="D304" s="19">
        <f>IF([2]AGPeg!D289&lt;&gt;"",[2]AGPeg!D289,"")</f>
        <v>0.97499999999999998</v>
      </c>
      <c r="E304" s="17">
        <f>IF([2]AGPeg!E289&lt;&gt;"",[2]AGPeg!E289,"")</f>
        <v>2459048.4750000001</v>
      </c>
      <c r="F304" s="20">
        <f t="shared" si="17"/>
        <v>0.53456827924077288</v>
      </c>
      <c r="G304" s="17" t="str">
        <f>IF([2]AGPeg!F289&lt;&gt;"",[2]AGPeg!F289,"")</f>
        <v>DBO</v>
      </c>
      <c r="H304" s="17" t="str">
        <f>IF([2]AGPeg!G289&lt;&gt;"",[2]AGPeg!G289,"")</f>
        <v>WCO-UK</v>
      </c>
      <c r="I304" s="17" t="str">
        <f>IF([2]AGPeg!H289&lt;&gt;"",[2]AGPeg!H289,"")</f>
        <v>C11 + LISA + SXVR-H694</v>
      </c>
      <c r="J304" s="17">
        <f>IF([2]AGPeg!I289&lt;&gt;"",[2]AGPeg!I289,"")</f>
        <v>1053</v>
      </c>
      <c r="N304" s="2"/>
    </row>
    <row r="305" spans="1:14" x14ac:dyDescent="0.25">
      <c r="A305">
        <f t="shared" si="16"/>
        <v>33.538235150030665</v>
      </c>
      <c r="B305" s="17">
        <f>IF([2]AGPeg!B290&lt;&gt;"",[2]AGPeg!B290,"")</f>
        <v>278</v>
      </c>
      <c r="C305" s="18" t="str">
        <f>IF([2]AGPeg!C290&lt;&gt;"",[2]AGPeg!C290,"")</f>
        <v>20/07/2020</v>
      </c>
      <c r="D305" s="19">
        <f>IF([2]AGPeg!D290&lt;&gt;"",[2]AGPeg!D290,"")</f>
        <v>0.96875</v>
      </c>
      <c r="E305" s="17">
        <f>IF([2]AGPeg!E290&lt;&gt;"",[2]AGPeg!E290,"")</f>
        <v>2459051.469</v>
      </c>
      <c r="F305" s="20">
        <f t="shared" si="17"/>
        <v>0.53823515003066547</v>
      </c>
      <c r="G305" s="17" t="str">
        <f>IF([2]AGPeg!F290&lt;&gt;"",[2]AGPeg!F290,"")</f>
        <v xml:space="preserve">FMT </v>
      </c>
      <c r="H305" s="17" t="str">
        <f>IF([2]AGPeg!G290&lt;&gt;"",[2]AGPeg!G290,"")</f>
        <v>ROU-FR</v>
      </c>
      <c r="I305" s="17" t="str">
        <f>IF([2]AGPeg!H290&lt;&gt;"",[2]AGPeg!H290,"")</f>
        <v>SC14+eShel+460EX_b2</v>
      </c>
      <c r="J305" s="17">
        <f>IF([2]AGPeg!I290&lt;&gt;"",[2]AGPeg!I290,"")</f>
        <v>11000</v>
      </c>
      <c r="N305" s="2"/>
    </row>
    <row r="306" spans="1:14" x14ac:dyDescent="0.25">
      <c r="A306">
        <f t="shared" si="16"/>
        <v>33.540616656460244</v>
      </c>
      <c r="B306" s="17">
        <f>IF([2]AGPeg!B291&lt;&gt;"",[2]AGPeg!B291,"")</f>
        <v>279</v>
      </c>
      <c r="C306" s="18" t="str">
        <f>IF([2]AGPeg!C291&lt;&gt;"",[2]AGPeg!C291,"")</f>
        <v>22/07/2020</v>
      </c>
      <c r="D306" s="19">
        <f>IF([2]AGPeg!D291&lt;&gt;"",[2]AGPeg!D291,"")</f>
        <v>0.87847222222222221</v>
      </c>
      <c r="E306" s="17">
        <f>IF([2]AGPeg!E291&lt;&gt;"",[2]AGPeg!E291,"")</f>
        <v>2459053.4134999998</v>
      </c>
      <c r="F306" s="20">
        <f t="shared" si="17"/>
        <v>0.54061665646024437</v>
      </c>
      <c r="G306" s="17" t="str">
        <f>IF([2]AGPeg!F291&lt;&gt;"",[2]AGPeg!F291,"")</f>
        <v>SOL</v>
      </c>
      <c r="H306" s="17" t="str">
        <f>IF([2]AGPeg!G291&lt;&gt;"",[2]AGPeg!G291,"")</f>
        <v>AQL-IT</v>
      </c>
      <c r="I306" s="17" t="str">
        <f>IF([2]AGPeg!H291&lt;&gt;"",[2]AGPeg!H291,"")</f>
        <v>SlitUS - C9.25 ST-8300</v>
      </c>
      <c r="J306" s="17">
        <f>IF([2]AGPeg!I291&lt;&gt;"",[2]AGPeg!I291,"")</f>
        <v>10223</v>
      </c>
      <c r="N306" s="2"/>
    </row>
    <row r="307" spans="1:14" x14ac:dyDescent="0.25">
      <c r="A307">
        <f t="shared" si="16"/>
        <v>33.543439069197646</v>
      </c>
      <c r="B307" s="17">
        <f>IF([2]AGPeg!B292&lt;&gt;"",[2]AGPeg!B292,"")</f>
        <v>280</v>
      </c>
      <c r="C307" s="18" t="str">
        <f>IF([2]AGPeg!C292&lt;&gt;"",[2]AGPeg!C292,"")</f>
        <v>25/07/2020</v>
      </c>
      <c r="D307" s="19">
        <f>IF([2]AGPeg!D292&lt;&gt;"",[2]AGPeg!D292,"")</f>
        <v>0.20347222222222219</v>
      </c>
      <c r="E307" s="17">
        <f>IF([2]AGPeg!E292&lt;&gt;"",[2]AGPeg!E292,"")</f>
        <v>2459055.7179999999</v>
      </c>
      <c r="F307" s="20">
        <f t="shared" si="17"/>
        <v>0.54343906919764606</v>
      </c>
      <c r="G307" s="17" t="str">
        <f>IF([2]AGPeg!F292&lt;&gt;"",[2]AGPeg!F292,"")</f>
        <v>LES</v>
      </c>
      <c r="H307" s="17" t="str">
        <f>IF([2]AGPeg!G292&lt;&gt;"",[2]AGPeg!G292,"")</f>
        <v>MRO-CA</v>
      </c>
      <c r="I307" s="17" t="str">
        <f>IF([2]AGPeg!H292&lt;&gt;"",[2]AGPeg!H292,"")</f>
        <v>31cmDK+ESSAT_2</v>
      </c>
      <c r="J307" s="17">
        <f>IF([2]AGPeg!I292&lt;&gt;"",[2]AGPeg!I292,"")</f>
        <v>14000</v>
      </c>
      <c r="N307" s="2"/>
    </row>
    <row r="308" spans="1:14" x14ac:dyDescent="0.25">
      <c r="A308">
        <f t="shared" si="16"/>
        <v>33.544336925903465</v>
      </c>
      <c r="B308" s="17">
        <f>IF([2]AGPeg!B293&lt;&gt;"",[2]AGPeg!B293,"")</f>
        <v>281</v>
      </c>
      <c r="C308" s="18" t="str">
        <f>IF([2]AGPeg!C293&lt;&gt;"",[2]AGPeg!C293,"")</f>
        <v>25/07/2020</v>
      </c>
      <c r="D308" s="19">
        <f>IF([2]AGPeg!D293&lt;&gt;"",[2]AGPeg!D293,"")</f>
        <v>0.94374999999999998</v>
      </c>
      <c r="E308" s="17">
        <f>IF([2]AGPeg!E293&lt;&gt;"",[2]AGPeg!E293,"")</f>
        <v>2459056.4511000002</v>
      </c>
      <c r="F308" s="20">
        <f t="shared" si="17"/>
        <v>0.54433692590346539</v>
      </c>
      <c r="G308" s="17" t="str">
        <f>IF([2]AGPeg!F293&lt;&gt;"",[2]AGPeg!F293,"")</f>
        <v>FCA</v>
      </c>
      <c r="H308" s="17" t="str">
        <f>IF([2]AGPeg!G293&lt;&gt;"",[2]AGPeg!G293,"")</f>
        <v>PAG-SP</v>
      </c>
      <c r="I308" s="17" t="str">
        <f>IF([2]AGPeg!H293&lt;&gt;"",[2]AGPeg!H293,"")</f>
        <v>N-200 f/4.7 + Barlow 2X  DADOS 200 l/mm</v>
      </c>
      <c r="J308" s="17">
        <f>IF([2]AGPeg!I293&lt;&gt;"",[2]AGPeg!I293,"")</f>
        <v>887</v>
      </c>
      <c r="N308" s="2"/>
    </row>
    <row r="309" spans="1:14" x14ac:dyDescent="0.25">
      <c r="A309">
        <f t="shared" si="16"/>
        <v>33.544703368034241</v>
      </c>
      <c r="B309" s="17">
        <f>IF([2]AGPeg!B294&lt;&gt;"",[2]AGPeg!B294,"")</f>
        <v>282</v>
      </c>
      <c r="C309" s="18" t="str">
        <f>IF([2]AGPeg!C294&lt;&gt;"",[2]AGPeg!C294,"")</f>
        <v>26/07/2020</v>
      </c>
      <c r="D309" s="19">
        <f>IF([2]AGPeg!D294&lt;&gt;"",[2]AGPeg!D294,"")</f>
        <v>0.24374999999999999</v>
      </c>
      <c r="E309" s="17">
        <f>IF([2]AGPeg!E294&lt;&gt;"",[2]AGPeg!E294,"")</f>
        <v>2459056.7503</v>
      </c>
      <c r="F309" s="20">
        <f t="shared" si="17"/>
        <v>0.54470336803424146</v>
      </c>
      <c r="G309" s="17" t="str">
        <f>IF([2]AGPeg!F294&lt;&gt;"",[2]AGPeg!F294,"")</f>
        <v>CUR</v>
      </c>
      <c r="H309" s="17" t="str">
        <f>IF([2]AGPeg!G294&lt;&gt;"",[2]AGPeg!G294,"")</f>
        <v>YGU-US</v>
      </c>
      <c r="I309" s="17" t="str">
        <f>IF([2]AGPeg!H294&lt;&gt;"",[2]AGPeg!H294,"")</f>
        <v>ALPY600</v>
      </c>
      <c r="J309" s="17">
        <f>IF([2]AGPeg!I294&lt;&gt;"",[2]AGPeg!I294,"")</f>
        <v>573</v>
      </c>
      <c r="N309" s="2"/>
    </row>
    <row r="310" spans="1:14" x14ac:dyDescent="0.25">
      <c r="A310">
        <f t="shared" si="16"/>
        <v>33.547217881200361</v>
      </c>
      <c r="B310" s="17">
        <f>IF([2]AGPeg!B295&lt;&gt;"",[2]AGPeg!B295,"")</f>
        <v>283</v>
      </c>
      <c r="C310" s="18" t="str">
        <f>IF([2]AGPeg!C295&lt;&gt;"",[2]AGPeg!C295,"")</f>
        <v>28/07/2020</v>
      </c>
      <c r="D310" s="19">
        <f>IF([2]AGPeg!D295&lt;&gt;"",[2]AGPeg!D295,"")</f>
        <v>0.30069444444444443</v>
      </c>
      <c r="E310" s="17">
        <f>IF([2]AGPeg!E295&lt;&gt;"",[2]AGPeg!E295,"")</f>
        <v>2459058.8034000001</v>
      </c>
      <c r="F310" s="20">
        <f t="shared" si="17"/>
        <v>0.54721788120036052</v>
      </c>
      <c r="G310" s="17" t="str">
        <f>IF([2]AGPeg!F295&lt;&gt;"",[2]AGPeg!F295,"")</f>
        <v>FAS</v>
      </c>
      <c r="H310" s="17" t="str">
        <f>IF([2]AGPeg!G295&lt;&gt;"",[2]AGPeg!G295,"")</f>
        <v>DCO-US</v>
      </c>
      <c r="I310" s="17" t="str">
        <f>IF([2]AGPeg!H295&lt;&gt;"",[2]AGPeg!H295,"")</f>
        <v>CDK14 LISA Atik414ex</v>
      </c>
      <c r="J310" s="17">
        <f>IF([2]AGPeg!I295&lt;&gt;"",[2]AGPeg!I295,"")</f>
        <v>1046</v>
      </c>
      <c r="N310" s="2"/>
    </row>
    <row r="311" spans="1:14" x14ac:dyDescent="0.25">
      <c r="A311">
        <f t="shared" si="16"/>
        <v>33.549290630741154</v>
      </c>
      <c r="B311" s="17">
        <f>IF([2]AGPeg!B296&lt;&gt;"",[2]AGPeg!B296,"")</f>
        <v>284</v>
      </c>
      <c r="C311" s="18" t="str">
        <f>IF([2]AGPeg!C296&lt;&gt;"",[2]AGPeg!C296,"")</f>
        <v>29/07/2020</v>
      </c>
      <c r="D311" s="19">
        <f>IF([2]AGPeg!D296&lt;&gt;"",[2]AGPeg!D296,"")</f>
        <v>0.97986111111111107</v>
      </c>
      <c r="E311" s="17">
        <f>IF([2]AGPeg!E296&lt;&gt;"",[2]AGPeg!E296,"")</f>
        <v>2459060.4958000001</v>
      </c>
      <c r="F311" s="20">
        <f t="shared" si="17"/>
        <v>0.54929063074115447</v>
      </c>
      <c r="G311" s="17" t="str">
        <f>IF([2]AGPeg!F296&lt;&gt;"",[2]AGPeg!F296,"")</f>
        <v>IBR</v>
      </c>
      <c r="H311" s="17" t="str">
        <f>IF([2]AGPeg!G296&lt;&gt;"",[2]AGPeg!G296,"")</f>
        <v>HVR-FR</v>
      </c>
      <c r="I311" s="17" t="str">
        <f>IF([2]AGPeg!H296&lt;&gt;"",[2]AGPeg!H296,"")</f>
        <v>N200F5_UVEX_G300_25u_ATIK414ex</v>
      </c>
      <c r="J311" s="17">
        <f>IF([2]AGPeg!I296&lt;&gt;"",[2]AGPeg!I296,"")</f>
        <v>685</v>
      </c>
      <c r="N311" s="2"/>
    </row>
    <row r="312" spans="1:14" x14ac:dyDescent="0.25">
      <c r="A312">
        <f t="shared" si="16"/>
        <v>33.552811145131741</v>
      </c>
      <c r="B312" s="17">
        <f>IF([2]AGPeg!B297&lt;&gt;"",[2]AGPeg!B297,"")</f>
        <v>285</v>
      </c>
      <c r="C312" s="18">
        <f>IF([2]AGPeg!C297&lt;&gt;"",[2]AGPeg!C297,"")</f>
        <v>44044</v>
      </c>
      <c r="D312" s="19">
        <f>IF([2]AGPeg!D297&lt;&gt;"",[2]AGPeg!D297,"")</f>
        <v>0.85763888888888884</v>
      </c>
      <c r="E312" s="17">
        <f>IF([2]AGPeg!E297&lt;&gt;"",[2]AGPeg!E297,"")</f>
        <v>2459063.3703000001</v>
      </c>
      <c r="F312" s="20">
        <f t="shared" si="17"/>
        <v>0.55281114513174145</v>
      </c>
      <c r="G312" s="17" t="str">
        <f>IF([2]AGPeg!F297&lt;&gt;"",[2]AGPeg!F297,"")</f>
        <v>TVE</v>
      </c>
      <c r="H312" s="17" t="str">
        <f>IF([2]AGPeg!G297&lt;&gt;"",[2]AGPeg!G297,"")</f>
        <v>LAT-IT</v>
      </c>
      <c r="I312" s="17" t="str">
        <f>IF([2]AGPeg!H297&lt;&gt;"",[2]AGPeg!H297,"")</f>
        <v>UVEX3 300 Atik314L C8</v>
      </c>
      <c r="J312" s="17">
        <f>IF([2]AGPeg!I297&lt;&gt;"",[2]AGPeg!I297,"")</f>
        <v>699</v>
      </c>
      <c r="N312" s="2"/>
    </row>
    <row r="313" spans="1:14" x14ac:dyDescent="0.25">
      <c r="A313">
        <f t="shared" si="16"/>
        <v>33.552954929577389</v>
      </c>
      <c r="B313" s="17">
        <f>IF([2]AGPeg!B298&lt;&gt;"",[2]AGPeg!B298,"")</f>
        <v>286</v>
      </c>
      <c r="C313" s="18">
        <f>IF([2]AGPeg!C298&lt;&gt;"",[2]AGPeg!C298,"")</f>
        <v>44044</v>
      </c>
      <c r="D313" s="19">
        <f>IF([2]AGPeg!D298&lt;&gt;"",[2]AGPeg!D298,"")</f>
        <v>0.97152777777777777</v>
      </c>
      <c r="E313" s="17">
        <f>IF([2]AGPeg!E298&lt;&gt;"",[2]AGPeg!E298,"")</f>
        <v>2459063.4876999999</v>
      </c>
      <c r="F313" s="20">
        <f t="shared" si="17"/>
        <v>0.55295492957738901</v>
      </c>
      <c r="G313" s="17" t="str">
        <f>IF([2]AGPeg!F298&lt;&gt;"",[2]AGPeg!F298,"")</f>
        <v xml:space="preserve">FMT </v>
      </c>
      <c r="H313" s="17" t="str">
        <f>IF([2]AGPeg!G298&lt;&gt;"",[2]AGPeg!G298,"")</f>
        <v>ROU-FR</v>
      </c>
      <c r="I313" s="17" t="str">
        <f>IF([2]AGPeg!H298&lt;&gt;"",[2]AGPeg!H298,"")</f>
        <v>SC14+eShel+460EX_b2</v>
      </c>
      <c r="J313" s="17">
        <f>IF([2]AGPeg!I298&lt;&gt;"",[2]AGPeg!I298,"")</f>
        <v>11000</v>
      </c>
      <c r="N313" s="2"/>
    </row>
    <row r="314" spans="1:14" x14ac:dyDescent="0.25">
      <c r="A314">
        <f t="shared" si="16"/>
        <v>33.554089406001069</v>
      </c>
      <c r="B314" s="17">
        <f>IF([2]AGPeg!B299&lt;&gt;"",[2]AGPeg!B299,"")</f>
        <v>287</v>
      </c>
      <c r="C314" s="18">
        <f>IF([2]AGPeg!C299&lt;&gt;"",[2]AGPeg!C299,"")</f>
        <v>44045</v>
      </c>
      <c r="D314" s="19">
        <f>IF([2]AGPeg!D299&lt;&gt;"",[2]AGPeg!D299,"")</f>
        <v>0.87847222222222221</v>
      </c>
      <c r="E314" s="17">
        <f>IF([2]AGPeg!E299&lt;&gt;"",[2]AGPeg!E299,"")</f>
        <v>2459064.4139999999</v>
      </c>
      <c r="F314" s="20">
        <f t="shared" si="17"/>
        <v>0.5540894060010686</v>
      </c>
      <c r="G314" s="17" t="str">
        <f>IF([2]AGPeg!F299&lt;&gt;"",[2]AGPeg!F299,"")</f>
        <v>JGF</v>
      </c>
      <c r="H314" s="17" t="str">
        <f>IF([2]AGPeg!G299&lt;&gt;"",[2]AGPeg!G299,"")</f>
        <v>SMM-SP</v>
      </c>
      <c r="I314" s="17" t="str">
        <f>IF([2]AGPeg!H299&lt;&gt;"",[2]AGPeg!H299,"")</f>
        <v>16 REMOT LINX 460EX</v>
      </c>
      <c r="J314" s="17">
        <f>IF([2]AGPeg!I299&lt;&gt;"",[2]AGPeg!I299,"")</f>
        <v>10000</v>
      </c>
      <c r="N314" s="2"/>
    </row>
    <row r="315" spans="1:14" x14ac:dyDescent="0.25">
      <c r="A315">
        <f t="shared" si="16"/>
        <v>33.554428658910112</v>
      </c>
      <c r="B315" s="17">
        <f>IF([2]AGPeg!B300&lt;&gt;"",[2]AGPeg!B300,"")</f>
        <v>288</v>
      </c>
      <c r="C315" s="18">
        <f>IF([2]AGPeg!C300&lt;&gt;"",[2]AGPeg!C300,"")</f>
        <v>44046</v>
      </c>
      <c r="D315" s="19">
        <f>IF([2]AGPeg!D300&lt;&gt;"",[2]AGPeg!D300,"")</f>
        <v>0.18611111111111112</v>
      </c>
      <c r="E315" s="17">
        <f>IF([2]AGPeg!E300&lt;&gt;"",[2]AGPeg!E300,"")</f>
        <v>2459064.6910000001</v>
      </c>
      <c r="F315" s="20">
        <f t="shared" si="17"/>
        <v>0.55442865891011195</v>
      </c>
      <c r="G315" s="17" t="str">
        <f>IF([2]AGPeg!F300&lt;&gt;"",[2]AGPeg!F300,"")</f>
        <v>KSH</v>
      </c>
      <c r="H315" s="17" t="str">
        <f>IF([2]AGPeg!G300&lt;&gt;"",[2]AGPeg!G300,"")</f>
        <v>CAR-US</v>
      </c>
      <c r="I315" s="17" t="str">
        <f>IF([2]AGPeg!H300&lt;&gt;"",[2]AGPeg!H300,"")</f>
        <v>DEVO Observatory</v>
      </c>
      <c r="J315" s="17">
        <f>IF([2]AGPeg!I300&lt;&gt;"",[2]AGPeg!I300,"")</f>
        <v>1000</v>
      </c>
      <c r="N315" s="2"/>
    </row>
    <row r="316" spans="1:14" x14ac:dyDescent="0.25">
      <c r="A316">
        <f t="shared" si="16"/>
        <v>33.556818369957369</v>
      </c>
      <c r="B316" s="17">
        <f>IF([2]AGPeg!B301&lt;&gt;"",[2]AGPeg!B301,"")</f>
        <v>289</v>
      </c>
      <c r="C316" s="18">
        <f>IF([2]AGPeg!C301&lt;&gt;"",[2]AGPeg!C301,"")</f>
        <v>44048</v>
      </c>
      <c r="D316" s="19">
        <f>IF([2]AGPeg!D301&lt;&gt;"",[2]AGPeg!D301,"")</f>
        <v>0.13125000000000001</v>
      </c>
      <c r="E316" s="17">
        <f>IF([2]AGPeg!E301&lt;&gt;"",[2]AGPeg!E301,"")</f>
        <v>2459066.6421990702</v>
      </c>
      <c r="F316" s="20">
        <f t="shared" si="17"/>
        <v>0.55681836995736944</v>
      </c>
      <c r="G316" s="17" t="str">
        <f>IF([2]AGPeg!F301&lt;&gt;"",[2]AGPeg!F301,"")</f>
        <v>JMA</v>
      </c>
      <c r="H316" s="17" t="str">
        <f>IF([2]AGPeg!G301&lt;&gt;"",[2]AGPeg!G301,"")</f>
        <v>HOR-UK</v>
      </c>
      <c r="I316" s="17" t="str">
        <f>IF([2]AGPeg!H301&lt;&gt;"",[2]AGPeg!H301,"")</f>
        <v>C14 + Lhires III + Atik 460 EX</v>
      </c>
      <c r="J316" s="17">
        <f>IF([2]AGPeg!I301&lt;&gt;"",[2]AGPeg!I301,"")</f>
        <v>15161</v>
      </c>
      <c r="N316" s="2"/>
    </row>
    <row r="317" spans="1:14" x14ac:dyDescent="0.25">
      <c r="A317">
        <f t="shared" si="16"/>
        <v>33.559087568891748</v>
      </c>
      <c r="B317" s="17">
        <f>IF([2]AGPeg!B302&lt;&gt;"",[2]AGPeg!B302,"")</f>
        <v>290</v>
      </c>
      <c r="C317" s="18">
        <f>IF([2]AGPeg!C302&lt;&gt;"",[2]AGPeg!C302,"")</f>
        <v>44049</v>
      </c>
      <c r="D317" s="19">
        <f>IF([2]AGPeg!D302&lt;&gt;"",[2]AGPeg!D302,"")</f>
        <v>0.98611111111111116</v>
      </c>
      <c r="E317" s="17">
        <f>IF([2]AGPeg!E302&lt;&gt;"",[2]AGPeg!E302,"")</f>
        <v>2459068.4950000001</v>
      </c>
      <c r="F317" s="20">
        <f t="shared" si="17"/>
        <v>0.55908756889174782</v>
      </c>
      <c r="G317" s="17" t="str">
        <f>IF([2]AGPeg!F302&lt;&gt;"",[2]AGPeg!F302,"")</f>
        <v>DBO</v>
      </c>
      <c r="H317" s="17" t="str">
        <f>IF([2]AGPeg!G302&lt;&gt;"",[2]AGPeg!G302,"")</f>
        <v>WCO-UK</v>
      </c>
      <c r="I317" s="17" t="str">
        <f>IF([2]AGPeg!H302&lt;&gt;"",[2]AGPeg!H302,"")</f>
        <v>C11 + LISA + SXVR-H694</v>
      </c>
      <c r="J317" s="17">
        <f>IF([2]AGPeg!I302&lt;&gt;"",[2]AGPeg!I302,"")</f>
        <v>1055</v>
      </c>
      <c r="N317" s="2"/>
    </row>
    <row r="318" spans="1:14" x14ac:dyDescent="0.25">
      <c r="A318">
        <f t="shared" ref="A318:A328" si="18">(E318-$A$2)/$A$3</f>
        <v>33.563007715860223</v>
      </c>
      <c r="B318" s="17">
        <f>IF([2]AGPeg!B303&lt;&gt;"",[2]AGPeg!B303,"")</f>
        <v>291</v>
      </c>
      <c r="C318" s="18">
        <f>IF([2]AGPeg!C303&lt;&gt;"",[2]AGPeg!C303,"")</f>
        <v>44053</v>
      </c>
      <c r="D318" s="19">
        <f>IF([2]AGPeg!D303&lt;&gt;"",[2]AGPeg!D303,"")</f>
        <v>0.19166666666666665</v>
      </c>
      <c r="E318" s="17">
        <f>IF([2]AGPeg!E303&lt;&gt;"",[2]AGPeg!E303,"")</f>
        <v>2459071.6957999999</v>
      </c>
      <c r="F318" s="20">
        <f t="shared" ref="F318:F328" si="19">(E318-$A$2)/$A$3-INT((E318-$A$2)/$A$3)</f>
        <v>0.56300771586022336</v>
      </c>
      <c r="G318" s="17" t="str">
        <f>IF([2]AGPeg!F303&lt;&gt;"",[2]AGPeg!F303,"")</f>
        <v>KSH</v>
      </c>
      <c r="H318" s="17" t="str">
        <f>IF([2]AGPeg!G303&lt;&gt;"",[2]AGPeg!G303,"")</f>
        <v>CAR-US</v>
      </c>
      <c r="I318" s="17" t="str">
        <f>IF([2]AGPeg!H303&lt;&gt;"",[2]AGPeg!H303,"")</f>
        <v>DEVO Observatory</v>
      </c>
      <c r="J318" s="17">
        <f>IF([2]AGPeg!I303&lt;&gt;"",[2]AGPeg!I303,"")</f>
        <v>1000</v>
      </c>
      <c r="N318" s="2"/>
    </row>
    <row r="319" spans="1:14" x14ac:dyDescent="0.25">
      <c r="A319">
        <f t="shared" si="18"/>
        <v>33.565464666258684</v>
      </c>
      <c r="B319" s="17">
        <f>IF([2]AGPeg!B304&lt;&gt;"",[2]AGPeg!B304,"")</f>
        <v>292</v>
      </c>
      <c r="C319" s="18">
        <f>IF([2]AGPeg!C304&lt;&gt;"",[2]AGPeg!C304,"")</f>
        <v>44055</v>
      </c>
      <c r="D319" s="19">
        <f>IF([2]AGPeg!D304&lt;&gt;"",[2]AGPeg!D304,"")</f>
        <v>0.19652777777777777</v>
      </c>
      <c r="E319" s="17">
        <f>IF([2]AGPeg!E304&lt;&gt;"",[2]AGPeg!E304,"")</f>
        <v>2459073.7019000002</v>
      </c>
      <c r="F319" s="20">
        <f t="shared" si="19"/>
        <v>0.56546466625868419</v>
      </c>
      <c r="G319" s="17" t="str">
        <f>IF([2]AGPeg!F304&lt;&gt;"",[2]AGPeg!F304,"")</f>
        <v>KSH</v>
      </c>
      <c r="H319" s="17" t="str">
        <f>IF([2]AGPeg!G304&lt;&gt;"",[2]AGPeg!G304,"")</f>
        <v>CAR-US</v>
      </c>
      <c r="I319" s="17" t="str">
        <f>IF([2]AGPeg!H304&lt;&gt;"",[2]AGPeg!H304,"")</f>
        <v>DEVO Observatory</v>
      </c>
      <c r="J319" s="17">
        <f>IF([2]AGPeg!I304&lt;&gt;"",[2]AGPeg!I304,"")</f>
        <v>1000</v>
      </c>
      <c r="N319" s="2"/>
    </row>
    <row r="320" spans="1:14" x14ac:dyDescent="0.25">
      <c r="A320">
        <f t="shared" si="18"/>
        <v>33.566383833435189</v>
      </c>
      <c r="B320" s="17">
        <f>IF([2]AGPeg!B305&lt;&gt;"",[2]AGPeg!B305,"")</f>
        <v>293</v>
      </c>
      <c r="C320" s="18">
        <f>IF([2]AGPeg!C305&lt;&gt;"",[2]AGPeg!C305,"")</f>
        <v>44055</v>
      </c>
      <c r="D320" s="19">
        <f>IF([2]AGPeg!D305&lt;&gt;"",[2]AGPeg!D305,"")</f>
        <v>0.94305555555555554</v>
      </c>
      <c r="E320" s="17">
        <f>IF([2]AGPeg!E305&lt;&gt;"",[2]AGPeg!E305,"")</f>
        <v>2459074.4523999998</v>
      </c>
      <c r="F320" s="20">
        <f t="shared" si="19"/>
        <v>0.56638383343518939</v>
      </c>
      <c r="G320" s="17" t="str">
        <f>IF([2]AGPeg!F305&lt;&gt;"",[2]AGPeg!F305,"")</f>
        <v>PAD</v>
      </c>
      <c r="H320" s="17" t="str">
        <f>IF([2]AGPeg!G305&lt;&gt;"",[2]AGPeg!G305,"")</f>
        <v>KOL-SK</v>
      </c>
      <c r="I320" s="17" t="str">
        <f>IF([2]AGPeg!H305&lt;&gt;"",[2]AGPeg!H305,"")</f>
        <v>C11+LISA+Atik 460EX</v>
      </c>
      <c r="J320" s="17">
        <f>IF([2]AGPeg!I305&lt;&gt;"",[2]AGPeg!I305,"")</f>
        <v>948</v>
      </c>
      <c r="N320" s="2"/>
    </row>
    <row r="321" spans="1:14" x14ac:dyDescent="0.25">
      <c r="A321">
        <f t="shared" si="18"/>
        <v>33.567615921616515</v>
      </c>
      <c r="B321" s="17">
        <f>IF([2]AGPeg!B306&lt;&gt;"",[2]AGPeg!B306,"")</f>
        <v>294</v>
      </c>
      <c r="C321" s="18" t="str">
        <f>IF([2]AGPeg!C306&lt;&gt;"",[2]AGPeg!C306,"")</f>
        <v>13/08/2020</v>
      </c>
      <c r="D321" s="19">
        <f>IF([2]AGPeg!D306&lt;&gt;"",[2]AGPeg!D306,"")</f>
        <v>0.95138888888888884</v>
      </c>
      <c r="E321" s="17">
        <f>IF([2]AGPeg!E306&lt;&gt;"",[2]AGPeg!E306,"")</f>
        <v>2459075.4583999999</v>
      </c>
      <c r="F321" s="20">
        <f t="shared" si="19"/>
        <v>0.56761592161651464</v>
      </c>
      <c r="G321" s="17" t="str">
        <f>IF([2]AGPeg!F306&lt;&gt;"",[2]AGPeg!F306,"")</f>
        <v>FRA</v>
      </c>
      <c r="H321" s="17" t="str">
        <f>IF([2]AGPeg!G306&lt;&gt;"",[2]AGPeg!G306,"")</f>
        <v/>
      </c>
      <c r="I321" s="17" t="str">
        <f>IF([2]AGPeg!H306&lt;&gt;"",[2]AGPeg!H306,"")</f>
        <v>LX200-8(F/5)+Alpy600+SXV-M7</v>
      </c>
      <c r="J321" s="17">
        <f>IF([2]AGPeg!I306&lt;&gt;"",[2]AGPeg!I306,"")</f>
        <v>538</v>
      </c>
      <c r="N321" s="2"/>
    </row>
    <row r="322" spans="1:14" x14ac:dyDescent="0.25">
      <c r="A322">
        <f t="shared" si="18"/>
        <v>33.576084589258869</v>
      </c>
      <c r="B322" s="17">
        <f>IF([2]AGPeg!B307&lt;&gt;"",[2]AGPeg!B307,"")</f>
        <v>295</v>
      </c>
      <c r="C322" s="18" t="str">
        <f>IF([2]AGPeg!C307&lt;&gt;"",[2]AGPeg!C307,"")</f>
        <v>20/08/2020</v>
      </c>
      <c r="D322" s="19">
        <f>IF([2]AGPeg!D307&lt;&gt;"",[2]AGPeg!D307,"")</f>
        <v>0.85069444444444453</v>
      </c>
      <c r="E322" s="17">
        <f>IF([2]AGPeg!E307&lt;&gt;"",[2]AGPeg!E307,"")</f>
        <v>2459082.3730671299</v>
      </c>
      <c r="F322" s="20">
        <f t="shared" si="19"/>
        <v>0.57608458925886907</v>
      </c>
      <c r="G322" s="17" t="str">
        <f>IF([2]AGPeg!F307&lt;&gt;"",[2]AGPeg!F307,"")</f>
        <v>JMA</v>
      </c>
      <c r="H322" s="17" t="str">
        <f>IF([2]AGPeg!G307&lt;&gt;"",[2]AGPeg!G307,"")</f>
        <v>HOR-UK</v>
      </c>
      <c r="I322" s="17" t="str">
        <f>IF([2]AGPeg!H307&lt;&gt;"",[2]AGPeg!H307,"")</f>
        <v>C14 + Lhires III + Atik 460 EX</v>
      </c>
      <c r="J322" s="17">
        <f>IF([2]AGPeg!I307&lt;&gt;"",[2]AGPeg!I307,"")</f>
        <v>8535</v>
      </c>
      <c r="N322" s="2"/>
    </row>
    <row r="323" spans="1:14" x14ac:dyDescent="0.25">
      <c r="A323">
        <f t="shared" si="18"/>
        <v>33.576154562155331</v>
      </c>
      <c r="B323" s="17">
        <f>IF([2]AGPeg!B308&lt;&gt;"",[2]AGPeg!B308,"")</f>
        <v>296</v>
      </c>
      <c r="C323" s="18" t="str">
        <f>IF([2]AGPeg!C308&lt;&gt;"",[2]AGPeg!C308,"")</f>
        <v>20/08/2020</v>
      </c>
      <c r="D323" s="19">
        <f>IF([2]AGPeg!D308&lt;&gt;"",[2]AGPeg!D308,"")</f>
        <v>0.92222222222222217</v>
      </c>
      <c r="E323" s="17">
        <f>IF([2]AGPeg!E308&lt;&gt;"",[2]AGPeg!E308,"")</f>
        <v>2459082.4301999998</v>
      </c>
      <c r="F323" s="20">
        <f t="shared" si="19"/>
        <v>0.57615456215533101</v>
      </c>
      <c r="G323" s="17" t="str">
        <f>IF([2]AGPeg!F308&lt;&gt;"",[2]AGPeg!F308,"")</f>
        <v>HBO</v>
      </c>
      <c r="H323" s="17" t="str">
        <f>IF([2]AGPeg!G308&lt;&gt;"",[2]AGPeg!G308,"")</f>
        <v>K10-FR</v>
      </c>
      <c r="I323" s="17" t="str">
        <f>IF([2]AGPeg!H308&lt;&gt;"",[2]AGPeg!H308,"")</f>
        <v>M10_LISA_ATIK414EX</v>
      </c>
      <c r="J323" s="17">
        <f>IF([2]AGPeg!I308&lt;&gt;"",[2]AGPeg!I308,"")</f>
        <v>816</v>
      </c>
      <c r="N323" s="2"/>
    </row>
    <row r="324" spans="1:14" x14ac:dyDescent="0.25">
      <c r="A324">
        <f t="shared" si="18"/>
        <v>33.578935211267726</v>
      </c>
      <c r="B324" s="17">
        <f>IF([2]AGPeg!B309&lt;&gt;"",[2]AGPeg!B309,"")</f>
        <v>297</v>
      </c>
      <c r="C324" s="18" t="str">
        <f>IF([2]AGPeg!C309&lt;&gt;"",[2]AGPeg!C309,"")</f>
        <v>23/08/2020</v>
      </c>
      <c r="D324" s="19">
        <f>IF([2]AGPeg!D309&lt;&gt;"",[2]AGPeg!D309,"")</f>
        <v>0.19513888888888889</v>
      </c>
      <c r="E324" s="17">
        <f>IF([2]AGPeg!E309&lt;&gt;"",[2]AGPeg!E309,"")</f>
        <v>2459084.7006000001</v>
      </c>
      <c r="F324" s="20">
        <f t="shared" si="19"/>
        <v>0.5789352112677264</v>
      </c>
      <c r="G324" s="17" t="str">
        <f>IF([2]AGPeg!F309&lt;&gt;"",[2]AGPeg!F309,"")</f>
        <v>KSH</v>
      </c>
      <c r="H324" s="17" t="str">
        <f>IF([2]AGPeg!G309&lt;&gt;"",[2]AGPeg!G309,"")</f>
        <v>CAR-US</v>
      </c>
      <c r="I324" s="17" t="str">
        <f>IF([2]AGPeg!H309&lt;&gt;"",[2]AGPeg!H309,"")</f>
        <v>DEVO Observatory</v>
      </c>
      <c r="J324" s="17">
        <f>IF([2]AGPeg!I309&lt;&gt;"",[2]AGPeg!I309,"")</f>
        <v>1000</v>
      </c>
      <c r="N324" s="2"/>
    </row>
    <row r="325" spans="1:14" x14ac:dyDescent="0.25">
      <c r="A325">
        <f t="shared" si="18"/>
        <v>33.579752287887317</v>
      </c>
      <c r="B325" s="17">
        <f>IF([2]AGPeg!B310&lt;&gt;"",[2]AGPeg!B310,"")</f>
        <v>298</v>
      </c>
      <c r="C325" s="18" t="str">
        <f>IF([2]AGPeg!C310&lt;&gt;"",[2]AGPeg!C310,"")</f>
        <v>23/08/2020</v>
      </c>
      <c r="D325" s="19">
        <f>IF([2]AGPeg!D310&lt;&gt;"",[2]AGPeg!D310,"")</f>
        <v>0.83611111111111114</v>
      </c>
      <c r="E325" s="17">
        <f>IF([2]AGPeg!E310&lt;&gt;"",[2]AGPeg!E310,"")</f>
        <v>2459085.36774306</v>
      </c>
      <c r="F325" s="20">
        <f t="shared" si="19"/>
        <v>0.5797522878873167</v>
      </c>
      <c r="G325" s="17" t="str">
        <f>IF([2]AGPeg!F310&lt;&gt;"",[2]AGPeg!F310,"")</f>
        <v>JMA</v>
      </c>
      <c r="H325" s="17" t="str">
        <f>IF([2]AGPeg!G310&lt;&gt;"",[2]AGPeg!G310,"")</f>
        <v>HOR-UK</v>
      </c>
      <c r="I325" s="17" t="str">
        <f>IF([2]AGPeg!H310&lt;&gt;"",[2]AGPeg!H310,"")</f>
        <v>C14 + Lhires III + Atik 460 EX</v>
      </c>
      <c r="J325" s="17">
        <f>IF([2]AGPeg!I310&lt;&gt;"",[2]AGPeg!I310,"")</f>
        <v>19147</v>
      </c>
      <c r="N325" s="2"/>
    </row>
    <row r="326" spans="1:14" x14ac:dyDescent="0.25">
      <c r="A326">
        <f t="shared" si="18"/>
        <v>33.585915492957632</v>
      </c>
      <c r="B326" s="17">
        <f>IF([2]AGPeg!B311&lt;&gt;"",[2]AGPeg!B311,"")</f>
        <v>299</v>
      </c>
      <c r="C326" s="18" t="str">
        <f>IF([2]AGPeg!C311&lt;&gt;"",[2]AGPeg!C311,"")</f>
        <v>28/08/2020</v>
      </c>
      <c r="D326" s="19">
        <f>IF([2]AGPeg!D311&lt;&gt;"",[2]AGPeg!D311,"")</f>
        <v>0.89236111111111116</v>
      </c>
      <c r="E326" s="17">
        <f>IF([2]AGPeg!E311&lt;&gt;"",[2]AGPeg!E311,"")</f>
        <v>2459090.4</v>
      </c>
      <c r="F326" s="20">
        <f t="shared" si="19"/>
        <v>0.58591549295763201</v>
      </c>
      <c r="G326" s="17" t="str">
        <f>IF([2]AGPeg!F311&lt;&gt;"",[2]AGPeg!F311,"")</f>
        <v>TVE</v>
      </c>
      <c r="H326" s="17" t="str">
        <f>IF([2]AGPeg!G311&lt;&gt;"",[2]AGPeg!G311,"")</f>
        <v>LAT-IT</v>
      </c>
      <c r="I326" s="17" t="str">
        <f>IF([2]AGPeg!H311&lt;&gt;"",[2]AGPeg!H311,"")</f>
        <v>UVEX3 300 Atik314L C8</v>
      </c>
      <c r="J326" s="17">
        <f>IF([2]AGPeg!I311&lt;&gt;"",[2]AGPeg!I311,"")</f>
        <v>844</v>
      </c>
      <c r="N326" s="2"/>
    </row>
    <row r="327" spans="1:14" x14ac:dyDescent="0.25">
      <c r="A327">
        <f t="shared" si="18"/>
        <v>33.593361665645872</v>
      </c>
      <c r="B327" s="17">
        <f>IF([2]AGPeg!B312&lt;&gt;"",[2]AGPeg!B312,"")</f>
        <v>300</v>
      </c>
      <c r="C327" s="18">
        <f>IF([2]AGPeg!C312&lt;&gt;"",[2]AGPeg!C312,"")</f>
        <v>44077</v>
      </c>
      <c r="D327" s="19">
        <f>IF([2]AGPeg!D312&lt;&gt;"",[2]AGPeg!D312,"")</f>
        <v>0.95833333333333337</v>
      </c>
      <c r="E327" s="17">
        <f>IF([2]AGPeg!E312&lt;&gt;"",[2]AGPeg!E312,"")</f>
        <v>2459096.4797999999</v>
      </c>
      <c r="F327" s="20">
        <f t="shared" si="19"/>
        <v>0.59336166564587245</v>
      </c>
      <c r="G327" s="17" t="str">
        <f>IF([2]AGPeg!F312&lt;&gt;"",[2]AGPeg!F312,"")</f>
        <v>JGF</v>
      </c>
      <c r="H327" s="17" t="str">
        <f>IF([2]AGPeg!G312&lt;&gt;"",[2]AGPeg!G312,"")</f>
        <v>SMM-SP</v>
      </c>
      <c r="I327" s="17" t="str">
        <f>IF([2]AGPeg!H312&lt;&gt;"",[2]AGPeg!H312,"")</f>
        <v>16 REMOT LINX 460EX</v>
      </c>
      <c r="J327" s="17">
        <f>IF([2]AGPeg!I312&lt;&gt;"",[2]AGPeg!I312,"")</f>
        <v>9500</v>
      </c>
      <c r="N327" s="2"/>
    </row>
    <row r="328" spans="1:14" x14ac:dyDescent="0.25">
      <c r="A328">
        <f t="shared" si="18"/>
        <v>33.599624455676611</v>
      </c>
      <c r="B328" s="17">
        <f>IF([2]AGPeg!B313&lt;&gt;"",[2]AGPeg!B313,"")</f>
        <v>301</v>
      </c>
      <c r="C328" s="18">
        <f>IF([2]AGPeg!C313&lt;&gt;"",[2]AGPeg!C313,"")</f>
        <v>44083</v>
      </c>
      <c r="D328" s="19">
        <f>IF([2]AGPeg!D313&lt;&gt;"",[2]AGPeg!D313,"")</f>
        <v>6.1111111111111116E-2</v>
      </c>
      <c r="E328" s="17">
        <f>IF([2]AGPeg!E313&lt;&gt;"",[2]AGPeg!E313,"")</f>
        <v>2459101.59336806</v>
      </c>
      <c r="F328" s="20">
        <f t="shared" si="19"/>
        <v>0.59962445567661149</v>
      </c>
      <c r="G328" s="17" t="str">
        <f>IF([2]AGPeg!F313&lt;&gt;"",[2]AGPeg!F313,"")</f>
        <v>JMA</v>
      </c>
      <c r="H328" s="17" t="str">
        <f>IF([2]AGPeg!G313&lt;&gt;"",[2]AGPeg!G313,"")</f>
        <v>HOR-UK</v>
      </c>
      <c r="I328" s="17" t="str">
        <f>IF([2]AGPeg!H313&lt;&gt;"",[2]AGPeg!H313,"")</f>
        <v>C14 + Lhires III + Atik 460 EX</v>
      </c>
      <c r="J328" s="17">
        <f>IF([2]AGPeg!I313&lt;&gt;"",[2]AGPeg!I313,"")</f>
        <v>18615</v>
      </c>
      <c r="N328" s="2"/>
    </row>
    <row r="329" spans="1:14" x14ac:dyDescent="0.25">
      <c r="A329">
        <f t="shared" ref="A329:A341" si="20">(E329-$A$2)/$A$3</f>
        <v>33.605479853030978</v>
      </c>
      <c r="B329" s="17">
        <f>IF([2]AGPeg!B314&lt;&gt;"",[2]AGPeg!B314,"")</f>
        <v>302</v>
      </c>
      <c r="C329" s="18" t="str">
        <f>IF([2]AGPeg!C314&lt;&gt;"",[2]AGPeg!C314,"")</f>
        <v>13/09/2020</v>
      </c>
      <c r="D329" s="19">
        <f>IF([2]AGPeg!D314&lt;&gt;"",[2]AGPeg!D314,"")</f>
        <v>0.85763888888888884</v>
      </c>
      <c r="E329" s="17">
        <f>IF([2]AGPeg!E314&lt;&gt;"",[2]AGPeg!E314,"")</f>
        <v>2459106.3742999998</v>
      </c>
      <c r="F329" s="20">
        <f t="shared" ref="F329:F341" si="21">(E329-$A$2)/$A$3-INT((E329-$A$2)/$A$3)</f>
        <v>0.60547985303097818</v>
      </c>
      <c r="G329" s="17" t="str">
        <f>IF([2]AGPeg!F314&lt;&gt;"",[2]AGPeg!F314,"")</f>
        <v xml:space="preserve">FMT </v>
      </c>
      <c r="H329" s="17" t="str">
        <f>IF([2]AGPeg!G314&lt;&gt;"",[2]AGPeg!G314,"")</f>
        <v>ROU-FR</v>
      </c>
      <c r="I329" s="17" t="str">
        <f>IF([2]AGPeg!H314&lt;&gt;"",[2]AGPeg!H314,"")</f>
        <v>SC14+eShel+460EX_b2</v>
      </c>
      <c r="J329" s="17">
        <f>IF([2]AGPeg!I314&lt;&gt;"",[2]AGPeg!I314,"")</f>
        <v>11000</v>
      </c>
      <c r="N329" s="2"/>
    </row>
    <row r="330" spans="1:14" x14ac:dyDescent="0.25">
      <c r="A330">
        <f t="shared" si="20"/>
        <v>33.606663196570643</v>
      </c>
      <c r="B330" s="17">
        <f>IF([2]AGPeg!B315&lt;&gt;"",[2]AGPeg!B315,"")</f>
        <v>303</v>
      </c>
      <c r="C330" s="18" t="str">
        <f>IF([2]AGPeg!C315&lt;&gt;"",[2]AGPeg!C315,"")</f>
        <v>14/09/2020</v>
      </c>
      <c r="D330" s="19">
        <f>IF([2]AGPeg!D315&lt;&gt;"",[2]AGPeg!D315,"")</f>
        <v>0.82847222222222217</v>
      </c>
      <c r="E330" s="17">
        <f>IF([2]AGPeg!E315&lt;&gt;"",[2]AGPeg!E315,"")</f>
        <v>2459107.3404999999</v>
      </c>
      <c r="F330" s="20">
        <f t="shared" si="21"/>
        <v>0.60666319657064349</v>
      </c>
      <c r="G330" s="17" t="str">
        <f>IF([2]AGPeg!F315&lt;&gt;"",[2]AGPeg!F315,"")</f>
        <v>DBO</v>
      </c>
      <c r="H330" s="17" t="str">
        <f>IF([2]AGPeg!G315&lt;&gt;"",[2]AGPeg!G315,"")</f>
        <v>WCO-UK</v>
      </c>
      <c r="I330" s="17" t="str">
        <f>IF([2]AGPeg!H315&lt;&gt;"",[2]AGPeg!H315,"")</f>
        <v>C11 + LISA + SXVR-H694</v>
      </c>
      <c r="J330" s="17">
        <f>IF([2]AGPeg!I315&lt;&gt;"",[2]AGPeg!I315,"")</f>
        <v>1102</v>
      </c>
      <c r="N330" s="2"/>
    </row>
    <row r="331" spans="1:14" x14ac:dyDescent="0.25">
      <c r="A331">
        <f t="shared" si="20"/>
        <v>33.606690508266709</v>
      </c>
      <c r="B331" s="17">
        <f>IF([2]AGPeg!B316&lt;&gt;"",[2]AGPeg!B316,"")</f>
        <v>304</v>
      </c>
      <c r="C331" s="18" t="str">
        <f>IF([2]AGPeg!C316&lt;&gt;"",[2]AGPeg!C316,"")</f>
        <v>14/09/2020</v>
      </c>
      <c r="D331" s="19">
        <f>IF([2]AGPeg!D316&lt;&gt;"",[2]AGPeg!D316,"")</f>
        <v>0.83472222222222225</v>
      </c>
      <c r="E331" s="17">
        <f>IF([2]AGPeg!E316&lt;&gt;"",[2]AGPeg!E316,"")</f>
        <v>2459107.3627999998</v>
      </c>
      <c r="F331" s="20">
        <f t="shared" si="21"/>
        <v>0.60669050826670912</v>
      </c>
      <c r="G331" s="17" t="str">
        <f>IF([2]AGPeg!F316&lt;&gt;"",[2]AGPeg!F316,"")</f>
        <v xml:space="preserve">FMT </v>
      </c>
      <c r="H331" s="17" t="str">
        <f>IF([2]AGPeg!G316&lt;&gt;"",[2]AGPeg!G316,"")</f>
        <v>ROU-FR</v>
      </c>
      <c r="I331" s="17" t="str">
        <f>IF([2]AGPeg!H316&lt;&gt;"",[2]AGPeg!H316,"")</f>
        <v>SC14+eShel+460EX_b2</v>
      </c>
      <c r="J331" s="17">
        <f>IF([2]AGPeg!I316&lt;&gt;"",[2]AGPeg!I316,"")</f>
        <v>11000</v>
      </c>
      <c r="N331" s="2"/>
    </row>
    <row r="332" spans="1:14" x14ac:dyDescent="0.25">
      <c r="A332">
        <f t="shared" si="20"/>
        <v>33.607185303122925</v>
      </c>
      <c r="B332" s="17">
        <f>IF([2]AGPeg!B317&lt;&gt;"",[2]AGPeg!B317,"")</f>
        <v>305</v>
      </c>
      <c r="C332" s="18" t="str">
        <f>IF([2]AGPeg!C317&lt;&gt;"",[2]AGPeg!C317,"")</f>
        <v>15/09/2020</v>
      </c>
      <c r="D332" s="19">
        <f>IF([2]AGPeg!D317&lt;&gt;"",[2]AGPeg!D317,"")</f>
        <v>0.26319444444444445</v>
      </c>
      <c r="E332" s="17">
        <f>IF([2]AGPeg!E317&lt;&gt;"",[2]AGPeg!E317,"")</f>
        <v>2459107.7667999999</v>
      </c>
      <c r="F332" s="20">
        <f t="shared" si="21"/>
        <v>0.60718530312292529</v>
      </c>
      <c r="G332" s="17" t="str">
        <f>IF([2]AGPeg!F317&lt;&gt;"",[2]AGPeg!F317,"")</f>
        <v>FAS</v>
      </c>
      <c r="H332" s="17" t="str">
        <f>IF([2]AGPeg!G317&lt;&gt;"",[2]AGPeg!G317,"")</f>
        <v>DCO-US</v>
      </c>
      <c r="I332" s="17" t="str">
        <f>IF([2]AGPeg!H317&lt;&gt;"",[2]AGPeg!H317,"")</f>
        <v>CDK14 LISA Atik414ex</v>
      </c>
      <c r="J332" s="17">
        <f>IF([2]AGPeg!I317&lt;&gt;"",[2]AGPeg!I317,"")</f>
        <v>974</v>
      </c>
      <c r="N332" s="2"/>
    </row>
    <row r="333" spans="1:14" x14ac:dyDescent="0.25">
      <c r="A333">
        <f t="shared" si="20"/>
        <v>33.607975137783292</v>
      </c>
      <c r="B333" s="17">
        <f>IF([2]AGPeg!B318&lt;&gt;"",[2]AGPeg!B318,"")</f>
        <v>306</v>
      </c>
      <c r="C333" s="18" t="str">
        <f>IF([2]AGPeg!C318&lt;&gt;"",[2]AGPeg!C318,"")</f>
        <v>15/09/2020</v>
      </c>
      <c r="D333" s="19">
        <f>IF([2]AGPeg!D318&lt;&gt;"",[2]AGPeg!D318,"")</f>
        <v>0.87986111111111109</v>
      </c>
      <c r="E333" s="17">
        <f>IF([2]AGPeg!E318&lt;&gt;"",[2]AGPeg!E318,"")</f>
        <v>2459108.4117000001</v>
      </c>
      <c r="F333" s="20">
        <f t="shared" si="21"/>
        <v>0.60797513778329204</v>
      </c>
      <c r="G333" s="17" t="str">
        <f>IF([2]AGPeg!F318&lt;&gt;"",[2]AGPeg!F318,"")</f>
        <v>JGF</v>
      </c>
      <c r="H333" s="17" t="str">
        <f>IF([2]AGPeg!G318&lt;&gt;"",[2]AGPeg!G318,"")</f>
        <v>SMM-SP</v>
      </c>
      <c r="I333" s="17" t="str">
        <f>IF([2]AGPeg!H318&lt;&gt;"",[2]AGPeg!H318,"")</f>
        <v>16 REMOT LINX 460EX</v>
      </c>
      <c r="J333" s="17">
        <f>IF([2]AGPeg!I318&lt;&gt;"",[2]AGPeg!I318,"")</f>
        <v>9500</v>
      </c>
      <c r="N333" s="2"/>
    </row>
    <row r="334" spans="1:14" x14ac:dyDescent="0.25">
      <c r="A334">
        <f t="shared" si="20"/>
        <v>33.615235436374675</v>
      </c>
      <c r="B334" s="17">
        <f>IF([2]AGPeg!B319&lt;&gt;"",[2]AGPeg!B319,"")</f>
        <v>307</v>
      </c>
      <c r="C334" s="18">
        <f>IF([2]AGPeg!C319&lt;&gt;"",[2]AGPeg!C319,"")</f>
        <v>44095</v>
      </c>
      <c r="D334" s="19">
        <f>IF([2]AGPeg!D319&lt;&gt;"",[2]AGPeg!D319,"")</f>
        <v>0.79791666666666661</v>
      </c>
      <c r="E334" s="17">
        <f>IF([2]AGPeg!E319&lt;&gt;"",[2]AGPeg!E319,"")</f>
        <v>2459114.3397337999</v>
      </c>
      <c r="F334" s="20">
        <f t="shared" si="21"/>
        <v>0.61523543637467526</v>
      </c>
      <c r="G334" s="17" t="str">
        <f>IF([2]AGPeg!F319&lt;&gt;"",[2]AGPeg!F319,"")</f>
        <v>JMA</v>
      </c>
      <c r="H334" s="17" t="str">
        <f>IF([2]AGPeg!G319&lt;&gt;"",[2]AGPeg!G319,"")</f>
        <v>HOR-UK</v>
      </c>
      <c r="I334" s="17" t="str">
        <f>IF([2]AGPeg!H319&lt;&gt;"",[2]AGPeg!H319,"")</f>
        <v>C14 + Lhires III + Atik 460 EX</v>
      </c>
      <c r="J334" s="17">
        <f>IF([2]AGPeg!I319&lt;&gt;"",[2]AGPeg!I319,"")</f>
        <v>13793</v>
      </c>
      <c r="N334" s="2"/>
    </row>
    <row r="335" spans="1:14" x14ac:dyDescent="0.25">
      <c r="A335">
        <f t="shared" si="20"/>
        <v>33.618917575015345</v>
      </c>
      <c r="B335" s="17">
        <f>IF([2]AGPeg!B320&lt;&gt;"",[2]AGPeg!B320,"")</f>
        <v>308</v>
      </c>
      <c r="C335" s="18" t="str">
        <f>IF([2]AGPeg!C320&lt;&gt;"",[2]AGPeg!C320,"")</f>
        <v>24/09/2020</v>
      </c>
      <c r="D335" s="19">
        <f>IF([2]AGPeg!D320&lt;&gt;"",[2]AGPeg!D320,"")</f>
        <v>0.81805555555555554</v>
      </c>
      <c r="E335" s="17">
        <f>IF([2]AGPeg!E320&lt;&gt;"",[2]AGPeg!E320,"")</f>
        <v>2459117.3462</v>
      </c>
      <c r="F335" s="20">
        <f t="shared" si="21"/>
        <v>0.61891757501534528</v>
      </c>
      <c r="G335" s="17" t="str">
        <f>IF([2]AGPeg!F320&lt;&gt;"",[2]AGPeg!F320,"")</f>
        <v>SOL</v>
      </c>
      <c r="H335" s="17" t="str">
        <f>IF([2]AGPeg!G320&lt;&gt;"",[2]AGPeg!G320,"")</f>
        <v>AQL-IT</v>
      </c>
      <c r="I335" s="17" t="str">
        <f>IF([2]AGPeg!H320&lt;&gt;"",[2]AGPeg!H320,"")</f>
        <v>SlitUS - C9.25 ST-8300</v>
      </c>
      <c r="J335" s="17">
        <f>IF([2]AGPeg!I320&lt;&gt;"",[2]AGPeg!I320,"")</f>
        <v>6092</v>
      </c>
      <c r="N335" s="2"/>
    </row>
    <row r="336" spans="1:14" x14ac:dyDescent="0.25">
      <c r="A336">
        <f t="shared" si="20"/>
        <v>33.619315248009542</v>
      </c>
      <c r="B336" s="17">
        <f>IF([2]AGPeg!B321&lt;&gt;"",[2]AGPeg!B321,"")</f>
        <v>309</v>
      </c>
      <c r="C336" s="18" t="str">
        <f>IF([2]AGPeg!C321&lt;&gt;"",[2]AGPeg!C321,"")</f>
        <v>25/09/2020</v>
      </c>
      <c r="D336" s="19">
        <f>IF([2]AGPeg!D321&lt;&gt;"",[2]AGPeg!D321,"")</f>
        <v>0.16388888888888889</v>
      </c>
      <c r="E336" s="17">
        <f>IF([2]AGPeg!E321&lt;&gt;"",[2]AGPeg!E321,"")</f>
        <v>2459117.6708999998</v>
      </c>
      <c r="F336" s="20">
        <f t="shared" si="21"/>
        <v>0.61931524800954207</v>
      </c>
      <c r="G336" s="17" t="str">
        <f>IF([2]AGPeg!F321&lt;&gt;"",[2]AGPeg!F321,"")</f>
        <v>KSH</v>
      </c>
      <c r="H336" s="17" t="str">
        <f>IF([2]AGPeg!G321&lt;&gt;"",[2]AGPeg!G321,"")</f>
        <v>CAR-US</v>
      </c>
      <c r="I336" s="17" t="str">
        <f>IF([2]AGPeg!H321&lt;&gt;"",[2]AGPeg!H321,"")</f>
        <v>C14E@F7+LISA+ATIK414EX</v>
      </c>
      <c r="J336" s="17">
        <f>IF([2]AGPeg!I321&lt;&gt;"",[2]AGPeg!I321,"")</f>
        <v>1000</v>
      </c>
      <c r="N336" s="2"/>
    </row>
    <row r="337" spans="1:15" x14ac:dyDescent="0.25">
      <c r="A337">
        <f t="shared" si="20"/>
        <v>33.620514145743762</v>
      </c>
      <c r="B337" s="17">
        <f>IF([2]AGPeg!B322&lt;&gt;"",[2]AGPeg!B322,"")</f>
        <v>310</v>
      </c>
      <c r="C337" s="18" t="str">
        <f>IF([2]AGPeg!C322&lt;&gt;"",[2]AGPeg!C322,"")</f>
        <v>26/09/2020</v>
      </c>
      <c r="D337" s="19">
        <f>IF([2]AGPeg!D322&lt;&gt;"",[2]AGPeg!D322,"")</f>
        <v>0.14583333333333334</v>
      </c>
      <c r="E337" s="17">
        <f>IF([2]AGPeg!E322&lt;&gt;"",[2]AGPeg!E322,"")</f>
        <v>2459118.6497999998</v>
      </c>
      <c r="F337" s="20">
        <f t="shared" si="21"/>
        <v>0.62051414574376196</v>
      </c>
      <c r="G337" s="17" t="str">
        <f>IF([2]AGPeg!F322&lt;&gt;"",[2]AGPeg!F322,"")</f>
        <v>KSH</v>
      </c>
      <c r="H337" s="17" t="str">
        <f>IF([2]AGPeg!G322&lt;&gt;"",[2]AGPeg!G322,"")</f>
        <v>CAR-US</v>
      </c>
      <c r="I337" s="17" t="str">
        <f>IF([2]AGPeg!H322&lt;&gt;"",[2]AGPeg!H322,"")</f>
        <v>C14E@F7+LISA+ATIK414EX</v>
      </c>
      <c r="J337" s="17">
        <f>IF([2]AGPeg!I322&lt;&gt;"",[2]AGPeg!I322,"")</f>
        <v>1000</v>
      </c>
      <c r="N337" s="2"/>
    </row>
    <row r="338" spans="1:15" x14ac:dyDescent="0.25">
      <c r="A338">
        <f t="shared" si="20"/>
        <v>33.621724433557624</v>
      </c>
      <c r="B338" s="17">
        <f>IF([2]AGPeg!B323&lt;&gt;"",[2]AGPeg!B323,"")</f>
        <v>311</v>
      </c>
      <c r="C338" s="18" t="str">
        <f>IF([2]AGPeg!C323&lt;&gt;"",[2]AGPeg!C323,"")</f>
        <v>27/09/2020</v>
      </c>
      <c r="D338" s="19">
        <f>IF([2]AGPeg!D323&lt;&gt;"",[2]AGPeg!D323,"")</f>
        <v>0.13402777777777777</v>
      </c>
      <c r="E338" s="17">
        <f>IF([2]AGPeg!E323&lt;&gt;"",[2]AGPeg!E323,"")</f>
        <v>2459119.6379999998</v>
      </c>
      <c r="F338" s="20">
        <f t="shared" si="21"/>
        <v>0.62172443355762397</v>
      </c>
      <c r="G338" s="17" t="str">
        <f>IF([2]AGPeg!F323&lt;&gt;"",[2]AGPeg!F323,"")</f>
        <v>KSH</v>
      </c>
      <c r="H338" s="17" t="str">
        <f>IF([2]AGPeg!G323&lt;&gt;"",[2]AGPeg!G323,"")</f>
        <v>CAR-US</v>
      </c>
      <c r="I338" s="17" t="str">
        <f>IF([2]AGPeg!H323&lt;&gt;"",[2]AGPeg!H323,"")</f>
        <v>C14E@F7+LISA+ATIK414EX</v>
      </c>
      <c r="J338" s="17">
        <f>IF([2]AGPeg!I323&lt;&gt;"",[2]AGPeg!I323,"")</f>
        <v>1000</v>
      </c>
      <c r="N338" s="2"/>
    </row>
    <row r="339" spans="1:15" x14ac:dyDescent="0.25">
      <c r="A339">
        <f t="shared" si="20"/>
        <v>33.624243478261079</v>
      </c>
      <c r="B339" s="17">
        <f>IF([2]AGPeg!B324&lt;&gt;"",[2]AGPeg!B324,"")</f>
        <v>312</v>
      </c>
      <c r="C339" s="18" t="str">
        <f>IF([2]AGPeg!C324&lt;&gt;"",[2]AGPeg!C324,"")</f>
        <v>29/09/2020</v>
      </c>
      <c r="D339" s="19">
        <f>IF([2]AGPeg!D324&lt;&gt;"",[2]AGPeg!D324,"")</f>
        <v>0.19305555555555554</v>
      </c>
      <c r="E339" s="17">
        <f>IF([2]AGPeg!E324&lt;&gt;"",[2]AGPeg!E324,"")</f>
        <v>2459121.6948000002</v>
      </c>
      <c r="F339" s="20">
        <f t="shared" si="21"/>
        <v>0.62424347826107862</v>
      </c>
      <c r="G339" s="17" t="str">
        <f>IF([2]AGPeg!F324&lt;&gt;"",[2]AGPeg!F324,"")</f>
        <v>FAS</v>
      </c>
      <c r="H339" s="17" t="str">
        <f>IF([2]AGPeg!G324&lt;&gt;"",[2]AGPeg!G324,"")</f>
        <v>DCO-US</v>
      </c>
      <c r="I339" s="17" t="str">
        <f>IF([2]AGPeg!H324&lt;&gt;"",[2]AGPeg!H324,"")</f>
        <v>CDK14 LISA Atik414ex</v>
      </c>
      <c r="J339" s="17">
        <f>IF([2]AGPeg!I324&lt;&gt;"",[2]AGPeg!I324,"")</f>
        <v>1065</v>
      </c>
      <c r="N339" s="2"/>
    </row>
    <row r="340" spans="1:15" x14ac:dyDescent="0.25">
      <c r="A340">
        <f t="shared" si="20"/>
        <v>33.625424862216498</v>
      </c>
      <c r="B340" s="17">
        <f>IF([2]AGPeg!B325&lt;&gt;"",[2]AGPeg!B325,"")</f>
        <v>313</v>
      </c>
      <c r="C340" s="18" t="str">
        <f>IF([2]AGPeg!C325&lt;&gt;"",[2]AGPeg!C325,"")</f>
        <v>30/09/2020</v>
      </c>
      <c r="D340" s="19">
        <f>IF([2]AGPeg!D325&lt;&gt;"",[2]AGPeg!D325,"")</f>
        <v>0.15763888888888888</v>
      </c>
      <c r="E340" s="17">
        <f>IF([2]AGPeg!E325&lt;&gt;"",[2]AGPeg!E325,"")</f>
        <v>2459122.6593999998</v>
      </c>
      <c r="F340" s="20">
        <f t="shared" si="21"/>
        <v>0.62542486221649796</v>
      </c>
      <c r="G340" s="17" t="str">
        <f>IF([2]AGPeg!F325&lt;&gt;"",[2]AGPeg!F325,"")</f>
        <v>FAS</v>
      </c>
      <c r="H340" s="17" t="str">
        <f>IF([2]AGPeg!G325&lt;&gt;"",[2]AGPeg!G325,"")</f>
        <v>DCO-US</v>
      </c>
      <c r="I340" s="17" t="str">
        <f>IF([2]AGPeg!H325&lt;&gt;"",[2]AGPeg!H325,"")</f>
        <v>CDK14 LISA Atik414ex</v>
      </c>
      <c r="J340" s="17">
        <f>IF([2]AGPeg!I325&lt;&gt;"",[2]AGPeg!I325,"")</f>
        <v>1068</v>
      </c>
      <c r="N340" s="2"/>
    </row>
    <row r="341" spans="1:15" x14ac:dyDescent="0.25">
      <c r="A341">
        <f t="shared" si="20"/>
        <v>33.627450840306437</v>
      </c>
      <c r="B341" s="17">
        <f>IF([2]AGPeg!B326&lt;&gt;"",[2]AGPeg!B326,"")</f>
        <v>314</v>
      </c>
      <c r="C341" s="18">
        <f>IF([2]AGPeg!C326&lt;&gt;"",[2]AGPeg!C326,"")</f>
        <v>43840</v>
      </c>
      <c r="D341" s="19">
        <f>IF([2]AGPeg!D326&lt;&gt;"",[2]AGPeg!D326,"")</f>
        <v>0.8027777777777777</v>
      </c>
      <c r="E341" s="17">
        <f>IF([2]AGPeg!E326&lt;&gt;"",[2]AGPeg!E326,"")</f>
        <v>2459124.3136111102</v>
      </c>
      <c r="F341" s="20">
        <f t="shared" si="21"/>
        <v>0.62745084030643739</v>
      </c>
      <c r="G341" s="17" t="str">
        <f>IF([2]AGPeg!F326&lt;&gt;"",[2]AGPeg!F326,"")</f>
        <v>JMA</v>
      </c>
      <c r="H341" s="17" t="str">
        <f>IF([2]AGPeg!G326&lt;&gt;"",[2]AGPeg!G326,"")</f>
        <v>HOR-UK</v>
      </c>
      <c r="I341" s="17" t="str">
        <f>IF([2]AGPeg!H326&lt;&gt;"",[2]AGPeg!H326,"")</f>
        <v>C14 + Lhires III + Atik 460 EX</v>
      </c>
      <c r="J341" s="17">
        <f>IF([2]AGPeg!I326&lt;&gt;"",[2]AGPeg!I326,"")</f>
        <v>14065</v>
      </c>
      <c r="N341" s="2">
        <f t="shared" ref="N329:N341" si="22">+E341-2450000</f>
        <v>9124.3136111102067</v>
      </c>
      <c r="O341">
        <f t="shared" ref="O293:O356" si="23">+O$22</f>
        <v>8</v>
      </c>
    </row>
    <row r="342" spans="1:15" x14ac:dyDescent="0.25">
      <c r="A342">
        <f t="shared" ref="A342:A355" si="24">(E342-$A$2)/$A$3</f>
        <v>33.627846050214202</v>
      </c>
      <c r="B342" s="17">
        <f>IF([2]AGPeg!B327&lt;&gt;"",[2]AGPeg!B327,"")</f>
        <v>315</v>
      </c>
      <c r="C342" s="18">
        <f>IF([2]AGPeg!C327&lt;&gt;"",[2]AGPeg!C327,"")</f>
        <v>44106</v>
      </c>
      <c r="D342" s="19">
        <f>IF([2]AGPeg!D327&lt;&gt;"",[2]AGPeg!D327,"")</f>
        <v>0.12986111111111112</v>
      </c>
      <c r="E342" s="17">
        <f>IF([2]AGPeg!E327&lt;&gt;"",[2]AGPeg!E327,"")</f>
        <v>2459124.6362999999</v>
      </c>
      <c r="F342" s="20">
        <f t="shared" ref="F342:F355" si="25">(E342-$A$2)/$A$3-INT((E342-$A$2)/$A$3)</f>
        <v>0.62784605021420248</v>
      </c>
      <c r="G342" s="17" t="str">
        <f>IF([2]AGPeg!F327&lt;&gt;"",[2]AGPeg!F327,"")</f>
        <v>KSH</v>
      </c>
      <c r="H342" s="17" t="str">
        <f>IF([2]AGPeg!G327&lt;&gt;"",[2]AGPeg!G327,"")</f>
        <v>CAR-US</v>
      </c>
      <c r="I342" s="17" t="str">
        <f>IF([2]AGPeg!H327&lt;&gt;"",[2]AGPeg!H327,"")</f>
        <v>KAS - DEVO Observatory</v>
      </c>
      <c r="J342" s="17">
        <f>IF([2]AGPeg!I327&lt;&gt;"",[2]AGPeg!I327,"")</f>
        <v>1000</v>
      </c>
      <c r="N342" s="2">
        <f t="shared" ref="N342:N355" si="26">+E342-2450000</f>
        <v>9124.6362999998964</v>
      </c>
      <c r="O342">
        <f t="shared" si="23"/>
        <v>8</v>
      </c>
    </row>
    <row r="343" spans="1:15" x14ac:dyDescent="0.25">
      <c r="A343">
        <f t="shared" si="24"/>
        <v>33.63128169014108</v>
      </c>
      <c r="B343" s="17">
        <f>IF([2]AGPeg!B328&lt;&gt;"",[2]AGPeg!B328,"")</f>
        <v>316</v>
      </c>
      <c r="C343" s="18">
        <f>IF([2]AGPeg!C328&lt;&gt;"",[2]AGPeg!C328,"")</f>
        <v>44108</v>
      </c>
      <c r="D343" s="19">
        <f>IF([2]AGPeg!D328&lt;&gt;"",[2]AGPeg!D328,"")</f>
        <v>0.9243055555555556</v>
      </c>
      <c r="E343" s="17">
        <f>IF([2]AGPeg!E328&lt;&gt;"",[2]AGPeg!E328,"")</f>
        <v>2459127.4415000002</v>
      </c>
      <c r="F343" s="20">
        <f t="shared" si="25"/>
        <v>0.63128169014107982</v>
      </c>
      <c r="G343" s="17" t="str">
        <f>IF([2]AGPeg!F328&lt;&gt;"",[2]AGPeg!F328,"")</f>
        <v xml:space="preserve">FMT </v>
      </c>
      <c r="H343" s="17" t="str">
        <f>IF([2]AGPeg!G328&lt;&gt;"",[2]AGPeg!G328,"")</f>
        <v>SMM-SP</v>
      </c>
      <c r="I343" s="17" t="str">
        <f>IF([2]AGPeg!H328&lt;&gt;"",[2]AGPeg!H328,"")</f>
        <v>SC16+Echelle9000+Atik460EX</v>
      </c>
      <c r="J343" s="17">
        <f>IF([2]AGPeg!I328&lt;&gt;"",[2]AGPeg!I328,"")</f>
        <v>9000</v>
      </c>
      <c r="N343" s="2">
        <f t="shared" si="26"/>
        <v>9127.44150000019</v>
      </c>
      <c r="O343">
        <f t="shared" si="23"/>
        <v>8</v>
      </c>
    </row>
    <row r="344" spans="1:15" x14ac:dyDescent="0.25">
      <c r="A344">
        <f t="shared" si="24"/>
        <v>33.631487813839819</v>
      </c>
      <c r="B344" s="17">
        <f>IF([2]AGPeg!B329&lt;&gt;"",[2]AGPeg!B329,"")</f>
        <v>317</v>
      </c>
      <c r="C344" s="18">
        <f>IF([2]AGPeg!C329&lt;&gt;"",[2]AGPeg!C329,"")</f>
        <v>44109</v>
      </c>
      <c r="D344" s="19">
        <f>IF([2]AGPeg!D329&lt;&gt;"",[2]AGPeg!D329,"")</f>
        <v>0.10347222222222223</v>
      </c>
      <c r="E344" s="17">
        <f>IF([2]AGPeg!E329&lt;&gt;"",[2]AGPeg!E329,"")</f>
        <v>2459127.6098000002</v>
      </c>
      <c r="F344" s="20">
        <f t="shared" si="25"/>
        <v>0.63148781383981856</v>
      </c>
      <c r="G344" s="17" t="str">
        <f>IF([2]AGPeg!F329&lt;&gt;"",[2]AGPeg!F329,"")</f>
        <v>KSH</v>
      </c>
      <c r="H344" s="17" t="str">
        <f>IF([2]AGPeg!G329&lt;&gt;"",[2]AGPeg!G329,"")</f>
        <v>CAR-US</v>
      </c>
      <c r="I344" s="17" t="str">
        <f>IF([2]AGPeg!H329&lt;&gt;"",[2]AGPeg!H329,"")</f>
        <v>C14E@F7+LISA+ATIK414EX</v>
      </c>
      <c r="J344" s="17">
        <f>IF([2]AGPeg!I329&lt;&gt;"",[2]AGPeg!I329,"")</f>
        <v>1000</v>
      </c>
      <c r="N344" s="2">
        <f t="shared" si="26"/>
        <v>9127.6098000002094</v>
      </c>
      <c r="O344">
        <f t="shared" si="23"/>
        <v>8</v>
      </c>
    </row>
    <row r="345" spans="1:15" x14ac:dyDescent="0.25">
      <c r="A345">
        <f t="shared" si="24"/>
        <v>33.633996325780551</v>
      </c>
      <c r="B345" s="17">
        <f>IF([2]AGPeg!B330&lt;&gt;"",[2]AGPeg!B330,"")</f>
        <v>318</v>
      </c>
      <c r="C345" s="18">
        <f>IF([2]AGPeg!C330&lt;&gt;"",[2]AGPeg!C330,"")</f>
        <v>44111</v>
      </c>
      <c r="D345" s="19">
        <f>IF([2]AGPeg!D330&lt;&gt;"",[2]AGPeg!D330,"")</f>
        <v>0.15625</v>
      </c>
      <c r="E345" s="17">
        <f>IF([2]AGPeg!E330&lt;&gt;"",[2]AGPeg!E330,"")</f>
        <v>2459129.6579999998</v>
      </c>
      <c r="F345" s="20">
        <f t="shared" si="25"/>
        <v>0.63399632578055076</v>
      </c>
      <c r="G345" s="17" t="str">
        <f>IF([2]AGPeg!F330&lt;&gt;"",[2]AGPeg!F330,"")</f>
        <v>FAS</v>
      </c>
      <c r="H345" s="17" t="str">
        <f>IF([2]AGPeg!G330&lt;&gt;"",[2]AGPeg!G330,"")</f>
        <v>DCO-US</v>
      </c>
      <c r="I345" s="17" t="str">
        <f>IF([2]AGPeg!H330&lt;&gt;"",[2]AGPeg!H330,"")</f>
        <v>CDK14 LISA Atik414ex</v>
      </c>
      <c r="J345" s="17">
        <f>IF([2]AGPeg!I330&lt;&gt;"",[2]AGPeg!I330,"")</f>
        <v>1064</v>
      </c>
      <c r="N345" s="2">
        <f t="shared" si="26"/>
        <v>9129.6579999998212</v>
      </c>
      <c r="O345">
        <f t="shared" si="23"/>
        <v>8</v>
      </c>
    </row>
    <row r="346" spans="1:15" x14ac:dyDescent="0.25">
      <c r="A346">
        <f t="shared" si="24"/>
        <v>33.636269442743377</v>
      </c>
      <c r="B346" s="17">
        <f>IF([2]AGPeg!B331&lt;&gt;"",[2]AGPeg!B331,"")</f>
        <v>319</v>
      </c>
      <c r="C346" s="18">
        <f>IF([2]AGPeg!C331&lt;&gt;"",[2]AGPeg!C331,"")</f>
        <v>44112</v>
      </c>
      <c r="D346" s="19">
        <f>IF([2]AGPeg!D331&lt;&gt;"",[2]AGPeg!D331,"")</f>
        <v>0.98472222222222217</v>
      </c>
      <c r="E346" s="17">
        <f>IF([2]AGPeg!E331&lt;&gt;"",[2]AGPeg!E331,"")</f>
        <v>2459131.514</v>
      </c>
      <c r="F346" s="20">
        <f t="shared" si="25"/>
        <v>0.6362694427433766</v>
      </c>
      <c r="G346" s="17" t="str">
        <f>IF([2]AGPeg!F331&lt;&gt;"",[2]AGPeg!F331,"")</f>
        <v>LES</v>
      </c>
      <c r="H346" s="17" t="str">
        <f>IF([2]AGPeg!G331&lt;&gt;"",[2]AGPeg!G331,"")</f>
        <v>MRO-CA</v>
      </c>
      <c r="I346" s="17" t="str">
        <f>IF([2]AGPeg!H331&lt;&gt;"",[2]AGPeg!H331,"")</f>
        <v>31cmDK+ESSAT_2</v>
      </c>
      <c r="J346" s="17">
        <f>IF([2]AGPeg!I331&lt;&gt;"",[2]AGPeg!I331,"")</f>
        <v>14000</v>
      </c>
      <c r="N346" s="2">
        <f t="shared" si="26"/>
        <v>9131.5139999999665</v>
      </c>
      <c r="O346">
        <f t="shared" si="23"/>
        <v>8</v>
      </c>
    </row>
    <row r="347" spans="1:15" x14ac:dyDescent="0.25">
      <c r="A347">
        <f t="shared" si="24"/>
        <v>33.63724323331315</v>
      </c>
      <c r="B347" s="17">
        <f>IF([2]AGPeg!B332&lt;&gt;"",[2]AGPeg!B332,"")</f>
        <v>320</v>
      </c>
      <c r="C347" s="18">
        <f>IF([2]AGPeg!C332&lt;&gt;"",[2]AGPeg!C332,"")</f>
        <v>44113</v>
      </c>
      <c r="D347" s="19">
        <f>IF([2]AGPeg!D332&lt;&gt;"",[2]AGPeg!D332,"")</f>
        <v>0.80138888888888893</v>
      </c>
      <c r="E347" s="17">
        <f>IF([2]AGPeg!E332&lt;&gt;"",[2]AGPeg!E332,"")</f>
        <v>2459132.3091000002</v>
      </c>
      <c r="F347" s="20">
        <f t="shared" si="25"/>
        <v>0.63724323331314991</v>
      </c>
      <c r="G347" s="17" t="str">
        <f>IF([2]AGPeg!F332&lt;&gt;"",[2]AGPeg!F332,"")</f>
        <v>TVE</v>
      </c>
      <c r="H347" s="17" t="str">
        <f>IF([2]AGPeg!G332&lt;&gt;"",[2]AGPeg!G332,"")</f>
        <v>LAT-IT</v>
      </c>
      <c r="I347" s="17" t="str">
        <f>IF([2]AGPeg!H332&lt;&gt;"",[2]AGPeg!H332,"")</f>
        <v>UVEX3 300 Atik314L C8</v>
      </c>
      <c r="J347" s="17">
        <f>IF([2]AGPeg!I332&lt;&gt;"",[2]AGPeg!I332,"")</f>
        <v>853</v>
      </c>
      <c r="N347" s="2">
        <f t="shared" si="26"/>
        <v>9132.3091000001878</v>
      </c>
      <c r="O347">
        <f t="shared" si="23"/>
        <v>8</v>
      </c>
    </row>
    <row r="348" spans="1:15" x14ac:dyDescent="0.25">
      <c r="A348">
        <f t="shared" si="24"/>
        <v>33.63884678505822</v>
      </c>
      <c r="B348" s="17">
        <f>IF([2]AGPeg!B333&lt;&gt;"",[2]AGPeg!B333,"")</f>
        <v>321</v>
      </c>
      <c r="C348" s="18">
        <f>IF([2]AGPeg!C333&lt;&gt;"",[2]AGPeg!C333,"")</f>
        <v>44115</v>
      </c>
      <c r="D348" s="19">
        <f>IF([2]AGPeg!D333&lt;&gt;"",[2]AGPeg!D333,"")</f>
        <v>0.1125</v>
      </c>
      <c r="E348" s="17">
        <f>IF([2]AGPeg!E333&lt;&gt;"",[2]AGPeg!E333,"")</f>
        <v>2459133.6184</v>
      </c>
      <c r="F348" s="20">
        <f t="shared" si="25"/>
        <v>0.63884678505822023</v>
      </c>
      <c r="G348" s="17" t="str">
        <f>IF([2]AGPeg!F333&lt;&gt;"",[2]AGPeg!F333,"")</f>
        <v>KSH</v>
      </c>
      <c r="H348" s="17" t="str">
        <f>IF([2]AGPeg!G333&lt;&gt;"",[2]AGPeg!G333,"")</f>
        <v>CAR-US</v>
      </c>
      <c r="I348" s="17" t="str">
        <f>IF([2]AGPeg!H333&lt;&gt;"",[2]AGPeg!H333,"")</f>
        <v>C14E@F7+LISA+ATIK414EX</v>
      </c>
      <c r="J348" s="17">
        <f>IF([2]AGPeg!I333&lt;&gt;"",[2]AGPeg!I333,"")</f>
        <v>1000</v>
      </c>
      <c r="N348" s="2">
        <f t="shared" si="26"/>
        <v>9133.6184000000358</v>
      </c>
      <c r="O348">
        <f t="shared" si="23"/>
        <v>8</v>
      </c>
    </row>
    <row r="349" spans="1:15" x14ac:dyDescent="0.25">
      <c r="A349">
        <f t="shared" si="24"/>
        <v>33.640132761787939</v>
      </c>
      <c r="B349" s="17">
        <f>IF([2]AGPeg!B334&lt;&gt;"",[2]AGPeg!B334,"")</f>
        <v>322</v>
      </c>
      <c r="C349" s="18">
        <f>IF([2]AGPeg!C334&lt;&gt;"",[2]AGPeg!C334,"")</f>
        <v>44116</v>
      </c>
      <c r="D349" s="19">
        <f>IF([2]AGPeg!D334&lt;&gt;"",[2]AGPeg!D334,"")</f>
        <v>0.16666666666666666</v>
      </c>
      <c r="E349" s="17">
        <f>IF([2]AGPeg!E334&lt;&gt;"",[2]AGPeg!E334,"")</f>
        <v>2459134.6683999998</v>
      </c>
      <c r="F349" s="20">
        <f t="shared" si="25"/>
        <v>0.64013276178793888</v>
      </c>
      <c r="G349" s="17" t="str">
        <f>IF([2]AGPeg!F334&lt;&gt;"",[2]AGPeg!F334,"")</f>
        <v>FAS</v>
      </c>
      <c r="H349" s="17" t="str">
        <f>IF([2]AGPeg!G334&lt;&gt;"",[2]AGPeg!G334,"")</f>
        <v>DCO-US</v>
      </c>
      <c r="I349" s="17" t="str">
        <f>IF([2]AGPeg!H334&lt;&gt;"",[2]AGPeg!H334,"")</f>
        <v>CDK14 LISA Atik414ex</v>
      </c>
      <c r="J349" s="17">
        <f>IF([2]AGPeg!I334&lt;&gt;"",[2]AGPeg!I334,"")</f>
        <v>1050</v>
      </c>
      <c r="N349" s="2">
        <f t="shared" si="26"/>
        <v>9134.6683999998495</v>
      </c>
      <c r="O349">
        <f t="shared" si="23"/>
        <v>8</v>
      </c>
    </row>
    <row r="350" spans="1:15" x14ac:dyDescent="0.25">
      <c r="A350">
        <f t="shared" si="24"/>
        <v>33.644706797305851</v>
      </c>
      <c r="B350" s="17">
        <f>IF([2]AGPeg!B335&lt;&gt;"",[2]AGPeg!B335,"")</f>
        <v>323</v>
      </c>
      <c r="C350" s="18">
        <f>IF([2]AGPeg!C335&lt;&gt;"",[2]AGPeg!C335,"")</f>
        <v>44119</v>
      </c>
      <c r="D350" s="19">
        <f>IF([2]AGPeg!D335&lt;&gt;"",[2]AGPeg!D335,"")</f>
        <v>0.86458333333333337</v>
      </c>
      <c r="E350" s="17">
        <f>IF([2]AGPeg!E335&lt;&gt;"",[2]AGPeg!E335,"")</f>
        <v>2459138.4031000002</v>
      </c>
      <c r="F350" s="20">
        <f t="shared" si="25"/>
        <v>0.6447067973058509</v>
      </c>
      <c r="G350" s="17" t="str">
        <f>IF([2]AGPeg!F335&lt;&gt;"",[2]AGPeg!F335,"")</f>
        <v>JGF</v>
      </c>
      <c r="H350" s="17" t="str">
        <f>IF([2]AGPeg!G335&lt;&gt;"",[2]AGPeg!G335,"")</f>
        <v>SMM-SP</v>
      </c>
      <c r="I350" s="17" t="str">
        <f>IF([2]AGPeg!H335&lt;&gt;"",[2]AGPeg!H335,"")</f>
        <v>16 REMOT LINX 460EX</v>
      </c>
      <c r="J350" s="17">
        <f>IF([2]AGPeg!I335&lt;&gt;"",[2]AGPeg!I335,"")</f>
        <v>9500</v>
      </c>
      <c r="N350" s="2">
        <f t="shared" si="26"/>
        <v>9138.4031000002287</v>
      </c>
      <c r="O350">
        <f t="shared" si="23"/>
        <v>8</v>
      </c>
    </row>
    <row r="351" spans="1:15" x14ac:dyDescent="0.25">
      <c r="A351">
        <f t="shared" si="24"/>
        <v>33.645045927740561</v>
      </c>
      <c r="B351" s="17">
        <f>IF([2]AGPeg!B336&lt;&gt;"",[2]AGPeg!B336,"")</f>
        <v>324</v>
      </c>
      <c r="C351" s="18">
        <f>IF([2]AGPeg!C336&lt;&gt;"",[2]AGPeg!C336,"")</f>
        <v>44120</v>
      </c>
      <c r="D351" s="19">
        <f>IF([2]AGPeg!D336&lt;&gt;"",[2]AGPeg!D336,"")</f>
        <v>0.17222222222222225</v>
      </c>
      <c r="E351" s="17">
        <f>IF([2]AGPeg!E336&lt;&gt;"",[2]AGPeg!E336,"")</f>
        <v>2459138.6800000002</v>
      </c>
      <c r="F351" s="20">
        <f t="shared" si="25"/>
        <v>0.64504592774056135</v>
      </c>
      <c r="G351" s="17" t="str">
        <f>IF([2]AGPeg!F336&lt;&gt;"",[2]AGPeg!F336,"")</f>
        <v>CUR</v>
      </c>
      <c r="H351" s="17" t="str">
        <f>IF([2]AGPeg!G336&lt;&gt;"",[2]AGPeg!G336,"")</f>
        <v>YGU-US</v>
      </c>
      <c r="I351" s="17" t="str">
        <f>IF([2]AGPeg!H336&lt;&gt;"",[2]AGPeg!H336,"")</f>
        <v>YG ALPY</v>
      </c>
      <c r="J351" s="17">
        <f>IF([2]AGPeg!I336&lt;&gt;"",[2]AGPeg!I336,"")</f>
        <v>587</v>
      </c>
      <c r="N351" s="2">
        <f t="shared" si="26"/>
        <v>9138.6800000001676</v>
      </c>
      <c r="O351">
        <f t="shared" si="23"/>
        <v>8</v>
      </c>
    </row>
    <row r="352" spans="1:15" x14ac:dyDescent="0.25">
      <c r="A352">
        <f t="shared" si="24"/>
        <v>33.646182608695455</v>
      </c>
      <c r="B352" s="17">
        <f>IF([2]AGPeg!B337&lt;&gt;"",[2]AGPeg!B337,"")</f>
        <v>325</v>
      </c>
      <c r="C352" s="18">
        <f>IF([2]AGPeg!C337&lt;&gt;"",[2]AGPeg!C337,"")</f>
        <v>44121</v>
      </c>
      <c r="D352" s="19">
        <f>IF([2]AGPeg!D337&lt;&gt;"",[2]AGPeg!D337,"")</f>
        <v>0.1013888888888889</v>
      </c>
      <c r="E352" s="17">
        <f>IF([2]AGPeg!E337&lt;&gt;"",[2]AGPeg!E337,"")</f>
        <v>2459139.6080999998</v>
      </c>
      <c r="F352" s="20">
        <f t="shared" si="25"/>
        <v>0.64618260869545452</v>
      </c>
      <c r="G352" s="17" t="str">
        <f>IF([2]AGPeg!F337&lt;&gt;"",[2]AGPeg!F337,"")</f>
        <v>KSH</v>
      </c>
      <c r="H352" s="17" t="str">
        <f>IF([2]AGPeg!G337&lt;&gt;"",[2]AGPeg!G337,"")</f>
        <v>CAR-US</v>
      </c>
      <c r="I352" s="17" t="str">
        <f>IF([2]AGPeg!H337&lt;&gt;"",[2]AGPeg!H337,"")</f>
        <v>C14E@F7+LISA+ATIK414EX</v>
      </c>
      <c r="J352" s="17">
        <f>IF([2]AGPeg!I337&lt;&gt;"",[2]AGPeg!I337,"")</f>
        <v>1000</v>
      </c>
      <c r="N352" s="2">
        <f t="shared" si="26"/>
        <v>9139.6080999998376</v>
      </c>
      <c r="O352">
        <f t="shared" si="23"/>
        <v>8</v>
      </c>
    </row>
    <row r="353" spans="1:15" x14ac:dyDescent="0.25">
      <c r="A353">
        <f t="shared" si="24"/>
        <v>33.648304102877901</v>
      </c>
      <c r="B353" s="17">
        <f>IF([2]AGPeg!B338&lt;&gt;"",[2]AGPeg!B338,"")</f>
        <v>326</v>
      </c>
      <c r="C353" s="18">
        <f>IF([2]AGPeg!C338&lt;&gt;"",[2]AGPeg!C338,"")</f>
        <v>44122</v>
      </c>
      <c r="D353" s="19">
        <f>IF([2]AGPeg!D338&lt;&gt;"",[2]AGPeg!D338,"")</f>
        <v>0.8125</v>
      </c>
      <c r="E353" s="17">
        <f>IF([2]AGPeg!E338&lt;&gt;"",[2]AGPeg!E338,"")</f>
        <v>2459141.3402999998</v>
      </c>
      <c r="F353" s="20">
        <f t="shared" si="25"/>
        <v>0.6483041028779013</v>
      </c>
      <c r="G353" s="17" t="str">
        <f>IF([2]AGPeg!F338&lt;&gt;"",[2]AGPeg!F338,"")</f>
        <v xml:space="preserve">FMT </v>
      </c>
      <c r="H353" s="17" t="str">
        <f>IF([2]AGPeg!G338&lt;&gt;"",[2]AGPeg!G338,"")</f>
        <v>SMM-SP</v>
      </c>
      <c r="I353" s="17" t="str">
        <f>IF([2]AGPeg!H338&lt;&gt;"",[2]AGPeg!H338,"")</f>
        <v>SC16+Echelle9000+Atik460EX</v>
      </c>
      <c r="J353" s="17">
        <f>IF([2]AGPeg!I338&lt;&gt;"",[2]AGPeg!I338,"")</f>
        <v>9000</v>
      </c>
      <c r="N353" s="2">
        <f t="shared" si="26"/>
        <v>9141.340299999807</v>
      </c>
      <c r="O353">
        <f t="shared" si="23"/>
        <v>8</v>
      </c>
    </row>
    <row r="354" spans="1:15" x14ac:dyDescent="0.25">
      <c r="A354">
        <f t="shared" si="24"/>
        <v>33.648674954072241</v>
      </c>
      <c r="B354" s="17">
        <f>IF([2]AGPeg!B339&lt;&gt;"",[2]AGPeg!B339,"")</f>
        <v>327</v>
      </c>
      <c r="C354" s="18">
        <f>IF([2]AGPeg!C339&lt;&gt;"",[2]AGPeg!C339,"")</f>
        <v>44123</v>
      </c>
      <c r="D354" s="19">
        <f>IF([2]AGPeg!D339&lt;&gt;"",[2]AGPeg!D339,"")</f>
        <v>0.14097222222222222</v>
      </c>
      <c r="E354" s="17">
        <f>IF([2]AGPeg!E339&lt;&gt;"",[2]AGPeg!E339,"")</f>
        <v>2459141.6431</v>
      </c>
      <c r="F354" s="20">
        <f t="shared" si="25"/>
        <v>0.64867495407224141</v>
      </c>
      <c r="G354" s="17" t="str">
        <f>IF([2]AGPeg!F339&lt;&gt;"",[2]AGPeg!F339,"")</f>
        <v>FAS</v>
      </c>
      <c r="H354" s="17" t="str">
        <f>IF([2]AGPeg!G339&lt;&gt;"",[2]AGPeg!G339,"")</f>
        <v>DCO-US</v>
      </c>
      <c r="I354" s="17" t="str">
        <f>IF([2]AGPeg!H339&lt;&gt;"",[2]AGPeg!H339,"")</f>
        <v>CDK14 LISA Atik414ex</v>
      </c>
      <c r="J354" s="17">
        <f>IF([2]AGPeg!I339&lt;&gt;"",[2]AGPeg!I339,"")</f>
        <v>1059</v>
      </c>
      <c r="N354" s="2">
        <f t="shared" si="26"/>
        <v>9141.6430999999866</v>
      </c>
      <c r="O354">
        <f t="shared" si="23"/>
        <v>8</v>
      </c>
    </row>
    <row r="355" spans="1:15" x14ac:dyDescent="0.25">
      <c r="A355">
        <f t="shared" si="24"/>
        <v>33.653119167177245</v>
      </c>
      <c r="B355" s="17">
        <f>IF([2]AGPeg!B340&lt;&gt;"",[2]AGPeg!B340,"")</f>
        <v>328</v>
      </c>
      <c r="C355" s="18">
        <f>IF([2]AGPeg!C340&lt;&gt;"",[2]AGPeg!C340,"")</f>
        <v>44126</v>
      </c>
      <c r="D355" s="19">
        <f>IF([2]AGPeg!D340&lt;&gt;"",[2]AGPeg!D340,"")</f>
        <v>0.72638888888888886</v>
      </c>
      <c r="E355" s="17">
        <f>IF([2]AGPeg!E340&lt;&gt;"",[2]AGPeg!E340,"")</f>
        <v>2459145.2718000002</v>
      </c>
      <c r="F355" s="20">
        <f t="shared" si="25"/>
        <v>0.65311916717724472</v>
      </c>
      <c r="G355" s="17" t="str">
        <f>IF([2]AGPeg!F340&lt;&gt;"",[2]AGPeg!F340,"")</f>
        <v>SOL</v>
      </c>
      <c r="H355" s="17" t="str">
        <f>IF([2]AGPeg!G340&lt;&gt;"",[2]AGPeg!G340,"")</f>
        <v>AQL-IT</v>
      </c>
      <c r="I355" s="17" t="str">
        <f>IF([2]AGPeg!H340&lt;&gt;"",[2]AGPeg!H340,"")</f>
        <v>Slit_spec_ C9.25 _ST-8300M</v>
      </c>
      <c r="J355" s="17">
        <f>IF([2]AGPeg!I340&lt;&gt;"",[2]AGPeg!I340,"")</f>
        <v>8189</v>
      </c>
      <c r="N355" s="2">
        <f t="shared" si="26"/>
        <v>9145.2718000002205</v>
      </c>
      <c r="O355">
        <f t="shared" si="23"/>
        <v>8</v>
      </c>
    </row>
    <row r="356" spans="1:15" x14ac:dyDescent="0.25">
      <c r="A356">
        <f t="shared" ref="A356:A368" si="27">(E356-$A$2)/$A$3</f>
        <v>33.65320078077152</v>
      </c>
      <c r="B356" s="17">
        <f>IF([2]AGPeg!B341&lt;&gt;"",[2]AGPeg!B341,"")</f>
        <v>329</v>
      </c>
      <c r="C356" s="18">
        <f>IF([2]AGPeg!C341&lt;&gt;"",[2]AGPeg!C341,"")</f>
        <v>44126</v>
      </c>
      <c r="D356" s="19">
        <f>IF([2]AGPeg!D341&lt;&gt;"",[2]AGPeg!D341,"")</f>
        <v>0.78611111111111109</v>
      </c>
      <c r="E356" s="17">
        <f>IF([2]AGPeg!E341&lt;&gt;"",[2]AGPeg!E341,"")</f>
        <v>2459145.3384374999</v>
      </c>
      <c r="F356" s="20">
        <f t="shared" ref="F356:F368" si="28">(E356-$A$2)/$A$3-INT((E356-$A$2)/$A$3)</f>
        <v>0.65320078077152033</v>
      </c>
      <c r="G356" s="17" t="str">
        <f>IF([2]AGPeg!F341&lt;&gt;"",[2]AGPeg!F341,"")</f>
        <v>JMA</v>
      </c>
      <c r="H356" s="17" t="str">
        <f>IF([2]AGPeg!G341&lt;&gt;"",[2]AGPeg!G341,"")</f>
        <v>HOR-UK</v>
      </c>
      <c r="I356" s="17" t="str">
        <f>IF([2]AGPeg!H341&lt;&gt;"",[2]AGPeg!H341,"")</f>
        <v>C14 + Lhires III + Atik 460 EX</v>
      </c>
      <c r="J356" s="17">
        <f>IF([2]AGPeg!I341&lt;&gt;"",[2]AGPeg!I341,"")</f>
        <v>14497</v>
      </c>
      <c r="N356" s="2">
        <f t="shared" ref="N356:N368" si="29">+E356-2450000</f>
        <v>9145.3384374999441</v>
      </c>
      <c r="O356">
        <f t="shared" si="23"/>
        <v>8</v>
      </c>
    </row>
    <row r="357" spans="1:15" x14ac:dyDescent="0.25">
      <c r="A357">
        <f t="shared" si="27"/>
        <v>33.654447642376276</v>
      </c>
      <c r="B357" s="17">
        <f>IF([2]AGPeg!B342&lt;&gt;"",[2]AGPeg!B342,"")</f>
        <v>330</v>
      </c>
      <c r="C357" s="18">
        <f>IF([2]AGPeg!C342&lt;&gt;"",[2]AGPeg!C342,"")</f>
        <v>44127</v>
      </c>
      <c r="D357" s="19">
        <f>IF([2]AGPeg!D342&lt;&gt;"",[2]AGPeg!D342,"")</f>
        <v>0.81597222222222221</v>
      </c>
      <c r="E357" s="17">
        <f>IF([2]AGPeg!E342&lt;&gt;"",[2]AGPeg!E342,"")</f>
        <v>2459146.3565000002</v>
      </c>
      <c r="F357" s="20">
        <f t="shared" si="28"/>
        <v>0.65444764237627595</v>
      </c>
      <c r="G357" s="17" t="str">
        <f>IF([2]AGPeg!F342&lt;&gt;"",[2]AGPeg!F342,"")</f>
        <v xml:space="preserve">FMT </v>
      </c>
      <c r="H357" s="17" t="str">
        <f>IF([2]AGPeg!G342&lt;&gt;"",[2]AGPeg!G342,"")</f>
        <v>SMM-SP</v>
      </c>
      <c r="I357" s="17" t="str">
        <f>IF([2]AGPeg!H342&lt;&gt;"",[2]AGPeg!H342,"")</f>
        <v>SC16+Echelle9000+Atik460EX</v>
      </c>
      <c r="J357" s="17">
        <f>IF([2]AGPeg!I342&lt;&gt;"",[2]AGPeg!I342,"")</f>
        <v>9000</v>
      </c>
      <c r="N357" s="2">
        <f t="shared" si="29"/>
        <v>9146.3565000002272</v>
      </c>
      <c r="O357">
        <f t="shared" ref="O357:O371" si="30">+O$22</f>
        <v>8</v>
      </c>
    </row>
    <row r="358" spans="1:15" x14ac:dyDescent="0.25">
      <c r="A358">
        <f t="shared" si="27"/>
        <v>33.656983098591773</v>
      </c>
      <c r="B358" s="17">
        <f>IF([2]AGPeg!B343&lt;&gt;"",[2]AGPeg!B343,"")</f>
        <v>331</v>
      </c>
      <c r="C358" s="18">
        <f>IF([2]AGPeg!C343&lt;&gt;"",[2]AGPeg!C343,"")</f>
        <v>44129</v>
      </c>
      <c r="D358" s="19">
        <f>IF([2]AGPeg!D343&lt;&gt;"",[2]AGPeg!D343,"")</f>
        <v>0.91388888888888886</v>
      </c>
      <c r="E358" s="17">
        <f>IF([2]AGPeg!E343&lt;&gt;"",[2]AGPeg!E343,"")</f>
        <v>2459148.4267000002</v>
      </c>
      <c r="F358" s="20">
        <f t="shared" si="28"/>
        <v>0.65698309859177328</v>
      </c>
      <c r="G358" s="17" t="str">
        <f>IF([2]AGPeg!F343&lt;&gt;"",[2]AGPeg!F343,"")</f>
        <v>DBO</v>
      </c>
      <c r="H358" s="17" t="str">
        <f>IF([2]AGPeg!G343&lt;&gt;"",[2]AGPeg!G343,"")</f>
        <v>WCO-UK</v>
      </c>
      <c r="I358" s="17" t="str">
        <f>IF([2]AGPeg!H343&lt;&gt;"",[2]AGPeg!H343,"")</f>
        <v>C11 + LISA + SXVR-H694</v>
      </c>
      <c r="J358" s="17">
        <f>IF([2]AGPeg!I343&lt;&gt;"",[2]AGPeg!I343,"")</f>
        <v>1070</v>
      </c>
      <c r="N358" s="2">
        <f t="shared" si="29"/>
        <v>9148.4267000001855</v>
      </c>
      <c r="O358">
        <f t="shared" si="30"/>
        <v>8</v>
      </c>
    </row>
    <row r="359" spans="1:15" x14ac:dyDescent="0.25">
      <c r="A359">
        <f t="shared" si="27"/>
        <v>33.660158603796617</v>
      </c>
      <c r="B359" s="17">
        <f>IF([2]AGPeg!B344&lt;&gt;"",[2]AGPeg!B344,"")</f>
        <v>332</v>
      </c>
      <c r="C359" s="18">
        <f>IF([2]AGPeg!C344&lt;&gt;"",[2]AGPeg!C344,"")</f>
        <v>44132</v>
      </c>
      <c r="D359" s="19">
        <f>IF([2]AGPeg!D344&lt;&gt;"",[2]AGPeg!D344,"")</f>
        <v>0.48402777777777778</v>
      </c>
      <c r="E359" s="17">
        <f>IF([2]AGPeg!E344&lt;&gt;"",[2]AGPeg!E344,"")</f>
        <v>2459151.0194999999</v>
      </c>
      <c r="F359" s="20">
        <f t="shared" si="28"/>
        <v>0.66015860379661717</v>
      </c>
      <c r="G359" s="17" t="str">
        <f>IF([2]AGPeg!F344&lt;&gt;"",[2]AGPeg!F344,"")</f>
        <v>CEL</v>
      </c>
      <c r="H359" s="17" t="str">
        <f>IF([2]AGPeg!G344&lt;&gt;"",[2]AGPeg!G344,"")</f>
        <v>MAR-AU</v>
      </c>
      <c r="I359" s="17" t="str">
        <f>IF([2]AGPeg!H344&lt;&gt;"",[2]AGPeg!H344,"")</f>
        <v>CDK1000-Alpy600-Atik460EX</v>
      </c>
      <c r="J359" s="17">
        <f>IF([2]AGPeg!I344&lt;&gt;"",[2]AGPeg!I344,"")</f>
        <v>10000</v>
      </c>
      <c r="N359" s="2">
        <f t="shared" si="29"/>
        <v>9151.0194999999367</v>
      </c>
      <c r="O359">
        <f t="shared" si="30"/>
        <v>8</v>
      </c>
    </row>
    <row r="360" spans="1:15" x14ac:dyDescent="0.25">
      <c r="A360">
        <f t="shared" si="27"/>
        <v>33.660581261481902</v>
      </c>
      <c r="B360" s="17">
        <f>IF([2]AGPeg!B345&lt;&gt;"",[2]AGPeg!B345,"")</f>
        <v>333</v>
      </c>
      <c r="C360" s="18">
        <f>IF([2]AGPeg!C345&lt;&gt;"",[2]AGPeg!C345,"")</f>
        <v>44132</v>
      </c>
      <c r="D360" s="19">
        <f>IF([2]AGPeg!D345&lt;&gt;"",[2]AGPeg!D345,"")</f>
        <v>0.82430555555555562</v>
      </c>
      <c r="E360" s="17">
        <f>IF([2]AGPeg!E345&lt;&gt;"",[2]AGPeg!E345,"")</f>
        <v>2459151.3646</v>
      </c>
      <c r="F360" s="20">
        <f t="shared" si="28"/>
        <v>0.66058126148190155</v>
      </c>
      <c r="G360" s="17" t="str">
        <f>IF([2]AGPeg!F345&lt;&gt;"",[2]AGPeg!F345,"")</f>
        <v>JGF</v>
      </c>
      <c r="H360" s="17" t="str">
        <f>IF([2]AGPeg!G345&lt;&gt;"",[2]AGPeg!G345,"")</f>
        <v>SMM-SP</v>
      </c>
      <c r="I360" s="17" t="str">
        <f>IF([2]AGPeg!H345&lt;&gt;"",[2]AGPeg!H345,"")</f>
        <v>16 REMOT LINX 460EX</v>
      </c>
      <c r="J360" s="17">
        <f>IF([2]AGPeg!I345&lt;&gt;"",[2]AGPeg!I345,"")</f>
        <v>9500</v>
      </c>
      <c r="N360" s="2">
        <f t="shared" si="29"/>
        <v>9151.3645999999717</v>
      </c>
      <c r="O360">
        <f t="shared" si="30"/>
        <v>8</v>
      </c>
    </row>
    <row r="361" spans="1:15" x14ac:dyDescent="0.25">
      <c r="A361">
        <f t="shared" si="27"/>
        <v>33.664218126148306</v>
      </c>
      <c r="B361" s="17">
        <f>IF([2]AGPeg!B346&lt;&gt;"",[2]AGPeg!B346,"")</f>
        <v>334</v>
      </c>
      <c r="C361" s="18">
        <f>IF([2]AGPeg!C346&lt;&gt;"",[2]AGPeg!C346,"")</f>
        <v>44135</v>
      </c>
      <c r="D361" s="19">
        <f>IF([2]AGPeg!D346&lt;&gt;"",[2]AGPeg!D346,"")</f>
        <v>0.77847222222222223</v>
      </c>
      <c r="E361" s="17">
        <f>IF([2]AGPeg!E346&lt;&gt;"",[2]AGPeg!E346,"")</f>
        <v>2459154.3341000001</v>
      </c>
      <c r="F361" s="20">
        <f t="shared" si="28"/>
        <v>0.664218126148306</v>
      </c>
      <c r="G361" s="17" t="str">
        <f>IF([2]AGPeg!F346&lt;&gt;"",[2]AGPeg!F346,"")</f>
        <v xml:space="preserve">FMT </v>
      </c>
      <c r="H361" s="17" t="str">
        <f>IF([2]AGPeg!G346&lt;&gt;"",[2]AGPeg!G346,"")</f>
        <v>SMM-SP</v>
      </c>
      <c r="I361" s="17" t="str">
        <f>IF([2]AGPeg!H346&lt;&gt;"",[2]AGPeg!H346,"")</f>
        <v>SC16+Echelle9000+Atik460EX</v>
      </c>
      <c r="J361" s="17">
        <f>IF([2]AGPeg!I346&lt;&gt;"",[2]AGPeg!I346,"")</f>
        <v>9000</v>
      </c>
      <c r="N361" s="2">
        <f t="shared" si="29"/>
        <v>9154.3341000000946</v>
      </c>
      <c r="O361">
        <f t="shared" si="30"/>
        <v>8</v>
      </c>
    </row>
    <row r="362" spans="1:15" x14ac:dyDescent="0.25">
      <c r="A362">
        <f t="shared" si="27"/>
        <v>33.670298836497388</v>
      </c>
      <c r="B362" s="17">
        <f>IF([2]AGPeg!B347&lt;&gt;"",[2]AGPeg!B347,"")</f>
        <v>335</v>
      </c>
      <c r="C362" s="18">
        <f>IF([2]AGPeg!C347&lt;&gt;"",[2]AGPeg!C347,"")</f>
        <v>44140</v>
      </c>
      <c r="D362" s="19">
        <f>IF([2]AGPeg!D347&lt;&gt;"",[2]AGPeg!D347,"")</f>
        <v>0.79513888888888884</v>
      </c>
      <c r="E362" s="17">
        <f>IF([2]AGPeg!E347&lt;&gt;"",[2]AGPeg!E347,"")</f>
        <v>2459159.2990000001</v>
      </c>
      <c r="F362" s="20">
        <f t="shared" si="28"/>
        <v>0.67029883649738764</v>
      </c>
      <c r="G362" s="17" t="str">
        <f>IF([2]AGPeg!F347&lt;&gt;"",[2]AGPeg!F347,"")</f>
        <v xml:space="preserve">FMT </v>
      </c>
      <c r="H362" s="17" t="str">
        <f>IF([2]AGPeg!G347&lt;&gt;"",[2]AGPeg!G347,"")</f>
        <v>ROU-FR</v>
      </c>
      <c r="I362" s="17" t="str">
        <f>IF([2]AGPeg!H347&lt;&gt;"",[2]AGPeg!H347,"")</f>
        <v>SC14+eShel+460EX_b2</v>
      </c>
      <c r="J362" s="17">
        <f>IF([2]AGPeg!I347&lt;&gt;"",[2]AGPeg!I347,"")</f>
        <v>11000</v>
      </c>
      <c r="N362" s="2">
        <f t="shared" si="29"/>
        <v>9159.2990000001155</v>
      </c>
      <c r="O362">
        <f t="shared" si="30"/>
        <v>8</v>
      </c>
    </row>
    <row r="363" spans="1:15" x14ac:dyDescent="0.25">
      <c r="A363">
        <f t="shared" si="27"/>
        <v>33.67519963257795</v>
      </c>
      <c r="B363" s="17">
        <f>IF([2]AGPeg!B348&lt;&gt;"",[2]AGPeg!B348,"")</f>
        <v>336</v>
      </c>
      <c r="C363" s="18">
        <f>IF([2]AGPeg!C348&lt;&gt;"",[2]AGPeg!C348,"")</f>
        <v>44144</v>
      </c>
      <c r="D363" s="19">
        <f>IF([2]AGPeg!D348&lt;&gt;"",[2]AGPeg!D348,"")</f>
        <v>0.76527777777777783</v>
      </c>
      <c r="E363" s="17">
        <f>IF([2]AGPeg!E348&lt;&gt;"",[2]AGPeg!E348,"")</f>
        <v>2459163.3004999999</v>
      </c>
      <c r="F363" s="20">
        <f t="shared" si="28"/>
        <v>0.67519963257795013</v>
      </c>
      <c r="G363" s="17" t="str">
        <f>IF([2]AGPeg!F348&lt;&gt;"",[2]AGPeg!F348,"")</f>
        <v>JGF</v>
      </c>
      <c r="H363" s="17" t="str">
        <f>IF([2]AGPeg!G348&lt;&gt;"",[2]AGPeg!G348,"")</f>
        <v>PIE-SP</v>
      </c>
      <c r="I363" s="17" t="str">
        <f>IF([2]AGPeg!H348&lt;&gt;"",[2]AGPeg!H348,"")</f>
        <v>NOU_T</v>
      </c>
      <c r="J363" s="17">
        <f>IF([2]AGPeg!I348&lt;&gt;"",[2]AGPeg!I348,"")</f>
        <v>10000</v>
      </c>
      <c r="N363" s="2">
        <f t="shared" si="29"/>
        <v>9163.3004999998957</v>
      </c>
      <c r="O363">
        <f t="shared" si="30"/>
        <v>8</v>
      </c>
    </row>
    <row r="364" spans="1:15" x14ac:dyDescent="0.25">
      <c r="A364">
        <f t="shared" si="27"/>
        <v>33.689866870789992</v>
      </c>
      <c r="B364" s="17">
        <f>IF([2]AGPeg!B349&lt;&gt;"",[2]AGPeg!B349,"")</f>
        <v>337</v>
      </c>
      <c r="C364" s="18">
        <f>IF([2]AGPeg!C349&lt;&gt;"",[2]AGPeg!C349,"")</f>
        <v>44156</v>
      </c>
      <c r="D364" s="19">
        <f>IF([2]AGPeg!D349&lt;&gt;"",[2]AGPeg!D349,"")</f>
        <v>0.77569444444444446</v>
      </c>
      <c r="E364" s="17">
        <f>IF([2]AGPeg!E349&lt;&gt;"",[2]AGPeg!E349,"")</f>
        <v>2459175.2763</v>
      </c>
      <c r="F364" s="20">
        <f t="shared" si="28"/>
        <v>0.68986687078999154</v>
      </c>
      <c r="G364" s="17" t="str">
        <f>IF([2]AGPeg!F349&lt;&gt;"",[2]AGPeg!F349,"")</f>
        <v xml:space="preserve">FMT </v>
      </c>
      <c r="H364" s="17" t="str">
        <f>IF([2]AGPeg!G349&lt;&gt;"",[2]AGPeg!G349,"")</f>
        <v>SMM-SP</v>
      </c>
      <c r="I364" s="17" t="str">
        <f>IF([2]AGPeg!H349&lt;&gt;"",[2]AGPeg!H349,"")</f>
        <v>SC16+Echelle9000+Atik460EX</v>
      </c>
      <c r="J364" s="17">
        <f>IF([2]AGPeg!I349&lt;&gt;"",[2]AGPeg!I349,"")</f>
        <v>9000</v>
      </c>
      <c r="N364" s="2">
        <f t="shared" si="29"/>
        <v>9175.2763000000268</v>
      </c>
      <c r="O364">
        <f t="shared" si="30"/>
        <v>8</v>
      </c>
    </row>
    <row r="365" spans="1:15" x14ac:dyDescent="0.25">
      <c r="A365">
        <f t="shared" si="27"/>
        <v>33.685061971830926</v>
      </c>
      <c r="B365" s="17">
        <f>IF([2]AGPeg!B350&lt;&gt;"",[2]AGPeg!B350,"")</f>
        <v>338</v>
      </c>
      <c r="C365" s="18">
        <f>IF([2]AGPeg!C350&lt;&gt;"",[2]AGPeg!C350,"")</f>
        <v>44152</v>
      </c>
      <c r="D365" s="19">
        <f>IF([2]AGPeg!D350&lt;&gt;"",[2]AGPeg!D350,"")</f>
        <v>0.82638888888888884</v>
      </c>
      <c r="E365" s="17">
        <f>IF([2]AGPeg!E350&lt;&gt;"",[2]AGPeg!E350,"")</f>
        <v>2459171.3530999999</v>
      </c>
      <c r="F365" s="20">
        <f t="shared" si="28"/>
        <v>0.6850619718309261</v>
      </c>
      <c r="G365" s="17" t="str">
        <f>IF([2]AGPeg!F350&lt;&gt;"",[2]AGPeg!F350,"")</f>
        <v>JGF</v>
      </c>
      <c r="H365" s="17" t="str">
        <f>IF([2]AGPeg!G350&lt;&gt;"",[2]AGPeg!G350,"")</f>
        <v>SMM-SP</v>
      </c>
      <c r="I365" s="17" t="str">
        <f>IF([2]AGPeg!H350&lt;&gt;"",[2]AGPeg!H350,"")</f>
        <v>16 REMOT LINX 460EX</v>
      </c>
      <c r="J365" s="17">
        <f>IF([2]AGPeg!I350&lt;&gt;"",[2]AGPeg!I350,"")</f>
        <v>9500</v>
      </c>
      <c r="N365" s="2">
        <f t="shared" si="29"/>
        <v>9171.3530999999493</v>
      </c>
      <c r="O365">
        <f t="shared" si="30"/>
        <v>8</v>
      </c>
    </row>
    <row r="366" spans="1:15" x14ac:dyDescent="0.25">
      <c r="A366">
        <f t="shared" si="27"/>
        <v>33.689949779078908</v>
      </c>
      <c r="B366" s="17">
        <f>IF([2]AGPeg!B351&lt;&gt;"",[2]AGPeg!B351,"")</f>
        <v>339</v>
      </c>
      <c r="C366" s="18">
        <f>IF([2]AGPeg!C351&lt;&gt;"",[2]AGPeg!C351,"")</f>
        <v>44156</v>
      </c>
      <c r="D366" s="19">
        <f>IF([2]AGPeg!D351&lt;&gt;"",[2]AGPeg!D351,"")</f>
        <v>0.84027777777777779</v>
      </c>
      <c r="E366" s="17">
        <f>IF([2]AGPeg!E351&lt;&gt;"",[2]AGPeg!E351,"")</f>
        <v>2459175.3439946179</v>
      </c>
      <c r="F366" s="20">
        <f t="shared" si="28"/>
        <v>0.68994977907890842</v>
      </c>
      <c r="G366" s="17" t="str">
        <f>IF([2]AGPeg!F351&lt;&gt;"",[2]AGPeg!F351,"")</f>
        <v>FBO</v>
      </c>
      <c r="H366" s="17" t="str">
        <f>IF([2]AGPeg!G351&lt;&gt;"",[2]AGPeg!G351,"")</f>
        <v>SJI-FR</v>
      </c>
      <c r="I366" s="17" t="str">
        <f>IF([2]AGPeg!H351&lt;&gt;"",[2]AGPeg!H351,"")</f>
        <v>C8_LISA_ATIK414</v>
      </c>
      <c r="J366" s="17">
        <f>IF([2]AGPeg!I351&lt;&gt;"",[2]AGPeg!I351,"")</f>
        <v>1000</v>
      </c>
      <c r="N366" s="2">
        <f t="shared" si="29"/>
        <v>9175.3439946179278</v>
      </c>
      <c r="O366">
        <f t="shared" si="30"/>
        <v>8</v>
      </c>
    </row>
    <row r="367" spans="1:15" x14ac:dyDescent="0.25">
      <c r="A367">
        <f t="shared" si="27"/>
        <v>33.715660012247291</v>
      </c>
      <c r="B367" s="17">
        <f>IF([2]AGPeg!B352&lt;&gt;"",[2]AGPeg!B352,"")</f>
        <v>340</v>
      </c>
      <c r="C367" s="18">
        <f>IF([2]AGPeg!C352&lt;&gt;"",[2]AGPeg!C352,"")</f>
        <v>44177</v>
      </c>
      <c r="D367" s="19">
        <f>IF([2]AGPeg!D352&lt;&gt;"",[2]AGPeg!D352,"")</f>
        <v>0.81874999999999998</v>
      </c>
      <c r="E367" s="17">
        <f>IF([2]AGPeg!E352&lt;&gt;"",[2]AGPeg!E352,"")</f>
        <v>2459196.3363999999</v>
      </c>
      <c r="F367" s="20">
        <f t="shared" si="28"/>
        <v>0.71566001224729092</v>
      </c>
      <c r="G367" s="17" t="str">
        <f>IF([2]AGPeg!F352&lt;&gt;"",[2]AGPeg!F352,"")</f>
        <v>DBO</v>
      </c>
      <c r="H367" s="17" t="str">
        <f>IF([2]AGPeg!G352&lt;&gt;"",[2]AGPeg!G352,"")</f>
        <v>WCO-UK</v>
      </c>
      <c r="I367" s="17" t="str">
        <f>IF([2]AGPeg!H352&lt;&gt;"",[2]AGPeg!H352,"")</f>
        <v>C11 + LISA + SXVR-H694</v>
      </c>
      <c r="J367" s="17">
        <f>IF([2]AGPeg!I352&lt;&gt;"",[2]AGPeg!I352,"")</f>
        <v>1021</v>
      </c>
      <c r="N367" s="2">
        <f t="shared" si="29"/>
        <v>9196.3363999999128</v>
      </c>
      <c r="O367">
        <f t="shared" si="30"/>
        <v>8</v>
      </c>
    </row>
    <row r="368" spans="1:15" x14ac:dyDescent="0.25">
      <c r="A368">
        <f t="shared" si="27"/>
        <v>33.729493202694648</v>
      </c>
      <c r="B368" s="17">
        <f>IF([2]AGPeg!B353&lt;&gt;"",[2]AGPeg!B353,"")</f>
        <v>341</v>
      </c>
      <c r="C368" s="18">
        <f>IF([2]AGPeg!C353&lt;&gt;"",[2]AGPeg!C353,"")</f>
        <v>44189</v>
      </c>
      <c r="D368" s="19">
        <f>IF([2]AGPeg!D353&lt;&gt;"",[2]AGPeg!D353,"")</f>
        <v>0.12013888888888889</v>
      </c>
      <c r="E368" s="17">
        <f>IF([2]AGPeg!E353&lt;&gt;"",[2]AGPeg!E353,"")</f>
        <v>2459207.6312000002</v>
      </c>
      <c r="F368" s="20">
        <f t="shared" si="28"/>
        <v>0.72949320269464835</v>
      </c>
      <c r="G368" s="17" t="str">
        <f>IF([2]AGPeg!F353&lt;&gt;"",[2]AGPeg!F353,"")</f>
        <v>CUR</v>
      </c>
      <c r="H368" s="17" t="str">
        <f>IF([2]AGPeg!G353&lt;&gt;"",[2]AGPeg!G353,"")</f>
        <v>YGU-US</v>
      </c>
      <c r="I368" s="17" t="str">
        <f>IF([2]AGPeg!H353&lt;&gt;"",[2]AGPeg!H353,"")</f>
        <v>YG ALPY</v>
      </c>
      <c r="J368" s="17">
        <f>IF([2]AGPeg!I353&lt;&gt;"",[2]AGPeg!I353,"")</f>
        <v>566</v>
      </c>
      <c r="N368" s="2">
        <f t="shared" si="29"/>
        <v>9207.6312000001781</v>
      </c>
      <c r="O368">
        <f t="shared" si="30"/>
        <v>8</v>
      </c>
    </row>
    <row r="369" spans="1:15" x14ac:dyDescent="0.25">
      <c r="A369">
        <f t="shared" ref="A369:A371" si="31">(E369-$A$2)/$A$3</f>
        <v>33.735609430495813</v>
      </c>
      <c r="B369" s="17">
        <f>IF([2]AGPeg!B354&lt;&gt;"",[2]AGPeg!B354,"")</f>
        <v>343</v>
      </c>
      <c r="C369" s="18">
        <f>IF([2]AGPeg!C354&lt;&gt;"",[2]AGPeg!C354,"")</f>
        <v>44194</v>
      </c>
      <c r="D369" s="19">
        <f>IF([2]AGPeg!D354&lt;&gt;"",[2]AGPeg!D354,"")</f>
        <v>0.11597222222222221</v>
      </c>
      <c r="E369" s="17">
        <f>IF([2]AGPeg!E354&lt;&gt;"",[2]AGPeg!E354,"")</f>
        <v>2459212.6250999998</v>
      </c>
      <c r="F369" s="20">
        <f t="shared" ref="F369:F371" si="32">(E369-$A$2)/$A$3-INT((E369-$A$2)/$A$3)</f>
        <v>0.7356094304958134</v>
      </c>
      <c r="G369" s="17" t="str">
        <f>IF([2]AGPeg!F354&lt;&gt;"",[2]AGPeg!F354,"")</f>
        <v>CUR</v>
      </c>
      <c r="H369" s="17" t="str">
        <f>IF([2]AGPeg!G354&lt;&gt;"",[2]AGPeg!G354,"")</f>
        <v>YGU-US</v>
      </c>
      <c r="I369" s="17" t="str">
        <f>IF([2]AGPeg!H354&lt;&gt;"",[2]AGPeg!H354,"")</f>
        <v>YG ALPY</v>
      </c>
      <c r="J369" s="17">
        <f>IF([2]AGPeg!I354&lt;&gt;"",[2]AGPeg!I354,"")</f>
        <v>564</v>
      </c>
      <c r="N369" s="2">
        <f t="shared" ref="N369:N371" si="33">+E369-2450000</f>
        <v>9212.6250999998301</v>
      </c>
      <c r="O369">
        <f t="shared" si="30"/>
        <v>8</v>
      </c>
    </row>
    <row r="370" spans="1:15" x14ac:dyDescent="0.25">
      <c r="B370" s="17"/>
      <c r="C370" s="18"/>
      <c r="D370" s="19"/>
      <c r="E370" s="17"/>
      <c r="F370" s="20"/>
      <c r="G370" s="17"/>
      <c r="H370" s="17"/>
      <c r="I370" s="17"/>
      <c r="J370" s="17"/>
      <c r="N370" s="2"/>
    </row>
    <row r="371" spans="1:15" x14ac:dyDescent="0.25">
      <c r="B371" s="17"/>
      <c r="C371" s="18"/>
      <c r="D371" s="19"/>
      <c r="E371" s="17"/>
      <c r="F371" s="20"/>
      <c r="G371" s="17"/>
      <c r="H371" s="17"/>
      <c r="I371" s="17"/>
      <c r="J371" s="17"/>
      <c r="N371" s="2"/>
    </row>
  </sheetData>
  <sortState xmlns:xlrd2="http://schemas.microsoft.com/office/spreadsheetml/2017/richdata2" ref="B274:L275">
    <sortCondition ref="E274:E275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M24:N28"/>
  <sheetViews>
    <sheetView workbookViewId="0">
      <selection activeCell="E42" sqref="E42"/>
    </sheetView>
  </sheetViews>
  <sheetFormatPr baseColWidth="10" defaultRowHeight="15" x14ac:dyDescent="0.25"/>
  <sheetData>
    <row r="24" spans="13:14" x14ac:dyDescent="0.25">
      <c r="M24">
        <v>7180</v>
      </c>
      <c r="N24">
        <v>8.39</v>
      </c>
    </row>
    <row r="25" spans="13:14" x14ac:dyDescent="0.25">
      <c r="M25">
        <v>7204</v>
      </c>
      <c r="N25">
        <v>7</v>
      </c>
    </row>
    <row r="26" spans="13:14" x14ac:dyDescent="0.25">
      <c r="M26">
        <v>7298</v>
      </c>
      <c r="N26">
        <v>8</v>
      </c>
    </row>
    <row r="27" spans="13:14" x14ac:dyDescent="0.25">
      <c r="M27">
        <v>7309</v>
      </c>
      <c r="N27">
        <v>7.5</v>
      </c>
    </row>
    <row r="28" spans="13:14" x14ac:dyDescent="0.25">
      <c r="M28">
        <v>7344</v>
      </c>
      <c r="N28">
        <v>7.55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EA277-8691-4C57-97FE-3818336238A3}">
  <dimension ref="A1"/>
  <sheetViews>
    <sheetView tabSelected="1" workbookViewId="0"/>
  </sheetViews>
  <sheetFormatPr baseColWidth="10" defaultRowHeight="15" x14ac:dyDescent="0.25"/>
  <sheetData/>
  <pageMargins left="0.7" right="0.7" top="0.75" bottom="0.75" header="0.3" footer="0.3"/>
  <customProperties>
    <customPr name="SSC_SHEET_GUID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5"/>
  <dimension ref="C4:L7"/>
  <sheetViews>
    <sheetView workbookViewId="0">
      <selection activeCell="E2" sqref="E2"/>
    </sheetView>
  </sheetViews>
  <sheetFormatPr baseColWidth="10" defaultRowHeight="15" x14ac:dyDescent="0.25"/>
  <sheetData>
    <row r="4" spans="3:12" x14ac:dyDescent="0.25">
      <c r="C4" t="s">
        <v>1589</v>
      </c>
      <c r="D4">
        <f>+COUNTA(V!A:A)</f>
        <v>583</v>
      </c>
      <c r="L4">
        <v>2431668</v>
      </c>
    </row>
    <row r="5" spans="3:12" x14ac:dyDescent="0.25">
      <c r="C5" t="s">
        <v>1590</v>
      </c>
      <c r="D5">
        <f>+COUNTA(Vis!A:A)</f>
        <v>1160</v>
      </c>
      <c r="L5">
        <v>816.5</v>
      </c>
    </row>
    <row r="6" spans="3:12" x14ac:dyDescent="0.25">
      <c r="C6" t="s">
        <v>1591</v>
      </c>
    </row>
    <row r="7" spans="3:12" x14ac:dyDescent="0.25">
      <c r="C7" t="s">
        <v>1592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/>
  <dimension ref="A1:AB971"/>
  <sheetViews>
    <sheetView topLeftCell="A488" workbookViewId="0">
      <selection activeCell="O501" sqref="O501"/>
    </sheetView>
  </sheetViews>
  <sheetFormatPr baseColWidth="10" defaultRowHeight="15" x14ac:dyDescent="0.25"/>
  <cols>
    <col min="1" max="1" width="13.5703125" bestFit="1" customWidth="1"/>
    <col min="2" max="2" width="12" bestFit="1" customWidth="1"/>
    <col min="3" max="3" width="9.140625" customWidth="1"/>
    <col min="4" max="4" width="6.5703125" bestFit="1" customWidth="1"/>
    <col min="5" max="5" width="10" bestFit="1" customWidth="1"/>
    <col min="6" max="6" width="6.140625" bestFit="1" customWidth="1"/>
    <col min="7" max="7" width="11.42578125" customWidth="1"/>
  </cols>
  <sheetData>
    <row r="1" spans="1:27" ht="18" customHeight="1" x14ac:dyDescent="0.25">
      <c r="A1" s="1">
        <v>2452174.4</v>
      </c>
      <c r="B1" s="1" t="s">
        <v>1500</v>
      </c>
      <c r="C1" s="1">
        <v>8.6199999999999992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x14ac:dyDescent="0.25">
      <c r="A2" s="1">
        <v>2452252.3542999998</v>
      </c>
      <c r="B2" s="1" t="s">
        <v>1501</v>
      </c>
      <c r="C2" s="1">
        <v>8.5399999999999991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x14ac:dyDescent="0.25">
      <c r="A3" s="1">
        <v>2452254.3262</v>
      </c>
      <c r="B3" s="1" t="s">
        <v>1502</v>
      </c>
      <c r="C3" s="1">
        <v>8.4600000000000009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x14ac:dyDescent="0.25">
      <c r="A4" s="1">
        <v>2452264.3914999999</v>
      </c>
      <c r="B4" s="1" t="s">
        <v>1503</v>
      </c>
      <c r="C4" s="1">
        <v>8.48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x14ac:dyDescent="0.25">
      <c r="A5" s="1">
        <v>2452910.3930000002</v>
      </c>
      <c r="B5" s="1" t="s">
        <v>1504</v>
      </c>
      <c r="C5" s="1">
        <v>8.875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x14ac:dyDescent="0.25">
      <c r="A6" s="1">
        <v>2453276.6867999998</v>
      </c>
      <c r="B6" s="1" t="s">
        <v>1505</v>
      </c>
      <c r="C6" s="1">
        <v>8.4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x14ac:dyDescent="0.25">
      <c r="A7" s="1">
        <v>2453303.34075</v>
      </c>
      <c r="B7" s="1" t="s">
        <v>1506</v>
      </c>
      <c r="C7" s="1">
        <v>8.375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x14ac:dyDescent="0.25">
      <c r="A8" s="1">
        <v>2453315.4</v>
      </c>
      <c r="B8" s="1" t="s">
        <v>1507</v>
      </c>
      <c r="C8" s="1">
        <v>8.81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x14ac:dyDescent="0.25">
      <c r="A9" s="1">
        <v>2453346.2999999998</v>
      </c>
      <c r="B9" s="1" t="s">
        <v>1508</v>
      </c>
      <c r="C9" s="1">
        <v>8.57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x14ac:dyDescent="0.25">
      <c r="A10" s="1">
        <v>2453352.2598999999</v>
      </c>
      <c r="B10" s="1" t="s">
        <v>1509</v>
      </c>
      <c r="C10" s="1">
        <v>8.36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25">
      <c r="A11" s="1">
        <v>2453354.2999999998</v>
      </c>
      <c r="B11" s="1" t="s">
        <v>1510</v>
      </c>
      <c r="C11" s="1">
        <v>8.26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25">
      <c r="A12" s="1">
        <v>2453593.8390000002</v>
      </c>
      <c r="B12" s="1" t="s">
        <v>1511</v>
      </c>
      <c r="C12" s="1">
        <v>8.6999999999999993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25">
      <c r="A13" s="1">
        <v>2453612.7719999999</v>
      </c>
      <c r="B13" s="1" t="s">
        <v>1512</v>
      </c>
      <c r="C13" s="1">
        <v>8.8000000000000007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25">
      <c r="A14" s="1">
        <v>2453630.3431500001</v>
      </c>
      <c r="B14" s="1" t="s">
        <v>1513</v>
      </c>
      <c r="C14" s="1">
        <v>8.86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25">
      <c r="A15" s="1">
        <v>2453939.5178499999</v>
      </c>
      <c r="B15" s="1" t="s">
        <v>1514</v>
      </c>
      <c r="C15" s="1">
        <v>8.44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25">
      <c r="A16" s="1">
        <v>2453946.50245</v>
      </c>
      <c r="B16" s="1" t="s">
        <v>1300</v>
      </c>
      <c r="C16" s="1">
        <v>8.4149999999999991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x14ac:dyDescent="0.25">
      <c r="A17" s="1">
        <v>2455129.38062</v>
      </c>
      <c r="B17" s="1" t="s">
        <v>1515</v>
      </c>
      <c r="C17" s="1">
        <v>8.6980000000000004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x14ac:dyDescent="0.25">
      <c r="A18" s="1">
        <v>2455506.2999999998</v>
      </c>
      <c r="B18" s="1" t="s">
        <v>1516</v>
      </c>
      <c r="C18" s="1">
        <v>8.73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x14ac:dyDescent="0.25">
      <c r="A19" s="1">
        <v>2455514.33</v>
      </c>
      <c r="B19" s="1" t="s">
        <v>1517</v>
      </c>
      <c r="C19" s="1">
        <v>8.65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x14ac:dyDescent="0.25">
      <c r="A20" s="1">
        <v>2455779.4236099999</v>
      </c>
      <c r="B20" s="1" t="s">
        <v>1518</v>
      </c>
      <c r="C20" s="1">
        <v>8.6199999999999992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x14ac:dyDescent="0.25">
      <c r="A21" s="1">
        <v>2455792.3715300001</v>
      </c>
      <c r="B21" s="1" t="s">
        <v>1519</v>
      </c>
      <c r="C21" s="1">
        <v>8.5500000000000007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x14ac:dyDescent="0.25">
      <c r="A22" s="1">
        <v>2455794.3680599998</v>
      </c>
      <c r="B22" s="1" t="s">
        <v>1520</v>
      </c>
      <c r="C22" s="1">
        <v>8.5760000000000005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x14ac:dyDescent="0.25">
      <c r="A23" s="1">
        <v>2455797.3562500002</v>
      </c>
      <c r="B23" s="1" t="s">
        <v>1407</v>
      </c>
      <c r="C23" s="1">
        <v>8.58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25">
      <c r="A24" s="1">
        <v>2455799.3888900001</v>
      </c>
      <c r="B24" s="1" t="s">
        <v>1521</v>
      </c>
      <c r="C24" s="1">
        <v>8.6199999999999992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25">
      <c r="A25" s="1">
        <v>2455802.9013899998</v>
      </c>
      <c r="B25" s="1" t="s">
        <v>1522</v>
      </c>
      <c r="C25" s="1">
        <v>8.64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x14ac:dyDescent="0.25">
      <c r="A26" s="1">
        <v>2455819.2916700002</v>
      </c>
      <c r="B26" s="1" t="s">
        <v>1523</v>
      </c>
      <c r="C26" s="1">
        <v>8.5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25">
      <c r="A27" s="1">
        <v>2455820.3263900001</v>
      </c>
      <c r="B27" s="1" t="s">
        <v>1524</v>
      </c>
      <c r="C27" s="1">
        <v>8.5299999999999994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25">
      <c r="A28" s="1">
        <v>2455821.7968799998</v>
      </c>
      <c r="B28" s="1" t="s">
        <v>1525</v>
      </c>
      <c r="C28" s="1">
        <v>8.5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25">
      <c r="A29" s="1">
        <v>2455824.2979199998</v>
      </c>
      <c r="B29" s="1" t="s">
        <v>1526</v>
      </c>
      <c r="C29" s="1">
        <v>8.6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25">
      <c r="A30" s="1">
        <v>2455825.30694</v>
      </c>
      <c r="B30" s="1" t="s">
        <v>1527</v>
      </c>
      <c r="C30" s="1">
        <v>8.6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25">
      <c r="A31" s="1">
        <v>2455827.3993099998</v>
      </c>
      <c r="B31" s="1" t="s">
        <v>1528</v>
      </c>
      <c r="C31" s="1">
        <v>8.5399999999999991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25">
      <c r="A32" s="1">
        <v>2455831.2847199999</v>
      </c>
      <c r="B32" s="1" t="s">
        <v>1529</v>
      </c>
      <c r="C32" s="1">
        <v>8.6999999999999993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25">
      <c r="A33" s="1">
        <v>2455832.3076399998</v>
      </c>
      <c r="B33" s="1" t="s">
        <v>1530</v>
      </c>
      <c r="C33" s="1">
        <v>8.56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25">
      <c r="A34" s="1">
        <v>2455833.7847199999</v>
      </c>
      <c r="B34" s="1" t="s">
        <v>1531</v>
      </c>
      <c r="C34" s="1">
        <v>8.6649999999999991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25">
      <c r="A35" s="1">
        <v>2455836.7885400001</v>
      </c>
      <c r="B35" s="1" t="s">
        <v>1532</v>
      </c>
      <c r="C35" s="1">
        <v>8.625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25">
      <c r="A36" s="1">
        <v>2455839.2826399999</v>
      </c>
      <c r="B36" s="1" t="s">
        <v>1533</v>
      </c>
      <c r="C36" s="1">
        <v>8.74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25">
      <c r="A37" s="1">
        <v>2455847.2937500002</v>
      </c>
      <c r="B37" s="1" t="s">
        <v>1534</v>
      </c>
      <c r="C37" s="1">
        <v>8.76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25">
      <c r="A38" s="1">
        <v>2455851.2569400002</v>
      </c>
      <c r="B38" s="1" t="s">
        <v>1535</v>
      </c>
      <c r="C38" s="1">
        <v>8.6199999999999992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25">
      <c r="A39" s="1">
        <v>2455856.2506900001</v>
      </c>
      <c r="B39" s="1" t="s">
        <v>1536</v>
      </c>
      <c r="C39" s="1">
        <v>8.51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25">
      <c r="A40" s="1">
        <v>2455860.80902</v>
      </c>
      <c r="B40" s="1" t="s">
        <v>1537</v>
      </c>
      <c r="C40" s="1">
        <v>8.8049999999999997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25">
      <c r="A41" s="1">
        <v>2455867.2354199998</v>
      </c>
      <c r="B41" s="1" t="s">
        <v>1538</v>
      </c>
      <c r="C41" s="1">
        <v>8.64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25">
      <c r="A42" s="1">
        <v>2455877.2937500002</v>
      </c>
      <c r="B42" s="1" t="s">
        <v>1539</v>
      </c>
      <c r="C42" s="1">
        <v>8.6199999999999992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25">
      <c r="A43" s="1">
        <v>2455883.2625000002</v>
      </c>
      <c r="B43" s="1" t="s">
        <v>1540</v>
      </c>
      <c r="C43" s="1">
        <v>8.7200000000000006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25">
      <c r="A44" s="1">
        <v>2455890.2409399999</v>
      </c>
      <c r="B44" s="1" t="s">
        <v>1413</v>
      </c>
      <c r="C44" s="1">
        <v>8.57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x14ac:dyDescent="0.25">
      <c r="A45" s="1">
        <v>2455923.2098400001</v>
      </c>
      <c r="B45" s="1" t="s">
        <v>1541</v>
      </c>
      <c r="C45" s="1">
        <v>8.7639999999999993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x14ac:dyDescent="0.25">
      <c r="A46" s="1">
        <v>2456106.4319000002</v>
      </c>
      <c r="B46" s="1" t="s">
        <v>1542</v>
      </c>
      <c r="C46" s="1">
        <v>8.9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 x14ac:dyDescent="0.25">
      <c r="A47" s="1">
        <v>2456109.4451000001</v>
      </c>
      <c r="B47" s="1" t="s">
        <v>1543</v>
      </c>
      <c r="C47" s="1">
        <v>8.9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 x14ac:dyDescent="0.25">
      <c r="A48" s="1">
        <v>2456124.4042000002</v>
      </c>
      <c r="B48" s="1" t="s">
        <v>1544</v>
      </c>
      <c r="C48" s="1">
        <v>8.9499999999999993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 x14ac:dyDescent="0.25">
      <c r="A49" s="1">
        <v>2456127.4201000002</v>
      </c>
      <c r="B49" s="1" t="s">
        <v>1545</v>
      </c>
      <c r="C49" s="1">
        <v>8.9600000000000009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 x14ac:dyDescent="0.25">
      <c r="A50" s="1">
        <v>2456137.90625</v>
      </c>
      <c r="B50" s="1" t="s">
        <v>1546</v>
      </c>
      <c r="C50" s="1">
        <v>8.9600000000000009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 x14ac:dyDescent="0.25">
      <c r="A51" s="1">
        <v>2456139.4056000002</v>
      </c>
      <c r="B51" s="1" t="s">
        <v>1547</v>
      </c>
      <c r="C51" s="1">
        <v>8.9700000000000006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 x14ac:dyDescent="0.25">
      <c r="A52" s="1">
        <v>2456147.3604000001</v>
      </c>
      <c r="B52" s="1" t="s">
        <v>1548</v>
      </c>
      <c r="C52" s="1">
        <v>8.93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 x14ac:dyDescent="0.25">
      <c r="A53" s="1">
        <v>2456148.9031500001</v>
      </c>
      <c r="B53" s="1" t="s">
        <v>1427</v>
      </c>
      <c r="C53" s="1">
        <v>8.93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 x14ac:dyDescent="0.25">
      <c r="A54" s="1">
        <v>2456150.90105</v>
      </c>
      <c r="B54" s="1" t="s">
        <v>1549</v>
      </c>
      <c r="C54" s="1">
        <v>8.9149999999999991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 x14ac:dyDescent="0.25">
      <c r="A55" s="1">
        <v>2456154.3854</v>
      </c>
      <c r="B55" s="1" t="s">
        <v>1550</v>
      </c>
      <c r="C55" s="1">
        <v>8.9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 x14ac:dyDescent="0.25">
      <c r="A56" s="1">
        <v>2456157.3639000002</v>
      </c>
      <c r="B56" s="1" t="s">
        <v>1551</v>
      </c>
      <c r="C56" s="1">
        <v>8.89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 x14ac:dyDescent="0.25">
      <c r="A57" s="1">
        <v>2456163.3541999999</v>
      </c>
      <c r="B57" s="1" t="s">
        <v>1552</v>
      </c>
      <c r="C57" s="1">
        <v>8.8800000000000008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 x14ac:dyDescent="0.25">
      <c r="A58" s="1">
        <v>2456167.3958000001</v>
      </c>
      <c r="B58" s="1" t="s">
        <v>1553</v>
      </c>
      <c r="C58" s="1">
        <v>8.8800000000000008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 x14ac:dyDescent="0.25">
      <c r="A59" s="1">
        <v>2456168.7702100002</v>
      </c>
      <c r="B59" s="1" t="s">
        <v>1554</v>
      </c>
      <c r="C59" s="1">
        <v>8.8079999999999998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 x14ac:dyDescent="0.25">
      <c r="A60" s="1">
        <v>2456176.4180600001</v>
      </c>
      <c r="B60" s="1" t="s">
        <v>1555</v>
      </c>
      <c r="C60" s="1">
        <v>8.8539999999999992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 x14ac:dyDescent="0.25">
      <c r="A61" s="1">
        <v>2456179.3478999999</v>
      </c>
      <c r="B61" s="1" t="s">
        <v>1556</v>
      </c>
      <c r="C61" s="1">
        <v>8.84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 x14ac:dyDescent="0.25">
      <c r="A62" s="1">
        <v>2456182.71765</v>
      </c>
      <c r="B62" s="1" t="s">
        <v>1557</v>
      </c>
      <c r="C62" s="1">
        <v>8.83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 x14ac:dyDescent="0.25">
      <c r="A63" s="1">
        <v>2456185.3424</v>
      </c>
      <c r="B63" s="1" t="s">
        <v>1558</v>
      </c>
      <c r="C63" s="1">
        <v>8.9600000000000009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 x14ac:dyDescent="0.25">
      <c r="A64" s="1">
        <v>2456224.3221999998</v>
      </c>
      <c r="B64" s="1" t="s">
        <v>1559</v>
      </c>
      <c r="C64" s="1">
        <v>8.8000000000000007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x14ac:dyDescent="0.25">
      <c r="A65" s="1">
        <v>2456239.2020999999</v>
      </c>
      <c r="B65" s="1" t="s">
        <v>1560</v>
      </c>
      <c r="C65" s="1">
        <v>8.8800000000000008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 x14ac:dyDescent="0.25">
      <c r="A66" s="1">
        <v>2456247.1985999998</v>
      </c>
      <c r="B66" s="1" t="s">
        <v>1561</v>
      </c>
      <c r="C66" s="1">
        <v>8.85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x14ac:dyDescent="0.25">
      <c r="A67" s="1">
        <v>2456248.2256999998</v>
      </c>
      <c r="B67" s="1" t="s">
        <v>1562</v>
      </c>
      <c r="C67" s="1">
        <v>8.85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 x14ac:dyDescent="0.25">
      <c r="A68" s="1">
        <v>2456463.4583000001</v>
      </c>
      <c r="B68" s="1" t="s">
        <v>1563</v>
      </c>
      <c r="C68" s="1">
        <v>8.59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 x14ac:dyDescent="0.25">
      <c r="A69" s="1">
        <v>2456476.4333000001</v>
      </c>
      <c r="B69" s="1" t="s">
        <v>1564</v>
      </c>
      <c r="C69" s="1">
        <v>8.5030000000000001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 x14ac:dyDescent="0.25">
      <c r="A70" s="1">
        <v>2456488.4312999998</v>
      </c>
      <c r="B70" s="1" t="s">
        <v>1565</v>
      </c>
      <c r="C70" s="1">
        <v>8.51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 x14ac:dyDescent="0.25">
      <c r="A71" s="1">
        <v>2456500.3958000001</v>
      </c>
      <c r="B71" s="1" t="s">
        <v>1566</v>
      </c>
      <c r="C71" s="1">
        <v>8.4499999999999993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 x14ac:dyDescent="0.25">
      <c r="A72" s="1">
        <v>2456505.3958000001</v>
      </c>
      <c r="B72" s="1" t="s">
        <v>1567</v>
      </c>
      <c r="C72" s="1">
        <v>8.49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 x14ac:dyDescent="0.25">
      <c r="A73" s="1">
        <v>2456508.8357899999</v>
      </c>
      <c r="B73" s="1" t="s">
        <v>1568</v>
      </c>
      <c r="C73" s="1">
        <v>8.4030000000000005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 x14ac:dyDescent="0.25">
      <c r="A74" s="1">
        <v>2456510.85543</v>
      </c>
      <c r="B74" s="1" t="s">
        <v>1569</v>
      </c>
      <c r="C74" s="1">
        <v>8.4450000000000003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 x14ac:dyDescent="0.25">
      <c r="A75" s="1">
        <v>2456516.4512399998</v>
      </c>
      <c r="B75" s="1" t="s">
        <v>1570</v>
      </c>
      <c r="C75" s="1">
        <v>8.5277390000000004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 x14ac:dyDescent="0.25">
      <c r="A76" s="1">
        <v>2456521.3958000001</v>
      </c>
      <c r="B76" s="1" t="s">
        <v>1571</v>
      </c>
      <c r="C76" s="1">
        <v>8.5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x14ac:dyDescent="0.25">
      <c r="A77" s="1">
        <v>2456531.3994399998</v>
      </c>
      <c r="B77" s="1" t="s">
        <v>1572</v>
      </c>
      <c r="C77" s="1">
        <v>8.4684480000000004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 x14ac:dyDescent="0.25">
      <c r="A78" s="1">
        <v>2456536.3958000001</v>
      </c>
      <c r="B78" s="1" t="s">
        <v>1573</v>
      </c>
      <c r="C78" s="1">
        <v>8.41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 x14ac:dyDescent="0.25">
      <c r="A79" s="1">
        <v>2456538.3958000001</v>
      </c>
      <c r="B79" s="1" t="s">
        <v>1448</v>
      </c>
      <c r="C79" s="1">
        <v>8.4209999999999994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 x14ac:dyDescent="0.25">
      <c r="A80" s="1">
        <v>2456539.41879</v>
      </c>
      <c r="B80" s="1" t="s">
        <v>1574</v>
      </c>
      <c r="C80" s="1">
        <v>8.4066329999999994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 x14ac:dyDescent="0.25">
      <c r="A81" s="1">
        <v>2456552.33617</v>
      </c>
      <c r="B81" s="1" t="s">
        <v>1449</v>
      </c>
      <c r="C81" s="1">
        <v>8.5094999999999992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 x14ac:dyDescent="0.25">
      <c r="A82" s="1">
        <v>2456553.7105100001</v>
      </c>
      <c r="B82" s="1" t="s">
        <v>1575</v>
      </c>
      <c r="C82" s="1">
        <v>8.4039999999999999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 x14ac:dyDescent="0.25">
      <c r="A83" s="1">
        <v>2456559.3368000002</v>
      </c>
      <c r="B83" s="1" t="s">
        <v>1576</v>
      </c>
      <c r="C83" s="1">
        <v>8.5299999999999994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 x14ac:dyDescent="0.25">
      <c r="A84" s="1">
        <v>2456564.4398699999</v>
      </c>
      <c r="B84" s="1" t="s">
        <v>1577</v>
      </c>
      <c r="C84" s="1">
        <v>8.5267750000000007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 x14ac:dyDescent="0.25">
      <c r="A85" s="1">
        <v>2456566.66438</v>
      </c>
      <c r="B85" s="1" t="s">
        <v>1578</v>
      </c>
      <c r="C85" s="1">
        <v>8.4860000000000007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 x14ac:dyDescent="0.25">
      <c r="A86" s="1">
        <v>2456571.2913600001</v>
      </c>
      <c r="B86" s="1" t="s">
        <v>1579</v>
      </c>
      <c r="C86" s="1">
        <v>8.5054829999999999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 x14ac:dyDescent="0.25">
      <c r="A87" s="1">
        <v>2456595.3337300001</v>
      </c>
      <c r="B87" s="1" t="s">
        <v>1580</v>
      </c>
      <c r="C87" s="1">
        <v>8.7466000000000008</v>
      </c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 x14ac:dyDescent="0.25">
      <c r="A88" s="1">
        <v>2456598.2647600002</v>
      </c>
      <c r="B88" s="1" t="s">
        <v>1452</v>
      </c>
      <c r="C88" s="1">
        <v>8.8803999999999998</v>
      </c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 x14ac:dyDescent="0.25">
      <c r="A89" s="1">
        <v>2456604.4432899999</v>
      </c>
      <c r="B89" s="1" t="s">
        <v>1581</v>
      </c>
      <c r="C89" s="1">
        <v>8.6813140000000004</v>
      </c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 x14ac:dyDescent="0.25">
      <c r="A90" s="1">
        <v>2456611.6142199999</v>
      </c>
      <c r="B90" s="1" t="s">
        <v>107</v>
      </c>
      <c r="C90" s="1">
        <v>8.6199999999999992</v>
      </c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 x14ac:dyDescent="0.25">
      <c r="A91" s="1">
        <v>2456613.6151000001</v>
      </c>
      <c r="B91" s="1" t="s">
        <v>108</v>
      </c>
      <c r="C91" s="1">
        <v>8.6310000000000002</v>
      </c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 x14ac:dyDescent="0.25">
      <c r="A92" s="1">
        <v>2456615.6011800002</v>
      </c>
      <c r="B92" s="1" t="s">
        <v>109</v>
      </c>
      <c r="C92" s="1">
        <v>8.6379999999999999</v>
      </c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 x14ac:dyDescent="0.25">
      <c r="A93" s="1">
        <v>2456617.09766</v>
      </c>
      <c r="B93" s="1" t="s">
        <v>110</v>
      </c>
      <c r="C93" s="1">
        <v>8.6355000000000004</v>
      </c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 x14ac:dyDescent="0.25">
      <c r="A94" s="1">
        <v>2456626.4849999999</v>
      </c>
      <c r="B94" s="1" t="s">
        <v>112</v>
      </c>
      <c r="C94" s="1">
        <v>8.6679999999999993</v>
      </c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 x14ac:dyDescent="0.25">
      <c r="A95" s="1">
        <v>2456645.4822999998</v>
      </c>
      <c r="B95" s="1" t="s">
        <v>113</v>
      </c>
      <c r="C95" s="1">
        <v>8.6069999999999993</v>
      </c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 x14ac:dyDescent="0.25">
      <c r="A96" s="1">
        <v>2456687.75177</v>
      </c>
      <c r="B96" s="1" t="s">
        <v>114</v>
      </c>
      <c r="C96" s="1">
        <v>8.4410000000000007</v>
      </c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 x14ac:dyDescent="0.25">
      <c r="A97" s="1">
        <v>2456764.87953</v>
      </c>
      <c r="B97" s="1" t="s">
        <v>115</v>
      </c>
      <c r="C97" s="1">
        <v>8.2609999999999992</v>
      </c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 x14ac:dyDescent="0.25">
      <c r="A98" s="1">
        <v>2456896.2533</v>
      </c>
      <c r="B98" s="1" t="s">
        <v>116</v>
      </c>
      <c r="C98" s="1">
        <v>8.8559999999999999</v>
      </c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 x14ac:dyDescent="0.25">
      <c r="A99" s="1">
        <v>2456898.5275300001</v>
      </c>
      <c r="B99" s="1" t="s">
        <v>119</v>
      </c>
      <c r="C99" s="1">
        <v>8.8904999999999994</v>
      </c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 x14ac:dyDescent="0.25">
      <c r="A100" s="1">
        <v>2456902.7019000002</v>
      </c>
      <c r="B100" s="1" t="s">
        <v>120</v>
      </c>
      <c r="C100" s="1">
        <v>8.9250000000000007</v>
      </c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 x14ac:dyDescent="0.25">
      <c r="A101" s="1">
        <v>2456904.6678200001</v>
      </c>
      <c r="B101" s="1" t="s">
        <v>121</v>
      </c>
      <c r="C101" s="1">
        <v>8.9610000000000003</v>
      </c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 x14ac:dyDescent="0.25">
      <c r="A102" s="1">
        <v>2456905.7867100001</v>
      </c>
      <c r="B102" s="1" t="s">
        <v>122</v>
      </c>
      <c r="C102" s="1">
        <v>8.9649999999999999</v>
      </c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 x14ac:dyDescent="0.25">
      <c r="A103" s="1">
        <v>2456913.66928</v>
      </c>
      <c r="B103" s="1" t="s">
        <v>123</v>
      </c>
      <c r="C103" s="1">
        <v>9.0549999999999997</v>
      </c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 x14ac:dyDescent="0.25">
      <c r="A104" s="1">
        <v>2456915.3333000001</v>
      </c>
      <c r="B104" s="1" t="s">
        <v>124</v>
      </c>
      <c r="C104" s="1">
        <v>9.1300000000000008</v>
      </c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 x14ac:dyDescent="0.25">
      <c r="A105" s="1">
        <v>2456918.6744300001</v>
      </c>
      <c r="B105" s="1" t="s">
        <v>125</v>
      </c>
      <c r="C105" s="1">
        <v>9.077</v>
      </c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 x14ac:dyDescent="0.25">
      <c r="A106" s="1">
        <v>2456920.6946999999</v>
      </c>
      <c r="B106" s="1" t="s">
        <v>126</v>
      </c>
      <c r="C106" s="1">
        <v>9.0990000000000002</v>
      </c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 x14ac:dyDescent="0.25">
      <c r="A107" s="1">
        <v>2456924.1709799999</v>
      </c>
      <c r="B107" s="1" t="s">
        <v>127</v>
      </c>
      <c r="C107" s="1">
        <v>9.0619999999999994</v>
      </c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 x14ac:dyDescent="0.25">
      <c r="A108" s="1">
        <v>2456928.1839999999</v>
      </c>
      <c r="B108" s="1" t="s">
        <v>129</v>
      </c>
      <c r="C108" s="1">
        <v>9.060333</v>
      </c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 x14ac:dyDescent="0.25">
      <c r="A109" s="1">
        <v>2456929.6037699999</v>
      </c>
      <c r="B109" s="1" t="s">
        <v>131</v>
      </c>
      <c r="C109" s="1">
        <v>9.0449999999999999</v>
      </c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 x14ac:dyDescent="0.25">
      <c r="A110" s="1">
        <v>2456937.0830199998</v>
      </c>
      <c r="B110" s="1" t="s">
        <v>132</v>
      </c>
      <c r="C110" s="1">
        <v>9.0280000000000005</v>
      </c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 x14ac:dyDescent="0.25">
      <c r="A111" s="1">
        <v>2456939.5918100001</v>
      </c>
      <c r="B111" s="1" t="s">
        <v>134</v>
      </c>
      <c r="C111" s="1">
        <v>9.0250000000000004</v>
      </c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 x14ac:dyDescent="0.25">
      <c r="A112" s="1">
        <v>2456940.6616799999</v>
      </c>
      <c r="B112" s="1" t="s">
        <v>135</v>
      </c>
      <c r="C112" s="1">
        <v>9.0389999999999997</v>
      </c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1:27" x14ac:dyDescent="0.25">
      <c r="A113" s="1">
        <v>2456943.58727</v>
      </c>
      <c r="B113" s="1" t="s">
        <v>136</v>
      </c>
      <c r="C113" s="1">
        <v>9.0489999999999995</v>
      </c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1:27" x14ac:dyDescent="0.25">
      <c r="A114" s="1">
        <v>2456945.5534999999</v>
      </c>
      <c r="B114" s="1" t="s">
        <v>137</v>
      </c>
      <c r="C114" s="1">
        <v>9.0530000000000008</v>
      </c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1:27" x14ac:dyDescent="0.25">
      <c r="A115" s="1">
        <v>2456948.5451000002</v>
      </c>
      <c r="B115" s="1" t="s">
        <v>138</v>
      </c>
      <c r="C115" s="1">
        <v>9.0489999999999995</v>
      </c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1:27" x14ac:dyDescent="0.25">
      <c r="A116" s="1">
        <v>2456957.5213700002</v>
      </c>
      <c r="B116" s="1" t="s">
        <v>139</v>
      </c>
      <c r="C116" s="1">
        <v>9.0540000000000003</v>
      </c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1:27" x14ac:dyDescent="0.25">
      <c r="A117" s="1">
        <v>2457006.4569999999</v>
      </c>
      <c r="B117" s="1" t="s">
        <v>140</v>
      </c>
      <c r="C117" s="1">
        <v>8.8770000000000007</v>
      </c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1:27" x14ac:dyDescent="0.25">
      <c r="A118" s="1">
        <v>2457007.4951900002</v>
      </c>
      <c r="B118" s="1" t="s">
        <v>141</v>
      </c>
      <c r="C118" s="1">
        <v>8.9190000000000005</v>
      </c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1:27" x14ac:dyDescent="0.25">
      <c r="A119" s="1">
        <v>2457018.4552099998</v>
      </c>
      <c r="B119" s="1" t="s">
        <v>4</v>
      </c>
      <c r="C119" s="1">
        <v>8.8960000000000008</v>
      </c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1:27" x14ac:dyDescent="0.25">
      <c r="A120" s="1">
        <v>2457019.4591899998</v>
      </c>
      <c r="B120" s="1" t="s">
        <v>6</v>
      </c>
      <c r="C120" s="1">
        <v>8.8829999999999991</v>
      </c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1:27" x14ac:dyDescent="0.25">
      <c r="A121" s="1">
        <v>2457021.9536299999</v>
      </c>
      <c r="B121" s="1" t="s">
        <v>8</v>
      </c>
      <c r="C121" s="1">
        <v>8.9004999999999992</v>
      </c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1:27" x14ac:dyDescent="0.25">
      <c r="A122" s="1">
        <v>2457023.4454000001</v>
      </c>
      <c r="B122" s="1" t="s">
        <v>9</v>
      </c>
      <c r="C122" s="1">
        <v>8.8770000000000007</v>
      </c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1:27" x14ac:dyDescent="0.25">
      <c r="A123" s="1">
        <v>2457024.45077</v>
      </c>
      <c r="B123" s="1" t="s">
        <v>10</v>
      </c>
      <c r="C123" s="1">
        <v>8.9320000000000004</v>
      </c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1:27" x14ac:dyDescent="0.25">
      <c r="A124" s="1">
        <v>2457025.4514500001</v>
      </c>
      <c r="B124" s="1" t="s">
        <v>11</v>
      </c>
      <c r="C124" s="1">
        <v>8.9109999999999996</v>
      </c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x14ac:dyDescent="0.25">
      <c r="A125" s="1">
        <v>2457028.4524599998</v>
      </c>
      <c r="B125" s="1" t="s">
        <v>12</v>
      </c>
      <c r="C125" s="1">
        <v>8.92</v>
      </c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1:27" x14ac:dyDescent="0.25">
      <c r="A126" s="1">
        <v>2457124.8841900001</v>
      </c>
      <c r="B126" s="1" t="s">
        <v>14</v>
      </c>
      <c r="C126" s="1">
        <v>8.5510000000000002</v>
      </c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7" x14ac:dyDescent="0.25">
      <c r="A127" s="1">
        <v>2457128.87892</v>
      </c>
      <c r="B127" s="1" t="s">
        <v>20</v>
      </c>
      <c r="C127" s="1">
        <v>8.5239999999999991</v>
      </c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1:27" x14ac:dyDescent="0.25">
      <c r="A128" s="1">
        <v>2457130.8763799998</v>
      </c>
      <c r="B128" s="1" t="s">
        <v>0</v>
      </c>
      <c r="C128" s="1">
        <v>8.5310000000000006</v>
      </c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1:27" x14ac:dyDescent="0.25">
      <c r="A129" s="1">
        <v>2457156.8368799998</v>
      </c>
      <c r="B129" s="1" t="s">
        <v>25</v>
      </c>
      <c r="C129" s="1">
        <v>8.4629999999999992</v>
      </c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1:27" x14ac:dyDescent="0.25">
      <c r="A130" s="1">
        <v>2457157.8372900002</v>
      </c>
      <c r="B130" s="1" t="s">
        <v>26</v>
      </c>
      <c r="C130" s="1">
        <v>8.4589999999999996</v>
      </c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1:27" x14ac:dyDescent="0.25">
      <c r="A131" s="1">
        <v>2457163.8278600001</v>
      </c>
      <c r="B131" s="1" t="s">
        <v>15</v>
      </c>
      <c r="C131" s="1">
        <v>8.4309999999999992</v>
      </c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1:27" x14ac:dyDescent="0.25">
      <c r="A132" s="1">
        <v>2457165.8193799998</v>
      </c>
      <c r="B132" s="1" t="s">
        <v>21</v>
      </c>
      <c r="C132" s="1">
        <v>8.4239999999999995</v>
      </c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1:27" x14ac:dyDescent="0.25">
      <c r="A133" s="1">
        <v>2457166.8284900002</v>
      </c>
      <c r="B133" s="1" t="s">
        <v>17</v>
      </c>
      <c r="C133" s="1">
        <v>8.4339999999999993</v>
      </c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1:27" x14ac:dyDescent="0.25">
      <c r="A134" s="1">
        <v>2457180.8183400002</v>
      </c>
      <c r="B134" s="1" t="s">
        <v>22</v>
      </c>
      <c r="C134" s="1">
        <v>8.3919999999999995</v>
      </c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1:27" x14ac:dyDescent="0.25">
      <c r="A135" s="1">
        <v>2457187.8084399998</v>
      </c>
      <c r="B135" s="1" t="s">
        <v>18</v>
      </c>
      <c r="C135" s="1">
        <v>7.8029999999999999</v>
      </c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1:27" x14ac:dyDescent="0.25">
      <c r="A136" s="1">
        <v>2457195.7437999998</v>
      </c>
      <c r="B136" s="1" t="s">
        <v>19</v>
      </c>
      <c r="C136" s="1">
        <v>7.2647500000000003</v>
      </c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1:27" x14ac:dyDescent="0.25">
      <c r="A137" s="1">
        <v>2457197.70095</v>
      </c>
      <c r="B137" s="1" t="s">
        <v>27</v>
      </c>
      <c r="C137" s="1">
        <v>7.2305999999999999</v>
      </c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1:27" x14ac:dyDescent="0.25">
      <c r="A138" s="1">
        <v>2457198.7049699998</v>
      </c>
      <c r="B138" s="1" t="s">
        <v>28</v>
      </c>
      <c r="C138" s="1">
        <v>7.1852530000000003</v>
      </c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1:27" x14ac:dyDescent="0.25">
      <c r="A139" s="1">
        <v>2457199.6331199999</v>
      </c>
      <c r="B139" s="1" t="s">
        <v>29</v>
      </c>
      <c r="C139" s="1">
        <v>6.9542999999999999</v>
      </c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1:27" x14ac:dyDescent="0.25">
      <c r="A140" s="1">
        <v>2457201.1612800001</v>
      </c>
      <c r="B140" s="1" t="s">
        <v>30</v>
      </c>
      <c r="C140" s="1">
        <v>7.0614999999999997</v>
      </c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1:27" x14ac:dyDescent="0.25">
      <c r="A141" s="1">
        <v>2457203.1844299999</v>
      </c>
      <c r="B141" s="1" t="s">
        <v>32</v>
      </c>
      <c r="C141" s="1">
        <v>7.0980749999999997</v>
      </c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1:27" x14ac:dyDescent="0.25">
      <c r="A142" s="1">
        <v>2457204.6269700001</v>
      </c>
      <c r="B142" s="1" t="s">
        <v>34</v>
      </c>
      <c r="C142" s="1">
        <v>6.9741540000000004</v>
      </c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1:27" x14ac:dyDescent="0.25">
      <c r="A143" s="1">
        <v>2457206.2399599999</v>
      </c>
      <c r="B143" s="1" t="s">
        <v>35</v>
      </c>
      <c r="C143" s="1">
        <v>7.0519999999999996</v>
      </c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1:27" x14ac:dyDescent="0.25">
      <c r="A144" s="1">
        <v>2457208.2933299998</v>
      </c>
      <c r="B144" s="1" t="s">
        <v>37</v>
      </c>
      <c r="C144" s="1">
        <v>7.0490000000000004</v>
      </c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1:27" x14ac:dyDescent="0.25">
      <c r="A145" s="1">
        <v>2457209.2828000002</v>
      </c>
      <c r="B145" s="1" t="s">
        <v>38</v>
      </c>
      <c r="C145" s="1">
        <v>7.04</v>
      </c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1:27" x14ac:dyDescent="0.25">
      <c r="A146" s="1">
        <v>2457210.6661299998</v>
      </c>
      <c r="B146" s="1" t="s">
        <v>39</v>
      </c>
      <c r="C146" s="1">
        <v>7.1135000000000002</v>
      </c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1:27" x14ac:dyDescent="0.25">
      <c r="A147" s="1">
        <v>2457211.66732</v>
      </c>
      <c r="B147" s="1" t="s">
        <v>40</v>
      </c>
      <c r="C147" s="1">
        <v>6.9966330000000001</v>
      </c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1:27" x14ac:dyDescent="0.25">
      <c r="A148" s="1">
        <v>2457212.64426</v>
      </c>
      <c r="B148" s="1" t="s">
        <v>41</v>
      </c>
      <c r="C148" s="1">
        <v>6.7473999999999998</v>
      </c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1:27" x14ac:dyDescent="0.25">
      <c r="A149" s="1">
        <v>2457214.3369800001</v>
      </c>
      <c r="B149" s="1" t="s">
        <v>42</v>
      </c>
      <c r="C149" s="1">
        <v>7.2050000000000001</v>
      </c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1:27" x14ac:dyDescent="0.25">
      <c r="A150" s="1">
        <v>2457215.0386600001</v>
      </c>
      <c r="B150" s="1" t="s">
        <v>43</v>
      </c>
      <c r="C150" s="1">
        <v>7.0363329999999999</v>
      </c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1:27" x14ac:dyDescent="0.25">
      <c r="A151" s="1">
        <v>2457216.70358</v>
      </c>
      <c r="B151" s="1" t="s">
        <v>45</v>
      </c>
      <c r="C151" s="1">
        <v>7.2590000000000003</v>
      </c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1:27" x14ac:dyDescent="0.25">
      <c r="A152" s="1">
        <v>2457217.77092</v>
      </c>
      <c r="B152" s="1" t="s">
        <v>46</v>
      </c>
      <c r="C152" s="1">
        <v>7.1974999999999998</v>
      </c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1:27" x14ac:dyDescent="0.25">
      <c r="A153" s="1">
        <v>2457219.4341000002</v>
      </c>
      <c r="B153" s="1" t="s">
        <v>47</v>
      </c>
      <c r="C153" s="1">
        <v>7.2460000000000004</v>
      </c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1:27" x14ac:dyDescent="0.25">
      <c r="A154" s="1">
        <v>2457220.6915099998</v>
      </c>
      <c r="B154" s="1" t="s">
        <v>48</v>
      </c>
      <c r="C154" s="1">
        <v>7.2507000000000001</v>
      </c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1:27" x14ac:dyDescent="0.25">
      <c r="A155" s="1">
        <v>2457221.70566</v>
      </c>
      <c r="B155" s="1" t="s">
        <v>49</v>
      </c>
      <c r="C155" s="1">
        <v>7.3419999999999996</v>
      </c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1:27" x14ac:dyDescent="0.25">
      <c r="A156" s="1">
        <v>2457223.6121800002</v>
      </c>
      <c r="B156" s="1" t="s">
        <v>50</v>
      </c>
      <c r="C156" s="1">
        <v>7.1090580000000001</v>
      </c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1:27" x14ac:dyDescent="0.25">
      <c r="A157" s="1">
        <v>2457225.36527</v>
      </c>
      <c r="B157" s="1" t="s">
        <v>51</v>
      </c>
      <c r="C157" s="1">
        <v>7.3273330000000003</v>
      </c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7" x14ac:dyDescent="0.25">
      <c r="A158" s="1">
        <v>2457226.4931999999</v>
      </c>
      <c r="B158" s="1" t="s">
        <v>23</v>
      </c>
      <c r="C158" s="1">
        <v>7.3570000000000002</v>
      </c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7" x14ac:dyDescent="0.25">
      <c r="A159" s="1">
        <v>2457227.6754899998</v>
      </c>
      <c r="B159" s="1" t="s">
        <v>53</v>
      </c>
      <c r="C159" s="1">
        <v>7.4305000000000003</v>
      </c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7" x14ac:dyDescent="0.25">
      <c r="A160" s="1">
        <v>2457229.8229899998</v>
      </c>
      <c r="B160" s="1" t="s">
        <v>54</v>
      </c>
      <c r="C160" s="1">
        <v>7.4485000000000001</v>
      </c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 x14ac:dyDescent="0.25">
      <c r="A161" s="1">
        <v>2457231.69019</v>
      </c>
      <c r="B161" s="1" t="s">
        <v>55</v>
      </c>
      <c r="C161" s="1">
        <v>7.4744999999999999</v>
      </c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 x14ac:dyDescent="0.25">
      <c r="A162" s="1">
        <v>2457233.61546</v>
      </c>
      <c r="B162" s="1" t="s">
        <v>56</v>
      </c>
      <c r="C162" s="1">
        <v>7.484</v>
      </c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 x14ac:dyDescent="0.25">
      <c r="A163" s="1">
        <v>2457234.6749</v>
      </c>
      <c r="B163" s="1" t="s">
        <v>57</v>
      </c>
      <c r="C163" s="1">
        <v>7.5449999999999999</v>
      </c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 x14ac:dyDescent="0.25">
      <c r="A164" s="1">
        <v>2457237.0114799999</v>
      </c>
      <c r="B164" s="1" t="s">
        <v>58</v>
      </c>
      <c r="C164" s="1">
        <v>7.5579999999999998</v>
      </c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 x14ac:dyDescent="0.25">
      <c r="A165" s="1">
        <v>2457238.65668</v>
      </c>
      <c r="B165" s="1" t="s">
        <v>60</v>
      </c>
      <c r="C165" s="1">
        <v>7.57</v>
      </c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 x14ac:dyDescent="0.25">
      <c r="A166" s="1">
        <v>2457239.8086100002</v>
      </c>
      <c r="B166" s="1" t="s">
        <v>61</v>
      </c>
      <c r="C166" s="1">
        <v>7.5949999999999998</v>
      </c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 x14ac:dyDescent="0.25">
      <c r="A167" s="1">
        <v>2457241.5178100001</v>
      </c>
      <c r="B167" s="1" t="s">
        <v>63</v>
      </c>
      <c r="C167" s="1">
        <v>7.632333</v>
      </c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 x14ac:dyDescent="0.25">
      <c r="A168" s="1">
        <v>2457242.4956399999</v>
      </c>
      <c r="B168" s="1" t="s">
        <v>63</v>
      </c>
      <c r="C168" s="1">
        <v>7.3390000000000004</v>
      </c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 x14ac:dyDescent="0.25">
      <c r="A169" s="1">
        <v>2457244.1734600002</v>
      </c>
      <c r="B169" s="1" t="s">
        <v>64</v>
      </c>
      <c r="C169" s="1">
        <v>7.6360000000000001</v>
      </c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 x14ac:dyDescent="0.25">
      <c r="A170" s="1">
        <v>2457245.21477</v>
      </c>
      <c r="B170" s="1" t="s">
        <v>65</v>
      </c>
      <c r="C170" s="1">
        <v>7.6715</v>
      </c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 x14ac:dyDescent="0.25">
      <c r="A171" s="1">
        <v>2457246.91206</v>
      </c>
      <c r="B171" s="1" t="s">
        <v>67</v>
      </c>
      <c r="C171" s="1">
        <v>7.7083329999999997</v>
      </c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1:27" x14ac:dyDescent="0.25">
      <c r="A172" s="1">
        <v>2457247.7928499999</v>
      </c>
      <c r="B172" s="1" t="s">
        <v>68</v>
      </c>
      <c r="C172" s="1">
        <v>7.6965000000000003</v>
      </c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x14ac:dyDescent="0.25">
      <c r="A173" s="1">
        <v>2457249.3825400001</v>
      </c>
      <c r="B173" s="1" t="s">
        <v>69</v>
      </c>
      <c r="C173" s="1">
        <v>7.6928000000000001</v>
      </c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 x14ac:dyDescent="0.25">
      <c r="A174" s="1">
        <v>2457251.1683399999</v>
      </c>
      <c r="B174" s="1" t="s">
        <v>71</v>
      </c>
      <c r="C174" s="1">
        <v>7.7545000000000002</v>
      </c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 x14ac:dyDescent="0.25">
      <c r="A175" s="1">
        <v>2457252.3770099999</v>
      </c>
      <c r="B175" s="1" t="s">
        <v>72</v>
      </c>
      <c r="C175" s="1">
        <v>7.7563329999999997</v>
      </c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 x14ac:dyDescent="0.25">
      <c r="A176" s="1">
        <v>2457254.6334600002</v>
      </c>
      <c r="B176" s="1" t="s">
        <v>74</v>
      </c>
      <c r="C176" s="1">
        <v>7.6740000000000004</v>
      </c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 x14ac:dyDescent="0.25">
      <c r="A177" s="1">
        <v>2457256.6627799999</v>
      </c>
      <c r="B177" s="1" t="s">
        <v>75</v>
      </c>
      <c r="C177" s="1">
        <v>7.8209999999999997</v>
      </c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 x14ac:dyDescent="0.25">
      <c r="A178" s="1">
        <v>2457259.4322000002</v>
      </c>
      <c r="B178" s="1" t="s">
        <v>76</v>
      </c>
      <c r="C178" s="1">
        <v>7.726</v>
      </c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 x14ac:dyDescent="0.25">
      <c r="A179" s="1">
        <v>2457261.4822900002</v>
      </c>
      <c r="B179" s="1" t="s">
        <v>77</v>
      </c>
      <c r="C179" s="1">
        <v>7.77</v>
      </c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 x14ac:dyDescent="0.25">
      <c r="A180" s="1">
        <v>2457262.6622899999</v>
      </c>
      <c r="B180" s="1" t="s">
        <v>78</v>
      </c>
      <c r="C180" s="1">
        <v>7.8479999999999999</v>
      </c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 x14ac:dyDescent="0.25">
      <c r="A181" s="1">
        <v>2457264.57913</v>
      </c>
      <c r="B181" s="1" t="s">
        <v>79</v>
      </c>
      <c r="C181" s="1">
        <v>7.7350000000000003</v>
      </c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 x14ac:dyDescent="0.25">
      <c r="A182" s="1">
        <v>2457265.6403000001</v>
      </c>
      <c r="B182" s="1" t="s">
        <v>80</v>
      </c>
      <c r="C182" s="1">
        <v>7.9640000000000004</v>
      </c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 x14ac:dyDescent="0.25">
      <c r="A183" s="1">
        <v>2457267.14646</v>
      </c>
      <c r="B183" s="1" t="s">
        <v>81</v>
      </c>
      <c r="C183" s="1">
        <v>7.7973330000000001</v>
      </c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 x14ac:dyDescent="0.25">
      <c r="A184" s="1">
        <v>2457270.1270699999</v>
      </c>
      <c r="B184" s="1" t="s">
        <v>82</v>
      </c>
      <c r="C184" s="1">
        <v>7.8404999999999996</v>
      </c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 x14ac:dyDescent="0.25">
      <c r="A185" s="1">
        <v>2457271.8269199999</v>
      </c>
      <c r="B185" s="1" t="s">
        <v>84</v>
      </c>
      <c r="C185" s="1">
        <v>7.8170000000000002</v>
      </c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 x14ac:dyDescent="0.25">
      <c r="A186" s="1">
        <v>2457272.55657</v>
      </c>
      <c r="B186" s="1" t="s">
        <v>85</v>
      </c>
      <c r="C186" s="1">
        <v>7.7910000000000004</v>
      </c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 x14ac:dyDescent="0.25">
      <c r="A187" s="1">
        <v>2457273.6447100001</v>
      </c>
      <c r="B187" s="1" t="s">
        <v>1582</v>
      </c>
      <c r="C187" s="1">
        <v>7.7590000000000003</v>
      </c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 x14ac:dyDescent="0.25">
      <c r="A188" s="1">
        <v>2457276.0360400002</v>
      </c>
      <c r="B188" s="1" t="s">
        <v>86</v>
      </c>
      <c r="C188" s="1">
        <v>7.8925000000000001</v>
      </c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 x14ac:dyDescent="0.25">
      <c r="A189" s="1">
        <v>2457278.21527</v>
      </c>
      <c r="B189" s="1" t="s">
        <v>149</v>
      </c>
      <c r="C189" s="1">
        <v>7.8090000000000002</v>
      </c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 x14ac:dyDescent="0.25">
      <c r="A190" s="1">
        <v>2457280.3928200002</v>
      </c>
      <c r="B190" s="1" t="s">
        <v>87</v>
      </c>
      <c r="C190" s="1">
        <v>7.8987499999999997</v>
      </c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 x14ac:dyDescent="0.25">
      <c r="A191" s="1">
        <v>2457281.5195800001</v>
      </c>
      <c r="B191" s="1" t="s">
        <v>89</v>
      </c>
      <c r="C191" s="1">
        <v>7.8559999999999999</v>
      </c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 x14ac:dyDescent="0.25">
      <c r="A192" s="1">
        <v>2457282.8798199999</v>
      </c>
      <c r="B192" s="1" t="s">
        <v>90</v>
      </c>
      <c r="C192" s="1">
        <v>7.8929999999999998</v>
      </c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 x14ac:dyDescent="0.25">
      <c r="A193" s="1">
        <v>2457284.9586299998</v>
      </c>
      <c r="B193" s="1" t="s">
        <v>91</v>
      </c>
      <c r="C193" s="1">
        <v>7.9189999999999996</v>
      </c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 x14ac:dyDescent="0.25">
      <c r="A194" s="1">
        <v>2457287.1526500001</v>
      </c>
      <c r="B194" s="1" t="s">
        <v>93</v>
      </c>
      <c r="C194" s="1">
        <v>7.8944999999999999</v>
      </c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 x14ac:dyDescent="0.25">
      <c r="A195" s="1">
        <v>2457287.6192999999</v>
      </c>
      <c r="B195" s="1" t="s">
        <v>94</v>
      </c>
      <c r="C195" s="1">
        <v>7.9660000000000002</v>
      </c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 x14ac:dyDescent="0.25">
      <c r="A196" s="1">
        <v>2457290.0581899998</v>
      </c>
      <c r="B196" s="1" t="s">
        <v>150</v>
      </c>
      <c r="C196" s="1">
        <v>7.9249999999999998</v>
      </c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 x14ac:dyDescent="0.25">
      <c r="A197" s="1">
        <v>2457291.4685</v>
      </c>
      <c r="B197" s="1" t="s">
        <v>24</v>
      </c>
      <c r="C197" s="1">
        <v>7.9455</v>
      </c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 x14ac:dyDescent="0.25">
      <c r="A198" s="1">
        <v>2457292.5326200002</v>
      </c>
      <c r="B198" s="1" t="s">
        <v>152</v>
      </c>
      <c r="C198" s="1">
        <v>7.9359999999999999</v>
      </c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 x14ac:dyDescent="0.25">
      <c r="A199" s="1">
        <v>2457295.2831000001</v>
      </c>
      <c r="B199" s="1" t="s">
        <v>95</v>
      </c>
      <c r="C199" s="1">
        <v>7.9568329999999996</v>
      </c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 x14ac:dyDescent="0.25">
      <c r="A200" s="1">
        <v>2457297.0984299998</v>
      </c>
      <c r="B200" s="1" t="s">
        <v>96</v>
      </c>
      <c r="C200" s="1">
        <v>8.0129999999999999</v>
      </c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 x14ac:dyDescent="0.25">
      <c r="A201" s="1">
        <v>2457302.51786</v>
      </c>
      <c r="B201" s="1" t="s">
        <v>99</v>
      </c>
      <c r="C201" s="1">
        <v>7.9067499999999997</v>
      </c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 x14ac:dyDescent="0.25">
      <c r="A202" s="1">
        <v>2457304.06862</v>
      </c>
      <c r="B202" s="1" t="s">
        <v>100</v>
      </c>
      <c r="C202" s="1">
        <v>7.6135000000000002</v>
      </c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 x14ac:dyDescent="0.25">
      <c r="A203" s="1">
        <v>2457306.3438499998</v>
      </c>
      <c r="B203" s="1" t="s">
        <v>102</v>
      </c>
      <c r="C203" s="1">
        <v>7.4554</v>
      </c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 x14ac:dyDescent="0.25">
      <c r="A204" s="1">
        <v>2457307.5438199998</v>
      </c>
      <c r="B204" s="1" t="s">
        <v>153</v>
      </c>
      <c r="C204" s="1">
        <v>7.4055609999999996</v>
      </c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 x14ac:dyDescent="0.25">
      <c r="A205" s="1">
        <v>2457309.5022900002</v>
      </c>
      <c r="B205" s="1" t="s">
        <v>155</v>
      </c>
      <c r="C205" s="1">
        <v>7.5221429999999998</v>
      </c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 x14ac:dyDescent="0.25">
      <c r="A206" s="1">
        <v>2457310.60892</v>
      </c>
      <c r="B206" s="1" t="s">
        <v>156</v>
      </c>
      <c r="C206" s="1">
        <v>7.4726920000000003</v>
      </c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 x14ac:dyDescent="0.25">
      <c r="A207" s="1">
        <v>2457312.9850900001</v>
      </c>
      <c r="B207" s="1" t="s">
        <v>157</v>
      </c>
      <c r="C207" s="1">
        <v>7.4539090000000003</v>
      </c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 x14ac:dyDescent="0.25">
      <c r="A208" s="1">
        <v>2457313.5696899998</v>
      </c>
      <c r="B208" s="1" t="s">
        <v>158</v>
      </c>
      <c r="C208" s="1">
        <v>7.46</v>
      </c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 x14ac:dyDescent="0.25">
      <c r="A209" s="1">
        <v>2457314.5855</v>
      </c>
      <c r="B209" s="1" t="s">
        <v>159</v>
      </c>
      <c r="C209" s="1">
        <v>7.4080000000000004</v>
      </c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 x14ac:dyDescent="0.25">
      <c r="A210" s="1">
        <v>2457315.82436</v>
      </c>
      <c r="B210" s="1" t="s">
        <v>160</v>
      </c>
      <c r="C210" s="1">
        <v>7.3780000000000001</v>
      </c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 x14ac:dyDescent="0.25">
      <c r="A211" s="1">
        <v>2457321.58445</v>
      </c>
      <c r="B211" s="1" t="s">
        <v>162</v>
      </c>
      <c r="C211" s="1">
        <v>7.5281000000000002</v>
      </c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 x14ac:dyDescent="0.25">
      <c r="A212" s="1">
        <v>2457322.5630399999</v>
      </c>
      <c r="B212" s="1" t="s">
        <v>163</v>
      </c>
      <c r="C212" s="1">
        <v>7.5410000000000004</v>
      </c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 x14ac:dyDescent="0.25">
      <c r="A213" s="1">
        <v>2457324.8054599999</v>
      </c>
      <c r="B213" s="1" t="s">
        <v>165</v>
      </c>
      <c r="C213" s="1">
        <v>7.4320000000000004</v>
      </c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 x14ac:dyDescent="0.25">
      <c r="A214" s="1">
        <v>2457326.0028499998</v>
      </c>
      <c r="B214" s="1" t="s">
        <v>166</v>
      </c>
      <c r="C214" s="1">
        <v>7.4712500000000004</v>
      </c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 x14ac:dyDescent="0.25">
      <c r="A215" s="1">
        <v>2457328.36143</v>
      </c>
      <c r="B215" s="1" t="s">
        <v>167</v>
      </c>
      <c r="C215" s="1">
        <v>7.5419999999999998</v>
      </c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 x14ac:dyDescent="0.25">
      <c r="A216" s="1">
        <v>2457329.8434700002</v>
      </c>
      <c r="B216" s="1" t="s">
        <v>169</v>
      </c>
      <c r="C216" s="1">
        <v>7.5019999999999998</v>
      </c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 x14ac:dyDescent="0.25">
      <c r="A217" s="1">
        <v>2457330.6407400002</v>
      </c>
      <c r="B217" s="1" t="s">
        <v>170</v>
      </c>
      <c r="C217" s="1">
        <v>7.7631199999999998</v>
      </c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 x14ac:dyDescent="0.25">
      <c r="A218" s="1">
        <v>2457331.5385199999</v>
      </c>
      <c r="B218" s="1" t="s">
        <v>171</v>
      </c>
      <c r="C218" s="1">
        <v>7.5445000000000002</v>
      </c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 x14ac:dyDescent="0.25">
      <c r="A219" s="1">
        <v>2457333.9474300002</v>
      </c>
      <c r="B219" s="1" t="s">
        <v>172</v>
      </c>
      <c r="C219" s="1">
        <v>7.5570000000000004</v>
      </c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 x14ac:dyDescent="0.25">
      <c r="A220" s="1">
        <v>2457335.4615600002</v>
      </c>
      <c r="B220" s="1" t="s">
        <v>173</v>
      </c>
      <c r="C220" s="1">
        <v>7.6115000000000004</v>
      </c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x14ac:dyDescent="0.25">
      <c r="A221" s="1">
        <v>2457339.2631999999</v>
      </c>
      <c r="B221" s="1" t="s">
        <v>175</v>
      </c>
      <c r="C221" s="1">
        <v>7.5650000000000004</v>
      </c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 x14ac:dyDescent="0.25">
      <c r="A222" s="1">
        <v>2457341.4723299998</v>
      </c>
      <c r="B222" s="1" t="s">
        <v>176</v>
      </c>
      <c r="C222" s="1">
        <v>7.548</v>
      </c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 x14ac:dyDescent="0.25">
      <c r="A223" s="1">
        <v>2457343.7295900001</v>
      </c>
      <c r="B223" s="1" t="s">
        <v>180</v>
      </c>
      <c r="C223" s="1">
        <v>7.5317499999999997</v>
      </c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 x14ac:dyDescent="0.25">
      <c r="A224" s="1">
        <v>2457344.7892800001</v>
      </c>
      <c r="B224" s="1" t="s">
        <v>178</v>
      </c>
      <c r="C224" s="1">
        <v>7.5413329999999998</v>
      </c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 x14ac:dyDescent="0.25">
      <c r="A225" s="1">
        <v>2457347.5323600001</v>
      </c>
      <c r="B225" s="1" t="s">
        <v>181</v>
      </c>
      <c r="C225" s="1">
        <v>7.5060000000000002</v>
      </c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 x14ac:dyDescent="0.25">
      <c r="A226" s="1">
        <v>2457350.0152599998</v>
      </c>
      <c r="B226" s="1" t="s">
        <v>179</v>
      </c>
      <c r="C226" s="1">
        <v>7.5947500000000003</v>
      </c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 x14ac:dyDescent="0.25">
      <c r="A227" s="1">
        <v>2457351.5302400002</v>
      </c>
      <c r="B227" s="1" t="s">
        <v>183</v>
      </c>
      <c r="C227" s="1">
        <v>7.6340000000000003</v>
      </c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 x14ac:dyDescent="0.25">
      <c r="A228" s="1">
        <v>2457356.4262399999</v>
      </c>
      <c r="B228" s="1" t="s">
        <v>184</v>
      </c>
      <c r="C228" s="1">
        <v>7.6859999999999999</v>
      </c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 x14ac:dyDescent="0.25">
      <c r="A229" s="1">
        <v>2457358.5329700001</v>
      </c>
      <c r="B229" s="1" t="s">
        <v>185</v>
      </c>
      <c r="C229" s="1">
        <v>7.7519999999999998</v>
      </c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 x14ac:dyDescent="0.25">
      <c r="A230" s="1">
        <v>2457360.32015</v>
      </c>
      <c r="B230" s="1" t="s">
        <v>186</v>
      </c>
      <c r="C230" s="1">
        <v>7.7683330000000002</v>
      </c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 x14ac:dyDescent="0.25">
      <c r="A231" s="1">
        <v>2457361.87524</v>
      </c>
      <c r="B231" s="1" t="s">
        <v>188</v>
      </c>
      <c r="C231" s="1">
        <v>7.7846669999999998</v>
      </c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 x14ac:dyDescent="0.25">
      <c r="A232" s="1">
        <v>2457363.5332399998</v>
      </c>
      <c r="B232" s="1" t="s">
        <v>189</v>
      </c>
      <c r="C232" s="1">
        <v>7.8550000000000004</v>
      </c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 x14ac:dyDescent="0.25">
      <c r="A233" s="1">
        <v>2457366.3179500001</v>
      </c>
      <c r="B233" s="1" t="s">
        <v>190</v>
      </c>
      <c r="C233" s="1">
        <v>7.9029999999999996</v>
      </c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 x14ac:dyDescent="0.25">
      <c r="A234" s="1">
        <v>2457368.3937499998</v>
      </c>
      <c r="B234" s="1" t="s">
        <v>191</v>
      </c>
      <c r="C234" s="1">
        <v>7.8579999999999997</v>
      </c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 x14ac:dyDescent="0.25">
      <c r="A235" s="1">
        <v>2457370.5397199998</v>
      </c>
      <c r="B235" s="1" t="s">
        <v>193</v>
      </c>
      <c r="C235" s="1">
        <v>7.923</v>
      </c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 x14ac:dyDescent="0.25">
      <c r="A236" s="1">
        <v>2457372.5839800001</v>
      </c>
      <c r="B236" s="1" t="s">
        <v>195</v>
      </c>
      <c r="C236" s="1">
        <v>7.9340000000000002</v>
      </c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 x14ac:dyDescent="0.25">
      <c r="A237" s="1">
        <v>2457373.5373499999</v>
      </c>
      <c r="B237" s="1" t="s">
        <v>196</v>
      </c>
      <c r="C237" s="1">
        <v>7.9580000000000002</v>
      </c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 x14ac:dyDescent="0.25">
      <c r="A238" s="1">
        <v>2457375.0941599999</v>
      </c>
      <c r="B238" s="1" t="s">
        <v>197</v>
      </c>
      <c r="C238" s="1">
        <v>7.9390000000000001</v>
      </c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 x14ac:dyDescent="0.25">
      <c r="A239" s="1">
        <v>2457376.43462</v>
      </c>
      <c r="B239" s="1" t="s">
        <v>198</v>
      </c>
      <c r="C239" s="1">
        <v>7.9580000000000002</v>
      </c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 x14ac:dyDescent="0.25">
      <c r="A240" s="1">
        <v>2457377.6417399999</v>
      </c>
      <c r="B240" s="1" t="s">
        <v>199</v>
      </c>
      <c r="C240" s="1">
        <v>7.8730000000000002</v>
      </c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 x14ac:dyDescent="0.25">
      <c r="A241" s="1">
        <v>2457381.33941</v>
      </c>
      <c r="B241" s="1" t="s">
        <v>200</v>
      </c>
      <c r="C241" s="1">
        <v>7.8789999999999996</v>
      </c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1:27" x14ac:dyDescent="0.25">
      <c r="A242" s="1">
        <v>2457386.4139100001</v>
      </c>
      <c r="B242" s="1" t="s">
        <v>201</v>
      </c>
      <c r="C242" s="1">
        <v>8.0009999999999994</v>
      </c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1:27" x14ac:dyDescent="0.25">
      <c r="A243" s="1">
        <v>2457391.5421600002</v>
      </c>
      <c r="B243" s="1" t="s">
        <v>202</v>
      </c>
      <c r="C243" s="1">
        <v>8.0120000000000005</v>
      </c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1:27" x14ac:dyDescent="0.25">
      <c r="A244" s="1">
        <v>2457395.5373499999</v>
      </c>
      <c r="B244" s="1" t="s">
        <v>203</v>
      </c>
      <c r="C244" s="1">
        <v>8.1</v>
      </c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1:27" x14ac:dyDescent="0.25">
      <c r="A245" s="1">
        <v>2457402.5403800001</v>
      </c>
      <c r="B245" s="1" t="s">
        <v>204</v>
      </c>
      <c r="C245" s="1">
        <v>8.0619999999999994</v>
      </c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1:27" x14ac:dyDescent="0.25">
      <c r="A246" s="1">
        <v>2457404.5453699999</v>
      </c>
      <c r="B246" s="1" t="s">
        <v>205</v>
      </c>
      <c r="C246" s="1">
        <v>8.0180000000000007</v>
      </c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1:27" x14ac:dyDescent="0.25">
      <c r="A247" s="1">
        <v>2457407.48043</v>
      </c>
      <c r="B247" s="1" t="s">
        <v>206</v>
      </c>
      <c r="C247" s="1">
        <v>8.1280000000000001</v>
      </c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1:27" x14ac:dyDescent="0.25">
      <c r="A248" s="1">
        <v>2457409.5445400001</v>
      </c>
      <c r="B248" s="1" t="s">
        <v>207</v>
      </c>
      <c r="C248" s="1">
        <v>8.2110000000000003</v>
      </c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1:27" x14ac:dyDescent="0.25">
      <c r="A249" s="1">
        <v>2457410.5448099999</v>
      </c>
      <c r="B249" s="1" t="s">
        <v>208</v>
      </c>
      <c r="C249" s="1">
        <v>8.1349999999999998</v>
      </c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1:27" x14ac:dyDescent="0.25">
      <c r="A250" s="1">
        <v>2457484.9080500002</v>
      </c>
      <c r="B250" s="1" t="s">
        <v>209</v>
      </c>
      <c r="C250" s="1">
        <v>8.3684999999999992</v>
      </c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1:27" x14ac:dyDescent="0.25">
      <c r="A251" s="1">
        <v>2457494.0155600002</v>
      </c>
      <c r="B251" s="1" t="s">
        <v>210</v>
      </c>
      <c r="C251" s="1">
        <v>8.3979999999999997</v>
      </c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1:27" x14ac:dyDescent="0.25">
      <c r="A252" s="1">
        <v>2457499.9983799998</v>
      </c>
      <c r="B252" s="1" t="s">
        <v>211</v>
      </c>
      <c r="C252" s="1">
        <v>8.3874999999999993</v>
      </c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1:27" x14ac:dyDescent="0.25">
      <c r="A253" s="1">
        <v>2457502.8558299998</v>
      </c>
      <c r="B253" s="1" t="s">
        <v>212</v>
      </c>
      <c r="C253" s="1">
        <v>8.3719999999999999</v>
      </c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1:27" x14ac:dyDescent="0.25">
      <c r="A254" s="1">
        <v>2457506.8363800002</v>
      </c>
      <c r="B254" s="1" t="s">
        <v>213</v>
      </c>
      <c r="C254" s="1">
        <v>8.4819999999999993</v>
      </c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1:27" x14ac:dyDescent="0.25">
      <c r="A255" s="1">
        <v>2457534.9905699999</v>
      </c>
      <c r="B255" s="1" t="s">
        <v>214</v>
      </c>
      <c r="C255" s="1">
        <v>8.4465000000000003</v>
      </c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1:27" x14ac:dyDescent="0.25">
      <c r="A256" s="1">
        <v>2457539.4783399999</v>
      </c>
      <c r="B256" s="1" t="s">
        <v>215</v>
      </c>
      <c r="C256" s="1">
        <v>8.4565000000000001</v>
      </c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1:27" x14ac:dyDescent="0.25">
      <c r="A257" s="1">
        <v>2457540.96367</v>
      </c>
      <c r="B257" s="1" t="s">
        <v>216</v>
      </c>
      <c r="C257" s="1">
        <v>8.4435000000000002</v>
      </c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1:27" x14ac:dyDescent="0.25">
      <c r="A258" s="1">
        <v>2457542.9758799998</v>
      </c>
      <c r="B258" s="1" t="s">
        <v>217</v>
      </c>
      <c r="C258" s="1">
        <v>8.4600000000000009</v>
      </c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1:27" x14ac:dyDescent="0.25">
      <c r="A259" s="1">
        <v>2457544.9832299999</v>
      </c>
      <c r="B259" s="1" t="s">
        <v>218</v>
      </c>
      <c r="C259" s="1">
        <v>8.4580000000000002</v>
      </c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1:27" x14ac:dyDescent="0.25">
      <c r="A260" s="1">
        <v>2457552.9647300001</v>
      </c>
      <c r="B260" s="1" t="s">
        <v>219</v>
      </c>
      <c r="C260" s="1">
        <v>8.5039999999999996</v>
      </c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1:27" x14ac:dyDescent="0.25">
      <c r="A261" s="1">
        <v>2457553.9799799998</v>
      </c>
      <c r="B261" s="1" t="s">
        <v>220</v>
      </c>
      <c r="C261" s="1">
        <v>8.5124999999999993</v>
      </c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1:27" x14ac:dyDescent="0.25">
      <c r="A262" s="1">
        <v>2457554.98484</v>
      </c>
      <c r="B262" s="1" t="s">
        <v>221</v>
      </c>
      <c r="C262" s="1">
        <v>8.5190000000000001</v>
      </c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1:27" x14ac:dyDescent="0.25">
      <c r="A263" s="1">
        <v>2457557.92142</v>
      </c>
      <c r="B263" s="1" t="s">
        <v>222</v>
      </c>
      <c r="C263" s="1">
        <v>8.5314999999999994</v>
      </c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1:27" x14ac:dyDescent="0.25">
      <c r="A264" s="1">
        <v>2457559.43199</v>
      </c>
      <c r="B264" s="1" t="s">
        <v>223</v>
      </c>
      <c r="C264" s="1">
        <v>8.532</v>
      </c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1:27" x14ac:dyDescent="0.25">
      <c r="A265" s="1">
        <v>2457560.7048599999</v>
      </c>
      <c r="B265" s="1" t="s">
        <v>224</v>
      </c>
      <c r="C265" s="1">
        <v>8.5429999999999993</v>
      </c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1:27" x14ac:dyDescent="0.25">
      <c r="A266" s="1">
        <v>2457561.8622499998</v>
      </c>
      <c r="B266" s="1" t="s">
        <v>225</v>
      </c>
      <c r="C266" s="1">
        <v>8.5449999999999999</v>
      </c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1:27" x14ac:dyDescent="0.25">
      <c r="A267" s="1">
        <v>2457565.6665500002</v>
      </c>
      <c r="B267" s="1" t="s">
        <v>226</v>
      </c>
      <c r="C267" s="1">
        <v>8.5399999999999991</v>
      </c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</row>
    <row r="268" spans="1:27" x14ac:dyDescent="0.25">
      <c r="A268" s="1">
        <v>2457567.11729</v>
      </c>
      <c r="B268" s="1" t="s">
        <v>227</v>
      </c>
      <c r="C268" s="1">
        <v>8.5050000000000008</v>
      </c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x14ac:dyDescent="0.25">
      <c r="A269" s="1">
        <v>2457567.8842699998</v>
      </c>
      <c r="B269" s="1" t="s">
        <v>228</v>
      </c>
      <c r="C269" s="1">
        <v>8.5024999999999995</v>
      </c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</row>
    <row r="270" spans="1:27" x14ac:dyDescent="0.25">
      <c r="A270" s="1">
        <v>2457569.8619400002</v>
      </c>
      <c r="B270" s="1" t="s">
        <v>229</v>
      </c>
      <c r="C270" s="1">
        <v>8.5120000000000005</v>
      </c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</row>
    <row r="271" spans="1:27" x14ac:dyDescent="0.25">
      <c r="A271" s="1">
        <v>2457571.4293999998</v>
      </c>
      <c r="B271" s="1" t="s">
        <v>230</v>
      </c>
      <c r="C271" s="1">
        <v>8.4782499999999992</v>
      </c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</row>
    <row r="272" spans="1:27" x14ac:dyDescent="0.25">
      <c r="A272" s="1">
        <v>2457572.6518799998</v>
      </c>
      <c r="B272" s="1" t="s">
        <v>231</v>
      </c>
      <c r="C272" s="1">
        <v>8.5289999999999999</v>
      </c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</row>
    <row r="273" spans="1:27" x14ac:dyDescent="0.25">
      <c r="A273" s="1">
        <v>2457573.8339800001</v>
      </c>
      <c r="B273" s="1" t="s">
        <v>232</v>
      </c>
      <c r="C273" s="1">
        <v>8.4734999999999996</v>
      </c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</row>
    <row r="274" spans="1:27" x14ac:dyDescent="0.25">
      <c r="A274" s="1">
        <v>2457575.3316500001</v>
      </c>
      <c r="B274" s="1" t="s">
        <v>233</v>
      </c>
      <c r="C274" s="1">
        <v>8.4862500000000001</v>
      </c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</row>
    <row r="275" spans="1:27" x14ac:dyDescent="0.25">
      <c r="A275" s="1">
        <v>2457576.37402</v>
      </c>
      <c r="B275" s="1" t="s">
        <v>234</v>
      </c>
      <c r="C275" s="1">
        <v>8.4651999999999994</v>
      </c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</row>
    <row r="276" spans="1:27" x14ac:dyDescent="0.25">
      <c r="A276" s="1">
        <v>2457577.4306000001</v>
      </c>
      <c r="B276" s="1" t="s">
        <v>235</v>
      </c>
      <c r="C276" s="1">
        <v>8.42</v>
      </c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</row>
    <row r="277" spans="1:27" x14ac:dyDescent="0.25">
      <c r="A277" s="1">
        <v>2457579.7323799999</v>
      </c>
      <c r="B277" s="1" t="s">
        <v>236</v>
      </c>
      <c r="C277" s="1">
        <v>8.4120000000000008</v>
      </c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</row>
    <row r="278" spans="1:27" x14ac:dyDescent="0.25">
      <c r="A278" s="1">
        <v>2457581.8344100001</v>
      </c>
      <c r="B278" s="1" t="s">
        <v>237</v>
      </c>
      <c r="C278" s="1">
        <v>8.4459999999999997</v>
      </c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</row>
    <row r="279" spans="1:27" x14ac:dyDescent="0.25">
      <c r="A279" s="1">
        <v>2457583.4586700001</v>
      </c>
      <c r="B279" s="1" t="s">
        <v>238</v>
      </c>
      <c r="C279" s="1">
        <v>8.468</v>
      </c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</row>
    <row r="280" spans="1:27" x14ac:dyDescent="0.25">
      <c r="A280" s="1">
        <v>2457584.7039000001</v>
      </c>
      <c r="B280" s="1" t="s">
        <v>239</v>
      </c>
      <c r="C280" s="1">
        <v>8.4339999999999993</v>
      </c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</row>
    <row r="281" spans="1:27" x14ac:dyDescent="0.25">
      <c r="A281" s="1">
        <v>2457585.77526</v>
      </c>
      <c r="B281" s="1" t="s">
        <v>240</v>
      </c>
      <c r="C281" s="1">
        <v>8.4105000000000008</v>
      </c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</row>
    <row r="282" spans="1:27" x14ac:dyDescent="0.25">
      <c r="A282" s="1">
        <v>2457588.7249599998</v>
      </c>
      <c r="B282" s="1" t="s">
        <v>241</v>
      </c>
      <c r="C282" s="1">
        <v>8.4719999999999995</v>
      </c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</row>
    <row r="283" spans="1:27" x14ac:dyDescent="0.25">
      <c r="A283" s="1">
        <v>2457591.1146200001</v>
      </c>
      <c r="B283" s="1" t="s">
        <v>243</v>
      </c>
      <c r="C283" s="1">
        <v>8.5214999999999996</v>
      </c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</row>
    <row r="284" spans="1:27" x14ac:dyDescent="0.25">
      <c r="A284" s="1">
        <v>2457592.3741700002</v>
      </c>
      <c r="B284" s="1" t="s">
        <v>244</v>
      </c>
      <c r="C284" s="1">
        <v>8.5073329999999991</v>
      </c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</row>
    <row r="285" spans="1:27" x14ac:dyDescent="0.25">
      <c r="A285" s="1">
        <v>2457594.6839899998</v>
      </c>
      <c r="B285" s="1" t="s">
        <v>246</v>
      </c>
      <c r="C285" s="1">
        <v>8.4860000000000007</v>
      </c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</row>
    <row r="286" spans="1:27" x14ac:dyDescent="0.25">
      <c r="A286" s="1">
        <v>2457597.3785000001</v>
      </c>
      <c r="B286" s="1" t="s">
        <v>247</v>
      </c>
      <c r="C286" s="1">
        <v>8.42</v>
      </c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</row>
    <row r="287" spans="1:27" x14ac:dyDescent="0.25">
      <c r="A287" s="1">
        <v>2457599.6058700001</v>
      </c>
      <c r="B287" s="1" t="s">
        <v>248</v>
      </c>
      <c r="C287" s="1">
        <v>8.5500000000000007</v>
      </c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</row>
    <row r="288" spans="1:27" x14ac:dyDescent="0.25">
      <c r="A288" s="1">
        <v>2457604.2196999998</v>
      </c>
      <c r="B288" s="1" t="s">
        <v>249</v>
      </c>
      <c r="C288" s="1">
        <v>8.5546670000000002</v>
      </c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</row>
    <row r="289" spans="1:27" x14ac:dyDescent="0.25">
      <c r="A289" s="1">
        <v>2457605.5430100001</v>
      </c>
      <c r="B289" s="1" t="s">
        <v>251</v>
      </c>
      <c r="C289" s="1">
        <v>8.5655000000000001</v>
      </c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</row>
    <row r="290" spans="1:27" x14ac:dyDescent="0.25">
      <c r="A290" s="1">
        <v>2457610.6886999998</v>
      </c>
      <c r="B290" s="1" t="s">
        <v>252</v>
      </c>
      <c r="C290" s="1">
        <v>8.6159999999999997</v>
      </c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</row>
    <row r="291" spans="1:27" x14ac:dyDescent="0.25">
      <c r="A291" s="1">
        <v>2457612.52941</v>
      </c>
      <c r="B291" s="1" t="s">
        <v>253</v>
      </c>
      <c r="C291" s="1">
        <v>8.57</v>
      </c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</row>
    <row r="292" spans="1:27" x14ac:dyDescent="0.25">
      <c r="A292" s="1">
        <v>2457614.3808800001</v>
      </c>
      <c r="B292" s="1" t="s">
        <v>254</v>
      </c>
      <c r="C292" s="1">
        <v>8.9849999999999994</v>
      </c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</row>
    <row r="293" spans="1:27" x14ac:dyDescent="0.25">
      <c r="A293" s="1">
        <v>2457616.66029</v>
      </c>
      <c r="B293" s="1" t="s">
        <v>255</v>
      </c>
      <c r="C293" s="1">
        <v>8.375</v>
      </c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</row>
    <row r="294" spans="1:27" x14ac:dyDescent="0.25">
      <c r="A294" s="1">
        <v>2457617.8043399998</v>
      </c>
      <c r="B294" s="1" t="s">
        <v>256</v>
      </c>
      <c r="C294" s="1">
        <v>8.6210000000000004</v>
      </c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</row>
    <row r="295" spans="1:27" x14ac:dyDescent="0.25">
      <c r="A295" s="1">
        <v>2457622.97848</v>
      </c>
      <c r="B295" s="1" t="s">
        <v>257</v>
      </c>
      <c r="C295" s="1">
        <v>8.5745000000000005</v>
      </c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</row>
    <row r="296" spans="1:27" x14ac:dyDescent="0.25">
      <c r="A296" s="1">
        <v>2457624.84926</v>
      </c>
      <c r="B296" s="1" t="s">
        <v>258</v>
      </c>
      <c r="C296" s="1">
        <v>8.6430000000000007</v>
      </c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</row>
    <row r="297" spans="1:27" x14ac:dyDescent="0.25">
      <c r="A297" s="1">
        <v>2457631.2328699999</v>
      </c>
      <c r="B297" s="1" t="s">
        <v>259</v>
      </c>
      <c r="C297" s="1">
        <v>8.7129999999999992</v>
      </c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</row>
    <row r="298" spans="1:27" x14ac:dyDescent="0.25">
      <c r="A298" s="1">
        <v>2457636.7237800001</v>
      </c>
      <c r="B298" s="1" t="s">
        <v>261</v>
      </c>
      <c r="C298" s="1">
        <v>8.7309999999999999</v>
      </c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</row>
    <row r="299" spans="1:27" x14ac:dyDescent="0.25">
      <c r="A299" s="1">
        <v>2457640.3083000001</v>
      </c>
      <c r="B299" s="1" t="s">
        <v>262</v>
      </c>
      <c r="C299" s="1">
        <v>8.59</v>
      </c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</row>
    <row r="300" spans="1:27" x14ac:dyDescent="0.25">
      <c r="A300" s="1">
        <v>2457643.6228399999</v>
      </c>
      <c r="B300" s="1" t="s">
        <v>263</v>
      </c>
      <c r="C300" s="1">
        <v>8.7550000000000008</v>
      </c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</row>
    <row r="301" spans="1:27" x14ac:dyDescent="0.25">
      <c r="A301" s="1">
        <v>2457645.4358100002</v>
      </c>
      <c r="B301" s="1" t="s">
        <v>264</v>
      </c>
      <c r="C301" s="1">
        <v>8.6780000000000008</v>
      </c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</row>
    <row r="302" spans="1:27" x14ac:dyDescent="0.25">
      <c r="A302" s="1">
        <v>2457648.03743</v>
      </c>
      <c r="B302" s="1" t="s">
        <v>265</v>
      </c>
      <c r="C302" s="1">
        <v>8.7272499999999997</v>
      </c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</row>
    <row r="303" spans="1:27" x14ac:dyDescent="0.25">
      <c r="A303" s="1">
        <v>2457650.6710100002</v>
      </c>
      <c r="B303" s="1" t="s">
        <v>267</v>
      </c>
      <c r="C303" s="1">
        <v>8.7370000000000001</v>
      </c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</row>
    <row r="304" spans="1:27" x14ac:dyDescent="0.25">
      <c r="A304" s="1">
        <v>2457651.6745099998</v>
      </c>
      <c r="B304" s="1" t="s">
        <v>268</v>
      </c>
      <c r="C304" s="1">
        <v>8.7230000000000008</v>
      </c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</row>
    <row r="305" spans="1:27" x14ac:dyDescent="0.25">
      <c r="A305" s="1">
        <v>2457655.1083900002</v>
      </c>
      <c r="B305" s="1" t="s">
        <v>269</v>
      </c>
      <c r="C305" s="1">
        <v>8.766</v>
      </c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</row>
    <row r="306" spans="1:27" x14ac:dyDescent="0.25">
      <c r="A306" s="1">
        <v>2457657.3097000001</v>
      </c>
      <c r="B306" s="1" t="s">
        <v>271</v>
      </c>
      <c r="C306" s="1">
        <v>8.7799999999999994</v>
      </c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</row>
    <row r="307" spans="1:27" x14ac:dyDescent="0.25">
      <c r="A307" s="1">
        <v>2457658.8562799999</v>
      </c>
      <c r="B307" s="1" t="s">
        <v>272</v>
      </c>
      <c r="C307" s="1">
        <v>8.7769999999999992</v>
      </c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</row>
    <row r="308" spans="1:27" x14ac:dyDescent="0.25">
      <c r="A308" s="1">
        <v>2457667.6885899999</v>
      </c>
      <c r="B308" s="1" t="s">
        <v>273</v>
      </c>
      <c r="C308" s="1">
        <v>8.8249999999999993</v>
      </c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</row>
    <row r="309" spans="1:27" x14ac:dyDescent="0.25">
      <c r="A309" s="1">
        <v>2457672.5010500001</v>
      </c>
      <c r="B309" s="1" t="s">
        <v>274</v>
      </c>
      <c r="C309" s="1">
        <v>8.907</v>
      </c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</row>
    <row r="310" spans="1:27" x14ac:dyDescent="0.25">
      <c r="A310" s="1">
        <v>2457676.2395000001</v>
      </c>
      <c r="B310" s="1" t="s">
        <v>275</v>
      </c>
      <c r="C310" s="1">
        <v>8.8856669999999998</v>
      </c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</row>
    <row r="311" spans="1:27" x14ac:dyDescent="0.25">
      <c r="A311" s="1">
        <v>2457677.53394</v>
      </c>
      <c r="B311" s="1" t="s">
        <v>277</v>
      </c>
      <c r="C311" s="1">
        <v>8.8379999999999992</v>
      </c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</row>
    <row r="312" spans="1:27" x14ac:dyDescent="0.25">
      <c r="A312" s="1">
        <v>2457681.0550799998</v>
      </c>
      <c r="B312" s="1" t="s">
        <v>278</v>
      </c>
      <c r="C312" s="1">
        <v>8.9130000000000003</v>
      </c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</row>
    <row r="313" spans="1:27" x14ac:dyDescent="0.25">
      <c r="A313" s="1">
        <v>2457685.5114099998</v>
      </c>
      <c r="B313" s="1" t="s">
        <v>280</v>
      </c>
      <c r="C313" s="1">
        <v>8.9369999999999994</v>
      </c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</row>
    <row r="314" spans="1:27" x14ac:dyDescent="0.25">
      <c r="A314" s="1">
        <v>2457687.1038500001</v>
      </c>
      <c r="B314" s="1" t="s">
        <v>281</v>
      </c>
      <c r="C314" s="1">
        <v>8.8465000000000007</v>
      </c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</row>
    <row r="315" spans="1:27" x14ac:dyDescent="0.25">
      <c r="A315" s="1">
        <v>2457693.5034500002</v>
      </c>
      <c r="B315" s="1" t="s">
        <v>283</v>
      </c>
      <c r="C315" s="1">
        <v>8.9890000000000008</v>
      </c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</row>
    <row r="316" spans="1:27" x14ac:dyDescent="0.25">
      <c r="A316" s="1">
        <v>2457697.5901299999</v>
      </c>
      <c r="B316" s="1" t="s">
        <v>284</v>
      </c>
      <c r="C316" s="1">
        <v>8.92</v>
      </c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x14ac:dyDescent="0.25">
      <c r="A317" s="1">
        <v>2457701.5746900002</v>
      </c>
      <c r="B317" s="1" t="s">
        <v>285</v>
      </c>
      <c r="C317" s="1">
        <v>8.9779999999999998</v>
      </c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</row>
    <row r="318" spans="1:27" x14ac:dyDescent="0.25">
      <c r="A318" s="1">
        <v>2457704.5206800001</v>
      </c>
      <c r="B318" s="1" t="s">
        <v>286</v>
      </c>
      <c r="C318" s="1">
        <v>8.9619999999999997</v>
      </c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</row>
    <row r="319" spans="1:27" x14ac:dyDescent="0.25">
      <c r="A319" s="1">
        <v>2457706.5666700001</v>
      </c>
      <c r="B319" s="1" t="s">
        <v>287</v>
      </c>
      <c r="C319" s="1">
        <v>8.9380000000000006</v>
      </c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</row>
    <row r="320" spans="1:27" x14ac:dyDescent="0.25">
      <c r="A320" s="1">
        <v>2457709.1108499998</v>
      </c>
      <c r="B320" s="1" t="s">
        <v>288</v>
      </c>
      <c r="C320" s="1">
        <v>8.9664999999999999</v>
      </c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</row>
    <row r="321" spans="1:27" x14ac:dyDescent="0.25">
      <c r="A321" s="1">
        <v>2457714.5320000001</v>
      </c>
      <c r="B321" s="1" t="s">
        <v>289</v>
      </c>
      <c r="C321" s="1">
        <v>8.9190000000000005</v>
      </c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</row>
    <row r="322" spans="1:27" x14ac:dyDescent="0.25">
      <c r="A322" s="1">
        <v>2457722.9241200001</v>
      </c>
      <c r="B322" s="1" t="s">
        <v>290</v>
      </c>
      <c r="C322" s="1">
        <v>8.9120000000000008</v>
      </c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</row>
    <row r="323" spans="1:27" x14ac:dyDescent="0.25">
      <c r="A323" s="1">
        <v>2457743.5244</v>
      </c>
      <c r="B323" s="1" t="s">
        <v>1583</v>
      </c>
      <c r="C323" s="1">
        <v>8.9429999999999996</v>
      </c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</row>
    <row r="324" spans="1:27" x14ac:dyDescent="0.25">
      <c r="A324" s="1">
        <v>2457773.2366599999</v>
      </c>
      <c r="B324" s="1" t="s">
        <v>1593</v>
      </c>
      <c r="C324" s="1">
        <v>8.8439999999999994</v>
      </c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</row>
    <row r="325" spans="1:27" x14ac:dyDescent="0.25">
      <c r="A325" s="1">
        <v>2457876.84039</v>
      </c>
      <c r="B325" s="1" t="s">
        <v>1594</v>
      </c>
      <c r="C325" s="1">
        <v>8.7189999999999994</v>
      </c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</row>
    <row r="326" spans="1:27" x14ac:dyDescent="0.25">
      <c r="A326" s="1">
        <v>2457877.84454</v>
      </c>
      <c r="B326" s="1" t="s">
        <v>1595</v>
      </c>
      <c r="C326" s="1">
        <v>8.6479999999999997</v>
      </c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</row>
    <row r="327" spans="1:27" x14ac:dyDescent="0.25">
      <c r="A327" s="1">
        <v>2457914.7240399998</v>
      </c>
      <c r="B327" s="1" t="s">
        <v>1596</v>
      </c>
      <c r="C327" s="1">
        <v>8.66</v>
      </c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</row>
    <row r="328" spans="1:27" x14ac:dyDescent="0.25">
      <c r="A328" s="1">
        <v>2457916.72291</v>
      </c>
      <c r="B328" s="1" t="s">
        <v>1597</v>
      </c>
      <c r="C328" s="1">
        <v>8.6289999999999996</v>
      </c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</row>
    <row r="329" spans="1:27" x14ac:dyDescent="0.25">
      <c r="A329" s="1">
        <v>2457923.52428</v>
      </c>
      <c r="B329" s="1" t="s">
        <v>1598</v>
      </c>
      <c r="C329" s="1">
        <v>8.7219999999999995</v>
      </c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</row>
    <row r="330" spans="1:27" x14ac:dyDescent="0.25">
      <c r="A330" s="1">
        <v>2457926.2075999998</v>
      </c>
      <c r="B330" s="1" t="s">
        <v>1599</v>
      </c>
      <c r="C330" s="1">
        <v>8.6415000000000006</v>
      </c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</row>
    <row r="331" spans="1:27" x14ac:dyDescent="0.25">
      <c r="A331" s="1">
        <v>2457930.2348199999</v>
      </c>
      <c r="B331" s="1" t="s">
        <v>1600</v>
      </c>
      <c r="C331" s="1">
        <v>8.7686670000000007</v>
      </c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</row>
    <row r="332" spans="1:27" x14ac:dyDescent="0.25">
      <c r="A332" s="1">
        <v>2457939.27116</v>
      </c>
      <c r="B332" s="1" t="s">
        <v>1601</v>
      </c>
      <c r="C332" s="1">
        <v>8.7100000000000009</v>
      </c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</row>
    <row r="333" spans="1:27" x14ac:dyDescent="0.25">
      <c r="A333" s="1">
        <v>2457940.66475</v>
      </c>
      <c r="B333" s="1" t="s">
        <v>1602</v>
      </c>
      <c r="C333" s="1">
        <v>8.7080000000000002</v>
      </c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</row>
    <row r="334" spans="1:27" x14ac:dyDescent="0.25">
      <c r="A334" s="1">
        <v>2457951.26559</v>
      </c>
      <c r="B334" s="1" t="s">
        <v>1603</v>
      </c>
      <c r="C334" s="1">
        <v>8.7003330000000005</v>
      </c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</row>
    <row r="335" spans="1:27" x14ac:dyDescent="0.25">
      <c r="A335" s="1">
        <v>2457954.6657099999</v>
      </c>
      <c r="B335" s="1" t="s">
        <v>1604</v>
      </c>
      <c r="C335" s="1">
        <v>8.6229999999999993</v>
      </c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</row>
    <row r="336" spans="1:27" x14ac:dyDescent="0.25">
      <c r="A336" s="1">
        <v>2457955.6995000001</v>
      </c>
      <c r="B336" s="1" t="s">
        <v>1605</v>
      </c>
      <c r="C336" s="1">
        <v>8.67</v>
      </c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</row>
    <row r="337" spans="1:27" x14ac:dyDescent="0.25">
      <c r="A337" s="1">
        <v>2457959.5143400002</v>
      </c>
      <c r="B337" s="1" t="s">
        <v>1606</v>
      </c>
      <c r="C337" s="1">
        <v>8.7330000000000005</v>
      </c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</row>
    <row r="338" spans="1:27" x14ac:dyDescent="0.25">
      <c r="A338" s="1">
        <v>2457960.6615399998</v>
      </c>
      <c r="B338" s="1" t="s">
        <v>1607</v>
      </c>
      <c r="C338" s="1">
        <v>8.6</v>
      </c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</row>
    <row r="339" spans="1:27" x14ac:dyDescent="0.25">
      <c r="A339" s="1">
        <v>2457962.42717</v>
      </c>
      <c r="B339" s="1" t="s">
        <v>1608</v>
      </c>
      <c r="C339" s="1">
        <v>8.6110000000000007</v>
      </c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</row>
    <row r="340" spans="1:27" x14ac:dyDescent="0.25">
      <c r="A340" s="1">
        <v>2457966.50318</v>
      </c>
      <c r="B340" s="1" t="s">
        <v>1609</v>
      </c>
      <c r="C340" s="1">
        <v>8.6473329999999997</v>
      </c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</row>
    <row r="341" spans="1:27" x14ac:dyDescent="0.25">
      <c r="A341" s="1">
        <v>2457972.6188400001</v>
      </c>
      <c r="B341" s="1" t="s">
        <v>1610</v>
      </c>
      <c r="C341" s="1">
        <v>8.6020000000000003</v>
      </c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</row>
    <row r="342" spans="1:27" x14ac:dyDescent="0.25">
      <c r="A342" s="1">
        <v>2457974.5761099998</v>
      </c>
      <c r="B342" s="1" t="s">
        <v>1611</v>
      </c>
      <c r="C342" s="1">
        <v>8.5839999999999996</v>
      </c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</row>
    <row r="343" spans="1:27" x14ac:dyDescent="0.25">
      <c r="A343" s="1">
        <v>2457976.1449600002</v>
      </c>
      <c r="B343" s="1" t="s">
        <v>1612</v>
      </c>
      <c r="C343" s="1">
        <v>8.59</v>
      </c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</row>
    <row r="344" spans="1:27" x14ac:dyDescent="0.25">
      <c r="A344" s="1">
        <v>2457980.0554499999</v>
      </c>
      <c r="B344" s="1" t="s">
        <v>1613</v>
      </c>
      <c r="C344" s="1">
        <v>8.5190000000000001</v>
      </c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</row>
    <row r="345" spans="1:27" x14ac:dyDescent="0.25">
      <c r="A345" s="1">
        <v>2457981.5152199999</v>
      </c>
      <c r="B345" s="1" t="s">
        <v>1614</v>
      </c>
      <c r="C345" s="1">
        <v>8.4719999999999995</v>
      </c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</row>
    <row r="346" spans="1:27" x14ac:dyDescent="0.25">
      <c r="A346" s="1">
        <v>2457982.5220900001</v>
      </c>
      <c r="B346" s="1" t="s">
        <v>1615</v>
      </c>
      <c r="C346" s="1">
        <v>8.4730000000000008</v>
      </c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</row>
    <row r="347" spans="1:27" x14ac:dyDescent="0.25">
      <c r="A347" s="1">
        <v>2457994.6069</v>
      </c>
      <c r="B347" s="1" t="s">
        <v>1616</v>
      </c>
      <c r="C347" s="1">
        <v>8.5679999999999996</v>
      </c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</row>
    <row r="348" spans="1:27" x14ac:dyDescent="0.25">
      <c r="A348" s="1">
        <v>2457997.67735</v>
      </c>
      <c r="B348" s="1" t="s">
        <v>1617</v>
      </c>
      <c r="C348" s="1">
        <v>8.9135000000000009</v>
      </c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</row>
    <row r="349" spans="1:27" x14ac:dyDescent="0.25">
      <c r="A349" s="1">
        <v>2457998.6883700001</v>
      </c>
      <c r="B349" s="1" t="s">
        <v>1618</v>
      </c>
      <c r="C349" s="1">
        <v>8.5280000000000005</v>
      </c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</row>
    <row r="350" spans="1:27" x14ac:dyDescent="0.25">
      <c r="A350" s="1">
        <v>2458000.6769900001</v>
      </c>
      <c r="B350" s="1" t="s">
        <v>1619</v>
      </c>
      <c r="C350" s="1">
        <v>8.5559999999999992</v>
      </c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</row>
    <row r="351" spans="1:27" x14ac:dyDescent="0.25">
      <c r="A351" s="1">
        <v>2458001.6855000001</v>
      </c>
      <c r="B351" s="1" t="s">
        <v>1620</v>
      </c>
      <c r="C351" s="1">
        <v>8.5060000000000002</v>
      </c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</row>
    <row r="352" spans="1:27" x14ac:dyDescent="0.25">
      <c r="A352" s="1">
        <v>2458003.6855700002</v>
      </c>
      <c r="B352" s="1" t="s">
        <v>1621</v>
      </c>
      <c r="C352" s="1">
        <v>8.5739999999999998</v>
      </c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</row>
    <row r="353" spans="1:27" x14ac:dyDescent="0.25">
      <c r="A353" s="1">
        <v>2458008.5508300001</v>
      </c>
      <c r="B353" s="1" t="s">
        <v>1622</v>
      </c>
      <c r="C353" s="1">
        <v>8.6112000000000002</v>
      </c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</row>
    <row r="354" spans="1:27" x14ac:dyDescent="0.25">
      <c r="A354" s="1">
        <v>2458009.6191799999</v>
      </c>
      <c r="B354" s="1" t="s">
        <v>1623</v>
      </c>
      <c r="C354" s="1">
        <v>8.5305289999999996</v>
      </c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</row>
    <row r="355" spans="1:27" x14ac:dyDescent="0.25">
      <c r="A355" s="1">
        <v>2458011.6269999999</v>
      </c>
      <c r="B355" s="1" t="s">
        <v>1624</v>
      </c>
      <c r="C355" s="1">
        <v>8.5980000000000008</v>
      </c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</row>
    <row r="356" spans="1:27" x14ac:dyDescent="0.25">
      <c r="A356" s="1">
        <v>2458017.3605800001</v>
      </c>
      <c r="B356" s="1" t="s">
        <v>1625</v>
      </c>
      <c r="C356" s="1">
        <v>8.5299999999999994</v>
      </c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</row>
    <row r="357" spans="1:27" x14ac:dyDescent="0.25">
      <c r="A357" s="1">
        <v>2458018.5515000001</v>
      </c>
      <c r="B357" s="1" t="s">
        <v>1626</v>
      </c>
      <c r="C357" s="1">
        <v>8.5425000000000004</v>
      </c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</row>
    <row r="358" spans="1:27" x14ac:dyDescent="0.25">
      <c r="A358" s="1">
        <v>2458020.5932300002</v>
      </c>
      <c r="B358" s="1" t="s">
        <v>1627</v>
      </c>
      <c r="C358" s="1">
        <v>8.4960000000000004</v>
      </c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</row>
    <row r="359" spans="1:27" x14ac:dyDescent="0.25">
      <c r="A359" s="1">
        <v>2458021.7058999999</v>
      </c>
      <c r="B359" s="1" t="s">
        <v>1628</v>
      </c>
      <c r="C359" s="1">
        <v>8.5139999999999993</v>
      </c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</row>
    <row r="360" spans="1:27" x14ac:dyDescent="0.25">
      <c r="A360" s="1">
        <v>2458024.2812999999</v>
      </c>
      <c r="B360" s="1" t="s">
        <v>1629</v>
      </c>
      <c r="C360" s="1">
        <v>8.66</v>
      </c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</row>
    <row r="361" spans="1:27" x14ac:dyDescent="0.25">
      <c r="A361" s="1">
        <v>2458030.4769299999</v>
      </c>
      <c r="B361" s="1" t="s">
        <v>1630</v>
      </c>
      <c r="C361" s="1">
        <v>8.4778330000000004</v>
      </c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</row>
    <row r="362" spans="1:27" x14ac:dyDescent="0.25">
      <c r="A362" s="1">
        <v>2458033.8235599999</v>
      </c>
      <c r="B362" s="1" t="s">
        <v>1631</v>
      </c>
      <c r="C362" s="1">
        <v>8.5305</v>
      </c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</row>
    <row r="363" spans="1:27" x14ac:dyDescent="0.25">
      <c r="A363" s="1">
        <v>2458035.2073300001</v>
      </c>
      <c r="B363" s="1" t="s">
        <v>1632</v>
      </c>
      <c r="C363" s="1">
        <v>8.4776670000000003</v>
      </c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</row>
    <row r="364" spans="1:27" x14ac:dyDescent="0.25">
      <c r="A364" s="1">
        <v>2458037.4937700001</v>
      </c>
      <c r="B364" s="1" t="s">
        <v>1633</v>
      </c>
      <c r="C364" s="1">
        <v>8.4614999999999991</v>
      </c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x14ac:dyDescent="0.25">
      <c r="A365" s="1">
        <v>2458038.9978999998</v>
      </c>
      <c r="B365" s="1" t="s">
        <v>1634</v>
      </c>
      <c r="C365" s="1">
        <v>8.4745000000000008</v>
      </c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</row>
    <row r="366" spans="1:27" x14ac:dyDescent="0.25">
      <c r="A366" s="1">
        <v>2458039.9809500002</v>
      </c>
      <c r="B366" s="1" t="s">
        <v>1635</v>
      </c>
      <c r="C366" s="1">
        <v>8.4809999999999999</v>
      </c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</row>
    <row r="367" spans="1:27" x14ac:dyDescent="0.25">
      <c r="A367" s="1">
        <v>2458041.4514100002</v>
      </c>
      <c r="B367" s="1" t="s">
        <v>1636</v>
      </c>
      <c r="C367" s="1">
        <v>8.5269999999999992</v>
      </c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</row>
    <row r="368" spans="1:27" x14ac:dyDescent="0.25">
      <c r="A368" s="1">
        <v>2458042.6380699999</v>
      </c>
      <c r="B368" s="1" t="s">
        <v>1637</v>
      </c>
      <c r="C368" s="1">
        <v>8.4879999999999995</v>
      </c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</row>
    <row r="369" spans="1:27" x14ac:dyDescent="0.25">
      <c r="A369" s="1">
        <v>2458044.1555599999</v>
      </c>
      <c r="B369" s="1" t="s">
        <v>1638</v>
      </c>
      <c r="C369" s="1">
        <v>8.5229999999999997</v>
      </c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</row>
    <row r="370" spans="1:27" x14ac:dyDescent="0.25">
      <c r="A370" s="1">
        <v>2458045.2826</v>
      </c>
      <c r="B370" s="1" t="s">
        <v>1639</v>
      </c>
      <c r="C370" s="1">
        <v>8.64</v>
      </c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</row>
    <row r="371" spans="1:27" x14ac:dyDescent="0.25">
      <c r="A371" s="1">
        <v>2458046.5784999998</v>
      </c>
      <c r="B371" s="1" t="s">
        <v>1640</v>
      </c>
      <c r="C371" s="1">
        <v>8.59</v>
      </c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</row>
    <row r="372" spans="1:27" x14ac:dyDescent="0.25">
      <c r="A372" s="1">
        <v>2458047.6313800002</v>
      </c>
      <c r="B372" s="1" t="s">
        <v>1641</v>
      </c>
      <c r="C372" s="1">
        <v>8.5579999999999998</v>
      </c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</row>
    <row r="373" spans="1:27" x14ac:dyDescent="0.25">
      <c r="A373" s="1">
        <v>2458049.1371499998</v>
      </c>
      <c r="B373" s="1" t="s">
        <v>1642</v>
      </c>
      <c r="C373" s="1">
        <v>8.5410000000000004</v>
      </c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</row>
    <row r="374" spans="1:27" x14ac:dyDescent="0.25">
      <c r="A374" s="1">
        <v>2458050.4622499999</v>
      </c>
      <c r="B374" s="1" t="s">
        <v>1643</v>
      </c>
      <c r="C374" s="1">
        <v>8.5764999999999993</v>
      </c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</row>
    <row r="375" spans="1:27" x14ac:dyDescent="0.25">
      <c r="A375" s="1">
        <v>2458052.1235199999</v>
      </c>
      <c r="B375" s="1" t="s">
        <v>1644</v>
      </c>
      <c r="C375" s="1">
        <v>8.5254999999999992</v>
      </c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</row>
    <row r="376" spans="1:27" x14ac:dyDescent="0.25">
      <c r="A376" s="1">
        <v>2458054.60977</v>
      </c>
      <c r="B376" s="1" t="s">
        <v>1645</v>
      </c>
      <c r="C376" s="1">
        <v>8.5429999999999993</v>
      </c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</row>
    <row r="377" spans="1:27" x14ac:dyDescent="0.25">
      <c r="A377" s="1">
        <v>2458056.1108800001</v>
      </c>
      <c r="B377" s="1" t="s">
        <v>1646</v>
      </c>
      <c r="C377" s="1">
        <v>8.5374999999999996</v>
      </c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</row>
    <row r="378" spans="1:27" x14ac:dyDescent="0.25">
      <c r="A378" s="1">
        <v>2458060.60188</v>
      </c>
      <c r="B378" s="1" t="s">
        <v>1647</v>
      </c>
      <c r="C378" s="1">
        <v>8.5410000000000004</v>
      </c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</row>
    <row r="379" spans="1:27" x14ac:dyDescent="0.25">
      <c r="A379" s="1">
        <v>2458066.41561</v>
      </c>
      <c r="B379" s="1" t="s">
        <v>1648</v>
      </c>
      <c r="C379" s="1">
        <v>8.4819999999999993</v>
      </c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</row>
    <row r="380" spans="1:27" x14ac:dyDescent="0.25">
      <c r="A380" s="1">
        <v>2458068.4346799999</v>
      </c>
      <c r="B380" s="1" t="s">
        <v>1649</v>
      </c>
      <c r="C380" s="1">
        <v>8.4433330000000009</v>
      </c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</row>
    <row r="381" spans="1:27" x14ac:dyDescent="0.25">
      <c r="A381" s="1">
        <v>2458070.2204800001</v>
      </c>
      <c r="B381" s="1" t="s">
        <v>1650</v>
      </c>
      <c r="C381" s="1">
        <v>8.516667</v>
      </c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</row>
    <row r="382" spans="1:27" x14ac:dyDescent="0.25">
      <c r="A382" s="1">
        <v>2458071.8281999999</v>
      </c>
      <c r="B382" s="1" t="s">
        <v>1651</v>
      </c>
      <c r="C382" s="1">
        <v>8.59</v>
      </c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</row>
    <row r="383" spans="1:27" x14ac:dyDescent="0.25">
      <c r="A383" s="1">
        <v>2458072.8261600002</v>
      </c>
      <c r="B383" s="1" t="s">
        <v>1652</v>
      </c>
      <c r="C383" s="1">
        <v>8.6</v>
      </c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</row>
    <row r="384" spans="1:27" x14ac:dyDescent="0.25">
      <c r="A384" s="1">
        <v>2458074.375</v>
      </c>
      <c r="B384" s="1" t="s">
        <v>1653</v>
      </c>
      <c r="C384" s="1">
        <v>8.65</v>
      </c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</row>
    <row r="385" spans="1:27" x14ac:dyDescent="0.25">
      <c r="A385" s="1">
        <v>2458075.4922199999</v>
      </c>
      <c r="B385" s="1" t="s">
        <v>1654</v>
      </c>
      <c r="C385" s="1">
        <v>8.3699999999999992</v>
      </c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</row>
    <row r="386" spans="1:27" x14ac:dyDescent="0.25">
      <c r="A386" s="1">
        <v>2458077.3665300002</v>
      </c>
      <c r="B386" s="1" t="s">
        <v>1655</v>
      </c>
      <c r="C386" s="1">
        <v>8.5266669999999998</v>
      </c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</row>
    <row r="387" spans="1:27" x14ac:dyDescent="0.25">
      <c r="A387" s="1">
        <v>2458079.0522400001</v>
      </c>
      <c r="B387" s="1" t="s">
        <v>1656</v>
      </c>
      <c r="C387" s="1">
        <v>8.5333330000000007</v>
      </c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</row>
    <row r="388" spans="1:27" x14ac:dyDescent="0.25">
      <c r="A388" s="1">
        <v>2458080.4330799999</v>
      </c>
      <c r="B388" s="1" t="s">
        <v>1657</v>
      </c>
      <c r="C388" s="1">
        <v>8.4357140000000008</v>
      </c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</row>
    <row r="389" spans="1:27" x14ac:dyDescent="0.25">
      <c r="A389" s="1">
        <v>2458081.7606000002</v>
      </c>
      <c r="B389" s="1" t="s">
        <v>1658</v>
      </c>
      <c r="C389" s="1">
        <v>8.5</v>
      </c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</row>
    <row r="390" spans="1:27" x14ac:dyDescent="0.25">
      <c r="A390" s="1">
        <v>2458082.5268600001</v>
      </c>
      <c r="B390" s="1" t="s">
        <v>1659</v>
      </c>
      <c r="C390" s="1">
        <v>8.5399999999999991</v>
      </c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</row>
    <row r="391" spans="1:27" x14ac:dyDescent="0.25">
      <c r="A391" s="1">
        <v>2458084.86</v>
      </c>
      <c r="B391" s="1" t="s">
        <v>1660</v>
      </c>
      <c r="C391" s="1">
        <v>8.5500000000000007</v>
      </c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</row>
    <row r="392" spans="1:27" x14ac:dyDescent="0.25">
      <c r="A392" s="1">
        <v>2458086.236</v>
      </c>
      <c r="B392" s="1" t="s">
        <v>1661</v>
      </c>
      <c r="C392" s="1">
        <v>8.5</v>
      </c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</row>
    <row r="393" spans="1:27" x14ac:dyDescent="0.25">
      <c r="A393" s="1">
        <v>2458087.8112499998</v>
      </c>
      <c r="B393" s="1" t="s">
        <v>1662</v>
      </c>
      <c r="C393" s="1">
        <v>8.5060000000000002</v>
      </c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</row>
    <row r="394" spans="1:27" x14ac:dyDescent="0.25">
      <c r="A394" s="1">
        <v>2458089.5</v>
      </c>
      <c r="B394" s="1" t="s">
        <v>1663</v>
      </c>
      <c r="C394" s="1">
        <v>8.5</v>
      </c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</row>
    <row r="395" spans="1:27" x14ac:dyDescent="0.25">
      <c r="A395" s="1">
        <v>2458091.22083</v>
      </c>
      <c r="B395" s="1" t="s">
        <v>1664</v>
      </c>
      <c r="C395" s="1">
        <v>8.58</v>
      </c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</row>
    <row r="396" spans="1:27" x14ac:dyDescent="0.25">
      <c r="A396" s="1">
        <v>2458092.8594599999</v>
      </c>
      <c r="B396" s="1" t="s">
        <v>1665</v>
      </c>
      <c r="C396" s="1">
        <v>8.35</v>
      </c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</row>
    <row r="397" spans="1:27" x14ac:dyDescent="0.25">
      <c r="A397" s="1">
        <v>2458094.7319800002</v>
      </c>
      <c r="B397" s="1" t="s">
        <v>1666</v>
      </c>
      <c r="C397" s="1">
        <v>8.58</v>
      </c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</row>
    <row r="398" spans="1:27" x14ac:dyDescent="0.25">
      <c r="A398" s="1">
        <v>2458096.2599399998</v>
      </c>
      <c r="B398" s="1" t="s">
        <v>1667</v>
      </c>
      <c r="C398" s="1">
        <v>8.6</v>
      </c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</row>
    <row r="399" spans="1:27" x14ac:dyDescent="0.25">
      <c r="A399" s="1">
        <v>2458097.4703700002</v>
      </c>
      <c r="B399" s="1" t="s">
        <v>1668</v>
      </c>
      <c r="C399" s="1">
        <v>8.4666669999999993</v>
      </c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</row>
    <row r="400" spans="1:27" x14ac:dyDescent="0.25">
      <c r="A400" s="1">
        <v>2458098.7695200001</v>
      </c>
      <c r="B400" s="1" t="s">
        <v>1669</v>
      </c>
      <c r="C400" s="1">
        <v>8.483333</v>
      </c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</row>
    <row r="401" spans="1:27" x14ac:dyDescent="0.25">
      <c r="A401" s="1">
        <v>2458100.75832</v>
      </c>
      <c r="B401" s="1" t="s">
        <v>1670</v>
      </c>
      <c r="C401" s="1">
        <v>8.5333330000000007</v>
      </c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</row>
    <row r="402" spans="1:27" x14ac:dyDescent="0.25">
      <c r="A402" s="1">
        <v>2458102.3715499998</v>
      </c>
      <c r="B402" s="1" t="s">
        <v>1671</v>
      </c>
      <c r="C402" s="1">
        <v>8.6999999999999993</v>
      </c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</row>
    <row r="403" spans="1:27" x14ac:dyDescent="0.25">
      <c r="A403" s="1">
        <v>2458103.9303299999</v>
      </c>
      <c r="B403" s="1" t="s">
        <v>1672</v>
      </c>
      <c r="C403" s="1">
        <v>8.6300000000000008</v>
      </c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</row>
    <row r="404" spans="1:27" x14ac:dyDescent="0.25">
      <c r="A404" s="1">
        <v>2458104.6871400001</v>
      </c>
      <c r="B404" s="1" t="s">
        <v>1673</v>
      </c>
      <c r="C404" s="1">
        <v>8.5250000000000004</v>
      </c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</row>
    <row r="405" spans="1:27" x14ac:dyDescent="0.25">
      <c r="A405" s="1">
        <v>2458105.8079900001</v>
      </c>
      <c r="B405" s="1" t="s">
        <v>1674</v>
      </c>
      <c r="C405" s="1">
        <v>8.4749999999999996</v>
      </c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</row>
    <row r="406" spans="1:27" x14ac:dyDescent="0.25">
      <c r="A406" s="1">
        <v>2458107.3809199999</v>
      </c>
      <c r="B406" s="1" t="s">
        <v>1675</v>
      </c>
      <c r="C406" s="1">
        <v>8.0749999999999993</v>
      </c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</row>
    <row r="407" spans="1:27" x14ac:dyDescent="0.25">
      <c r="A407" s="1">
        <v>2458108.87029</v>
      </c>
      <c r="B407" s="1" t="s">
        <v>1676</v>
      </c>
      <c r="C407" s="1">
        <v>8.483333</v>
      </c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</row>
    <row r="408" spans="1:27" x14ac:dyDescent="0.25">
      <c r="A408" s="1">
        <v>2458111.2861100002</v>
      </c>
      <c r="B408" s="1" t="s">
        <v>1677</v>
      </c>
      <c r="C408" s="1">
        <v>8.33</v>
      </c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</row>
    <row r="409" spans="1:27" x14ac:dyDescent="0.25">
      <c r="A409" s="1">
        <v>2458112.2999999998</v>
      </c>
      <c r="B409" s="1" t="s">
        <v>1678</v>
      </c>
      <c r="C409" s="1">
        <v>8.4</v>
      </c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</row>
    <row r="410" spans="1:27" x14ac:dyDescent="0.25">
      <c r="A410" s="1">
        <v>2458115.1113</v>
      </c>
      <c r="B410" s="1" t="s">
        <v>1679</v>
      </c>
      <c r="C410" s="1">
        <v>8.5433330000000005</v>
      </c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</row>
    <row r="411" spans="1:27" x14ac:dyDescent="0.25">
      <c r="A411" s="1">
        <v>2458116.7250000001</v>
      </c>
      <c r="B411" s="1" t="s">
        <v>1680</v>
      </c>
      <c r="C411" s="1">
        <v>8.5500000000000007</v>
      </c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</row>
    <row r="412" spans="1:27" x14ac:dyDescent="0.25">
      <c r="A412" s="1">
        <v>2458119.4583000001</v>
      </c>
      <c r="B412" s="1" t="s">
        <v>1681</v>
      </c>
      <c r="C412" s="1">
        <v>8.6999999999999993</v>
      </c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x14ac:dyDescent="0.25">
      <c r="A413" s="1">
        <v>2458121.05382</v>
      </c>
      <c r="B413" s="1" t="s">
        <v>1682</v>
      </c>
      <c r="C413" s="1">
        <v>8.4250000000000007</v>
      </c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</row>
    <row r="414" spans="1:27" x14ac:dyDescent="0.25">
      <c r="A414" s="1">
        <v>2458124.2519999999</v>
      </c>
      <c r="B414" s="1" t="s">
        <v>1683</v>
      </c>
      <c r="C414" s="1">
        <v>8.6</v>
      </c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</row>
    <row r="415" spans="1:27" x14ac:dyDescent="0.25">
      <c r="A415" s="1">
        <v>2458126.5781100001</v>
      </c>
      <c r="B415" s="1" t="s">
        <v>1715</v>
      </c>
      <c r="C415" s="1">
        <v>8.5519999999999996</v>
      </c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</row>
    <row r="416" spans="1:27" x14ac:dyDescent="0.25">
      <c r="A416" s="1">
        <v>2458130.5783299999</v>
      </c>
      <c r="B416" s="1" t="s">
        <v>1716</v>
      </c>
      <c r="C416" s="1">
        <v>8.5640000000000001</v>
      </c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</row>
    <row r="417" spans="1:27" x14ac:dyDescent="0.25">
      <c r="A417" s="1">
        <v>2458213.9880900001</v>
      </c>
      <c r="B417" s="1" t="s">
        <v>1717</v>
      </c>
      <c r="C417" s="1">
        <v>8.5909999999999993</v>
      </c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</row>
    <row r="418" spans="1:27" x14ac:dyDescent="0.25">
      <c r="A418" s="1">
        <v>2458217.47541</v>
      </c>
      <c r="B418" s="1" t="s">
        <v>1718</v>
      </c>
      <c r="C418" s="1">
        <v>8.5924999999999994</v>
      </c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</row>
    <row r="419" spans="1:27" x14ac:dyDescent="0.25">
      <c r="A419" s="1">
        <v>2458243.9146099999</v>
      </c>
      <c r="B419" s="1" t="s">
        <v>1719</v>
      </c>
      <c r="C419" s="1">
        <v>8.6270000000000007</v>
      </c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</row>
    <row r="420" spans="1:27" x14ac:dyDescent="0.25">
      <c r="A420" s="1">
        <v>2458254.8702099998</v>
      </c>
      <c r="B420" s="1" t="s">
        <v>1720</v>
      </c>
      <c r="C420" s="1">
        <v>8.577</v>
      </c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</row>
    <row r="421" spans="1:27" x14ac:dyDescent="0.25">
      <c r="A421" s="1">
        <v>2458255.8945599999</v>
      </c>
      <c r="B421" s="1" t="s">
        <v>1721</v>
      </c>
      <c r="C421" s="1">
        <v>8.6280000000000001</v>
      </c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</row>
    <row r="422" spans="1:27" x14ac:dyDescent="0.25">
      <c r="A422" s="1">
        <v>2458289.7134500002</v>
      </c>
      <c r="B422" s="1" t="s">
        <v>1722</v>
      </c>
      <c r="C422" s="1">
        <v>8.4924999999999997</v>
      </c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</row>
    <row r="423" spans="1:27" x14ac:dyDescent="0.25">
      <c r="A423" s="1">
        <v>2458303.7086900002</v>
      </c>
      <c r="B423" s="1" t="s">
        <v>1723</v>
      </c>
      <c r="C423" s="1">
        <v>8.5709</v>
      </c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</row>
    <row r="424" spans="1:27" x14ac:dyDescent="0.25">
      <c r="A424" s="1">
        <v>2458311.85041</v>
      </c>
      <c r="B424" s="1" t="s">
        <v>1724</v>
      </c>
      <c r="C424" s="1">
        <v>8.6495999999999995</v>
      </c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</row>
    <row r="425" spans="1:27" x14ac:dyDescent="0.25">
      <c r="A425" s="1">
        <v>2458314.8099500001</v>
      </c>
      <c r="B425" s="1" t="s">
        <v>1725</v>
      </c>
      <c r="C425" s="1">
        <v>8.673</v>
      </c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</row>
    <row r="426" spans="1:27" x14ac:dyDescent="0.25">
      <c r="A426" s="1">
        <v>2458318.25795</v>
      </c>
      <c r="B426" s="1" t="s">
        <v>1726</v>
      </c>
      <c r="C426" s="1">
        <v>8.859</v>
      </c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</row>
    <row r="427" spans="1:27" x14ac:dyDescent="0.25">
      <c r="A427" s="1">
        <v>2458320.3818999999</v>
      </c>
      <c r="B427" s="1" t="s">
        <v>1727</v>
      </c>
      <c r="C427" s="1">
        <v>8.6</v>
      </c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</row>
    <row r="428" spans="1:27" x14ac:dyDescent="0.25">
      <c r="A428" s="1">
        <v>2458321.7241500001</v>
      </c>
      <c r="B428" s="1" t="s">
        <v>1728</v>
      </c>
      <c r="C428" s="1">
        <v>8.6304999999999996</v>
      </c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</row>
    <row r="429" spans="1:27" x14ac:dyDescent="0.25">
      <c r="A429" s="1">
        <v>2458334.375</v>
      </c>
      <c r="B429" s="1" t="s">
        <v>1729</v>
      </c>
      <c r="C429" s="1">
        <v>8.6</v>
      </c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</row>
    <row r="430" spans="1:27" x14ac:dyDescent="0.25">
      <c r="A430" s="1">
        <v>2458337.375</v>
      </c>
      <c r="B430" s="1" t="s">
        <v>1730</v>
      </c>
      <c r="C430" s="1">
        <v>8.51</v>
      </c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</row>
    <row r="431" spans="1:27" x14ac:dyDescent="0.25">
      <c r="A431" s="1">
        <v>2458342.7075999998</v>
      </c>
      <c r="B431" s="1" t="s">
        <v>1731</v>
      </c>
      <c r="C431" s="1">
        <v>8.6120000000000001</v>
      </c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</row>
    <row r="432" spans="1:27" x14ac:dyDescent="0.25">
      <c r="A432" s="1">
        <v>2458344.6694</v>
      </c>
      <c r="B432" s="1" t="s">
        <v>1732</v>
      </c>
      <c r="C432" s="1">
        <v>8.5809999999999995</v>
      </c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</row>
    <row r="433" spans="1:27" x14ac:dyDescent="0.25">
      <c r="A433" s="1">
        <v>2458346.3437999999</v>
      </c>
      <c r="B433" s="1" t="s">
        <v>1733</v>
      </c>
      <c r="C433" s="1">
        <v>8.64</v>
      </c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</row>
    <row r="434" spans="1:27" x14ac:dyDescent="0.25">
      <c r="A434" s="1">
        <v>2458353.6636999999</v>
      </c>
      <c r="B434" s="1" t="s">
        <v>1734</v>
      </c>
      <c r="C434" s="1">
        <v>8.6069999999999993</v>
      </c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</row>
    <row r="435" spans="1:27" x14ac:dyDescent="0.25">
      <c r="A435" s="1">
        <v>2458359.3139</v>
      </c>
      <c r="B435" s="1" t="s">
        <v>1735</v>
      </c>
      <c r="C435" s="1">
        <v>8.67</v>
      </c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</row>
    <row r="436" spans="1:27" x14ac:dyDescent="0.25">
      <c r="A436" s="1">
        <v>2458361.6814999999</v>
      </c>
      <c r="B436" s="1" t="s">
        <v>1736</v>
      </c>
      <c r="C436" s="1">
        <v>8.6530000000000005</v>
      </c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</row>
    <row r="437" spans="1:27" x14ac:dyDescent="0.25">
      <c r="A437" s="1">
        <v>2458363.3592400001</v>
      </c>
      <c r="B437" s="1" t="s">
        <v>1737</v>
      </c>
      <c r="C437" s="1">
        <v>8.6590000000000007</v>
      </c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</row>
    <row r="438" spans="1:27" x14ac:dyDescent="0.25">
      <c r="A438" s="1">
        <v>2458366.3034999999</v>
      </c>
      <c r="B438" s="1" t="s">
        <v>1738</v>
      </c>
      <c r="C438" s="1">
        <v>8.7200000000000006</v>
      </c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</row>
    <row r="439" spans="1:27" x14ac:dyDescent="0.25">
      <c r="A439" s="1">
        <v>2458372.3152999999</v>
      </c>
      <c r="B439" s="1" t="s">
        <v>1739</v>
      </c>
      <c r="C439" s="1">
        <v>8.6999999999999993</v>
      </c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</row>
    <row r="440" spans="1:27" x14ac:dyDescent="0.25">
      <c r="A440" s="1">
        <v>2458373.6329000001</v>
      </c>
      <c r="B440" s="1" t="s">
        <v>1740</v>
      </c>
      <c r="C440" s="1">
        <v>8.6790000000000003</v>
      </c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</row>
    <row r="441" spans="1:27" x14ac:dyDescent="0.25">
      <c r="A441" s="1">
        <v>2458376.9671499999</v>
      </c>
      <c r="B441" s="1" t="s">
        <v>1741</v>
      </c>
      <c r="C441" s="1">
        <v>8.6684999999999999</v>
      </c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</row>
    <row r="442" spans="1:27" x14ac:dyDescent="0.25">
      <c r="A442" s="1">
        <v>2458386.8956900002</v>
      </c>
      <c r="B442" s="1" t="s">
        <v>1742</v>
      </c>
      <c r="C442" s="1">
        <v>8.6880000000000006</v>
      </c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</row>
    <row r="443" spans="1:27" x14ac:dyDescent="0.25">
      <c r="A443" s="1">
        <v>2458389.0201099999</v>
      </c>
      <c r="B443" s="1" t="s">
        <v>1743</v>
      </c>
      <c r="C443" s="1">
        <v>8.7416669999999996</v>
      </c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</row>
    <row r="444" spans="1:27" x14ac:dyDescent="0.25">
      <c r="A444" s="1">
        <v>2458390.5511099999</v>
      </c>
      <c r="B444" s="1" t="s">
        <v>1744</v>
      </c>
      <c r="C444" s="1">
        <v>8.7076360000000008</v>
      </c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</row>
    <row r="445" spans="1:27" x14ac:dyDescent="0.25">
      <c r="A445" s="1">
        <v>2458393.7967300001</v>
      </c>
      <c r="B445" s="1" t="s">
        <v>1745</v>
      </c>
      <c r="C445" s="1">
        <v>8.6694999999999993</v>
      </c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</row>
    <row r="446" spans="1:27" x14ac:dyDescent="0.25">
      <c r="A446" s="1">
        <v>2458395.8671499998</v>
      </c>
      <c r="B446" s="1" t="s">
        <v>1746</v>
      </c>
      <c r="C446" s="1">
        <v>8.6944999999999997</v>
      </c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</row>
    <row r="447" spans="1:27" x14ac:dyDescent="0.25">
      <c r="A447" s="1">
        <v>2458396.5902999998</v>
      </c>
      <c r="B447" s="1" t="s">
        <v>1747</v>
      </c>
      <c r="C447" s="1">
        <v>8.7260000000000009</v>
      </c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</row>
    <row r="448" spans="1:27" x14ac:dyDescent="0.25">
      <c r="A448" s="1">
        <v>2458401.51168</v>
      </c>
      <c r="B448" s="1" t="s">
        <v>1748</v>
      </c>
      <c r="C448" s="1">
        <v>8.6954999999999991</v>
      </c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</row>
    <row r="449" spans="1:27" x14ac:dyDescent="0.25">
      <c r="A449" s="1">
        <v>2458403.0415699999</v>
      </c>
      <c r="B449" s="1" t="s">
        <v>1749</v>
      </c>
      <c r="C449" s="1">
        <v>8.6999999999999993</v>
      </c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</row>
    <row r="450" spans="1:27" x14ac:dyDescent="0.25">
      <c r="A450" s="1">
        <v>2458404.37953</v>
      </c>
      <c r="B450" s="1" t="s">
        <v>1750</v>
      </c>
      <c r="C450" s="1">
        <v>8.6509999999999998</v>
      </c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</row>
    <row r="451" spans="1:27" x14ac:dyDescent="0.25">
      <c r="A451" s="1">
        <v>2458405.87733</v>
      </c>
      <c r="B451" s="1" t="s">
        <v>1751</v>
      </c>
      <c r="C451" s="1">
        <v>8.8089999999999993</v>
      </c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</row>
    <row r="452" spans="1:27" x14ac:dyDescent="0.25">
      <c r="A452" s="1">
        <v>2458409.28382</v>
      </c>
      <c r="B452" s="1" t="s">
        <v>1752</v>
      </c>
      <c r="C452" s="1">
        <v>8.7789999999999999</v>
      </c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</row>
    <row r="453" spans="1:27" x14ac:dyDescent="0.25">
      <c r="A453" s="1">
        <v>2458410.5751</v>
      </c>
      <c r="B453" s="1" t="s">
        <v>1753</v>
      </c>
      <c r="C453" s="1">
        <v>8.7650000000000006</v>
      </c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</row>
    <row r="454" spans="1:27" x14ac:dyDescent="0.25">
      <c r="A454" s="1">
        <v>2458414.5789000001</v>
      </c>
      <c r="B454" s="1" t="s">
        <v>1754</v>
      </c>
      <c r="C454" s="1">
        <v>8.7769999999999992</v>
      </c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</row>
    <row r="455" spans="1:27" x14ac:dyDescent="0.25">
      <c r="A455" s="1">
        <v>2458421.3355800002</v>
      </c>
      <c r="B455" s="1" t="s">
        <v>1755</v>
      </c>
      <c r="C455" s="1">
        <v>8.7530000000000001</v>
      </c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</row>
    <row r="456" spans="1:27" x14ac:dyDescent="0.25">
      <c r="A456" s="1">
        <v>2458425.5884199999</v>
      </c>
      <c r="B456" s="1" t="s">
        <v>1756</v>
      </c>
      <c r="C456" s="1">
        <v>8.7330000000000005</v>
      </c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</row>
    <row r="457" spans="1:27" x14ac:dyDescent="0.25">
      <c r="A457" s="1">
        <v>2458429.5721</v>
      </c>
      <c r="B457" s="1" t="s">
        <v>1757</v>
      </c>
      <c r="C457" s="1">
        <v>8.6839999999999993</v>
      </c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</row>
    <row r="458" spans="1:27" x14ac:dyDescent="0.25">
      <c r="A458" s="1">
        <v>2458430.6146</v>
      </c>
      <c r="B458" s="1" t="s">
        <v>1758</v>
      </c>
      <c r="C458" s="1">
        <v>8.6950000000000003</v>
      </c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</row>
    <row r="459" spans="1:27" x14ac:dyDescent="0.25">
      <c r="A459" s="1">
        <v>2458434.5701000001</v>
      </c>
      <c r="B459" s="1" t="s">
        <v>1759</v>
      </c>
      <c r="C459" s="1">
        <v>8.7149999999999999</v>
      </c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</row>
    <row r="460" spans="1:27" x14ac:dyDescent="0.25">
      <c r="A460" s="1">
        <v>2458436.59626</v>
      </c>
      <c r="B460" s="1" t="s">
        <v>1760</v>
      </c>
      <c r="C460" s="1">
        <v>8.7420000000000009</v>
      </c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x14ac:dyDescent="0.25">
      <c r="A461" s="1">
        <v>2458448.6005000002</v>
      </c>
      <c r="B461" s="1" t="s">
        <v>1761</v>
      </c>
      <c r="C461" s="1">
        <v>8.8170000000000002</v>
      </c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x14ac:dyDescent="0.25">
      <c r="A462" s="1">
        <v>2458456.5989999999</v>
      </c>
      <c r="B462" s="1" t="s">
        <v>1762</v>
      </c>
      <c r="C462" s="1">
        <v>8.8339999999999996</v>
      </c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x14ac:dyDescent="0.25">
      <c r="A463" s="1">
        <v>2458461.5852999999</v>
      </c>
      <c r="B463" s="1" t="s">
        <v>1763</v>
      </c>
      <c r="C463" s="1">
        <v>8.8539999999999992</v>
      </c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x14ac:dyDescent="0.25">
      <c r="A464" s="1">
        <v>2458471.5814</v>
      </c>
      <c r="B464" s="1" t="s">
        <v>1764</v>
      </c>
      <c r="C464" s="1">
        <v>8.9309999999999992</v>
      </c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x14ac:dyDescent="0.25">
      <c r="A465" s="1">
        <v>2458473.5610000002</v>
      </c>
      <c r="B465" s="1" t="s">
        <v>1765</v>
      </c>
      <c r="C465" s="1">
        <v>8.9339999999999993</v>
      </c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x14ac:dyDescent="0.25">
      <c r="A466" s="1">
        <v>2458475.5852999999</v>
      </c>
      <c r="B466" s="1" t="s">
        <v>1766</v>
      </c>
      <c r="C466" s="1">
        <v>8.8989999999999991</v>
      </c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x14ac:dyDescent="0.25">
      <c r="A467" s="1">
        <v>2458477.2857499998</v>
      </c>
      <c r="B467" s="1" t="s">
        <v>1767</v>
      </c>
      <c r="C467" s="1">
        <v>8.9109999999999996</v>
      </c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x14ac:dyDescent="0.25">
      <c r="A468" s="1">
        <v>2458485.5751</v>
      </c>
      <c r="B468" s="1" t="s">
        <v>1768</v>
      </c>
      <c r="C468" s="1">
        <v>8.8789999999999996</v>
      </c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x14ac:dyDescent="0.25">
      <c r="A469" s="1">
        <v>2458656.2685600002</v>
      </c>
      <c r="B469" s="1" t="s">
        <v>1769</v>
      </c>
      <c r="C469" s="1">
        <v>8.7970000000000006</v>
      </c>
      <c r="D469" s="1">
        <v>4.0000000000000001E-3</v>
      </c>
      <c r="E469" s="1" t="s">
        <v>1770</v>
      </c>
      <c r="F469" s="1" t="s">
        <v>1771</v>
      </c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x14ac:dyDescent="0.25">
      <c r="A470" s="1">
        <v>2458663.1675999998</v>
      </c>
      <c r="B470" s="1" t="s">
        <v>1772</v>
      </c>
      <c r="C470" s="1">
        <v>8.76</v>
      </c>
      <c r="D470" s="1">
        <v>1.4E-2</v>
      </c>
      <c r="E470" s="1" t="s">
        <v>1770</v>
      </c>
      <c r="F470" s="1" t="s">
        <v>1771</v>
      </c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x14ac:dyDescent="0.25">
      <c r="A471" s="1">
        <v>2458663.2038099999</v>
      </c>
      <c r="B471" s="1" t="s">
        <v>1772</v>
      </c>
      <c r="C471" s="1">
        <v>8.8140000000000001</v>
      </c>
      <c r="D471" s="1">
        <v>4.0000000000000001E-3</v>
      </c>
      <c r="E471" s="1" t="s">
        <v>1770</v>
      </c>
      <c r="F471" s="1" t="s">
        <v>1771</v>
      </c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  <row r="472" spans="1:27" x14ac:dyDescent="0.25">
      <c r="A472" s="1">
        <v>2458666.8903800002</v>
      </c>
      <c r="B472" s="1" t="s">
        <v>1773</v>
      </c>
      <c r="C472" s="1">
        <v>8.7710000000000008</v>
      </c>
      <c r="D472" s="1">
        <v>4.1000000000000002E-2</v>
      </c>
      <c r="E472" s="1" t="s">
        <v>1770</v>
      </c>
      <c r="F472" s="1" t="s">
        <v>1771</v>
      </c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</row>
    <row r="473" spans="1:27" x14ac:dyDescent="0.25">
      <c r="A473" s="1">
        <v>2458679.79109</v>
      </c>
      <c r="B473" s="1" t="s">
        <v>1774</v>
      </c>
      <c r="C473" s="1">
        <v>8.81</v>
      </c>
      <c r="D473" s="1">
        <v>2.3E-2</v>
      </c>
      <c r="E473" s="1" t="s">
        <v>1770</v>
      </c>
      <c r="F473" s="1" t="s">
        <v>1771</v>
      </c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</row>
    <row r="474" spans="1:27" x14ac:dyDescent="0.25">
      <c r="A474" s="1">
        <v>2458702.7254499998</v>
      </c>
      <c r="B474" s="1" t="s">
        <v>1775</v>
      </c>
      <c r="C474" s="1">
        <v>8.7569999999999997</v>
      </c>
      <c r="D474" s="1">
        <v>3.0000000000000001E-3</v>
      </c>
      <c r="E474" s="1" t="s">
        <v>1770</v>
      </c>
      <c r="F474" s="1" t="s">
        <v>1776</v>
      </c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</row>
    <row r="475" spans="1:27" x14ac:dyDescent="0.25">
      <c r="A475" s="1">
        <v>2458718.7023</v>
      </c>
      <c r="B475" s="1" t="s">
        <v>1777</v>
      </c>
      <c r="C475" s="1">
        <v>8.7530000000000001</v>
      </c>
      <c r="D475" s="1">
        <v>0.01</v>
      </c>
      <c r="E475" s="1" t="s">
        <v>1770</v>
      </c>
      <c r="F475" s="1" t="s">
        <v>143</v>
      </c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</row>
    <row r="476" spans="1:27" x14ac:dyDescent="0.25">
      <c r="A476" s="1">
        <v>2458720.42282</v>
      </c>
      <c r="B476" s="1" t="s">
        <v>1778</v>
      </c>
      <c r="C476" s="1">
        <v>8.7469999999999999</v>
      </c>
      <c r="D476" s="1">
        <v>2.5999999999999999E-2</v>
      </c>
      <c r="E476" s="1" t="s">
        <v>1770</v>
      </c>
      <c r="F476" s="1" t="s">
        <v>16</v>
      </c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</row>
    <row r="477" spans="1:27" x14ac:dyDescent="0.25">
      <c r="A477" s="1">
        <v>2458729.4035</v>
      </c>
      <c r="B477" s="1" t="s">
        <v>1779</v>
      </c>
      <c r="C477" s="1">
        <v>8.8000000000000007</v>
      </c>
      <c r="D477" s="1">
        <v>0.1</v>
      </c>
      <c r="E477" s="1" t="s">
        <v>1770</v>
      </c>
      <c r="F477" s="1" t="s">
        <v>106</v>
      </c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</row>
    <row r="478" spans="1:27" x14ac:dyDescent="0.25">
      <c r="A478" s="1">
        <v>2458731.3986</v>
      </c>
      <c r="B478" s="1" t="s">
        <v>1780</v>
      </c>
      <c r="C478" s="1">
        <v>8.6999999999999993</v>
      </c>
      <c r="D478" s="1">
        <v>0.1</v>
      </c>
      <c r="E478" s="1" t="s">
        <v>1770</v>
      </c>
      <c r="F478" s="1" t="s">
        <v>106</v>
      </c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</row>
    <row r="479" spans="1:27" x14ac:dyDescent="0.25">
      <c r="A479" s="1">
        <v>2458745.6645</v>
      </c>
      <c r="B479" s="1" t="s">
        <v>1781</v>
      </c>
      <c r="C479" s="1">
        <v>8.6690000000000005</v>
      </c>
      <c r="D479" s="1">
        <v>3.5999999999999997E-2</v>
      </c>
      <c r="E479" s="1" t="s">
        <v>1770</v>
      </c>
      <c r="F479" s="1" t="s">
        <v>143</v>
      </c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</row>
    <row r="480" spans="1:27" x14ac:dyDescent="0.25">
      <c r="A480" s="1">
        <v>2458753.6003</v>
      </c>
      <c r="B480" s="1" t="s">
        <v>1782</v>
      </c>
      <c r="C480" s="1">
        <v>8.7279999999999998</v>
      </c>
      <c r="D480" s="1">
        <v>5.0000000000000001E-3</v>
      </c>
      <c r="E480" s="1" t="s">
        <v>1770</v>
      </c>
      <c r="F480" s="1" t="s">
        <v>143</v>
      </c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</row>
    <row r="481" spans="1:27" x14ac:dyDescent="0.25">
      <c r="A481" s="1">
        <v>2458755.7244600002</v>
      </c>
      <c r="B481" s="1" t="s">
        <v>1783</v>
      </c>
      <c r="C481" s="1">
        <v>8.7370000000000001</v>
      </c>
      <c r="D481" s="1">
        <v>2.5000000000000001E-2</v>
      </c>
      <c r="E481" s="1" t="s">
        <v>1770</v>
      </c>
      <c r="F481" s="1" t="s">
        <v>1784</v>
      </c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</row>
    <row r="482" spans="1:27" x14ac:dyDescent="0.25">
      <c r="A482" s="1">
        <v>2458755.7330399998</v>
      </c>
      <c r="B482" s="1" t="s">
        <v>1783</v>
      </c>
      <c r="C482" s="1">
        <v>8.7360000000000007</v>
      </c>
      <c r="D482" s="1">
        <v>1.9E-2</v>
      </c>
      <c r="E482" s="1" t="s">
        <v>1770</v>
      </c>
      <c r="F482" s="1" t="s">
        <v>1784</v>
      </c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</row>
    <row r="483" spans="1:27" x14ac:dyDescent="0.25">
      <c r="A483" s="1">
        <v>2458755.7416599998</v>
      </c>
      <c r="B483" s="1" t="s">
        <v>1783</v>
      </c>
      <c r="C483" s="1">
        <v>8.734</v>
      </c>
      <c r="D483" s="1">
        <v>2.1999999999999999E-2</v>
      </c>
      <c r="E483" s="1" t="s">
        <v>1770</v>
      </c>
      <c r="F483" s="1" t="s">
        <v>1784</v>
      </c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</row>
    <row r="484" spans="1:27" x14ac:dyDescent="0.25">
      <c r="A484" s="1">
        <v>2458757.5989999999</v>
      </c>
      <c r="B484" s="1" t="s">
        <v>1785</v>
      </c>
      <c r="C484" s="1">
        <v>8.75</v>
      </c>
      <c r="D484" s="1">
        <v>1.2E-2</v>
      </c>
      <c r="E484" s="1" t="s">
        <v>1770</v>
      </c>
      <c r="F484" s="1" t="s">
        <v>143</v>
      </c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</row>
    <row r="485" spans="1:27" x14ac:dyDescent="0.25">
      <c r="A485" s="1">
        <v>2458762.7038199999</v>
      </c>
      <c r="B485" s="1" t="s">
        <v>1786</v>
      </c>
      <c r="C485" s="1">
        <v>8.7639999999999993</v>
      </c>
      <c r="D485" s="1">
        <v>1.2999999999999999E-2</v>
      </c>
      <c r="E485" s="1" t="s">
        <v>1770</v>
      </c>
      <c r="F485" s="1" t="s">
        <v>1784</v>
      </c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</row>
    <row r="486" spans="1:27" x14ac:dyDescent="0.25">
      <c r="A486" s="1">
        <v>2458762.7038199999</v>
      </c>
      <c r="B486" s="1" t="s">
        <v>1786</v>
      </c>
      <c r="C486" s="1">
        <v>8.7680000000000007</v>
      </c>
      <c r="D486" s="1">
        <v>1.2E-2</v>
      </c>
      <c r="E486" s="1" t="s">
        <v>1770</v>
      </c>
      <c r="F486" s="1" t="s">
        <v>1784</v>
      </c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</row>
    <row r="487" spans="1:27" x14ac:dyDescent="0.25">
      <c r="A487" s="1">
        <v>2458762.72792</v>
      </c>
      <c r="B487" s="1" t="s">
        <v>1786</v>
      </c>
      <c r="C487" s="1">
        <v>8.7609999999999992</v>
      </c>
      <c r="D487" s="1">
        <v>1.2999999999999999E-2</v>
      </c>
      <c r="E487" s="1" t="s">
        <v>1770</v>
      </c>
      <c r="F487" s="1" t="s">
        <v>1784</v>
      </c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</row>
    <row r="488" spans="1:27" x14ac:dyDescent="0.25">
      <c r="A488" s="1">
        <v>2458762.72792</v>
      </c>
      <c r="B488" s="1" t="s">
        <v>1786</v>
      </c>
      <c r="C488" s="1">
        <v>8.7650000000000006</v>
      </c>
      <c r="D488" s="1">
        <v>1.2E-2</v>
      </c>
      <c r="E488" s="1" t="s">
        <v>1770</v>
      </c>
      <c r="F488" s="1" t="s">
        <v>1784</v>
      </c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</row>
    <row r="489" spans="1:27" x14ac:dyDescent="0.25">
      <c r="A489" s="1">
        <v>2458764.6025</v>
      </c>
      <c r="B489" s="1" t="s">
        <v>1787</v>
      </c>
      <c r="C489" s="1">
        <v>8.7560000000000002</v>
      </c>
      <c r="D489" s="1">
        <v>3.0000000000000001E-3</v>
      </c>
      <c r="E489" s="1" t="s">
        <v>1770</v>
      </c>
      <c r="F489" s="1" t="s">
        <v>143</v>
      </c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</row>
    <row r="490" spans="1:27" x14ac:dyDescent="0.25">
      <c r="A490" s="1">
        <v>2458766.47193</v>
      </c>
      <c r="B490" s="1" t="s">
        <v>1788</v>
      </c>
      <c r="C490" s="1">
        <v>8.7279999999999998</v>
      </c>
      <c r="D490" s="1">
        <v>2.1000000000000001E-2</v>
      </c>
      <c r="E490" s="1" t="s">
        <v>1770</v>
      </c>
      <c r="F490" s="1" t="s">
        <v>16</v>
      </c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</row>
    <row r="491" spans="1:27" x14ac:dyDescent="0.25">
      <c r="A491" s="1">
        <v>2458775.6463000001</v>
      </c>
      <c r="B491" s="1" t="s">
        <v>1789</v>
      </c>
      <c r="C491" s="1">
        <v>8.6969999999999992</v>
      </c>
      <c r="D491" s="1">
        <v>1.4999999999999999E-2</v>
      </c>
      <c r="E491" s="1" t="s">
        <v>1770</v>
      </c>
      <c r="F491" s="1" t="s">
        <v>143</v>
      </c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</row>
    <row r="492" spans="1:27" x14ac:dyDescent="0.25">
      <c r="A492" s="1">
        <v>2458776.6040400001</v>
      </c>
      <c r="B492" s="1" t="s">
        <v>1790</v>
      </c>
      <c r="C492" s="1">
        <v>8.7799999999999994</v>
      </c>
      <c r="D492" s="1">
        <v>3.0000000000000001E-3</v>
      </c>
      <c r="E492" s="1" t="s">
        <v>1770</v>
      </c>
      <c r="F492" s="1" t="s">
        <v>1791</v>
      </c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 t="s">
        <v>1792</v>
      </c>
      <c r="AA492" s="1" t="s">
        <v>1793</v>
      </c>
    </row>
    <row r="493" spans="1:27" x14ac:dyDescent="0.25">
      <c r="A493" s="1">
        <v>2458780.5942199999</v>
      </c>
      <c r="B493" s="1" t="s">
        <v>1794</v>
      </c>
      <c r="C493" s="1">
        <v>8.7729999999999997</v>
      </c>
      <c r="D493" s="1">
        <v>3.0000000000000001E-3</v>
      </c>
      <c r="E493" s="1" t="s">
        <v>1770</v>
      </c>
      <c r="F493" s="1" t="s">
        <v>1791</v>
      </c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 t="s">
        <v>1792</v>
      </c>
      <c r="AA493" s="1" t="s">
        <v>1793</v>
      </c>
    </row>
    <row r="494" spans="1:27" x14ac:dyDescent="0.25">
      <c r="A494" s="1">
        <v>2458792.5787800001</v>
      </c>
      <c r="B494" s="1" t="s">
        <v>1795</v>
      </c>
      <c r="C494" s="1">
        <v>8.7469999999999999</v>
      </c>
      <c r="D494" s="1">
        <v>3.0000000000000001E-3</v>
      </c>
      <c r="E494" s="1" t="s">
        <v>1770</v>
      </c>
      <c r="F494" s="1" t="s">
        <v>1791</v>
      </c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 t="s">
        <v>1792</v>
      </c>
      <c r="AA494" s="1" t="s">
        <v>1793</v>
      </c>
    </row>
    <row r="495" spans="1:27" x14ac:dyDescent="0.25">
      <c r="A495" s="1">
        <v>2458799.66059</v>
      </c>
      <c r="B495" s="1" t="s">
        <v>1796</v>
      </c>
      <c r="C495" s="1">
        <v>8.6609999999999996</v>
      </c>
      <c r="D495" s="1">
        <v>3.0000000000000001E-3</v>
      </c>
      <c r="E495" s="1" t="s">
        <v>1770</v>
      </c>
      <c r="F495" s="1" t="s">
        <v>1776</v>
      </c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 t="s">
        <v>1792</v>
      </c>
      <c r="AA495" s="1" t="s">
        <v>1793</v>
      </c>
    </row>
    <row r="496" spans="1:27" x14ac:dyDescent="0.25">
      <c r="A496" s="1">
        <v>2458801.5910800002</v>
      </c>
      <c r="B496" s="1" t="s">
        <v>1797</v>
      </c>
      <c r="C496" s="1">
        <v>8.7210000000000001</v>
      </c>
      <c r="D496" s="1">
        <v>3.0000000000000001E-3</v>
      </c>
      <c r="E496" s="1" t="s">
        <v>1770</v>
      </c>
      <c r="F496" s="1" t="s">
        <v>1791</v>
      </c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 t="s">
        <v>1792</v>
      </c>
      <c r="AA496" s="1" t="s">
        <v>1793</v>
      </c>
    </row>
    <row r="497" spans="1:28" x14ac:dyDescent="0.25">
      <c r="A497" s="1">
        <v>2458801.6039</v>
      </c>
      <c r="B497" s="1" t="s">
        <v>1797</v>
      </c>
      <c r="C497" s="1">
        <v>8.625</v>
      </c>
      <c r="D497" s="1">
        <v>5.0000000000000001E-3</v>
      </c>
      <c r="E497" s="1" t="s">
        <v>1770</v>
      </c>
      <c r="F497" s="1" t="s">
        <v>143</v>
      </c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 t="s">
        <v>1792</v>
      </c>
      <c r="AA497" s="1" t="s">
        <v>1793</v>
      </c>
    </row>
    <row r="498" spans="1:28" x14ac:dyDescent="0.25">
      <c r="A498" s="1">
        <v>2458805.6439999999</v>
      </c>
      <c r="B498" s="1" t="s">
        <v>1798</v>
      </c>
      <c r="C498" s="1">
        <v>8.6210000000000004</v>
      </c>
      <c r="D498" s="1">
        <v>4.0000000000000001E-3</v>
      </c>
      <c r="E498" s="1" t="s">
        <v>1770</v>
      </c>
      <c r="F498" s="1" t="s">
        <v>143</v>
      </c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 t="s">
        <v>1792</v>
      </c>
      <c r="AA498" s="1" t="s">
        <v>1793</v>
      </c>
    </row>
    <row r="499" spans="1:28" x14ac:dyDescent="0.25">
      <c r="A499" s="1">
        <v>2458809.5826699999</v>
      </c>
      <c r="B499" s="1" t="s">
        <v>1799</v>
      </c>
      <c r="C499" s="1">
        <v>8.6319999999999997</v>
      </c>
      <c r="D499" s="1">
        <v>3.0000000000000001E-3</v>
      </c>
      <c r="E499" s="1" t="s">
        <v>1770</v>
      </c>
      <c r="F499" s="1" t="s">
        <v>1791</v>
      </c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 t="s">
        <v>1792</v>
      </c>
      <c r="AA499" s="1" t="s">
        <v>1793</v>
      </c>
    </row>
    <row r="500" spans="1:28" x14ac:dyDescent="0.25">
      <c r="A500" s="1">
        <v>2458812.6022999999</v>
      </c>
      <c r="B500" s="1" t="s">
        <v>1800</v>
      </c>
      <c r="C500" s="1">
        <v>8.5909999999999993</v>
      </c>
      <c r="D500" s="1">
        <v>6.0000000000000001E-3</v>
      </c>
      <c r="E500" s="1" t="s">
        <v>1770</v>
      </c>
      <c r="F500" s="1" t="s">
        <v>143</v>
      </c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 t="s">
        <v>1792</v>
      </c>
      <c r="AA500" s="1" t="s">
        <v>1793</v>
      </c>
    </row>
    <row r="501" spans="1:28" x14ac:dyDescent="0.25">
      <c r="A501" s="1">
        <v>2458817.2985499999</v>
      </c>
      <c r="B501" s="1" t="s">
        <v>1801</v>
      </c>
      <c r="C501" s="1">
        <v>8.6159999999999997</v>
      </c>
      <c r="D501" s="1">
        <v>1.7000000000000001E-2</v>
      </c>
      <c r="E501" s="1" t="s">
        <v>1770</v>
      </c>
      <c r="F501" s="1" t="s">
        <v>16</v>
      </c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 t="s">
        <v>1792</v>
      </c>
      <c r="AA501" s="1" t="s">
        <v>1793</v>
      </c>
    </row>
    <row r="502" spans="1:28" x14ac:dyDescent="0.25">
      <c r="A502" s="1">
        <v>2458818.6014999999</v>
      </c>
      <c r="B502" s="1" t="s">
        <v>1802</v>
      </c>
      <c r="C502" s="1">
        <v>8.6210000000000004</v>
      </c>
      <c r="D502" s="1">
        <v>6.0000000000000001E-3</v>
      </c>
      <c r="E502" s="1" t="s">
        <v>1770</v>
      </c>
      <c r="F502" s="1" t="s">
        <v>143</v>
      </c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 t="s">
        <v>1792</v>
      </c>
      <c r="AA502" s="1" t="s">
        <v>1793</v>
      </c>
    </row>
    <row r="503" spans="1:28" x14ac:dyDescent="0.25">
      <c r="A503" s="1">
        <v>2458828.5904999999</v>
      </c>
      <c r="B503" s="1" t="s">
        <v>1803</v>
      </c>
      <c r="C503" s="1">
        <v>8.6389999999999993</v>
      </c>
      <c r="D503" s="1">
        <v>6.0000000000000001E-3</v>
      </c>
      <c r="E503" s="1" t="s">
        <v>1770</v>
      </c>
      <c r="F503" s="1" t="s">
        <v>143</v>
      </c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 t="s">
        <v>1792</v>
      </c>
      <c r="AA503" s="1" t="s">
        <v>1793</v>
      </c>
    </row>
    <row r="504" spans="1:28" x14ac:dyDescent="0.25">
      <c r="A504" s="1">
        <v>2458830.5469999998</v>
      </c>
      <c r="B504" s="1" t="s">
        <v>1804</v>
      </c>
      <c r="C504" s="1">
        <v>8.6579999999999995</v>
      </c>
      <c r="D504" s="1">
        <v>2E-3</v>
      </c>
      <c r="E504" s="1" t="s">
        <v>1770</v>
      </c>
      <c r="F504" s="1" t="s">
        <v>143</v>
      </c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 t="s">
        <v>1792</v>
      </c>
      <c r="AA504" s="1" t="s">
        <v>1793</v>
      </c>
    </row>
    <row r="505" spans="1:28" x14ac:dyDescent="0.25">
      <c r="A505" s="1">
        <v>2458830.5628800001</v>
      </c>
      <c r="B505" s="1" t="s">
        <v>1804</v>
      </c>
      <c r="C505" s="1">
        <v>8.7449999999999992</v>
      </c>
      <c r="D505" s="1">
        <v>3.0000000000000001E-3</v>
      </c>
      <c r="E505" s="1" t="s">
        <v>1770</v>
      </c>
      <c r="F505" s="1" t="s">
        <v>1791</v>
      </c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 t="s">
        <v>1792</v>
      </c>
      <c r="AA505" s="1" t="s">
        <v>1793</v>
      </c>
    </row>
    <row r="506" spans="1:28" x14ac:dyDescent="0.25">
      <c r="A506" s="1">
        <v>2458834.5994000002</v>
      </c>
      <c r="B506" s="1" t="s">
        <v>1805</v>
      </c>
      <c r="C506" s="1">
        <v>8.6359999999999992</v>
      </c>
      <c r="D506" s="1">
        <v>3.0000000000000001E-3</v>
      </c>
      <c r="E506" s="1" t="s">
        <v>1770</v>
      </c>
      <c r="F506" s="1" t="s">
        <v>143</v>
      </c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 t="s">
        <v>1792</v>
      </c>
      <c r="AA506" s="1" t="s">
        <v>1793</v>
      </c>
    </row>
    <row r="507" spans="1:28" x14ac:dyDescent="0.25">
      <c r="A507" s="1">
        <v>2458836.5537700001</v>
      </c>
      <c r="B507" s="1" t="s">
        <v>1806</v>
      </c>
      <c r="C507" s="1">
        <v>8.7189999999999994</v>
      </c>
      <c r="D507" s="1">
        <v>3.0000000000000001E-3</v>
      </c>
      <c r="E507" s="1" t="s">
        <v>1770</v>
      </c>
      <c r="F507" s="1" t="s">
        <v>1791</v>
      </c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 t="s">
        <v>1792</v>
      </c>
      <c r="AA507" s="1" t="s">
        <v>1793</v>
      </c>
    </row>
    <row r="508" spans="1:28" x14ac:dyDescent="0.25">
      <c r="A508">
        <v>2458839.574</v>
      </c>
      <c r="C508">
        <v>8.5830000000000002</v>
      </c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</row>
    <row r="509" spans="1:28" x14ac:dyDescent="0.25">
      <c r="A509">
        <v>2458844.5735999998</v>
      </c>
      <c r="C509">
        <v>8.5419999999999998</v>
      </c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</row>
    <row r="510" spans="1:28" x14ac:dyDescent="0.25">
      <c r="A510">
        <v>2458847.5832000002</v>
      </c>
      <c r="C510">
        <v>8.5329999999999995</v>
      </c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</row>
    <row r="511" spans="1:28" x14ac:dyDescent="0.25">
      <c r="A511">
        <v>2458851.5574710001</v>
      </c>
      <c r="C511">
        <v>8.6159999999999997</v>
      </c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</row>
    <row r="512" spans="1:28" x14ac:dyDescent="0.25">
      <c r="A512">
        <v>2459048.4987300001</v>
      </c>
      <c r="C512">
        <v>8.4740000000000002</v>
      </c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</row>
    <row r="513" spans="1:28" x14ac:dyDescent="0.25">
      <c r="A513">
        <v>2459056.4663</v>
      </c>
      <c r="C513">
        <v>8.5239999999999991</v>
      </c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</row>
    <row r="514" spans="1:28" x14ac:dyDescent="0.25">
      <c r="A514">
        <v>2459062.7026399998</v>
      </c>
      <c r="C514">
        <v>8.5530000000000008</v>
      </c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</row>
    <row r="515" spans="1:28" x14ac:dyDescent="0.25">
      <c r="A515">
        <v>2459068.4870500001</v>
      </c>
      <c r="C515">
        <v>8.5640000000000001</v>
      </c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</row>
    <row r="516" spans="1:28" x14ac:dyDescent="0.25">
      <c r="A516">
        <v>2459077.7477890002</v>
      </c>
      <c r="C516">
        <v>8.423</v>
      </c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</row>
    <row r="517" spans="1:28" x14ac:dyDescent="0.25">
      <c r="A517">
        <v>2459077.7512619998</v>
      </c>
      <c r="C517">
        <v>8.3719999999999999</v>
      </c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</row>
    <row r="518" spans="1:28" x14ac:dyDescent="0.25">
      <c r="A518">
        <v>2459077.7547109998</v>
      </c>
      <c r="C518">
        <v>8.4450000000000003</v>
      </c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</row>
    <row r="519" spans="1:28" x14ac:dyDescent="0.25">
      <c r="A519">
        <v>2459077.7581710001</v>
      </c>
      <c r="C519">
        <v>8.4779999999999998</v>
      </c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</row>
    <row r="520" spans="1:28" x14ac:dyDescent="0.25">
      <c r="A520">
        <v>2459077.7616320001</v>
      </c>
      <c r="C520">
        <v>8.5079999999999991</v>
      </c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</row>
    <row r="521" spans="1:28" x14ac:dyDescent="0.25">
      <c r="A521">
        <v>2459085.3979000002</v>
      </c>
      <c r="C521">
        <v>8.42</v>
      </c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</row>
    <row r="522" spans="1:28" x14ac:dyDescent="0.25">
      <c r="A522">
        <v>2459088.4130199999</v>
      </c>
      <c r="C522">
        <v>8.4710000000000001</v>
      </c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</row>
    <row r="523" spans="1:28" x14ac:dyDescent="0.25">
      <c r="A523">
        <v>2459099.3826000001</v>
      </c>
      <c r="C523">
        <v>8.5399999999999991</v>
      </c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</row>
    <row r="524" spans="1:28" x14ac:dyDescent="0.25">
      <c r="A524">
        <v>2459099.7115679998</v>
      </c>
      <c r="C524">
        <v>8.5310000000000006</v>
      </c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</row>
    <row r="525" spans="1:28" x14ac:dyDescent="0.25">
      <c r="A525">
        <v>2459099.7151330002</v>
      </c>
      <c r="C525">
        <v>8.516</v>
      </c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</row>
    <row r="526" spans="1:28" x14ac:dyDescent="0.25">
      <c r="A526">
        <v>2459099.7186980001</v>
      </c>
      <c r="C526">
        <v>8.5220000000000002</v>
      </c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</row>
    <row r="527" spans="1:28" x14ac:dyDescent="0.25">
      <c r="A527">
        <v>2459099.722263</v>
      </c>
      <c r="C527">
        <v>8.5239999999999991</v>
      </c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</row>
    <row r="528" spans="1:28" x14ac:dyDescent="0.25">
      <c r="A528">
        <v>2459099.7258279999</v>
      </c>
      <c r="C528">
        <v>8.5250000000000004</v>
      </c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</row>
    <row r="529" spans="1:28" x14ac:dyDescent="0.25">
      <c r="A529">
        <v>2459106.3541999999</v>
      </c>
      <c r="C529">
        <v>8.56</v>
      </c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</row>
    <row r="530" spans="1:28" x14ac:dyDescent="0.25">
      <c r="A530">
        <v>2459106.4407600001</v>
      </c>
      <c r="C530">
        <v>8.5619999999999994</v>
      </c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</row>
    <row r="531" spans="1:28" x14ac:dyDescent="0.25">
      <c r="A531">
        <v>2459107.3316299999</v>
      </c>
      <c r="C531">
        <v>8.5449999999999999</v>
      </c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</row>
    <row r="532" spans="1:28" x14ac:dyDescent="0.25">
      <c r="A532">
        <v>2459109.6803000001</v>
      </c>
      <c r="C532">
        <v>8.5690000000000008</v>
      </c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</row>
    <row r="533" spans="1:28" x14ac:dyDescent="0.25">
      <c r="A533">
        <v>2459111.3520999998</v>
      </c>
      <c r="C533">
        <v>8.4</v>
      </c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</row>
    <row r="534" spans="1:28" x14ac:dyDescent="0.25">
      <c r="A534">
        <v>2459115.6740999999</v>
      </c>
      <c r="C534">
        <v>8.5579999999999998</v>
      </c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</row>
    <row r="535" spans="1:28" x14ac:dyDescent="0.25">
      <c r="A535">
        <v>2459116.4418199998</v>
      </c>
      <c r="C535">
        <v>8.5419999999999998</v>
      </c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</row>
    <row r="536" spans="1:28" x14ac:dyDescent="0.25">
      <c r="A536">
        <v>2459120.6532000001</v>
      </c>
      <c r="C536">
        <v>8.516</v>
      </c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</row>
    <row r="537" spans="1:28" x14ac:dyDescent="0.25">
      <c r="A537">
        <v>2459128.6581000001</v>
      </c>
      <c r="C537">
        <v>8.5820000000000007</v>
      </c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</row>
    <row r="538" spans="1:28" x14ac:dyDescent="0.25">
      <c r="A538">
        <v>2459131.4071599999</v>
      </c>
      <c r="C538">
        <v>8.5619999999999994</v>
      </c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</row>
    <row r="539" spans="1:28" x14ac:dyDescent="0.25">
      <c r="A539">
        <v>2459134.6230700002</v>
      </c>
      <c r="C539">
        <v>8.6310000000000002</v>
      </c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</row>
    <row r="540" spans="1:28" x14ac:dyDescent="0.25">
      <c r="A540">
        <v>2459134.6710000001</v>
      </c>
      <c r="C540">
        <v>8.5920000000000005</v>
      </c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</row>
    <row r="541" spans="1:28" x14ac:dyDescent="0.25">
      <c r="A541">
        <v>2459139.6368999998</v>
      </c>
      <c r="C541">
        <v>8.6609999999999996</v>
      </c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</row>
    <row r="542" spans="1:28" x14ac:dyDescent="0.25">
      <c r="A542">
        <v>2459140.3042000001</v>
      </c>
      <c r="C542">
        <v>8.66</v>
      </c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</row>
    <row r="543" spans="1:28" x14ac:dyDescent="0.25">
      <c r="A543">
        <v>2459141.65</v>
      </c>
      <c r="C543">
        <v>8.6039999999999992</v>
      </c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</row>
    <row r="544" spans="1:28" x14ac:dyDescent="0.25">
      <c r="A544">
        <v>2459143.6497</v>
      </c>
      <c r="C544">
        <v>8.65</v>
      </c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</row>
    <row r="545" spans="1:28" x14ac:dyDescent="0.25">
      <c r="A545">
        <v>2459146.3173099998</v>
      </c>
      <c r="C545">
        <v>8.6489999999999991</v>
      </c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</row>
    <row r="546" spans="1:28" x14ac:dyDescent="0.25">
      <c r="A546">
        <v>2459148.45578</v>
      </c>
      <c r="C546">
        <v>8.5760000000000005</v>
      </c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</row>
    <row r="547" spans="1:28" x14ac:dyDescent="0.25">
      <c r="A547">
        <v>2459154.5757519999</v>
      </c>
      <c r="C547">
        <v>8.5449999999999999</v>
      </c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</row>
    <row r="548" spans="1:28" x14ac:dyDescent="0.25">
      <c r="A548">
        <v>2459154.5779280001</v>
      </c>
      <c r="C548">
        <v>8.5340000000000007</v>
      </c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</row>
    <row r="549" spans="1:28" x14ac:dyDescent="0.25">
      <c r="A549">
        <v>2459154.580116</v>
      </c>
      <c r="C549">
        <v>8.5350000000000001</v>
      </c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</row>
    <row r="550" spans="1:28" x14ac:dyDescent="0.25">
      <c r="A550">
        <v>2459154.5823149998</v>
      </c>
      <c r="C550">
        <v>8.5370000000000008</v>
      </c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</row>
    <row r="551" spans="1:28" x14ac:dyDescent="0.25">
      <c r="A551">
        <v>2459154.5874069999</v>
      </c>
      <c r="C551">
        <v>8.5389999999999997</v>
      </c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</row>
    <row r="552" spans="1:28" x14ac:dyDescent="0.25">
      <c r="A552">
        <v>2459154.5896299998</v>
      </c>
      <c r="C552">
        <v>8.5410000000000004</v>
      </c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</row>
    <row r="553" spans="1:28" x14ac:dyDescent="0.25">
      <c r="A553">
        <v>2459154.5918399999</v>
      </c>
      <c r="C553">
        <v>8.5280000000000005</v>
      </c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</row>
    <row r="554" spans="1:28" x14ac:dyDescent="0.25">
      <c r="A554">
        <v>2459154.5940510002</v>
      </c>
      <c r="C554">
        <v>8.5289999999999999</v>
      </c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</row>
    <row r="555" spans="1:28" x14ac:dyDescent="0.25">
      <c r="A555">
        <v>2459154.596262</v>
      </c>
      <c r="C555">
        <v>8.5359999999999996</v>
      </c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</row>
    <row r="556" spans="1:28" x14ac:dyDescent="0.25">
      <c r="A556">
        <v>2459157.622</v>
      </c>
      <c r="C556">
        <v>8.5440000000000005</v>
      </c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</row>
    <row r="557" spans="1:28" x14ac:dyDescent="0.25">
      <c r="A557">
        <v>2459159.3607100002</v>
      </c>
      <c r="C557">
        <v>8.52</v>
      </c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</row>
    <row r="558" spans="1:28" x14ac:dyDescent="0.25">
      <c r="A558">
        <v>2459160.3235999998</v>
      </c>
      <c r="C558">
        <v>8.49</v>
      </c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</row>
    <row r="559" spans="1:28" x14ac:dyDescent="0.25">
      <c r="A559">
        <v>2459173.5956999999</v>
      </c>
      <c r="C559">
        <v>8.68</v>
      </c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</row>
    <row r="560" spans="1:28" x14ac:dyDescent="0.25">
      <c r="A560">
        <v>2459176.3870799998</v>
      </c>
      <c r="C560">
        <v>8.6820000000000004</v>
      </c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</row>
    <row r="561" spans="1:28" x14ac:dyDescent="0.25">
      <c r="A561">
        <v>2459188.6466000001</v>
      </c>
      <c r="C561">
        <v>8.7140000000000004</v>
      </c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</row>
    <row r="562" spans="1:28" x14ac:dyDescent="0.25">
      <c r="A562">
        <v>2459192.6472</v>
      </c>
      <c r="C562">
        <v>8.657</v>
      </c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</row>
    <row r="563" spans="1:28" x14ac:dyDescent="0.25">
      <c r="A563">
        <v>2459196.2833400001</v>
      </c>
      <c r="C563">
        <v>8.6270000000000007</v>
      </c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</row>
    <row r="564" spans="1:28" x14ac:dyDescent="0.25">
      <c r="A564">
        <v>2459204.5490000001</v>
      </c>
      <c r="C564">
        <v>8.7070000000000007</v>
      </c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</row>
    <row r="565" spans="1:28" x14ac:dyDescent="0.25">
      <c r="A565">
        <v>2459212.5918999999</v>
      </c>
      <c r="C565">
        <v>8.6920000000000002</v>
      </c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</row>
    <row r="566" spans="1:28" x14ac:dyDescent="0.25">
      <c r="A566">
        <v>2459217.588</v>
      </c>
      <c r="C566">
        <v>8.7379999999999995</v>
      </c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</row>
    <row r="567" spans="1:28" x14ac:dyDescent="0.25">
      <c r="A567">
        <v>2459221.5562</v>
      </c>
      <c r="C567">
        <v>8.6940000000000008</v>
      </c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</row>
    <row r="568" spans="1:28" x14ac:dyDescent="0.25">
      <c r="A568">
        <v>2459227.5570999999</v>
      </c>
      <c r="C568">
        <v>8.6539999999999999</v>
      </c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</row>
    <row r="569" spans="1:28" x14ac:dyDescent="0.25">
      <c r="A569">
        <v>2459231.5406050002</v>
      </c>
      <c r="C569">
        <v>8.6750000000000007</v>
      </c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</row>
    <row r="570" spans="1:28" x14ac:dyDescent="0.25">
      <c r="A570">
        <v>2459231.5412079999</v>
      </c>
      <c r="C570">
        <v>8.6630000000000003</v>
      </c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</row>
    <row r="571" spans="1:28" x14ac:dyDescent="0.25">
      <c r="A571">
        <v>2459231.5415110001</v>
      </c>
      <c r="C571">
        <v>8.6739999999999995</v>
      </c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</row>
    <row r="572" spans="1:28" x14ac:dyDescent="0.25">
      <c r="A572">
        <v>2459231.5440619998</v>
      </c>
      <c r="C572">
        <v>8.6760000000000002</v>
      </c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</row>
    <row r="573" spans="1:28" x14ac:dyDescent="0.25">
      <c r="A573">
        <v>2459231.5455280002</v>
      </c>
      <c r="C573">
        <v>8.6760000000000002</v>
      </c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</row>
    <row r="574" spans="1:28" x14ac:dyDescent="0.25">
      <c r="A574">
        <v>2459231.5462699998</v>
      </c>
      <c r="C574">
        <v>8.6579999999999995</v>
      </c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</row>
    <row r="575" spans="1:28" x14ac:dyDescent="0.25">
      <c r="A575">
        <v>2459231.5470110001</v>
      </c>
      <c r="C575">
        <v>8.673</v>
      </c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</row>
    <row r="576" spans="1:28" x14ac:dyDescent="0.25">
      <c r="A576">
        <v>2459231.5477519999</v>
      </c>
      <c r="C576">
        <v>8.6750000000000007</v>
      </c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</row>
    <row r="577" spans="1:28" x14ac:dyDescent="0.25">
      <c r="A577">
        <v>2459231.5493419999</v>
      </c>
      <c r="C577">
        <v>8.6530000000000005</v>
      </c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</row>
    <row r="578" spans="1:28" x14ac:dyDescent="0.25">
      <c r="A578">
        <v>2459231.5500889998</v>
      </c>
      <c r="C578">
        <v>8.6829999999999998</v>
      </c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</row>
    <row r="579" spans="1:28" x14ac:dyDescent="0.25">
      <c r="A579">
        <v>2459231.5508340001</v>
      </c>
      <c r="C579">
        <v>8.6679999999999993</v>
      </c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</row>
    <row r="580" spans="1:28" x14ac:dyDescent="0.25">
      <c r="A580">
        <v>2459231.5515780002</v>
      </c>
      <c r="C580">
        <v>8.6709999999999994</v>
      </c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</row>
    <row r="581" spans="1:28" x14ac:dyDescent="0.25">
      <c r="A581">
        <v>2459231.552321</v>
      </c>
      <c r="C581">
        <v>8.67</v>
      </c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</row>
    <row r="582" spans="1:28" x14ac:dyDescent="0.25">
      <c r="A582">
        <v>2459231.5530659999</v>
      </c>
      <c r="C582">
        <v>8.67</v>
      </c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</row>
    <row r="583" spans="1:28" x14ac:dyDescent="0.25">
      <c r="A583">
        <v>2459231.5553029999</v>
      </c>
      <c r="C583">
        <v>8.6639999999999997</v>
      </c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</row>
    <row r="584" spans="1:28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</row>
    <row r="585" spans="1:28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</row>
    <row r="586" spans="1:28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</row>
    <row r="587" spans="1:28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</row>
    <row r="588" spans="1:28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</row>
    <row r="589" spans="1:28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</row>
    <row r="590" spans="1:28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</row>
    <row r="591" spans="1:28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</row>
    <row r="592" spans="1:28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</row>
    <row r="593" spans="1:27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</row>
    <row r="594" spans="1:27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</row>
    <row r="595" spans="1:27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</row>
    <row r="596" spans="1:27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</row>
    <row r="597" spans="1:27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</row>
    <row r="598" spans="1:27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</row>
    <row r="599" spans="1:27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</row>
    <row r="600" spans="1:27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</row>
    <row r="601" spans="1:27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</row>
    <row r="602" spans="1:27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</row>
    <row r="603" spans="1:27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</row>
    <row r="604" spans="1:27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</row>
    <row r="605" spans="1:27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</row>
    <row r="606" spans="1:27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</row>
    <row r="607" spans="1:27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</row>
    <row r="608" spans="1:27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</row>
    <row r="609" spans="1:27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</row>
    <row r="610" spans="1:27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</row>
    <row r="611" spans="1:27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</row>
    <row r="612" spans="1:27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</row>
    <row r="613" spans="1:27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</row>
    <row r="614" spans="1:27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</row>
    <row r="615" spans="1:27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</row>
    <row r="616" spans="1:27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</row>
    <row r="617" spans="1:27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</row>
    <row r="618" spans="1:27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</row>
    <row r="619" spans="1:27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</row>
    <row r="620" spans="1:27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</row>
    <row r="621" spans="1:27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</row>
    <row r="622" spans="1:27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</row>
    <row r="623" spans="1:27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</row>
    <row r="624" spans="1:27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</row>
    <row r="625" spans="1:27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</row>
    <row r="626" spans="1:27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</row>
    <row r="627" spans="1:27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</row>
    <row r="628" spans="1:27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</row>
    <row r="629" spans="1:27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</row>
    <row r="630" spans="1:27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</row>
    <row r="631" spans="1:27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</row>
    <row r="632" spans="1:27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</row>
    <row r="633" spans="1:27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</row>
    <row r="634" spans="1:27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</row>
    <row r="635" spans="1:27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</row>
    <row r="636" spans="1:27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</row>
    <row r="637" spans="1:27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</row>
    <row r="638" spans="1:27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</row>
    <row r="639" spans="1:27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</row>
    <row r="640" spans="1:27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</row>
    <row r="641" spans="1:27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</row>
    <row r="642" spans="1:27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</row>
    <row r="643" spans="1:27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</row>
    <row r="644" spans="1:27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</row>
    <row r="645" spans="1:27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</row>
    <row r="646" spans="1:27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</row>
    <row r="647" spans="1:27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</row>
    <row r="648" spans="1:27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</row>
    <row r="649" spans="1:27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</row>
    <row r="650" spans="1:27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</row>
    <row r="651" spans="1:27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</row>
    <row r="652" spans="1:27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</row>
    <row r="653" spans="1:27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</row>
    <row r="654" spans="1:27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</row>
    <row r="655" spans="1:27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</row>
    <row r="656" spans="1:27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</row>
    <row r="657" spans="1:27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</row>
    <row r="658" spans="1:27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</row>
    <row r="659" spans="1:27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</row>
    <row r="660" spans="1:27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</row>
    <row r="661" spans="1:27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</row>
    <row r="662" spans="1:27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</row>
    <row r="663" spans="1:27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</row>
    <row r="664" spans="1:27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</row>
    <row r="665" spans="1:27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</row>
    <row r="666" spans="1:27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</row>
    <row r="667" spans="1:27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</row>
    <row r="668" spans="1:27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</row>
    <row r="669" spans="1:27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</row>
    <row r="670" spans="1:27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</row>
    <row r="671" spans="1:27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</row>
    <row r="672" spans="1:27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</row>
    <row r="673" spans="1:27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</row>
    <row r="674" spans="1:27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</row>
    <row r="675" spans="1:27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</row>
    <row r="676" spans="1:27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</row>
    <row r="677" spans="1:27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</row>
    <row r="678" spans="1:27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</row>
    <row r="679" spans="1:27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</row>
    <row r="680" spans="1:27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</row>
    <row r="681" spans="1:27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</row>
    <row r="682" spans="1:27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</row>
    <row r="683" spans="1:27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</row>
    <row r="684" spans="1:27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</row>
    <row r="685" spans="1:27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</row>
    <row r="686" spans="1:27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</row>
    <row r="687" spans="1:27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</row>
    <row r="688" spans="1:27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</row>
    <row r="689" spans="1:27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</row>
    <row r="690" spans="1:27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</row>
    <row r="691" spans="1:27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</row>
    <row r="692" spans="1:27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</row>
    <row r="693" spans="1:27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</row>
    <row r="694" spans="1:27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</row>
    <row r="695" spans="1:27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</row>
    <row r="696" spans="1:27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</row>
    <row r="697" spans="1:27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</row>
    <row r="698" spans="1:27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</row>
    <row r="699" spans="1:27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</row>
    <row r="700" spans="1:27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</row>
    <row r="701" spans="1:27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</row>
    <row r="702" spans="1:27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</row>
    <row r="703" spans="1:27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</row>
    <row r="704" spans="1:27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</row>
    <row r="705" spans="1:27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</row>
    <row r="706" spans="1:27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</row>
    <row r="707" spans="1:27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</row>
    <row r="708" spans="1:27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</row>
    <row r="709" spans="1:27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</row>
    <row r="710" spans="1:27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</row>
    <row r="711" spans="1:27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</row>
    <row r="712" spans="1:27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</row>
    <row r="713" spans="1:27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</row>
    <row r="714" spans="1:27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</row>
    <row r="715" spans="1:27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</row>
    <row r="716" spans="1:27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</row>
    <row r="717" spans="1:27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</row>
    <row r="718" spans="1:27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</row>
    <row r="719" spans="1:27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</row>
    <row r="720" spans="1:27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</row>
    <row r="721" spans="1:27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</row>
    <row r="722" spans="1:27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</row>
    <row r="723" spans="1:27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</row>
    <row r="724" spans="1:27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</row>
    <row r="725" spans="1:27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</row>
    <row r="726" spans="1:27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</row>
    <row r="858" spans="1:26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</sheetData>
  <sortState xmlns:xlrd2="http://schemas.microsoft.com/office/spreadsheetml/2017/richdata2" ref="A1:F1301">
    <sortCondition ref="F1:F130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7"/>
  <dimension ref="A1:J1160"/>
  <sheetViews>
    <sheetView topLeftCell="A463" workbookViewId="0">
      <selection activeCell="I419" sqref="I419"/>
    </sheetView>
  </sheetViews>
  <sheetFormatPr baseColWidth="10" defaultRowHeight="14.25" customHeight="1" x14ac:dyDescent="0.25"/>
  <cols>
    <col min="3" max="3" width="12.42578125" customWidth="1"/>
    <col min="4" max="4" width="5" customWidth="1"/>
    <col min="7" max="7" width="3.140625" customWidth="1"/>
  </cols>
  <sheetData>
    <row r="1" spans="1:4" ht="14.25" customHeight="1" x14ac:dyDescent="0.25">
      <c r="A1" s="1">
        <v>2430183.4</v>
      </c>
      <c r="B1" s="1" t="s">
        <v>359</v>
      </c>
      <c r="C1" s="1">
        <v>7.7166670000000002</v>
      </c>
      <c r="D1" s="1"/>
    </row>
    <row r="2" spans="1:4" ht="14.25" customHeight="1" x14ac:dyDescent="0.25">
      <c r="A2" s="1">
        <v>2430201.74444</v>
      </c>
      <c r="B2" s="1" t="s">
        <v>360</v>
      </c>
      <c r="C2" s="1">
        <v>7.6555559999999998</v>
      </c>
      <c r="D2" s="1"/>
    </row>
    <row r="3" spans="1:4" ht="14.25" customHeight="1" x14ac:dyDescent="0.25">
      <c r="A3" s="1">
        <v>2430219.4500000002</v>
      </c>
      <c r="B3" s="1" t="s">
        <v>361</v>
      </c>
      <c r="C3" s="1">
        <v>7.6</v>
      </c>
      <c r="D3" s="1"/>
    </row>
    <row r="4" spans="1:4" ht="14.25" customHeight="1" x14ac:dyDescent="0.25">
      <c r="A4" s="1">
        <v>2430235.4</v>
      </c>
      <c r="B4" s="1" t="s">
        <v>362</v>
      </c>
      <c r="C4" s="1">
        <v>7.7818180000000003</v>
      </c>
      <c r="D4" s="1"/>
    </row>
    <row r="5" spans="1:4" ht="14.25" customHeight="1" x14ac:dyDescent="0.25">
      <c r="A5" s="1">
        <v>2430253.7999999998</v>
      </c>
      <c r="B5" s="1" t="s">
        <v>363</v>
      </c>
      <c r="C5" s="1">
        <v>7.733333</v>
      </c>
      <c r="D5" s="1"/>
    </row>
    <row r="6" spans="1:4" ht="14.25" customHeight="1" x14ac:dyDescent="0.25">
      <c r="A6" s="1">
        <v>2430270.15</v>
      </c>
      <c r="B6" s="1" t="s">
        <v>364</v>
      </c>
      <c r="C6" s="1">
        <v>7.65</v>
      </c>
      <c r="D6" s="1"/>
    </row>
    <row r="7" spans="1:4" ht="14.25" customHeight="1" x14ac:dyDescent="0.25">
      <c r="A7" s="1">
        <v>2430284.66</v>
      </c>
      <c r="B7" s="1" t="s">
        <v>365</v>
      </c>
      <c r="C7" s="1">
        <v>7.84</v>
      </c>
      <c r="D7" s="1"/>
    </row>
    <row r="8" spans="1:4" ht="14.25" customHeight="1" x14ac:dyDescent="0.25">
      <c r="A8" s="1">
        <v>2432196.7000000002</v>
      </c>
      <c r="B8" s="1" t="s">
        <v>366</v>
      </c>
      <c r="C8" s="1">
        <v>7.4</v>
      </c>
      <c r="D8" s="1"/>
    </row>
    <row r="9" spans="1:4" ht="14.25" customHeight="1" x14ac:dyDescent="0.25">
      <c r="A9" s="1">
        <v>2432208.2000000002</v>
      </c>
      <c r="B9" s="1" t="s">
        <v>367</v>
      </c>
      <c r="C9" s="1">
        <v>7.45</v>
      </c>
      <c r="D9" s="1"/>
    </row>
    <row r="10" spans="1:4" ht="14.25" customHeight="1" x14ac:dyDescent="0.25">
      <c r="A10" s="1">
        <v>2434498.59</v>
      </c>
      <c r="B10" s="1" t="s">
        <v>368</v>
      </c>
      <c r="C10" s="1">
        <v>7.8</v>
      </c>
      <c r="D10" s="1"/>
    </row>
    <row r="11" spans="1:4" ht="14.25" customHeight="1" x14ac:dyDescent="0.25">
      <c r="A11" s="1">
        <v>2434507.8325</v>
      </c>
      <c r="B11" s="1" t="s">
        <v>369</v>
      </c>
      <c r="C11" s="1">
        <v>7.8250000000000002</v>
      </c>
      <c r="D11" s="1"/>
    </row>
    <row r="12" spans="1:4" ht="14.25" customHeight="1" x14ac:dyDescent="0.25">
      <c r="A12" s="1">
        <v>2434531.0649999999</v>
      </c>
      <c r="B12" s="1" t="s">
        <v>370</v>
      </c>
      <c r="C12" s="1">
        <v>7.85</v>
      </c>
      <c r="D12" s="1"/>
    </row>
    <row r="13" spans="1:4" ht="14.25" customHeight="1" x14ac:dyDescent="0.25">
      <c r="A13" s="1">
        <v>2434551.4759999998</v>
      </c>
      <c r="B13" s="1" t="s">
        <v>371</v>
      </c>
      <c r="C13" s="1">
        <v>7.86</v>
      </c>
      <c r="D13" s="1"/>
    </row>
    <row r="14" spans="1:4" ht="14.25" customHeight="1" x14ac:dyDescent="0.25">
      <c r="A14" s="1">
        <v>2434565.5062500001</v>
      </c>
      <c r="B14" s="1" t="s">
        <v>372</v>
      </c>
      <c r="C14" s="1">
        <v>7.9</v>
      </c>
      <c r="D14" s="1"/>
    </row>
    <row r="15" spans="1:4" ht="14.25" customHeight="1" x14ac:dyDescent="0.25">
      <c r="A15" s="1">
        <v>2434578.6330800001</v>
      </c>
      <c r="B15" s="1" t="s">
        <v>373</v>
      </c>
      <c r="C15" s="1">
        <v>7.8846150000000002</v>
      </c>
      <c r="D15" s="1"/>
    </row>
    <row r="16" spans="1:4" ht="14.25" customHeight="1" x14ac:dyDescent="0.25">
      <c r="A16" s="1">
        <v>2434595.3506700001</v>
      </c>
      <c r="B16" s="1" t="s">
        <v>374</v>
      </c>
      <c r="C16" s="1">
        <v>7.9</v>
      </c>
      <c r="D16" s="1"/>
    </row>
    <row r="17" spans="1:4" ht="14.25" customHeight="1" x14ac:dyDescent="0.25">
      <c r="A17" s="1">
        <v>2434610.165</v>
      </c>
      <c r="B17" s="1" t="s">
        <v>375</v>
      </c>
      <c r="C17" s="1">
        <v>7.891667</v>
      </c>
      <c r="D17" s="1"/>
    </row>
    <row r="18" spans="1:4" ht="14.25" customHeight="1" x14ac:dyDescent="0.25">
      <c r="A18" s="1">
        <v>2434627.2671400001</v>
      </c>
      <c r="B18" s="1" t="s">
        <v>376</v>
      </c>
      <c r="C18" s="1">
        <v>7.8571429999999998</v>
      </c>
      <c r="D18" s="1"/>
    </row>
    <row r="19" spans="1:4" ht="14.25" customHeight="1" x14ac:dyDescent="0.25">
      <c r="A19" s="1">
        <v>2434642.31</v>
      </c>
      <c r="B19" s="1" t="s">
        <v>377</v>
      </c>
      <c r="C19" s="1">
        <v>7.8875000000000002</v>
      </c>
      <c r="D19" s="1"/>
    </row>
    <row r="20" spans="1:4" ht="14.25" customHeight="1" x14ac:dyDescent="0.25">
      <c r="A20" s="1">
        <v>2434657.5933300001</v>
      </c>
      <c r="B20" s="1" t="s">
        <v>378</v>
      </c>
      <c r="C20" s="1">
        <v>7.8</v>
      </c>
      <c r="D20" s="1"/>
    </row>
    <row r="21" spans="1:4" ht="14.25" customHeight="1" x14ac:dyDescent="0.25">
      <c r="A21" s="1">
        <v>2434681.2999999998</v>
      </c>
      <c r="B21" s="1" t="s">
        <v>379</v>
      </c>
      <c r="C21" s="1">
        <v>7.9</v>
      </c>
      <c r="D21" s="1"/>
    </row>
    <row r="22" spans="1:4" ht="14.25" customHeight="1" x14ac:dyDescent="0.25">
      <c r="A22" s="1">
        <v>2434708.5366699998</v>
      </c>
      <c r="B22" s="1" t="s">
        <v>380</v>
      </c>
      <c r="C22" s="1">
        <v>7.8666669999999996</v>
      </c>
      <c r="D22" s="1"/>
    </row>
    <row r="23" spans="1:4" ht="14.25" customHeight="1" x14ac:dyDescent="0.25">
      <c r="A23" s="1">
        <v>2434946.35</v>
      </c>
      <c r="B23" s="1" t="s">
        <v>381</v>
      </c>
      <c r="C23" s="1">
        <v>7.8</v>
      </c>
      <c r="D23" s="1"/>
    </row>
    <row r="24" spans="1:4" ht="14.25" customHeight="1" x14ac:dyDescent="0.25">
      <c r="A24" s="1">
        <v>2434953.7420000001</v>
      </c>
      <c r="B24" s="1" t="s">
        <v>382</v>
      </c>
      <c r="C24" s="1">
        <v>7.9</v>
      </c>
      <c r="D24" s="1"/>
    </row>
    <row r="25" spans="1:4" ht="14.25" customHeight="1" x14ac:dyDescent="0.25">
      <c r="A25" s="1">
        <v>2434983.27</v>
      </c>
      <c r="B25" s="1" t="s">
        <v>383</v>
      </c>
      <c r="C25" s="1">
        <v>8.6999999999999993</v>
      </c>
      <c r="D25" s="1"/>
    </row>
    <row r="26" spans="1:4" ht="14.25" customHeight="1" x14ac:dyDescent="0.25">
      <c r="A26" s="1">
        <v>2435010.3199999998</v>
      </c>
      <c r="B26" s="1" t="s">
        <v>384</v>
      </c>
      <c r="C26" s="1">
        <v>7.85</v>
      </c>
      <c r="D26" s="1"/>
    </row>
    <row r="27" spans="1:4" ht="14.25" customHeight="1" x14ac:dyDescent="0.25">
      <c r="A27" s="1">
        <v>2435040.4500000002</v>
      </c>
      <c r="B27" s="1" t="s">
        <v>385</v>
      </c>
      <c r="C27" s="1">
        <v>8.0250000000000004</v>
      </c>
      <c r="D27" s="1"/>
    </row>
    <row r="28" spans="1:4" ht="14.25" customHeight="1" x14ac:dyDescent="0.25">
      <c r="A28" s="1">
        <v>2435065.5666700001</v>
      </c>
      <c r="B28" s="1" t="s">
        <v>386</v>
      </c>
      <c r="C28" s="1">
        <v>8.1</v>
      </c>
      <c r="D28" s="1"/>
    </row>
    <row r="29" spans="1:4" ht="14.25" customHeight="1" x14ac:dyDescent="0.25">
      <c r="A29" s="1">
        <v>2435088.5</v>
      </c>
      <c r="B29" s="1" t="s">
        <v>387</v>
      </c>
      <c r="C29" s="1">
        <v>8.5</v>
      </c>
      <c r="D29" s="1"/>
    </row>
    <row r="30" spans="1:4" ht="14.25" customHeight="1" x14ac:dyDescent="0.25">
      <c r="A30" s="1">
        <v>2435096.3250000002</v>
      </c>
      <c r="B30" s="1" t="s">
        <v>388</v>
      </c>
      <c r="C30" s="1">
        <v>7.9249999999999998</v>
      </c>
      <c r="D30" s="1"/>
    </row>
    <row r="31" spans="1:4" ht="14.25" customHeight="1" x14ac:dyDescent="0.25">
      <c r="A31" s="1">
        <v>2435112.5666700001</v>
      </c>
      <c r="B31" s="1" t="s">
        <v>389</v>
      </c>
      <c r="C31" s="1">
        <v>8.0333330000000007</v>
      </c>
      <c r="D31" s="1"/>
    </row>
    <row r="32" spans="1:4" ht="14.25" customHeight="1" x14ac:dyDescent="0.25">
      <c r="A32" s="1">
        <v>2435130.1</v>
      </c>
      <c r="B32" s="1" t="s">
        <v>390</v>
      </c>
      <c r="C32" s="1">
        <v>7.9</v>
      </c>
      <c r="D32" s="1"/>
    </row>
    <row r="33" spans="1:4" ht="14.25" customHeight="1" x14ac:dyDescent="0.25">
      <c r="A33" s="1">
        <v>2435246.35</v>
      </c>
      <c r="B33" s="1" t="s">
        <v>391</v>
      </c>
      <c r="C33" s="1">
        <v>8.15</v>
      </c>
      <c r="D33" s="1"/>
    </row>
    <row r="34" spans="1:4" ht="14.25" customHeight="1" x14ac:dyDescent="0.25">
      <c r="A34" s="1">
        <v>2435276.415</v>
      </c>
      <c r="B34" s="1" t="s">
        <v>392</v>
      </c>
      <c r="C34" s="1">
        <v>8.0749999999999993</v>
      </c>
      <c r="D34" s="1"/>
    </row>
    <row r="35" spans="1:4" ht="14.25" customHeight="1" x14ac:dyDescent="0.25">
      <c r="A35" s="1">
        <v>2435288.1466700002</v>
      </c>
      <c r="B35" s="1" t="s">
        <v>393</v>
      </c>
      <c r="C35" s="1">
        <v>7.8</v>
      </c>
      <c r="D35" s="1"/>
    </row>
    <row r="36" spans="1:4" ht="14.25" customHeight="1" x14ac:dyDescent="0.25">
      <c r="A36" s="1">
        <v>2435308.514</v>
      </c>
      <c r="B36" s="1" t="s">
        <v>394</v>
      </c>
      <c r="C36" s="1">
        <v>7.91</v>
      </c>
      <c r="D36" s="1"/>
    </row>
    <row r="37" spans="1:4" ht="14.25" customHeight="1" x14ac:dyDescent="0.25">
      <c r="A37" s="1">
        <v>2435323.65833</v>
      </c>
      <c r="B37" s="1" t="s">
        <v>395</v>
      </c>
      <c r="C37" s="1">
        <v>7.8833330000000004</v>
      </c>
      <c r="D37" s="1"/>
    </row>
    <row r="38" spans="1:4" ht="14.25" customHeight="1" x14ac:dyDescent="0.25">
      <c r="A38" s="1">
        <v>2435341.7406700002</v>
      </c>
      <c r="B38" s="1" t="s">
        <v>396</v>
      </c>
      <c r="C38" s="1">
        <v>7.8866670000000001</v>
      </c>
      <c r="D38" s="1"/>
    </row>
    <row r="39" spans="1:4" ht="14.25" customHeight="1" x14ac:dyDescent="0.25">
      <c r="A39" s="1">
        <v>2435364.253</v>
      </c>
      <c r="B39" s="1" t="s">
        <v>397</v>
      </c>
      <c r="C39" s="1">
        <v>7.9749999999999996</v>
      </c>
      <c r="D39" s="1"/>
    </row>
    <row r="40" spans="1:4" ht="14.25" customHeight="1" x14ac:dyDescent="0.25">
      <c r="A40" s="1">
        <v>2435383.02</v>
      </c>
      <c r="B40" s="1" t="s">
        <v>398</v>
      </c>
      <c r="C40" s="1">
        <v>7.8</v>
      </c>
      <c r="D40" s="1"/>
    </row>
    <row r="41" spans="1:4" ht="14.25" customHeight="1" x14ac:dyDescent="0.25">
      <c r="A41" s="1">
        <v>2435398.0750000002</v>
      </c>
      <c r="B41" s="1" t="s">
        <v>399</v>
      </c>
      <c r="C41" s="1">
        <v>7.7750000000000004</v>
      </c>
      <c r="D41" s="1"/>
    </row>
    <row r="42" spans="1:4" ht="14.25" customHeight="1" x14ac:dyDescent="0.25">
      <c r="A42" s="1">
        <v>2435415.1</v>
      </c>
      <c r="B42" s="1" t="s">
        <v>400</v>
      </c>
      <c r="C42" s="1">
        <v>7.875</v>
      </c>
      <c r="D42" s="1"/>
    </row>
    <row r="43" spans="1:4" ht="14.25" customHeight="1" x14ac:dyDescent="0.25">
      <c r="A43" s="1">
        <v>2435432.35</v>
      </c>
      <c r="B43" s="1" t="s">
        <v>401</v>
      </c>
      <c r="C43" s="1">
        <v>7.9</v>
      </c>
      <c r="D43" s="1"/>
    </row>
    <row r="44" spans="1:4" ht="14.25" customHeight="1" x14ac:dyDescent="0.25">
      <c r="A44" s="1">
        <v>2435453.1</v>
      </c>
      <c r="B44" s="1" t="s">
        <v>402</v>
      </c>
      <c r="C44" s="1">
        <v>7.9</v>
      </c>
      <c r="D44" s="1"/>
    </row>
    <row r="45" spans="1:4" ht="14.25" customHeight="1" x14ac:dyDescent="0.25">
      <c r="A45" s="1">
        <v>2435470.58</v>
      </c>
      <c r="B45" s="1" t="s">
        <v>403</v>
      </c>
      <c r="C45" s="1">
        <v>7.94</v>
      </c>
      <c r="D45" s="1"/>
    </row>
    <row r="46" spans="1:4" ht="14.25" customHeight="1" x14ac:dyDescent="0.25">
      <c r="A46" s="1">
        <v>2435485.9</v>
      </c>
      <c r="B46" s="1" t="s">
        <v>404</v>
      </c>
      <c r="C46" s="1">
        <v>7.9</v>
      </c>
      <c r="D46" s="1"/>
    </row>
    <row r="47" spans="1:4" ht="14.25" customHeight="1" x14ac:dyDescent="0.25">
      <c r="A47" s="1">
        <v>2435501.1</v>
      </c>
      <c r="B47" s="1" t="s">
        <v>405</v>
      </c>
      <c r="C47" s="1">
        <v>7.9</v>
      </c>
      <c r="D47" s="1"/>
    </row>
    <row r="48" spans="1:4" ht="14.25" customHeight="1" x14ac:dyDescent="0.25">
      <c r="A48" s="1">
        <v>2435640.3666699999</v>
      </c>
      <c r="B48" s="1" t="s">
        <v>406</v>
      </c>
      <c r="C48" s="1">
        <v>8.1</v>
      </c>
      <c r="D48" s="1"/>
    </row>
    <row r="49" spans="1:4" ht="14.25" customHeight="1" x14ac:dyDescent="0.25">
      <c r="A49" s="1">
        <v>2435673.7999999998</v>
      </c>
      <c r="B49" s="1" t="s">
        <v>407</v>
      </c>
      <c r="C49" s="1">
        <v>8.4</v>
      </c>
      <c r="D49" s="1"/>
    </row>
    <row r="50" spans="1:4" ht="14.25" customHeight="1" x14ac:dyDescent="0.25">
      <c r="A50" s="1">
        <v>2435688.6749999998</v>
      </c>
      <c r="B50" s="1" t="s">
        <v>408</v>
      </c>
      <c r="C50" s="1">
        <v>8.0250000000000004</v>
      </c>
      <c r="D50" s="1"/>
    </row>
    <row r="51" spans="1:4" ht="14.25" customHeight="1" x14ac:dyDescent="0.25">
      <c r="A51" s="1">
        <v>2435720.6</v>
      </c>
      <c r="B51" s="1" t="s">
        <v>409</v>
      </c>
      <c r="C51" s="1">
        <v>8.1</v>
      </c>
      <c r="D51" s="1"/>
    </row>
    <row r="52" spans="1:4" ht="14.25" customHeight="1" x14ac:dyDescent="0.25">
      <c r="A52" s="1">
        <v>2435737.6000000001</v>
      </c>
      <c r="B52" s="1" t="s">
        <v>410</v>
      </c>
      <c r="C52" s="1">
        <v>8.1</v>
      </c>
      <c r="D52" s="1"/>
    </row>
    <row r="53" spans="1:4" ht="14.25" customHeight="1" x14ac:dyDescent="0.25">
      <c r="A53" s="1">
        <v>2435752.1</v>
      </c>
      <c r="B53" s="1" t="s">
        <v>411</v>
      </c>
      <c r="C53" s="1">
        <v>8.1</v>
      </c>
      <c r="D53" s="1"/>
    </row>
    <row r="54" spans="1:4" ht="14.25" customHeight="1" x14ac:dyDescent="0.25">
      <c r="A54" s="1">
        <v>2435776.6</v>
      </c>
      <c r="B54" s="1" t="s">
        <v>412</v>
      </c>
      <c r="C54" s="1">
        <v>8.0666670000000007</v>
      </c>
      <c r="D54" s="1"/>
    </row>
    <row r="55" spans="1:4" ht="14.25" customHeight="1" x14ac:dyDescent="0.25">
      <c r="A55" s="1">
        <v>2435799.1</v>
      </c>
      <c r="B55" s="1" t="s">
        <v>413</v>
      </c>
      <c r="C55" s="1">
        <v>8.0500000000000007</v>
      </c>
      <c r="D55" s="1"/>
    </row>
    <row r="56" spans="1:4" ht="14.25" customHeight="1" x14ac:dyDescent="0.25">
      <c r="A56" s="1">
        <v>2435824.6</v>
      </c>
      <c r="B56" s="1" t="s">
        <v>414</v>
      </c>
      <c r="C56" s="1">
        <v>8.1</v>
      </c>
      <c r="D56" s="1"/>
    </row>
    <row r="57" spans="1:4" ht="14.25" customHeight="1" x14ac:dyDescent="0.25">
      <c r="A57" s="1">
        <v>2435836.6</v>
      </c>
      <c r="B57" s="1" t="s">
        <v>415</v>
      </c>
      <c r="C57" s="1">
        <v>8.1</v>
      </c>
      <c r="D57" s="1"/>
    </row>
    <row r="58" spans="1:4" ht="14.25" customHeight="1" x14ac:dyDescent="0.25">
      <c r="A58" s="1">
        <v>2435862.6</v>
      </c>
      <c r="B58" s="1" t="s">
        <v>416</v>
      </c>
      <c r="C58" s="1">
        <v>8.1</v>
      </c>
      <c r="D58" s="1"/>
    </row>
    <row r="59" spans="1:4" ht="14.25" customHeight="1" x14ac:dyDescent="0.25">
      <c r="A59" s="1">
        <v>2435928.6</v>
      </c>
      <c r="B59" s="1" t="s">
        <v>417</v>
      </c>
      <c r="C59" s="1">
        <v>7.9</v>
      </c>
      <c r="D59" s="1"/>
    </row>
    <row r="60" spans="1:4" ht="14.25" customHeight="1" x14ac:dyDescent="0.25">
      <c r="A60" s="1">
        <v>2436018.4</v>
      </c>
      <c r="B60" s="1" t="s">
        <v>418</v>
      </c>
      <c r="C60" s="1">
        <v>7.9333330000000002</v>
      </c>
      <c r="D60" s="1"/>
    </row>
    <row r="61" spans="1:4" ht="14.25" customHeight="1" x14ac:dyDescent="0.25">
      <c r="A61" s="1">
        <v>2436047.7000000002</v>
      </c>
      <c r="B61" s="1" t="s">
        <v>419</v>
      </c>
      <c r="C61" s="1">
        <v>7.8</v>
      </c>
      <c r="D61" s="1"/>
    </row>
    <row r="62" spans="1:4" ht="14.25" customHeight="1" x14ac:dyDescent="0.25">
      <c r="A62" s="1">
        <v>2436062.2000000002</v>
      </c>
      <c r="B62" s="1" t="s">
        <v>420</v>
      </c>
      <c r="C62" s="1">
        <v>7.8</v>
      </c>
      <c r="D62" s="1"/>
    </row>
    <row r="63" spans="1:4" ht="14.25" customHeight="1" x14ac:dyDescent="0.25">
      <c r="A63" s="1">
        <v>2436080.4249999998</v>
      </c>
      <c r="B63" s="1" t="s">
        <v>421</v>
      </c>
      <c r="C63" s="1">
        <v>7.875</v>
      </c>
      <c r="D63" s="1"/>
    </row>
    <row r="64" spans="1:4" ht="14.25" customHeight="1" x14ac:dyDescent="0.25">
      <c r="A64" s="1">
        <v>2436105.6333300001</v>
      </c>
      <c r="B64" s="1" t="s">
        <v>422</v>
      </c>
      <c r="C64" s="1">
        <v>7.9666670000000002</v>
      </c>
      <c r="D64" s="1"/>
    </row>
    <row r="65" spans="1:4" ht="14.25" customHeight="1" x14ac:dyDescent="0.25">
      <c r="A65" s="1">
        <v>2436128.6</v>
      </c>
      <c r="B65" s="1" t="s">
        <v>423</v>
      </c>
      <c r="C65" s="1">
        <v>7.85</v>
      </c>
      <c r="D65" s="1"/>
    </row>
    <row r="66" spans="1:4" ht="14.25" customHeight="1" x14ac:dyDescent="0.25">
      <c r="A66" s="1">
        <v>2436146.6</v>
      </c>
      <c r="B66" s="1" t="s">
        <v>424</v>
      </c>
      <c r="C66" s="1">
        <v>7.85</v>
      </c>
      <c r="D66" s="1"/>
    </row>
    <row r="67" spans="1:4" ht="14.25" customHeight="1" x14ac:dyDescent="0.25">
      <c r="A67" s="1">
        <v>2436165.6333300001</v>
      </c>
      <c r="B67" s="1" t="s">
        <v>425</v>
      </c>
      <c r="C67" s="1">
        <v>7.9333330000000002</v>
      </c>
      <c r="D67" s="1"/>
    </row>
    <row r="68" spans="1:4" ht="14.25" customHeight="1" x14ac:dyDescent="0.25">
      <c r="A68" s="1">
        <v>2436192.6</v>
      </c>
      <c r="B68" s="1" t="s">
        <v>426</v>
      </c>
      <c r="C68" s="1">
        <v>7.9</v>
      </c>
      <c r="D68" s="1"/>
    </row>
    <row r="69" spans="1:4" ht="14.25" customHeight="1" x14ac:dyDescent="0.25">
      <c r="A69" s="1">
        <v>2436218.6</v>
      </c>
      <c r="B69" s="1" t="s">
        <v>427</v>
      </c>
      <c r="C69" s="1">
        <v>7.9</v>
      </c>
      <c r="D69" s="1"/>
    </row>
    <row r="70" spans="1:4" ht="14.25" customHeight="1" x14ac:dyDescent="0.25">
      <c r="A70" s="1">
        <v>2436369.7000000002</v>
      </c>
      <c r="B70" s="1" t="s">
        <v>428</v>
      </c>
      <c r="C70" s="1">
        <v>8</v>
      </c>
      <c r="D70" s="1"/>
    </row>
    <row r="71" spans="1:4" ht="14.25" customHeight="1" x14ac:dyDescent="0.25">
      <c r="A71" s="1">
        <v>2436399.7000000002</v>
      </c>
      <c r="B71" s="1" t="s">
        <v>429</v>
      </c>
      <c r="C71" s="1">
        <v>8.1</v>
      </c>
      <c r="D71" s="1"/>
    </row>
    <row r="72" spans="1:4" ht="14.25" customHeight="1" x14ac:dyDescent="0.25">
      <c r="A72" s="1">
        <v>2436429.25</v>
      </c>
      <c r="B72" s="1" t="s">
        <v>430</v>
      </c>
      <c r="C72" s="1">
        <v>8</v>
      </c>
      <c r="D72" s="1"/>
    </row>
    <row r="73" spans="1:4" ht="14.25" customHeight="1" x14ac:dyDescent="0.25">
      <c r="A73" s="1">
        <v>2436442.15</v>
      </c>
      <c r="B73" s="1" t="s">
        <v>431</v>
      </c>
      <c r="C73" s="1">
        <v>8</v>
      </c>
      <c r="D73" s="1"/>
    </row>
    <row r="74" spans="1:4" ht="14.25" customHeight="1" x14ac:dyDescent="0.25">
      <c r="A74" s="1">
        <v>2436462.9333299999</v>
      </c>
      <c r="B74" s="1" t="s">
        <v>432</v>
      </c>
      <c r="C74" s="1">
        <v>8.1333330000000004</v>
      </c>
      <c r="D74" s="1"/>
    </row>
    <row r="75" spans="1:4" ht="14.25" customHeight="1" x14ac:dyDescent="0.25">
      <c r="A75" s="1">
        <v>2436489.125</v>
      </c>
      <c r="B75" s="1" t="s">
        <v>433</v>
      </c>
      <c r="C75" s="1">
        <v>8.125</v>
      </c>
      <c r="D75" s="1"/>
    </row>
    <row r="76" spans="1:4" ht="14.25" customHeight="1" x14ac:dyDescent="0.25">
      <c r="A76" s="1">
        <v>2436511.6</v>
      </c>
      <c r="B76" s="1" t="s">
        <v>434</v>
      </c>
      <c r="C76" s="1">
        <v>8.1</v>
      </c>
      <c r="D76" s="1"/>
    </row>
    <row r="77" spans="1:4" ht="14.25" customHeight="1" x14ac:dyDescent="0.25">
      <c r="A77" s="1">
        <v>2436526.1</v>
      </c>
      <c r="B77" s="1" t="s">
        <v>435</v>
      </c>
      <c r="C77" s="1">
        <v>8.1</v>
      </c>
      <c r="D77" s="1"/>
    </row>
    <row r="78" spans="1:4" ht="14.25" customHeight="1" x14ac:dyDescent="0.25">
      <c r="A78" s="1">
        <v>2436548.6</v>
      </c>
      <c r="B78" s="1" t="s">
        <v>436</v>
      </c>
      <c r="C78" s="1">
        <v>8.1</v>
      </c>
      <c r="D78" s="1"/>
    </row>
    <row r="79" spans="1:4" ht="14.25" customHeight="1" x14ac:dyDescent="0.25">
      <c r="A79" s="1">
        <v>2436576.6</v>
      </c>
      <c r="B79" s="1" t="s">
        <v>437</v>
      </c>
      <c r="C79" s="1">
        <v>8</v>
      </c>
      <c r="D79" s="1"/>
    </row>
    <row r="80" spans="1:4" ht="14.25" customHeight="1" x14ac:dyDescent="0.25">
      <c r="A80" s="1">
        <v>2436601.6</v>
      </c>
      <c r="B80" s="1" t="s">
        <v>438</v>
      </c>
      <c r="C80" s="1">
        <v>8</v>
      </c>
      <c r="D80" s="1"/>
    </row>
    <row r="81" spans="1:4" ht="14.25" customHeight="1" x14ac:dyDescent="0.25">
      <c r="A81" s="1">
        <v>2436787.7000000002</v>
      </c>
      <c r="B81" s="1" t="s">
        <v>439</v>
      </c>
      <c r="C81" s="1">
        <v>8</v>
      </c>
      <c r="D81" s="1"/>
    </row>
    <row r="82" spans="1:4" ht="14.25" customHeight="1" x14ac:dyDescent="0.25">
      <c r="A82" s="1">
        <v>2436811.65</v>
      </c>
      <c r="B82" s="1" t="s">
        <v>440</v>
      </c>
      <c r="C82" s="1">
        <v>7.95</v>
      </c>
      <c r="D82" s="1"/>
    </row>
    <row r="83" spans="1:4" ht="14.25" customHeight="1" x14ac:dyDescent="0.25">
      <c r="A83" s="1">
        <v>2436835.6</v>
      </c>
      <c r="B83" s="1" t="s">
        <v>441</v>
      </c>
      <c r="C83" s="1">
        <v>7.9666670000000002</v>
      </c>
      <c r="D83" s="1"/>
    </row>
    <row r="84" spans="1:4" ht="14.25" customHeight="1" x14ac:dyDescent="0.25">
      <c r="A84" s="1">
        <v>2436861.6</v>
      </c>
      <c r="B84" s="1" t="s">
        <v>442</v>
      </c>
      <c r="C84" s="1">
        <v>7.9</v>
      </c>
      <c r="D84" s="1"/>
    </row>
    <row r="85" spans="1:4" ht="14.25" customHeight="1" x14ac:dyDescent="0.25">
      <c r="A85" s="1">
        <v>2436877.6</v>
      </c>
      <c r="B85" s="1" t="s">
        <v>443</v>
      </c>
      <c r="C85" s="1">
        <v>7.9</v>
      </c>
      <c r="D85" s="1"/>
    </row>
    <row r="86" spans="1:4" ht="14.25" customHeight="1" x14ac:dyDescent="0.25">
      <c r="A86" s="1">
        <v>2436898.6</v>
      </c>
      <c r="B86" s="1" t="s">
        <v>444</v>
      </c>
      <c r="C86" s="1">
        <v>7.9</v>
      </c>
      <c r="D86" s="1"/>
    </row>
    <row r="87" spans="1:4" ht="14.25" customHeight="1" x14ac:dyDescent="0.25">
      <c r="A87" s="1">
        <v>2436917.6</v>
      </c>
      <c r="B87" s="1" t="s">
        <v>445</v>
      </c>
      <c r="C87" s="1">
        <v>7.9</v>
      </c>
      <c r="D87" s="1"/>
    </row>
    <row r="88" spans="1:4" ht="14.25" customHeight="1" x14ac:dyDescent="0.25">
      <c r="A88" s="1">
        <v>2436933.6</v>
      </c>
      <c r="B88" s="1" t="s">
        <v>446</v>
      </c>
      <c r="C88" s="1">
        <v>7.9</v>
      </c>
      <c r="D88" s="1"/>
    </row>
    <row r="89" spans="1:4" ht="14.25" customHeight="1" x14ac:dyDescent="0.25">
      <c r="A89" s="1">
        <v>2436949.6</v>
      </c>
      <c r="B89" s="1" t="s">
        <v>447</v>
      </c>
      <c r="C89" s="1">
        <v>7.9</v>
      </c>
      <c r="D89" s="1"/>
    </row>
    <row r="90" spans="1:4" ht="14.25" customHeight="1" x14ac:dyDescent="0.25">
      <c r="A90" s="1">
        <v>2437111.7000000002</v>
      </c>
      <c r="B90" s="1" t="s">
        <v>448</v>
      </c>
      <c r="C90" s="1">
        <v>8.1</v>
      </c>
      <c r="D90" s="1"/>
    </row>
    <row r="91" spans="1:4" ht="14.25" customHeight="1" x14ac:dyDescent="0.25">
      <c r="A91" s="1">
        <v>2437139.4</v>
      </c>
      <c r="B91" s="1" t="s">
        <v>449</v>
      </c>
      <c r="C91" s="1">
        <v>8.0666670000000007</v>
      </c>
      <c r="D91" s="1"/>
    </row>
    <row r="92" spans="1:4" ht="14.25" customHeight="1" x14ac:dyDescent="0.25">
      <c r="A92" s="1">
        <v>2437163.7000000002</v>
      </c>
      <c r="B92" s="1" t="s">
        <v>450</v>
      </c>
      <c r="C92" s="1">
        <v>8</v>
      </c>
      <c r="D92" s="1"/>
    </row>
    <row r="93" spans="1:4" ht="14.25" customHeight="1" x14ac:dyDescent="0.25">
      <c r="A93" s="1">
        <v>2437175.7000000002</v>
      </c>
      <c r="B93" s="1" t="s">
        <v>451</v>
      </c>
      <c r="C93" s="1">
        <v>8</v>
      </c>
      <c r="D93" s="1"/>
    </row>
    <row r="94" spans="1:4" ht="14.25" customHeight="1" x14ac:dyDescent="0.25">
      <c r="A94" s="1">
        <v>2437196.9333299999</v>
      </c>
      <c r="B94" s="1" t="s">
        <v>452</v>
      </c>
      <c r="C94" s="1">
        <v>7.9666670000000002</v>
      </c>
      <c r="D94" s="1"/>
    </row>
    <row r="95" spans="1:4" ht="14.25" customHeight="1" x14ac:dyDescent="0.25">
      <c r="A95" s="1">
        <v>2437215.65</v>
      </c>
      <c r="B95" s="1" t="s">
        <v>453</v>
      </c>
      <c r="C95" s="1">
        <v>8.0500000000000007</v>
      </c>
      <c r="D95" s="1"/>
    </row>
    <row r="96" spans="1:4" ht="14.25" customHeight="1" x14ac:dyDescent="0.25">
      <c r="A96" s="1">
        <v>2437228.5</v>
      </c>
      <c r="B96" s="1" t="s">
        <v>454</v>
      </c>
      <c r="C96" s="1">
        <v>7.9333330000000002</v>
      </c>
      <c r="D96" s="1"/>
    </row>
    <row r="97" spans="1:4" ht="14.25" customHeight="1" x14ac:dyDescent="0.25">
      <c r="A97" s="1">
        <v>2437252.0428599999</v>
      </c>
      <c r="B97" s="1" t="s">
        <v>455</v>
      </c>
      <c r="C97" s="1">
        <v>8.0428569999999997</v>
      </c>
      <c r="D97" s="1"/>
    </row>
    <row r="98" spans="1:4" ht="14.25" customHeight="1" x14ac:dyDescent="0.25">
      <c r="A98" s="1">
        <v>2437269.0532300002</v>
      </c>
      <c r="B98" s="1" t="s">
        <v>456</v>
      </c>
      <c r="C98" s="1">
        <v>8.1999999999999993</v>
      </c>
      <c r="D98" s="1"/>
    </row>
    <row r="99" spans="1:4" ht="14.25" customHeight="1" x14ac:dyDescent="0.25">
      <c r="A99" s="1">
        <v>2437288.2250000001</v>
      </c>
      <c r="B99" s="1" t="s">
        <v>457</v>
      </c>
      <c r="C99" s="1">
        <v>8.2125000000000004</v>
      </c>
      <c r="D99" s="1"/>
    </row>
    <row r="100" spans="1:4" ht="14.25" customHeight="1" x14ac:dyDescent="0.25">
      <c r="A100" s="1">
        <v>2437308.8423600001</v>
      </c>
      <c r="B100" s="1" t="s">
        <v>458</v>
      </c>
      <c r="C100" s="1">
        <v>8.31</v>
      </c>
      <c r="D100" s="1"/>
    </row>
    <row r="101" spans="1:4" ht="14.25" customHeight="1" x14ac:dyDescent="0.25">
      <c r="A101" s="1">
        <v>2437501.1</v>
      </c>
      <c r="B101" s="1" t="s">
        <v>459</v>
      </c>
      <c r="C101" s="1">
        <v>7.9</v>
      </c>
      <c r="D101" s="1"/>
    </row>
    <row r="102" spans="1:4" ht="14.25" customHeight="1" x14ac:dyDescent="0.25">
      <c r="A102" s="1">
        <v>2437521.9</v>
      </c>
      <c r="B102" s="1" t="s">
        <v>460</v>
      </c>
      <c r="C102" s="1">
        <v>8.2833330000000007</v>
      </c>
      <c r="D102" s="1"/>
    </row>
    <row r="103" spans="1:4" ht="14.25" customHeight="1" x14ac:dyDescent="0.25">
      <c r="A103" s="1">
        <v>2437542.4</v>
      </c>
      <c r="B103" s="1" t="s">
        <v>461</v>
      </c>
      <c r="C103" s="1">
        <v>8.3000000000000007</v>
      </c>
      <c r="D103" s="1"/>
    </row>
    <row r="104" spans="1:4" ht="14.25" customHeight="1" x14ac:dyDescent="0.25">
      <c r="A104" s="1">
        <v>2437550.5499999998</v>
      </c>
      <c r="B104" s="1" t="s">
        <v>462</v>
      </c>
      <c r="C104" s="1">
        <v>8.1999999999999993</v>
      </c>
      <c r="D104" s="1"/>
    </row>
    <row r="105" spans="1:4" ht="14.25" customHeight="1" x14ac:dyDescent="0.25">
      <c r="A105" s="1">
        <v>2437565.08</v>
      </c>
      <c r="B105" s="1" t="s">
        <v>463</v>
      </c>
      <c r="C105" s="1">
        <v>8.1999999999999993</v>
      </c>
      <c r="D105" s="1"/>
    </row>
    <row r="106" spans="1:4" ht="14.25" customHeight="1" x14ac:dyDescent="0.25">
      <c r="A106" s="1">
        <v>2437584</v>
      </c>
      <c r="B106" s="1" t="s">
        <v>464</v>
      </c>
      <c r="C106" s="1">
        <v>8.1999999999999993</v>
      </c>
      <c r="D106" s="1"/>
    </row>
    <row r="107" spans="1:4" ht="14.25" customHeight="1" x14ac:dyDescent="0.25">
      <c r="A107" s="1">
        <v>2437602.6</v>
      </c>
      <c r="B107" s="1" t="s">
        <v>465</v>
      </c>
      <c r="C107" s="1">
        <v>8.0500000000000007</v>
      </c>
      <c r="D107" s="1"/>
    </row>
    <row r="108" spans="1:4" ht="14.25" customHeight="1" x14ac:dyDescent="0.25">
      <c r="A108" s="1">
        <v>2437617.46667</v>
      </c>
      <c r="B108" s="1" t="s">
        <v>466</v>
      </c>
      <c r="C108" s="1">
        <v>8.1333330000000004</v>
      </c>
      <c r="D108" s="1"/>
    </row>
    <row r="109" spans="1:4" ht="14.25" customHeight="1" x14ac:dyDescent="0.25">
      <c r="A109" s="1">
        <v>2437636.39402</v>
      </c>
      <c r="B109" s="1" t="s">
        <v>467</v>
      </c>
      <c r="C109" s="1">
        <v>8.1</v>
      </c>
      <c r="D109" s="1"/>
    </row>
    <row r="110" spans="1:4" ht="14.25" customHeight="1" x14ac:dyDescent="0.25">
      <c r="A110" s="1">
        <v>2437653.9500000002</v>
      </c>
      <c r="B110" s="1" t="s">
        <v>468</v>
      </c>
      <c r="C110" s="1">
        <v>8.1</v>
      </c>
      <c r="D110" s="1"/>
    </row>
    <row r="111" spans="1:4" ht="14.25" customHeight="1" x14ac:dyDescent="0.25">
      <c r="A111" s="1">
        <v>2437670.53333</v>
      </c>
      <c r="B111" s="1" t="s">
        <v>469</v>
      </c>
      <c r="C111" s="1">
        <v>8</v>
      </c>
      <c r="D111" s="1"/>
    </row>
    <row r="112" spans="1:4" ht="14.25" customHeight="1" x14ac:dyDescent="0.25">
      <c r="A112" s="1">
        <v>2437823.7666699998</v>
      </c>
      <c r="B112" s="1" t="s">
        <v>470</v>
      </c>
      <c r="C112" s="1">
        <v>7.9166670000000003</v>
      </c>
      <c r="D112" s="1"/>
    </row>
    <row r="113" spans="1:4" ht="14.25" customHeight="1" x14ac:dyDescent="0.25">
      <c r="A113" s="1">
        <v>2437852.3333299998</v>
      </c>
      <c r="B113" s="1" t="s">
        <v>471</v>
      </c>
      <c r="C113" s="1">
        <v>7.8333329999999997</v>
      </c>
      <c r="D113" s="1"/>
    </row>
    <row r="114" spans="1:4" ht="14.25" customHeight="1" x14ac:dyDescent="0.25">
      <c r="A114" s="1">
        <v>2437880.1889599999</v>
      </c>
      <c r="B114" s="1" t="s">
        <v>472</v>
      </c>
      <c r="C114" s="1">
        <v>7.9818179999999996</v>
      </c>
      <c r="D114" s="1"/>
    </row>
    <row r="115" spans="1:4" ht="14.25" customHeight="1" x14ac:dyDescent="0.25">
      <c r="A115" s="1">
        <v>2437894.5232699998</v>
      </c>
      <c r="B115" s="1" t="s">
        <v>473</v>
      </c>
      <c r="C115" s="1">
        <v>7.9666670000000002</v>
      </c>
      <c r="D115" s="1"/>
    </row>
    <row r="116" spans="1:4" ht="14.25" customHeight="1" x14ac:dyDescent="0.25">
      <c r="A116" s="1">
        <v>2437907.90545</v>
      </c>
      <c r="B116" s="1" t="s">
        <v>474</v>
      </c>
      <c r="C116" s="1">
        <v>7.983333</v>
      </c>
      <c r="D116" s="1"/>
    </row>
    <row r="117" spans="1:4" ht="14.25" customHeight="1" x14ac:dyDescent="0.25">
      <c r="A117" s="1">
        <v>2437934.15833</v>
      </c>
      <c r="B117" s="1" t="s">
        <v>475</v>
      </c>
      <c r="C117" s="1">
        <v>8.0250000000000004</v>
      </c>
      <c r="D117" s="1"/>
    </row>
    <row r="118" spans="1:4" ht="14.25" customHeight="1" x14ac:dyDescent="0.25">
      <c r="A118" s="1">
        <v>2437947.92</v>
      </c>
      <c r="B118" s="1" t="s">
        <v>476</v>
      </c>
      <c r="C118" s="1">
        <v>8.02</v>
      </c>
      <c r="D118" s="1"/>
    </row>
    <row r="119" spans="1:4" ht="14.25" customHeight="1" x14ac:dyDescent="0.25">
      <c r="A119" s="1">
        <v>2437963.7250000001</v>
      </c>
      <c r="B119" s="1" t="s">
        <v>477</v>
      </c>
      <c r="C119" s="1">
        <v>8.0625</v>
      </c>
      <c r="D119" s="1"/>
    </row>
    <row r="120" spans="1:4" ht="14.25" customHeight="1" x14ac:dyDescent="0.25">
      <c r="A120" s="1">
        <v>2437982.2999999998</v>
      </c>
      <c r="B120" s="1" t="s">
        <v>478</v>
      </c>
      <c r="C120" s="1">
        <v>7.9</v>
      </c>
      <c r="D120" s="1"/>
    </row>
    <row r="121" spans="1:4" ht="14.25" customHeight="1" x14ac:dyDescent="0.25">
      <c r="A121" s="1">
        <v>2437993.7999999998</v>
      </c>
      <c r="B121" s="1" t="s">
        <v>479</v>
      </c>
      <c r="C121" s="1">
        <v>7.96</v>
      </c>
      <c r="D121" s="1"/>
    </row>
    <row r="122" spans="1:4" ht="14.25" customHeight="1" x14ac:dyDescent="0.25">
      <c r="A122" s="1">
        <v>2438004.8166700001</v>
      </c>
      <c r="B122" s="1" t="s">
        <v>480</v>
      </c>
      <c r="C122" s="1">
        <v>8.0333330000000007</v>
      </c>
      <c r="D122" s="1"/>
    </row>
    <row r="123" spans="1:4" ht="14.25" customHeight="1" x14ac:dyDescent="0.25">
      <c r="A123" s="1">
        <v>2438027.0750000002</v>
      </c>
      <c r="B123" s="1" t="s">
        <v>481</v>
      </c>
      <c r="C123" s="1">
        <v>7.9749999999999996</v>
      </c>
      <c r="D123" s="1"/>
    </row>
    <row r="124" spans="1:4" ht="14.25" customHeight="1" x14ac:dyDescent="0.25">
      <c r="A124" s="1">
        <v>2438187.7333300002</v>
      </c>
      <c r="B124" s="1" t="s">
        <v>482</v>
      </c>
      <c r="C124" s="1">
        <v>8.1999999999999993</v>
      </c>
      <c r="D124" s="1"/>
    </row>
    <row r="125" spans="1:4" ht="14.25" customHeight="1" x14ac:dyDescent="0.25">
      <c r="A125" s="1">
        <v>2438213.46667</v>
      </c>
      <c r="B125" s="1" t="s">
        <v>483</v>
      </c>
      <c r="C125" s="1">
        <v>8.1</v>
      </c>
      <c r="D125" s="1"/>
    </row>
    <row r="126" spans="1:4" ht="14.25" customHeight="1" x14ac:dyDescent="0.25">
      <c r="A126" s="1">
        <v>2438240.5</v>
      </c>
      <c r="B126" s="1" t="s">
        <v>484</v>
      </c>
      <c r="C126" s="1">
        <v>8.15</v>
      </c>
      <c r="D126" s="1"/>
    </row>
    <row r="127" spans="1:4" ht="14.25" customHeight="1" x14ac:dyDescent="0.25">
      <c r="A127" s="1">
        <v>2438258.7250000001</v>
      </c>
      <c r="B127" s="1" t="s">
        <v>485</v>
      </c>
      <c r="C127" s="1">
        <v>8.15</v>
      </c>
      <c r="D127" s="1"/>
    </row>
    <row r="128" spans="1:4" ht="14.25" customHeight="1" x14ac:dyDescent="0.25">
      <c r="A128" s="1">
        <v>2438274.96667</v>
      </c>
      <c r="B128" s="1" t="s">
        <v>486</v>
      </c>
      <c r="C128" s="1">
        <v>8.1999999999999993</v>
      </c>
      <c r="D128" s="1"/>
    </row>
    <row r="129" spans="1:4" ht="14.25" customHeight="1" x14ac:dyDescent="0.25">
      <c r="A129" s="1">
        <v>2438293.8333299998</v>
      </c>
      <c r="B129" s="1" t="s">
        <v>487</v>
      </c>
      <c r="C129" s="1">
        <v>8.088889</v>
      </c>
      <c r="D129" s="1"/>
    </row>
    <row r="130" spans="1:4" ht="14.25" customHeight="1" x14ac:dyDescent="0.25">
      <c r="A130" s="1">
        <v>2438313.94</v>
      </c>
      <c r="B130" s="1" t="s">
        <v>488</v>
      </c>
      <c r="C130" s="1">
        <v>8.17</v>
      </c>
      <c r="D130" s="1"/>
    </row>
    <row r="131" spans="1:4" ht="14.25" customHeight="1" x14ac:dyDescent="0.25">
      <c r="A131" s="1">
        <v>2438331.2670800001</v>
      </c>
      <c r="B131" s="1" t="s">
        <v>489</v>
      </c>
      <c r="C131" s="1">
        <v>8.16</v>
      </c>
      <c r="D131" s="1"/>
    </row>
    <row r="132" spans="1:4" ht="14.25" customHeight="1" x14ac:dyDescent="0.25">
      <c r="A132" s="1">
        <v>2438353.59895</v>
      </c>
      <c r="B132" s="1" t="s">
        <v>490</v>
      </c>
      <c r="C132" s="1">
        <v>8.25</v>
      </c>
      <c r="D132" s="1"/>
    </row>
    <row r="133" spans="1:4" ht="14.25" customHeight="1" x14ac:dyDescent="0.25">
      <c r="A133" s="1">
        <v>2438379.875</v>
      </c>
      <c r="B133" s="1" t="s">
        <v>491</v>
      </c>
      <c r="C133" s="1">
        <v>7.9749999999999996</v>
      </c>
      <c r="D133" s="1"/>
    </row>
    <row r="134" spans="1:4" ht="14.25" customHeight="1" x14ac:dyDescent="0.25">
      <c r="A134" s="1">
        <v>2438406.25</v>
      </c>
      <c r="B134" s="1" t="s">
        <v>492</v>
      </c>
      <c r="C134" s="1">
        <v>8.15</v>
      </c>
      <c r="D134" s="1"/>
    </row>
    <row r="135" spans="1:4" ht="14.25" customHeight="1" x14ac:dyDescent="0.25">
      <c r="A135" s="1">
        <v>2438557.6</v>
      </c>
      <c r="B135" s="1" t="s">
        <v>493</v>
      </c>
      <c r="C135" s="1">
        <v>8</v>
      </c>
      <c r="D135" s="1"/>
    </row>
    <row r="136" spans="1:4" ht="14.25" customHeight="1" x14ac:dyDescent="0.25">
      <c r="A136" s="1">
        <v>2438582.6</v>
      </c>
      <c r="B136" s="1" t="s">
        <v>494</v>
      </c>
      <c r="C136" s="1">
        <v>8</v>
      </c>
      <c r="D136" s="1"/>
    </row>
    <row r="137" spans="1:4" ht="14.25" customHeight="1" x14ac:dyDescent="0.25">
      <c r="A137" s="1">
        <v>2438613.96667</v>
      </c>
      <c r="B137" s="1" t="s">
        <v>495</v>
      </c>
      <c r="C137" s="1">
        <v>7.9333330000000002</v>
      </c>
      <c r="D137" s="1"/>
    </row>
    <row r="138" spans="1:4" ht="14.25" customHeight="1" x14ac:dyDescent="0.25">
      <c r="A138" s="1">
        <v>2438642.2666699998</v>
      </c>
      <c r="B138" s="1" t="s">
        <v>496</v>
      </c>
      <c r="C138" s="1">
        <v>7.9</v>
      </c>
      <c r="D138" s="1"/>
    </row>
    <row r="139" spans="1:4" ht="14.25" customHeight="1" x14ac:dyDescent="0.25">
      <c r="A139" s="1">
        <v>2438665.1</v>
      </c>
      <c r="B139" s="1" t="s">
        <v>497</v>
      </c>
      <c r="C139" s="1">
        <v>7.9</v>
      </c>
      <c r="D139" s="1"/>
    </row>
    <row r="140" spans="1:4" ht="14.25" customHeight="1" x14ac:dyDescent="0.25">
      <c r="A140" s="1">
        <v>2438678.6333300001</v>
      </c>
      <c r="B140" s="1" t="s">
        <v>498</v>
      </c>
      <c r="C140" s="1">
        <v>7.9666670000000002</v>
      </c>
      <c r="D140" s="1"/>
    </row>
    <row r="141" spans="1:4" ht="14.25" customHeight="1" x14ac:dyDescent="0.25">
      <c r="A141" s="1">
        <v>2438696.2666699998</v>
      </c>
      <c r="B141" s="1" t="s">
        <v>499</v>
      </c>
      <c r="C141" s="1">
        <v>7.9</v>
      </c>
      <c r="D141" s="1"/>
    </row>
    <row r="142" spans="1:4" ht="14.25" customHeight="1" x14ac:dyDescent="0.25">
      <c r="A142" s="1">
        <v>2438710.5</v>
      </c>
      <c r="B142" s="1" t="s">
        <v>500</v>
      </c>
      <c r="C142" s="1">
        <v>7.95</v>
      </c>
      <c r="D142" s="1"/>
    </row>
    <row r="143" spans="1:4" ht="14.25" customHeight="1" x14ac:dyDescent="0.25">
      <c r="A143" s="1">
        <v>2438729.0750000002</v>
      </c>
      <c r="B143" s="1" t="s">
        <v>501</v>
      </c>
      <c r="C143" s="1">
        <v>7.85</v>
      </c>
      <c r="D143" s="1"/>
    </row>
    <row r="144" spans="1:4" ht="14.25" customHeight="1" x14ac:dyDescent="0.25">
      <c r="A144" s="1">
        <v>2438761.8250000002</v>
      </c>
      <c r="B144" s="1" t="s">
        <v>502</v>
      </c>
      <c r="C144" s="1">
        <v>8.0500000000000007</v>
      </c>
      <c r="D144" s="1"/>
    </row>
    <row r="145" spans="1:4" ht="14.25" customHeight="1" x14ac:dyDescent="0.25">
      <c r="A145" s="1">
        <v>2438784.1</v>
      </c>
      <c r="B145" s="1" t="s">
        <v>503</v>
      </c>
      <c r="C145" s="1">
        <v>8.25</v>
      </c>
      <c r="D145" s="1"/>
    </row>
    <row r="146" spans="1:4" ht="14.25" customHeight="1" x14ac:dyDescent="0.25">
      <c r="A146" s="1">
        <v>2438890</v>
      </c>
      <c r="B146" s="1" t="s">
        <v>504</v>
      </c>
      <c r="C146" s="1">
        <v>8</v>
      </c>
      <c r="D146" s="1"/>
    </row>
    <row r="147" spans="1:4" ht="14.25" customHeight="1" x14ac:dyDescent="0.25">
      <c r="A147" s="1">
        <v>2438919.9</v>
      </c>
      <c r="B147" s="1" t="s">
        <v>505</v>
      </c>
      <c r="C147" s="1">
        <v>8</v>
      </c>
      <c r="D147" s="1"/>
    </row>
    <row r="148" spans="1:4" ht="14.25" customHeight="1" x14ac:dyDescent="0.25">
      <c r="A148" s="1">
        <v>2438941.2999999998</v>
      </c>
      <c r="B148" s="1" t="s">
        <v>506</v>
      </c>
      <c r="C148" s="1">
        <v>8.1999999999999993</v>
      </c>
      <c r="D148" s="1"/>
    </row>
    <row r="149" spans="1:4" ht="14.25" customHeight="1" x14ac:dyDescent="0.25">
      <c r="A149" s="1">
        <v>2438964</v>
      </c>
      <c r="B149" s="1" t="s">
        <v>507</v>
      </c>
      <c r="C149" s="1">
        <v>8.233333</v>
      </c>
      <c r="D149" s="1"/>
    </row>
    <row r="150" spans="1:4" ht="14.25" customHeight="1" x14ac:dyDescent="0.25">
      <c r="A150" s="1">
        <v>2438997.375</v>
      </c>
      <c r="B150" s="1" t="s">
        <v>508</v>
      </c>
      <c r="C150" s="1">
        <v>8.1</v>
      </c>
      <c r="D150" s="1"/>
    </row>
    <row r="151" spans="1:4" ht="14.25" customHeight="1" x14ac:dyDescent="0.25">
      <c r="A151" s="1">
        <v>2439010.2333300002</v>
      </c>
      <c r="B151" s="1" t="s">
        <v>509</v>
      </c>
      <c r="C151" s="1">
        <v>8.233333</v>
      </c>
      <c r="D151" s="1"/>
    </row>
    <row r="152" spans="1:4" ht="14.25" customHeight="1" x14ac:dyDescent="0.25">
      <c r="A152" s="1">
        <v>2439031.46</v>
      </c>
      <c r="B152" s="1" t="s">
        <v>510</v>
      </c>
      <c r="C152" s="1">
        <v>8.08</v>
      </c>
      <c r="D152" s="1"/>
    </row>
    <row r="153" spans="1:4" ht="14.25" customHeight="1" x14ac:dyDescent="0.25">
      <c r="A153" s="1">
        <v>2439053.5933300001</v>
      </c>
      <c r="B153" s="1" t="s">
        <v>511</v>
      </c>
      <c r="C153" s="1">
        <v>8.0666670000000007</v>
      </c>
      <c r="D153" s="1"/>
    </row>
    <row r="154" spans="1:4" ht="14.25" customHeight="1" x14ac:dyDescent="0.25">
      <c r="A154" s="1">
        <v>2439091.1566699999</v>
      </c>
      <c r="B154" s="1" t="s">
        <v>512</v>
      </c>
      <c r="C154" s="1">
        <v>7.9333330000000002</v>
      </c>
      <c r="D154" s="1"/>
    </row>
    <row r="155" spans="1:4" ht="14.25" customHeight="1" x14ac:dyDescent="0.25">
      <c r="A155" s="1">
        <v>2439113.5499999998</v>
      </c>
      <c r="B155" s="1" t="s">
        <v>513</v>
      </c>
      <c r="C155" s="1">
        <v>7.95</v>
      </c>
      <c r="D155" s="1"/>
    </row>
    <row r="156" spans="1:4" ht="14.25" customHeight="1" x14ac:dyDescent="0.25">
      <c r="A156" s="1">
        <v>2439138.5</v>
      </c>
      <c r="B156" s="1" t="s">
        <v>514</v>
      </c>
      <c r="C156" s="1">
        <v>7.9</v>
      </c>
      <c r="D156" s="1"/>
    </row>
    <row r="157" spans="1:4" ht="14.25" customHeight="1" x14ac:dyDescent="0.25">
      <c r="A157" s="1">
        <v>2439275.7999999998</v>
      </c>
      <c r="B157" s="1" t="s">
        <v>515</v>
      </c>
      <c r="C157" s="1">
        <v>8.3000000000000007</v>
      </c>
      <c r="D157" s="1"/>
    </row>
    <row r="158" spans="1:4" ht="14.25" customHeight="1" x14ac:dyDescent="0.25">
      <c r="A158" s="1">
        <v>2439318.4249999998</v>
      </c>
      <c r="B158" s="1" t="s">
        <v>516</v>
      </c>
      <c r="C158" s="1">
        <v>8.0749999999999993</v>
      </c>
      <c r="D158" s="1"/>
    </row>
    <row r="159" spans="1:4" ht="14.25" customHeight="1" x14ac:dyDescent="0.25">
      <c r="A159" s="1">
        <v>2439332.2666699998</v>
      </c>
      <c r="B159" s="1" t="s">
        <v>517</v>
      </c>
      <c r="C159" s="1">
        <v>8.1999999999999993</v>
      </c>
      <c r="D159" s="1"/>
    </row>
    <row r="160" spans="1:4" ht="14.25" customHeight="1" x14ac:dyDescent="0.25">
      <c r="A160" s="1">
        <v>2439354.42</v>
      </c>
      <c r="B160" s="1" t="s">
        <v>518</v>
      </c>
      <c r="C160" s="1">
        <v>7.92</v>
      </c>
      <c r="D160" s="1"/>
    </row>
    <row r="161" spans="1:4" ht="14.25" customHeight="1" x14ac:dyDescent="0.25">
      <c r="A161" s="1">
        <v>2439368.96</v>
      </c>
      <c r="B161" s="1" t="s">
        <v>519</v>
      </c>
      <c r="C161" s="1">
        <v>7.9333330000000002</v>
      </c>
      <c r="D161" s="1"/>
    </row>
    <row r="162" spans="1:4" ht="14.25" customHeight="1" x14ac:dyDescent="0.25">
      <c r="A162" s="1">
        <v>2439385.98</v>
      </c>
      <c r="B162" s="1" t="s">
        <v>520</v>
      </c>
      <c r="C162" s="1">
        <v>7.96</v>
      </c>
      <c r="D162" s="1"/>
    </row>
    <row r="163" spans="1:4" ht="14.25" customHeight="1" x14ac:dyDescent="0.25">
      <c r="A163" s="1">
        <v>2439406.42</v>
      </c>
      <c r="B163" s="1" t="s">
        <v>521</v>
      </c>
      <c r="C163" s="1">
        <v>7.88</v>
      </c>
      <c r="D163" s="1"/>
    </row>
    <row r="164" spans="1:4" ht="14.25" customHeight="1" x14ac:dyDescent="0.25">
      <c r="A164" s="1">
        <v>2439422.2000000002</v>
      </c>
      <c r="B164" s="1" t="s">
        <v>522</v>
      </c>
      <c r="C164" s="1">
        <v>7.983333</v>
      </c>
      <c r="D164" s="1"/>
    </row>
    <row r="165" spans="1:4" ht="14.25" customHeight="1" x14ac:dyDescent="0.25">
      <c r="A165" s="1">
        <v>2439442.21429</v>
      </c>
      <c r="B165" s="1" t="s">
        <v>523</v>
      </c>
      <c r="C165" s="1">
        <v>8.0142860000000002</v>
      </c>
      <c r="D165" s="1"/>
    </row>
    <row r="166" spans="1:4" ht="14.25" customHeight="1" x14ac:dyDescent="0.25">
      <c r="A166" s="1">
        <v>2439468.0249999999</v>
      </c>
      <c r="B166" s="1" t="s">
        <v>524</v>
      </c>
      <c r="C166" s="1">
        <v>7.9</v>
      </c>
      <c r="D166" s="1"/>
    </row>
    <row r="167" spans="1:4" ht="14.25" customHeight="1" x14ac:dyDescent="0.25">
      <c r="A167" s="1">
        <v>2439483.5499999998</v>
      </c>
      <c r="B167" s="1" t="s">
        <v>525</v>
      </c>
      <c r="C167" s="1">
        <v>7.95</v>
      </c>
      <c r="D167" s="1"/>
    </row>
    <row r="168" spans="1:4" ht="14.25" customHeight="1" x14ac:dyDescent="0.25">
      <c r="A168" s="1">
        <v>2439621.5</v>
      </c>
      <c r="B168" s="1" t="s">
        <v>526</v>
      </c>
      <c r="C168" s="1">
        <v>8.15</v>
      </c>
      <c r="D168" s="1"/>
    </row>
    <row r="169" spans="1:4" ht="14.25" customHeight="1" x14ac:dyDescent="0.25">
      <c r="A169" s="1">
        <v>2439644.9</v>
      </c>
      <c r="B169" s="1" t="s">
        <v>527</v>
      </c>
      <c r="C169" s="1">
        <v>8</v>
      </c>
      <c r="D169" s="1"/>
    </row>
    <row r="170" spans="1:4" ht="14.25" customHeight="1" x14ac:dyDescent="0.25">
      <c r="A170" s="1">
        <v>2439668.7999999998</v>
      </c>
      <c r="B170" s="1" t="s">
        <v>528</v>
      </c>
      <c r="C170" s="1">
        <v>8.0500000000000007</v>
      </c>
      <c r="D170" s="1"/>
    </row>
    <row r="171" spans="1:4" ht="14.25" customHeight="1" x14ac:dyDescent="0.25">
      <c r="A171" s="1">
        <v>2439681.5750000002</v>
      </c>
      <c r="B171" s="1" t="s">
        <v>529</v>
      </c>
      <c r="C171" s="1">
        <v>8.125</v>
      </c>
      <c r="D171" s="1"/>
    </row>
    <row r="172" spans="1:4" ht="14.25" customHeight="1" x14ac:dyDescent="0.25">
      <c r="A172" s="1">
        <v>2439703.2374999998</v>
      </c>
      <c r="B172" s="1" t="s">
        <v>530</v>
      </c>
      <c r="C172" s="1">
        <v>8.2624999999999993</v>
      </c>
      <c r="D172" s="1"/>
    </row>
    <row r="173" spans="1:4" ht="14.25" customHeight="1" x14ac:dyDescent="0.25">
      <c r="A173" s="1">
        <v>2439714.7000000002</v>
      </c>
      <c r="B173" s="1" t="s">
        <v>531</v>
      </c>
      <c r="C173" s="1">
        <v>8.34</v>
      </c>
      <c r="D173" s="1"/>
    </row>
    <row r="174" spans="1:4" ht="14.25" customHeight="1" x14ac:dyDescent="0.25">
      <c r="A174" s="1">
        <v>2439739.4142900002</v>
      </c>
      <c r="B174" s="1" t="s">
        <v>532</v>
      </c>
      <c r="C174" s="1">
        <v>8.3000000000000007</v>
      </c>
      <c r="D174" s="1"/>
    </row>
    <row r="175" spans="1:4" ht="14.25" customHeight="1" x14ac:dyDescent="0.25">
      <c r="A175" s="1">
        <v>2439759.35</v>
      </c>
      <c r="B175" s="1" t="s">
        <v>533</v>
      </c>
      <c r="C175" s="1">
        <v>8.1750000000000007</v>
      </c>
      <c r="D175" s="1"/>
    </row>
    <row r="176" spans="1:4" ht="14.25" customHeight="1" x14ac:dyDescent="0.25">
      <c r="A176" s="1">
        <v>2439768.5249999999</v>
      </c>
      <c r="B176" s="1" t="s">
        <v>534</v>
      </c>
      <c r="C176" s="1">
        <v>8.2375000000000007</v>
      </c>
      <c r="D176" s="1"/>
    </row>
    <row r="177" spans="1:4" ht="14.25" customHeight="1" x14ac:dyDescent="0.25">
      <c r="A177" s="1">
        <v>2439795.52</v>
      </c>
      <c r="B177" s="1" t="s">
        <v>535</v>
      </c>
      <c r="C177" s="1">
        <v>8.1999999999999993</v>
      </c>
      <c r="D177" s="1"/>
    </row>
    <row r="178" spans="1:4" ht="14.25" customHeight="1" x14ac:dyDescent="0.25">
      <c r="A178" s="1">
        <v>2439816.8833300001</v>
      </c>
      <c r="B178" s="1" t="s">
        <v>536</v>
      </c>
      <c r="C178" s="1">
        <v>8.3000000000000007</v>
      </c>
      <c r="D178" s="1"/>
    </row>
    <row r="179" spans="1:4" ht="14.25" customHeight="1" x14ac:dyDescent="0.25">
      <c r="A179" s="1">
        <v>2439837.875</v>
      </c>
      <c r="B179" s="1" t="s">
        <v>537</v>
      </c>
      <c r="C179" s="1">
        <v>8.2249999999999996</v>
      </c>
      <c r="D179" s="1"/>
    </row>
    <row r="180" spans="1:4" ht="14.25" customHeight="1" x14ac:dyDescent="0.25">
      <c r="A180" s="1">
        <v>2439851.2000000002</v>
      </c>
      <c r="B180" s="1" t="s">
        <v>538</v>
      </c>
      <c r="C180" s="1">
        <v>8.32</v>
      </c>
      <c r="D180" s="1"/>
    </row>
    <row r="181" spans="1:4" ht="14.25" customHeight="1" x14ac:dyDescent="0.25">
      <c r="A181" s="1">
        <v>2439871.5666700001</v>
      </c>
      <c r="B181" s="1" t="s">
        <v>539</v>
      </c>
      <c r="C181" s="1">
        <v>8.4</v>
      </c>
      <c r="D181" s="1"/>
    </row>
    <row r="182" spans="1:4" ht="14.25" customHeight="1" x14ac:dyDescent="0.25">
      <c r="A182" s="1">
        <v>2440013.7000000002</v>
      </c>
      <c r="B182" s="1" t="s">
        <v>540</v>
      </c>
      <c r="C182" s="1">
        <v>8.3000000000000007</v>
      </c>
      <c r="D182" s="1"/>
    </row>
    <row r="183" spans="1:4" ht="14.25" customHeight="1" x14ac:dyDescent="0.25">
      <c r="A183" s="1">
        <v>2440037.7999999998</v>
      </c>
      <c r="B183" s="1" t="s">
        <v>541</v>
      </c>
      <c r="C183" s="1">
        <v>8.3000000000000007</v>
      </c>
      <c r="D183" s="1"/>
    </row>
    <row r="184" spans="1:4" ht="14.25" customHeight="1" x14ac:dyDescent="0.25">
      <c r="A184" s="1">
        <v>2440053.1</v>
      </c>
      <c r="B184" s="1" t="s">
        <v>542</v>
      </c>
      <c r="C184" s="1">
        <v>8.3000000000000007</v>
      </c>
      <c r="D184" s="1"/>
    </row>
    <row r="185" spans="1:4" ht="14.25" customHeight="1" x14ac:dyDescent="0.25">
      <c r="A185" s="1">
        <v>2440071.5285700001</v>
      </c>
      <c r="B185" s="1" t="s">
        <v>543</v>
      </c>
      <c r="C185" s="1">
        <v>8.1285710000000009</v>
      </c>
      <c r="D185" s="1"/>
    </row>
    <row r="186" spans="1:4" ht="14.25" customHeight="1" x14ac:dyDescent="0.25">
      <c r="A186" s="1">
        <v>2440092.6</v>
      </c>
      <c r="B186" s="1" t="s">
        <v>544</v>
      </c>
      <c r="C186" s="1">
        <v>8.1</v>
      </c>
      <c r="D186" s="1"/>
    </row>
    <row r="187" spans="1:4" ht="14.25" customHeight="1" x14ac:dyDescent="0.25">
      <c r="A187" s="1">
        <v>2440110.5499999998</v>
      </c>
      <c r="B187" s="1" t="s">
        <v>545</v>
      </c>
      <c r="C187" s="1">
        <v>8.1750000000000007</v>
      </c>
      <c r="D187" s="1"/>
    </row>
    <row r="188" spans="1:4" ht="14.25" customHeight="1" x14ac:dyDescent="0.25">
      <c r="A188" s="1">
        <v>2440124.85</v>
      </c>
      <c r="B188" s="1" t="s">
        <v>546</v>
      </c>
      <c r="C188" s="1">
        <v>7.9625000000000004</v>
      </c>
      <c r="D188" s="1"/>
    </row>
    <row r="189" spans="1:4" ht="14.25" customHeight="1" x14ac:dyDescent="0.25">
      <c r="A189" s="1">
        <v>2440152.125</v>
      </c>
      <c r="B189" s="1" t="s">
        <v>547</v>
      </c>
      <c r="C189" s="1">
        <v>8.1125000000000007</v>
      </c>
      <c r="D189" s="1"/>
    </row>
    <row r="190" spans="1:4" ht="14.25" customHeight="1" x14ac:dyDescent="0.25">
      <c r="A190" s="1">
        <v>2440179.35</v>
      </c>
      <c r="B190" s="1" t="s">
        <v>548</v>
      </c>
      <c r="C190" s="1">
        <v>8</v>
      </c>
      <c r="D190" s="1"/>
    </row>
    <row r="191" spans="1:4" ht="14.25" customHeight="1" x14ac:dyDescent="0.25">
      <c r="A191" s="1">
        <v>2440199.2333300002</v>
      </c>
      <c r="B191" s="1" t="s">
        <v>549</v>
      </c>
      <c r="C191" s="1">
        <v>8</v>
      </c>
      <c r="D191" s="1"/>
    </row>
    <row r="192" spans="1:4" ht="14.25" customHeight="1" x14ac:dyDescent="0.25">
      <c r="A192" s="1">
        <v>2440214.6</v>
      </c>
      <c r="B192" s="1" t="s">
        <v>550</v>
      </c>
      <c r="C192" s="1">
        <v>7.9</v>
      </c>
      <c r="D192" s="1"/>
    </row>
    <row r="193" spans="1:4" ht="14.25" customHeight="1" x14ac:dyDescent="0.25">
      <c r="A193" s="1">
        <v>2440380.7000000002</v>
      </c>
      <c r="B193" s="1" t="s">
        <v>551</v>
      </c>
      <c r="C193" s="1">
        <v>8.3000000000000007</v>
      </c>
      <c r="D193" s="1"/>
    </row>
    <row r="194" spans="1:4" ht="14.25" customHeight="1" x14ac:dyDescent="0.25">
      <c r="A194" s="1">
        <v>2440397.2999999998</v>
      </c>
      <c r="B194" s="1" t="s">
        <v>552</v>
      </c>
      <c r="C194" s="1">
        <v>8.0500000000000007</v>
      </c>
      <c r="D194" s="1"/>
    </row>
    <row r="195" spans="1:4" ht="14.25" customHeight="1" x14ac:dyDescent="0.25">
      <c r="A195" s="1">
        <v>2440416.15</v>
      </c>
      <c r="B195" s="1" t="s">
        <v>553</v>
      </c>
      <c r="C195" s="1">
        <v>8.3000000000000007</v>
      </c>
      <c r="D195" s="1"/>
    </row>
    <row r="196" spans="1:4" ht="14.25" customHeight="1" x14ac:dyDescent="0.25">
      <c r="A196" s="1">
        <v>2440433.4470000002</v>
      </c>
      <c r="B196" s="1" t="s">
        <v>554</v>
      </c>
      <c r="C196" s="1">
        <v>8.3000000000000007</v>
      </c>
      <c r="D196" s="1"/>
    </row>
    <row r="197" spans="1:4" ht="14.25" customHeight="1" x14ac:dyDescent="0.25">
      <c r="A197" s="1">
        <v>2440447.2154999999</v>
      </c>
      <c r="B197" s="1" t="s">
        <v>555</v>
      </c>
      <c r="C197" s="1">
        <v>8.3444439999999993</v>
      </c>
      <c r="D197" s="1"/>
    </row>
    <row r="198" spans="1:4" ht="14.25" customHeight="1" x14ac:dyDescent="0.25">
      <c r="A198" s="1">
        <v>2440461.949</v>
      </c>
      <c r="B198" s="1" t="s">
        <v>556</v>
      </c>
      <c r="C198" s="1">
        <v>8.2833330000000007</v>
      </c>
      <c r="D198" s="1"/>
    </row>
    <row r="199" spans="1:4" ht="14.25" customHeight="1" x14ac:dyDescent="0.25">
      <c r="A199" s="1">
        <v>2440479.5441800002</v>
      </c>
      <c r="B199" s="1" t="s">
        <v>557</v>
      </c>
      <c r="C199" s="1">
        <v>8.2727269999999997</v>
      </c>
      <c r="D199" s="1"/>
    </row>
    <row r="200" spans="1:4" ht="14.25" customHeight="1" x14ac:dyDescent="0.25">
      <c r="A200" s="1">
        <v>2440497.32969</v>
      </c>
      <c r="B200" s="1" t="s">
        <v>558</v>
      </c>
      <c r="C200" s="1">
        <v>8.2538459999999993</v>
      </c>
      <c r="D200" s="1"/>
    </row>
    <row r="201" spans="1:4" ht="14.25" customHeight="1" x14ac:dyDescent="0.25">
      <c r="A201" s="1">
        <v>2440510.0267099999</v>
      </c>
      <c r="B201" s="1" t="s">
        <v>559</v>
      </c>
      <c r="C201" s="1">
        <v>8.3588240000000003</v>
      </c>
      <c r="D201" s="1"/>
    </row>
    <row r="202" spans="1:4" ht="14.25" customHeight="1" x14ac:dyDescent="0.25">
      <c r="A202" s="1">
        <v>2440526.9693900002</v>
      </c>
      <c r="B202" s="1" t="s">
        <v>560</v>
      </c>
      <c r="C202" s="1">
        <v>8.3111110000000004</v>
      </c>
      <c r="D202" s="1"/>
    </row>
    <row r="203" spans="1:4" ht="14.25" customHeight="1" x14ac:dyDescent="0.25">
      <c r="A203" s="1">
        <v>2440542.7737500002</v>
      </c>
      <c r="B203" s="1" t="s">
        <v>561</v>
      </c>
      <c r="C203" s="1">
        <v>8.2937499999999993</v>
      </c>
      <c r="D203" s="1"/>
    </row>
    <row r="204" spans="1:4" ht="14.25" customHeight="1" x14ac:dyDescent="0.25">
      <c r="A204" s="1">
        <v>2440557.8653299999</v>
      </c>
      <c r="B204" s="1" t="s">
        <v>562</v>
      </c>
      <c r="C204" s="1">
        <v>8.26</v>
      </c>
      <c r="D204" s="1"/>
    </row>
    <row r="205" spans="1:4" ht="14.25" customHeight="1" x14ac:dyDescent="0.25">
      <c r="A205" s="1">
        <v>2440573.4588199998</v>
      </c>
      <c r="B205" s="1" t="s">
        <v>563</v>
      </c>
      <c r="C205" s="1">
        <v>8.3764710000000004</v>
      </c>
      <c r="D205" s="1"/>
    </row>
    <row r="206" spans="1:4" ht="14.25" customHeight="1" x14ac:dyDescent="0.25">
      <c r="A206" s="1">
        <v>2440589.1753799999</v>
      </c>
      <c r="B206" s="1" t="s">
        <v>564</v>
      </c>
      <c r="C206" s="1">
        <v>8.3615379999999995</v>
      </c>
      <c r="D206" s="1"/>
    </row>
    <row r="207" spans="1:4" ht="14.25" customHeight="1" x14ac:dyDescent="0.25">
      <c r="A207" s="1">
        <v>2440606.7890900001</v>
      </c>
      <c r="B207" s="1" t="s">
        <v>565</v>
      </c>
      <c r="C207" s="1">
        <v>8.3545449999999999</v>
      </c>
      <c r="D207" s="1"/>
    </row>
    <row r="208" spans="1:4" ht="14.25" customHeight="1" x14ac:dyDescent="0.25">
      <c r="A208" s="1">
        <v>2440702.7524000001</v>
      </c>
      <c r="B208" s="1" t="s">
        <v>566</v>
      </c>
      <c r="C208" s="1">
        <v>8.35</v>
      </c>
      <c r="D208" s="1"/>
    </row>
    <row r="209" spans="1:4" ht="14.25" customHeight="1" x14ac:dyDescent="0.25">
      <c r="A209" s="1">
        <v>2440729.26333</v>
      </c>
      <c r="B209" s="1" t="s">
        <v>567</v>
      </c>
      <c r="C209" s="1">
        <v>8.4</v>
      </c>
      <c r="D209" s="1"/>
    </row>
    <row r="210" spans="1:4" ht="14.25" customHeight="1" x14ac:dyDescent="0.25">
      <c r="A210" s="1">
        <v>2440742.3214400001</v>
      </c>
      <c r="B210" s="1" t="s">
        <v>568</v>
      </c>
      <c r="C210" s="1">
        <v>8.375</v>
      </c>
      <c r="D210" s="1"/>
    </row>
    <row r="211" spans="1:4" ht="14.25" customHeight="1" x14ac:dyDescent="0.25">
      <c r="A211" s="1">
        <v>2440761.81</v>
      </c>
      <c r="B211" s="1" t="s">
        <v>569</v>
      </c>
      <c r="C211" s="1">
        <v>8.4</v>
      </c>
      <c r="D211" s="1"/>
    </row>
    <row r="212" spans="1:4" ht="14.25" customHeight="1" x14ac:dyDescent="0.25">
      <c r="A212" s="1">
        <v>2440774.5932999998</v>
      </c>
      <c r="B212" s="1" t="s">
        <v>570</v>
      </c>
      <c r="C212" s="1">
        <v>8.26</v>
      </c>
      <c r="D212" s="1"/>
    </row>
    <row r="213" spans="1:4" ht="14.25" customHeight="1" x14ac:dyDescent="0.25">
      <c r="A213" s="1">
        <v>2440791.2133300002</v>
      </c>
      <c r="B213" s="1" t="s">
        <v>571</v>
      </c>
      <c r="C213" s="1">
        <v>8.2166669999999993</v>
      </c>
      <c r="D213" s="1"/>
    </row>
    <row r="214" spans="1:4" ht="14.25" customHeight="1" x14ac:dyDescent="0.25">
      <c r="A214" s="1">
        <v>2440805.5227299999</v>
      </c>
      <c r="B214" s="1" t="s">
        <v>572</v>
      </c>
      <c r="C214" s="1">
        <v>8.3363639999999997</v>
      </c>
      <c r="D214" s="1"/>
    </row>
    <row r="215" spans="1:4" ht="14.25" customHeight="1" x14ac:dyDescent="0.25">
      <c r="A215" s="1">
        <v>2440823.0219999999</v>
      </c>
      <c r="B215" s="1" t="s">
        <v>573</v>
      </c>
      <c r="C215" s="1">
        <v>8.2100000000000009</v>
      </c>
      <c r="D215" s="1"/>
    </row>
    <row r="216" spans="1:4" ht="14.25" customHeight="1" x14ac:dyDescent="0.25">
      <c r="A216" s="1">
        <v>2440835.1974999998</v>
      </c>
      <c r="B216" s="1" t="s">
        <v>574</v>
      </c>
      <c r="C216" s="1">
        <v>8.2562499999999996</v>
      </c>
      <c r="D216" s="1"/>
    </row>
    <row r="217" spans="1:4" ht="14.25" customHeight="1" x14ac:dyDescent="0.25">
      <c r="A217" s="1">
        <v>2440852.1857099999</v>
      </c>
      <c r="B217" s="1" t="s">
        <v>575</v>
      </c>
      <c r="C217" s="1">
        <v>8.1714289999999998</v>
      </c>
      <c r="D217" s="1"/>
    </row>
    <row r="218" spans="1:4" ht="14.25" customHeight="1" x14ac:dyDescent="0.25">
      <c r="A218" s="1">
        <v>2440867.5833299998</v>
      </c>
      <c r="B218" s="1" t="s">
        <v>576</v>
      </c>
      <c r="C218" s="1">
        <v>8.0583329999999993</v>
      </c>
      <c r="D218" s="1"/>
    </row>
    <row r="219" spans="1:4" ht="14.25" customHeight="1" x14ac:dyDescent="0.25">
      <c r="A219" s="1">
        <v>2440885.23593</v>
      </c>
      <c r="B219" s="1" t="s">
        <v>577</v>
      </c>
      <c r="C219" s="1">
        <v>8.1666670000000003</v>
      </c>
      <c r="D219" s="1"/>
    </row>
    <row r="220" spans="1:4" ht="14.25" customHeight="1" x14ac:dyDescent="0.25">
      <c r="A220" s="1">
        <v>2440900.5047399998</v>
      </c>
      <c r="B220" s="1" t="s">
        <v>578</v>
      </c>
      <c r="C220" s="1">
        <v>8.1210529999999999</v>
      </c>
      <c r="D220" s="1"/>
    </row>
    <row r="221" spans="1:4" ht="14.25" customHeight="1" x14ac:dyDescent="0.25">
      <c r="A221" s="1">
        <v>2440916.4357099999</v>
      </c>
      <c r="B221" s="1" t="s">
        <v>579</v>
      </c>
      <c r="C221" s="1">
        <v>8.0928570000000004</v>
      </c>
      <c r="D221" s="1"/>
    </row>
    <row r="222" spans="1:4" ht="14.25" customHeight="1" x14ac:dyDescent="0.25">
      <c r="A222" s="1">
        <v>2440931.67857</v>
      </c>
      <c r="B222" s="1" t="s">
        <v>580</v>
      </c>
      <c r="C222" s="1">
        <v>8.0857139999999994</v>
      </c>
      <c r="D222" s="1"/>
    </row>
    <row r="223" spans="1:4" ht="14.25" customHeight="1" x14ac:dyDescent="0.25">
      <c r="A223" s="1">
        <v>2440947.9115399998</v>
      </c>
      <c r="B223" s="1" t="s">
        <v>581</v>
      </c>
      <c r="C223" s="1">
        <v>8.0153850000000002</v>
      </c>
      <c r="D223" s="1"/>
    </row>
    <row r="224" spans="1:4" ht="14.25" customHeight="1" x14ac:dyDescent="0.25">
      <c r="A224" s="1">
        <v>2440962.1864700001</v>
      </c>
      <c r="B224" s="1" t="s">
        <v>582</v>
      </c>
      <c r="C224" s="1">
        <v>8.0647059999999993</v>
      </c>
      <c r="D224" s="1"/>
    </row>
    <row r="225" spans="1:4" ht="14.25" customHeight="1" x14ac:dyDescent="0.25">
      <c r="A225" s="1">
        <v>2440980.23875</v>
      </c>
      <c r="B225" s="1" t="s">
        <v>583</v>
      </c>
      <c r="C225" s="1">
        <v>8</v>
      </c>
      <c r="D225" s="1"/>
    </row>
    <row r="226" spans="1:4" ht="14.25" customHeight="1" x14ac:dyDescent="0.25">
      <c r="A226" s="1">
        <v>2441010.9</v>
      </c>
      <c r="B226" s="1" t="s">
        <v>584</v>
      </c>
      <c r="C226" s="1">
        <v>8</v>
      </c>
      <c r="D226" s="1"/>
    </row>
    <row r="227" spans="1:4" ht="14.25" customHeight="1" x14ac:dyDescent="0.25">
      <c r="A227" s="1">
        <v>2441036.1150000002</v>
      </c>
      <c r="B227" s="1" t="s">
        <v>585</v>
      </c>
      <c r="C227" s="1">
        <v>8.15</v>
      </c>
      <c r="D227" s="1"/>
    </row>
    <row r="228" spans="1:4" ht="14.25" customHeight="1" x14ac:dyDescent="0.25">
      <c r="A228" s="1">
        <v>2441064.79</v>
      </c>
      <c r="B228" s="1" t="s">
        <v>586</v>
      </c>
      <c r="C228" s="1">
        <v>8.1333330000000004</v>
      </c>
      <c r="D228" s="1"/>
    </row>
    <row r="229" spans="1:4" ht="14.25" customHeight="1" x14ac:dyDescent="0.25">
      <c r="A229" s="1">
        <v>2441083.4133299999</v>
      </c>
      <c r="B229" s="1" t="s">
        <v>587</v>
      </c>
      <c r="C229" s="1">
        <v>8.1666670000000003</v>
      </c>
      <c r="D229" s="1"/>
    </row>
    <row r="230" spans="1:4" ht="14.25" customHeight="1" x14ac:dyDescent="0.25">
      <c r="A230" s="1">
        <v>2441101.0150000001</v>
      </c>
      <c r="B230" s="1" t="s">
        <v>588</v>
      </c>
      <c r="C230" s="1">
        <v>8.0500000000000007</v>
      </c>
      <c r="D230" s="1"/>
    </row>
    <row r="231" spans="1:4" ht="14.25" customHeight="1" x14ac:dyDescent="0.25">
      <c r="A231" s="1">
        <v>2441120.0571400002</v>
      </c>
      <c r="B231" s="1" t="s">
        <v>589</v>
      </c>
      <c r="C231" s="1">
        <v>7.9428570000000001</v>
      </c>
      <c r="D231" s="1"/>
    </row>
    <row r="232" spans="1:4" ht="14.25" customHeight="1" x14ac:dyDescent="0.25">
      <c r="A232" s="1">
        <v>2441132.44417</v>
      </c>
      <c r="B232" s="1" t="s">
        <v>590</v>
      </c>
      <c r="C232" s="1">
        <v>7.983333</v>
      </c>
      <c r="D232" s="1"/>
    </row>
    <row r="233" spans="1:4" ht="14.25" customHeight="1" x14ac:dyDescent="0.25">
      <c r="A233" s="1">
        <v>2441148.0584999998</v>
      </c>
      <c r="B233" s="1" t="s">
        <v>591</v>
      </c>
      <c r="C233" s="1">
        <v>8.1204999999999998</v>
      </c>
      <c r="D233" s="1"/>
    </row>
    <row r="234" spans="1:4" ht="14.25" customHeight="1" x14ac:dyDescent="0.25">
      <c r="A234" s="1">
        <v>2441165.7039000001</v>
      </c>
      <c r="B234" s="1" t="s">
        <v>592</v>
      </c>
      <c r="C234" s="1">
        <v>8.1432140000000004</v>
      </c>
      <c r="D234" s="1"/>
    </row>
    <row r="235" spans="1:4" ht="14.25" customHeight="1" x14ac:dyDescent="0.25">
      <c r="A235" s="1">
        <v>2441179.35586</v>
      </c>
      <c r="B235" s="1" t="s">
        <v>593</v>
      </c>
      <c r="C235" s="1">
        <v>8.13931</v>
      </c>
      <c r="D235" s="1"/>
    </row>
    <row r="236" spans="1:4" ht="14.25" customHeight="1" x14ac:dyDescent="0.25">
      <c r="A236" s="1">
        <v>2441193.9304499999</v>
      </c>
      <c r="B236" s="1" t="s">
        <v>594</v>
      </c>
      <c r="C236" s="1">
        <v>8.2362500000000001</v>
      </c>
      <c r="D236" s="1"/>
    </row>
    <row r="237" spans="1:4" ht="14.25" customHeight="1" x14ac:dyDescent="0.25">
      <c r="A237" s="1">
        <v>2441210.38167</v>
      </c>
      <c r="B237" s="1" t="s">
        <v>595</v>
      </c>
      <c r="C237" s="1">
        <v>8.1999999999999993</v>
      </c>
      <c r="D237" s="1"/>
    </row>
    <row r="238" spans="1:4" ht="14.25" customHeight="1" x14ac:dyDescent="0.25">
      <c r="A238" s="1">
        <v>2441227.28419</v>
      </c>
      <c r="B238" s="1" t="s">
        <v>596</v>
      </c>
      <c r="C238" s="1">
        <v>8.2525809999999993</v>
      </c>
      <c r="D238" s="1"/>
    </row>
    <row r="239" spans="1:4" ht="14.25" customHeight="1" x14ac:dyDescent="0.25">
      <c r="A239" s="1">
        <v>2441242.48257</v>
      </c>
      <c r="B239" s="1" t="s">
        <v>597</v>
      </c>
      <c r="C239" s="1">
        <v>8.2651430000000001</v>
      </c>
      <c r="D239" s="1"/>
    </row>
    <row r="240" spans="1:4" ht="14.25" customHeight="1" x14ac:dyDescent="0.25">
      <c r="A240" s="1">
        <v>2441256.1031200001</v>
      </c>
      <c r="B240" s="1" t="s">
        <v>598</v>
      </c>
      <c r="C240" s="1">
        <v>8.23</v>
      </c>
      <c r="D240" s="1"/>
    </row>
    <row r="241" spans="1:4" ht="14.25" customHeight="1" x14ac:dyDescent="0.25">
      <c r="A241" s="1">
        <v>2441271.9230800001</v>
      </c>
      <c r="B241" s="1" t="s">
        <v>599</v>
      </c>
      <c r="C241" s="1">
        <v>8.2730770000000007</v>
      </c>
      <c r="D241" s="1"/>
    </row>
    <row r="242" spans="1:4" ht="14.25" customHeight="1" x14ac:dyDescent="0.25">
      <c r="A242" s="1">
        <v>2441286.1935999999</v>
      </c>
      <c r="B242" s="1" t="s">
        <v>600</v>
      </c>
      <c r="C242" s="1">
        <v>8.2571999999999992</v>
      </c>
      <c r="D242" s="1"/>
    </row>
    <row r="243" spans="1:4" ht="14.25" customHeight="1" x14ac:dyDescent="0.25">
      <c r="A243" s="1">
        <v>2441301.5751999998</v>
      </c>
      <c r="B243" s="1" t="s">
        <v>601</v>
      </c>
      <c r="C243" s="1">
        <v>8.2292000000000005</v>
      </c>
      <c r="D243" s="1"/>
    </row>
    <row r="244" spans="1:4" ht="14.25" customHeight="1" x14ac:dyDescent="0.25">
      <c r="A244" s="1">
        <v>2441318.0571400002</v>
      </c>
      <c r="B244" s="1" t="s">
        <v>602</v>
      </c>
      <c r="C244" s="1">
        <v>8.2899999999999991</v>
      </c>
      <c r="D244" s="1"/>
    </row>
    <row r="245" spans="1:4" ht="14.25" customHeight="1" x14ac:dyDescent="0.25">
      <c r="A245" s="1">
        <v>2441331.7662499999</v>
      </c>
      <c r="B245" s="1" t="s">
        <v>603</v>
      </c>
      <c r="C245" s="1">
        <v>8.1974999999999998</v>
      </c>
      <c r="D245" s="1"/>
    </row>
    <row r="246" spans="1:4" ht="14.25" customHeight="1" x14ac:dyDescent="0.25">
      <c r="A246" s="1">
        <v>2441350.25</v>
      </c>
      <c r="B246" s="1" t="s">
        <v>604</v>
      </c>
      <c r="C246" s="1">
        <v>8.1999999999999993</v>
      </c>
      <c r="D246" s="1"/>
    </row>
    <row r="247" spans="1:4" ht="14.25" customHeight="1" x14ac:dyDescent="0.25">
      <c r="A247" s="1">
        <v>2441389.2999999998</v>
      </c>
      <c r="B247" s="1" t="s">
        <v>605</v>
      </c>
      <c r="C247" s="1">
        <v>8.4</v>
      </c>
      <c r="D247" s="1"/>
    </row>
    <row r="248" spans="1:4" ht="14.25" customHeight="1" x14ac:dyDescent="0.25">
      <c r="A248" s="1">
        <v>2441412.7999999998</v>
      </c>
      <c r="B248" s="1" t="s">
        <v>606</v>
      </c>
      <c r="C248" s="1">
        <v>8.5</v>
      </c>
      <c r="D248" s="1"/>
    </row>
    <row r="249" spans="1:4" ht="14.25" customHeight="1" x14ac:dyDescent="0.25">
      <c r="A249" s="1">
        <v>2441435.7666699998</v>
      </c>
      <c r="B249" s="1" t="s">
        <v>607</v>
      </c>
      <c r="C249" s="1">
        <v>8.3333329999999997</v>
      </c>
      <c r="D249" s="1"/>
    </row>
    <row r="250" spans="1:4" ht="14.25" customHeight="1" x14ac:dyDescent="0.25">
      <c r="A250" s="1">
        <v>2441453.4750000001</v>
      </c>
      <c r="B250" s="1" t="s">
        <v>608</v>
      </c>
      <c r="C250" s="1">
        <v>8.375</v>
      </c>
      <c r="D250" s="1"/>
    </row>
    <row r="251" spans="1:4" ht="14.25" customHeight="1" x14ac:dyDescent="0.25">
      <c r="A251" s="1">
        <v>2441466.64</v>
      </c>
      <c r="B251" s="1" t="s">
        <v>609</v>
      </c>
      <c r="C251" s="1">
        <v>8.48</v>
      </c>
      <c r="D251" s="1"/>
    </row>
    <row r="252" spans="1:4" ht="14.25" customHeight="1" x14ac:dyDescent="0.25">
      <c r="A252" s="1">
        <v>2441484.65</v>
      </c>
      <c r="B252" s="1" t="s">
        <v>610</v>
      </c>
      <c r="C252" s="1">
        <v>8.4499999999999993</v>
      </c>
      <c r="D252" s="1"/>
    </row>
    <row r="253" spans="1:4" ht="14.25" customHeight="1" x14ac:dyDescent="0.25">
      <c r="A253" s="1">
        <v>2441502.5137499999</v>
      </c>
      <c r="B253" s="1" t="s">
        <v>611</v>
      </c>
      <c r="C253" s="1">
        <v>8.35</v>
      </c>
      <c r="D253" s="1"/>
    </row>
    <row r="254" spans="1:4" ht="14.25" customHeight="1" x14ac:dyDescent="0.25">
      <c r="A254" s="1">
        <v>2441520.5166699998</v>
      </c>
      <c r="B254" s="1" t="s">
        <v>612</v>
      </c>
      <c r="C254" s="1">
        <v>8.3816670000000002</v>
      </c>
      <c r="D254" s="1"/>
    </row>
    <row r="255" spans="1:4" ht="14.25" customHeight="1" x14ac:dyDescent="0.25">
      <c r="A255" s="1">
        <v>2441536.3603300001</v>
      </c>
      <c r="B255" s="1" t="s">
        <v>613</v>
      </c>
      <c r="C255" s="1">
        <v>8.3413330000000006</v>
      </c>
      <c r="D255" s="1"/>
    </row>
    <row r="256" spans="1:4" ht="14.25" customHeight="1" x14ac:dyDescent="0.25">
      <c r="A256" s="1">
        <v>2441547.5304299998</v>
      </c>
      <c r="B256" s="1" t="s">
        <v>614</v>
      </c>
      <c r="C256" s="1">
        <v>8.37087</v>
      </c>
      <c r="D256" s="1"/>
    </row>
    <row r="257" spans="1:4" ht="14.25" customHeight="1" x14ac:dyDescent="0.25">
      <c r="A257" s="1">
        <v>2441566.1818200001</v>
      </c>
      <c r="B257" s="1" t="s">
        <v>615</v>
      </c>
      <c r="C257" s="1">
        <v>8.4181819999999998</v>
      </c>
      <c r="D257" s="1"/>
    </row>
    <row r="258" spans="1:4" ht="14.25" customHeight="1" x14ac:dyDescent="0.25">
      <c r="A258" s="1">
        <v>2441577.9791700002</v>
      </c>
      <c r="B258" s="1" t="s">
        <v>616</v>
      </c>
      <c r="C258" s="1">
        <v>8.3683329999999998</v>
      </c>
      <c r="D258" s="1"/>
    </row>
    <row r="259" spans="1:4" ht="14.25" customHeight="1" x14ac:dyDescent="0.25">
      <c r="A259" s="1">
        <v>2441595.6067900001</v>
      </c>
      <c r="B259" s="1" t="s">
        <v>617</v>
      </c>
      <c r="C259" s="1">
        <v>8.3482140000000005</v>
      </c>
      <c r="D259" s="1"/>
    </row>
    <row r="260" spans="1:4" ht="14.25" customHeight="1" x14ac:dyDescent="0.25">
      <c r="A260" s="1">
        <v>2441610.5171400001</v>
      </c>
      <c r="B260" s="1" t="s">
        <v>618</v>
      </c>
      <c r="C260" s="1">
        <v>8.3421430000000001</v>
      </c>
      <c r="D260" s="1"/>
    </row>
    <row r="261" spans="1:4" ht="14.25" customHeight="1" x14ac:dyDescent="0.25">
      <c r="A261" s="1">
        <v>2441626.6545000002</v>
      </c>
      <c r="B261" s="1" t="s">
        <v>619</v>
      </c>
      <c r="C261" s="1">
        <v>8.3394999999999992</v>
      </c>
      <c r="D261" s="1"/>
    </row>
    <row r="262" spans="1:4" ht="14.25" customHeight="1" x14ac:dyDescent="0.25">
      <c r="A262" s="1">
        <v>2441643.0176499998</v>
      </c>
      <c r="B262" s="1" t="s">
        <v>620</v>
      </c>
      <c r="C262" s="1">
        <v>8.2711760000000005</v>
      </c>
      <c r="D262" s="1"/>
    </row>
    <row r="263" spans="1:4" ht="14.25" customHeight="1" x14ac:dyDescent="0.25">
      <c r="A263" s="1">
        <v>2441656.41</v>
      </c>
      <c r="B263" s="1" t="s">
        <v>621</v>
      </c>
      <c r="C263" s="1">
        <v>8.1973909999999997</v>
      </c>
      <c r="D263" s="1"/>
    </row>
    <row r="264" spans="1:4" ht="14.25" customHeight="1" x14ac:dyDescent="0.25">
      <c r="A264" s="1">
        <v>2441671.4030800001</v>
      </c>
      <c r="B264" s="1" t="s">
        <v>622</v>
      </c>
      <c r="C264" s="1">
        <v>8.1892309999999995</v>
      </c>
      <c r="D264" s="1"/>
    </row>
    <row r="265" spans="1:4" ht="14.25" customHeight="1" x14ac:dyDescent="0.25">
      <c r="A265" s="1">
        <v>2441687.8057200001</v>
      </c>
      <c r="B265" s="1" t="s">
        <v>623</v>
      </c>
      <c r="C265" s="1">
        <v>8.0775000000000006</v>
      </c>
      <c r="D265" s="1"/>
    </row>
    <row r="266" spans="1:4" ht="14.25" customHeight="1" x14ac:dyDescent="0.25">
      <c r="A266" s="1">
        <v>2441703.36313</v>
      </c>
      <c r="B266" s="1" t="s">
        <v>624</v>
      </c>
      <c r="C266" s="1">
        <v>8.1187500000000004</v>
      </c>
      <c r="D266" s="1"/>
    </row>
    <row r="267" spans="1:4" ht="14.25" customHeight="1" x14ac:dyDescent="0.25">
      <c r="A267" s="1">
        <v>2441733.6</v>
      </c>
      <c r="B267" s="1" t="s">
        <v>625</v>
      </c>
      <c r="C267" s="1">
        <v>8.3000000000000007</v>
      </c>
      <c r="D267" s="1"/>
    </row>
    <row r="268" spans="1:4" ht="14.25" customHeight="1" x14ac:dyDescent="0.25">
      <c r="A268" s="1">
        <v>2441781.9</v>
      </c>
      <c r="B268" s="1" t="s">
        <v>626</v>
      </c>
      <c r="C268" s="1">
        <v>8</v>
      </c>
      <c r="D268" s="1"/>
    </row>
    <row r="269" spans="1:4" ht="14.25" customHeight="1" x14ac:dyDescent="0.25">
      <c r="A269" s="1">
        <v>2441810.9500000002</v>
      </c>
      <c r="B269" s="1" t="s">
        <v>627</v>
      </c>
      <c r="C269" s="1">
        <v>7.9</v>
      </c>
      <c r="D269" s="1"/>
    </row>
    <row r="270" spans="1:4" ht="14.25" customHeight="1" x14ac:dyDescent="0.25">
      <c r="A270" s="1">
        <v>2441819.3138799998</v>
      </c>
      <c r="B270" s="1" t="s">
        <v>628</v>
      </c>
      <c r="C270" s="1">
        <v>8.2379999999999995</v>
      </c>
      <c r="D270" s="1"/>
    </row>
    <row r="271" spans="1:4" ht="14.25" customHeight="1" x14ac:dyDescent="0.25">
      <c r="A271" s="1">
        <v>2441838.5111099998</v>
      </c>
      <c r="B271" s="1" t="s">
        <v>629</v>
      </c>
      <c r="C271" s="1">
        <v>8.0879999999999992</v>
      </c>
      <c r="D271" s="1"/>
    </row>
    <row r="272" spans="1:4" ht="14.25" customHeight="1" x14ac:dyDescent="0.25">
      <c r="A272" s="1">
        <v>2441855.8687499999</v>
      </c>
      <c r="B272" s="1" t="s">
        <v>630</v>
      </c>
      <c r="C272" s="1">
        <v>8.0862499999999997</v>
      </c>
      <c r="D272" s="1"/>
    </row>
    <row r="273" spans="1:4" ht="14.25" customHeight="1" x14ac:dyDescent="0.25">
      <c r="A273" s="1">
        <v>2441871.9278899999</v>
      </c>
      <c r="B273" s="1" t="s">
        <v>631</v>
      </c>
      <c r="C273" s="1">
        <v>8.0792590000000004</v>
      </c>
      <c r="D273" s="1"/>
    </row>
    <row r="274" spans="1:4" ht="14.25" customHeight="1" x14ac:dyDescent="0.25">
      <c r="A274" s="1">
        <v>2441887.8531800001</v>
      </c>
      <c r="B274" s="1" t="s">
        <v>632</v>
      </c>
      <c r="C274" s="1">
        <v>8.0653330000000008</v>
      </c>
      <c r="D274" s="1"/>
    </row>
    <row r="275" spans="1:4" ht="14.25" customHeight="1" x14ac:dyDescent="0.25">
      <c r="A275" s="1">
        <v>2441901.2631000001</v>
      </c>
      <c r="B275" s="1" t="s">
        <v>633</v>
      </c>
      <c r="C275" s="1">
        <v>8.0490480000000009</v>
      </c>
      <c r="D275" s="1"/>
    </row>
    <row r="276" spans="1:4" ht="14.25" customHeight="1" x14ac:dyDescent="0.25">
      <c r="A276" s="1">
        <v>2441917.2206799998</v>
      </c>
      <c r="B276" s="1" t="s">
        <v>634</v>
      </c>
      <c r="C276" s="1">
        <v>8.0672339999999991</v>
      </c>
      <c r="D276" s="1"/>
    </row>
    <row r="277" spans="1:4" ht="14.25" customHeight="1" x14ac:dyDescent="0.25">
      <c r="A277" s="1">
        <v>2441931.14628</v>
      </c>
      <c r="B277" s="1" t="s">
        <v>635</v>
      </c>
      <c r="C277" s="1">
        <v>8.0241819999999997</v>
      </c>
      <c r="D277" s="1"/>
    </row>
    <row r="278" spans="1:4" ht="14.25" customHeight="1" x14ac:dyDescent="0.25">
      <c r="A278" s="1">
        <v>2441948.67545</v>
      </c>
      <c r="B278" s="1" t="s">
        <v>636</v>
      </c>
      <c r="C278" s="1">
        <v>8.0512730000000001</v>
      </c>
      <c r="D278" s="1"/>
    </row>
    <row r="279" spans="1:4" ht="14.25" customHeight="1" x14ac:dyDescent="0.25">
      <c r="A279" s="1">
        <v>2441961.6883399999</v>
      </c>
      <c r="B279" s="1" t="s">
        <v>637</v>
      </c>
      <c r="C279" s="1">
        <v>8.0754350000000006</v>
      </c>
      <c r="D279" s="1"/>
    </row>
    <row r="280" spans="1:4" ht="14.25" customHeight="1" x14ac:dyDescent="0.25">
      <c r="A280" s="1">
        <v>2441977.40973</v>
      </c>
      <c r="B280" s="1" t="s">
        <v>638</v>
      </c>
      <c r="C280" s="1">
        <v>8.1404820000000004</v>
      </c>
      <c r="D280" s="1"/>
    </row>
    <row r="281" spans="1:4" ht="14.25" customHeight="1" x14ac:dyDescent="0.25">
      <c r="A281" s="1">
        <v>2441991.55748</v>
      </c>
      <c r="B281" s="1" t="s">
        <v>639</v>
      </c>
      <c r="C281" s="1">
        <v>8.0952079999999995</v>
      </c>
      <c r="D281" s="1"/>
    </row>
    <row r="282" spans="1:4" ht="14.25" customHeight="1" x14ac:dyDescent="0.25">
      <c r="A282" s="1">
        <v>2442007.8229499999</v>
      </c>
      <c r="B282" s="1" t="s">
        <v>640</v>
      </c>
      <c r="C282" s="1">
        <v>8.1309719999999999</v>
      </c>
      <c r="D282" s="1"/>
    </row>
    <row r="283" spans="1:4" ht="14.25" customHeight="1" x14ac:dyDescent="0.25">
      <c r="A283" s="1">
        <v>2442024.5540200002</v>
      </c>
      <c r="B283" s="1" t="s">
        <v>641</v>
      </c>
      <c r="C283" s="1">
        <v>8.0966670000000001</v>
      </c>
      <c r="D283" s="1"/>
    </row>
    <row r="284" spans="1:4" ht="14.25" customHeight="1" x14ac:dyDescent="0.25">
      <c r="A284" s="1">
        <v>2442040.0593300001</v>
      </c>
      <c r="B284" s="1" t="s">
        <v>642</v>
      </c>
      <c r="C284" s="1">
        <v>8.0876470000000005</v>
      </c>
      <c r="D284" s="1"/>
    </row>
    <row r="285" spans="1:4" ht="14.25" customHeight="1" x14ac:dyDescent="0.25">
      <c r="A285" s="1">
        <v>2442054.8187600002</v>
      </c>
      <c r="B285" s="1" t="s">
        <v>643</v>
      </c>
      <c r="C285" s="1">
        <v>8.1649999999999991</v>
      </c>
      <c r="D285" s="1"/>
    </row>
    <row r="286" spans="1:4" ht="14.25" customHeight="1" x14ac:dyDescent="0.25">
      <c r="A286" s="1">
        <v>2442071.8929499998</v>
      </c>
      <c r="B286" s="1" t="s">
        <v>644</v>
      </c>
      <c r="C286" s="1">
        <v>8.1221429999999994</v>
      </c>
      <c r="D286" s="1"/>
    </row>
    <row r="287" spans="1:4" ht="14.25" customHeight="1" x14ac:dyDescent="0.25">
      <c r="A287" s="1">
        <v>2442147.6133300001</v>
      </c>
      <c r="B287" s="1" t="s">
        <v>645</v>
      </c>
      <c r="C287" s="1">
        <v>8.1066669999999998</v>
      </c>
      <c r="D287" s="1"/>
    </row>
    <row r="288" spans="1:4" ht="14.25" customHeight="1" x14ac:dyDescent="0.25">
      <c r="A288" s="1">
        <v>2442162.77354</v>
      </c>
      <c r="B288" s="1" t="s">
        <v>646</v>
      </c>
      <c r="C288" s="1">
        <v>8.1989999999999998</v>
      </c>
      <c r="D288" s="1"/>
    </row>
    <row r="289" spans="1:4" ht="14.25" customHeight="1" x14ac:dyDescent="0.25">
      <c r="A289" s="1">
        <v>2442185.5218400001</v>
      </c>
      <c r="B289" s="1" t="s">
        <v>647</v>
      </c>
      <c r="C289" s="1">
        <v>8.1830770000000008</v>
      </c>
      <c r="D289" s="1"/>
    </row>
    <row r="290" spans="1:4" ht="14.25" customHeight="1" x14ac:dyDescent="0.25">
      <c r="A290" s="1">
        <v>2442200.1924899998</v>
      </c>
      <c r="B290" s="1" t="s">
        <v>648</v>
      </c>
      <c r="C290" s="1">
        <v>8.2680000000000007</v>
      </c>
      <c r="D290" s="1"/>
    </row>
    <row r="291" spans="1:4" ht="14.25" customHeight="1" x14ac:dyDescent="0.25">
      <c r="A291" s="1">
        <v>2442219.63222</v>
      </c>
      <c r="B291" s="1" t="s">
        <v>649</v>
      </c>
      <c r="C291" s="1">
        <v>8.2074999999999996</v>
      </c>
      <c r="D291" s="1"/>
    </row>
    <row r="292" spans="1:4" ht="14.25" customHeight="1" x14ac:dyDescent="0.25">
      <c r="A292" s="1">
        <v>2442238.0419399999</v>
      </c>
      <c r="B292" s="1" t="s">
        <v>650</v>
      </c>
      <c r="C292" s="1">
        <v>8.2641670000000005</v>
      </c>
      <c r="D292" s="1"/>
    </row>
    <row r="293" spans="1:4" ht="14.25" customHeight="1" x14ac:dyDescent="0.25">
      <c r="A293" s="1">
        <v>2442251.00611</v>
      </c>
      <c r="B293" s="1" t="s">
        <v>651</v>
      </c>
      <c r="C293" s="1">
        <v>8.2793849999999996</v>
      </c>
      <c r="D293" s="1"/>
    </row>
    <row r="294" spans="1:4" ht="14.25" customHeight="1" x14ac:dyDescent="0.25">
      <c r="A294" s="1">
        <v>2442267.5622399999</v>
      </c>
      <c r="B294" s="1" t="s">
        <v>652</v>
      </c>
      <c r="C294" s="1">
        <v>8.3230769999999996</v>
      </c>
      <c r="D294" s="1"/>
    </row>
    <row r="295" spans="1:4" ht="14.25" customHeight="1" x14ac:dyDescent="0.25">
      <c r="A295" s="1">
        <v>2442280.14353</v>
      </c>
      <c r="B295" s="1" t="s">
        <v>653</v>
      </c>
      <c r="C295" s="1">
        <v>8.3254219999999997</v>
      </c>
      <c r="D295" s="1"/>
    </row>
    <row r="296" spans="1:4" ht="14.25" customHeight="1" x14ac:dyDescent="0.25">
      <c r="A296" s="1">
        <v>2442297.0720000002</v>
      </c>
      <c r="B296" s="1" t="s">
        <v>654</v>
      </c>
      <c r="C296" s="1">
        <v>8.3049999999999997</v>
      </c>
      <c r="D296" s="1"/>
    </row>
    <row r="297" spans="1:4" ht="14.25" customHeight="1" x14ac:dyDescent="0.25">
      <c r="A297" s="1">
        <v>2442309.9414900001</v>
      </c>
      <c r="B297" s="1" t="s">
        <v>655</v>
      </c>
      <c r="C297" s="1">
        <v>8.3907249999999998</v>
      </c>
      <c r="D297" s="1"/>
    </row>
    <row r="298" spans="1:4" ht="14.25" customHeight="1" x14ac:dyDescent="0.25">
      <c r="A298" s="1">
        <v>2442326.7480199998</v>
      </c>
      <c r="B298" s="1" t="s">
        <v>656</v>
      </c>
      <c r="C298" s="1">
        <v>8.3345830000000003</v>
      </c>
      <c r="D298" s="1"/>
    </row>
    <row r="299" spans="1:4" ht="14.25" customHeight="1" x14ac:dyDescent="0.25">
      <c r="A299" s="1">
        <v>2442341.3346699998</v>
      </c>
      <c r="B299" s="1" t="s">
        <v>657</v>
      </c>
      <c r="C299" s="1">
        <v>8.4094289999999994</v>
      </c>
      <c r="D299" s="1"/>
    </row>
    <row r="300" spans="1:4" ht="14.25" customHeight="1" x14ac:dyDescent="0.25">
      <c r="A300" s="1">
        <v>2442360.8994800001</v>
      </c>
      <c r="B300" s="1" t="s">
        <v>658</v>
      </c>
      <c r="C300" s="1">
        <v>8.3244070000000008</v>
      </c>
      <c r="D300" s="1"/>
    </row>
    <row r="301" spans="1:4" ht="14.25" customHeight="1" x14ac:dyDescent="0.25">
      <c r="A301" s="1">
        <v>2442370.6235099998</v>
      </c>
      <c r="B301" s="1" t="s">
        <v>659</v>
      </c>
      <c r="C301" s="1">
        <v>8.3376090000000005</v>
      </c>
      <c r="D301" s="1"/>
    </row>
    <row r="302" spans="1:4" ht="14.25" customHeight="1" x14ac:dyDescent="0.25">
      <c r="A302" s="1">
        <v>2442389.7113299998</v>
      </c>
      <c r="B302" s="1" t="s">
        <v>660</v>
      </c>
      <c r="C302" s="1">
        <v>8.2911110000000008</v>
      </c>
      <c r="D302" s="1"/>
    </row>
    <row r="303" spans="1:4" ht="14.25" customHeight="1" x14ac:dyDescent="0.25">
      <c r="A303" s="1">
        <v>2442405.14647</v>
      </c>
      <c r="B303" s="1" t="s">
        <v>661</v>
      </c>
      <c r="C303" s="1">
        <v>8.266</v>
      </c>
      <c r="D303" s="1"/>
    </row>
    <row r="304" spans="1:4" ht="14.25" customHeight="1" x14ac:dyDescent="0.25">
      <c r="A304" s="1">
        <v>2442417.9189499998</v>
      </c>
      <c r="B304" s="1" t="s">
        <v>662</v>
      </c>
      <c r="C304" s="1">
        <v>8.2717390000000002</v>
      </c>
      <c r="D304" s="1"/>
    </row>
    <row r="305" spans="1:4" ht="14.25" customHeight="1" x14ac:dyDescent="0.25">
      <c r="A305" s="1">
        <v>2442435.8638399998</v>
      </c>
      <c r="B305" s="1" t="s">
        <v>663</v>
      </c>
      <c r="C305" s="1">
        <v>8.1859999999999999</v>
      </c>
      <c r="D305" s="1"/>
    </row>
    <row r="306" spans="1:4" ht="14.25" customHeight="1" x14ac:dyDescent="0.25">
      <c r="A306" s="1">
        <v>2442453.0155000002</v>
      </c>
      <c r="B306" s="1" t="s">
        <v>664</v>
      </c>
      <c r="C306" s="1">
        <v>8.23</v>
      </c>
      <c r="D306" s="1"/>
    </row>
    <row r="307" spans="1:4" ht="14.25" customHeight="1" x14ac:dyDescent="0.25">
      <c r="A307" s="1">
        <v>2442489.9</v>
      </c>
      <c r="B307" s="1" t="s">
        <v>665</v>
      </c>
      <c r="C307" s="1">
        <v>8.3000000000000007</v>
      </c>
      <c r="D307" s="1"/>
    </row>
    <row r="308" spans="1:4" ht="14.25" customHeight="1" x14ac:dyDescent="0.25">
      <c r="A308" s="1">
        <v>2442509.9</v>
      </c>
      <c r="B308" s="1" t="s">
        <v>666</v>
      </c>
      <c r="C308" s="1">
        <v>8.1999999999999993</v>
      </c>
      <c r="D308" s="1"/>
    </row>
    <row r="309" spans="1:4" ht="14.25" customHeight="1" x14ac:dyDescent="0.25">
      <c r="A309" s="1">
        <v>2442531.0362499999</v>
      </c>
      <c r="B309" s="1" t="s">
        <v>667</v>
      </c>
      <c r="C309" s="1">
        <v>8.1300000000000008</v>
      </c>
      <c r="D309" s="1"/>
    </row>
    <row r="310" spans="1:4" ht="14.25" customHeight="1" x14ac:dyDescent="0.25">
      <c r="A310" s="1">
        <v>2442544.4963799999</v>
      </c>
      <c r="B310" s="1" t="s">
        <v>668</v>
      </c>
      <c r="C310" s="1">
        <v>8.1966669999999997</v>
      </c>
      <c r="D310" s="1"/>
    </row>
    <row r="311" spans="1:4" ht="14.25" customHeight="1" x14ac:dyDescent="0.25">
      <c r="A311" s="1">
        <v>2442573.0792999999</v>
      </c>
      <c r="B311" s="1" t="s">
        <v>669</v>
      </c>
      <c r="C311" s="1">
        <v>8.3144439999999999</v>
      </c>
      <c r="D311" s="1"/>
    </row>
    <row r="312" spans="1:4" ht="14.25" customHeight="1" x14ac:dyDescent="0.25">
      <c r="A312" s="1">
        <v>2442587.7976799998</v>
      </c>
      <c r="B312" s="1" t="s">
        <v>670</v>
      </c>
      <c r="C312" s="1">
        <v>8.1784619999999997</v>
      </c>
      <c r="D312" s="1"/>
    </row>
    <row r="313" spans="1:4" ht="14.25" customHeight="1" x14ac:dyDescent="0.25">
      <c r="A313" s="1">
        <v>2442603.2137500001</v>
      </c>
      <c r="B313" s="1" t="s">
        <v>671</v>
      </c>
      <c r="C313" s="1">
        <v>8.2118179999999992</v>
      </c>
      <c r="D313" s="1"/>
    </row>
    <row r="314" spans="1:4" ht="14.25" customHeight="1" x14ac:dyDescent="0.25">
      <c r="A314" s="1">
        <v>2442620.1878999998</v>
      </c>
      <c r="B314" s="1" t="s">
        <v>672</v>
      </c>
      <c r="C314" s="1">
        <v>8.1911760000000005</v>
      </c>
      <c r="D314" s="1"/>
    </row>
    <row r="315" spans="1:4" ht="14.25" customHeight="1" x14ac:dyDescent="0.25">
      <c r="A315" s="1">
        <v>2442632.6238000002</v>
      </c>
      <c r="B315" s="1" t="s">
        <v>673</v>
      </c>
      <c r="C315" s="1">
        <v>8.2373999999999992</v>
      </c>
      <c r="D315" s="1"/>
    </row>
    <row r="316" spans="1:4" ht="14.25" customHeight="1" x14ac:dyDescent="0.25">
      <c r="A316" s="1">
        <v>2442650.2536900002</v>
      </c>
      <c r="B316" s="1" t="s">
        <v>674</v>
      </c>
      <c r="C316" s="1">
        <v>8.2618519999999993</v>
      </c>
      <c r="D316" s="1"/>
    </row>
    <row r="317" spans="1:4" ht="14.25" customHeight="1" x14ac:dyDescent="0.25">
      <c r="A317" s="1">
        <v>2442663.86711</v>
      </c>
      <c r="B317" s="1" t="s">
        <v>675</v>
      </c>
      <c r="C317" s="1">
        <v>8.2688679999999994</v>
      </c>
      <c r="D317" s="1"/>
    </row>
    <row r="318" spans="1:4" ht="14.25" customHeight="1" x14ac:dyDescent="0.25">
      <c r="A318" s="1">
        <v>2442682.72004</v>
      </c>
      <c r="B318" s="1" t="s">
        <v>676</v>
      </c>
      <c r="C318" s="1">
        <v>8.2211759999999998</v>
      </c>
      <c r="D318" s="1"/>
    </row>
    <row r="319" spans="1:4" ht="14.25" customHeight="1" x14ac:dyDescent="0.25">
      <c r="A319" s="1">
        <v>2442694.1043799999</v>
      </c>
      <c r="B319" s="1" t="s">
        <v>677</v>
      </c>
      <c r="C319" s="1">
        <v>8.2137039999999999</v>
      </c>
      <c r="D319" s="1"/>
    </row>
    <row r="320" spans="1:4" ht="14.25" customHeight="1" x14ac:dyDescent="0.25">
      <c r="A320" s="1">
        <v>2442712.3792900001</v>
      </c>
      <c r="B320" s="1" t="s">
        <v>678</v>
      </c>
      <c r="C320" s="1">
        <v>8.2205709999999996</v>
      </c>
      <c r="D320" s="1"/>
    </row>
    <row r="321" spans="1:4" ht="14.25" customHeight="1" x14ac:dyDescent="0.25">
      <c r="A321" s="1">
        <v>2442723.4273399999</v>
      </c>
      <c r="B321" s="1" t="s">
        <v>679</v>
      </c>
      <c r="C321" s="1">
        <v>8.2464999999999993</v>
      </c>
      <c r="D321" s="1"/>
    </row>
    <row r="322" spans="1:4" ht="14.25" customHeight="1" x14ac:dyDescent="0.25">
      <c r="A322" s="1">
        <v>2442742.4639900001</v>
      </c>
      <c r="B322" s="1" t="s">
        <v>680</v>
      </c>
      <c r="C322" s="1">
        <v>8.2340479999999996</v>
      </c>
      <c r="D322" s="1"/>
    </row>
    <row r="323" spans="1:4" ht="14.25" customHeight="1" x14ac:dyDescent="0.25">
      <c r="A323" s="1">
        <v>2442754.9535099999</v>
      </c>
      <c r="B323" s="1" t="s">
        <v>681</v>
      </c>
      <c r="C323" s="1">
        <v>8.1988000000000003</v>
      </c>
      <c r="D323" s="1"/>
    </row>
    <row r="324" spans="1:4" ht="14.25" customHeight="1" x14ac:dyDescent="0.25">
      <c r="A324" s="1">
        <v>2442774.2387700002</v>
      </c>
      <c r="B324" s="1" t="s">
        <v>682</v>
      </c>
      <c r="C324" s="1">
        <v>8.161111</v>
      </c>
      <c r="D324" s="1"/>
    </row>
    <row r="325" spans="1:4" ht="14.25" customHeight="1" x14ac:dyDescent="0.25">
      <c r="A325" s="1">
        <v>2442788.9301</v>
      </c>
      <c r="B325" s="1" t="s">
        <v>683</v>
      </c>
      <c r="C325" s="1">
        <v>8.2527270000000001</v>
      </c>
      <c r="D325" s="1"/>
    </row>
    <row r="326" spans="1:4" ht="14.25" customHeight="1" x14ac:dyDescent="0.25">
      <c r="A326" s="1">
        <v>2442805.1151299998</v>
      </c>
      <c r="B326" s="1" t="s">
        <v>684</v>
      </c>
      <c r="C326" s="1">
        <v>8.2866669999999996</v>
      </c>
      <c r="D326" s="1"/>
    </row>
    <row r="327" spans="1:4" ht="14.25" customHeight="1" x14ac:dyDescent="0.25">
      <c r="A327" s="1">
        <v>2442826.29165</v>
      </c>
      <c r="B327" s="1" t="s">
        <v>685</v>
      </c>
      <c r="C327" s="1">
        <v>8.23</v>
      </c>
      <c r="D327" s="1"/>
    </row>
    <row r="328" spans="1:4" ht="14.25" customHeight="1" x14ac:dyDescent="0.25">
      <c r="A328" s="1">
        <v>2442872.6790999998</v>
      </c>
      <c r="B328" s="1" t="s">
        <v>686</v>
      </c>
      <c r="C328" s="1">
        <v>8.5399999999999991</v>
      </c>
      <c r="D328" s="1"/>
    </row>
    <row r="329" spans="1:4" ht="14.25" customHeight="1" x14ac:dyDescent="0.25">
      <c r="A329" s="1">
        <v>2442882.69386</v>
      </c>
      <c r="B329" s="1" t="s">
        <v>687</v>
      </c>
      <c r="C329" s="1">
        <v>8.3580000000000005</v>
      </c>
      <c r="D329" s="1"/>
    </row>
    <row r="330" spans="1:4" ht="14.25" customHeight="1" x14ac:dyDescent="0.25">
      <c r="A330" s="1">
        <v>2442901.3089999999</v>
      </c>
      <c r="B330" s="1" t="s">
        <v>688</v>
      </c>
      <c r="C330" s="1">
        <v>8.4239999999999995</v>
      </c>
      <c r="D330" s="1"/>
    </row>
    <row r="331" spans="1:4" ht="14.25" customHeight="1" x14ac:dyDescent="0.25">
      <c r="A331" s="1">
        <v>2442919.3492999999</v>
      </c>
      <c r="B331" s="1" t="s">
        <v>689</v>
      </c>
      <c r="C331" s="1">
        <v>8.41</v>
      </c>
      <c r="D331" s="1"/>
    </row>
    <row r="332" spans="1:4" ht="14.25" customHeight="1" x14ac:dyDescent="0.25">
      <c r="A332" s="1">
        <v>2442938.8366700001</v>
      </c>
      <c r="B332" s="1" t="s">
        <v>690</v>
      </c>
      <c r="C332" s="1">
        <v>8.3527269999999998</v>
      </c>
      <c r="D332" s="1"/>
    </row>
    <row r="333" spans="1:4" ht="14.25" customHeight="1" x14ac:dyDescent="0.25">
      <c r="A333" s="1">
        <v>2442958.1445800001</v>
      </c>
      <c r="B333" s="1" t="s">
        <v>691</v>
      </c>
      <c r="C333" s="1">
        <v>8.3542860000000001</v>
      </c>
      <c r="D333" s="1"/>
    </row>
    <row r="334" spans="1:4" ht="14.25" customHeight="1" x14ac:dyDescent="0.25">
      <c r="A334" s="1">
        <v>2442969.7939499998</v>
      </c>
      <c r="B334" s="1" t="s">
        <v>692</v>
      </c>
      <c r="C334" s="1">
        <v>8.3410530000000005</v>
      </c>
      <c r="D334" s="1"/>
    </row>
    <row r="335" spans="1:4" ht="14.25" customHeight="1" x14ac:dyDescent="0.25">
      <c r="A335" s="1">
        <v>2442987.54018</v>
      </c>
      <c r="B335" s="1" t="s">
        <v>693</v>
      </c>
      <c r="C335" s="1">
        <v>8.3458140000000007</v>
      </c>
      <c r="D335" s="1"/>
    </row>
    <row r="336" spans="1:4" ht="14.25" customHeight="1" x14ac:dyDescent="0.25">
      <c r="A336" s="1">
        <v>2443005.00134</v>
      </c>
      <c r="B336" s="1" t="s">
        <v>694</v>
      </c>
      <c r="C336" s="1">
        <v>8.4537499999999994</v>
      </c>
      <c r="D336" s="1"/>
    </row>
    <row r="337" spans="1:4" ht="14.25" customHeight="1" x14ac:dyDescent="0.25">
      <c r="A337" s="1">
        <v>2443017.4130299999</v>
      </c>
      <c r="B337" s="1" t="s">
        <v>695</v>
      </c>
      <c r="C337" s="1">
        <v>8.4707939999999997</v>
      </c>
      <c r="D337" s="1"/>
    </row>
    <row r="338" spans="1:4" ht="14.25" customHeight="1" x14ac:dyDescent="0.25">
      <c r="A338" s="1">
        <v>2443034.2744300002</v>
      </c>
      <c r="B338" s="1" t="s">
        <v>696</v>
      </c>
      <c r="C338" s="1">
        <v>8.4222219999999997</v>
      </c>
      <c r="D338" s="1"/>
    </row>
    <row r="339" spans="1:4" ht="14.25" customHeight="1" x14ac:dyDescent="0.25">
      <c r="A339" s="1">
        <v>2443048.9743499998</v>
      </c>
      <c r="B339" s="1" t="s">
        <v>697</v>
      </c>
      <c r="C339" s="1">
        <v>8.4118600000000008</v>
      </c>
      <c r="D339" s="1"/>
    </row>
    <row r="340" spans="1:4" ht="14.25" customHeight="1" x14ac:dyDescent="0.25">
      <c r="A340" s="1">
        <v>2443064.8520399998</v>
      </c>
      <c r="B340" s="1" t="s">
        <v>698</v>
      </c>
      <c r="C340" s="1">
        <v>8.4630229999999997</v>
      </c>
      <c r="D340" s="1"/>
    </row>
    <row r="341" spans="1:4" ht="14.25" customHeight="1" x14ac:dyDescent="0.25">
      <c r="A341" s="1">
        <v>2443077.912</v>
      </c>
      <c r="B341" s="1" t="s">
        <v>699</v>
      </c>
      <c r="C341" s="1">
        <v>8.4053330000000006</v>
      </c>
      <c r="D341" s="1"/>
    </row>
    <row r="342" spans="1:4" ht="14.25" customHeight="1" x14ac:dyDescent="0.25">
      <c r="A342" s="1">
        <v>2443093.6543100001</v>
      </c>
      <c r="B342" s="1" t="s">
        <v>700</v>
      </c>
      <c r="C342" s="1">
        <v>8.45913</v>
      </c>
      <c r="D342" s="1"/>
    </row>
    <row r="343" spans="1:4" ht="14.25" customHeight="1" x14ac:dyDescent="0.25">
      <c r="A343" s="1">
        <v>2443107.9126400002</v>
      </c>
      <c r="B343" s="1" t="s">
        <v>701</v>
      </c>
      <c r="C343" s="1">
        <v>8.4585709999999992</v>
      </c>
      <c r="D343" s="1"/>
    </row>
    <row r="344" spans="1:4" ht="14.25" customHeight="1" x14ac:dyDescent="0.25">
      <c r="A344" s="1">
        <v>2443126.21826</v>
      </c>
      <c r="B344" s="1" t="s">
        <v>702</v>
      </c>
      <c r="C344" s="1">
        <v>8.4039289999999998</v>
      </c>
      <c r="D344" s="1"/>
    </row>
    <row r="345" spans="1:4" ht="14.25" customHeight="1" x14ac:dyDescent="0.25">
      <c r="A345" s="1">
        <v>2443140.4062700002</v>
      </c>
      <c r="B345" s="1" t="s">
        <v>703</v>
      </c>
      <c r="C345" s="1">
        <v>8.4003700000000006</v>
      </c>
      <c r="D345" s="1"/>
    </row>
    <row r="346" spans="1:4" ht="14.25" customHeight="1" x14ac:dyDescent="0.25">
      <c r="A346" s="1">
        <v>2443153.0096499999</v>
      </c>
      <c r="B346" s="1" t="s">
        <v>704</v>
      </c>
      <c r="C346" s="1">
        <v>8.4224999999999994</v>
      </c>
      <c r="D346" s="1"/>
    </row>
    <row r="347" spans="1:4" ht="14.25" customHeight="1" x14ac:dyDescent="0.25">
      <c r="A347" s="1">
        <v>2443169.7455099998</v>
      </c>
      <c r="B347" s="1" t="s">
        <v>705</v>
      </c>
      <c r="C347" s="1">
        <v>8.4263639999999995</v>
      </c>
      <c r="D347" s="1"/>
    </row>
    <row r="348" spans="1:4" ht="14.25" customHeight="1" x14ac:dyDescent="0.25">
      <c r="A348" s="1">
        <v>2443184.96</v>
      </c>
      <c r="B348" s="1" t="s">
        <v>706</v>
      </c>
      <c r="C348" s="1">
        <v>8.36</v>
      </c>
      <c r="D348" s="1"/>
    </row>
    <row r="349" spans="1:4" ht="14.25" customHeight="1" x14ac:dyDescent="0.25">
      <c r="A349" s="1">
        <v>2443253.6</v>
      </c>
      <c r="B349" s="1" t="s">
        <v>707</v>
      </c>
      <c r="C349" s="1">
        <v>8.4</v>
      </c>
      <c r="D349" s="1"/>
    </row>
    <row r="350" spans="1:4" ht="14.25" customHeight="1" x14ac:dyDescent="0.25">
      <c r="A350" s="1">
        <v>2443288.2528200001</v>
      </c>
      <c r="B350" s="1" t="s">
        <v>708</v>
      </c>
      <c r="C350" s="1">
        <v>8.1671429999999994</v>
      </c>
      <c r="D350" s="1"/>
    </row>
    <row r="351" spans="1:4" ht="14.25" customHeight="1" x14ac:dyDescent="0.25">
      <c r="A351" s="1">
        <v>2443308.6</v>
      </c>
      <c r="B351" s="1" t="s">
        <v>709</v>
      </c>
      <c r="C351" s="1">
        <v>8.2249999999999996</v>
      </c>
      <c r="D351" s="1"/>
    </row>
    <row r="352" spans="1:4" ht="14.25" customHeight="1" x14ac:dyDescent="0.25">
      <c r="A352" s="1">
        <v>2443321.3228199999</v>
      </c>
      <c r="B352" s="1" t="s">
        <v>710</v>
      </c>
      <c r="C352" s="1">
        <v>8.3293750000000006</v>
      </c>
      <c r="D352" s="1"/>
    </row>
    <row r="353" spans="1:4" ht="14.25" customHeight="1" x14ac:dyDescent="0.25">
      <c r="A353" s="1">
        <v>2443335.1640099999</v>
      </c>
      <c r="B353" s="1" t="s">
        <v>711</v>
      </c>
      <c r="C353" s="1">
        <v>8.2757140000000007</v>
      </c>
      <c r="D353" s="1"/>
    </row>
    <row r="354" spans="1:4" ht="14.25" customHeight="1" x14ac:dyDescent="0.25">
      <c r="A354" s="1">
        <v>2443348.4583299998</v>
      </c>
      <c r="B354" s="1" t="s">
        <v>712</v>
      </c>
      <c r="C354" s="1">
        <v>8.2750000000000004</v>
      </c>
      <c r="D354" s="1"/>
    </row>
    <row r="355" spans="1:4" ht="14.25" customHeight="1" x14ac:dyDescent="0.25">
      <c r="A355" s="1">
        <v>2443366.2270599999</v>
      </c>
      <c r="B355" s="1" t="s">
        <v>713</v>
      </c>
      <c r="C355" s="1">
        <v>8.2557139999999993</v>
      </c>
      <c r="D355" s="1"/>
    </row>
    <row r="356" spans="1:4" ht="14.25" customHeight="1" x14ac:dyDescent="0.25">
      <c r="A356" s="1">
        <v>2443382.3787199999</v>
      </c>
      <c r="B356" s="1" t="s">
        <v>714</v>
      </c>
      <c r="C356" s="1">
        <v>8.2184000000000008</v>
      </c>
      <c r="D356" s="1"/>
    </row>
    <row r="357" spans="1:4" ht="14.25" customHeight="1" x14ac:dyDescent="0.25">
      <c r="A357" s="1">
        <v>2443396.6956199999</v>
      </c>
      <c r="B357" s="1" t="s">
        <v>715</v>
      </c>
      <c r="C357" s="1">
        <v>8.2214290000000005</v>
      </c>
      <c r="D357" s="1"/>
    </row>
    <row r="358" spans="1:4" ht="14.25" customHeight="1" x14ac:dyDescent="0.25">
      <c r="A358" s="1">
        <v>2443412.2104000002</v>
      </c>
      <c r="B358" s="1" t="s">
        <v>716</v>
      </c>
      <c r="C358" s="1">
        <v>8.1945449999999997</v>
      </c>
      <c r="D358" s="1"/>
    </row>
    <row r="359" spans="1:4" ht="14.25" customHeight="1" x14ac:dyDescent="0.25">
      <c r="A359" s="1">
        <v>2443426.4127699998</v>
      </c>
      <c r="B359" s="1" t="s">
        <v>717</v>
      </c>
      <c r="C359" s="1">
        <v>8.2207690000000007</v>
      </c>
      <c r="D359" s="1"/>
    </row>
    <row r="360" spans="1:4" ht="14.25" customHeight="1" x14ac:dyDescent="0.25">
      <c r="A360" s="1">
        <v>2443442.3105199998</v>
      </c>
      <c r="B360" s="1" t="s">
        <v>718</v>
      </c>
      <c r="C360" s="1">
        <v>8.1690319999999996</v>
      </c>
      <c r="D360" s="1"/>
    </row>
    <row r="361" spans="1:4" ht="14.25" customHeight="1" x14ac:dyDescent="0.25">
      <c r="A361" s="1">
        <v>2443457.0874200002</v>
      </c>
      <c r="B361" s="1" t="s">
        <v>719</v>
      </c>
      <c r="C361" s="1">
        <v>8.1628889999999998</v>
      </c>
      <c r="D361" s="1"/>
    </row>
    <row r="362" spans="1:4" ht="14.25" customHeight="1" x14ac:dyDescent="0.25">
      <c r="A362" s="1">
        <v>2443474.1134600001</v>
      </c>
      <c r="B362" s="1" t="s">
        <v>720</v>
      </c>
      <c r="C362" s="1">
        <v>8.1928000000000001</v>
      </c>
      <c r="D362" s="1"/>
    </row>
    <row r="363" spans="1:4" ht="14.25" customHeight="1" x14ac:dyDescent="0.25">
      <c r="A363" s="1">
        <v>2443489.9563899999</v>
      </c>
      <c r="B363" s="1" t="s">
        <v>721</v>
      </c>
      <c r="C363" s="1">
        <v>8.1735710000000008</v>
      </c>
      <c r="D363" s="1"/>
    </row>
    <row r="364" spans="1:4" ht="14.25" customHeight="1" x14ac:dyDescent="0.25">
      <c r="A364" s="1">
        <v>2443508.6932100002</v>
      </c>
      <c r="B364" s="1" t="s">
        <v>722</v>
      </c>
      <c r="C364" s="1">
        <v>8.1697140000000008</v>
      </c>
      <c r="D364" s="1"/>
    </row>
    <row r="365" spans="1:4" ht="14.25" customHeight="1" x14ac:dyDescent="0.25">
      <c r="A365" s="1">
        <v>2443522.1375899999</v>
      </c>
      <c r="B365" s="1" t="s">
        <v>723</v>
      </c>
      <c r="C365" s="1">
        <v>8.2200000000000006</v>
      </c>
      <c r="D365" s="1"/>
    </row>
    <row r="366" spans="1:4" ht="14.25" customHeight="1" x14ac:dyDescent="0.25">
      <c r="A366" s="1">
        <v>2443554.0499999998</v>
      </c>
      <c r="B366" s="1" t="s">
        <v>724</v>
      </c>
      <c r="C366" s="1">
        <v>8.1999999999999993</v>
      </c>
      <c r="D366" s="1"/>
    </row>
    <row r="367" spans="1:4" ht="14.25" customHeight="1" x14ac:dyDescent="0.25">
      <c r="A367" s="1">
        <v>2443587.9</v>
      </c>
      <c r="B367" s="1" t="s">
        <v>725</v>
      </c>
      <c r="C367" s="1">
        <v>8.3000000000000007</v>
      </c>
      <c r="D367" s="1"/>
    </row>
    <row r="368" spans="1:4" ht="14.25" customHeight="1" x14ac:dyDescent="0.25">
      <c r="A368" s="1">
        <v>2443609.9</v>
      </c>
      <c r="B368" s="1" t="s">
        <v>726</v>
      </c>
      <c r="C368" s="1">
        <v>8.35</v>
      </c>
      <c r="D368" s="1"/>
    </row>
    <row r="369" spans="1:4" ht="14.25" customHeight="1" x14ac:dyDescent="0.25">
      <c r="A369" s="1">
        <v>2443625.10133</v>
      </c>
      <c r="B369" s="1" t="s">
        <v>727</v>
      </c>
      <c r="C369" s="1">
        <v>8.266667</v>
      </c>
      <c r="D369" s="1"/>
    </row>
    <row r="370" spans="1:4" ht="14.25" customHeight="1" x14ac:dyDescent="0.25">
      <c r="A370" s="1">
        <v>2443651.35</v>
      </c>
      <c r="B370" s="1" t="s">
        <v>728</v>
      </c>
      <c r="C370" s="1">
        <v>8.15</v>
      </c>
      <c r="D370" s="1"/>
    </row>
    <row r="371" spans="1:4" ht="14.25" customHeight="1" x14ac:dyDescent="0.25">
      <c r="A371" s="1">
        <v>2443663.4741199999</v>
      </c>
      <c r="B371" s="1" t="s">
        <v>729</v>
      </c>
      <c r="C371" s="1">
        <v>8.3633330000000008</v>
      </c>
      <c r="D371" s="1"/>
    </row>
    <row r="372" spans="1:4" ht="14.25" customHeight="1" x14ac:dyDescent="0.25">
      <c r="A372" s="1">
        <v>2443685.43407</v>
      </c>
      <c r="B372" s="1" t="s">
        <v>730</v>
      </c>
      <c r="C372" s="1">
        <v>8.3118180000000006</v>
      </c>
      <c r="D372" s="1"/>
    </row>
    <row r="373" spans="1:4" ht="14.25" customHeight="1" x14ac:dyDescent="0.25">
      <c r="A373" s="1">
        <v>2443700.31323</v>
      </c>
      <c r="B373" s="1" t="s">
        <v>731</v>
      </c>
      <c r="C373" s="1">
        <v>8.4226919999999996</v>
      </c>
      <c r="D373" s="1"/>
    </row>
    <row r="374" spans="1:4" ht="14.25" customHeight="1" x14ac:dyDescent="0.25">
      <c r="A374" s="1">
        <v>2443718.4751499998</v>
      </c>
      <c r="B374" s="1" t="s">
        <v>732</v>
      </c>
      <c r="C374" s="1">
        <v>8.3437040000000007</v>
      </c>
      <c r="D374" s="1"/>
    </row>
    <row r="375" spans="1:4" ht="14.25" customHeight="1" x14ac:dyDescent="0.25">
      <c r="A375" s="1">
        <v>2443730.8605300002</v>
      </c>
      <c r="B375" s="1" t="s">
        <v>733</v>
      </c>
      <c r="C375" s="1">
        <v>8.338889</v>
      </c>
      <c r="D375" s="1"/>
    </row>
    <row r="376" spans="1:4" ht="14.25" customHeight="1" x14ac:dyDescent="0.25">
      <c r="A376" s="1">
        <v>2443748.2902500001</v>
      </c>
      <c r="B376" s="1" t="s">
        <v>734</v>
      </c>
      <c r="C376" s="1">
        <v>8.3758929999999996</v>
      </c>
      <c r="D376" s="1"/>
    </row>
    <row r="377" spans="1:4" ht="14.25" customHeight="1" x14ac:dyDescent="0.25">
      <c r="A377" s="1">
        <v>2443760.7383500002</v>
      </c>
      <c r="B377" s="1" t="s">
        <v>735</v>
      </c>
      <c r="C377" s="1">
        <v>8.3808699999999998</v>
      </c>
      <c r="D377" s="1"/>
    </row>
    <row r="378" spans="1:4" ht="14.25" customHeight="1" x14ac:dyDescent="0.25">
      <c r="A378" s="1">
        <v>2443777.7135200002</v>
      </c>
      <c r="B378" s="1" t="s">
        <v>736</v>
      </c>
      <c r="C378" s="1">
        <v>8.3781689999999998</v>
      </c>
      <c r="D378" s="1"/>
    </row>
    <row r="379" spans="1:4" ht="14.25" customHeight="1" x14ac:dyDescent="0.25">
      <c r="A379" s="1">
        <v>2443791.7798100002</v>
      </c>
      <c r="B379" s="1" t="s">
        <v>737</v>
      </c>
      <c r="C379" s="1">
        <v>8.42</v>
      </c>
      <c r="D379" s="1"/>
    </row>
    <row r="380" spans="1:4" ht="14.25" customHeight="1" x14ac:dyDescent="0.25">
      <c r="A380" s="1">
        <v>2443810.2532199998</v>
      </c>
      <c r="B380" s="1" t="s">
        <v>738</v>
      </c>
      <c r="C380" s="1">
        <v>8.4824439999999992</v>
      </c>
      <c r="D380" s="1"/>
    </row>
    <row r="381" spans="1:4" ht="14.25" customHeight="1" x14ac:dyDescent="0.25">
      <c r="A381" s="1">
        <v>2443823.1116900002</v>
      </c>
      <c r="B381" s="1" t="s">
        <v>739</v>
      </c>
      <c r="C381" s="1">
        <v>8.4514999999999993</v>
      </c>
      <c r="D381" s="1"/>
    </row>
    <row r="382" spans="1:4" ht="14.25" customHeight="1" x14ac:dyDescent="0.25">
      <c r="A382" s="1">
        <v>2443839.35776</v>
      </c>
      <c r="B382" s="1" t="s">
        <v>740</v>
      </c>
      <c r="C382" s="1">
        <v>8.490513</v>
      </c>
      <c r="D382" s="1"/>
    </row>
    <row r="383" spans="1:4" ht="14.25" customHeight="1" x14ac:dyDescent="0.25">
      <c r="A383" s="1">
        <v>2443855.9394999999</v>
      </c>
      <c r="B383" s="1" t="s">
        <v>741</v>
      </c>
      <c r="C383" s="1">
        <v>8.5416000000000007</v>
      </c>
      <c r="D383" s="1"/>
    </row>
    <row r="384" spans="1:4" ht="14.25" customHeight="1" x14ac:dyDescent="0.25">
      <c r="A384" s="1">
        <v>2443870.9092399999</v>
      </c>
      <c r="B384" s="1" t="s">
        <v>742</v>
      </c>
      <c r="C384" s="1">
        <v>8.5435140000000001</v>
      </c>
      <c r="D384" s="1"/>
    </row>
    <row r="385" spans="1:4" ht="14.25" customHeight="1" x14ac:dyDescent="0.25">
      <c r="A385" s="1">
        <v>2443887.3009500001</v>
      </c>
      <c r="B385" s="1" t="s">
        <v>743</v>
      </c>
      <c r="C385" s="1">
        <v>8.5299999999999994</v>
      </c>
      <c r="D385" s="1"/>
    </row>
    <row r="386" spans="1:4" ht="14.25" customHeight="1" x14ac:dyDescent="0.25">
      <c r="A386" s="1">
        <v>2443902.69661</v>
      </c>
      <c r="B386" s="1" t="s">
        <v>744</v>
      </c>
      <c r="C386" s="1">
        <v>8.4942860000000007</v>
      </c>
      <c r="D386" s="1"/>
    </row>
    <row r="387" spans="1:4" ht="14.25" customHeight="1" x14ac:dyDescent="0.25">
      <c r="A387" s="1">
        <v>2443933.2999999998</v>
      </c>
      <c r="B387" s="1" t="s">
        <v>745</v>
      </c>
      <c r="C387" s="1">
        <v>8.4</v>
      </c>
      <c r="D387" s="1"/>
    </row>
    <row r="388" spans="1:4" ht="14.25" customHeight="1" x14ac:dyDescent="0.25">
      <c r="A388" s="1">
        <v>2443966.2000000002</v>
      </c>
      <c r="B388" s="1" t="s">
        <v>746</v>
      </c>
      <c r="C388" s="1">
        <v>8.6</v>
      </c>
      <c r="D388" s="1"/>
    </row>
    <row r="389" spans="1:4" ht="14.25" customHeight="1" x14ac:dyDescent="0.25">
      <c r="A389" s="1">
        <v>2443988.7999999998</v>
      </c>
      <c r="B389" s="1" t="s">
        <v>747</v>
      </c>
      <c r="C389" s="1">
        <v>8.5250000000000004</v>
      </c>
      <c r="D389" s="1"/>
    </row>
    <row r="390" spans="1:4" ht="14.25" customHeight="1" x14ac:dyDescent="0.25">
      <c r="A390" s="1">
        <v>2444002.7666699998</v>
      </c>
      <c r="B390" s="1" t="s">
        <v>748</v>
      </c>
      <c r="C390" s="1">
        <v>8.3333329999999997</v>
      </c>
      <c r="D390" s="1"/>
    </row>
    <row r="391" spans="1:4" ht="14.25" customHeight="1" x14ac:dyDescent="0.25">
      <c r="A391" s="1">
        <v>2444020.0638100002</v>
      </c>
      <c r="B391" s="1" t="s">
        <v>749</v>
      </c>
      <c r="C391" s="1">
        <v>8.5429999999999993</v>
      </c>
      <c r="D391" s="1"/>
    </row>
    <row r="392" spans="1:4" ht="14.25" customHeight="1" x14ac:dyDescent="0.25">
      <c r="A392" s="1">
        <v>2444039.4612599998</v>
      </c>
      <c r="B392" s="1" t="s">
        <v>750</v>
      </c>
      <c r="C392" s="1">
        <v>8.4422219999999992</v>
      </c>
      <c r="D392" s="1"/>
    </row>
    <row r="393" spans="1:4" ht="14.25" customHeight="1" x14ac:dyDescent="0.25">
      <c r="A393" s="1">
        <v>2444050.8248100001</v>
      </c>
      <c r="B393" s="1" t="s">
        <v>751</v>
      </c>
      <c r="C393" s="1">
        <v>8.4119440000000001</v>
      </c>
      <c r="D393" s="1"/>
    </row>
    <row r="394" spans="1:4" ht="14.25" customHeight="1" x14ac:dyDescent="0.25">
      <c r="A394" s="1">
        <v>2444066.8637399999</v>
      </c>
      <c r="B394" s="1" t="s">
        <v>752</v>
      </c>
      <c r="C394" s="1">
        <v>8.3921740000000007</v>
      </c>
      <c r="D394" s="1"/>
    </row>
    <row r="395" spans="1:4" ht="14.25" customHeight="1" x14ac:dyDescent="0.25">
      <c r="A395" s="1">
        <v>2444082.1618599999</v>
      </c>
      <c r="B395" s="1" t="s">
        <v>753</v>
      </c>
      <c r="C395" s="1">
        <v>8.4229269999999996</v>
      </c>
      <c r="D395" s="1"/>
    </row>
    <row r="396" spans="1:4" ht="14.25" customHeight="1" x14ac:dyDescent="0.25">
      <c r="A396" s="1">
        <v>2444098.2681300002</v>
      </c>
      <c r="B396" s="1" t="s">
        <v>754</v>
      </c>
      <c r="C396" s="1">
        <v>8.4202270000000006</v>
      </c>
      <c r="D396" s="1"/>
    </row>
    <row r="397" spans="1:4" ht="14.25" customHeight="1" x14ac:dyDescent="0.25">
      <c r="A397" s="1">
        <v>2444112.34185</v>
      </c>
      <c r="B397" s="1" t="s">
        <v>755</v>
      </c>
      <c r="C397" s="1">
        <v>8.3608449999999994</v>
      </c>
      <c r="D397" s="1"/>
    </row>
    <row r="398" spans="1:4" ht="14.25" customHeight="1" x14ac:dyDescent="0.25">
      <c r="A398" s="1">
        <v>2444130.7722999998</v>
      </c>
      <c r="B398" s="1" t="s">
        <v>756</v>
      </c>
      <c r="C398" s="1">
        <v>8.3543280000000006</v>
      </c>
      <c r="D398" s="1"/>
    </row>
    <row r="399" spans="1:4" ht="14.25" customHeight="1" x14ac:dyDescent="0.25">
      <c r="A399" s="1">
        <v>2444141.2950900001</v>
      </c>
      <c r="B399" s="1" t="s">
        <v>757</v>
      </c>
      <c r="C399" s="1">
        <v>8.35975</v>
      </c>
      <c r="D399" s="1"/>
    </row>
    <row r="400" spans="1:4" ht="14.25" customHeight="1" x14ac:dyDescent="0.25">
      <c r="A400" s="1">
        <v>2444160.4400800001</v>
      </c>
      <c r="B400" s="1" t="s">
        <v>758</v>
      </c>
      <c r="C400" s="1">
        <v>8.2976919999999996</v>
      </c>
      <c r="D400" s="1"/>
    </row>
    <row r="401" spans="1:8" ht="14.25" customHeight="1" x14ac:dyDescent="0.25">
      <c r="A401" s="1">
        <v>2444172.21129</v>
      </c>
      <c r="B401" s="1" t="s">
        <v>759</v>
      </c>
      <c r="C401" s="1">
        <v>8.292745</v>
      </c>
      <c r="D401" s="1"/>
    </row>
    <row r="402" spans="1:8" ht="14.25" customHeight="1" x14ac:dyDescent="0.25">
      <c r="A402" s="1">
        <v>2444190.7885500002</v>
      </c>
      <c r="B402" s="1" t="s">
        <v>760</v>
      </c>
      <c r="C402" s="1">
        <v>8.2601639999999996</v>
      </c>
      <c r="D402" s="1"/>
    </row>
    <row r="403" spans="1:8" ht="14.25" customHeight="1" x14ac:dyDescent="0.25">
      <c r="A403" s="1">
        <v>2444204.6631900002</v>
      </c>
      <c r="B403" s="1" t="s">
        <v>761</v>
      </c>
      <c r="C403" s="1">
        <v>8.3559999999999999</v>
      </c>
      <c r="D403" s="1"/>
    </row>
    <row r="404" spans="1:8" ht="14.25" customHeight="1" x14ac:dyDescent="0.25">
      <c r="A404" s="1">
        <v>2444219.8425699999</v>
      </c>
      <c r="B404" s="1" t="s">
        <v>762</v>
      </c>
      <c r="C404" s="1">
        <v>8.25</v>
      </c>
      <c r="D404" s="1"/>
    </row>
    <row r="405" spans="1:8" ht="14.25" customHeight="1" x14ac:dyDescent="0.25">
      <c r="A405" s="1">
        <v>2444234.7078399998</v>
      </c>
      <c r="B405" s="1" t="s">
        <v>763</v>
      </c>
      <c r="C405" s="1">
        <v>8.2936840000000007</v>
      </c>
      <c r="D405" s="1"/>
    </row>
    <row r="406" spans="1:8" ht="14.25" customHeight="1" x14ac:dyDescent="0.25">
      <c r="A406" s="1">
        <v>2444250.6944400002</v>
      </c>
      <c r="B406" s="1" t="s">
        <v>764</v>
      </c>
      <c r="C406" s="1">
        <v>8.266667</v>
      </c>
      <c r="D406" s="1"/>
      <c r="E406">
        <f>($A406-m_phot!$L$4)/m_phot!$L$5-INT(($A406-m_phot!$L$4)/m_phot!$L$5)</f>
        <v>0.41052595223542454</v>
      </c>
      <c r="F406">
        <f>+C406</f>
        <v>8.266667</v>
      </c>
      <c r="H406" t="str">
        <f>IF(E406&lt;0.05,INT(($A406-m_phot!$L$4)/m_phot!$L$5),"")</f>
        <v/>
      </c>
    </row>
    <row r="407" spans="1:8" ht="14.25" customHeight="1" x14ac:dyDescent="0.25">
      <c r="A407" s="1">
        <v>2444264.9616700001</v>
      </c>
      <c r="B407" s="1" t="s">
        <v>765</v>
      </c>
      <c r="C407" s="1">
        <v>8.2916670000000003</v>
      </c>
      <c r="D407" s="1"/>
      <c r="E407">
        <f>(A407-m_phot!L$4)/m_phot!L$5-INT((A407-m_phot!L$4)/m_phot!L$5)</f>
        <v>0.42799959583601499</v>
      </c>
      <c r="F407">
        <f t="shared" ref="F407:F470" si="0">+C407</f>
        <v>8.2916670000000003</v>
      </c>
      <c r="H407" t="str">
        <f>IF(E407&lt;0.05,INT(($A407-m_phot!$L$4)/m_phot!$L$5),"")</f>
        <v/>
      </c>
    </row>
    <row r="408" spans="1:8" ht="14.25" customHeight="1" x14ac:dyDescent="0.25">
      <c r="A408" s="1">
        <v>2444375.8666699999</v>
      </c>
      <c r="B408" s="1" t="s">
        <v>766</v>
      </c>
      <c r="C408" s="1">
        <v>8.1</v>
      </c>
      <c r="D408" s="1"/>
      <c r="E408">
        <f>(A408-m_phot!L$4)/m_phot!L$5-INT((A408-m_phot!L$4)/m_phot!L$5)</f>
        <v>0.56382935701151382</v>
      </c>
      <c r="F408">
        <f t="shared" si="0"/>
        <v>8.1</v>
      </c>
      <c r="H408" t="str">
        <f>IF(E408&lt;0.05,INT(($A408-m_phot!$L$4)/m_phot!$L$5),"")</f>
        <v/>
      </c>
    </row>
    <row r="409" spans="1:8" ht="14.25" customHeight="1" x14ac:dyDescent="0.25">
      <c r="A409" s="1">
        <v>2444402.54</v>
      </c>
      <c r="B409" s="1" t="s">
        <v>767</v>
      </c>
      <c r="C409" s="1">
        <v>8.3000000000000007</v>
      </c>
      <c r="D409" s="1"/>
      <c r="E409">
        <f>(A409-m_phot!L$4)/m_phot!L$5-INT((A409-m_phot!L$4)/m_phot!L$5)</f>
        <v>0.5964972443356249</v>
      </c>
      <c r="F409">
        <f t="shared" si="0"/>
        <v>8.3000000000000007</v>
      </c>
      <c r="H409" t="str">
        <f>IF(E409&lt;0.05,INT(($A409-m_phot!$L$4)/m_phot!$L$5),"")</f>
        <v/>
      </c>
    </row>
    <row r="410" spans="1:8" ht="14.25" customHeight="1" x14ac:dyDescent="0.25">
      <c r="A410" s="1">
        <v>2444419.6025</v>
      </c>
      <c r="B410" s="1" t="s">
        <v>768</v>
      </c>
      <c r="C410" s="1">
        <v>8.0749999999999993</v>
      </c>
      <c r="D410" s="1"/>
      <c r="E410">
        <f>(A410-m_phot!L$4)/m_phot!L$5-INT((A410-m_phot!L$4)/m_phot!L$5)</f>
        <v>0.61739436619722809</v>
      </c>
      <c r="F410">
        <f t="shared" si="0"/>
        <v>8.0749999999999993</v>
      </c>
      <c r="H410" t="str">
        <f>IF(E410&lt;0.05,INT(($A410-m_phot!$L$4)/m_phot!$L$5),"")</f>
        <v/>
      </c>
    </row>
    <row r="411" spans="1:8" ht="14.25" customHeight="1" x14ac:dyDescent="0.25">
      <c r="A411" s="1">
        <v>2444431.9366700002</v>
      </c>
      <c r="B411" s="1" t="s">
        <v>769</v>
      </c>
      <c r="C411" s="1">
        <v>8.2848480000000002</v>
      </c>
      <c r="D411" s="1"/>
      <c r="E411">
        <f>(A411-m_phot!L$4)/m_phot!L$5-INT((A411-m_phot!L$4)/m_phot!L$5)</f>
        <v>0.63250051439093546</v>
      </c>
      <c r="F411">
        <f t="shared" si="0"/>
        <v>8.2848480000000002</v>
      </c>
      <c r="H411" t="str">
        <f>IF(E411&lt;0.05,INT(($A411-m_phot!$L$4)/m_phot!$L$5),"")</f>
        <v/>
      </c>
    </row>
    <row r="412" spans="1:8" ht="14.25" customHeight="1" x14ac:dyDescent="0.25">
      <c r="A412" s="1">
        <v>2444449.5387900001</v>
      </c>
      <c r="B412" s="1" t="s">
        <v>770</v>
      </c>
      <c r="C412" s="1">
        <v>8.320513</v>
      </c>
      <c r="D412" s="1"/>
      <c r="E412">
        <f>(A412-m_phot!L$4)/m_phot!L$5-INT((A412-m_phot!L$4)/m_phot!L$5)</f>
        <v>0.65405853031247574</v>
      </c>
      <c r="F412">
        <f t="shared" si="0"/>
        <v>8.320513</v>
      </c>
      <c r="H412" t="str">
        <f>IF(E412&lt;0.05,INT(($A412-m_phot!$L$4)/m_phot!$L$5),"")</f>
        <v/>
      </c>
    </row>
    <row r="413" spans="1:8" ht="14.25" customHeight="1" x14ac:dyDescent="0.25">
      <c r="A413" s="1">
        <v>2444462.4289299999</v>
      </c>
      <c r="B413" s="1" t="s">
        <v>771</v>
      </c>
      <c r="C413" s="1">
        <v>8.35</v>
      </c>
      <c r="D413" s="1"/>
      <c r="E413">
        <f>(A413-m_phot!L$4)/m_phot!L$5-INT((A413-m_phot!L$4)/m_phot!L$5)</f>
        <v>0.66984559706054725</v>
      </c>
      <c r="F413">
        <f t="shared" si="0"/>
        <v>8.35</v>
      </c>
      <c r="H413" t="str">
        <f>IF(E413&lt;0.05,INT(($A413-m_phot!$L$4)/m_phot!$L$5),"")</f>
        <v/>
      </c>
    </row>
    <row r="414" spans="1:8" ht="14.25" customHeight="1" x14ac:dyDescent="0.25">
      <c r="A414" s="1">
        <v>2444479.03394</v>
      </c>
      <c r="B414" s="1" t="s">
        <v>772</v>
      </c>
      <c r="C414" s="1">
        <v>8.3510200000000001</v>
      </c>
      <c r="D414" s="1"/>
      <c r="E414">
        <f>(A414-m_phot!L$4)/m_phot!L$5-INT((A414-m_phot!L$4)/m_phot!L$5)</f>
        <v>0.6901824127372862</v>
      </c>
      <c r="F414">
        <f t="shared" si="0"/>
        <v>8.3510200000000001</v>
      </c>
      <c r="H414" t="str">
        <f>IF(E414&lt;0.05,INT(($A414-m_phot!$L$4)/m_phot!$L$5),"")</f>
        <v/>
      </c>
    </row>
    <row r="415" spans="1:8" ht="14.25" customHeight="1" x14ac:dyDescent="0.25">
      <c r="A415" s="1">
        <v>2444492.51217</v>
      </c>
      <c r="B415" s="1" t="s">
        <v>773</v>
      </c>
      <c r="C415" s="1">
        <v>8.3524999999999991</v>
      </c>
      <c r="D415" s="1"/>
      <c r="E415">
        <f>(A415-m_phot!L$4)/m_phot!L$5-INT((A415-m_phot!L$4)/m_phot!L$5)</f>
        <v>0.70668973668095703</v>
      </c>
      <c r="F415">
        <f t="shared" si="0"/>
        <v>8.3524999999999991</v>
      </c>
      <c r="H415" t="str">
        <f>IF(E415&lt;0.05,INT(($A415-m_phot!$L$4)/m_phot!$L$5),"")</f>
        <v/>
      </c>
    </row>
    <row r="416" spans="1:8" ht="14.25" customHeight="1" x14ac:dyDescent="0.25">
      <c r="A416" s="1">
        <v>2444509.1512000002</v>
      </c>
      <c r="B416" s="1" t="s">
        <v>774</v>
      </c>
      <c r="C416" s="1">
        <v>8.3542860000000001</v>
      </c>
      <c r="D416" s="1"/>
      <c r="E416">
        <f>(A416-m_phot!L$4)/m_phot!L$5-INT((A416-m_phot!L$4)/m_phot!L$5)</f>
        <v>0.72706821800391452</v>
      </c>
      <c r="F416">
        <f t="shared" si="0"/>
        <v>8.3542860000000001</v>
      </c>
      <c r="H416" t="str">
        <f>IF(E416&lt;0.05,INT(($A416-m_phot!$L$4)/m_phot!$L$5),"")</f>
        <v/>
      </c>
    </row>
    <row r="417" spans="1:10" ht="14.25" customHeight="1" x14ac:dyDescent="0.25">
      <c r="A417" s="1">
        <v>2444522.7500800001</v>
      </c>
      <c r="B417" s="1" t="s">
        <v>775</v>
      </c>
      <c r="C417" s="1">
        <v>8.3800000000000008</v>
      </c>
      <c r="D417" s="1"/>
      <c r="E417">
        <f>(A417-m_phot!L$4)/m_phot!L$5-INT((A417-m_phot!L$4)/m_phot!L$5)</f>
        <v>0.74372330679748089</v>
      </c>
      <c r="F417">
        <f t="shared" si="0"/>
        <v>8.3800000000000008</v>
      </c>
      <c r="H417" t="str">
        <f>IF(E417&lt;0.05,INT(($A417-m_phot!$L$4)/m_phot!$L$5),"")</f>
        <v/>
      </c>
    </row>
    <row r="418" spans="1:10" ht="14.25" customHeight="1" x14ac:dyDescent="0.25">
      <c r="A418" s="1">
        <v>2444539.9566299999</v>
      </c>
      <c r="B418" s="1" t="s">
        <v>776</v>
      </c>
      <c r="C418" s="1">
        <v>8.43</v>
      </c>
      <c r="D418" s="1"/>
      <c r="E418">
        <f>(A418-m_phot!L$4)/m_phot!L$5-INT((A418-m_phot!L$4)/m_phot!L$5)</f>
        <v>0.76479685241875472</v>
      </c>
      <c r="F418">
        <f t="shared" si="0"/>
        <v>8.43</v>
      </c>
      <c r="H418" t="str">
        <f>IF(E418&lt;0.05,INT(($A418-m_phot!$L$4)/m_phot!$L$5),"")</f>
        <v/>
      </c>
    </row>
    <row r="419" spans="1:10" ht="14.25" customHeight="1" x14ac:dyDescent="0.25">
      <c r="A419" s="1">
        <v>2444553.7603699998</v>
      </c>
      <c r="B419" s="1" t="s">
        <v>777</v>
      </c>
      <c r="C419" s="1">
        <v>8.4749999999999996</v>
      </c>
      <c r="D419" s="1"/>
      <c r="E419">
        <f>(A419-m_phot!L$4)/m_phot!L$5-INT((A419-m_phot!L$4)/m_phot!L$5)</f>
        <v>0.78170284139595836</v>
      </c>
      <c r="F419">
        <f t="shared" si="0"/>
        <v>8.4749999999999996</v>
      </c>
      <c r="H419" t="str">
        <f>IF(E419&lt;0.05,INT(($A419-m_phot!$L$4)/m_phot!$L$5),"")</f>
        <v/>
      </c>
    </row>
    <row r="420" spans="1:10" ht="14.25" customHeight="1" x14ac:dyDescent="0.25">
      <c r="A420" s="1">
        <v>2444570.2938799998</v>
      </c>
      <c r="B420" s="1" t="s">
        <v>778</v>
      </c>
      <c r="C420" s="1">
        <v>8.4813949999999991</v>
      </c>
      <c r="D420" s="1"/>
      <c r="E420">
        <f>(A420-m_phot!L$4)/m_phot!L$5-INT((A420-m_phot!L$4)/m_phot!L$5)</f>
        <v>0.8019520881809914</v>
      </c>
      <c r="F420">
        <f t="shared" si="0"/>
        <v>8.4813949999999991</v>
      </c>
      <c r="H420" t="str">
        <f>IF(E420&lt;0.05,INT(($A420-m_phot!$L$4)/m_phot!$L$5),"")</f>
        <v/>
      </c>
    </row>
    <row r="421" spans="1:10" ht="14.25" customHeight="1" x14ac:dyDescent="0.25">
      <c r="A421" s="1">
        <v>2444583.1482699998</v>
      </c>
      <c r="B421" s="1" t="s">
        <v>779</v>
      </c>
      <c r="C421" s="1">
        <v>8.5408159999999995</v>
      </c>
      <c r="D421" s="1"/>
      <c r="E421">
        <f>(A421-m_phot!L$4)/m_phot!L$5-INT((A421-m_phot!L$4)/m_phot!L$5)</f>
        <v>0.81769537048349328</v>
      </c>
      <c r="F421">
        <f t="shared" si="0"/>
        <v>8.5408159999999995</v>
      </c>
      <c r="H421" t="str">
        <f>IF(E421&lt;0.05,INT(($A421-m_phot!$L$4)/m_phot!$L$5),"")</f>
        <v/>
      </c>
    </row>
    <row r="422" spans="1:10" ht="14.25" customHeight="1" x14ac:dyDescent="0.25">
      <c r="A422" s="1">
        <v>2444602.2048200001</v>
      </c>
      <c r="B422" s="1" t="s">
        <v>780</v>
      </c>
      <c r="C422" s="1">
        <v>8.5179489999999998</v>
      </c>
      <c r="D422" s="1"/>
      <c r="E422">
        <f>(A422-m_phot!L$4)/m_phot!L$5-INT((A422-m_phot!L$4)/m_phot!L$5)</f>
        <v>0.84103468462964059</v>
      </c>
      <c r="F422">
        <f t="shared" si="0"/>
        <v>8.5179489999999998</v>
      </c>
      <c r="H422" t="str">
        <f>IF(E422&lt;0.05,INT(($A422-m_phot!$L$4)/m_phot!$L$5),"")</f>
        <v/>
      </c>
    </row>
    <row r="423" spans="1:10" ht="14.25" customHeight="1" x14ac:dyDescent="0.25">
      <c r="A423" s="1">
        <v>2444615.81635</v>
      </c>
      <c r="B423" s="1" t="s">
        <v>781</v>
      </c>
      <c r="C423" s="1">
        <v>8.5171430000000008</v>
      </c>
      <c r="D423" s="1"/>
      <c r="E423">
        <f>(A423-m_phot!L$4)/m_phot!L$5-INT((A423-m_phot!L$4)/m_phot!L$5)</f>
        <v>0.85770526638086864</v>
      </c>
      <c r="F423">
        <f t="shared" si="0"/>
        <v>8.5171430000000008</v>
      </c>
      <c r="H423" t="str">
        <f>IF(E423&lt;0.05,INT(($A423-m_phot!$L$4)/m_phot!$L$5),"")</f>
        <v/>
      </c>
    </row>
    <row r="424" spans="1:10" ht="14.25" customHeight="1" x14ac:dyDescent="0.25">
      <c r="A424" s="1">
        <v>2444631.5095700002</v>
      </c>
      <c r="B424" s="1" t="s">
        <v>782</v>
      </c>
      <c r="C424" s="1">
        <v>8.7428570000000008</v>
      </c>
      <c r="D424" s="1"/>
      <c r="E424">
        <f>(A424-m_phot!L$4)/m_phot!L$5-INT((A424-m_phot!L$4)/m_phot!L$5)</f>
        <v>0.87692537660774939</v>
      </c>
      <c r="F424">
        <f t="shared" si="0"/>
        <v>8.7428570000000008</v>
      </c>
      <c r="H424" t="str">
        <f>IF(E424&lt;0.05,INT(($A424-m_phot!$L$4)/m_phot!$L$5),"")</f>
        <v/>
      </c>
    </row>
    <row r="425" spans="1:10" ht="14.25" customHeight="1" x14ac:dyDescent="0.25">
      <c r="A425" s="1">
        <v>2444757.4818000002</v>
      </c>
      <c r="B425" s="1" t="s">
        <v>783</v>
      </c>
      <c r="C425" s="1">
        <v>8.3733330000000006</v>
      </c>
      <c r="D425" s="1"/>
      <c r="E425">
        <f>(A425-m_phot!L$4)/m_phot!L$5-INT((A425-m_phot!L$4)/m_phot!L$5)</f>
        <v>3.120857317842507E-2</v>
      </c>
      <c r="F425">
        <f t="shared" si="0"/>
        <v>8.3733330000000006</v>
      </c>
      <c r="H425">
        <f>IF(E425&lt;0.05,INT(($A425-m_phot!$L$4)/m_phot!$L$5),"")</f>
        <v>16</v>
      </c>
      <c r="I425">
        <f>IF(H425&lt;&gt;"",AVERAGE(C425:C426),"")</f>
        <v>8.4666665000000005</v>
      </c>
      <c r="J425">
        <f>+C425-I$425</f>
        <v>-9.3333499999999958E-2</v>
      </c>
    </row>
    <row r="426" spans="1:10" ht="14.25" customHeight="1" x14ac:dyDescent="0.25">
      <c r="A426" s="1">
        <v>2444768.6257600002</v>
      </c>
      <c r="B426" s="1" t="s">
        <v>784</v>
      </c>
      <c r="C426" s="1">
        <v>8.56</v>
      </c>
      <c r="D426" s="1"/>
      <c r="E426">
        <f>(A426-m_phot!L$4)/m_phot!L$5-INT((A426-m_phot!L$4)/m_phot!L$5)</f>
        <v>4.4857023882670433E-2</v>
      </c>
      <c r="F426">
        <f t="shared" si="0"/>
        <v>8.56</v>
      </c>
      <c r="H426">
        <f>IF(E426&lt;0.05,INT(($A426-m_phot!$L$4)/m_phot!$L$5),"")</f>
        <v>16</v>
      </c>
      <c r="I426">
        <f>IF(H426&lt;&gt;"",AVERAGE(C425:C426),"")</f>
        <v>8.4666665000000005</v>
      </c>
      <c r="J426">
        <f t="shared" ref="J426:J466" si="1">+C426-I$425</f>
        <v>9.3333499999999958E-2</v>
      </c>
    </row>
    <row r="427" spans="1:10" ht="14.25" customHeight="1" x14ac:dyDescent="0.25">
      <c r="A427" s="1">
        <v>2444787.46147</v>
      </c>
      <c r="B427" s="1" t="s">
        <v>785</v>
      </c>
      <c r="C427" s="1">
        <v>8.6028570000000002</v>
      </c>
      <c r="D427" s="1"/>
      <c r="E427">
        <f>(A427-m_phot!L$4)/m_phot!L$5-INT((A427-m_phot!L$4)/m_phot!L$5)</f>
        <v>6.7925866503344423E-2</v>
      </c>
      <c r="F427">
        <f t="shared" si="0"/>
        <v>8.6028570000000002</v>
      </c>
      <c r="H427" t="str">
        <f>IF(E427&lt;0.05,INT(($A427-m_phot!$L$4)/m_phot!$L$5),"")</f>
        <v/>
      </c>
      <c r="I427" t="str">
        <f t="shared" ref="I427:I489" si="2">IF(H427&lt;&gt;"",AVERAGE(C427:C428),"")</f>
        <v/>
      </c>
      <c r="J427">
        <f t="shared" si="1"/>
        <v>0.13619049999999966</v>
      </c>
    </row>
    <row r="428" spans="1:10" ht="14.25" customHeight="1" x14ac:dyDescent="0.25">
      <c r="A428" s="1">
        <v>2444804.55645</v>
      </c>
      <c r="B428" s="1" t="s">
        <v>786</v>
      </c>
      <c r="C428" s="1">
        <v>8.5274999999999999</v>
      </c>
      <c r="D428" s="1"/>
      <c r="E428">
        <f>(A428-m_phot!L$4)/m_phot!L$5-INT((A428-m_phot!L$4)/m_phot!L$5)</f>
        <v>8.8862767911859208E-2</v>
      </c>
      <c r="F428">
        <f t="shared" si="0"/>
        <v>8.5274999999999999</v>
      </c>
      <c r="H428" t="str">
        <f>IF(E428&lt;0.05,INT(($A428-m_phot!$L$4)/m_phot!$L$5),"")</f>
        <v/>
      </c>
      <c r="I428" t="str">
        <f t="shared" si="2"/>
        <v/>
      </c>
      <c r="J428">
        <f t="shared" si="1"/>
        <v>6.0833499999999319E-2</v>
      </c>
    </row>
    <row r="429" spans="1:10" ht="14.25" customHeight="1" x14ac:dyDescent="0.25">
      <c r="A429" s="1">
        <v>2444818.5036800001</v>
      </c>
      <c r="B429" s="1" t="s">
        <v>787</v>
      </c>
      <c r="C429" s="1">
        <v>8.4979659999999999</v>
      </c>
      <c r="D429" s="1"/>
      <c r="E429">
        <f>(A429-m_phot!L$4)/m_phot!L$5-INT((A429-m_phot!L$4)/m_phot!L$5)</f>
        <v>0.10594449479495438</v>
      </c>
      <c r="F429">
        <f t="shared" si="0"/>
        <v>8.4979659999999999</v>
      </c>
      <c r="H429" t="str">
        <f>IF(E429&lt;0.05,INT(($A429-m_phot!$L$4)/m_phot!$L$5),"")</f>
        <v/>
      </c>
      <c r="I429" t="str">
        <f t="shared" si="2"/>
        <v/>
      </c>
      <c r="J429">
        <f t="shared" si="1"/>
        <v>3.1299499999999369E-2</v>
      </c>
    </row>
    <row r="430" spans="1:10" ht="14.25" customHeight="1" x14ac:dyDescent="0.25">
      <c r="A430" s="1">
        <v>2444835.05168</v>
      </c>
      <c r="B430" s="1" t="s">
        <v>788</v>
      </c>
      <c r="C430" s="1">
        <v>8.4853330000000007</v>
      </c>
      <c r="D430" s="1"/>
      <c r="E430">
        <f>(A430-m_phot!L$4)/m_phot!L$5-INT((A430-m_phot!L$4)/m_phot!L$5)</f>
        <v>0.12621148805882854</v>
      </c>
      <c r="F430">
        <f t="shared" si="0"/>
        <v>8.4853330000000007</v>
      </c>
      <c r="H430" t="str">
        <f>IF(E430&lt;0.05,INT(($A430-m_phot!$L$4)/m_phot!$L$5),"")</f>
        <v/>
      </c>
      <c r="I430" t="str">
        <f t="shared" si="2"/>
        <v/>
      </c>
      <c r="J430">
        <f t="shared" si="1"/>
        <v>1.8666500000000141E-2</v>
      </c>
    </row>
    <row r="431" spans="1:10" ht="14.25" customHeight="1" x14ac:dyDescent="0.25">
      <c r="A431" s="1">
        <v>2444847.7942599999</v>
      </c>
      <c r="B431" s="1" t="s">
        <v>789</v>
      </c>
      <c r="C431" s="1">
        <v>8.4623080000000002</v>
      </c>
      <c r="D431" s="1"/>
      <c r="E431">
        <f>(A431-m_phot!L$4)/m_phot!L$5-INT((A431-m_phot!L$4)/m_phot!L$5)</f>
        <v>0.14181783221050637</v>
      </c>
      <c r="F431">
        <f t="shared" si="0"/>
        <v>8.4623080000000002</v>
      </c>
      <c r="H431" t="str">
        <f>IF(E431&lt;0.05,INT(($A431-m_phot!$L$4)/m_phot!$L$5),"")</f>
        <v/>
      </c>
      <c r="I431" t="str">
        <f t="shared" si="2"/>
        <v/>
      </c>
      <c r="J431">
        <f t="shared" si="1"/>
        <v>-4.358500000000376E-3</v>
      </c>
    </row>
    <row r="432" spans="1:10" ht="14.25" customHeight="1" x14ac:dyDescent="0.25">
      <c r="A432" s="1">
        <v>2444863.87788</v>
      </c>
      <c r="B432" s="1" t="s">
        <v>790</v>
      </c>
      <c r="C432" s="1">
        <v>8.5187100000000004</v>
      </c>
      <c r="D432" s="1"/>
      <c r="E432">
        <f>(A432-m_phot!L$4)/m_phot!L$5-INT((A432-m_phot!L$4)/m_phot!L$5)</f>
        <v>0.16151608083287528</v>
      </c>
      <c r="F432">
        <f t="shared" si="0"/>
        <v>8.5187100000000004</v>
      </c>
      <c r="H432" t="str">
        <f>IF(E432&lt;0.05,INT(($A432-m_phot!$L$4)/m_phot!$L$5),"")</f>
        <v/>
      </c>
      <c r="I432" t="str">
        <f t="shared" si="2"/>
        <v/>
      </c>
      <c r="J432">
        <f t="shared" si="1"/>
        <v>5.2043499999999909E-2</v>
      </c>
    </row>
    <row r="433" spans="1:10" ht="14.25" customHeight="1" x14ac:dyDescent="0.25">
      <c r="A433" s="1">
        <v>2444877.6602099999</v>
      </c>
      <c r="B433" s="1" t="s">
        <v>791</v>
      </c>
      <c r="C433" s="1">
        <v>8.4450000000000003</v>
      </c>
      <c r="D433" s="1"/>
      <c r="E433">
        <f>(A433-m_phot!L$4)/m_phot!L$5-INT((A433-m_phot!L$4)/m_phot!L$5)</f>
        <v>0.17839584813212994</v>
      </c>
      <c r="F433">
        <f t="shared" si="0"/>
        <v>8.4450000000000003</v>
      </c>
      <c r="H433" t="str">
        <f>IF(E433&lt;0.05,INT(($A433-m_phot!$L$4)/m_phot!$L$5),"")</f>
        <v/>
      </c>
      <c r="I433" t="str">
        <f t="shared" si="2"/>
        <v/>
      </c>
      <c r="J433">
        <f t="shared" si="1"/>
        <v>-2.1666500000000255E-2</v>
      </c>
    </row>
    <row r="434" spans="1:10" ht="14.25" customHeight="1" x14ac:dyDescent="0.25">
      <c r="A434" s="1">
        <v>2444894.8176899999</v>
      </c>
      <c r="B434" s="1" t="s">
        <v>792</v>
      </c>
      <c r="C434" s="1">
        <v>8.4023880000000002</v>
      </c>
      <c r="D434" s="1"/>
      <c r="E434">
        <f>(A434-m_phot!L$4)/m_phot!L$5-INT((A434-m_phot!L$4)/m_phot!L$5)</f>
        <v>0.19940929577457212</v>
      </c>
      <c r="F434">
        <f t="shared" si="0"/>
        <v>8.4023880000000002</v>
      </c>
      <c r="H434" t="str">
        <f>IF(E434&lt;0.05,INT(($A434-m_phot!$L$4)/m_phot!$L$5),"")</f>
        <v/>
      </c>
      <c r="I434" t="str">
        <f t="shared" si="2"/>
        <v/>
      </c>
      <c r="J434">
        <f t="shared" si="1"/>
        <v>-6.4278500000000349E-2</v>
      </c>
    </row>
    <row r="435" spans="1:10" ht="14.25" customHeight="1" x14ac:dyDescent="0.25">
      <c r="A435" s="1">
        <v>2444908.7712599998</v>
      </c>
      <c r="B435" s="1" t="s">
        <v>793</v>
      </c>
      <c r="C435" s="1">
        <v>8.3887999999999998</v>
      </c>
      <c r="D435" s="1"/>
      <c r="E435">
        <f>(A435-m_phot!L$4)/m_phot!L$5-INT((A435-m_phot!L$4)/m_phot!L$5)</f>
        <v>0.21649878750745088</v>
      </c>
      <c r="F435">
        <f t="shared" si="0"/>
        <v>8.3887999999999998</v>
      </c>
      <c r="H435" t="str">
        <f>IF(E435&lt;0.05,INT(($A435-m_phot!$L$4)/m_phot!$L$5),"")</f>
        <v/>
      </c>
      <c r="I435" t="str">
        <f t="shared" si="2"/>
        <v/>
      </c>
      <c r="J435">
        <f t="shared" si="1"/>
        <v>-7.7866500000000727E-2</v>
      </c>
    </row>
    <row r="436" spans="1:10" ht="14.25" customHeight="1" x14ac:dyDescent="0.25">
      <c r="A436" s="1">
        <v>2444924.1000700002</v>
      </c>
      <c r="B436" s="1" t="s">
        <v>794</v>
      </c>
      <c r="C436" s="1">
        <v>8.4026669999999992</v>
      </c>
      <c r="D436" s="1"/>
      <c r="E436">
        <f>(A436-m_phot!L$4)/m_phot!L$5-INT((A436-m_phot!L$4)/m_phot!L$5)</f>
        <v>0.23527259032475101</v>
      </c>
      <c r="F436">
        <f t="shared" si="0"/>
        <v>8.4026669999999992</v>
      </c>
      <c r="H436" t="str">
        <f>IF(E436&lt;0.05,INT(($A436-m_phot!$L$4)/m_phot!$L$5),"")</f>
        <v/>
      </c>
      <c r="I436" t="str">
        <f t="shared" si="2"/>
        <v/>
      </c>
      <c r="J436">
        <f t="shared" si="1"/>
        <v>-6.3999500000001319E-2</v>
      </c>
    </row>
    <row r="437" spans="1:10" ht="14.25" customHeight="1" x14ac:dyDescent="0.25">
      <c r="A437" s="1">
        <v>2444937.2468400002</v>
      </c>
      <c r="B437" s="1" t="s">
        <v>795</v>
      </c>
      <c r="C437" s="1">
        <v>8.435333</v>
      </c>
      <c r="D437" s="1"/>
      <c r="E437">
        <f>(A437-m_phot!L$4)/m_phot!L$5-INT((A437-m_phot!L$4)/m_phot!L$5)</f>
        <v>0.25137396203325579</v>
      </c>
      <c r="F437">
        <f t="shared" si="0"/>
        <v>8.435333</v>
      </c>
      <c r="H437" t="str">
        <f>IF(E437&lt;0.05,INT(($A437-m_phot!$L$4)/m_phot!$L$5),"")</f>
        <v/>
      </c>
      <c r="I437" t="str">
        <f t="shared" si="2"/>
        <v/>
      </c>
      <c r="J437">
        <f t="shared" si="1"/>
        <v>-3.1333500000000569E-2</v>
      </c>
    </row>
    <row r="438" spans="1:10" ht="14.25" customHeight="1" x14ac:dyDescent="0.25">
      <c r="A438" s="1">
        <v>2444953.6565399999</v>
      </c>
      <c r="B438" s="1" t="s">
        <v>796</v>
      </c>
      <c r="C438" s="1">
        <v>8.3583870000000005</v>
      </c>
      <c r="D438" s="1"/>
      <c r="E438">
        <f>(A438-m_phot!L$4)/m_phot!L$5-INT((A438-m_phot!L$4)/m_phot!L$5)</f>
        <v>0.27147157379042142</v>
      </c>
      <c r="F438">
        <f t="shared" si="0"/>
        <v>8.3583870000000005</v>
      </c>
      <c r="H438" t="str">
        <f>IF(E438&lt;0.05,INT(($A438-m_phot!$L$4)/m_phot!$L$5),"")</f>
        <v/>
      </c>
      <c r="I438" t="str">
        <f t="shared" si="2"/>
        <v/>
      </c>
      <c r="J438">
        <f t="shared" si="1"/>
        <v>-0.10827950000000008</v>
      </c>
    </row>
    <row r="439" spans="1:10" ht="14.25" customHeight="1" x14ac:dyDescent="0.25">
      <c r="A439" s="1">
        <v>2444967.80382</v>
      </c>
      <c r="B439" s="1" t="s">
        <v>797</v>
      </c>
      <c r="C439" s="1">
        <v>8.4347370000000002</v>
      </c>
      <c r="D439" s="1"/>
      <c r="E439">
        <f>(A439-m_phot!L$4)/m_phot!L$5-INT((A439-m_phot!L$4)/m_phot!L$5)</f>
        <v>0.28879830985919241</v>
      </c>
      <c r="F439">
        <f t="shared" si="0"/>
        <v>8.4347370000000002</v>
      </c>
      <c r="H439" t="str">
        <f>IF(E439&lt;0.05,INT(($A439-m_phot!$L$4)/m_phot!$L$5),"")</f>
        <v/>
      </c>
      <c r="I439" t="str">
        <f t="shared" si="2"/>
        <v/>
      </c>
      <c r="J439">
        <f t="shared" si="1"/>
        <v>-3.1929500000000388E-2</v>
      </c>
    </row>
    <row r="440" spans="1:10" ht="14.25" customHeight="1" x14ac:dyDescent="0.25">
      <c r="A440" s="1">
        <v>2444985.2301099999</v>
      </c>
      <c r="B440" s="1" t="s">
        <v>798</v>
      </c>
      <c r="C440" s="1">
        <v>8.5204550000000001</v>
      </c>
      <c r="D440" s="1"/>
      <c r="E440">
        <f>(A440-m_phot!L$4)/m_phot!L$5-INT((A440-m_phot!L$4)/m_phot!L$5)</f>
        <v>0.31014097979165811</v>
      </c>
      <c r="F440">
        <f t="shared" si="0"/>
        <v>8.5204550000000001</v>
      </c>
      <c r="H440" t="str">
        <f>IF(E440&lt;0.05,INT(($A440-m_phot!$L$4)/m_phot!$L$5),"")</f>
        <v/>
      </c>
      <c r="I440" t="str">
        <f t="shared" si="2"/>
        <v/>
      </c>
      <c r="J440">
        <f t="shared" si="1"/>
        <v>5.3788499999999573E-2</v>
      </c>
    </row>
    <row r="441" spans="1:10" ht="14.25" customHeight="1" x14ac:dyDescent="0.25">
      <c r="A441" s="1">
        <v>2445059.9</v>
      </c>
      <c r="B441" s="1" t="s">
        <v>799</v>
      </c>
      <c r="C441" s="1">
        <v>8</v>
      </c>
      <c r="D441" s="1"/>
      <c r="E441">
        <f>(A441-m_phot!L$4)/m_phot!L$5-INT((A441-m_phot!L$4)/m_phot!L$5)</f>
        <v>0.40159216166553335</v>
      </c>
      <c r="F441">
        <f t="shared" si="0"/>
        <v>8</v>
      </c>
      <c r="H441" t="str">
        <f>IF(E441&lt;0.05,INT(($A441-m_phot!$L$4)/m_phot!$L$5),"")</f>
        <v/>
      </c>
      <c r="I441" t="str">
        <f t="shared" si="2"/>
        <v/>
      </c>
      <c r="J441">
        <f t="shared" si="1"/>
        <v>-0.46666650000000054</v>
      </c>
    </row>
    <row r="442" spans="1:10" ht="14.25" customHeight="1" x14ac:dyDescent="0.25">
      <c r="A442" s="1">
        <v>2445078.9</v>
      </c>
      <c r="B442" s="1" t="s">
        <v>800</v>
      </c>
      <c r="C442" s="1">
        <v>8.5</v>
      </c>
      <c r="D442" s="1"/>
      <c r="E442">
        <f>(A442-m_phot!L$4)/m_phot!L$5-INT((A442-m_phot!L$4)/m_phot!L$5)</f>
        <v>0.42486221677881986</v>
      </c>
      <c r="F442">
        <f t="shared" si="0"/>
        <v>8.5</v>
      </c>
      <c r="H442" t="str">
        <f>IF(E442&lt;0.05,INT(($A442-m_phot!$L$4)/m_phot!$L$5),"")</f>
        <v/>
      </c>
      <c r="I442" t="str">
        <f t="shared" si="2"/>
        <v/>
      </c>
      <c r="J442">
        <f t="shared" si="1"/>
        <v>3.3333499999999461E-2</v>
      </c>
    </row>
    <row r="443" spans="1:10" ht="14.25" customHeight="1" x14ac:dyDescent="0.25">
      <c r="A443" s="1">
        <v>2445086.42</v>
      </c>
      <c r="B443" s="1" t="s">
        <v>801</v>
      </c>
      <c r="C443" s="1">
        <v>8.3800000000000008</v>
      </c>
      <c r="D443" s="1"/>
      <c r="E443">
        <f>(A443-m_phot!L$4)/m_phot!L$5-INT((A443-m_phot!L$4)/m_phot!L$5)</f>
        <v>0.43407225964473284</v>
      </c>
      <c r="F443">
        <f t="shared" si="0"/>
        <v>8.3800000000000008</v>
      </c>
      <c r="H443" t="str">
        <f>IF(E443&lt;0.05,INT(($A443-m_phot!$L$4)/m_phot!$L$5),"")</f>
        <v/>
      </c>
      <c r="I443" t="str">
        <f t="shared" si="2"/>
        <v/>
      </c>
      <c r="J443">
        <f t="shared" si="1"/>
        <v>-8.6666499999999758E-2</v>
      </c>
    </row>
    <row r="444" spans="1:10" ht="14.25" customHeight="1" x14ac:dyDescent="0.25">
      <c r="A444" s="1">
        <v>2445113</v>
      </c>
      <c r="B444" s="1" t="s">
        <v>802</v>
      </c>
      <c r="C444" s="1">
        <v>8.25</v>
      </c>
      <c r="D444" s="1"/>
      <c r="E444">
        <f>(A444-m_phot!L$4)/m_phot!L$5-INT((A444-m_phot!L$4)/m_phot!L$5)</f>
        <v>0.46662584200857182</v>
      </c>
      <c r="F444">
        <f t="shared" si="0"/>
        <v>8.25</v>
      </c>
      <c r="H444" t="str">
        <f>IF(E444&lt;0.05,INT(($A444-m_phot!$L$4)/m_phot!$L$5),"")</f>
        <v/>
      </c>
      <c r="I444" t="str">
        <f t="shared" si="2"/>
        <v/>
      </c>
      <c r="J444">
        <f t="shared" si="1"/>
        <v>-0.21666650000000054</v>
      </c>
    </row>
    <row r="445" spans="1:10" ht="14.25" customHeight="1" x14ac:dyDescent="0.25">
      <c r="A445" s="1">
        <v>2445123.5637500002</v>
      </c>
      <c r="B445" s="1" t="s">
        <v>803</v>
      </c>
      <c r="C445" s="1">
        <v>8.3125</v>
      </c>
      <c r="D445" s="1"/>
      <c r="E445">
        <f>(A445-m_phot!L$4)/m_phot!L$5-INT((A445-m_phot!L$4)/m_phot!L$5)</f>
        <v>0.47956368646687508</v>
      </c>
      <c r="F445">
        <f t="shared" si="0"/>
        <v>8.3125</v>
      </c>
      <c r="H445" t="str">
        <f>IF(E445&lt;0.05,INT(($A445-m_phot!$L$4)/m_phot!$L$5),"")</f>
        <v/>
      </c>
      <c r="I445" t="str">
        <f t="shared" si="2"/>
        <v/>
      </c>
      <c r="J445">
        <f t="shared" si="1"/>
        <v>-0.15416650000000054</v>
      </c>
    </row>
    <row r="446" spans="1:10" ht="14.25" customHeight="1" x14ac:dyDescent="0.25">
      <c r="A446" s="1">
        <v>2445143.6897100001</v>
      </c>
      <c r="B446" s="1" t="s">
        <v>804</v>
      </c>
      <c r="C446" s="1">
        <v>8.3095239999999997</v>
      </c>
      <c r="D446" s="1"/>
      <c r="E446">
        <f>(A446-m_phot!L$4)/m_phot!L$5-INT((A446-m_phot!L$4)/m_phot!L$5)</f>
        <v>0.50421274954080175</v>
      </c>
      <c r="F446">
        <f t="shared" si="0"/>
        <v>8.3095239999999997</v>
      </c>
      <c r="H446" t="str">
        <f>IF(E446&lt;0.05,INT(($A446-m_phot!$L$4)/m_phot!$L$5),"")</f>
        <v/>
      </c>
      <c r="I446" t="str">
        <f t="shared" si="2"/>
        <v/>
      </c>
      <c r="J446">
        <f t="shared" si="1"/>
        <v>-0.15714250000000085</v>
      </c>
    </row>
    <row r="447" spans="1:10" ht="14.25" customHeight="1" x14ac:dyDescent="0.25">
      <c r="A447" s="1">
        <v>2445155.14904</v>
      </c>
      <c r="B447" s="1" t="s">
        <v>805</v>
      </c>
      <c r="C447" s="1">
        <v>8.2976469999999996</v>
      </c>
      <c r="D447" s="1"/>
      <c r="E447">
        <f>(A447-m_phot!L$4)/m_phot!L$5-INT((A447-m_phot!L$4)/m_phot!L$5)</f>
        <v>0.51824744641769271</v>
      </c>
      <c r="F447">
        <f t="shared" si="0"/>
        <v>8.2976469999999996</v>
      </c>
      <c r="H447" t="str">
        <f>IF(E447&lt;0.05,INT(($A447-m_phot!$L$4)/m_phot!$L$5),"")</f>
        <v/>
      </c>
      <c r="I447" t="str">
        <f t="shared" si="2"/>
        <v/>
      </c>
      <c r="J447">
        <f t="shared" si="1"/>
        <v>-0.16901950000000099</v>
      </c>
    </row>
    <row r="448" spans="1:10" ht="14.25" customHeight="1" x14ac:dyDescent="0.25">
      <c r="A448" s="1">
        <v>2445173.3065999998</v>
      </c>
      <c r="B448" s="1" t="s">
        <v>806</v>
      </c>
      <c r="C448" s="1">
        <v>8.2955000000000005</v>
      </c>
      <c r="D448" s="1"/>
      <c r="E448">
        <f>(A448-m_phot!L$4)/m_phot!L$5-INT((A448-m_phot!L$4)/m_phot!L$5)</f>
        <v>0.54048573178172532</v>
      </c>
      <c r="F448">
        <f t="shared" si="0"/>
        <v>8.2955000000000005</v>
      </c>
      <c r="H448" t="str">
        <f>IF(E448&lt;0.05,INT(($A448-m_phot!$L$4)/m_phot!$L$5),"")</f>
        <v/>
      </c>
      <c r="I448" t="str">
        <f t="shared" si="2"/>
        <v/>
      </c>
      <c r="J448">
        <f t="shared" si="1"/>
        <v>-0.1711665</v>
      </c>
    </row>
    <row r="449" spans="1:10" ht="14.25" customHeight="1" x14ac:dyDescent="0.25">
      <c r="A449" s="1">
        <v>2445190.4163299999</v>
      </c>
      <c r="B449" s="1" t="s">
        <v>807</v>
      </c>
      <c r="C449" s="1">
        <v>8.2723680000000002</v>
      </c>
      <c r="D449" s="1"/>
      <c r="E449">
        <f>(A449-m_phot!L$4)/m_phot!L$5-INT((A449-m_phot!L$4)/m_phot!L$5)</f>
        <v>0.56144069810155628</v>
      </c>
      <c r="F449">
        <f t="shared" si="0"/>
        <v>8.2723680000000002</v>
      </c>
      <c r="H449" t="str">
        <f>IF(E449&lt;0.05,INT(($A449-m_phot!$L$4)/m_phot!$L$5),"")</f>
        <v/>
      </c>
      <c r="I449" t="str">
        <f t="shared" si="2"/>
        <v/>
      </c>
      <c r="J449">
        <f t="shared" si="1"/>
        <v>-0.19429850000000037</v>
      </c>
    </row>
    <row r="450" spans="1:10" ht="14.25" customHeight="1" x14ac:dyDescent="0.25">
      <c r="A450" s="1">
        <v>2445203.64867</v>
      </c>
      <c r="B450" s="1" t="s">
        <v>808</v>
      </c>
      <c r="C450" s="1">
        <v>8.2587060000000001</v>
      </c>
      <c r="D450" s="1"/>
      <c r="E450">
        <f>(A450-m_phot!L$4)/m_phot!L$5-INT((A450-m_phot!L$4)/m_phot!L$5)</f>
        <v>0.57764687078998733</v>
      </c>
      <c r="F450">
        <f t="shared" si="0"/>
        <v>8.2587060000000001</v>
      </c>
      <c r="H450" t="str">
        <f>IF(E450&lt;0.05,INT(($A450-m_phot!$L$4)/m_phot!$L$5),"")</f>
        <v/>
      </c>
      <c r="I450" t="str">
        <f t="shared" si="2"/>
        <v/>
      </c>
      <c r="J450">
        <f t="shared" si="1"/>
        <v>-0.20796050000000044</v>
      </c>
    </row>
    <row r="451" spans="1:10" ht="14.25" customHeight="1" x14ac:dyDescent="0.25">
      <c r="A451" s="1">
        <v>2445222.2700700001</v>
      </c>
      <c r="B451" s="1" t="s">
        <v>809</v>
      </c>
      <c r="C451" s="1">
        <v>8.3571740000000005</v>
      </c>
      <c r="D451" s="1"/>
      <c r="E451">
        <f>(A451-m_phot!L$4)/m_phot!L$5-INT((A451-m_phot!L$4)/m_phot!L$5)</f>
        <v>0.60045323943672457</v>
      </c>
      <c r="F451">
        <f t="shared" si="0"/>
        <v>8.3571740000000005</v>
      </c>
      <c r="H451" t="str">
        <f>IF(E451&lt;0.05,INT(($A451-m_phot!$L$4)/m_phot!$L$5),"")</f>
        <v/>
      </c>
      <c r="I451" t="str">
        <f t="shared" si="2"/>
        <v/>
      </c>
      <c r="J451">
        <f t="shared" si="1"/>
        <v>-0.10949249999999999</v>
      </c>
    </row>
    <row r="452" spans="1:10" ht="14.25" customHeight="1" x14ac:dyDescent="0.25">
      <c r="A452" s="1">
        <v>2445233.8562599998</v>
      </c>
      <c r="B452" s="1" t="s">
        <v>810</v>
      </c>
      <c r="C452" s="1">
        <v>8.3716050000000006</v>
      </c>
      <c r="D452" s="1"/>
      <c r="E452">
        <f>(A452-m_phot!L$4)/m_phot!L$5-INT((A452-m_phot!L$4)/m_phot!L$5)</f>
        <v>0.61464330679705625</v>
      </c>
      <c r="F452">
        <f t="shared" si="0"/>
        <v>8.3716050000000006</v>
      </c>
      <c r="H452" t="str">
        <f>IF(E452&lt;0.05,INT(($A452-m_phot!$L$4)/m_phot!$L$5),"")</f>
        <v/>
      </c>
      <c r="I452" t="str">
        <f t="shared" si="2"/>
        <v/>
      </c>
      <c r="J452">
        <f t="shared" si="1"/>
        <v>-9.506149999999991E-2</v>
      </c>
    </row>
    <row r="453" spans="1:10" ht="14.25" customHeight="1" x14ac:dyDescent="0.25">
      <c r="A453" s="1">
        <v>2445254.92771</v>
      </c>
      <c r="B453" s="1" t="s">
        <v>811</v>
      </c>
      <c r="C453" s="1">
        <v>8.341818</v>
      </c>
      <c r="D453" s="1"/>
      <c r="E453">
        <f>(A453-m_phot!L$4)/m_phot!L$5-INT((A453-m_phot!L$4)/m_phot!L$5)</f>
        <v>0.64045034905077713</v>
      </c>
      <c r="F453">
        <f t="shared" si="0"/>
        <v>8.341818</v>
      </c>
      <c r="H453" t="str">
        <f>IF(E453&lt;0.05,INT(($A453-m_phot!$L$4)/m_phot!$L$5),"")</f>
        <v/>
      </c>
      <c r="I453" t="str">
        <f t="shared" si="2"/>
        <v/>
      </c>
      <c r="J453">
        <f t="shared" si="1"/>
        <v>-0.12484850000000058</v>
      </c>
    </row>
    <row r="454" spans="1:10" ht="14.25" customHeight="1" x14ac:dyDescent="0.25">
      <c r="A454" s="1">
        <v>2445265.65362</v>
      </c>
      <c r="B454" s="1" t="s">
        <v>812</v>
      </c>
      <c r="C454" s="1">
        <v>8.341132</v>
      </c>
      <c r="D454" s="1"/>
      <c r="E454">
        <f>(A454-m_phot!L$4)/m_phot!L$5-INT((A454-m_phot!L$4)/m_phot!L$5)</f>
        <v>0.65358679730556801</v>
      </c>
      <c r="F454">
        <f t="shared" si="0"/>
        <v>8.341132</v>
      </c>
      <c r="H454" t="str">
        <f>IF(E454&lt;0.05,INT(($A454-m_phot!$L$4)/m_phot!$L$5),"")</f>
        <v/>
      </c>
      <c r="I454" t="str">
        <f t="shared" si="2"/>
        <v/>
      </c>
      <c r="J454">
        <f t="shared" si="1"/>
        <v>-0.12553450000000055</v>
      </c>
    </row>
    <row r="455" spans="1:10" ht="14.25" customHeight="1" x14ac:dyDescent="0.25">
      <c r="A455" s="1">
        <v>2445284.5283400002</v>
      </c>
      <c r="B455" s="1" t="s">
        <v>813</v>
      </c>
      <c r="C455" s="1">
        <v>8.3132760000000001</v>
      </c>
      <c r="D455" s="1"/>
      <c r="E455">
        <f>(A455-m_phot!L$4)/m_phot!L$5-INT((A455-m_phot!L$4)/m_phot!L$5)</f>
        <v>0.67670341702411818</v>
      </c>
      <c r="F455">
        <f t="shared" si="0"/>
        <v>8.3132760000000001</v>
      </c>
      <c r="H455" t="str">
        <f>IF(E455&lt;0.05,INT(($A455-m_phot!$L$4)/m_phot!$L$5),"")</f>
        <v/>
      </c>
      <c r="I455" t="str">
        <f t="shared" si="2"/>
        <v/>
      </c>
      <c r="J455">
        <f t="shared" si="1"/>
        <v>-0.15339050000000043</v>
      </c>
    </row>
    <row r="456" spans="1:10" ht="14.25" customHeight="1" x14ac:dyDescent="0.25">
      <c r="A456" s="1">
        <v>2445295.8034100002</v>
      </c>
      <c r="B456" s="1" t="s">
        <v>814</v>
      </c>
      <c r="C456" s="1">
        <v>8.3534880000000005</v>
      </c>
      <c r="D456" s="1"/>
      <c r="E456">
        <f>(A456-m_phot!L$4)/m_phot!L$5-INT((A456-m_phot!L$4)/m_phot!L$5)</f>
        <v>0.69051244335599193</v>
      </c>
      <c r="F456">
        <f t="shared" si="0"/>
        <v>8.3534880000000005</v>
      </c>
      <c r="H456" t="str">
        <f>IF(E456&lt;0.05,INT(($A456-m_phot!$L$4)/m_phot!$L$5),"")</f>
        <v/>
      </c>
      <c r="I456" t="str">
        <f t="shared" si="2"/>
        <v/>
      </c>
      <c r="J456">
        <f t="shared" si="1"/>
        <v>-0.11317850000000007</v>
      </c>
    </row>
    <row r="457" spans="1:10" ht="14.25" customHeight="1" x14ac:dyDescent="0.25">
      <c r="A457" s="1">
        <v>2445313.3785799998</v>
      </c>
      <c r="B457" s="1" t="s">
        <v>815</v>
      </c>
      <c r="C457" s="1">
        <v>8.3671740000000003</v>
      </c>
      <c r="D457" s="1"/>
      <c r="E457">
        <f>(A457-m_phot!L$4)/m_phot!L$5-INT((A457-m_phot!L$4)/m_phot!L$5)</f>
        <v>0.71203745254107176</v>
      </c>
      <c r="F457">
        <f t="shared" si="0"/>
        <v>8.3671740000000003</v>
      </c>
      <c r="H457" t="str">
        <f>IF(E457&lt;0.05,INT(($A457-m_phot!$L$4)/m_phot!$L$5),"")</f>
        <v/>
      </c>
      <c r="I457" t="str">
        <f t="shared" si="2"/>
        <v/>
      </c>
      <c r="J457">
        <f t="shared" si="1"/>
        <v>-9.9492500000000206E-2</v>
      </c>
    </row>
    <row r="458" spans="1:10" ht="14.25" customHeight="1" x14ac:dyDescent="0.25">
      <c r="A458" s="1">
        <v>2445327.4295199998</v>
      </c>
      <c r="B458" s="1" t="s">
        <v>816</v>
      </c>
      <c r="C458" s="1">
        <v>8.3621429999999997</v>
      </c>
      <c r="D458" s="1"/>
      <c r="E458">
        <f>(A458-m_phot!L$4)/m_phot!L$5-INT((A458-m_phot!L$4)/m_phot!L$5)</f>
        <v>0.72924619718282102</v>
      </c>
      <c r="F458">
        <f t="shared" si="0"/>
        <v>8.3621429999999997</v>
      </c>
      <c r="H458" t="str">
        <f>IF(E458&lt;0.05,INT(($A458-m_phot!$L$4)/m_phot!$L$5),"")</f>
        <v/>
      </c>
      <c r="I458" t="str">
        <f t="shared" si="2"/>
        <v/>
      </c>
      <c r="J458">
        <f t="shared" si="1"/>
        <v>-0.10452350000000088</v>
      </c>
    </row>
    <row r="459" spans="1:10" ht="14.25" customHeight="1" x14ac:dyDescent="0.25">
      <c r="A459" s="1">
        <v>2445342.0417499999</v>
      </c>
      <c r="B459" s="1" t="s">
        <v>817</v>
      </c>
      <c r="C459" s="1">
        <v>8.4820829999999994</v>
      </c>
      <c r="D459" s="1"/>
      <c r="E459">
        <f>(A459-m_phot!L$4)/m_phot!L$5-INT((A459-m_phot!L$4)/m_phot!L$5)</f>
        <v>0.74714237599492606</v>
      </c>
      <c r="F459">
        <f t="shared" si="0"/>
        <v>8.4820829999999994</v>
      </c>
      <c r="H459" t="str">
        <f>IF(E459&lt;0.05,INT(($A459-m_phot!$L$4)/m_phot!$L$5),"")</f>
        <v/>
      </c>
      <c r="I459" t="str">
        <f t="shared" si="2"/>
        <v/>
      </c>
      <c r="J459">
        <f t="shared" si="1"/>
        <v>1.5416499999998834E-2</v>
      </c>
    </row>
    <row r="460" spans="1:10" ht="14.25" customHeight="1" x14ac:dyDescent="0.25">
      <c r="A460" s="1">
        <v>2445357.2808599998</v>
      </c>
      <c r="B460" s="1" t="s">
        <v>818</v>
      </c>
      <c r="C460" s="1">
        <v>8.6445450000000008</v>
      </c>
      <c r="D460" s="1"/>
      <c r="E460">
        <f>(A460-m_phot!L$4)/m_phot!L$5-INT((A460-m_phot!L$4)/m_phot!L$5)</f>
        <v>0.76580631965685697</v>
      </c>
      <c r="F460">
        <f t="shared" si="0"/>
        <v>8.6445450000000008</v>
      </c>
      <c r="H460" t="str">
        <f>IF(E460&lt;0.05,INT(($A460-m_phot!$L$4)/m_phot!$L$5),"")</f>
        <v/>
      </c>
      <c r="I460" t="str">
        <f t="shared" si="2"/>
        <v/>
      </c>
      <c r="J460">
        <f t="shared" si="1"/>
        <v>0.17787850000000027</v>
      </c>
    </row>
    <row r="461" spans="1:10" ht="14.25" customHeight="1" x14ac:dyDescent="0.25">
      <c r="A461" s="1">
        <v>2445469.0423499998</v>
      </c>
      <c r="B461" s="1" t="s">
        <v>819</v>
      </c>
      <c r="C461" s="1">
        <v>8.75</v>
      </c>
      <c r="D461" s="1"/>
      <c r="E461">
        <f>(A461-m_phot!L$4)/m_phot!L$5-INT((A461-m_phot!L$4)/m_phot!L$5)</f>
        <v>0.90268505817485689</v>
      </c>
      <c r="F461">
        <f t="shared" si="0"/>
        <v>8.75</v>
      </c>
      <c r="H461" t="str">
        <f>IF(E461&lt;0.05,INT(($A461-m_phot!$L$4)/m_phot!$L$5),"")</f>
        <v/>
      </c>
      <c r="I461" t="str">
        <f t="shared" si="2"/>
        <v/>
      </c>
      <c r="J461">
        <f t="shared" si="1"/>
        <v>0.28333349999999946</v>
      </c>
    </row>
    <row r="462" spans="1:10" ht="14.25" customHeight="1" x14ac:dyDescent="0.25">
      <c r="A462" s="1">
        <v>2445479.69741</v>
      </c>
      <c r="B462" s="1" t="s">
        <v>820</v>
      </c>
      <c r="C462" s="1">
        <v>8.5942860000000003</v>
      </c>
      <c r="D462" s="1"/>
      <c r="E462">
        <f>(A462-m_phot!L$4)/m_phot!L$5-INT((A462-m_phot!L$4)/m_phot!L$5)</f>
        <v>0.91573473361913216</v>
      </c>
      <c r="F462">
        <f t="shared" si="0"/>
        <v>8.5942860000000003</v>
      </c>
      <c r="H462" t="str">
        <f>IF(E462&lt;0.05,INT(($A462-m_phot!$L$4)/m_phot!$L$5),"")</f>
        <v/>
      </c>
      <c r="I462" t="str">
        <f t="shared" si="2"/>
        <v/>
      </c>
      <c r="J462">
        <f t="shared" si="1"/>
        <v>0.12761949999999977</v>
      </c>
    </row>
    <row r="463" spans="1:10" ht="14.25" customHeight="1" x14ac:dyDescent="0.25">
      <c r="A463" s="1">
        <v>2445495.5931099998</v>
      </c>
      <c r="B463" s="1" t="s">
        <v>821</v>
      </c>
      <c r="C463" s="1">
        <v>8.69</v>
      </c>
      <c r="D463" s="1"/>
      <c r="E463">
        <f>(A463-m_phot!L$4)/m_phot!L$5-INT((A463-m_phot!L$4)/m_phot!L$5)</f>
        <v>0.93520282914854036</v>
      </c>
      <c r="F463">
        <f t="shared" si="0"/>
        <v>8.69</v>
      </c>
      <c r="H463" t="str">
        <f>IF(E463&lt;0.05,INT(($A463-m_phot!$L$4)/m_phot!$L$5),"")</f>
        <v/>
      </c>
      <c r="I463" t="str">
        <f t="shared" si="2"/>
        <v/>
      </c>
      <c r="J463">
        <f t="shared" si="1"/>
        <v>0.22333349999999896</v>
      </c>
    </row>
    <row r="464" spans="1:10" ht="14.25" customHeight="1" x14ac:dyDescent="0.25">
      <c r="A464" s="1">
        <v>2445516.7122399998</v>
      </c>
      <c r="B464" s="1" t="s">
        <v>822</v>
      </c>
      <c r="C464" s="1">
        <v>8.5871429999999993</v>
      </c>
      <c r="D464" s="1"/>
      <c r="E464">
        <f>(A464-m_phot!L$4)/m_phot!L$5-INT((A464-m_phot!L$4)/m_phot!L$5)</f>
        <v>0.9610682669930064</v>
      </c>
      <c r="F464">
        <f t="shared" si="0"/>
        <v>8.5871429999999993</v>
      </c>
      <c r="H464" t="str">
        <f>IF(E464&lt;0.05,INT(($A464-m_phot!$L$4)/m_phot!$L$5),"")</f>
        <v/>
      </c>
      <c r="I464" t="str">
        <f t="shared" si="2"/>
        <v/>
      </c>
      <c r="J464">
        <f t="shared" si="1"/>
        <v>0.12047649999999877</v>
      </c>
    </row>
    <row r="465" spans="1:10" ht="14.25" customHeight="1" x14ac:dyDescent="0.25">
      <c r="A465" s="1">
        <v>2445529.1420399998</v>
      </c>
      <c r="B465" s="1" t="s">
        <v>823</v>
      </c>
      <c r="C465" s="1">
        <v>8.5163329999999995</v>
      </c>
      <c r="D465" s="1"/>
      <c r="E465">
        <f>(A465-m_phot!L$4)/m_phot!L$5-INT((A465-m_phot!L$4)/m_phot!L$5)</f>
        <v>0.97629153704816929</v>
      </c>
      <c r="F465">
        <f t="shared" si="0"/>
        <v>8.5163329999999995</v>
      </c>
      <c r="H465" t="str">
        <f>IF(E465&lt;0.05,INT(($A465-m_phot!$L$4)/m_phot!$L$5),"")</f>
        <v/>
      </c>
      <c r="I465" t="str">
        <f t="shared" si="2"/>
        <v/>
      </c>
      <c r="J465">
        <f t="shared" si="1"/>
        <v>4.9666499999998948E-2</v>
      </c>
    </row>
    <row r="466" spans="1:10" ht="14.25" customHeight="1" x14ac:dyDescent="0.25">
      <c r="A466" s="1">
        <v>2445547.5263899998</v>
      </c>
      <c r="B466" s="1" t="s">
        <v>824</v>
      </c>
      <c r="C466" s="1">
        <v>8.5714290000000002</v>
      </c>
      <c r="D466" s="1"/>
      <c r="E466">
        <f>(A466-m_phot!L$4)/m_phot!L$5-INT((A466-m_phot!L$4)/m_phot!L$5)</f>
        <v>0.99880758113873824</v>
      </c>
      <c r="F466">
        <f t="shared" si="0"/>
        <v>8.5714290000000002</v>
      </c>
      <c r="H466" t="str">
        <f>IF(E466&lt;0.05,INT(($A466-m_phot!$L$4)/m_phot!$L$5),"")</f>
        <v/>
      </c>
      <c r="I466" t="str">
        <f t="shared" si="2"/>
        <v/>
      </c>
      <c r="J466">
        <f t="shared" si="1"/>
        <v>0.10476249999999965</v>
      </c>
    </row>
    <row r="467" spans="1:10" ht="14.25" customHeight="1" x14ac:dyDescent="0.25">
      <c r="A467" s="1">
        <v>2445559.0119500002</v>
      </c>
      <c r="B467" s="1" t="s">
        <v>825</v>
      </c>
      <c r="C467" s="1">
        <v>8.6071930000000005</v>
      </c>
      <c r="D467" s="1"/>
      <c r="E467">
        <f>(A467-m_phot!L$4)/m_phot!L$5-INT((A467-m_phot!L$4)/m_phot!L$5)</f>
        <v>1.2874402939608842E-2</v>
      </c>
      <c r="F467">
        <f t="shared" si="0"/>
        <v>8.6071930000000005</v>
      </c>
      <c r="H467">
        <f>IF(E467&lt;0.05,INT(($A467-m_phot!$L$4)/m_phot!$L$5),"")</f>
        <v>17</v>
      </c>
      <c r="I467">
        <f t="shared" si="2"/>
        <v>8.6355114999999998</v>
      </c>
      <c r="J467">
        <f>+C467-I$467</f>
        <v>-2.8318499999999247E-2</v>
      </c>
    </row>
    <row r="468" spans="1:10" ht="14.25" customHeight="1" x14ac:dyDescent="0.25">
      <c r="A468" s="1">
        <v>2445575.9931100002</v>
      </c>
      <c r="B468" s="1" t="s">
        <v>826</v>
      </c>
      <c r="C468" s="1">
        <v>8.6638300000000008</v>
      </c>
      <c r="D468" s="1"/>
      <c r="E468">
        <f>(A468-m_phot!L$4)/m_phot!L$5-INT((A468-m_phot!L$4)/m_phot!L$5)</f>
        <v>3.3671904470491398E-2</v>
      </c>
      <c r="F468">
        <f t="shared" si="0"/>
        <v>8.6638300000000008</v>
      </c>
      <c r="H468">
        <f>IF(E468&lt;0.05,INT(($A468-m_phot!$L$4)/m_phot!$L$5),"")</f>
        <v>17</v>
      </c>
      <c r="I468">
        <f t="shared" si="2"/>
        <v>8.612069</v>
      </c>
      <c r="J468">
        <f t="shared" ref="J468:J513" si="3">+C468-I$467</f>
        <v>2.8318500000001023E-2</v>
      </c>
    </row>
    <row r="469" spans="1:10" ht="14.25" customHeight="1" x14ac:dyDescent="0.25">
      <c r="A469" s="1">
        <v>2445588.3609000002</v>
      </c>
      <c r="B469" s="1" t="s">
        <v>827</v>
      </c>
      <c r="C469" s="1">
        <v>8.5603079999999991</v>
      </c>
      <c r="D469" s="1"/>
      <c r="E469">
        <f>(A469-m_phot!L$4)/m_phot!L$5-INT((A469-m_phot!L$4)/m_phot!L$5)</f>
        <v>4.8819228414210158E-2</v>
      </c>
      <c r="F469">
        <f t="shared" si="0"/>
        <v>8.5603079999999991</v>
      </c>
      <c r="H469">
        <f>IF(E469&lt;0.05,INT(($A469-m_phot!$L$4)/m_phot!$L$5),"")</f>
        <v>17</v>
      </c>
      <c r="I469">
        <f t="shared" si="2"/>
        <v>8.5349815000000007</v>
      </c>
      <c r="J469">
        <f t="shared" si="3"/>
        <v>-7.5203500000000645E-2</v>
      </c>
    </row>
    <row r="470" spans="1:10" ht="14.25" customHeight="1" x14ac:dyDescent="0.25">
      <c r="A470" s="1">
        <v>2445607.0677899998</v>
      </c>
      <c r="B470" s="1" t="s">
        <v>828</v>
      </c>
      <c r="C470" s="1">
        <v>8.5096550000000004</v>
      </c>
      <c r="D470" s="1"/>
      <c r="E470">
        <f>(A470-m_phot!L$4)/m_phot!L$5-INT((A470-m_phot!L$4)/m_phot!L$5)</f>
        <v>7.1730300060952601E-2</v>
      </c>
      <c r="F470">
        <f t="shared" si="0"/>
        <v>8.5096550000000004</v>
      </c>
      <c r="H470" t="str">
        <f>IF(E470&lt;0.05,INT(($A470-m_phot!$L$4)/m_phot!$L$5),"")</f>
        <v/>
      </c>
      <c r="I470" t="str">
        <f t="shared" si="2"/>
        <v/>
      </c>
      <c r="J470">
        <f t="shared" si="3"/>
        <v>-0.12585649999999937</v>
      </c>
    </row>
    <row r="471" spans="1:10" ht="14.25" customHeight="1" x14ac:dyDescent="0.25">
      <c r="A471" s="1">
        <v>2445619.2022299999</v>
      </c>
      <c r="B471" s="1" t="s">
        <v>829</v>
      </c>
      <c r="C471" s="1">
        <v>8.5457999999999998</v>
      </c>
      <c r="D471" s="1"/>
      <c r="E471">
        <f>(A471-m_phot!L$4)/m_phot!L$5-INT((A471-m_phot!L$4)/m_phot!L$5)</f>
        <v>8.6591830985838669E-2</v>
      </c>
      <c r="F471">
        <f t="shared" ref="F471:F534" si="4">+C471</f>
        <v>8.5457999999999998</v>
      </c>
      <c r="H471" t="str">
        <f>IF(E471&lt;0.05,INT(($A471-m_phot!$L$4)/m_phot!$L$5),"")</f>
        <v/>
      </c>
      <c r="I471" t="str">
        <f t="shared" si="2"/>
        <v/>
      </c>
      <c r="J471">
        <f t="shared" si="3"/>
        <v>-8.9711499999999944E-2</v>
      </c>
    </row>
    <row r="472" spans="1:10" ht="14.25" customHeight="1" x14ac:dyDescent="0.25">
      <c r="A472" s="1">
        <v>2445636.69202</v>
      </c>
      <c r="B472" s="1" t="s">
        <v>830</v>
      </c>
      <c r="C472" s="1">
        <v>8.5344259999999998</v>
      </c>
      <c r="D472" s="1"/>
      <c r="E472">
        <f>(A472-m_phot!L$4)/m_phot!L$5-INT((A472-m_phot!L$4)/m_phot!L$5)</f>
        <v>0.10801227189217144</v>
      </c>
      <c r="F472">
        <f t="shared" si="4"/>
        <v>8.5344259999999998</v>
      </c>
      <c r="H472" t="str">
        <f>IF(E472&lt;0.05,INT(($A472-m_phot!$L$4)/m_phot!$L$5),"")</f>
        <v/>
      </c>
      <c r="I472" t="str">
        <f t="shared" si="2"/>
        <v/>
      </c>
      <c r="J472">
        <f t="shared" si="3"/>
        <v>-0.10108549999999994</v>
      </c>
    </row>
    <row r="473" spans="1:10" ht="14.25" customHeight="1" x14ac:dyDescent="0.25">
      <c r="A473" s="1">
        <v>2445650.1458000001</v>
      </c>
      <c r="B473" s="1" t="s">
        <v>831</v>
      </c>
      <c r="C473" s="1">
        <v>8.5426190000000002</v>
      </c>
      <c r="D473" s="1"/>
      <c r="E473">
        <f>(A473-m_phot!L$4)/m_phot!L$5-INT((A473-m_phot!L$4)/m_phot!L$5)</f>
        <v>0.12448965094924347</v>
      </c>
      <c r="F473">
        <f t="shared" si="4"/>
        <v>8.5426190000000002</v>
      </c>
      <c r="H473" t="str">
        <f>IF(E473&lt;0.05,INT(($A473-m_phot!$L$4)/m_phot!$L$5),"")</f>
        <v/>
      </c>
      <c r="I473" t="str">
        <f t="shared" si="2"/>
        <v/>
      </c>
      <c r="J473">
        <f t="shared" si="3"/>
        <v>-9.28924999999996E-2</v>
      </c>
    </row>
    <row r="474" spans="1:10" ht="14.25" customHeight="1" x14ac:dyDescent="0.25">
      <c r="A474" s="1">
        <v>2445667.4209599998</v>
      </c>
      <c r="B474" s="1" t="s">
        <v>832</v>
      </c>
      <c r="C474" s="1">
        <v>8.5036670000000001</v>
      </c>
      <c r="D474" s="1"/>
      <c r="E474">
        <f>(A474-m_phot!L$4)/m_phot!L$5-INT((A474-m_phot!L$4)/m_phot!L$5)</f>
        <v>0.14564722596421831</v>
      </c>
      <c r="F474">
        <f t="shared" si="4"/>
        <v>8.5036670000000001</v>
      </c>
      <c r="H474" t="str">
        <f>IF(E474&lt;0.05,INT(($A474-m_phot!$L$4)/m_phot!$L$5),"")</f>
        <v/>
      </c>
      <c r="I474" t="str">
        <f t="shared" si="2"/>
        <v/>
      </c>
      <c r="J474">
        <f t="shared" si="3"/>
        <v>-0.1318444999999997</v>
      </c>
    </row>
    <row r="475" spans="1:10" ht="14.25" customHeight="1" x14ac:dyDescent="0.25">
      <c r="A475" s="1">
        <v>2445680.7492999998</v>
      </c>
      <c r="B475" s="1" t="s">
        <v>833</v>
      </c>
      <c r="C475" s="1">
        <v>8.5120000000000005</v>
      </c>
      <c r="D475" s="1"/>
      <c r="E475">
        <f>(A475-m_phot!L$4)/m_phot!L$5-INT((A475-m_phot!L$4)/m_phot!L$5)</f>
        <v>0.16197097366784163</v>
      </c>
      <c r="F475">
        <f t="shared" si="4"/>
        <v>8.5120000000000005</v>
      </c>
      <c r="H475" t="str">
        <f>IF(E475&lt;0.05,INT(($A475-m_phot!$L$4)/m_phot!$L$5),"")</f>
        <v/>
      </c>
      <c r="I475" t="str">
        <f t="shared" si="2"/>
        <v/>
      </c>
      <c r="J475">
        <f t="shared" si="3"/>
        <v>-0.12351149999999933</v>
      </c>
    </row>
    <row r="476" spans="1:10" ht="14.25" customHeight="1" x14ac:dyDescent="0.25">
      <c r="A476" s="1">
        <v>2445698.78009</v>
      </c>
      <c r="B476" s="1" t="s">
        <v>834</v>
      </c>
      <c r="C476" s="1">
        <v>8.5116669999999992</v>
      </c>
      <c r="D476" s="1"/>
      <c r="E476">
        <f>(A476-m_phot!L$4)/m_phot!L$5-INT((A476-m_phot!L$4)/m_phot!L$5)</f>
        <v>0.18405399877527984</v>
      </c>
      <c r="F476">
        <f t="shared" si="4"/>
        <v>8.5116669999999992</v>
      </c>
      <c r="H476" t="str">
        <f>IF(E476&lt;0.05,INT(($A476-m_phot!$L$4)/m_phot!$L$5),"")</f>
        <v/>
      </c>
      <c r="I476" t="str">
        <f t="shared" si="2"/>
        <v/>
      </c>
      <c r="J476">
        <f t="shared" si="3"/>
        <v>-0.12384450000000058</v>
      </c>
    </row>
    <row r="477" spans="1:10" ht="14.25" customHeight="1" x14ac:dyDescent="0.25">
      <c r="A477" s="1">
        <v>2445712.1477100002</v>
      </c>
      <c r="B477" s="1" t="s">
        <v>835</v>
      </c>
      <c r="C477" s="1">
        <v>8.6394439999999992</v>
      </c>
      <c r="D477" s="1"/>
      <c r="E477">
        <f>(A477-m_phot!L$4)/m_phot!L$5-INT((A477-m_phot!L$4)/m_phot!L$5)</f>
        <v>0.20042585425617077</v>
      </c>
      <c r="F477">
        <f t="shared" si="4"/>
        <v>8.6394439999999992</v>
      </c>
      <c r="H477" t="str">
        <f>IF(E477&lt;0.05,INT(($A477-m_phot!$L$4)/m_phot!$L$5),"")</f>
        <v/>
      </c>
      <c r="I477" t="str">
        <f t="shared" si="2"/>
        <v/>
      </c>
      <c r="J477">
        <f t="shared" si="3"/>
        <v>3.9324999999994503E-3</v>
      </c>
    </row>
    <row r="478" spans="1:10" ht="14.25" customHeight="1" x14ac:dyDescent="0.25">
      <c r="A478" s="1">
        <v>2445729.2601999999</v>
      </c>
      <c r="B478" s="1" t="s">
        <v>836</v>
      </c>
      <c r="C478" s="1">
        <v>8.4049999999999994</v>
      </c>
      <c r="D478" s="1"/>
      <c r="E478">
        <f>(A478-m_phot!L$4)/m_phot!L$5-INT((A478-m_phot!L$4)/m_phot!L$5)</f>
        <v>0.22138420085719801</v>
      </c>
      <c r="F478">
        <f t="shared" si="4"/>
        <v>8.4049999999999994</v>
      </c>
      <c r="H478" t="str">
        <f>IF(E478&lt;0.05,INT(($A478-m_phot!$L$4)/m_phot!$L$5),"")</f>
        <v/>
      </c>
      <c r="I478" t="str">
        <f t="shared" si="2"/>
        <v/>
      </c>
      <c r="J478">
        <f t="shared" si="3"/>
        <v>-0.23051150000000042</v>
      </c>
    </row>
    <row r="479" spans="1:10" ht="14.25" customHeight="1" x14ac:dyDescent="0.25">
      <c r="A479" s="1">
        <v>2445767.7000000002</v>
      </c>
      <c r="B479" s="1" t="s">
        <v>837</v>
      </c>
      <c r="C479" s="1">
        <v>8.5</v>
      </c>
      <c r="D479" s="1"/>
      <c r="E479">
        <f>(A479-m_phot!L$4)/m_phot!L$5-INT((A479-m_phot!L$4)/m_phot!L$5)</f>
        <v>0.26846295162300748</v>
      </c>
      <c r="F479">
        <f t="shared" si="4"/>
        <v>8.5</v>
      </c>
      <c r="H479" t="str">
        <f>IF(E479&lt;0.05,INT(($A479-m_phot!$L$4)/m_phot!$L$5),"")</f>
        <v/>
      </c>
      <c r="I479" t="str">
        <f t="shared" si="2"/>
        <v/>
      </c>
      <c r="J479">
        <f t="shared" si="3"/>
        <v>-0.13551149999999978</v>
      </c>
    </row>
    <row r="480" spans="1:10" ht="14.25" customHeight="1" x14ac:dyDescent="0.25">
      <c r="A480" s="1">
        <v>2445793.4</v>
      </c>
      <c r="B480" s="1" t="s">
        <v>838</v>
      </c>
      <c r="C480" s="1">
        <v>8.4</v>
      </c>
      <c r="D480" s="1"/>
      <c r="E480">
        <f>(A480-m_phot!L$4)/m_phot!L$5-INT((A480-m_phot!L$4)/m_phot!L$5)</f>
        <v>0.29993876301274724</v>
      </c>
      <c r="F480">
        <f t="shared" si="4"/>
        <v>8.4</v>
      </c>
      <c r="H480" t="str">
        <f>IF(E480&lt;0.05,INT(($A480-m_phot!$L$4)/m_phot!$L$5),"")</f>
        <v/>
      </c>
      <c r="I480" t="str">
        <f t="shared" si="2"/>
        <v/>
      </c>
      <c r="J480">
        <f t="shared" si="3"/>
        <v>-0.23551149999999943</v>
      </c>
    </row>
    <row r="481" spans="1:10" ht="14.25" customHeight="1" x14ac:dyDescent="0.25">
      <c r="A481" s="1">
        <v>2445821.26498</v>
      </c>
      <c r="B481" s="1" t="s">
        <v>839</v>
      </c>
      <c r="C481" s="1">
        <v>8.6839999999999993</v>
      </c>
      <c r="D481" s="1"/>
      <c r="E481">
        <f>(A481-m_phot!L$4)/m_phot!L$5-INT((A481-m_phot!L$4)/m_phot!L$5)</f>
        <v>0.33406611145128906</v>
      </c>
      <c r="F481">
        <f t="shared" si="4"/>
        <v>8.6839999999999993</v>
      </c>
      <c r="H481" t="str">
        <f>IF(E481&lt;0.05,INT(($A481-m_phot!$L$4)/m_phot!$L$5),"")</f>
        <v/>
      </c>
      <c r="I481" t="str">
        <f t="shared" si="2"/>
        <v/>
      </c>
      <c r="J481">
        <f t="shared" si="3"/>
        <v>4.848849999999949E-2</v>
      </c>
    </row>
    <row r="482" spans="1:10" ht="14.25" customHeight="1" x14ac:dyDescent="0.25">
      <c r="A482" s="1">
        <v>2445832.0137399998</v>
      </c>
      <c r="B482" s="1" t="s">
        <v>840</v>
      </c>
      <c r="C482" s="1">
        <v>8.7279999999999998</v>
      </c>
      <c r="D482" s="1"/>
      <c r="E482">
        <f>(A482-m_phot!L$4)/m_phot!L$5-INT((A482-m_phot!L$4)/m_phot!L$5)</f>
        <v>0.34723054500900119</v>
      </c>
      <c r="F482">
        <f t="shared" si="4"/>
        <v>8.7279999999999998</v>
      </c>
      <c r="H482" t="str">
        <f>IF(E482&lt;0.05,INT(($A482-m_phot!$L$4)/m_phot!$L$5),"")</f>
        <v/>
      </c>
      <c r="I482" t="str">
        <f t="shared" si="2"/>
        <v/>
      </c>
      <c r="J482">
        <f t="shared" si="3"/>
        <v>9.2488499999999974E-2</v>
      </c>
    </row>
    <row r="483" spans="1:10" ht="14.25" customHeight="1" x14ac:dyDescent="0.25">
      <c r="A483" s="1">
        <v>2445851.4614800001</v>
      </c>
      <c r="B483" s="1" t="s">
        <v>841</v>
      </c>
      <c r="C483" s="1">
        <v>8.6836359999999999</v>
      </c>
      <c r="D483" s="1"/>
      <c r="E483">
        <f>(A483-m_phot!L$4)/m_phot!L$5-INT((A483-m_phot!L$4)/m_phot!L$5)</f>
        <v>0.37104896509498531</v>
      </c>
      <c r="F483">
        <f t="shared" si="4"/>
        <v>8.6836359999999999</v>
      </c>
      <c r="H483" t="str">
        <f>IF(E483&lt;0.05,INT(($A483-m_phot!$L$4)/m_phot!$L$5),"")</f>
        <v/>
      </c>
      <c r="I483" t="str">
        <f t="shared" si="2"/>
        <v/>
      </c>
      <c r="J483">
        <f t="shared" si="3"/>
        <v>4.8124500000000126E-2</v>
      </c>
    </row>
    <row r="484" spans="1:10" ht="14.25" customHeight="1" x14ac:dyDescent="0.25">
      <c r="A484" s="1">
        <v>2445868.32265</v>
      </c>
      <c r="B484" s="1" t="s">
        <v>842</v>
      </c>
      <c r="C484" s="1">
        <v>8.6045449999999999</v>
      </c>
      <c r="D484" s="1"/>
      <c r="E484">
        <f>(A484-m_phot!L$4)/m_phot!L$5-INT((A484-m_phot!L$4)/m_phot!L$5)</f>
        <v>0.3916995101040861</v>
      </c>
      <c r="F484">
        <f t="shared" si="4"/>
        <v>8.6045449999999999</v>
      </c>
      <c r="H484" t="str">
        <f>IF(E484&lt;0.05,INT(($A484-m_phot!$L$4)/m_phot!$L$5),"")</f>
        <v/>
      </c>
      <c r="I484" t="str">
        <f t="shared" si="2"/>
        <v/>
      </c>
      <c r="J484">
        <f t="shared" si="3"/>
        <v>-3.0966499999999897E-2</v>
      </c>
    </row>
    <row r="485" spans="1:10" ht="14.25" customHeight="1" x14ac:dyDescent="0.25">
      <c r="A485" s="1">
        <v>2445881.4622399998</v>
      </c>
      <c r="B485" s="1" t="s">
        <v>843</v>
      </c>
      <c r="C485" s="1">
        <v>8.4480000000000004</v>
      </c>
      <c r="D485" s="1"/>
      <c r="E485">
        <f>(A485-m_phot!L$4)/m_phot!L$5-INT((A485-m_phot!L$4)/m_phot!L$5)</f>
        <v>0.40779208818100443</v>
      </c>
      <c r="F485">
        <f t="shared" si="4"/>
        <v>8.4480000000000004</v>
      </c>
      <c r="H485" t="str">
        <f>IF(E485&lt;0.05,INT(($A485-m_phot!$L$4)/m_phot!$L$5),"")</f>
        <v/>
      </c>
      <c r="I485" t="str">
        <f t="shared" si="2"/>
        <v/>
      </c>
      <c r="J485">
        <f t="shared" si="3"/>
        <v>-0.18751149999999939</v>
      </c>
    </row>
    <row r="486" spans="1:10" ht="14.25" customHeight="1" x14ac:dyDescent="0.25">
      <c r="A486" s="1">
        <v>2445898.5252200002</v>
      </c>
      <c r="B486" s="1" t="s">
        <v>844</v>
      </c>
      <c r="C486" s="1">
        <v>8.4722580000000001</v>
      </c>
      <c r="D486" s="1"/>
      <c r="E486">
        <f>(A486-m_phot!L$4)/m_phot!L$5-INT((A486-m_phot!L$4)/m_phot!L$5)</f>
        <v>0.42868979791816741</v>
      </c>
      <c r="F486">
        <f t="shared" si="4"/>
        <v>8.4722580000000001</v>
      </c>
      <c r="H486" t="str">
        <f>IF(E486&lt;0.05,INT(($A486-m_phot!$L$4)/m_phot!$L$5),"")</f>
        <v/>
      </c>
      <c r="I486" t="str">
        <f t="shared" si="2"/>
        <v/>
      </c>
      <c r="J486">
        <f t="shared" si="3"/>
        <v>-0.16325349999999972</v>
      </c>
    </row>
    <row r="487" spans="1:10" ht="14.25" customHeight="1" x14ac:dyDescent="0.25">
      <c r="A487" s="1">
        <v>2445913.3813900002</v>
      </c>
      <c r="B487" s="1" t="s">
        <v>845</v>
      </c>
      <c r="C487" s="1">
        <v>8.4164709999999996</v>
      </c>
      <c r="D487" s="1"/>
      <c r="E487">
        <f>(A487-m_phot!L$4)/m_phot!L$5-INT((A487-m_phot!L$4)/m_phot!L$5)</f>
        <v>0.44688473974308351</v>
      </c>
      <c r="F487">
        <f t="shared" si="4"/>
        <v>8.4164709999999996</v>
      </c>
      <c r="H487" t="str">
        <f>IF(E487&lt;0.05,INT(($A487-m_phot!$L$4)/m_phot!$L$5),"")</f>
        <v/>
      </c>
      <c r="I487" t="str">
        <f t="shared" si="2"/>
        <v/>
      </c>
      <c r="J487">
        <f t="shared" si="3"/>
        <v>-0.21904050000000019</v>
      </c>
    </row>
    <row r="488" spans="1:10" ht="14.25" customHeight="1" x14ac:dyDescent="0.25">
      <c r="A488" s="1">
        <v>2445930.6202199999</v>
      </c>
      <c r="B488" s="1" t="s">
        <v>846</v>
      </c>
      <c r="C488" s="1">
        <v>8.4612499999999997</v>
      </c>
      <c r="D488" s="1"/>
      <c r="E488">
        <f>(A488-m_phot!L$4)/m_phot!L$5-INT((A488-m_phot!L$4)/m_phot!L$5)</f>
        <v>0.46799781996316625</v>
      </c>
      <c r="F488">
        <f t="shared" si="4"/>
        <v>8.4612499999999997</v>
      </c>
      <c r="H488" t="str">
        <f>IF(E488&lt;0.05,INT(($A488-m_phot!$L$4)/m_phot!$L$5),"")</f>
        <v/>
      </c>
      <c r="I488" t="str">
        <f t="shared" si="2"/>
        <v/>
      </c>
      <c r="J488">
        <f t="shared" si="3"/>
        <v>-0.17426150000000007</v>
      </c>
    </row>
    <row r="489" spans="1:10" ht="14.25" customHeight="1" x14ac:dyDescent="0.25">
      <c r="A489" s="1">
        <v>2445942.5958500002</v>
      </c>
      <c r="B489" s="1" t="s">
        <v>847</v>
      </c>
      <c r="C489" s="1">
        <v>8.3964379999999998</v>
      </c>
      <c r="D489" s="1"/>
      <c r="E489">
        <f>(A489-m_phot!L$4)/m_phot!L$5-INT((A489-m_phot!L$4)/m_phot!L$5)</f>
        <v>0.48266484996957359</v>
      </c>
      <c r="F489">
        <f t="shared" si="4"/>
        <v>8.3964379999999998</v>
      </c>
      <c r="H489" t="str">
        <f>IF(E489&lt;0.05,INT(($A489-m_phot!$L$4)/m_phot!$L$5),"")</f>
        <v/>
      </c>
      <c r="I489" t="str">
        <f t="shared" si="2"/>
        <v/>
      </c>
      <c r="J489">
        <f t="shared" si="3"/>
        <v>-0.23907349999999994</v>
      </c>
    </row>
    <row r="490" spans="1:10" ht="14.25" customHeight="1" x14ac:dyDescent="0.25">
      <c r="A490" s="1">
        <v>2445961.4469699999</v>
      </c>
      <c r="B490" s="1" t="s">
        <v>848</v>
      </c>
      <c r="C490" s="1">
        <v>8.3885710000000007</v>
      </c>
      <c r="D490" s="1"/>
      <c r="E490">
        <f>(A490-m_phot!L$4)/m_phot!L$5-INT((A490-m_phot!L$4)/m_phot!L$5)</f>
        <v>0.50575256582967754</v>
      </c>
      <c r="F490">
        <f t="shared" si="4"/>
        <v>8.3885710000000007</v>
      </c>
      <c r="H490" t="str">
        <f>IF(E490&lt;0.05,INT(($A490-m_phot!$L$4)/m_phot!$L$5),"")</f>
        <v/>
      </c>
      <c r="I490" t="str">
        <f t="shared" ref="I490:I553" si="5">IF(H490&lt;&gt;"",AVERAGE(C490:C491),"")</f>
        <v/>
      </c>
      <c r="J490">
        <f t="shared" si="3"/>
        <v>-0.24694049999999912</v>
      </c>
    </row>
    <row r="491" spans="1:10" ht="14.25" customHeight="1" x14ac:dyDescent="0.25">
      <c r="A491" s="1">
        <v>2445974.3175400002</v>
      </c>
      <c r="B491" s="1" t="s">
        <v>849</v>
      </c>
      <c r="C491" s="1">
        <v>8.3149999999999995</v>
      </c>
      <c r="D491" s="1"/>
      <c r="E491">
        <f>(A491-m_phot!L$4)/m_phot!L$5-INT((A491-m_phot!L$4)/m_phot!L$5)</f>
        <v>0.52151566442154618</v>
      </c>
      <c r="F491">
        <f t="shared" si="4"/>
        <v>8.3149999999999995</v>
      </c>
      <c r="H491" t="str">
        <f>IF(E491&lt;0.05,INT(($A491-m_phot!$L$4)/m_phot!$L$5),"")</f>
        <v/>
      </c>
      <c r="I491" t="str">
        <f t="shared" si="5"/>
        <v/>
      </c>
      <c r="J491">
        <f t="shared" si="3"/>
        <v>-0.32051150000000028</v>
      </c>
    </row>
    <row r="492" spans="1:10" ht="14.25" customHeight="1" x14ac:dyDescent="0.25">
      <c r="A492" s="1">
        <v>2445990.3267600001</v>
      </c>
      <c r="B492" s="1" t="s">
        <v>850</v>
      </c>
      <c r="C492" s="1">
        <v>8.3672059999999995</v>
      </c>
      <c r="D492" s="1"/>
      <c r="E492">
        <f>(A492-m_phot!L$4)/m_phot!L$5-INT((A492-m_phot!L$4)/m_phot!L$5)</f>
        <v>0.54112279240671768</v>
      </c>
      <c r="F492">
        <f t="shared" si="4"/>
        <v>8.3672059999999995</v>
      </c>
      <c r="H492" t="str">
        <f>IF(E492&lt;0.05,INT(($A492-m_phot!$L$4)/m_phot!$L$5),"")</f>
        <v/>
      </c>
      <c r="I492" t="str">
        <f t="shared" si="5"/>
        <v/>
      </c>
      <c r="J492">
        <f t="shared" si="3"/>
        <v>-0.26830550000000031</v>
      </c>
    </row>
    <row r="493" spans="1:10" ht="14.25" customHeight="1" x14ac:dyDescent="0.25">
      <c r="A493" s="1">
        <v>2446003.2743299999</v>
      </c>
      <c r="B493" s="1" t="s">
        <v>851</v>
      </c>
      <c r="C493" s="1">
        <v>8.3585709999999995</v>
      </c>
      <c r="D493" s="1"/>
      <c r="E493">
        <f>(A493-m_phot!L$4)/m_phot!L$5-INT((A493-m_phot!L$4)/m_phot!L$5)</f>
        <v>0.5569801959582712</v>
      </c>
      <c r="F493">
        <f t="shared" si="4"/>
        <v>8.3585709999999995</v>
      </c>
      <c r="H493" t="str">
        <f>IF(E493&lt;0.05,INT(($A493-m_phot!$L$4)/m_phot!$L$5),"")</f>
        <v/>
      </c>
      <c r="I493" t="str">
        <f t="shared" si="5"/>
        <v/>
      </c>
      <c r="J493">
        <f t="shared" si="3"/>
        <v>-0.27694050000000026</v>
      </c>
    </row>
    <row r="494" spans="1:10" ht="14.25" customHeight="1" x14ac:dyDescent="0.25">
      <c r="A494" s="1">
        <v>2446019.9630800001</v>
      </c>
      <c r="B494" s="1" t="s">
        <v>852</v>
      </c>
      <c r="C494" s="1">
        <v>8.4131429999999998</v>
      </c>
      <c r="D494" s="1"/>
      <c r="E494">
        <f>(A494-m_phot!L$4)/m_phot!L$5-INT((A494-m_phot!L$4)/m_phot!L$5)</f>
        <v>0.57741957134125244</v>
      </c>
      <c r="F494">
        <f t="shared" si="4"/>
        <v>8.4131429999999998</v>
      </c>
      <c r="H494" t="str">
        <f>IF(E494&lt;0.05,INT(($A494-m_phot!$L$4)/m_phot!$L$5),"")</f>
        <v/>
      </c>
      <c r="I494" t="str">
        <f t="shared" si="5"/>
        <v/>
      </c>
      <c r="J494">
        <f t="shared" si="3"/>
        <v>-0.22236849999999997</v>
      </c>
    </row>
    <row r="495" spans="1:10" ht="14.25" customHeight="1" x14ac:dyDescent="0.25">
      <c r="A495" s="1">
        <v>2446033.3982799998</v>
      </c>
      <c r="B495" s="1" t="s">
        <v>853</v>
      </c>
      <c r="C495" s="1">
        <v>8.3786670000000001</v>
      </c>
      <c r="D495" s="1"/>
      <c r="E495">
        <f>(A495-m_phot!L$4)/m_phot!L$5-INT((A495-m_phot!L$4)/m_phot!L$5)</f>
        <v>0.59387419473343428</v>
      </c>
      <c r="F495">
        <f t="shared" si="4"/>
        <v>8.3786670000000001</v>
      </c>
      <c r="H495" t="str">
        <f>IF(E495&lt;0.05,INT(($A495-m_phot!$L$4)/m_phot!$L$5),"")</f>
        <v/>
      </c>
      <c r="I495" t="str">
        <f t="shared" si="5"/>
        <v/>
      </c>
      <c r="J495">
        <f t="shared" si="3"/>
        <v>-0.2568444999999997</v>
      </c>
    </row>
    <row r="496" spans="1:10" ht="14.25" customHeight="1" x14ac:dyDescent="0.25">
      <c r="A496" s="1">
        <v>2446051.0243899999</v>
      </c>
      <c r="B496" s="1" t="s">
        <v>854</v>
      </c>
      <c r="C496" s="1">
        <v>8.3847170000000002</v>
      </c>
      <c r="D496" s="1"/>
      <c r="E496">
        <f>(A496-m_phot!L$4)/m_phot!L$5-INT((A496-m_phot!L$4)/m_phot!L$5)</f>
        <v>0.61546159216156582</v>
      </c>
      <c r="F496">
        <f t="shared" si="4"/>
        <v>8.3847170000000002</v>
      </c>
      <c r="H496" t="str">
        <f>IF(E496&lt;0.05,INT(($A496-m_phot!$L$4)/m_phot!$L$5),"")</f>
        <v/>
      </c>
      <c r="I496" t="str">
        <f t="shared" si="5"/>
        <v/>
      </c>
      <c r="J496">
        <f t="shared" si="3"/>
        <v>-0.25079449999999959</v>
      </c>
    </row>
    <row r="497" spans="1:10" ht="14.25" customHeight="1" x14ac:dyDescent="0.25">
      <c r="A497" s="1">
        <v>2446064.6779499999</v>
      </c>
      <c r="B497" s="1" t="s">
        <v>855</v>
      </c>
      <c r="C497" s="1">
        <v>8.4465000000000003</v>
      </c>
      <c r="D497" s="1"/>
      <c r="E497">
        <f>(A497-m_phot!L$4)/m_phot!L$5-INT((A497-m_phot!L$4)/m_phot!L$5)</f>
        <v>0.63218364972434316</v>
      </c>
      <c r="F497">
        <f t="shared" si="4"/>
        <v>8.4465000000000003</v>
      </c>
      <c r="H497" t="str">
        <f>IF(E497&lt;0.05,INT(($A497-m_phot!$L$4)/m_phot!$L$5),"")</f>
        <v/>
      </c>
      <c r="I497" t="str">
        <f t="shared" si="5"/>
        <v/>
      </c>
      <c r="J497">
        <f t="shared" si="3"/>
        <v>-0.18901149999999944</v>
      </c>
    </row>
    <row r="498" spans="1:10" ht="14.25" customHeight="1" x14ac:dyDescent="0.25">
      <c r="A498" s="1">
        <v>2446079.9312399998</v>
      </c>
      <c r="B498" s="1" t="s">
        <v>856</v>
      </c>
      <c r="C498" s="1">
        <v>8.4047059999999991</v>
      </c>
      <c r="D498" s="1"/>
      <c r="E498">
        <f>(A498-m_phot!L$4)/m_phot!L$5-INT((A498-m_phot!L$4)/m_phot!L$5)</f>
        <v>0.6508649601957508</v>
      </c>
      <c r="F498">
        <f t="shared" si="4"/>
        <v>8.4047059999999991</v>
      </c>
      <c r="H498" t="str">
        <f>IF(E498&lt;0.05,INT(($A498-m_phot!$L$4)/m_phot!$L$5),"")</f>
        <v/>
      </c>
      <c r="I498" t="str">
        <f t="shared" si="5"/>
        <v/>
      </c>
      <c r="J498">
        <f t="shared" si="3"/>
        <v>-0.23080550000000066</v>
      </c>
    </row>
    <row r="499" spans="1:10" ht="14.25" customHeight="1" x14ac:dyDescent="0.25">
      <c r="A499" s="1">
        <v>2446095.2457099999</v>
      </c>
      <c r="B499" s="1" t="s">
        <v>857</v>
      </c>
      <c r="C499" s="1">
        <v>8.4257139999999993</v>
      </c>
      <c r="D499" s="1"/>
      <c r="E499">
        <f>(A499-m_phot!L$4)/m_phot!L$5-INT((A499-m_phot!L$4)/m_phot!L$5)</f>
        <v>0.66962120024486183</v>
      </c>
      <c r="F499">
        <f t="shared" si="4"/>
        <v>8.4257139999999993</v>
      </c>
      <c r="H499" t="str">
        <f>IF(E499&lt;0.05,INT(($A499-m_phot!$L$4)/m_phot!$L$5),"")</f>
        <v/>
      </c>
      <c r="I499" t="str">
        <f t="shared" si="5"/>
        <v/>
      </c>
      <c r="J499">
        <f t="shared" si="3"/>
        <v>-0.20979750000000053</v>
      </c>
    </row>
    <row r="500" spans="1:10" ht="14.25" customHeight="1" x14ac:dyDescent="0.25">
      <c r="A500" s="1">
        <v>2446138.2000000002</v>
      </c>
      <c r="B500" s="1" t="s">
        <v>858</v>
      </c>
      <c r="C500" s="1">
        <v>8.4499999999999993</v>
      </c>
      <c r="D500" s="1"/>
      <c r="E500">
        <f>(A500-m_phot!L$4)/m_phot!L$5-INT((A500-m_phot!L$4)/m_phot!L$5)</f>
        <v>0.72222902633213337</v>
      </c>
      <c r="F500">
        <f t="shared" si="4"/>
        <v>8.4499999999999993</v>
      </c>
      <c r="H500" t="str">
        <f>IF(E500&lt;0.05,INT(($A500-m_phot!$L$4)/m_phot!$L$5),"")</f>
        <v/>
      </c>
      <c r="I500" t="str">
        <f t="shared" si="5"/>
        <v/>
      </c>
      <c r="J500">
        <f t="shared" si="3"/>
        <v>-0.1855115000000005</v>
      </c>
    </row>
    <row r="501" spans="1:10" ht="14.25" customHeight="1" x14ac:dyDescent="0.25">
      <c r="A501" s="1">
        <v>2446159.7999999998</v>
      </c>
      <c r="B501" s="1" t="s">
        <v>859</v>
      </c>
      <c r="C501" s="1">
        <v>8.4</v>
      </c>
      <c r="D501" s="1"/>
      <c r="E501">
        <f>(A501-m_phot!L$4)/m_phot!L$5-INT((A501-m_phot!L$4)/m_phot!L$5)</f>
        <v>0.7486834047762585</v>
      </c>
      <c r="F501">
        <f t="shared" si="4"/>
        <v>8.4</v>
      </c>
      <c r="H501" t="str">
        <f>IF(E501&lt;0.05,INT(($A501-m_phot!$L$4)/m_phot!$L$5),"")</f>
        <v/>
      </c>
      <c r="I501" t="str">
        <f t="shared" si="5"/>
        <v/>
      </c>
      <c r="J501">
        <f t="shared" si="3"/>
        <v>-0.23551149999999943</v>
      </c>
    </row>
    <row r="502" spans="1:10" ht="14.25" customHeight="1" x14ac:dyDescent="0.25">
      <c r="A502" s="1">
        <v>2446178.6799900001</v>
      </c>
      <c r="B502" s="1" t="s">
        <v>860</v>
      </c>
      <c r="C502" s="1">
        <v>8.6122219999999992</v>
      </c>
      <c r="D502" s="1"/>
      <c r="E502">
        <f>(A502-m_phot!L$4)/m_phot!L$5-INT((A502-m_phot!L$4)/m_phot!L$5)</f>
        <v>0.77180647887335141</v>
      </c>
      <c r="F502">
        <f t="shared" si="4"/>
        <v>8.6122219999999992</v>
      </c>
      <c r="H502" t="str">
        <f>IF(E502&lt;0.05,INT(($A502-m_phot!$L$4)/m_phot!$L$5),"")</f>
        <v/>
      </c>
      <c r="I502" t="str">
        <f t="shared" si="5"/>
        <v/>
      </c>
      <c r="J502">
        <f t="shared" si="3"/>
        <v>-2.3289500000000629E-2</v>
      </c>
    </row>
    <row r="503" spans="1:10" ht="14.25" customHeight="1" x14ac:dyDescent="0.25">
      <c r="A503" s="1">
        <v>2446196.4</v>
      </c>
      <c r="B503" s="1" t="s">
        <v>861</v>
      </c>
      <c r="C503" s="1">
        <v>8.35</v>
      </c>
      <c r="D503" s="1"/>
      <c r="E503">
        <f>(A503-m_phot!L$4)/m_phot!L$5-INT((A503-m_phot!L$4)/m_phot!L$5)</f>
        <v>0.79350887936302072</v>
      </c>
      <c r="F503">
        <f t="shared" si="4"/>
        <v>8.35</v>
      </c>
      <c r="H503" t="str">
        <f>IF(E503&lt;0.05,INT(($A503-m_phot!$L$4)/m_phot!$L$5),"")</f>
        <v/>
      </c>
      <c r="I503" t="str">
        <f t="shared" si="5"/>
        <v/>
      </c>
      <c r="J503">
        <f t="shared" si="3"/>
        <v>-0.28551150000000014</v>
      </c>
    </row>
    <row r="504" spans="1:10" ht="14.25" customHeight="1" x14ac:dyDescent="0.25">
      <c r="A504" s="1">
        <v>2446212.4733199999</v>
      </c>
      <c r="B504" s="1" t="s">
        <v>862</v>
      </c>
      <c r="C504" s="1">
        <v>8.5389999999999997</v>
      </c>
      <c r="D504" s="1"/>
      <c r="E504">
        <f>(A504-m_phot!L$4)/m_phot!L$5-INT((A504-m_phot!L$4)/m_phot!L$5)</f>
        <v>0.81319451316579716</v>
      </c>
      <c r="F504">
        <f t="shared" si="4"/>
        <v>8.5389999999999997</v>
      </c>
      <c r="H504" t="str">
        <f>IF(E504&lt;0.05,INT(($A504-m_phot!$L$4)/m_phot!$L$5),"")</f>
        <v/>
      </c>
      <c r="I504" t="str">
        <f t="shared" si="5"/>
        <v/>
      </c>
      <c r="J504">
        <f t="shared" si="3"/>
        <v>-9.6511500000000083E-2</v>
      </c>
    </row>
    <row r="505" spans="1:10" ht="14.25" customHeight="1" x14ac:dyDescent="0.25">
      <c r="A505" s="1">
        <v>2446232.1377400002</v>
      </c>
      <c r="B505" s="1" t="s">
        <v>863</v>
      </c>
      <c r="C505" s="1">
        <v>8.5068420000000007</v>
      </c>
      <c r="D505" s="1"/>
      <c r="E505">
        <f>(A505-m_phot!L$4)/m_phot!L$5-INT((A505-m_phot!L$4)/m_phot!L$5)</f>
        <v>0.83727830985933949</v>
      </c>
      <c r="F505">
        <f t="shared" si="4"/>
        <v>8.5068420000000007</v>
      </c>
      <c r="H505" t="str">
        <f>IF(E505&lt;0.05,INT(($A505-m_phot!$L$4)/m_phot!$L$5),"")</f>
        <v/>
      </c>
      <c r="I505" t="str">
        <f t="shared" si="5"/>
        <v/>
      </c>
      <c r="J505">
        <f t="shared" si="3"/>
        <v>-0.1286694999999991</v>
      </c>
    </row>
    <row r="506" spans="1:10" ht="14.25" customHeight="1" x14ac:dyDescent="0.25">
      <c r="A506" s="1">
        <v>2446245.2848399999</v>
      </c>
      <c r="B506" s="1" t="s">
        <v>864</v>
      </c>
      <c r="C506" s="1">
        <v>8.5531030000000001</v>
      </c>
      <c r="D506" s="1"/>
      <c r="E506">
        <f>(A506-m_phot!L$4)/m_phot!L$5-INT((A506-m_phot!L$4)/m_phot!L$5)</f>
        <v>0.85338008573161162</v>
      </c>
      <c r="F506">
        <f t="shared" si="4"/>
        <v>8.5531030000000001</v>
      </c>
      <c r="H506" t="str">
        <f>IF(E506&lt;0.05,INT(($A506-m_phot!$L$4)/m_phot!$L$5),"")</f>
        <v/>
      </c>
      <c r="I506" t="str">
        <f t="shared" si="5"/>
        <v/>
      </c>
      <c r="J506">
        <f t="shared" si="3"/>
        <v>-8.2408499999999663E-2</v>
      </c>
    </row>
    <row r="507" spans="1:10" ht="14.25" customHeight="1" x14ac:dyDescent="0.25">
      <c r="A507" s="1">
        <v>2446260.01749</v>
      </c>
      <c r="B507" s="1" t="s">
        <v>865</v>
      </c>
      <c r="C507" s="1">
        <v>8.5937999999999999</v>
      </c>
      <c r="D507" s="1"/>
      <c r="E507">
        <f>(A507-m_phot!L$4)/m_phot!L$5-INT((A507-m_phot!L$4)/m_phot!L$5)</f>
        <v>0.87142374770360931</v>
      </c>
      <c r="F507">
        <f t="shared" si="4"/>
        <v>8.5937999999999999</v>
      </c>
      <c r="H507" t="str">
        <f>IF(E507&lt;0.05,INT(($A507-m_phot!$L$4)/m_phot!$L$5),"")</f>
        <v/>
      </c>
      <c r="I507" t="str">
        <f t="shared" si="5"/>
        <v/>
      </c>
      <c r="J507">
        <f t="shared" si="3"/>
        <v>-4.1711499999999901E-2</v>
      </c>
    </row>
    <row r="508" spans="1:10" ht="14.25" customHeight="1" x14ac:dyDescent="0.25">
      <c r="A508" s="1">
        <v>2446273.7582100001</v>
      </c>
      <c r="B508" s="1" t="s">
        <v>866</v>
      </c>
      <c r="C508" s="1">
        <v>8.5471050000000002</v>
      </c>
      <c r="D508" s="1"/>
      <c r="E508">
        <f>(A508-m_phot!L$4)/m_phot!L$5-INT((A508-m_phot!L$4)/m_phot!L$5)</f>
        <v>0.88825255358250743</v>
      </c>
      <c r="F508">
        <f t="shared" si="4"/>
        <v>8.5471050000000002</v>
      </c>
      <c r="H508" t="str">
        <f>IF(E508&lt;0.05,INT(($A508-m_phot!$L$4)/m_phot!$L$5),"")</f>
        <v/>
      </c>
      <c r="I508" t="str">
        <f t="shared" si="5"/>
        <v/>
      </c>
      <c r="J508">
        <f t="shared" si="3"/>
        <v>-8.840649999999961E-2</v>
      </c>
    </row>
    <row r="509" spans="1:10" ht="14.25" customHeight="1" x14ac:dyDescent="0.25">
      <c r="A509" s="1">
        <v>2446292.9246999999</v>
      </c>
      <c r="B509" s="1" t="s">
        <v>867</v>
      </c>
      <c r="C509" s="1">
        <v>8.549868</v>
      </c>
      <c r="D509" s="1"/>
      <c r="E509">
        <f>(A509-m_phot!L$4)/m_phot!L$5-INT((A509-m_phot!L$4)/m_phot!L$5)</f>
        <v>0.91172651561525697</v>
      </c>
      <c r="F509">
        <f t="shared" si="4"/>
        <v>8.549868</v>
      </c>
      <c r="H509" t="str">
        <f>IF(E509&lt;0.05,INT(($A509-m_phot!$L$4)/m_phot!$L$5),"")</f>
        <v/>
      </c>
      <c r="I509" t="str">
        <f t="shared" si="5"/>
        <v/>
      </c>
      <c r="J509">
        <f t="shared" si="3"/>
        <v>-8.5643499999999761E-2</v>
      </c>
    </row>
    <row r="510" spans="1:10" ht="14.25" customHeight="1" x14ac:dyDescent="0.25">
      <c r="A510" s="1">
        <v>2446307.5710499999</v>
      </c>
      <c r="B510" s="1" t="s">
        <v>868</v>
      </c>
      <c r="C510" s="1">
        <v>8.5867799999999992</v>
      </c>
      <c r="D510" s="1"/>
      <c r="E510">
        <f>(A510-m_phot!L$4)/m_phot!L$5-INT((A510-m_phot!L$4)/m_phot!L$5)</f>
        <v>0.92966448254734857</v>
      </c>
      <c r="F510">
        <f t="shared" si="4"/>
        <v>8.5867799999999992</v>
      </c>
      <c r="H510" t="str">
        <f>IF(E510&lt;0.05,INT(($A510-m_phot!$L$4)/m_phot!$L$5),"")</f>
        <v/>
      </c>
      <c r="I510" t="str">
        <f t="shared" si="5"/>
        <v/>
      </c>
      <c r="J510">
        <f t="shared" si="3"/>
        <v>-4.8731500000000594E-2</v>
      </c>
    </row>
    <row r="511" spans="1:10" ht="14.25" customHeight="1" x14ac:dyDescent="0.25">
      <c r="A511" s="1">
        <v>2446322.2249400001</v>
      </c>
      <c r="B511" s="1" t="s">
        <v>869</v>
      </c>
      <c r="C511" s="1">
        <v>8.5708859999999998</v>
      </c>
      <c r="D511" s="1"/>
      <c r="E511">
        <f>(A511-m_phot!L$4)/m_phot!L$5-INT((A511-m_phot!L$4)/m_phot!L$5)</f>
        <v>0.94761168401727147</v>
      </c>
      <c r="F511">
        <f t="shared" si="4"/>
        <v>8.5708859999999998</v>
      </c>
      <c r="H511" t="str">
        <f>IF(E511&lt;0.05,INT(($A511-m_phot!$L$4)/m_phot!$L$5),"")</f>
        <v/>
      </c>
      <c r="I511" t="str">
        <f t="shared" si="5"/>
        <v/>
      </c>
      <c r="J511">
        <f t="shared" si="3"/>
        <v>-6.4625500000000002E-2</v>
      </c>
    </row>
    <row r="512" spans="1:10" ht="14.25" customHeight="1" x14ac:dyDescent="0.25">
      <c r="A512" s="1">
        <v>2446339.4180200002</v>
      </c>
      <c r="B512" s="1" t="s">
        <v>870</v>
      </c>
      <c r="C512" s="1">
        <v>8.5719999999999992</v>
      </c>
      <c r="D512" s="1"/>
      <c r="E512">
        <f>(A512-m_phot!L$4)/m_phot!L$5-INT((A512-m_phot!L$4)/m_phot!L$5)</f>
        <v>0.96866873239462947</v>
      </c>
      <c r="F512">
        <f t="shared" si="4"/>
        <v>8.5719999999999992</v>
      </c>
      <c r="H512" t="str">
        <f>IF(E512&lt;0.05,INT(($A512-m_phot!$L$4)/m_phot!$L$5),"")</f>
        <v/>
      </c>
      <c r="I512" t="str">
        <f t="shared" si="5"/>
        <v/>
      </c>
      <c r="J512">
        <f t="shared" si="3"/>
        <v>-6.3511500000000609E-2</v>
      </c>
    </row>
    <row r="513" spans="1:10" ht="14.25" customHeight="1" x14ac:dyDescent="0.25">
      <c r="A513" s="1">
        <v>2446353.46814</v>
      </c>
      <c r="B513" s="1" t="s">
        <v>871</v>
      </c>
      <c r="C513" s="1">
        <v>8.5508249999999997</v>
      </c>
      <c r="D513" s="1"/>
      <c r="E513">
        <f>(A513-m_phot!L$4)/m_phot!L$5-INT((A513-m_phot!L$4)/m_phot!L$5)</f>
        <v>0.98587647274955614</v>
      </c>
      <c r="F513">
        <f t="shared" si="4"/>
        <v>8.5508249999999997</v>
      </c>
      <c r="H513" t="str">
        <f>IF(E513&lt;0.05,INT(($A513-m_phot!$L$4)/m_phot!$L$5),"")</f>
        <v/>
      </c>
      <c r="I513" t="str">
        <f t="shared" si="5"/>
        <v/>
      </c>
      <c r="J513">
        <f t="shared" si="3"/>
        <v>-8.4686500000000109E-2</v>
      </c>
    </row>
    <row r="514" spans="1:10" ht="14.25" customHeight="1" x14ac:dyDescent="0.25">
      <c r="A514" s="1">
        <v>2446368.9868200002</v>
      </c>
      <c r="B514" s="1" t="s">
        <v>872</v>
      </c>
      <c r="C514" s="1">
        <v>8.5792590000000004</v>
      </c>
      <c r="D514" s="1"/>
      <c r="E514">
        <f>(A514-m_phot!L$4)/m_phot!L$5-INT((A514-m_phot!L$4)/m_phot!L$5)</f>
        <v>4.8828169016807976E-3</v>
      </c>
      <c r="F514">
        <f t="shared" si="4"/>
        <v>8.5792590000000004</v>
      </c>
      <c r="H514">
        <f>IF(E514&lt;0.05,INT(($A514-m_phot!$L$4)/m_phot!$L$5),"")</f>
        <v>18</v>
      </c>
      <c r="I514">
        <f t="shared" si="5"/>
        <v>8.5781200000000002</v>
      </c>
      <c r="J514">
        <f>+C514-I$514</f>
        <v>1.1390000000002232E-3</v>
      </c>
    </row>
    <row r="515" spans="1:10" ht="14.25" customHeight="1" x14ac:dyDescent="0.25">
      <c r="A515" s="1">
        <v>2446382.4603599999</v>
      </c>
      <c r="B515" s="1" t="s">
        <v>873</v>
      </c>
      <c r="C515" s="1">
        <v>8.576981</v>
      </c>
      <c r="D515" s="1"/>
      <c r="E515">
        <f>(A515-m_phot!L$4)/m_phot!L$5-INT((A515-m_phot!L$4)/m_phot!L$5)</f>
        <v>2.1384396815566475E-2</v>
      </c>
      <c r="F515">
        <f t="shared" si="4"/>
        <v>8.576981</v>
      </c>
      <c r="H515">
        <f>IF(E515&lt;0.05,INT(($A515-m_phot!$L$4)/m_phot!$L$5),"")</f>
        <v>18</v>
      </c>
      <c r="I515">
        <f t="shared" si="5"/>
        <v>8.5889449999999989</v>
      </c>
      <c r="J515">
        <f t="shared" ref="J515:J560" si="6">+C515-I$514</f>
        <v>-1.1390000000002232E-3</v>
      </c>
    </row>
    <row r="516" spans="1:10" ht="14.25" customHeight="1" x14ac:dyDescent="0.25">
      <c r="A516" s="1">
        <v>2446401.0347799999</v>
      </c>
      <c r="B516" s="1" t="s">
        <v>874</v>
      </c>
      <c r="C516" s="1">
        <v>8.6009089999999997</v>
      </c>
      <c r="D516" s="1"/>
      <c r="E516">
        <f>(A516-m_phot!L$4)/m_phot!L$5-INT((A516-m_phot!L$4)/m_phot!L$5)</f>
        <v>4.4133227189064428E-2</v>
      </c>
      <c r="F516">
        <f t="shared" si="4"/>
        <v>8.6009089999999997</v>
      </c>
      <c r="H516">
        <f>IF(E516&lt;0.05,INT(($A516-m_phot!$L$4)/m_phot!$L$5),"")</f>
        <v>18</v>
      </c>
      <c r="I516">
        <f t="shared" si="5"/>
        <v>8.5774815000000011</v>
      </c>
      <c r="J516">
        <f t="shared" si="6"/>
        <v>2.2788999999999504E-2</v>
      </c>
    </row>
    <row r="517" spans="1:10" ht="14.25" customHeight="1" x14ac:dyDescent="0.25">
      <c r="A517" s="1">
        <v>2446413.09668</v>
      </c>
      <c r="B517" s="1" t="s">
        <v>875</v>
      </c>
      <c r="C517" s="1">
        <v>8.5540540000000007</v>
      </c>
      <c r="D517" s="1"/>
      <c r="E517">
        <f>(A517-m_phot!L$4)/m_phot!L$5-INT((A517-m_phot!L$4)/m_phot!L$5)</f>
        <v>5.8905915492907468E-2</v>
      </c>
      <c r="F517">
        <f t="shared" si="4"/>
        <v>8.5540540000000007</v>
      </c>
      <c r="H517" t="str">
        <f>IF(E517&lt;0.05,INT(($A517-m_phot!$L$4)/m_phot!$L$5),"")</f>
        <v/>
      </c>
      <c r="I517" t="str">
        <f t="shared" si="5"/>
        <v/>
      </c>
      <c r="J517">
        <f t="shared" si="6"/>
        <v>-2.4065999999999477E-2</v>
      </c>
    </row>
    <row r="518" spans="1:10" ht="14.25" customHeight="1" x14ac:dyDescent="0.25">
      <c r="A518" s="1">
        <v>2446429.8641599999</v>
      </c>
      <c r="B518" s="1" t="s">
        <v>876</v>
      </c>
      <c r="C518" s="1">
        <v>8.5297219999999996</v>
      </c>
      <c r="D518" s="1"/>
      <c r="E518">
        <f>(A518-m_phot!L$4)/m_phot!L$5-INT((A518-m_phot!L$4)/m_phot!L$5)</f>
        <v>7.9441714635493099E-2</v>
      </c>
      <c r="F518">
        <f t="shared" si="4"/>
        <v>8.5297219999999996</v>
      </c>
      <c r="H518" t="str">
        <f>IF(E518&lt;0.05,INT(($A518-m_phot!$L$4)/m_phot!$L$5),"")</f>
        <v/>
      </c>
      <c r="I518" t="str">
        <f t="shared" si="5"/>
        <v/>
      </c>
      <c r="J518">
        <f t="shared" si="6"/>
        <v>-4.8398000000000607E-2</v>
      </c>
    </row>
    <row r="519" spans="1:10" ht="14.25" customHeight="1" x14ac:dyDescent="0.25">
      <c r="A519" s="1">
        <v>2446442.95847</v>
      </c>
      <c r="B519" s="1" t="s">
        <v>877</v>
      </c>
      <c r="C519" s="1">
        <v>8.4830769999999998</v>
      </c>
      <c r="D519" s="1"/>
      <c r="E519">
        <f>(A519-m_phot!L$4)/m_phot!L$5-INT((A519-m_phot!L$4)/m_phot!L$5)</f>
        <v>9.547883649718969E-2</v>
      </c>
      <c r="F519">
        <f t="shared" si="4"/>
        <v>8.4830769999999998</v>
      </c>
      <c r="H519" t="str">
        <f>IF(E519&lt;0.05,INT(($A519-m_phot!$L$4)/m_phot!$L$5),"")</f>
        <v/>
      </c>
      <c r="I519" t="str">
        <f t="shared" si="5"/>
        <v/>
      </c>
      <c r="J519">
        <f t="shared" si="6"/>
        <v>-9.5043000000000433E-2</v>
      </c>
    </row>
    <row r="520" spans="1:10" ht="14.25" customHeight="1" x14ac:dyDescent="0.25">
      <c r="A520" s="1">
        <v>2446457.0201900001</v>
      </c>
      <c r="B520" s="1" t="s">
        <v>878</v>
      </c>
      <c r="C520" s="1">
        <v>8.5869999999999997</v>
      </c>
      <c r="D520" s="1"/>
      <c r="E520">
        <f>(A520-m_phot!L$4)/m_phot!L$5-INT((A520-m_phot!L$4)/m_phot!L$5)</f>
        <v>0.11270078383351745</v>
      </c>
      <c r="F520">
        <f t="shared" si="4"/>
        <v>8.5869999999999997</v>
      </c>
      <c r="H520" t="str">
        <f>IF(E520&lt;0.05,INT(($A520-m_phot!$L$4)/m_phot!$L$5),"")</f>
        <v/>
      </c>
      <c r="I520" t="str">
        <f t="shared" si="5"/>
        <v/>
      </c>
      <c r="J520">
        <f t="shared" si="6"/>
        <v>8.8799999999995549E-3</v>
      </c>
    </row>
    <row r="521" spans="1:10" ht="14.25" customHeight="1" x14ac:dyDescent="0.25">
      <c r="A521" s="1">
        <v>2446519.6</v>
      </c>
      <c r="B521" s="1" t="s">
        <v>879</v>
      </c>
      <c r="C521" s="1">
        <v>8.8000000000000007</v>
      </c>
      <c r="D521" s="1"/>
      <c r="E521">
        <f>(A521-m_phot!L$4)/m_phot!L$5-INT((A521-m_phot!L$4)/m_phot!L$5)</f>
        <v>0.18934476423771329</v>
      </c>
      <c r="F521">
        <f t="shared" si="4"/>
        <v>8.8000000000000007</v>
      </c>
      <c r="H521" t="str">
        <f>IF(E521&lt;0.05,INT(($A521-m_phot!$L$4)/m_phot!$L$5),"")</f>
        <v/>
      </c>
      <c r="I521" t="str">
        <f t="shared" si="5"/>
        <v/>
      </c>
      <c r="J521">
        <f t="shared" si="6"/>
        <v>0.22188000000000052</v>
      </c>
    </row>
    <row r="522" spans="1:10" ht="14.25" customHeight="1" x14ac:dyDescent="0.25">
      <c r="A522" s="1">
        <v>2446529.9175200001</v>
      </c>
      <c r="B522" s="1" t="s">
        <v>880</v>
      </c>
      <c r="C522" s="1">
        <v>8.6950000000000003</v>
      </c>
      <c r="D522" s="1"/>
      <c r="E522">
        <f>(A522-m_phot!L$4)/m_phot!L$5-INT((A522-m_phot!L$4)/m_phot!L$5)</f>
        <v>0.20198104102894376</v>
      </c>
      <c r="F522">
        <f t="shared" si="4"/>
        <v>8.6950000000000003</v>
      </c>
      <c r="H522" t="str">
        <f>IF(E522&lt;0.05,INT(($A522-m_phot!$L$4)/m_phot!$L$5),"")</f>
        <v/>
      </c>
      <c r="I522" t="str">
        <f t="shared" si="5"/>
        <v/>
      </c>
      <c r="J522">
        <f t="shared" si="6"/>
        <v>0.11688000000000009</v>
      </c>
    </row>
    <row r="523" spans="1:10" ht="14.25" customHeight="1" x14ac:dyDescent="0.25">
      <c r="A523" s="1">
        <v>2446547.5874999999</v>
      </c>
      <c r="B523" s="1" t="s">
        <v>881</v>
      </c>
      <c r="C523" s="1">
        <v>8.5514290000000006</v>
      </c>
      <c r="D523" s="1"/>
      <c r="E523">
        <f>(A523-m_phot!L$4)/m_phot!L$5-INT((A523-m_phot!L$4)/m_phot!L$5)</f>
        <v>0.22362216778923028</v>
      </c>
      <c r="F523">
        <f t="shared" si="4"/>
        <v>8.5514290000000006</v>
      </c>
      <c r="H523" t="str">
        <f>IF(E523&lt;0.05,INT(($A523-m_phot!$L$4)/m_phot!$L$5),"")</f>
        <v/>
      </c>
      <c r="I523" t="str">
        <f t="shared" si="5"/>
        <v/>
      </c>
      <c r="J523">
        <f t="shared" si="6"/>
        <v>-2.6690999999999576E-2</v>
      </c>
    </row>
    <row r="524" spans="1:10" ht="14.25" customHeight="1" x14ac:dyDescent="0.25">
      <c r="A524" s="1">
        <v>2446559.45181</v>
      </c>
      <c r="B524" s="1" t="s">
        <v>882</v>
      </c>
      <c r="C524" s="1">
        <v>8.4574999999999996</v>
      </c>
      <c r="D524" s="1"/>
      <c r="E524">
        <f>(A524-m_phot!L$4)/m_phot!L$5-INT((A524-m_phot!L$4)/m_phot!L$5)</f>
        <v>0.23815285976729683</v>
      </c>
      <c r="F524">
        <f t="shared" si="4"/>
        <v>8.4574999999999996</v>
      </c>
      <c r="H524" t="str">
        <f>IF(E524&lt;0.05,INT(($A524-m_phot!$L$4)/m_phot!$L$5),"")</f>
        <v/>
      </c>
      <c r="I524" t="str">
        <f t="shared" si="5"/>
        <v/>
      </c>
      <c r="J524">
        <f t="shared" si="6"/>
        <v>-0.12062000000000062</v>
      </c>
    </row>
    <row r="525" spans="1:10" ht="14.25" customHeight="1" x14ac:dyDescent="0.25">
      <c r="A525" s="1">
        <v>2446586.2094100001</v>
      </c>
      <c r="B525" s="1" t="s">
        <v>883</v>
      </c>
      <c r="C525" s="1">
        <v>8.6091669999999993</v>
      </c>
      <c r="D525" s="1"/>
      <c r="E525">
        <f>(A525-m_phot!L$4)/m_phot!L$5-INT((A525-m_phot!L$4)/m_phot!L$5)</f>
        <v>0.27092395590952378</v>
      </c>
      <c r="F525">
        <f t="shared" si="4"/>
        <v>8.6091669999999993</v>
      </c>
      <c r="H525" t="str">
        <f>IF(E525&lt;0.05,INT(($A525-m_phot!$L$4)/m_phot!$L$5),"")</f>
        <v/>
      </c>
      <c r="I525" t="str">
        <f t="shared" si="5"/>
        <v/>
      </c>
      <c r="J525">
        <f t="shared" si="6"/>
        <v>3.1046999999999159E-2</v>
      </c>
    </row>
    <row r="526" spans="1:10" ht="14.25" customHeight="1" x14ac:dyDescent="0.25">
      <c r="A526" s="1">
        <v>2446602.2855099998</v>
      </c>
      <c r="B526" s="1" t="s">
        <v>884</v>
      </c>
      <c r="C526" s="1">
        <v>8.3514289999999995</v>
      </c>
      <c r="D526" s="1"/>
      <c r="E526">
        <f>(A526-m_phot!L$4)/m_phot!L$5-INT((A526-m_phot!L$4)/m_phot!L$5)</f>
        <v>0.29061299448847677</v>
      </c>
      <c r="F526">
        <f t="shared" si="4"/>
        <v>8.3514289999999995</v>
      </c>
      <c r="H526" t="str">
        <f>IF(E526&lt;0.05,INT(($A526-m_phot!$L$4)/m_phot!$L$5),"")</f>
        <v/>
      </c>
      <c r="I526" t="str">
        <f t="shared" si="5"/>
        <v/>
      </c>
      <c r="J526">
        <f t="shared" si="6"/>
        <v>-0.22669100000000064</v>
      </c>
    </row>
    <row r="527" spans="1:10" ht="14.25" customHeight="1" x14ac:dyDescent="0.25">
      <c r="A527" s="1">
        <v>2446616.2517499998</v>
      </c>
      <c r="B527" s="1" t="s">
        <v>885</v>
      </c>
      <c r="C527" s="1">
        <v>8.3772409999999997</v>
      </c>
      <c r="D527" s="1"/>
      <c r="E527">
        <f>(A527-m_phot!L$4)/m_phot!L$5-INT((A527-m_phot!L$4)/m_phot!L$5)</f>
        <v>0.30771800367400104</v>
      </c>
      <c r="F527">
        <f t="shared" si="4"/>
        <v>8.3772409999999997</v>
      </c>
      <c r="H527" t="str">
        <f>IF(E527&lt;0.05,INT(($A527-m_phot!$L$4)/m_phot!$L$5),"")</f>
        <v/>
      </c>
      <c r="I527" t="str">
        <f t="shared" si="5"/>
        <v/>
      </c>
      <c r="J527">
        <f t="shared" si="6"/>
        <v>-0.20087900000000047</v>
      </c>
    </row>
    <row r="528" spans="1:10" ht="14.25" customHeight="1" x14ac:dyDescent="0.25">
      <c r="A528" s="1">
        <v>2446631.5790499998</v>
      </c>
      <c r="B528" s="1" t="s">
        <v>886</v>
      </c>
      <c r="C528" s="1">
        <v>8.4217779999999998</v>
      </c>
      <c r="D528" s="1"/>
      <c r="E528">
        <f>(A528-m_phot!L$4)/m_phot!L$5-INT((A528-m_phot!L$4)/m_phot!L$5)</f>
        <v>0.32648995713389439</v>
      </c>
      <c r="F528">
        <f t="shared" si="4"/>
        <v>8.4217779999999998</v>
      </c>
      <c r="H528" t="str">
        <f>IF(E528&lt;0.05,INT(($A528-m_phot!$L$4)/m_phot!$L$5),"")</f>
        <v/>
      </c>
      <c r="I528" t="str">
        <f t="shared" si="5"/>
        <v/>
      </c>
      <c r="J528">
        <f t="shared" si="6"/>
        <v>-0.15634200000000043</v>
      </c>
    </row>
    <row r="529" spans="1:10" ht="14.25" customHeight="1" x14ac:dyDescent="0.25">
      <c r="A529" s="1">
        <v>2446646.8572900002</v>
      </c>
      <c r="B529" s="1" t="s">
        <v>887</v>
      </c>
      <c r="C529" s="1">
        <v>8.3449469999999994</v>
      </c>
      <c r="D529" s="1"/>
      <c r="E529">
        <f>(A529-m_phot!L$4)/m_phot!L$5-INT((A529-m_phot!L$4)/m_phot!L$5)</f>
        <v>0.34520182486244977</v>
      </c>
      <c r="F529">
        <f t="shared" si="4"/>
        <v>8.3449469999999994</v>
      </c>
      <c r="H529" t="str">
        <f>IF(E529&lt;0.05,INT(($A529-m_phot!$L$4)/m_phot!$L$5),"")</f>
        <v/>
      </c>
      <c r="I529" t="str">
        <f t="shared" si="5"/>
        <v/>
      </c>
      <c r="J529">
        <f t="shared" si="6"/>
        <v>-0.23317300000000074</v>
      </c>
    </row>
    <row r="530" spans="1:10" ht="14.25" customHeight="1" x14ac:dyDescent="0.25">
      <c r="A530" s="1">
        <v>2446661.2911200002</v>
      </c>
      <c r="B530" s="1" t="s">
        <v>888</v>
      </c>
      <c r="C530" s="1">
        <v>8.3201300000000007</v>
      </c>
      <c r="D530" s="1"/>
      <c r="E530">
        <f>(A530-m_phot!L$4)/m_phot!L$5-INT((A530-m_phot!L$4)/m_phot!L$5)</f>
        <v>0.36287951010432806</v>
      </c>
      <c r="F530">
        <f t="shared" si="4"/>
        <v>8.3201300000000007</v>
      </c>
      <c r="H530" t="str">
        <f>IF(E530&lt;0.05,INT(($A530-m_phot!$L$4)/m_phot!$L$5),"")</f>
        <v/>
      </c>
      <c r="I530" t="str">
        <f t="shared" si="5"/>
        <v/>
      </c>
      <c r="J530">
        <f t="shared" si="6"/>
        <v>-0.2579899999999995</v>
      </c>
    </row>
    <row r="531" spans="1:10" ht="14.25" customHeight="1" x14ac:dyDescent="0.25">
      <c r="A531" s="1">
        <v>2446677.7097200002</v>
      </c>
      <c r="B531" s="1" t="s">
        <v>889</v>
      </c>
      <c r="C531" s="1">
        <v>8.3982580000000002</v>
      </c>
      <c r="D531" s="1"/>
      <c r="E531">
        <f>(A531-m_phot!L$4)/m_phot!L$5-INT((A531-m_phot!L$4)/m_phot!L$5)</f>
        <v>0.38298802204550952</v>
      </c>
      <c r="F531">
        <f t="shared" si="4"/>
        <v>8.3982580000000002</v>
      </c>
      <c r="H531" t="str">
        <f>IF(E531&lt;0.05,INT(($A531-m_phot!$L$4)/m_phot!$L$5),"")</f>
        <v/>
      </c>
      <c r="I531" t="str">
        <f t="shared" si="5"/>
        <v/>
      </c>
      <c r="J531">
        <f t="shared" si="6"/>
        <v>-0.17986199999999997</v>
      </c>
    </row>
    <row r="532" spans="1:10" ht="14.25" customHeight="1" x14ac:dyDescent="0.25">
      <c r="A532" s="1">
        <v>2446693.8462100001</v>
      </c>
      <c r="B532" s="1" t="s">
        <v>890</v>
      </c>
      <c r="C532" s="1">
        <v>8.3770930000000003</v>
      </c>
      <c r="D532" s="1"/>
      <c r="E532">
        <f>(A532-m_phot!L$4)/m_phot!L$5-INT((A532-m_phot!L$4)/m_phot!L$5)</f>
        <v>0.40275102265781371</v>
      </c>
      <c r="F532">
        <f t="shared" si="4"/>
        <v>8.3770930000000003</v>
      </c>
      <c r="H532" t="str">
        <f>IF(E532&lt;0.05,INT(($A532-m_phot!$L$4)/m_phot!$L$5),"")</f>
        <v/>
      </c>
      <c r="I532" t="str">
        <f t="shared" si="5"/>
        <v/>
      </c>
      <c r="J532">
        <f t="shared" si="6"/>
        <v>-0.20102699999999984</v>
      </c>
    </row>
    <row r="533" spans="1:10" ht="14.25" customHeight="1" x14ac:dyDescent="0.25">
      <c r="A533" s="1">
        <v>2446707.6338200001</v>
      </c>
      <c r="B533" s="1" t="s">
        <v>891</v>
      </c>
      <c r="C533" s="1">
        <v>8.3441600000000005</v>
      </c>
      <c r="D533" s="1"/>
      <c r="E533">
        <f>(A533-m_phot!L$4)/m_phot!L$5-INT((A533-m_phot!L$4)/m_phot!L$5)</f>
        <v>0.4196372565831048</v>
      </c>
      <c r="F533">
        <f t="shared" si="4"/>
        <v>8.3441600000000005</v>
      </c>
      <c r="H533" t="str">
        <f>IF(E533&lt;0.05,INT(($A533-m_phot!$L$4)/m_phot!$L$5),"")</f>
        <v/>
      </c>
      <c r="I533" t="str">
        <f t="shared" si="5"/>
        <v/>
      </c>
      <c r="J533">
        <f t="shared" si="6"/>
        <v>-0.23395999999999972</v>
      </c>
    </row>
    <row r="534" spans="1:10" ht="14.25" customHeight="1" x14ac:dyDescent="0.25">
      <c r="A534" s="1">
        <v>2446723.6572699999</v>
      </c>
      <c r="B534" s="1" t="s">
        <v>892</v>
      </c>
      <c r="C534" s="1">
        <v>8.3920689999999993</v>
      </c>
      <c r="D534" s="1"/>
      <c r="E534">
        <f>(A534-m_phot!L$4)/m_phot!L$5-INT((A534-m_phot!L$4)/m_phot!L$5)</f>
        <v>0.43926181261463526</v>
      </c>
      <c r="F534">
        <f t="shared" si="4"/>
        <v>8.3920689999999993</v>
      </c>
      <c r="H534" t="str">
        <f>IF(E534&lt;0.05,INT(($A534-m_phot!$L$4)/m_phot!$L$5),"")</f>
        <v/>
      </c>
      <c r="I534" t="str">
        <f t="shared" si="5"/>
        <v/>
      </c>
      <c r="J534">
        <f t="shared" si="6"/>
        <v>-0.18605100000000085</v>
      </c>
    </row>
    <row r="535" spans="1:10" ht="14.25" customHeight="1" x14ac:dyDescent="0.25">
      <c r="A535" s="1">
        <v>2446738.07883</v>
      </c>
      <c r="B535" s="1" t="s">
        <v>893</v>
      </c>
      <c r="C535" s="1">
        <v>8.3458880000000004</v>
      </c>
      <c r="D535" s="1"/>
      <c r="E535">
        <f>(A535-m_phot!L$4)/m_phot!L$5-INT((A535-m_phot!L$4)/m_phot!L$5)</f>
        <v>0.45692447030007699</v>
      </c>
      <c r="F535">
        <f t="shared" ref="F535:F598" si="7">+C535</f>
        <v>8.3458880000000004</v>
      </c>
      <c r="H535" t="str">
        <f>IF(E535&lt;0.05,INT(($A535-m_phot!$L$4)/m_phot!$L$5),"")</f>
        <v/>
      </c>
      <c r="I535" t="str">
        <f t="shared" si="5"/>
        <v/>
      </c>
      <c r="J535">
        <f t="shared" si="6"/>
        <v>-0.23223199999999977</v>
      </c>
    </row>
    <row r="536" spans="1:10" ht="14.25" customHeight="1" x14ac:dyDescent="0.25">
      <c r="A536" s="1">
        <v>2446754.3597800001</v>
      </c>
      <c r="B536" s="1" t="s">
        <v>894</v>
      </c>
      <c r="C536" s="1">
        <v>8.4089290000000005</v>
      </c>
      <c r="D536" s="1"/>
      <c r="E536">
        <f>(A536-m_phot!L$4)/m_phot!L$5-INT((A536-m_phot!L$4)/m_phot!L$5)</f>
        <v>0.47686439681574555</v>
      </c>
      <c r="F536">
        <f t="shared" si="7"/>
        <v>8.4089290000000005</v>
      </c>
      <c r="H536" t="str">
        <f>IF(E536&lt;0.05,INT(($A536-m_phot!$L$4)/m_phot!$L$5),"")</f>
        <v/>
      </c>
      <c r="I536" t="str">
        <f t="shared" si="5"/>
        <v/>
      </c>
      <c r="J536">
        <f t="shared" si="6"/>
        <v>-0.16919099999999965</v>
      </c>
    </row>
    <row r="537" spans="1:10" ht="14.25" customHeight="1" x14ac:dyDescent="0.25">
      <c r="A537" s="1">
        <v>2446767.3412799998</v>
      </c>
      <c r="B537" s="1" t="s">
        <v>895</v>
      </c>
      <c r="C537" s="1">
        <v>8.3436730000000008</v>
      </c>
      <c r="D537" s="1"/>
      <c r="E537">
        <f>(A537-m_phot!L$4)/m_phot!L$5-INT((A537-m_phot!L$4)/m_phot!L$5)</f>
        <v>0.49276335578667485</v>
      </c>
      <c r="F537">
        <f t="shared" si="7"/>
        <v>8.3436730000000008</v>
      </c>
      <c r="H537" t="str">
        <f>IF(E537&lt;0.05,INT(($A537-m_phot!$L$4)/m_phot!$L$5),"")</f>
        <v/>
      </c>
      <c r="I537" t="str">
        <f t="shared" si="5"/>
        <v/>
      </c>
      <c r="J537">
        <f t="shared" si="6"/>
        <v>-0.23444699999999941</v>
      </c>
    </row>
    <row r="538" spans="1:10" ht="14.25" customHeight="1" x14ac:dyDescent="0.25">
      <c r="A538" s="1">
        <v>2446783.7371700001</v>
      </c>
      <c r="B538" s="1" t="s">
        <v>896</v>
      </c>
      <c r="C538" s="1">
        <v>8.3696300000000008</v>
      </c>
      <c r="D538" s="1"/>
      <c r="E538">
        <f>(A538-m_phot!L$4)/m_phot!L$5-INT((A538-m_phot!L$4)/m_phot!L$5)</f>
        <v>0.51284405388866361</v>
      </c>
      <c r="F538">
        <f t="shared" si="7"/>
        <v>8.3696300000000008</v>
      </c>
      <c r="H538" t="str">
        <f>IF(E538&lt;0.05,INT(($A538-m_phot!$L$4)/m_phot!$L$5),"")</f>
        <v/>
      </c>
      <c r="I538" t="str">
        <f t="shared" si="5"/>
        <v/>
      </c>
      <c r="J538">
        <f t="shared" si="6"/>
        <v>-0.2084899999999994</v>
      </c>
    </row>
    <row r="539" spans="1:10" ht="14.25" customHeight="1" x14ac:dyDescent="0.25">
      <c r="A539" s="1">
        <v>2446798.6581000001</v>
      </c>
      <c r="B539" s="1" t="s">
        <v>897</v>
      </c>
      <c r="C539" s="1">
        <v>8.3390620000000002</v>
      </c>
      <c r="D539" s="1"/>
      <c r="E539">
        <f>(A539-m_phot!L$4)/m_phot!L$5-INT((A539-m_phot!L$4)/m_phot!L$5)</f>
        <v>0.53111830985929842</v>
      </c>
      <c r="F539">
        <f t="shared" si="7"/>
        <v>8.3390620000000002</v>
      </c>
      <c r="H539" t="str">
        <f>IF(E539&lt;0.05,INT(($A539-m_phot!$L$4)/m_phot!$L$5),"")</f>
        <v/>
      </c>
      <c r="I539" t="str">
        <f t="shared" si="5"/>
        <v/>
      </c>
      <c r="J539">
        <f t="shared" si="6"/>
        <v>-0.23905799999999999</v>
      </c>
    </row>
    <row r="540" spans="1:10" ht="14.25" customHeight="1" x14ac:dyDescent="0.25">
      <c r="A540" s="1">
        <v>2446812.4808700001</v>
      </c>
      <c r="B540" s="1" t="s">
        <v>898</v>
      </c>
      <c r="C540" s="1">
        <v>8.3308330000000002</v>
      </c>
      <c r="D540" s="1"/>
      <c r="E540">
        <f>(A540-m_phot!L$4)/m_phot!L$5-INT((A540-m_phot!L$4)/m_phot!L$5)</f>
        <v>0.54804760563390786</v>
      </c>
      <c r="F540">
        <f t="shared" si="7"/>
        <v>8.3308330000000002</v>
      </c>
      <c r="H540" t="str">
        <f>IF(E540&lt;0.05,INT(($A540-m_phot!$L$4)/m_phot!$L$5),"")</f>
        <v/>
      </c>
      <c r="I540" t="str">
        <f t="shared" si="5"/>
        <v/>
      </c>
      <c r="J540">
        <f t="shared" si="6"/>
        <v>-0.24728700000000003</v>
      </c>
    </row>
    <row r="541" spans="1:10" ht="14.25" customHeight="1" x14ac:dyDescent="0.25">
      <c r="A541" s="1">
        <v>2446827.7274799999</v>
      </c>
      <c r="B541" s="1" t="s">
        <v>899</v>
      </c>
      <c r="C541" s="1">
        <v>8.39</v>
      </c>
      <c r="D541" s="1"/>
      <c r="E541">
        <f>(A541-m_phot!L$4)/m_phot!L$5-INT((A541-m_phot!L$4)/m_phot!L$5)</f>
        <v>0.566720734843706</v>
      </c>
      <c r="F541">
        <f t="shared" si="7"/>
        <v>8.39</v>
      </c>
      <c r="H541" t="str">
        <f>IF(E541&lt;0.05,INT(($A541-m_phot!$L$4)/m_phot!$L$5),"")</f>
        <v/>
      </c>
      <c r="I541" t="str">
        <f t="shared" si="5"/>
        <v/>
      </c>
      <c r="J541">
        <f t="shared" si="6"/>
        <v>-0.18811999999999962</v>
      </c>
    </row>
    <row r="542" spans="1:10" ht="14.25" customHeight="1" x14ac:dyDescent="0.25">
      <c r="A542" s="1">
        <v>2446887.7454499998</v>
      </c>
      <c r="B542" s="1" t="s">
        <v>900</v>
      </c>
      <c r="C542" s="1">
        <v>8.59</v>
      </c>
      <c r="D542" s="1"/>
      <c r="E542">
        <f>(A542-m_phot!L$4)/m_phot!L$5-INT((A542-m_phot!L$4)/m_phot!L$5)</f>
        <v>0.64022712798507442</v>
      </c>
      <c r="F542">
        <f t="shared" si="7"/>
        <v>8.59</v>
      </c>
      <c r="H542" t="str">
        <f>IF(E542&lt;0.05,INT(($A542-m_phot!$L$4)/m_phot!$L$5),"")</f>
        <v/>
      </c>
      <c r="I542" t="str">
        <f t="shared" si="5"/>
        <v/>
      </c>
      <c r="J542">
        <f t="shared" si="6"/>
        <v>1.1879999999999669E-2</v>
      </c>
    </row>
    <row r="543" spans="1:10" ht="14.25" customHeight="1" x14ac:dyDescent="0.25">
      <c r="A543" s="1">
        <v>2446905.5839999998</v>
      </c>
      <c r="B543" s="1" t="s">
        <v>901</v>
      </c>
      <c r="C543" s="1">
        <v>8.4600000000000009</v>
      </c>
      <c r="D543" s="1"/>
      <c r="E543">
        <f>(A543-m_phot!L$4)/m_phot!L$5-INT((A543-m_phot!L$4)/m_phot!L$5)</f>
        <v>0.66207470912406308</v>
      </c>
      <c r="F543">
        <f t="shared" si="7"/>
        <v>8.4600000000000009</v>
      </c>
      <c r="H543" t="str">
        <f>IF(E543&lt;0.05,INT(($A543-m_phot!$L$4)/m_phot!$L$5),"")</f>
        <v/>
      </c>
      <c r="I543" t="str">
        <f t="shared" si="5"/>
        <v/>
      </c>
      <c r="J543">
        <f t="shared" si="6"/>
        <v>-0.11811999999999934</v>
      </c>
    </row>
    <row r="544" spans="1:10" ht="14.25" customHeight="1" x14ac:dyDescent="0.25">
      <c r="A544" s="1">
        <v>2446915.16866</v>
      </c>
      <c r="B544" s="1" t="s">
        <v>902</v>
      </c>
      <c r="C544" s="1">
        <v>8.4188890000000001</v>
      </c>
      <c r="D544" s="1"/>
      <c r="E544">
        <f>(A544-m_phot!L$4)/m_phot!L$5-INT((A544-m_phot!L$4)/m_phot!L$5)</f>
        <v>0.67381342314753923</v>
      </c>
      <c r="F544">
        <f t="shared" si="7"/>
        <v>8.4188890000000001</v>
      </c>
      <c r="H544" t="str">
        <f>IF(E544&lt;0.05,INT(($A544-m_phot!$L$4)/m_phot!$L$5),"")</f>
        <v/>
      </c>
      <c r="I544" t="str">
        <f t="shared" si="5"/>
        <v/>
      </c>
      <c r="J544">
        <f t="shared" si="6"/>
        <v>-0.15923100000000012</v>
      </c>
    </row>
    <row r="545" spans="1:10" ht="14.25" customHeight="1" x14ac:dyDescent="0.25">
      <c r="A545" s="1">
        <v>2446943.7825799999</v>
      </c>
      <c r="B545" s="1" t="s">
        <v>903</v>
      </c>
      <c r="C545" s="1">
        <v>8.5719999999999992</v>
      </c>
      <c r="D545" s="1"/>
      <c r="E545">
        <f>(A545-m_phot!L$4)/m_phot!L$5-INT((A545-m_phot!L$4)/m_phot!L$5)</f>
        <v>0.70885802816886923</v>
      </c>
      <c r="F545">
        <f t="shared" si="7"/>
        <v>8.5719999999999992</v>
      </c>
      <c r="H545" t="str">
        <f>IF(E545&lt;0.05,INT(($A545-m_phot!$L$4)/m_phot!$L$5),"")</f>
        <v/>
      </c>
      <c r="I545" t="str">
        <f t="shared" si="5"/>
        <v/>
      </c>
      <c r="J545">
        <f t="shared" si="6"/>
        <v>-6.1200000000010135E-3</v>
      </c>
    </row>
    <row r="546" spans="1:10" ht="14.25" customHeight="1" x14ac:dyDescent="0.25">
      <c r="A546" s="1">
        <v>2446960.4226000002</v>
      </c>
      <c r="B546" s="1" t="s">
        <v>904</v>
      </c>
      <c r="C546" s="1">
        <v>8.5442859999999996</v>
      </c>
      <c r="D546" s="1"/>
      <c r="E546">
        <f>(A546-m_phot!L$4)/m_phot!L$5-INT((A546-m_phot!L$4)/m_phot!L$5)</f>
        <v>0.72923772198427983</v>
      </c>
      <c r="F546">
        <f t="shared" si="7"/>
        <v>8.5442859999999996</v>
      </c>
      <c r="H546" t="str">
        <f>IF(E546&lt;0.05,INT(($A546-m_phot!$L$4)/m_phot!$L$5),"")</f>
        <v/>
      </c>
      <c r="I546" t="str">
        <f t="shared" si="5"/>
        <v/>
      </c>
      <c r="J546">
        <f t="shared" si="6"/>
        <v>-3.3834000000000586E-2</v>
      </c>
    </row>
    <row r="547" spans="1:10" ht="14.25" customHeight="1" x14ac:dyDescent="0.25">
      <c r="A547" s="1">
        <v>2446979.0102499998</v>
      </c>
      <c r="B547" s="1" t="s">
        <v>905</v>
      </c>
      <c r="C547" s="1">
        <v>8.6</v>
      </c>
      <c r="D547" s="1"/>
      <c r="E547">
        <f>(A547-m_phot!L$4)/m_phot!L$5-INT((A547-m_phot!L$4)/m_phot!L$5)</f>
        <v>0.75200275566419705</v>
      </c>
      <c r="F547">
        <f t="shared" si="7"/>
        <v>8.6</v>
      </c>
      <c r="H547" t="str">
        <f>IF(E547&lt;0.05,INT(($A547-m_phot!$L$4)/m_phot!$L$5),"")</f>
        <v/>
      </c>
      <c r="I547" t="str">
        <f t="shared" si="5"/>
        <v/>
      </c>
      <c r="J547">
        <f t="shared" si="6"/>
        <v>2.1879999999999455E-2</v>
      </c>
    </row>
    <row r="548" spans="1:10" ht="14.25" customHeight="1" x14ac:dyDescent="0.25">
      <c r="A548" s="1">
        <v>2446995.9717399999</v>
      </c>
      <c r="B548" s="1" t="s">
        <v>906</v>
      </c>
      <c r="C548" s="1">
        <v>8.56</v>
      </c>
      <c r="D548" s="1"/>
      <c r="E548">
        <f>(A548-m_phot!L$4)/m_phot!L$5-INT((A548-m_phot!L$4)/m_phot!L$5)</f>
        <v>0.77277616656454384</v>
      </c>
      <c r="F548">
        <f t="shared" si="7"/>
        <v>8.56</v>
      </c>
      <c r="H548" t="str">
        <f>IF(E548&lt;0.05,INT(($A548-m_phot!$L$4)/m_phot!$L$5),"")</f>
        <v/>
      </c>
      <c r="I548" t="str">
        <f t="shared" si="5"/>
        <v/>
      </c>
      <c r="J548">
        <f t="shared" si="6"/>
        <v>-1.8119999999999692E-2</v>
      </c>
    </row>
    <row r="549" spans="1:10" ht="14.25" customHeight="1" x14ac:dyDescent="0.25">
      <c r="A549" s="1">
        <v>2447009.0936799999</v>
      </c>
      <c r="B549" s="1" t="s">
        <v>907</v>
      </c>
      <c r="C549" s="1">
        <v>8.6808890000000005</v>
      </c>
      <c r="D549" s="1"/>
      <c r="E549">
        <f>(A549-m_phot!L$4)/m_phot!L$5-INT((A549-m_phot!L$4)/m_phot!L$5)</f>
        <v>0.78884712798522116</v>
      </c>
      <c r="F549">
        <f t="shared" si="7"/>
        <v>8.6808890000000005</v>
      </c>
      <c r="H549" t="str">
        <f>IF(E549&lt;0.05,INT(($A549-m_phot!$L$4)/m_phot!$L$5),"")</f>
        <v/>
      </c>
      <c r="I549" t="str">
        <f t="shared" si="5"/>
        <v/>
      </c>
      <c r="J549">
        <f t="shared" si="6"/>
        <v>0.10276900000000033</v>
      </c>
    </row>
    <row r="550" spans="1:10" ht="14.25" customHeight="1" x14ac:dyDescent="0.25">
      <c r="A550" s="1">
        <v>2447026.9229600001</v>
      </c>
      <c r="B550" s="1" t="s">
        <v>908</v>
      </c>
      <c r="C550" s="1">
        <v>8.5565630000000006</v>
      </c>
      <c r="D550" s="1"/>
      <c r="E550">
        <f>(A550-m_phot!L$4)/m_phot!L$5-INT((A550-m_phot!L$4)/m_phot!L$5)</f>
        <v>0.81068335578703454</v>
      </c>
      <c r="F550">
        <f t="shared" si="7"/>
        <v>8.5565630000000006</v>
      </c>
      <c r="H550" t="str">
        <f>IF(E550&lt;0.05,INT(($A550-m_phot!$L$4)/m_phot!$L$5),"")</f>
        <v/>
      </c>
      <c r="I550" t="str">
        <f t="shared" si="5"/>
        <v/>
      </c>
      <c r="J550">
        <f t="shared" si="6"/>
        <v>-2.1556999999999604E-2</v>
      </c>
    </row>
    <row r="551" spans="1:10" ht="14.25" customHeight="1" x14ac:dyDescent="0.25">
      <c r="A551" s="1">
        <v>2447040.47755</v>
      </c>
      <c r="B551" s="1" t="s">
        <v>909</v>
      </c>
      <c r="C551" s="1">
        <v>8.5321669999999994</v>
      </c>
      <c r="D551" s="1"/>
      <c r="E551">
        <f>(A551-m_phot!L$4)/m_phot!L$5-INT((A551-m_phot!L$4)/m_phot!L$5)</f>
        <v>0.82728420085726029</v>
      </c>
      <c r="F551">
        <f t="shared" si="7"/>
        <v>8.5321669999999994</v>
      </c>
      <c r="H551" t="str">
        <f>IF(E551&lt;0.05,INT(($A551-m_phot!$L$4)/m_phot!$L$5),"")</f>
        <v/>
      </c>
      <c r="I551" t="str">
        <f t="shared" si="5"/>
        <v/>
      </c>
      <c r="J551">
        <f t="shared" si="6"/>
        <v>-4.5953000000000799E-2</v>
      </c>
    </row>
    <row r="552" spans="1:10" ht="14.25" customHeight="1" x14ac:dyDescent="0.25">
      <c r="A552" s="1">
        <v>2447056.4227</v>
      </c>
      <c r="B552" s="1" t="s">
        <v>910</v>
      </c>
      <c r="C552" s="1">
        <v>8.5415480000000006</v>
      </c>
      <c r="D552" s="1"/>
      <c r="E552">
        <f>(A552-m_phot!L$4)/m_phot!L$5-INT((A552-m_phot!L$4)/m_phot!L$5)</f>
        <v>0.8468128597672937</v>
      </c>
      <c r="F552">
        <f t="shared" si="7"/>
        <v>8.5415480000000006</v>
      </c>
      <c r="H552" t="str">
        <f>IF(E552&lt;0.05,INT(($A552-m_phot!$L$4)/m_phot!$L$5),"")</f>
        <v/>
      </c>
      <c r="I552" t="str">
        <f t="shared" si="5"/>
        <v/>
      </c>
      <c r="J552">
        <f t="shared" si="6"/>
        <v>-3.6571999999999605E-2</v>
      </c>
    </row>
    <row r="553" spans="1:10" ht="14.25" customHeight="1" x14ac:dyDescent="0.25">
      <c r="A553" s="1">
        <v>2447069.9618000002</v>
      </c>
      <c r="B553" s="1" t="s">
        <v>911</v>
      </c>
      <c r="C553" s="1">
        <v>8.5563509999999994</v>
      </c>
      <c r="D553" s="1"/>
      <c r="E553">
        <f>(A553-m_phot!L$4)/m_phot!L$5-INT((A553-m_phot!L$4)/m_phot!L$5)</f>
        <v>0.86339473361930885</v>
      </c>
      <c r="F553">
        <f t="shared" si="7"/>
        <v>8.5563509999999994</v>
      </c>
      <c r="H553" t="str">
        <f>IF(E553&lt;0.05,INT(($A553-m_phot!$L$4)/m_phot!$L$5),"")</f>
        <v/>
      </c>
      <c r="I553" t="str">
        <f t="shared" si="5"/>
        <v/>
      </c>
      <c r="J553">
        <f t="shared" si="6"/>
        <v>-2.1769000000000815E-2</v>
      </c>
    </row>
    <row r="554" spans="1:10" ht="14.25" customHeight="1" x14ac:dyDescent="0.25">
      <c r="A554" s="1">
        <v>2447087.00557</v>
      </c>
      <c r="B554" s="1" t="s">
        <v>912</v>
      </c>
      <c r="C554" s="1">
        <v>8.5873609999999996</v>
      </c>
      <c r="D554" s="1"/>
      <c r="E554">
        <f>(A554-m_phot!L$4)/m_phot!L$5-INT((A554-m_phot!L$4)/m_phot!L$5)</f>
        <v>0.88426891610537339</v>
      </c>
      <c r="F554">
        <f t="shared" si="7"/>
        <v>8.5873609999999996</v>
      </c>
      <c r="H554" t="str">
        <f>IF(E554&lt;0.05,INT(($A554-m_phot!$L$4)/m_phot!$L$5),"")</f>
        <v/>
      </c>
      <c r="I554" t="str">
        <f t="shared" ref="I554:I617" si="8">IF(H554&lt;&gt;"",AVERAGE(C554:C555),"")</f>
        <v/>
      </c>
      <c r="J554">
        <f t="shared" si="6"/>
        <v>9.2409999999993886E-3</v>
      </c>
    </row>
    <row r="555" spans="1:10" ht="14.25" customHeight="1" x14ac:dyDescent="0.25">
      <c r="A555" s="1">
        <v>2447098.6683100001</v>
      </c>
      <c r="B555" s="1" t="s">
        <v>913</v>
      </c>
      <c r="C555" s="1">
        <v>8.6273330000000001</v>
      </c>
      <c r="D555" s="1"/>
      <c r="E555">
        <f>(A555-m_phot!L$4)/m_phot!L$5-INT((A555-m_phot!L$4)/m_phot!L$5)</f>
        <v>0.89855273729344276</v>
      </c>
      <c r="F555">
        <f t="shared" si="7"/>
        <v>8.6273330000000001</v>
      </c>
      <c r="H555" t="str">
        <f>IF(E555&lt;0.05,INT(($A555-m_phot!$L$4)/m_phot!$L$5),"")</f>
        <v/>
      </c>
      <c r="I555" t="str">
        <f t="shared" si="8"/>
        <v/>
      </c>
      <c r="J555">
        <f t="shared" si="6"/>
        <v>4.9212999999999951E-2</v>
      </c>
    </row>
    <row r="556" spans="1:10" ht="14.25" customHeight="1" x14ac:dyDescent="0.25">
      <c r="A556" s="1">
        <v>2447117.02837</v>
      </c>
      <c r="B556" s="1" t="s">
        <v>914</v>
      </c>
      <c r="C556" s="1">
        <v>8.6908329999999996</v>
      </c>
      <c r="D556" s="1"/>
      <c r="E556">
        <f>(A556-m_phot!L$4)/m_phot!L$5-INT((A556-m_phot!L$4)/m_phot!L$5)</f>
        <v>0.92103903245554974</v>
      </c>
      <c r="F556">
        <f t="shared" si="7"/>
        <v>8.6908329999999996</v>
      </c>
      <c r="H556" t="str">
        <f>IF(E556&lt;0.05,INT(($A556-m_phot!$L$4)/m_phot!$L$5),"")</f>
        <v/>
      </c>
      <c r="I556" t="str">
        <f t="shared" si="8"/>
        <v/>
      </c>
      <c r="J556">
        <f t="shared" si="6"/>
        <v>0.1127129999999994</v>
      </c>
    </row>
    <row r="557" spans="1:10" ht="14.25" customHeight="1" x14ac:dyDescent="0.25">
      <c r="A557" s="1">
        <v>2447134.8627900002</v>
      </c>
      <c r="B557" s="1" t="s">
        <v>915</v>
      </c>
      <c r="C557" s="1">
        <v>8.5521879999999992</v>
      </c>
      <c r="D557" s="1"/>
      <c r="E557">
        <f>(A557-m_phot!L$4)/m_phot!L$5-INT((A557-m_phot!L$4)/m_phot!L$5)</f>
        <v>0.94288155541966745</v>
      </c>
      <c r="F557">
        <f t="shared" si="7"/>
        <v>8.5521879999999992</v>
      </c>
      <c r="H557" t="str">
        <f>IF(E557&lt;0.05,INT(($A557-m_phot!$L$4)/m_phot!$L$5),"")</f>
        <v/>
      </c>
      <c r="I557" t="str">
        <f t="shared" si="8"/>
        <v/>
      </c>
      <c r="J557">
        <f t="shared" si="6"/>
        <v>-2.5932000000000954E-2</v>
      </c>
    </row>
    <row r="558" spans="1:10" ht="14.25" customHeight="1" x14ac:dyDescent="0.25">
      <c r="A558" s="1">
        <v>2447146.23673</v>
      </c>
      <c r="B558" s="1" t="s">
        <v>916</v>
      </c>
      <c r="C558" s="1">
        <v>8.6227269999999994</v>
      </c>
      <c r="D558" s="1"/>
      <c r="E558">
        <f>(A558-m_phot!L$4)/m_phot!L$5-INT((A558-m_phot!L$4)/m_phot!L$5)</f>
        <v>0.95681167176975279</v>
      </c>
      <c r="F558">
        <f t="shared" si="7"/>
        <v>8.6227269999999994</v>
      </c>
      <c r="H558" t="str">
        <f>IF(E558&lt;0.05,INT(($A558-m_phot!$L$4)/m_phot!$L$5),"")</f>
        <v/>
      </c>
      <c r="I558" t="str">
        <f t="shared" si="8"/>
        <v/>
      </c>
      <c r="J558">
        <f t="shared" si="6"/>
        <v>4.4606999999999175E-2</v>
      </c>
    </row>
    <row r="559" spans="1:10" ht="14.25" customHeight="1" x14ac:dyDescent="0.25">
      <c r="A559" s="1">
        <v>2447164.57724</v>
      </c>
      <c r="B559" s="1" t="s">
        <v>917</v>
      </c>
      <c r="C559" s="1">
        <v>8.5547830000000005</v>
      </c>
      <c r="D559" s="1"/>
      <c r="E559">
        <f>(A559-m_phot!L$4)/m_phot!L$5-INT((A559-m_phot!L$4)/m_phot!L$5)</f>
        <v>0.97927402327007229</v>
      </c>
      <c r="F559">
        <f t="shared" si="7"/>
        <v>8.5547830000000005</v>
      </c>
      <c r="H559" t="str">
        <f>IF(E559&lt;0.05,INT(($A559-m_phot!$L$4)/m_phot!$L$5),"")</f>
        <v/>
      </c>
      <c r="I559" t="str">
        <f t="shared" si="8"/>
        <v/>
      </c>
      <c r="J559">
        <f t="shared" si="6"/>
        <v>-2.3336999999999719E-2</v>
      </c>
    </row>
    <row r="560" spans="1:10" ht="14.25" customHeight="1" x14ac:dyDescent="0.25">
      <c r="A560" s="1">
        <v>2447177.5611800002</v>
      </c>
      <c r="B560" s="1" t="s">
        <v>918</v>
      </c>
      <c r="C560" s="1">
        <v>8.5829170000000001</v>
      </c>
      <c r="D560" s="1"/>
      <c r="E560">
        <f>(A560-m_phot!L$4)/m_phot!L$5-INT((A560-m_phot!L$4)/m_phot!L$5)</f>
        <v>0.995175970606482</v>
      </c>
      <c r="F560">
        <f t="shared" si="7"/>
        <v>8.5829170000000001</v>
      </c>
      <c r="H560" t="str">
        <f>IF(E560&lt;0.05,INT(($A560-m_phot!$L$4)/m_phot!$L$5),"")</f>
        <v/>
      </c>
      <c r="I560" t="str">
        <f t="shared" si="8"/>
        <v/>
      </c>
      <c r="J560">
        <f t="shared" si="6"/>
        <v>4.7969999999999402E-3</v>
      </c>
    </row>
    <row r="561" spans="1:10" ht="14.25" customHeight="1" x14ac:dyDescent="0.25">
      <c r="A561" s="1">
        <v>2447201.5499999998</v>
      </c>
      <c r="B561" s="1" t="s">
        <v>919</v>
      </c>
      <c r="C561" s="1">
        <v>8.3249999999999993</v>
      </c>
      <c r="D561" s="1"/>
      <c r="E561">
        <f>(A561-m_phot!L$4)/m_phot!L$5-INT((A561-m_phot!L$4)/m_phot!L$5)</f>
        <v>2.4556031843005144E-2</v>
      </c>
      <c r="F561">
        <f t="shared" si="7"/>
        <v>8.3249999999999993</v>
      </c>
      <c r="H561">
        <f>IF(E561&lt;0.05,INT(($A561-m_phot!$L$4)/m_phot!$L$5),"")</f>
        <v>19</v>
      </c>
      <c r="I561">
        <f>+C561</f>
        <v>8.3249999999999993</v>
      </c>
    </row>
    <row r="562" spans="1:10" ht="14.25" customHeight="1" x14ac:dyDescent="0.25">
      <c r="A562" s="1">
        <v>2447248.5</v>
      </c>
      <c r="B562" s="1" t="s">
        <v>920</v>
      </c>
      <c r="C562" s="1">
        <v>8.6999999999999993</v>
      </c>
      <c r="D562" s="1"/>
      <c r="E562">
        <f>(A562-m_phot!L$4)/m_phot!L$5-INT((A562-m_phot!L$4)/m_phot!L$5)</f>
        <v>8.2057562767911207E-2</v>
      </c>
      <c r="F562">
        <f t="shared" si="7"/>
        <v>8.6999999999999993</v>
      </c>
      <c r="H562" t="str">
        <f>IF(E562&lt;0.05,INT(($A562-m_phot!$L$4)/m_phot!$L$5),"")</f>
        <v/>
      </c>
      <c r="I562">
        <f>+C562</f>
        <v>8.6999999999999993</v>
      </c>
      <c r="J562">
        <f t="shared" ref="J562:J604" si="9">+C562-I$562</f>
        <v>0</v>
      </c>
    </row>
    <row r="563" spans="1:10" ht="14.25" customHeight="1" x14ac:dyDescent="0.25">
      <c r="A563" s="1">
        <v>2447266.9</v>
      </c>
      <c r="B563" s="1" t="s">
        <v>921</v>
      </c>
      <c r="C563" s="1">
        <v>8.6999999999999993</v>
      </c>
      <c r="D563" s="1"/>
      <c r="E563">
        <f>(A563-m_phot!L$4)/m_phot!L$5-INT((A563-m_phot!L$4)/m_phot!L$5)</f>
        <v>0.10459277403540312</v>
      </c>
      <c r="F563">
        <f t="shared" si="7"/>
        <v>8.6999999999999993</v>
      </c>
      <c r="H563" t="str">
        <f>IF(E563&lt;0.05,INT(($A563-m_phot!$L$4)/m_phot!$L$5),"")</f>
        <v/>
      </c>
      <c r="I563" t="str">
        <f t="shared" si="8"/>
        <v/>
      </c>
      <c r="J563">
        <f t="shared" si="9"/>
        <v>0</v>
      </c>
    </row>
    <row r="564" spans="1:10" ht="14.25" customHeight="1" x14ac:dyDescent="0.25">
      <c r="A564" s="1">
        <v>2447276.93145</v>
      </c>
      <c r="B564" s="1" t="s">
        <v>922</v>
      </c>
      <c r="C564" s="1">
        <v>8.7100000000000009</v>
      </c>
      <c r="D564" s="1"/>
      <c r="E564">
        <f>(A564-m_phot!L$4)/m_phot!L$5-INT((A564-m_phot!L$4)/m_phot!L$5)</f>
        <v>0.11687868952851588</v>
      </c>
      <c r="F564">
        <f t="shared" si="7"/>
        <v>8.7100000000000009</v>
      </c>
      <c r="H564" t="str">
        <f>IF(E564&lt;0.05,INT(($A564-m_phot!$L$4)/m_phot!$L$5),"")</f>
        <v/>
      </c>
      <c r="I564" t="str">
        <f t="shared" si="8"/>
        <v/>
      </c>
      <c r="J564">
        <f t="shared" si="9"/>
        <v>1.0000000000001563E-2</v>
      </c>
    </row>
    <row r="565" spans="1:10" ht="14.25" customHeight="1" x14ac:dyDescent="0.25">
      <c r="A565" s="1">
        <v>2447299.0464599999</v>
      </c>
      <c r="B565" s="1" t="s">
        <v>923</v>
      </c>
      <c r="C565" s="1">
        <v>8.6535709999999995</v>
      </c>
      <c r="D565" s="1"/>
      <c r="E565">
        <f>(A565-m_phot!L$4)/m_phot!L$5-INT((A565-m_phot!L$4)/m_phot!L$5)</f>
        <v>0.14396382118783535</v>
      </c>
      <c r="F565">
        <f t="shared" si="7"/>
        <v>8.6535709999999995</v>
      </c>
      <c r="H565" t="str">
        <f>IF(E565&lt;0.05,INT(($A565-m_phot!$L$4)/m_phot!$L$5),"")</f>
        <v/>
      </c>
      <c r="I565" t="str">
        <f t="shared" si="8"/>
        <v/>
      </c>
      <c r="J565">
        <f t="shared" si="9"/>
        <v>-4.6428999999999832E-2</v>
      </c>
    </row>
    <row r="566" spans="1:10" ht="14.25" customHeight="1" x14ac:dyDescent="0.25">
      <c r="A566" s="1">
        <v>2447316.1190900002</v>
      </c>
      <c r="B566" s="1" t="s">
        <v>924</v>
      </c>
      <c r="C566" s="1">
        <v>8.7850000000000001</v>
      </c>
      <c r="D566" s="1"/>
      <c r="E566">
        <f>(A566-m_phot!L$4)/m_phot!L$5-INT((A566-m_phot!L$4)/m_phot!L$5)</f>
        <v>0.16487334966340228</v>
      </c>
      <c r="F566">
        <f t="shared" si="7"/>
        <v>8.7850000000000001</v>
      </c>
      <c r="H566" t="str">
        <f>IF(E566&lt;0.05,INT(($A566-m_phot!$L$4)/m_phot!$L$5),"")</f>
        <v/>
      </c>
      <c r="I566" t="str">
        <f t="shared" si="8"/>
        <v/>
      </c>
      <c r="J566">
        <f t="shared" si="9"/>
        <v>8.5000000000000853E-2</v>
      </c>
    </row>
    <row r="567" spans="1:10" ht="14.25" customHeight="1" x14ac:dyDescent="0.25">
      <c r="A567" s="1">
        <v>2447330.3598500001</v>
      </c>
      <c r="B567" s="1" t="s">
        <v>925</v>
      </c>
      <c r="C567" s="1">
        <v>8.7181479999999993</v>
      </c>
      <c r="D567" s="1"/>
      <c r="E567">
        <f>(A567-m_phot!L$4)/m_phot!L$5-INT((A567-m_phot!L$4)/m_phot!L$5)</f>
        <v>0.18231457440309029</v>
      </c>
      <c r="F567">
        <f t="shared" si="7"/>
        <v>8.7181479999999993</v>
      </c>
      <c r="H567" t="str">
        <f>IF(E567&lt;0.05,INT(($A567-m_phot!$L$4)/m_phot!$L$5),"")</f>
        <v/>
      </c>
      <c r="I567" t="str">
        <f t="shared" si="8"/>
        <v/>
      </c>
      <c r="J567">
        <f t="shared" si="9"/>
        <v>1.8148000000000053E-2</v>
      </c>
    </row>
    <row r="568" spans="1:10" ht="14.25" customHeight="1" x14ac:dyDescent="0.25">
      <c r="A568" s="1">
        <v>2447350.0791199999</v>
      </c>
      <c r="B568" s="1" t="s">
        <v>926</v>
      </c>
      <c r="C568" s="1">
        <v>8.5904550000000004</v>
      </c>
      <c r="D568" s="1"/>
      <c r="E568">
        <f>(A568-m_phot!L$4)/m_phot!L$5-INT((A568-m_phot!L$4)/m_phot!L$5)</f>
        <v>0.20646554807090212</v>
      </c>
      <c r="F568">
        <f t="shared" si="7"/>
        <v>8.5904550000000004</v>
      </c>
      <c r="H568" t="str">
        <f>IF(E568&lt;0.05,INT(($A568-m_phot!$L$4)/m_phot!$L$5),"")</f>
        <v/>
      </c>
      <c r="I568" t="str">
        <f t="shared" si="8"/>
        <v/>
      </c>
      <c r="J568">
        <f t="shared" si="9"/>
        <v>-0.10954499999999889</v>
      </c>
    </row>
    <row r="569" spans="1:10" ht="14.25" customHeight="1" x14ac:dyDescent="0.25">
      <c r="A569" s="1">
        <v>2447365.0142100002</v>
      </c>
      <c r="B569" s="1" t="s">
        <v>927</v>
      </c>
      <c r="C569" s="1">
        <v>8.6042620000000003</v>
      </c>
      <c r="D569" s="1"/>
      <c r="E569">
        <f>(A569-m_phot!L$4)/m_phot!L$5-INT((A569-m_phot!L$4)/m_phot!L$5)</f>
        <v>0.22475714635660538</v>
      </c>
      <c r="F569">
        <f t="shared" si="7"/>
        <v>8.6042620000000003</v>
      </c>
      <c r="H569" t="str">
        <f>IF(E569&lt;0.05,INT(($A569-m_phot!$L$4)/m_phot!$L$5),"")</f>
        <v/>
      </c>
      <c r="I569" t="str">
        <f t="shared" si="8"/>
        <v/>
      </c>
      <c r="J569">
        <f t="shared" si="9"/>
        <v>-9.5737999999998991E-2</v>
      </c>
    </row>
    <row r="570" spans="1:10" ht="14.25" customHeight="1" x14ac:dyDescent="0.25">
      <c r="A570" s="1">
        <v>2447379.0407599998</v>
      </c>
      <c r="B570" s="1" t="s">
        <v>928</v>
      </c>
      <c r="C570" s="1">
        <v>8.5163080000000004</v>
      </c>
      <c r="D570" s="1"/>
      <c r="E570">
        <f>(A570-m_phot!L$4)/m_phot!L$5-INT((A570-m_phot!L$4)/m_phot!L$5)</f>
        <v>0.24193601959555622</v>
      </c>
      <c r="F570">
        <f t="shared" si="7"/>
        <v>8.5163080000000004</v>
      </c>
      <c r="H570" t="str">
        <f>IF(E570&lt;0.05,INT(($A570-m_phot!$L$4)/m_phot!$L$5),"")</f>
        <v/>
      </c>
      <c r="I570" t="str">
        <f t="shared" si="8"/>
        <v/>
      </c>
      <c r="J570">
        <f t="shared" si="9"/>
        <v>-0.18369199999999886</v>
      </c>
    </row>
    <row r="571" spans="1:10" ht="14.25" customHeight="1" x14ac:dyDescent="0.25">
      <c r="A571" s="1">
        <v>2447391.9747700002</v>
      </c>
      <c r="B571" s="1" t="s">
        <v>929</v>
      </c>
      <c r="C571" s="1">
        <v>8.4911539999999999</v>
      </c>
      <c r="D571" s="1"/>
      <c r="E571">
        <f>(A571-m_phot!L$4)/m_phot!L$5-INT((A571-m_phot!L$4)/m_phot!L$5)</f>
        <v>0.25777681567691957</v>
      </c>
      <c r="F571">
        <f t="shared" si="7"/>
        <v>8.4911539999999999</v>
      </c>
      <c r="H571" t="str">
        <f>IF(E571&lt;0.05,INT(($A571-m_phot!$L$4)/m_phot!$L$5),"")</f>
        <v/>
      </c>
      <c r="I571" t="str">
        <f t="shared" si="8"/>
        <v/>
      </c>
      <c r="J571">
        <f t="shared" si="9"/>
        <v>-0.20884599999999942</v>
      </c>
    </row>
    <row r="572" spans="1:10" ht="14.25" customHeight="1" x14ac:dyDescent="0.25">
      <c r="A572" s="1">
        <v>2447410.10904</v>
      </c>
      <c r="B572" s="1" t="s">
        <v>930</v>
      </c>
      <c r="C572" s="1">
        <v>8.5316299999999998</v>
      </c>
      <c r="D572" s="1"/>
      <c r="E572">
        <f>(A572-m_phot!L$4)/m_phot!L$5-INT((A572-m_phot!L$4)/m_phot!L$5)</f>
        <v>0.27998657685242989</v>
      </c>
      <c r="F572">
        <f t="shared" si="7"/>
        <v>8.5316299999999998</v>
      </c>
      <c r="H572" t="str">
        <f>IF(E572&lt;0.05,INT(($A572-m_phot!$L$4)/m_phot!$L$5),"")</f>
        <v/>
      </c>
      <c r="I572" t="str">
        <f t="shared" si="8"/>
        <v/>
      </c>
      <c r="J572">
        <f t="shared" si="9"/>
        <v>-0.16836999999999946</v>
      </c>
    </row>
    <row r="573" spans="1:10" ht="14.25" customHeight="1" x14ac:dyDescent="0.25">
      <c r="A573" s="1">
        <v>2447423.62267</v>
      </c>
      <c r="B573" s="1" t="s">
        <v>931</v>
      </c>
      <c r="C573" s="1">
        <v>8.5044439999999994</v>
      </c>
      <c r="D573" s="1"/>
      <c r="E573">
        <f>(A573-m_phot!L$4)/m_phot!L$5-INT((A573-m_phot!L$4)/m_phot!L$5)</f>
        <v>0.29653725658291918</v>
      </c>
      <c r="F573">
        <f t="shared" si="7"/>
        <v>8.5044439999999994</v>
      </c>
      <c r="H573" t="str">
        <f>IF(E573&lt;0.05,INT(($A573-m_phot!$L$4)/m_phot!$L$5),"")</f>
        <v/>
      </c>
      <c r="I573" t="str">
        <f t="shared" si="8"/>
        <v/>
      </c>
      <c r="J573">
        <f t="shared" si="9"/>
        <v>-0.19555599999999984</v>
      </c>
    </row>
    <row r="574" spans="1:10" ht="14.25" customHeight="1" x14ac:dyDescent="0.25">
      <c r="A574" s="1">
        <v>2447439.8552899999</v>
      </c>
      <c r="B574" s="1" t="s">
        <v>932</v>
      </c>
      <c r="C574" s="1">
        <v>8.4961819999999992</v>
      </c>
      <c r="D574" s="1"/>
      <c r="E574">
        <f>(A574-m_phot!L$4)/m_phot!L$5-INT((A574-m_phot!L$4)/m_phot!L$5)</f>
        <v>0.3164179914266505</v>
      </c>
      <c r="F574">
        <f t="shared" si="7"/>
        <v>8.4961819999999992</v>
      </c>
      <c r="H574" t="str">
        <f>IF(E574&lt;0.05,INT(($A574-m_phot!$L$4)/m_phot!$L$5),"")</f>
        <v/>
      </c>
      <c r="I574" t="str">
        <f t="shared" si="8"/>
        <v/>
      </c>
      <c r="J574">
        <f t="shared" si="9"/>
        <v>-0.20381800000000005</v>
      </c>
    </row>
    <row r="575" spans="1:10" ht="14.25" customHeight="1" x14ac:dyDescent="0.25">
      <c r="A575" s="1">
        <v>2447455.1393400002</v>
      </c>
      <c r="B575" s="1" t="s">
        <v>933</v>
      </c>
      <c r="C575" s="1">
        <v>8.4418919999999993</v>
      </c>
      <c r="D575" s="1"/>
      <c r="E575">
        <f>(A575-m_phot!L$4)/m_phot!L$5-INT((A575-m_phot!L$4)/m_phot!L$5)</f>
        <v>0.33513697489311411</v>
      </c>
      <c r="F575">
        <f t="shared" si="7"/>
        <v>8.4418919999999993</v>
      </c>
      <c r="H575" t="str">
        <f>IF(E575&lt;0.05,INT(($A575-m_phot!$L$4)/m_phot!$L$5),"")</f>
        <v/>
      </c>
      <c r="I575" t="str">
        <f t="shared" si="8"/>
        <v/>
      </c>
      <c r="J575">
        <f t="shared" si="9"/>
        <v>-0.258108</v>
      </c>
    </row>
    <row r="576" spans="1:10" ht="14.25" customHeight="1" x14ac:dyDescent="0.25">
      <c r="A576" s="1">
        <v>2447468.5028599999</v>
      </c>
      <c r="B576" s="1" t="s">
        <v>934</v>
      </c>
      <c r="C576" s="1">
        <v>8.443085</v>
      </c>
      <c r="D576" s="1"/>
      <c r="E576">
        <f>(A576-m_phot!L$4)/m_phot!L$5-INT((A576-m_phot!L$4)/m_phot!L$5)</f>
        <v>0.35150380894046762</v>
      </c>
      <c r="F576">
        <f t="shared" si="7"/>
        <v>8.443085</v>
      </c>
      <c r="H576" t="str">
        <f>IF(E576&lt;0.05,INT(($A576-m_phot!$L$4)/m_phot!$L$5),"")</f>
        <v/>
      </c>
      <c r="I576" t="str">
        <f t="shared" si="8"/>
        <v/>
      </c>
      <c r="J576">
        <f t="shared" si="9"/>
        <v>-0.25691499999999934</v>
      </c>
    </row>
    <row r="577" spans="1:10" ht="14.25" customHeight="1" x14ac:dyDescent="0.25">
      <c r="A577" s="1">
        <v>2447483.69594</v>
      </c>
      <c r="B577" s="1" t="s">
        <v>935</v>
      </c>
      <c r="C577" s="1">
        <v>8.4457690000000003</v>
      </c>
      <c r="D577" s="1"/>
      <c r="E577">
        <f>(A577-m_phot!L$4)/m_phot!L$5-INT((A577-m_phot!L$4)/m_phot!L$5)</f>
        <v>0.3701113778322167</v>
      </c>
      <c r="F577">
        <f t="shared" si="7"/>
        <v>8.4457690000000003</v>
      </c>
      <c r="H577" t="str">
        <f>IF(E577&lt;0.05,INT(($A577-m_phot!$L$4)/m_phot!$L$5),"")</f>
        <v/>
      </c>
      <c r="I577" t="str">
        <f t="shared" si="8"/>
        <v/>
      </c>
      <c r="J577">
        <f t="shared" si="9"/>
        <v>-0.25423099999999899</v>
      </c>
    </row>
    <row r="578" spans="1:10" ht="14.25" customHeight="1" x14ac:dyDescent="0.25">
      <c r="A578" s="1">
        <v>2447499.9936199998</v>
      </c>
      <c r="B578" s="1" t="s">
        <v>936</v>
      </c>
      <c r="C578" s="1">
        <v>8.3731709999999993</v>
      </c>
      <c r="D578" s="1"/>
      <c r="E578">
        <f>(A578-m_phot!L$4)/m_phot!L$5-INT((A578-m_phot!L$4)/m_phot!L$5)</f>
        <v>0.39007179424353566</v>
      </c>
      <c r="F578">
        <f t="shared" si="7"/>
        <v>8.3731709999999993</v>
      </c>
      <c r="H578" t="str">
        <f>IF(E578&lt;0.05,INT(($A578-m_phot!$L$4)/m_phot!$L$5),"")</f>
        <v/>
      </c>
      <c r="I578" t="str">
        <f t="shared" si="8"/>
        <v/>
      </c>
      <c r="J578">
        <f t="shared" si="9"/>
        <v>-0.32682900000000004</v>
      </c>
    </row>
    <row r="579" spans="1:10" ht="14.25" customHeight="1" x14ac:dyDescent="0.25">
      <c r="A579" s="1">
        <v>2447516.2873399998</v>
      </c>
      <c r="B579" s="1" t="s">
        <v>937</v>
      </c>
      <c r="C579" s="1">
        <v>8.4241379999999992</v>
      </c>
      <c r="D579" s="1"/>
      <c r="E579">
        <f>(A579-m_phot!L$4)/m_phot!L$5-INT((A579-m_phot!L$4)/m_phot!L$5)</f>
        <v>0.41002736068561774</v>
      </c>
      <c r="F579">
        <f t="shared" si="7"/>
        <v>8.4241379999999992</v>
      </c>
      <c r="H579" t="str">
        <f>IF(E579&lt;0.05,INT(($A579-m_phot!$L$4)/m_phot!$L$5),"")</f>
        <v/>
      </c>
      <c r="I579" t="str">
        <f t="shared" si="8"/>
        <v/>
      </c>
      <c r="J579">
        <f t="shared" si="9"/>
        <v>-0.27586200000000005</v>
      </c>
    </row>
    <row r="580" spans="1:10" ht="14.25" customHeight="1" x14ac:dyDescent="0.25">
      <c r="A580" s="1">
        <v>2447531.7835599999</v>
      </c>
      <c r="B580" s="1" t="s">
        <v>938</v>
      </c>
      <c r="C580" s="1">
        <v>8.3956250000000008</v>
      </c>
      <c r="D580" s="1"/>
      <c r="E580">
        <f>(A580-m_phot!L$4)/m_phot!L$5-INT((A580-m_phot!L$4)/m_phot!L$5)</f>
        <v>0.42900619718296795</v>
      </c>
      <c r="F580">
        <f t="shared" si="7"/>
        <v>8.3956250000000008</v>
      </c>
      <c r="H580" t="str">
        <f>IF(E580&lt;0.05,INT(($A580-m_phot!$L$4)/m_phot!$L$5),"")</f>
        <v/>
      </c>
      <c r="I580" t="str">
        <f t="shared" si="8"/>
        <v/>
      </c>
      <c r="J580">
        <f t="shared" si="9"/>
        <v>-0.30437499999999851</v>
      </c>
    </row>
    <row r="581" spans="1:10" ht="14.25" customHeight="1" x14ac:dyDescent="0.25">
      <c r="A581" s="1">
        <v>2447549.12182</v>
      </c>
      <c r="B581" s="1" t="s">
        <v>939</v>
      </c>
      <c r="C581" s="1">
        <v>8.4223079999999992</v>
      </c>
      <c r="D581" s="1"/>
      <c r="E581">
        <f>(A581-m_phot!L$4)/m_phot!L$5-INT((A581-m_phot!L$4)/m_phot!L$5)</f>
        <v>0.45024105327618003</v>
      </c>
      <c r="F581">
        <f t="shared" si="7"/>
        <v>8.4223079999999992</v>
      </c>
      <c r="H581" t="str">
        <f>IF(E581&lt;0.05,INT(($A581-m_phot!$L$4)/m_phot!$L$5),"")</f>
        <v/>
      </c>
      <c r="I581" t="str">
        <f t="shared" si="8"/>
        <v/>
      </c>
      <c r="J581">
        <f t="shared" si="9"/>
        <v>-0.27769200000000005</v>
      </c>
    </row>
    <row r="582" spans="1:10" ht="14.25" customHeight="1" x14ac:dyDescent="0.25">
      <c r="A582" s="1">
        <v>2447574.15</v>
      </c>
      <c r="B582" s="1" t="s">
        <v>940</v>
      </c>
      <c r="C582" s="1">
        <v>8.5500000000000007</v>
      </c>
      <c r="D582" s="1"/>
      <c r="E582">
        <f>(A582-m_phot!L$4)/m_phot!L$5-INT((A582-m_phot!L$4)/m_phot!L$5)</f>
        <v>0.4808940600121332</v>
      </c>
      <c r="F582">
        <f t="shared" si="7"/>
        <v>8.5500000000000007</v>
      </c>
      <c r="H582" t="str">
        <f>IF(E582&lt;0.05,INT(($A582-m_phot!$L$4)/m_phot!$L$5),"")</f>
        <v/>
      </c>
      <c r="I582" t="str">
        <f t="shared" si="8"/>
        <v/>
      </c>
      <c r="J582">
        <f t="shared" si="9"/>
        <v>-0.14999999999999858</v>
      </c>
    </row>
    <row r="583" spans="1:10" ht="14.25" customHeight="1" x14ac:dyDescent="0.25">
      <c r="A583" s="1">
        <v>2447636.1666700002</v>
      </c>
      <c r="B583" s="1" t="s">
        <v>941</v>
      </c>
      <c r="C583" s="1">
        <v>8.3333329999999997</v>
      </c>
      <c r="D583" s="1"/>
      <c r="E583">
        <f>(A583-m_phot!L$4)/m_phot!L$5-INT((A583-m_phot!L$4)/m_phot!L$5)</f>
        <v>0.55684834047787035</v>
      </c>
      <c r="F583">
        <f t="shared" si="7"/>
        <v>8.3333329999999997</v>
      </c>
      <c r="H583" t="str">
        <f>IF(E583&lt;0.05,INT(($A583-m_phot!$L$4)/m_phot!$L$5),"")</f>
        <v/>
      </c>
      <c r="I583" t="str">
        <f t="shared" si="8"/>
        <v/>
      </c>
      <c r="J583">
        <f t="shared" si="9"/>
        <v>-0.36666699999999963</v>
      </c>
    </row>
    <row r="584" spans="1:10" ht="14.25" customHeight="1" x14ac:dyDescent="0.25">
      <c r="A584" s="1">
        <v>2447656.36527</v>
      </c>
      <c r="B584" s="1" t="s">
        <v>942</v>
      </c>
      <c r="C584" s="1">
        <v>8.5399999999999991</v>
      </c>
      <c r="D584" s="1"/>
      <c r="E584">
        <f>(A584-m_phot!L$4)/m_phot!L$5-INT((A584-m_phot!L$4)/m_phot!L$5)</f>
        <v>0.58158636864660096</v>
      </c>
      <c r="F584">
        <f t="shared" si="7"/>
        <v>8.5399999999999991</v>
      </c>
      <c r="H584" t="str">
        <f>IF(E584&lt;0.05,INT(($A584-m_phot!$L$4)/m_phot!$L$5),"")</f>
        <v/>
      </c>
      <c r="I584" t="str">
        <f t="shared" si="8"/>
        <v/>
      </c>
      <c r="J584">
        <f t="shared" si="9"/>
        <v>-0.16000000000000014</v>
      </c>
    </row>
    <row r="585" spans="1:10" ht="14.25" customHeight="1" x14ac:dyDescent="0.25">
      <c r="A585" s="1">
        <v>2447673.6157200001</v>
      </c>
      <c r="B585" s="1" t="s">
        <v>943</v>
      </c>
      <c r="C585" s="1">
        <v>8.5359999999999996</v>
      </c>
      <c r="D585" s="1"/>
      <c r="E585">
        <f>(A585-m_phot!L$4)/m_phot!L$5-INT((A585-m_phot!L$4)/m_phot!L$5)</f>
        <v>0.60271368034307216</v>
      </c>
      <c r="F585">
        <f t="shared" si="7"/>
        <v>8.5359999999999996</v>
      </c>
      <c r="H585" t="str">
        <f>IF(E585&lt;0.05,INT(($A585-m_phot!$L$4)/m_phot!$L$5),"")</f>
        <v/>
      </c>
      <c r="I585" t="str">
        <f t="shared" si="8"/>
        <v/>
      </c>
      <c r="J585">
        <f t="shared" si="9"/>
        <v>-0.1639999999999997</v>
      </c>
    </row>
    <row r="586" spans="1:10" ht="14.25" customHeight="1" x14ac:dyDescent="0.25">
      <c r="A586" s="1">
        <v>2447690.5493200002</v>
      </c>
      <c r="B586" s="1" t="s">
        <v>944</v>
      </c>
      <c r="C586" s="1">
        <v>8.5092309999999998</v>
      </c>
      <c r="D586" s="1"/>
      <c r="E586">
        <f>(A586-m_phot!L$4)/m_phot!L$5-INT((A586-m_phot!L$4)/m_phot!L$5)</f>
        <v>0.62345293325195783</v>
      </c>
      <c r="F586">
        <f t="shared" si="7"/>
        <v>8.5092309999999998</v>
      </c>
      <c r="H586" t="str">
        <f>IF(E586&lt;0.05,INT(($A586-m_phot!$L$4)/m_phot!$L$5),"")</f>
        <v/>
      </c>
      <c r="I586" t="str">
        <f t="shared" si="8"/>
        <v/>
      </c>
      <c r="J586">
        <f t="shared" si="9"/>
        <v>-0.19076899999999952</v>
      </c>
    </row>
    <row r="587" spans="1:10" ht="14.25" customHeight="1" x14ac:dyDescent="0.25">
      <c r="A587" s="1">
        <v>2447709.8399800002</v>
      </c>
      <c r="B587" s="1" t="s">
        <v>945</v>
      </c>
      <c r="C587" s="1">
        <v>8.5378260000000008</v>
      </c>
      <c r="D587" s="1"/>
      <c r="E587">
        <f>(A587-m_phot!L$4)/m_phot!L$5-INT((A587-m_phot!L$4)/m_phot!L$5)</f>
        <v>0.64707897121881786</v>
      </c>
      <c r="F587">
        <f t="shared" si="7"/>
        <v>8.5378260000000008</v>
      </c>
      <c r="H587" t="str">
        <f>IF(E587&lt;0.05,INT(($A587-m_phot!$L$4)/m_phot!$L$5),"")</f>
        <v/>
      </c>
      <c r="I587" t="str">
        <f t="shared" si="8"/>
        <v/>
      </c>
      <c r="J587">
        <f t="shared" si="9"/>
        <v>-0.16217399999999849</v>
      </c>
    </row>
    <row r="588" spans="1:10" ht="14.25" customHeight="1" x14ac:dyDescent="0.25">
      <c r="A588" s="1">
        <v>2447719.7427300001</v>
      </c>
      <c r="B588" s="1" t="s">
        <v>946</v>
      </c>
      <c r="C588" s="1">
        <v>8.5659379999999992</v>
      </c>
      <c r="D588" s="1"/>
      <c r="E588">
        <f>(A588-m_phot!L$4)/m_phot!L$5-INT((A588-m_phot!L$4)/m_phot!L$5)</f>
        <v>0.65920726270674379</v>
      </c>
      <c r="F588">
        <f t="shared" si="7"/>
        <v>8.5659379999999992</v>
      </c>
      <c r="H588" t="str">
        <f>IF(E588&lt;0.05,INT(($A588-m_phot!$L$4)/m_phot!$L$5),"")</f>
        <v/>
      </c>
      <c r="I588" t="str">
        <f t="shared" si="8"/>
        <v/>
      </c>
      <c r="J588">
        <f t="shared" si="9"/>
        <v>-0.13406200000000013</v>
      </c>
    </row>
    <row r="589" spans="1:10" ht="14.25" customHeight="1" x14ac:dyDescent="0.25">
      <c r="A589" s="1">
        <v>2447737.2447500001</v>
      </c>
      <c r="B589" s="1" t="s">
        <v>947</v>
      </c>
      <c r="C589" s="1">
        <v>8.5490910000000007</v>
      </c>
      <c r="D589" s="1"/>
      <c r="E589">
        <f>(A589-m_phot!L$4)/m_phot!L$5-INT((A589-m_phot!L$4)/m_phot!L$5)</f>
        <v>0.68064268218012458</v>
      </c>
      <c r="F589">
        <f t="shared" si="7"/>
        <v>8.5490910000000007</v>
      </c>
      <c r="H589" t="str">
        <f>IF(E589&lt;0.05,INT(($A589-m_phot!$L$4)/m_phot!$L$5),"")</f>
        <v/>
      </c>
      <c r="I589" t="str">
        <f t="shared" si="8"/>
        <v/>
      </c>
      <c r="J589">
        <f t="shared" si="9"/>
        <v>-0.15090899999999863</v>
      </c>
    </row>
    <row r="590" spans="1:10" ht="14.25" customHeight="1" x14ac:dyDescent="0.25">
      <c r="A590" s="1">
        <v>2447749.9135400001</v>
      </c>
      <c r="B590" s="1" t="s">
        <v>948</v>
      </c>
      <c r="C590" s="1">
        <v>8.58</v>
      </c>
      <c r="D590" s="1"/>
      <c r="E590">
        <f>(A590-m_phot!L$4)/m_phot!L$5-INT((A590-m_phot!L$4)/m_phot!L$5)</f>
        <v>0.69615865278640143</v>
      </c>
      <c r="F590">
        <f t="shared" si="7"/>
        <v>8.58</v>
      </c>
      <c r="H590" t="str">
        <f>IF(E590&lt;0.05,INT(($A590-m_phot!$L$4)/m_phot!$L$5),"")</f>
        <v/>
      </c>
      <c r="I590" t="str">
        <f t="shared" si="8"/>
        <v/>
      </c>
      <c r="J590">
        <f t="shared" si="9"/>
        <v>-0.11999999999999922</v>
      </c>
    </row>
    <row r="591" spans="1:10" ht="14.25" customHeight="1" x14ac:dyDescent="0.25">
      <c r="A591" s="1">
        <v>2447766.3642600002</v>
      </c>
      <c r="B591" s="1" t="s">
        <v>949</v>
      </c>
      <c r="C591" s="1">
        <v>8.5558750000000003</v>
      </c>
      <c r="D591" s="1"/>
      <c r="E591">
        <f>(A591-m_phot!L$4)/m_phot!L$5-INT((A591-m_phot!L$4)/m_phot!L$5)</f>
        <v>0.71630650336825141</v>
      </c>
      <c r="F591">
        <f t="shared" si="7"/>
        <v>8.5558750000000003</v>
      </c>
      <c r="H591" t="str">
        <f>IF(E591&lt;0.05,INT(($A591-m_phot!$L$4)/m_phot!$L$5),"")</f>
        <v/>
      </c>
      <c r="I591" t="str">
        <f t="shared" si="8"/>
        <v/>
      </c>
      <c r="J591">
        <f t="shared" si="9"/>
        <v>-0.14412499999999895</v>
      </c>
    </row>
    <row r="592" spans="1:10" ht="14.25" customHeight="1" x14ac:dyDescent="0.25">
      <c r="A592" s="1">
        <v>2447780.8652400002</v>
      </c>
      <c r="B592" s="1" t="s">
        <v>950</v>
      </c>
      <c r="C592" s="1">
        <v>8.5746669999999998</v>
      </c>
      <c r="D592" s="1"/>
      <c r="E592">
        <f>(A592-m_phot!L$4)/m_phot!L$5-INT((A592-m_phot!L$4)/m_phot!L$5)</f>
        <v>0.73406642988388171</v>
      </c>
      <c r="F592">
        <f t="shared" si="7"/>
        <v>8.5746669999999998</v>
      </c>
      <c r="H592" t="str">
        <f>IF(E592&lt;0.05,INT(($A592-m_phot!$L$4)/m_phot!$L$5),"")</f>
        <v/>
      </c>
      <c r="I592" t="str">
        <f t="shared" si="8"/>
        <v/>
      </c>
      <c r="J592">
        <f t="shared" si="9"/>
        <v>-0.12533299999999947</v>
      </c>
    </row>
    <row r="593" spans="1:10" ht="14.25" customHeight="1" x14ac:dyDescent="0.25">
      <c r="A593" s="1">
        <v>2447796.0323200002</v>
      </c>
      <c r="B593" s="1" t="s">
        <v>951</v>
      </c>
      <c r="C593" s="1">
        <v>8.6215480000000007</v>
      </c>
      <c r="D593" s="1"/>
      <c r="E593">
        <f>(A593-m_phot!L$4)/m_phot!L$5-INT((A593-m_phot!L$4)/m_phot!L$5)</f>
        <v>0.75264215554222957</v>
      </c>
      <c r="F593">
        <f t="shared" si="7"/>
        <v>8.6215480000000007</v>
      </c>
      <c r="H593" t="str">
        <f>IF(E593&lt;0.05,INT(($A593-m_phot!$L$4)/m_phot!$L$5),"")</f>
        <v/>
      </c>
      <c r="I593" t="str">
        <f t="shared" si="8"/>
        <v/>
      </c>
      <c r="J593">
        <f t="shared" si="9"/>
        <v>-7.8451999999998634E-2</v>
      </c>
    </row>
    <row r="594" spans="1:10" ht="14.25" customHeight="1" x14ac:dyDescent="0.25">
      <c r="A594" s="1">
        <v>2447809.9353100001</v>
      </c>
      <c r="B594" s="1" t="s">
        <v>952</v>
      </c>
      <c r="C594" s="1">
        <v>8.5944439999999993</v>
      </c>
      <c r="D594" s="1"/>
      <c r="E594">
        <f>(A594-m_phot!L$4)/m_phot!L$5-INT((A594-m_phot!L$4)/m_phot!L$5)</f>
        <v>0.76966969993886991</v>
      </c>
      <c r="F594">
        <f t="shared" si="7"/>
        <v>8.5944439999999993</v>
      </c>
      <c r="H594" t="str">
        <f>IF(E594&lt;0.05,INT(($A594-m_phot!$L$4)/m_phot!$L$5),"")</f>
        <v/>
      </c>
      <c r="I594" t="str">
        <f t="shared" si="8"/>
        <v/>
      </c>
      <c r="J594">
        <f t="shared" si="9"/>
        <v>-0.10555599999999998</v>
      </c>
    </row>
    <row r="595" spans="1:10" ht="14.25" customHeight="1" x14ac:dyDescent="0.25">
      <c r="A595" s="1">
        <v>2447826.64549</v>
      </c>
      <c r="B595" s="1" t="s">
        <v>953</v>
      </c>
      <c r="C595" s="1">
        <v>8.6028739999999999</v>
      </c>
      <c r="D595" s="1"/>
      <c r="E595">
        <f>(A595-m_phot!L$4)/m_phot!L$5-INT((A595-m_phot!L$4)/m_phot!L$5)</f>
        <v>0.79013532149421195</v>
      </c>
      <c r="F595">
        <f t="shared" si="7"/>
        <v>8.6028739999999999</v>
      </c>
      <c r="H595" t="str">
        <f>IF(E595&lt;0.05,INT(($A595-m_phot!$L$4)/m_phot!$L$5),"")</f>
        <v/>
      </c>
      <c r="I595" t="str">
        <f t="shared" si="8"/>
        <v/>
      </c>
      <c r="J595">
        <f t="shared" si="9"/>
        <v>-9.7125999999999379E-2</v>
      </c>
    </row>
    <row r="596" spans="1:10" ht="14.25" customHeight="1" x14ac:dyDescent="0.25">
      <c r="A596" s="1">
        <v>2447843.25495</v>
      </c>
      <c r="B596" s="1" t="s">
        <v>954</v>
      </c>
      <c r="C596" s="1">
        <v>8.6025639999999992</v>
      </c>
      <c r="D596" s="1"/>
      <c r="E596">
        <f>(A596-m_phot!L$4)/m_phot!L$5-INT((A596-m_phot!L$4)/m_phot!L$5)</f>
        <v>0.8104775872626746</v>
      </c>
      <c r="F596">
        <f t="shared" si="7"/>
        <v>8.6025639999999992</v>
      </c>
      <c r="H596" t="str">
        <f>IF(E596&lt;0.05,INT(($A596-m_phot!$L$4)/m_phot!$L$5),"")</f>
        <v/>
      </c>
      <c r="I596" t="str">
        <f t="shared" si="8"/>
        <v/>
      </c>
      <c r="J596">
        <f t="shared" si="9"/>
        <v>-9.7436000000000078E-2</v>
      </c>
    </row>
    <row r="597" spans="1:10" ht="14.25" customHeight="1" x14ac:dyDescent="0.25">
      <c r="A597" s="1">
        <v>2447858.0143300002</v>
      </c>
      <c r="B597" s="1" t="s">
        <v>955</v>
      </c>
      <c r="C597" s="1">
        <v>8.6837309999999999</v>
      </c>
      <c r="D597" s="1"/>
      <c r="E597">
        <f>(A597-m_phot!L$4)/m_phot!L$5-INT((A597-m_phot!L$4)/m_phot!L$5)</f>
        <v>0.82855398652804624</v>
      </c>
      <c r="F597">
        <f t="shared" si="7"/>
        <v>8.6837309999999999</v>
      </c>
      <c r="H597" t="str">
        <f>IF(E597&lt;0.05,INT(($A597-m_phot!$L$4)/m_phot!$L$5),"")</f>
        <v/>
      </c>
      <c r="I597" t="str">
        <f t="shared" si="8"/>
        <v/>
      </c>
      <c r="J597">
        <f t="shared" si="9"/>
        <v>-1.6268999999999423E-2</v>
      </c>
    </row>
    <row r="598" spans="1:10" ht="14.25" customHeight="1" x14ac:dyDescent="0.25">
      <c r="A598" s="1">
        <v>2447874.1559700002</v>
      </c>
      <c r="B598" s="1" t="s">
        <v>956</v>
      </c>
      <c r="C598" s="1">
        <v>8.5313040000000004</v>
      </c>
      <c r="D598" s="1"/>
      <c r="E598">
        <f>(A598-m_phot!L$4)/m_phot!L$5-INT((A598-m_phot!L$4)/m_phot!L$5)</f>
        <v>0.84832329455014843</v>
      </c>
      <c r="F598">
        <f t="shared" si="7"/>
        <v>8.5313040000000004</v>
      </c>
      <c r="H598" t="str">
        <f>IF(E598&lt;0.05,INT(($A598-m_phot!$L$4)/m_phot!$L$5),"")</f>
        <v/>
      </c>
      <c r="I598" t="str">
        <f t="shared" si="8"/>
        <v/>
      </c>
      <c r="J598">
        <f t="shared" si="9"/>
        <v>-0.16869599999999885</v>
      </c>
    </row>
    <row r="599" spans="1:10" ht="14.25" customHeight="1" x14ac:dyDescent="0.25">
      <c r="A599" s="1">
        <v>2447887.92778</v>
      </c>
      <c r="B599" s="1" t="s">
        <v>957</v>
      </c>
      <c r="C599" s="1">
        <v>8.5745450000000005</v>
      </c>
      <c r="D599" s="1"/>
      <c r="E599">
        <f>(A599-m_phot!L$4)/m_phot!L$5-INT((A599-m_phot!L$4)/m_phot!L$5)</f>
        <v>0.86519017758729433</v>
      </c>
      <c r="F599">
        <f t="shared" ref="F599:F662" si="10">+C599</f>
        <v>8.5745450000000005</v>
      </c>
      <c r="H599" t="str">
        <f>IF(E599&lt;0.05,INT(($A599-m_phot!$L$4)/m_phot!$L$5),"")</f>
        <v/>
      </c>
      <c r="I599" t="str">
        <f t="shared" si="8"/>
        <v/>
      </c>
      <c r="J599">
        <f t="shared" si="9"/>
        <v>-0.12545499999999876</v>
      </c>
    </row>
    <row r="600" spans="1:10" ht="14.25" customHeight="1" x14ac:dyDescent="0.25">
      <c r="A600" s="1">
        <v>2447904.6147599998</v>
      </c>
      <c r="B600" s="1" t="s">
        <v>958</v>
      </c>
      <c r="C600" s="1">
        <v>8.6881249999999994</v>
      </c>
      <c r="D600" s="1"/>
      <c r="E600">
        <f>(A600-m_phot!L$4)/m_phot!L$5-INT((A600-m_phot!L$4)/m_phot!L$5)</f>
        <v>0.88562738518039552</v>
      </c>
      <c r="F600">
        <f t="shared" si="10"/>
        <v>8.6881249999999994</v>
      </c>
      <c r="H600" t="str">
        <f>IF(E600&lt;0.05,INT(($A600-m_phot!$L$4)/m_phot!$L$5),"")</f>
        <v/>
      </c>
      <c r="I600" t="str">
        <f t="shared" si="8"/>
        <v/>
      </c>
      <c r="J600">
        <f t="shared" si="9"/>
        <v>-1.1874999999999858E-2</v>
      </c>
    </row>
    <row r="601" spans="1:10" ht="14.25" customHeight="1" x14ac:dyDescent="0.25">
      <c r="A601" s="1">
        <v>2447922.0353999999</v>
      </c>
      <c r="B601" s="1" t="s">
        <v>959</v>
      </c>
      <c r="C601" s="1">
        <v>8.6850000000000005</v>
      </c>
      <c r="D601" s="1"/>
      <c r="E601">
        <f>(A601-m_phot!L$4)/m_phot!L$5-INT((A601-m_phot!L$4)/m_phot!L$5)</f>
        <v>0.9069631353336618</v>
      </c>
      <c r="F601">
        <f t="shared" si="10"/>
        <v>8.6850000000000005</v>
      </c>
      <c r="H601" t="str">
        <f>IF(E601&lt;0.05,INT(($A601-m_phot!$L$4)/m_phot!$L$5),"")</f>
        <v/>
      </c>
      <c r="I601" t="str">
        <f t="shared" si="8"/>
        <v/>
      </c>
      <c r="J601">
        <f t="shared" si="9"/>
        <v>-1.4999999999998792E-2</v>
      </c>
    </row>
    <row r="602" spans="1:10" ht="14.25" customHeight="1" x14ac:dyDescent="0.25">
      <c r="A602" s="1">
        <v>2447945.8250000002</v>
      </c>
      <c r="B602" s="1" t="s">
        <v>960</v>
      </c>
      <c r="C602" s="1">
        <v>8.6750000000000007</v>
      </c>
      <c r="D602" s="1"/>
      <c r="E602">
        <f>(A602-m_phot!L$4)/m_phot!L$5-INT((A602-m_phot!L$4)/m_phot!L$5)</f>
        <v>0.93609920391939383</v>
      </c>
      <c r="F602">
        <f t="shared" si="10"/>
        <v>8.6750000000000007</v>
      </c>
      <c r="H602" t="str">
        <f>IF(E602&lt;0.05,INT(($A602-m_phot!$L$4)/m_phot!$L$5),"")</f>
        <v/>
      </c>
      <c r="I602" t="str">
        <f t="shared" si="8"/>
        <v/>
      </c>
      <c r="J602">
        <f t="shared" si="9"/>
        <v>-2.4999999999998579E-2</v>
      </c>
    </row>
    <row r="603" spans="1:10" ht="14.25" customHeight="1" x14ac:dyDescent="0.25">
      <c r="A603" s="1">
        <v>2447978.1</v>
      </c>
      <c r="B603" s="1" t="s">
        <v>961</v>
      </c>
      <c r="C603" s="1">
        <v>8.6999999999999993</v>
      </c>
      <c r="D603" s="1"/>
      <c r="E603">
        <f>(A603-m_phot!L$4)/m_phot!L$5-INT((A603-m_phot!L$4)/m_phot!L$5)</f>
        <v>0.97562767911830051</v>
      </c>
      <c r="F603">
        <f t="shared" si="10"/>
        <v>8.6999999999999993</v>
      </c>
      <c r="H603" t="str">
        <f>IF(E603&lt;0.05,INT(($A603-m_phot!$L$4)/m_phot!$L$5),"")</f>
        <v/>
      </c>
      <c r="I603" t="str">
        <f t="shared" si="8"/>
        <v/>
      </c>
      <c r="J603">
        <f t="shared" si="9"/>
        <v>0</v>
      </c>
    </row>
    <row r="604" spans="1:10" ht="14.25" customHeight="1" x14ac:dyDescent="0.25">
      <c r="A604" s="1">
        <v>2447993.1</v>
      </c>
      <c r="B604" s="1" t="s">
        <v>962</v>
      </c>
      <c r="C604" s="1">
        <v>8.5500000000000007</v>
      </c>
      <c r="D604" s="1"/>
      <c r="E604">
        <f>(A604-m_phot!L$4)/m_phot!L$5-INT((A604-m_phot!L$4)/m_phot!L$5)</f>
        <v>0.99399877526037272</v>
      </c>
      <c r="F604">
        <f t="shared" si="10"/>
        <v>8.5500000000000007</v>
      </c>
      <c r="H604" t="str">
        <f>IF(E604&lt;0.05,INT(($A604-m_phot!$L$4)/m_phot!$L$5),"")</f>
        <v/>
      </c>
      <c r="I604" t="str">
        <f t="shared" si="8"/>
        <v/>
      </c>
      <c r="J604">
        <f t="shared" si="9"/>
        <v>-0.14999999999999858</v>
      </c>
    </row>
    <row r="605" spans="1:10" ht="14.25" customHeight="1" x14ac:dyDescent="0.25">
      <c r="A605" s="1">
        <v>2448014.15117</v>
      </c>
      <c r="B605" s="1" t="s">
        <v>963</v>
      </c>
      <c r="C605" s="1">
        <v>8.7390000000000008</v>
      </c>
      <c r="D605" s="1"/>
      <c r="E605">
        <f>(A605-m_phot!L$4)/m_phot!L$5-INT((A605-m_phot!L$4)/m_phot!L$5)</f>
        <v>1.9780979791754305E-2</v>
      </c>
      <c r="F605">
        <f t="shared" si="10"/>
        <v>8.7390000000000008</v>
      </c>
      <c r="H605">
        <f>IF(E605&lt;0.05,INT(($A605-m_phot!$L$4)/m_phot!$L$5),"")</f>
        <v>20</v>
      </c>
      <c r="I605">
        <f t="shared" si="8"/>
        <v>8.7445000000000004</v>
      </c>
      <c r="J605">
        <f>+C605-I$605</f>
        <v>-5.4999999999996163E-3</v>
      </c>
    </row>
    <row r="606" spans="1:10" ht="14.25" customHeight="1" x14ac:dyDescent="0.25">
      <c r="A606" s="1">
        <v>2448035.3764499999</v>
      </c>
      <c r="B606" s="1" t="s">
        <v>964</v>
      </c>
      <c r="C606" s="1">
        <v>8.75</v>
      </c>
      <c r="D606" s="1"/>
      <c r="E606">
        <f>(A606-m_phot!L$4)/m_phot!L$5-INT((A606-m_phot!L$4)/m_phot!L$5)</f>
        <v>4.5776423759786411E-2</v>
      </c>
      <c r="F606">
        <f t="shared" si="10"/>
        <v>8.75</v>
      </c>
      <c r="H606">
        <f>IF(E606&lt;0.05,INT(($A606-m_phot!$L$4)/m_phot!$L$5),"")</f>
        <v>20</v>
      </c>
      <c r="I606">
        <f t="shared" si="8"/>
        <v>8.7208335000000012</v>
      </c>
      <c r="J606">
        <f t="shared" ref="J606:J648" si="11">+C606-I$605</f>
        <v>5.4999999999996163E-3</v>
      </c>
    </row>
    <row r="607" spans="1:10" ht="14.25" customHeight="1" x14ac:dyDescent="0.25">
      <c r="A607" s="1">
        <v>2448045.0313300001</v>
      </c>
      <c r="B607" s="1" t="s">
        <v>965</v>
      </c>
      <c r="C607" s="1">
        <v>8.6916670000000007</v>
      </c>
      <c r="D607" s="1"/>
      <c r="E607">
        <f>(A607-m_phot!L$4)/m_phot!L$5-INT((A607-m_phot!L$4)/m_phot!L$5)</f>
        <v>5.7601139008134794E-2</v>
      </c>
      <c r="F607">
        <f t="shared" si="10"/>
        <v>8.6916670000000007</v>
      </c>
      <c r="H607" t="str">
        <f>IF(E607&lt;0.05,INT(($A607-m_phot!$L$4)/m_phot!$L$5),"")</f>
        <v/>
      </c>
      <c r="I607" t="str">
        <f t="shared" si="8"/>
        <v/>
      </c>
      <c r="J607">
        <f t="shared" si="11"/>
        <v>-5.2832999999999686E-2</v>
      </c>
    </row>
    <row r="608" spans="1:10" ht="14.25" customHeight="1" x14ac:dyDescent="0.25">
      <c r="A608" s="1">
        <v>2448065.03094</v>
      </c>
      <c r="B608" s="1" t="s">
        <v>966</v>
      </c>
      <c r="C608" s="1">
        <v>8.7260000000000009</v>
      </c>
      <c r="D608" s="1"/>
      <c r="E608">
        <f>(A608-m_phot!L$4)/m_phot!L$5-INT((A608-m_phot!L$4)/m_phot!L$5)</f>
        <v>8.2095456215515838E-2</v>
      </c>
      <c r="F608">
        <f t="shared" si="10"/>
        <v>8.7260000000000009</v>
      </c>
      <c r="H608" t="str">
        <f>IF(E608&lt;0.05,INT(($A608-m_phot!$L$4)/m_phot!$L$5),"")</f>
        <v/>
      </c>
      <c r="I608" t="str">
        <f t="shared" si="8"/>
        <v/>
      </c>
      <c r="J608">
        <f t="shared" si="11"/>
        <v>-1.8499999999999517E-2</v>
      </c>
    </row>
    <row r="609" spans="1:10" ht="14.25" customHeight="1" x14ac:dyDescent="0.25">
      <c r="A609" s="1">
        <v>2448076.5112899998</v>
      </c>
      <c r="B609" s="1" t="s">
        <v>967</v>
      </c>
      <c r="C609" s="1">
        <v>8.6518180000000005</v>
      </c>
      <c r="D609" s="1"/>
      <c r="E609">
        <f>(A609-m_phot!L$4)/m_phot!L$5-INT((A609-m_phot!L$4)/m_phot!L$5)</f>
        <v>9.6155897121640521E-2</v>
      </c>
      <c r="F609">
        <f t="shared" si="10"/>
        <v>8.6518180000000005</v>
      </c>
      <c r="H609" t="str">
        <f>IF(E609&lt;0.05,INT(($A609-m_phot!$L$4)/m_phot!$L$5),"")</f>
        <v/>
      </c>
      <c r="I609" t="str">
        <f t="shared" si="8"/>
        <v/>
      </c>
      <c r="J609">
        <f t="shared" si="11"/>
        <v>-9.2681999999999931E-2</v>
      </c>
    </row>
    <row r="610" spans="1:10" ht="14.25" customHeight="1" x14ac:dyDescent="0.25">
      <c r="A610" s="1">
        <v>2448093.25373</v>
      </c>
      <c r="B610" s="1" t="s">
        <v>968</v>
      </c>
      <c r="C610" s="1">
        <v>8.6349999999999998</v>
      </c>
      <c r="D610" s="1"/>
      <c r="E610">
        <f>(A610-m_phot!L$4)/m_phot!L$5-INT((A610-m_phot!L$4)/m_phot!L$5)</f>
        <v>0.11666102878137963</v>
      </c>
      <c r="F610">
        <f t="shared" si="10"/>
        <v>8.6349999999999998</v>
      </c>
      <c r="H610" t="str">
        <f>IF(E610&lt;0.05,INT(($A610-m_phot!$L$4)/m_phot!$L$5),"")</f>
        <v/>
      </c>
      <c r="I610" t="str">
        <f t="shared" si="8"/>
        <v/>
      </c>
      <c r="J610">
        <f t="shared" si="11"/>
        <v>-0.1095000000000006</v>
      </c>
    </row>
    <row r="611" spans="1:10" ht="14.25" customHeight="1" x14ac:dyDescent="0.25">
      <c r="A611" s="1">
        <v>2448105.4293900002</v>
      </c>
      <c r="B611" s="1" t="s">
        <v>969</v>
      </c>
      <c r="C611" s="1">
        <v>8.6688240000000008</v>
      </c>
      <c r="D611" s="1"/>
      <c r="E611">
        <f>(A611-m_phot!L$4)/m_phot!L$5-INT((A611-m_phot!L$4)/m_phot!L$5)</f>
        <v>0.13157304347847898</v>
      </c>
      <c r="F611">
        <f t="shared" si="10"/>
        <v>8.6688240000000008</v>
      </c>
      <c r="H611" t="str">
        <f>IF(E611&lt;0.05,INT(($A611-m_phot!$L$4)/m_phot!$L$5),"")</f>
        <v/>
      </c>
      <c r="I611" t="str">
        <f t="shared" si="8"/>
        <v/>
      </c>
      <c r="J611">
        <f t="shared" si="11"/>
        <v>-7.5675999999999632E-2</v>
      </c>
    </row>
    <row r="612" spans="1:10" ht="14.25" customHeight="1" x14ac:dyDescent="0.25">
      <c r="A612" s="1">
        <v>2448124.0269800001</v>
      </c>
      <c r="B612" s="1" t="s">
        <v>970</v>
      </c>
      <c r="C612" s="1">
        <v>8.6736620000000002</v>
      </c>
      <c r="D612" s="1"/>
      <c r="E612">
        <f>(A612-m_phot!L$4)/m_phot!L$5-INT((A612-m_phot!L$4)/m_phot!L$5)</f>
        <v>0.15435025107174738</v>
      </c>
      <c r="F612">
        <f t="shared" si="10"/>
        <v>8.6736620000000002</v>
      </c>
      <c r="H612" t="str">
        <f>IF(E612&lt;0.05,INT(($A612-m_phot!$L$4)/m_phot!$L$5),"")</f>
        <v/>
      </c>
      <c r="I612" t="str">
        <f t="shared" si="8"/>
        <v/>
      </c>
      <c r="J612">
        <f t="shared" si="11"/>
        <v>-7.0838000000000179E-2</v>
      </c>
    </row>
    <row r="613" spans="1:10" ht="14.25" customHeight="1" x14ac:dyDescent="0.25">
      <c r="A613" s="1">
        <v>2448139.0269900002</v>
      </c>
      <c r="B613" s="1" t="s">
        <v>971</v>
      </c>
      <c r="C613" s="1">
        <v>8.6523909999999997</v>
      </c>
      <c r="D613" s="1"/>
      <c r="E613">
        <f>(A613-m_phot!L$4)/m_phot!L$5-INT((A613-m_phot!L$4)/m_phot!L$5)</f>
        <v>0.17272135946130973</v>
      </c>
      <c r="F613">
        <f t="shared" si="10"/>
        <v>8.6523909999999997</v>
      </c>
      <c r="H613" t="str">
        <f>IF(E613&lt;0.05,INT(($A613-m_phot!$L$4)/m_phot!$L$5),"")</f>
        <v/>
      </c>
      <c r="I613" t="str">
        <f t="shared" si="8"/>
        <v/>
      </c>
      <c r="J613">
        <f t="shared" si="11"/>
        <v>-9.2109000000000663E-2</v>
      </c>
    </row>
    <row r="614" spans="1:10" ht="14.25" customHeight="1" x14ac:dyDescent="0.25">
      <c r="A614" s="1">
        <v>2448154.45731</v>
      </c>
      <c r="B614" s="1" t="s">
        <v>972</v>
      </c>
      <c r="C614" s="1">
        <v>8.5889190000000006</v>
      </c>
      <c r="D614" s="1"/>
      <c r="E614">
        <f>(A614-m_phot!L$4)/m_phot!L$5-INT((A614-m_phot!L$4)/m_phot!L$5)</f>
        <v>0.19161948560926945</v>
      </c>
      <c r="F614">
        <f t="shared" si="10"/>
        <v>8.5889190000000006</v>
      </c>
      <c r="H614" t="str">
        <f>IF(E614&lt;0.05,INT(($A614-m_phot!$L$4)/m_phot!$L$5),"")</f>
        <v/>
      </c>
      <c r="I614" t="str">
        <f t="shared" si="8"/>
        <v/>
      </c>
      <c r="J614">
        <f t="shared" si="11"/>
        <v>-0.15558099999999975</v>
      </c>
    </row>
    <row r="615" spans="1:10" ht="14.25" customHeight="1" x14ac:dyDescent="0.25">
      <c r="A615" s="1">
        <v>2448170.6691899998</v>
      </c>
      <c r="B615" s="1" t="s">
        <v>973</v>
      </c>
      <c r="C615" s="1">
        <v>8.7006779999999999</v>
      </c>
      <c r="D615" s="1"/>
      <c r="E615">
        <f>(A615-m_phot!L$4)/m_phot!L$5-INT((A615-m_phot!L$4)/m_phot!L$5)</f>
        <v>0.21147481935065571</v>
      </c>
      <c r="F615">
        <f t="shared" si="10"/>
        <v>8.7006779999999999</v>
      </c>
      <c r="H615" t="str">
        <f>IF(E615&lt;0.05,INT(($A615-m_phot!$L$4)/m_phot!$L$5),"")</f>
        <v/>
      </c>
      <c r="I615" t="str">
        <f t="shared" si="8"/>
        <v/>
      </c>
      <c r="J615">
        <f t="shared" si="11"/>
        <v>-4.3822000000000472E-2</v>
      </c>
    </row>
    <row r="616" spans="1:10" ht="14.25" customHeight="1" x14ac:dyDescent="0.25">
      <c r="A616" s="1">
        <v>2448184.3947200002</v>
      </c>
      <c r="B616" s="1" t="s">
        <v>974</v>
      </c>
      <c r="C616" s="1">
        <v>8.6208749999999998</v>
      </c>
      <c r="D616" s="1"/>
      <c r="E616">
        <f>(A616-m_phot!L$4)/m_phot!L$5-INT((A616-m_phot!L$4)/m_phot!L$5)</f>
        <v>0.22828502143320861</v>
      </c>
      <c r="F616">
        <f t="shared" si="10"/>
        <v>8.6208749999999998</v>
      </c>
      <c r="H616" t="str">
        <f>IF(E616&lt;0.05,INT(($A616-m_phot!$L$4)/m_phot!$L$5),"")</f>
        <v/>
      </c>
      <c r="I616" t="str">
        <f t="shared" si="8"/>
        <v/>
      </c>
      <c r="J616">
        <f t="shared" si="11"/>
        <v>-0.12362500000000054</v>
      </c>
    </row>
    <row r="617" spans="1:10" ht="14.25" customHeight="1" x14ac:dyDescent="0.25">
      <c r="A617" s="1">
        <v>2448201.1748799998</v>
      </c>
      <c r="B617" s="1" t="s">
        <v>975</v>
      </c>
      <c r="C617" s="1">
        <v>8.5394000000000005</v>
      </c>
      <c r="D617" s="1"/>
      <c r="E617">
        <f>(A617-m_phot!L$4)/m_phot!L$5-INT((A617-m_phot!L$4)/m_phot!L$5)</f>
        <v>0.24883635027536144</v>
      </c>
      <c r="F617">
        <f t="shared" si="10"/>
        <v>8.5394000000000005</v>
      </c>
      <c r="H617" t="str">
        <f>IF(E617&lt;0.05,INT(($A617-m_phot!$L$4)/m_phot!$L$5),"")</f>
        <v/>
      </c>
      <c r="I617" t="str">
        <f t="shared" si="8"/>
        <v/>
      </c>
      <c r="J617">
        <f t="shared" si="11"/>
        <v>-0.20509999999999984</v>
      </c>
    </row>
    <row r="618" spans="1:10" ht="14.25" customHeight="1" x14ac:dyDescent="0.25">
      <c r="A618" s="1">
        <v>2448213.3711399999</v>
      </c>
      <c r="B618" s="1" t="s">
        <v>976</v>
      </c>
      <c r="C618" s="1">
        <v>8.5263790000000004</v>
      </c>
      <c r="D618" s="1"/>
      <c r="E618">
        <f>(A618-m_phot!L$4)/m_phot!L$5-INT((A618-m_phot!L$4)/m_phot!L$5)</f>
        <v>0.2637735946110773</v>
      </c>
      <c r="F618">
        <f t="shared" si="10"/>
        <v>8.5263790000000004</v>
      </c>
      <c r="H618" t="str">
        <f>IF(E618&lt;0.05,INT(($A618-m_phot!$L$4)/m_phot!$L$5),"")</f>
        <v/>
      </c>
      <c r="I618" t="str">
        <f t="shared" ref="I618:I681" si="12">IF(H618&lt;&gt;"",AVERAGE(C618:C619),"")</f>
        <v/>
      </c>
      <c r="J618">
        <f t="shared" si="11"/>
        <v>-0.21812100000000001</v>
      </c>
    </row>
    <row r="619" spans="1:10" ht="14.25" customHeight="1" x14ac:dyDescent="0.25">
      <c r="A619" s="1">
        <v>2448229.9709299998</v>
      </c>
      <c r="B619" s="1" t="s">
        <v>977</v>
      </c>
      <c r="C619" s="1">
        <v>8.5508159999999993</v>
      </c>
      <c r="D619" s="1"/>
      <c r="E619">
        <f>(A619-m_phot!L$4)/m_phot!L$5-INT((A619-m_phot!L$4)/m_phot!L$5)</f>
        <v>0.28410401714615574</v>
      </c>
      <c r="F619">
        <f t="shared" si="10"/>
        <v>8.5508159999999993</v>
      </c>
      <c r="H619" t="str">
        <f>IF(E619&lt;0.05,INT(($A619-m_phot!$L$4)/m_phot!$L$5),"")</f>
        <v/>
      </c>
      <c r="I619" t="str">
        <f t="shared" si="12"/>
        <v/>
      </c>
      <c r="J619">
        <f t="shared" si="11"/>
        <v>-0.19368400000000108</v>
      </c>
    </row>
    <row r="620" spans="1:10" ht="14.25" customHeight="1" x14ac:dyDescent="0.25">
      <c r="A620" s="1">
        <v>2448243.6270499998</v>
      </c>
      <c r="B620" s="1" t="s">
        <v>978</v>
      </c>
      <c r="C620" s="1">
        <v>8.5912500000000005</v>
      </c>
      <c r="D620" s="1"/>
      <c r="E620">
        <f>(A620-m_phot!L$4)/m_phot!L$5-INT((A620-m_phot!L$4)/m_phot!L$5)</f>
        <v>0.30082921004259333</v>
      </c>
      <c r="F620">
        <f t="shared" si="10"/>
        <v>8.5912500000000005</v>
      </c>
      <c r="H620" t="str">
        <f>IF(E620&lt;0.05,INT(($A620-m_phot!$L$4)/m_phot!$L$5),"")</f>
        <v/>
      </c>
      <c r="I620" t="str">
        <f t="shared" si="12"/>
        <v/>
      </c>
      <c r="J620">
        <f t="shared" si="11"/>
        <v>-0.15324999999999989</v>
      </c>
    </row>
    <row r="621" spans="1:10" ht="14.25" customHeight="1" x14ac:dyDescent="0.25">
      <c r="A621" s="1">
        <v>2448260.7447600001</v>
      </c>
      <c r="B621" s="1" t="s">
        <v>979</v>
      </c>
      <c r="C621" s="1">
        <v>8.5158620000000003</v>
      </c>
      <c r="D621" s="1"/>
      <c r="E621">
        <f>(A621-m_phot!L$4)/m_phot!L$5-INT((A621-m_phot!L$4)/m_phot!L$5)</f>
        <v>0.32179394978584952</v>
      </c>
      <c r="F621">
        <f t="shared" si="10"/>
        <v>8.5158620000000003</v>
      </c>
      <c r="H621" t="str">
        <f>IF(E621&lt;0.05,INT(($A621-m_phot!$L$4)/m_phot!$L$5),"")</f>
        <v/>
      </c>
      <c r="I621" t="str">
        <f t="shared" si="12"/>
        <v/>
      </c>
      <c r="J621">
        <f t="shared" si="11"/>
        <v>-0.22863800000000012</v>
      </c>
    </row>
    <row r="622" spans="1:10" ht="14.25" customHeight="1" x14ac:dyDescent="0.25">
      <c r="A622" s="1">
        <v>2448273.5136000002</v>
      </c>
      <c r="B622" s="1" t="s">
        <v>980</v>
      </c>
      <c r="C622" s="1">
        <v>8.6203120000000002</v>
      </c>
      <c r="D622" s="1"/>
      <c r="E622">
        <f>(A622-m_phot!L$4)/m_phot!L$5-INT((A622-m_phot!L$4)/m_phot!L$5)</f>
        <v>0.3374324556034054</v>
      </c>
      <c r="F622">
        <f t="shared" si="10"/>
        <v>8.6203120000000002</v>
      </c>
      <c r="H622" t="str">
        <f>IF(E622&lt;0.05,INT(($A622-m_phot!$L$4)/m_phot!$L$5),"")</f>
        <v/>
      </c>
      <c r="I622" t="str">
        <f t="shared" si="12"/>
        <v/>
      </c>
      <c r="J622">
        <f t="shared" si="11"/>
        <v>-0.12418800000000019</v>
      </c>
    </row>
    <row r="623" spans="1:10" ht="14.25" customHeight="1" x14ac:dyDescent="0.25">
      <c r="A623" s="1">
        <v>2448295.42667</v>
      </c>
      <c r="B623" s="1" t="s">
        <v>981</v>
      </c>
      <c r="C623" s="1">
        <v>8.3333329999999997</v>
      </c>
      <c r="D623" s="1"/>
      <c r="E623">
        <f>(A623-m_phot!L$4)/m_phot!L$5-INT((A623-m_phot!L$4)/m_phot!L$5)</f>
        <v>0.3642702633189927</v>
      </c>
      <c r="F623">
        <f t="shared" si="10"/>
        <v>8.3333329999999997</v>
      </c>
      <c r="H623" t="str">
        <f>IF(E623&lt;0.05,INT(($A623-m_phot!$L$4)/m_phot!$L$5),"")</f>
        <v/>
      </c>
      <c r="I623" t="str">
        <f t="shared" si="12"/>
        <v/>
      </c>
      <c r="J623">
        <f t="shared" si="11"/>
        <v>-0.41116700000000073</v>
      </c>
    </row>
    <row r="624" spans="1:10" ht="14.25" customHeight="1" x14ac:dyDescent="0.25">
      <c r="A624" s="1">
        <v>2448362.35</v>
      </c>
      <c r="B624" s="1" t="s">
        <v>982</v>
      </c>
      <c r="C624" s="1">
        <v>8.4499999999999993</v>
      </c>
      <c r="D624" s="1"/>
      <c r="E624">
        <f>(A624-m_phot!L$4)/m_phot!L$5-INT((A624-m_phot!L$4)/m_phot!L$5)</f>
        <v>0.44623392529098993</v>
      </c>
      <c r="F624">
        <f t="shared" si="10"/>
        <v>8.4499999999999993</v>
      </c>
      <c r="H624" t="str">
        <f>IF(E624&lt;0.05,INT(($A624-m_phot!$L$4)/m_phot!$L$5),"")</f>
        <v/>
      </c>
      <c r="I624" t="str">
        <f t="shared" si="12"/>
        <v/>
      </c>
      <c r="J624">
        <f t="shared" si="11"/>
        <v>-0.29450000000000109</v>
      </c>
    </row>
    <row r="625" spans="1:10" ht="14.25" customHeight="1" x14ac:dyDescent="0.25">
      <c r="A625" s="1">
        <v>2448382.5449999999</v>
      </c>
      <c r="B625" s="1" t="s">
        <v>983</v>
      </c>
      <c r="C625" s="1">
        <v>8.5</v>
      </c>
      <c r="D625" s="1"/>
      <c r="E625">
        <f>(A625-m_phot!L$4)/m_phot!L$5-INT((A625-m_phot!L$4)/m_phot!L$5)</f>
        <v>0.47096754439672495</v>
      </c>
      <c r="F625">
        <f t="shared" si="10"/>
        <v>8.5</v>
      </c>
      <c r="H625" t="str">
        <f>IF(E625&lt;0.05,INT(($A625-m_phot!$L$4)/m_phot!$L$5),"")</f>
        <v/>
      </c>
      <c r="I625" t="str">
        <f t="shared" si="12"/>
        <v/>
      </c>
      <c r="J625">
        <f t="shared" si="11"/>
        <v>-0.24450000000000038</v>
      </c>
    </row>
    <row r="626" spans="1:10" ht="14.25" customHeight="1" x14ac:dyDescent="0.25">
      <c r="A626" s="1">
        <v>2448398.6290000002</v>
      </c>
      <c r="B626" s="1" t="s">
        <v>984</v>
      </c>
      <c r="C626" s="1">
        <v>8.5</v>
      </c>
      <c r="D626" s="1"/>
      <c r="E626">
        <f>(A626-m_phot!L$4)/m_phot!L$5-INT((A626-m_phot!L$4)/m_phot!L$5)</f>
        <v>0.49066625842031897</v>
      </c>
      <c r="F626">
        <f t="shared" si="10"/>
        <v>8.5</v>
      </c>
      <c r="H626" t="str">
        <f>IF(E626&lt;0.05,INT(($A626-m_phot!$L$4)/m_phot!$L$5),"")</f>
        <v/>
      </c>
      <c r="I626" t="str">
        <f t="shared" si="12"/>
        <v/>
      </c>
      <c r="J626">
        <f t="shared" si="11"/>
        <v>-0.24450000000000038</v>
      </c>
    </row>
    <row r="627" spans="1:10" ht="14.25" customHeight="1" x14ac:dyDescent="0.25">
      <c r="A627" s="1">
        <v>2448416.1059500002</v>
      </c>
      <c r="B627" s="1" t="s">
        <v>985</v>
      </c>
      <c r="C627" s="1">
        <v>8.5263159999999996</v>
      </c>
      <c r="D627" s="1"/>
      <c r="E627">
        <f>(A627-m_phot!L$4)/m_phot!L$5-INT((A627-m_phot!L$4)/m_phot!L$5)</f>
        <v>0.51207097366837573</v>
      </c>
      <c r="F627">
        <f t="shared" si="10"/>
        <v>8.5263159999999996</v>
      </c>
      <c r="H627" t="str">
        <f>IF(E627&lt;0.05,INT(($A627-m_phot!$L$4)/m_phot!$L$5),"")</f>
        <v/>
      </c>
      <c r="I627" t="str">
        <f t="shared" si="12"/>
        <v/>
      </c>
      <c r="J627">
        <f t="shared" si="11"/>
        <v>-0.21818400000000082</v>
      </c>
    </row>
    <row r="628" spans="1:10" ht="14.25" customHeight="1" x14ac:dyDescent="0.25">
      <c r="A628" s="1">
        <v>2448428.6807400002</v>
      </c>
      <c r="B628" s="1" t="s">
        <v>986</v>
      </c>
      <c r="C628" s="1">
        <v>8.4611110000000007</v>
      </c>
      <c r="D628" s="1"/>
      <c r="E628">
        <f>(A628-m_phot!L$4)/m_phot!L$5-INT((A628-m_phot!L$4)/m_phot!L$5)</f>
        <v>0.52747181873878191</v>
      </c>
      <c r="F628">
        <f t="shared" si="10"/>
        <v>8.4611110000000007</v>
      </c>
      <c r="H628" t="str">
        <f>IF(E628&lt;0.05,INT(($A628-m_phot!$L$4)/m_phot!$L$5),"")</f>
        <v/>
      </c>
      <c r="I628" t="str">
        <f t="shared" si="12"/>
        <v/>
      </c>
      <c r="J628">
        <f t="shared" si="11"/>
        <v>-0.28338899999999967</v>
      </c>
    </row>
    <row r="629" spans="1:10" ht="14.25" customHeight="1" x14ac:dyDescent="0.25">
      <c r="A629" s="1">
        <v>2448445.4612400001</v>
      </c>
      <c r="B629" s="1" t="s">
        <v>987</v>
      </c>
      <c r="C629" s="1">
        <v>8.4078049999999998</v>
      </c>
      <c r="D629" s="1"/>
      <c r="E629">
        <f>(A629-m_phot!L$4)/m_phot!L$5-INT((A629-m_phot!L$4)/m_phot!L$5)</f>
        <v>0.5480235639927642</v>
      </c>
      <c r="F629">
        <f t="shared" si="10"/>
        <v>8.4078049999999998</v>
      </c>
      <c r="H629" t="str">
        <f>IF(E629&lt;0.05,INT(($A629-m_phot!$L$4)/m_phot!$L$5),"")</f>
        <v/>
      </c>
      <c r="I629" t="str">
        <f t="shared" si="12"/>
        <v/>
      </c>
      <c r="J629">
        <f t="shared" si="11"/>
        <v>-0.33669500000000063</v>
      </c>
    </row>
    <row r="630" spans="1:10" ht="14.25" customHeight="1" x14ac:dyDescent="0.25">
      <c r="A630" s="1">
        <v>2448459.66322</v>
      </c>
      <c r="B630" s="1" t="s">
        <v>988</v>
      </c>
      <c r="C630" s="1">
        <v>8.4576919999999998</v>
      </c>
      <c r="D630" s="1"/>
      <c r="E630">
        <f>(A630-m_phot!L$4)/m_phot!L$5-INT((A630-m_phot!L$4)/m_phot!L$5)</f>
        <v>0.56541729332515445</v>
      </c>
      <c r="F630">
        <f t="shared" si="10"/>
        <v>8.4576919999999998</v>
      </c>
      <c r="H630" t="str">
        <f>IF(E630&lt;0.05,INT(($A630-m_phot!$L$4)/m_phot!$L$5),"")</f>
        <v/>
      </c>
      <c r="I630" t="str">
        <f t="shared" si="12"/>
        <v/>
      </c>
      <c r="J630">
        <f t="shared" si="11"/>
        <v>-0.28680800000000062</v>
      </c>
    </row>
    <row r="631" spans="1:10" ht="14.25" customHeight="1" x14ac:dyDescent="0.25">
      <c r="A631" s="1">
        <v>2448476.8756400002</v>
      </c>
      <c r="B631" s="1" t="s">
        <v>989</v>
      </c>
      <c r="C631" s="1">
        <v>8.5129169999999998</v>
      </c>
      <c r="D631" s="1"/>
      <c r="E631">
        <f>(A631-m_phot!L$4)/m_phot!L$5-INT((A631-m_phot!L$4)/m_phot!L$5)</f>
        <v>0.58649802816928087</v>
      </c>
      <c r="F631">
        <f t="shared" si="10"/>
        <v>8.5129169999999998</v>
      </c>
      <c r="H631" t="str">
        <f>IF(E631&lt;0.05,INT(($A631-m_phot!$L$4)/m_phot!$L$5),"")</f>
        <v/>
      </c>
      <c r="I631" t="str">
        <f t="shared" si="12"/>
        <v/>
      </c>
      <c r="J631">
        <f t="shared" si="11"/>
        <v>-0.23158300000000054</v>
      </c>
    </row>
    <row r="632" spans="1:10" ht="14.25" customHeight="1" x14ac:dyDescent="0.25">
      <c r="A632" s="1">
        <v>2448489.68726</v>
      </c>
      <c r="B632" s="1" t="s">
        <v>990</v>
      </c>
      <c r="C632" s="1">
        <v>8.5184289999999994</v>
      </c>
      <c r="D632" s="1"/>
      <c r="E632">
        <f>(A632-m_phot!L$4)/m_phot!L$5-INT((A632-m_phot!L$4)/m_phot!L$5)</f>
        <v>0.60218892835276705</v>
      </c>
      <c r="F632">
        <f t="shared" si="10"/>
        <v>8.5184289999999994</v>
      </c>
      <c r="H632" t="str">
        <f>IF(E632&lt;0.05,INT(($A632-m_phot!$L$4)/m_phot!$L$5),"")</f>
        <v/>
      </c>
      <c r="I632" t="str">
        <f t="shared" si="12"/>
        <v/>
      </c>
      <c r="J632">
        <f t="shared" si="11"/>
        <v>-0.22607100000000102</v>
      </c>
    </row>
    <row r="633" spans="1:10" ht="14.25" customHeight="1" x14ac:dyDescent="0.25">
      <c r="A633" s="1">
        <v>2448505.8861400001</v>
      </c>
      <c r="B633" s="1" t="s">
        <v>991</v>
      </c>
      <c r="C633" s="1">
        <v>8.4992909999999995</v>
      </c>
      <c r="D633" s="1"/>
      <c r="E633">
        <f>(A633-m_phot!L$4)/m_phot!L$5-INT((A633-m_phot!L$4)/m_phot!L$5)</f>
        <v>0.62202834047774047</v>
      </c>
      <c r="F633">
        <f t="shared" si="10"/>
        <v>8.4992909999999995</v>
      </c>
      <c r="H633" t="str">
        <f>IF(E633&lt;0.05,INT(($A633-m_phot!$L$4)/m_phot!$L$5),"")</f>
        <v/>
      </c>
      <c r="I633" t="str">
        <f t="shared" si="12"/>
        <v/>
      </c>
      <c r="J633">
        <f t="shared" si="11"/>
        <v>-0.2452090000000009</v>
      </c>
    </row>
    <row r="634" spans="1:10" ht="14.25" customHeight="1" x14ac:dyDescent="0.25">
      <c r="A634" s="1">
        <v>2448521.36901</v>
      </c>
      <c r="B634" s="1" t="s">
        <v>992</v>
      </c>
      <c r="C634" s="1">
        <v>8.5122409999999995</v>
      </c>
      <c r="D634" s="1"/>
      <c r="E634">
        <f>(A634-m_phot!L$4)/m_phot!L$5-INT((A634-m_phot!L$4)/m_phot!L$5)</f>
        <v>0.6409908266993547</v>
      </c>
      <c r="F634">
        <f t="shared" si="10"/>
        <v>8.5122409999999995</v>
      </c>
      <c r="H634" t="str">
        <f>IF(E634&lt;0.05,INT(($A634-m_phot!$L$4)/m_phot!$L$5),"")</f>
        <v/>
      </c>
      <c r="I634" t="str">
        <f t="shared" si="12"/>
        <v/>
      </c>
      <c r="J634">
        <f t="shared" si="11"/>
        <v>-0.23225900000000088</v>
      </c>
    </row>
    <row r="635" spans="1:10" ht="14.25" customHeight="1" x14ac:dyDescent="0.25">
      <c r="A635" s="1">
        <v>2448535.6425999999</v>
      </c>
      <c r="B635" s="1" t="s">
        <v>993</v>
      </c>
      <c r="C635" s="1">
        <v>8.5898810000000001</v>
      </c>
      <c r="D635" s="1"/>
      <c r="E635">
        <f>(A635-m_phot!L$4)/m_phot!L$5-INT((A635-m_phot!L$4)/m_phot!L$5)</f>
        <v>0.65847225964470724</v>
      </c>
      <c r="F635">
        <f t="shared" si="10"/>
        <v>8.5898810000000001</v>
      </c>
      <c r="H635" t="str">
        <f>IF(E635&lt;0.05,INT(($A635-m_phot!$L$4)/m_phot!$L$5),"")</f>
        <v/>
      </c>
      <c r="I635" t="str">
        <f t="shared" si="12"/>
        <v/>
      </c>
      <c r="J635">
        <f t="shared" si="11"/>
        <v>-0.15461900000000028</v>
      </c>
    </row>
    <row r="636" spans="1:10" ht="14.25" customHeight="1" x14ac:dyDescent="0.25">
      <c r="A636" s="1">
        <v>2448552.78743</v>
      </c>
      <c r="B636" s="1" t="s">
        <v>994</v>
      </c>
      <c r="C636" s="1">
        <v>8.5182350000000007</v>
      </c>
      <c r="D636" s="1"/>
      <c r="E636">
        <f>(A636-m_phot!L$4)/m_phot!L$5-INT((A636-m_phot!L$4)/m_phot!L$5)</f>
        <v>0.67947021432948773</v>
      </c>
      <c r="F636">
        <f t="shared" si="10"/>
        <v>8.5182350000000007</v>
      </c>
      <c r="H636" t="str">
        <f>IF(E636&lt;0.05,INT(($A636-m_phot!$L$4)/m_phot!$L$5),"")</f>
        <v/>
      </c>
      <c r="I636" t="str">
        <f t="shared" si="12"/>
        <v/>
      </c>
      <c r="J636">
        <f t="shared" si="11"/>
        <v>-0.22626499999999972</v>
      </c>
    </row>
    <row r="637" spans="1:10" ht="14.25" customHeight="1" x14ac:dyDescent="0.25">
      <c r="A637" s="1">
        <v>2448567.7243499998</v>
      </c>
      <c r="B637" s="1" t="s">
        <v>995</v>
      </c>
      <c r="C637" s="1">
        <v>8.5515279999999994</v>
      </c>
      <c r="D637" s="1"/>
      <c r="E637">
        <f>(A637-m_phot!L$4)/m_phot!L$5-INT((A637-m_phot!L$4)/m_phot!L$5)</f>
        <v>0.69776405388830298</v>
      </c>
      <c r="F637">
        <f t="shared" si="10"/>
        <v>8.5515279999999994</v>
      </c>
      <c r="H637" t="str">
        <f>IF(E637&lt;0.05,INT(($A637-m_phot!$L$4)/m_phot!$L$5),"")</f>
        <v/>
      </c>
      <c r="I637" t="str">
        <f t="shared" si="12"/>
        <v/>
      </c>
      <c r="J637">
        <f t="shared" si="11"/>
        <v>-0.19297200000000103</v>
      </c>
    </row>
    <row r="638" spans="1:10" ht="14.25" customHeight="1" x14ac:dyDescent="0.25">
      <c r="A638" s="1">
        <v>2448583.6746700001</v>
      </c>
      <c r="B638" s="1" t="s">
        <v>996</v>
      </c>
      <c r="C638" s="1">
        <v>8.5758329999999994</v>
      </c>
      <c r="D638" s="1"/>
      <c r="E638">
        <f>(A638-m_phot!L$4)/m_phot!L$5-INT((A638-m_phot!L$4)/m_phot!L$5)</f>
        <v>0.71729904470311823</v>
      </c>
      <c r="F638">
        <f t="shared" si="10"/>
        <v>8.5758329999999994</v>
      </c>
      <c r="H638" t="str">
        <f>IF(E638&lt;0.05,INT(($A638-m_phot!$L$4)/m_phot!$L$5),"")</f>
        <v/>
      </c>
      <c r="I638" t="str">
        <f t="shared" si="12"/>
        <v/>
      </c>
      <c r="J638">
        <f t="shared" si="11"/>
        <v>-0.16866700000000101</v>
      </c>
    </row>
    <row r="639" spans="1:10" ht="14.25" customHeight="1" x14ac:dyDescent="0.25">
      <c r="A639" s="1">
        <v>2448598.44087</v>
      </c>
      <c r="B639" s="1" t="s">
        <v>997</v>
      </c>
      <c r="C639" s="1">
        <v>8.6147270000000002</v>
      </c>
      <c r="D639" s="1"/>
      <c r="E639">
        <f>(A639-m_phot!L$4)/m_phot!L$5-INT((A639-m_phot!L$4)/m_phot!L$5)</f>
        <v>0.73538379669326304</v>
      </c>
      <c r="F639">
        <f t="shared" si="10"/>
        <v>8.6147270000000002</v>
      </c>
      <c r="H639" t="str">
        <f>IF(E639&lt;0.05,INT(($A639-m_phot!$L$4)/m_phot!$L$5),"")</f>
        <v/>
      </c>
      <c r="I639" t="str">
        <f t="shared" si="12"/>
        <v/>
      </c>
      <c r="J639">
        <f t="shared" si="11"/>
        <v>-0.12977300000000014</v>
      </c>
    </row>
    <row r="640" spans="1:10" ht="14.25" customHeight="1" x14ac:dyDescent="0.25">
      <c r="A640" s="1">
        <v>2448615.97799</v>
      </c>
      <c r="B640" s="1" t="s">
        <v>998</v>
      </c>
      <c r="C640" s="1">
        <v>8.6324140000000007</v>
      </c>
      <c r="D640" s="1"/>
      <c r="E640">
        <f>(A640-m_phot!L$4)/m_phot!L$5-INT((A640-m_phot!L$4)/m_phot!L$5)</f>
        <v>0.75686220453158981</v>
      </c>
      <c r="F640">
        <f t="shared" si="10"/>
        <v>8.6324140000000007</v>
      </c>
      <c r="H640" t="str">
        <f>IF(E640&lt;0.05,INT(($A640-m_phot!$L$4)/m_phot!$L$5),"")</f>
        <v/>
      </c>
      <c r="I640" t="str">
        <f t="shared" si="12"/>
        <v/>
      </c>
      <c r="J640">
        <f t="shared" si="11"/>
        <v>-0.11208599999999969</v>
      </c>
    </row>
    <row r="641" spans="1:10" ht="14.25" customHeight="1" x14ac:dyDescent="0.25">
      <c r="A641" s="1">
        <v>2448627.7386400001</v>
      </c>
      <c r="B641" s="1" t="s">
        <v>999</v>
      </c>
      <c r="C641" s="1">
        <v>8.5306060000000006</v>
      </c>
      <c r="D641" s="1"/>
      <c r="E641">
        <f>(A641-m_phot!L$4)/m_phot!L$5-INT((A641-m_phot!L$4)/m_phot!L$5)</f>
        <v>0.77126593998789161</v>
      </c>
      <c r="F641">
        <f t="shared" si="10"/>
        <v>8.5306060000000006</v>
      </c>
      <c r="H641" t="str">
        <f>IF(E641&lt;0.05,INT(($A641-m_phot!$L$4)/m_phot!$L$5),"")</f>
        <v/>
      </c>
      <c r="I641" t="str">
        <f t="shared" si="12"/>
        <v/>
      </c>
      <c r="J641">
        <f t="shared" si="11"/>
        <v>-0.21389399999999981</v>
      </c>
    </row>
    <row r="642" spans="1:10" ht="14.25" customHeight="1" x14ac:dyDescent="0.25">
      <c r="A642" s="1">
        <v>2448644.7621399998</v>
      </c>
      <c r="B642" s="1" t="s">
        <v>1000</v>
      </c>
      <c r="C642" s="1">
        <v>8.5487500000000001</v>
      </c>
      <c r="D642" s="1"/>
      <c r="E642">
        <f>(A642-m_phot!L$4)/m_phot!L$5-INT((A642-m_phot!L$4)/m_phot!L$5)</f>
        <v>0.79211529699911054</v>
      </c>
      <c r="F642">
        <f t="shared" si="10"/>
        <v>8.5487500000000001</v>
      </c>
      <c r="H642" t="str">
        <f>IF(E642&lt;0.05,INT(($A642-m_phot!$L$4)/m_phot!$L$5),"")</f>
        <v/>
      </c>
      <c r="I642" t="str">
        <f t="shared" si="12"/>
        <v/>
      </c>
      <c r="J642">
        <f t="shared" si="11"/>
        <v>-0.19575000000000031</v>
      </c>
    </row>
    <row r="643" spans="1:10" ht="14.25" customHeight="1" x14ac:dyDescent="0.25">
      <c r="A643" s="1">
        <v>2448721.6</v>
      </c>
      <c r="B643" s="1" t="s">
        <v>1001</v>
      </c>
      <c r="C643" s="1">
        <v>8.4</v>
      </c>
      <c r="D643" s="1"/>
      <c r="E643">
        <f>(A643-m_phot!L$4)/m_phot!L$5-INT((A643-m_phot!L$4)/m_phot!L$5)</f>
        <v>0.88622167789356254</v>
      </c>
      <c r="F643">
        <f t="shared" si="10"/>
        <v>8.4</v>
      </c>
      <c r="H643" t="str">
        <f>IF(E643&lt;0.05,INT(($A643-m_phot!$L$4)/m_phot!$L$5),"")</f>
        <v/>
      </c>
      <c r="I643" t="str">
        <f t="shared" si="12"/>
        <v/>
      </c>
      <c r="J643">
        <f t="shared" si="11"/>
        <v>-0.34450000000000003</v>
      </c>
    </row>
    <row r="644" spans="1:10" ht="14.25" customHeight="1" x14ac:dyDescent="0.25">
      <c r="A644" s="1">
        <v>2448744.2999300002</v>
      </c>
      <c r="B644" s="1" t="s">
        <v>1002</v>
      </c>
      <c r="C644" s="1">
        <v>8.6733329999999995</v>
      </c>
      <c r="D644" s="1"/>
      <c r="E644">
        <f>(A644-m_phot!L$4)/m_phot!L$5-INT((A644-m_phot!L$4)/m_phot!L$5)</f>
        <v>0.91402318432358953</v>
      </c>
      <c r="F644">
        <f t="shared" si="10"/>
        <v>8.6733329999999995</v>
      </c>
      <c r="H644" t="str">
        <f>IF(E644&lt;0.05,INT(($A644-m_phot!$L$4)/m_phot!$L$5),"")</f>
        <v/>
      </c>
      <c r="I644" t="str">
        <f t="shared" si="12"/>
        <v/>
      </c>
      <c r="J644">
        <f t="shared" si="11"/>
        <v>-7.1167000000000868E-2</v>
      </c>
    </row>
    <row r="645" spans="1:10" ht="14.25" customHeight="1" x14ac:dyDescent="0.25">
      <c r="A645" s="1">
        <v>2448758.5062500001</v>
      </c>
      <c r="B645" s="1" t="s">
        <v>1003</v>
      </c>
      <c r="C645" s="1">
        <v>8.6963640000000009</v>
      </c>
      <c r="D645" s="1"/>
      <c r="E645">
        <f>(A645-m_phot!L$4)/m_phot!L$5-INT((A645-m_phot!L$4)/m_phot!L$5)</f>
        <v>0.93142222902644534</v>
      </c>
      <c r="F645">
        <f t="shared" si="10"/>
        <v>8.6963640000000009</v>
      </c>
      <c r="H645" t="str">
        <f>IF(E645&lt;0.05,INT(($A645-m_phot!$L$4)/m_phot!$L$5),"")</f>
        <v/>
      </c>
      <c r="I645" t="str">
        <f t="shared" si="12"/>
        <v/>
      </c>
      <c r="J645">
        <f t="shared" si="11"/>
        <v>-4.8135999999999513E-2</v>
      </c>
    </row>
    <row r="646" spans="1:10" ht="14.25" customHeight="1" x14ac:dyDescent="0.25">
      <c r="A646" s="1">
        <v>2448776.6373999999</v>
      </c>
      <c r="B646" s="1" t="s">
        <v>1004</v>
      </c>
      <c r="C646" s="1">
        <v>8.7750000000000004</v>
      </c>
      <c r="D646" s="1"/>
      <c r="E646">
        <f>(A646-m_phot!L$4)/m_phot!L$5-INT((A646-m_phot!L$4)/m_phot!L$5)</f>
        <v>0.95362816901394964</v>
      </c>
      <c r="F646">
        <f t="shared" si="10"/>
        <v>8.7750000000000004</v>
      </c>
      <c r="H646" t="str">
        <f>IF(E646&lt;0.05,INT(($A646-m_phot!$L$4)/m_phot!$L$5),"")</f>
        <v/>
      </c>
      <c r="I646" t="str">
        <f t="shared" si="12"/>
        <v/>
      </c>
      <c r="J646">
        <f t="shared" si="11"/>
        <v>3.0499999999999972E-2</v>
      </c>
    </row>
    <row r="647" spans="1:10" ht="14.25" customHeight="1" x14ac:dyDescent="0.25">
      <c r="A647" s="1">
        <v>2448787.9945700001</v>
      </c>
      <c r="B647" s="1" t="s">
        <v>1005</v>
      </c>
      <c r="C647" s="1">
        <v>8.7416669999999996</v>
      </c>
      <c r="D647" s="1"/>
      <c r="E647">
        <f>(A647-m_phot!L$4)/m_phot!L$5-INT((A647-m_phot!L$4)/m_phot!L$5)</f>
        <v>0.96753774647899249</v>
      </c>
      <c r="F647">
        <f t="shared" si="10"/>
        <v>8.7416669999999996</v>
      </c>
      <c r="H647" t="str">
        <f>IF(E647&lt;0.05,INT(($A647-m_phot!$L$4)/m_phot!$L$5),"")</f>
        <v/>
      </c>
      <c r="I647" t="str">
        <f t="shared" si="12"/>
        <v/>
      </c>
      <c r="J647">
        <f t="shared" si="11"/>
        <v>-2.8330000000007516E-3</v>
      </c>
    </row>
    <row r="648" spans="1:10" ht="14.25" customHeight="1" x14ac:dyDescent="0.25">
      <c r="A648" s="1">
        <v>2448804.83293</v>
      </c>
      <c r="B648" s="1" t="s">
        <v>1006</v>
      </c>
      <c r="C648" s="1">
        <v>8.7231109999999994</v>
      </c>
      <c r="D648" s="1"/>
      <c r="E648">
        <f>(A648-m_phot!L$4)/m_phot!L$5-INT((A648-m_phot!L$4)/m_phot!L$5)</f>
        <v>0.98816035517456768</v>
      </c>
      <c r="F648">
        <f t="shared" si="10"/>
        <v>8.7231109999999994</v>
      </c>
      <c r="H648" t="str">
        <f>IF(E648&lt;0.05,INT(($A648-m_phot!$L$4)/m_phot!$L$5),"")</f>
        <v/>
      </c>
      <c r="I648" t="str">
        <f t="shared" si="12"/>
        <v/>
      </c>
      <c r="J648">
        <f t="shared" si="11"/>
        <v>-2.1389000000000991E-2</v>
      </c>
    </row>
    <row r="649" spans="1:10" ht="14.25" customHeight="1" x14ac:dyDescent="0.25">
      <c r="A649" s="1">
        <v>2448821.0552300001</v>
      </c>
      <c r="B649" s="1" t="s">
        <v>1007</v>
      </c>
      <c r="C649" s="1">
        <v>8.6761700000000008</v>
      </c>
      <c r="D649" s="1"/>
      <c r="E649">
        <f>(A649-m_phot!L$4)/m_phot!L$5-INT((A649-m_phot!L$4)/m_phot!L$5)</f>
        <v>8.0284507042946984E-3</v>
      </c>
      <c r="F649">
        <f t="shared" si="10"/>
        <v>8.6761700000000008</v>
      </c>
      <c r="H649">
        <f>IF(E649&lt;0.05,INT(($A649-m_phot!$L$4)/m_phot!$L$5),"")</f>
        <v>21</v>
      </c>
      <c r="I649">
        <f t="shared" si="12"/>
        <v>8.701823000000001</v>
      </c>
      <c r="J649">
        <f>+C649-I$649</f>
        <v>-2.5653000000000148E-2</v>
      </c>
    </row>
    <row r="650" spans="1:10" ht="14.25" customHeight="1" x14ac:dyDescent="0.25">
      <c r="A650" s="1">
        <v>2448834.6006299998</v>
      </c>
      <c r="B650" s="1" t="s">
        <v>1008</v>
      </c>
      <c r="C650" s="1">
        <v>8.7274759999999993</v>
      </c>
      <c r="D650" s="1"/>
      <c r="E650">
        <f>(A650-m_phot!L$4)/m_phot!L$5-INT((A650-m_phot!L$4)/m_phot!L$5)</f>
        <v>2.4618040416125808E-2</v>
      </c>
      <c r="F650">
        <f t="shared" si="10"/>
        <v>8.7274759999999993</v>
      </c>
      <c r="H650">
        <f>IF(E650&lt;0.05,INT(($A650-m_phot!$L$4)/m_phot!$L$5),"")</f>
        <v>21</v>
      </c>
      <c r="I650">
        <f t="shared" si="12"/>
        <v>8.7105929999999994</v>
      </c>
      <c r="J650">
        <f t="shared" ref="J650:J696" si="13">+C650-I$649</f>
        <v>2.5652999999998372E-2</v>
      </c>
    </row>
    <row r="651" spans="1:10" ht="14.25" customHeight="1" x14ac:dyDescent="0.25">
      <c r="A651" s="1">
        <v>2448851.64855</v>
      </c>
      <c r="B651" s="1" t="s">
        <v>1009</v>
      </c>
      <c r="C651" s="1">
        <v>8.6937099999999994</v>
      </c>
      <c r="D651" s="1"/>
      <c r="E651">
        <f>(A651-m_phot!L$4)/m_phot!L$5-INT((A651-m_phot!L$4)/m_phot!L$5)</f>
        <v>4.5497305572617108E-2</v>
      </c>
      <c r="F651">
        <f t="shared" si="10"/>
        <v>8.6937099999999994</v>
      </c>
      <c r="H651">
        <f>IF(E651&lt;0.05,INT(($A651-m_phot!$L$4)/m_phot!$L$5),"")</f>
        <v>21</v>
      </c>
      <c r="I651">
        <f t="shared" si="12"/>
        <v>8.6863864999999993</v>
      </c>
      <c r="J651">
        <f t="shared" si="13"/>
        <v>-8.1130000000015912E-3</v>
      </c>
    </row>
    <row r="652" spans="1:10" ht="14.25" customHeight="1" x14ac:dyDescent="0.25">
      <c r="A652" s="1">
        <v>2448864.6792899999</v>
      </c>
      <c r="B652" s="1" t="s">
        <v>1010</v>
      </c>
      <c r="C652" s="1">
        <v>8.6790629999999993</v>
      </c>
      <c r="D652" s="1"/>
      <c r="E652">
        <f>(A652-m_phot!L$4)/m_phot!L$5-INT((A652-m_phot!L$4)/m_phot!L$5)</f>
        <v>6.145657072857702E-2</v>
      </c>
      <c r="F652">
        <f t="shared" si="10"/>
        <v>8.6790629999999993</v>
      </c>
      <c r="H652" t="str">
        <f>IF(E652&lt;0.05,INT(($A652-m_phot!$L$4)/m_phot!$L$5),"")</f>
        <v/>
      </c>
      <c r="I652" t="str">
        <f t="shared" si="12"/>
        <v/>
      </c>
      <c r="J652">
        <f t="shared" si="13"/>
        <v>-2.2760000000001668E-2</v>
      </c>
    </row>
    <row r="653" spans="1:10" ht="14.25" customHeight="1" x14ac:dyDescent="0.25">
      <c r="A653" s="1">
        <v>2448882.54048</v>
      </c>
      <c r="B653" s="1" t="s">
        <v>1011</v>
      </c>
      <c r="C653" s="1">
        <v>8.6286249999999995</v>
      </c>
      <c r="D653" s="1"/>
      <c r="E653">
        <f>(A653-m_phot!L$4)/m_phot!L$5-INT((A653-m_phot!L$4)/m_phot!L$5)</f>
        <v>8.3331879975464318E-2</v>
      </c>
      <c r="F653">
        <f t="shared" si="10"/>
        <v>8.6286249999999995</v>
      </c>
      <c r="H653" t="str">
        <f>IF(E653&lt;0.05,INT(($A653-m_phot!$L$4)/m_phot!$L$5),"")</f>
        <v/>
      </c>
      <c r="I653" t="str">
        <f t="shared" si="12"/>
        <v/>
      </c>
      <c r="J653">
        <f t="shared" si="13"/>
        <v>-7.3198000000001429E-2</v>
      </c>
    </row>
    <row r="654" spans="1:10" ht="14.25" customHeight="1" x14ac:dyDescent="0.25">
      <c r="A654" s="1">
        <v>2448895.2138100001</v>
      </c>
      <c r="B654" s="1" t="s">
        <v>1012</v>
      </c>
      <c r="C654" s="1">
        <v>8.6695290000000007</v>
      </c>
      <c r="D654" s="1"/>
      <c r="E654">
        <f>(A654-m_phot!L$4)/m_phot!L$5-INT((A654-m_phot!L$4)/m_phot!L$5)</f>
        <v>9.8853410900311189E-2</v>
      </c>
      <c r="F654">
        <f t="shared" si="10"/>
        <v>8.6695290000000007</v>
      </c>
      <c r="H654" t="str">
        <f>IF(E654&lt;0.05,INT(($A654-m_phot!$L$4)/m_phot!$L$5),"")</f>
        <v/>
      </c>
      <c r="I654" t="str">
        <f t="shared" si="12"/>
        <v/>
      </c>
      <c r="J654">
        <f t="shared" si="13"/>
        <v>-3.2294000000000267E-2</v>
      </c>
    </row>
    <row r="655" spans="1:10" ht="14.25" customHeight="1" x14ac:dyDescent="0.25">
      <c r="A655" s="1">
        <v>2448912.8875799999</v>
      </c>
      <c r="B655" s="1" t="s">
        <v>1013</v>
      </c>
      <c r="C655" s="1">
        <v>8.7317389999999993</v>
      </c>
      <c r="D655" s="1"/>
      <c r="E655">
        <f>(A655-m_phot!L$4)/m_phot!L$5-INT((A655-m_phot!L$4)/m_phot!L$5)</f>
        <v>0.12049917942420763</v>
      </c>
      <c r="F655">
        <f t="shared" si="10"/>
        <v>8.7317389999999993</v>
      </c>
      <c r="H655" t="str">
        <f>IF(E655&lt;0.05,INT(($A655-m_phot!$L$4)/m_phot!$L$5),"")</f>
        <v/>
      </c>
      <c r="I655" t="str">
        <f t="shared" si="12"/>
        <v/>
      </c>
      <c r="J655">
        <f t="shared" si="13"/>
        <v>2.9915999999998277E-2</v>
      </c>
    </row>
    <row r="656" spans="1:10" ht="14.25" customHeight="1" x14ac:dyDescent="0.25">
      <c r="A656" s="1">
        <v>2448924.44667</v>
      </c>
      <c r="B656" s="1" t="s">
        <v>1014</v>
      </c>
      <c r="C656" s="1">
        <v>8.7103509999999993</v>
      </c>
      <c r="D656" s="1"/>
      <c r="E656">
        <f>(A656-m_phot!L$4)/m_phot!L$5-INT((A656-m_phot!L$4)/m_phot!L$5)</f>
        <v>0.13465605633799882</v>
      </c>
      <c r="F656">
        <f t="shared" si="10"/>
        <v>8.7103509999999993</v>
      </c>
      <c r="H656" t="str">
        <f>IF(E656&lt;0.05,INT(($A656-m_phot!$L$4)/m_phot!$L$5),"")</f>
        <v/>
      </c>
      <c r="I656" t="str">
        <f t="shared" si="12"/>
        <v/>
      </c>
      <c r="J656">
        <f t="shared" si="13"/>
        <v>8.5279999999983147E-3</v>
      </c>
    </row>
    <row r="657" spans="1:10" ht="14.25" customHeight="1" x14ac:dyDescent="0.25">
      <c r="A657" s="1">
        <v>2448941.9041200001</v>
      </c>
      <c r="B657" s="1" t="s">
        <v>1015</v>
      </c>
      <c r="C657" s="1">
        <v>8.6943660000000005</v>
      </c>
      <c r="D657" s="1"/>
      <c r="E657">
        <f>(A657-m_phot!L$4)/m_phot!L$5-INT((A657-m_phot!L$4)/m_phot!L$5)</f>
        <v>0.15603688916115033</v>
      </c>
      <c r="F657">
        <f t="shared" si="10"/>
        <v>8.6943660000000005</v>
      </c>
      <c r="H657" t="str">
        <f>IF(E657&lt;0.05,INT(($A657-m_phot!$L$4)/m_phot!$L$5),"")</f>
        <v/>
      </c>
      <c r="I657" t="str">
        <f t="shared" si="12"/>
        <v/>
      </c>
      <c r="J657">
        <f t="shared" si="13"/>
        <v>-7.457000000000491E-3</v>
      </c>
    </row>
    <row r="658" spans="1:10" ht="14.25" customHeight="1" x14ac:dyDescent="0.25">
      <c r="A658" s="1">
        <v>2448955.4873100002</v>
      </c>
      <c r="B658" s="1" t="s">
        <v>1016</v>
      </c>
      <c r="C658" s="1">
        <v>8.7206250000000001</v>
      </c>
      <c r="D658" s="1"/>
      <c r="E658">
        <f>(A658-m_phot!L$4)/m_phot!L$5-INT((A658-m_phot!L$4)/m_phot!L$5)</f>
        <v>0.17267276178840163</v>
      </c>
      <c r="F658">
        <f t="shared" si="10"/>
        <v>8.7206250000000001</v>
      </c>
      <c r="H658" t="str">
        <f>IF(E658&lt;0.05,INT(($A658-m_phot!$L$4)/m_phot!$L$5),"")</f>
        <v/>
      </c>
      <c r="I658" t="str">
        <f t="shared" si="12"/>
        <v/>
      </c>
      <c r="J658">
        <f t="shared" si="13"/>
        <v>1.8801999999999097E-2</v>
      </c>
    </row>
    <row r="659" spans="1:10" ht="14.25" customHeight="1" x14ac:dyDescent="0.25">
      <c r="A659" s="1">
        <v>2448972.5484799999</v>
      </c>
      <c r="B659" s="1" t="s">
        <v>1017</v>
      </c>
      <c r="C659" s="1">
        <v>8.7318599999999993</v>
      </c>
      <c r="D659" s="1"/>
      <c r="E659">
        <f>(A659-m_phot!L$4)/m_phot!L$5-INT((A659-m_phot!L$4)/m_phot!L$5)</f>
        <v>0.19356825474572048</v>
      </c>
      <c r="F659">
        <f t="shared" si="10"/>
        <v>8.7318599999999993</v>
      </c>
      <c r="H659" t="str">
        <f>IF(E659&lt;0.05,INT(($A659-m_phot!$L$4)/m_phot!$L$5),"")</f>
        <v/>
      </c>
      <c r="I659" t="str">
        <f t="shared" si="12"/>
        <v/>
      </c>
      <c r="J659">
        <f t="shared" si="13"/>
        <v>3.0036999999998315E-2</v>
      </c>
    </row>
    <row r="660" spans="1:10" ht="14.25" customHeight="1" x14ac:dyDescent="0.25">
      <c r="A660" s="1">
        <v>2448986.3133399999</v>
      </c>
      <c r="B660" s="1" t="s">
        <v>1018</v>
      </c>
      <c r="C660" s="1">
        <v>8.6916670000000007</v>
      </c>
      <c r="D660" s="1"/>
      <c r="E660">
        <f>(A660-m_phot!L$4)/m_phot!L$5-INT((A660-m_phot!L$4)/m_phot!L$5)</f>
        <v>0.21042662584185834</v>
      </c>
      <c r="F660">
        <f t="shared" si="10"/>
        <v>8.6916670000000007</v>
      </c>
      <c r="H660" t="str">
        <f>IF(E660&lt;0.05,INT(($A660-m_phot!$L$4)/m_phot!$L$5),"")</f>
        <v/>
      </c>
      <c r="I660" t="str">
        <f t="shared" si="12"/>
        <v/>
      </c>
      <c r="J660">
        <f t="shared" si="13"/>
        <v>-1.0156000000000276E-2</v>
      </c>
    </row>
    <row r="661" spans="1:10" ht="14.25" customHeight="1" x14ac:dyDescent="0.25">
      <c r="A661" s="1">
        <v>2449003.6028100001</v>
      </c>
      <c r="B661" s="1" t="s">
        <v>1019</v>
      </c>
      <c r="C661" s="1">
        <v>8.7428570000000008</v>
      </c>
      <c r="D661" s="1"/>
      <c r="E661">
        <f>(A661-m_phot!L$4)/m_phot!L$5-INT((A661-m_phot!L$4)/m_phot!L$5)</f>
        <v>0.23160172688312386</v>
      </c>
      <c r="F661">
        <f t="shared" si="10"/>
        <v>8.7428570000000008</v>
      </c>
      <c r="H661" t="str">
        <f>IF(E661&lt;0.05,INT(($A661-m_phot!$L$4)/m_phot!$L$5),"")</f>
        <v/>
      </c>
      <c r="I661" t="str">
        <f t="shared" si="12"/>
        <v/>
      </c>
      <c r="J661">
        <f t="shared" si="13"/>
        <v>4.1033999999999793E-2</v>
      </c>
    </row>
    <row r="662" spans="1:10" ht="14.25" customHeight="1" x14ac:dyDescent="0.25">
      <c r="A662" s="1">
        <v>2449018.8273299998</v>
      </c>
      <c r="B662" s="1" t="s">
        <v>1020</v>
      </c>
      <c r="C662" s="1">
        <v>8.7357139999999998</v>
      </c>
      <c r="D662" s="1"/>
      <c r="E662">
        <f>(A662-m_phot!L$4)/m_phot!L$5-INT((A662-m_phot!L$4)/m_phot!L$5)</f>
        <v>0.25024780159187543</v>
      </c>
      <c r="F662">
        <f t="shared" si="10"/>
        <v>8.7357139999999998</v>
      </c>
      <c r="H662" t="str">
        <f>IF(E662&lt;0.05,INT(($A662-m_phot!$L$4)/m_phot!$L$5),"")</f>
        <v/>
      </c>
      <c r="I662" t="str">
        <f t="shared" si="12"/>
        <v/>
      </c>
      <c r="J662">
        <f t="shared" si="13"/>
        <v>3.3890999999998783E-2</v>
      </c>
    </row>
    <row r="663" spans="1:10" ht="14.25" customHeight="1" x14ac:dyDescent="0.25">
      <c r="A663" s="1">
        <v>2449067.03113</v>
      </c>
      <c r="B663" s="1" t="s">
        <v>1021</v>
      </c>
      <c r="C663" s="1">
        <v>8.733333</v>
      </c>
      <c r="D663" s="1"/>
      <c r="E663">
        <f>(A663-m_phot!L$4)/m_phot!L$5-INT((A663-m_phot!L$4)/m_phot!L$5)</f>
        <v>0.30928491120639023</v>
      </c>
      <c r="F663">
        <f t="shared" ref="F663:F726" si="14">+C663</f>
        <v>8.733333</v>
      </c>
      <c r="H663" t="str">
        <f>IF(E663&lt;0.05,INT(($A663-m_phot!$L$4)/m_phot!$L$5),"")</f>
        <v/>
      </c>
      <c r="I663" t="str">
        <f t="shared" si="12"/>
        <v/>
      </c>
      <c r="J663">
        <f t="shared" si="13"/>
        <v>3.1509999999999039E-2</v>
      </c>
    </row>
    <row r="664" spans="1:10" ht="14.25" customHeight="1" x14ac:dyDescent="0.25">
      <c r="A664" s="1">
        <v>2449083.9624200002</v>
      </c>
      <c r="B664" s="1" t="s">
        <v>1022</v>
      </c>
      <c r="C664" s="1">
        <v>8.6066669999999998</v>
      </c>
      <c r="D664" s="1"/>
      <c r="E664">
        <f>(A664-m_phot!L$4)/m_phot!L$5-INT((A664-m_phot!L$4)/m_phot!L$5)</f>
        <v>0.3300213349665988</v>
      </c>
      <c r="F664">
        <f t="shared" si="14"/>
        <v>8.6066669999999998</v>
      </c>
      <c r="H664" t="str">
        <f>IF(E664&lt;0.05,INT(($A664-m_phot!$L$4)/m_phot!$L$5),"")</f>
        <v/>
      </c>
      <c r="I664" t="str">
        <f t="shared" si="12"/>
        <v/>
      </c>
      <c r="J664">
        <f t="shared" si="13"/>
        <v>-9.5156000000001129E-2</v>
      </c>
    </row>
    <row r="665" spans="1:10" ht="14.25" customHeight="1" x14ac:dyDescent="0.25">
      <c r="A665" s="1">
        <v>2449101.6666700002</v>
      </c>
      <c r="B665" s="1" t="s">
        <v>1023</v>
      </c>
      <c r="C665" s="1">
        <v>8.5</v>
      </c>
      <c r="D665" s="1"/>
      <c r="E665">
        <f>(A665-m_phot!L$4)/m_phot!L$5-INT((A665-m_phot!L$4)/m_phot!L$5)</f>
        <v>0.35170443355809056</v>
      </c>
      <c r="F665">
        <f t="shared" si="14"/>
        <v>8.5</v>
      </c>
      <c r="H665" t="str">
        <f>IF(E665&lt;0.05,INT(($A665-m_phot!$L$4)/m_phot!$L$5),"")</f>
        <v/>
      </c>
      <c r="I665" t="str">
        <f t="shared" si="12"/>
        <v/>
      </c>
      <c r="J665">
        <f t="shared" si="13"/>
        <v>-0.20182300000000097</v>
      </c>
    </row>
    <row r="666" spans="1:10" ht="14.25" customHeight="1" x14ac:dyDescent="0.25">
      <c r="A666" s="1">
        <v>2449117.5633700001</v>
      </c>
      <c r="B666" s="1" t="s">
        <v>1024</v>
      </c>
      <c r="C666" s="1">
        <v>8.6783330000000003</v>
      </c>
      <c r="D666" s="1"/>
      <c r="E666">
        <f>(A666-m_phot!L$4)/m_phot!L$5-INT((A666-m_phot!L$4)/m_phot!L$5)</f>
        <v>0.371173753827442</v>
      </c>
      <c r="F666">
        <f t="shared" si="14"/>
        <v>8.6783330000000003</v>
      </c>
      <c r="H666" t="str">
        <f>IF(E666&lt;0.05,INT(($A666-m_phot!$L$4)/m_phot!$L$5),"")</f>
        <v/>
      </c>
      <c r="I666" t="str">
        <f t="shared" si="12"/>
        <v/>
      </c>
      <c r="J666">
        <f t="shared" si="13"/>
        <v>-2.3490000000000677E-2</v>
      </c>
    </row>
    <row r="667" spans="1:10" ht="14.25" customHeight="1" x14ac:dyDescent="0.25">
      <c r="A667" s="1">
        <v>2449133.2722100001</v>
      </c>
      <c r="B667" s="1" t="s">
        <v>1025</v>
      </c>
      <c r="C667" s="1">
        <v>8.6547370000000008</v>
      </c>
      <c r="D667" s="1"/>
      <c r="E667">
        <f>(A667-m_phot!L$4)/m_phot!L$5-INT((A667-m_phot!L$4)/m_phot!L$5)</f>
        <v>0.39041299448877353</v>
      </c>
      <c r="F667">
        <f t="shared" si="14"/>
        <v>8.6547370000000008</v>
      </c>
      <c r="H667" t="str">
        <f>IF(E667&lt;0.05,INT(($A667-m_phot!$L$4)/m_phot!$L$5),"")</f>
        <v/>
      </c>
      <c r="I667" t="str">
        <f t="shared" si="12"/>
        <v/>
      </c>
      <c r="J667">
        <f t="shared" si="13"/>
        <v>-4.7086000000000183E-2</v>
      </c>
    </row>
    <row r="668" spans="1:10" ht="14.25" customHeight="1" x14ac:dyDescent="0.25">
      <c r="A668" s="1">
        <v>2449148.79807</v>
      </c>
      <c r="B668" s="1" t="s">
        <v>1026</v>
      </c>
      <c r="C668" s="1">
        <v>8.5634999999999994</v>
      </c>
      <c r="D668" s="1"/>
      <c r="E668">
        <f>(A668-m_phot!L$4)/m_phot!L$5-INT((A668-m_phot!L$4)/m_phot!L$5)</f>
        <v>0.40942813227191621</v>
      </c>
      <c r="F668">
        <f t="shared" si="14"/>
        <v>8.5634999999999994</v>
      </c>
      <c r="H668" t="str">
        <f>IF(E668&lt;0.05,INT(($A668-m_phot!$L$4)/m_phot!$L$5),"")</f>
        <v/>
      </c>
      <c r="I668" t="str">
        <f t="shared" si="12"/>
        <v/>
      </c>
      <c r="J668">
        <f t="shared" si="13"/>
        <v>-0.13832300000000153</v>
      </c>
    </row>
    <row r="669" spans="1:10" ht="14.25" customHeight="1" x14ac:dyDescent="0.25">
      <c r="A669" s="1">
        <v>2449164.2500399998</v>
      </c>
      <c r="B669" s="1" t="s">
        <v>1027</v>
      </c>
      <c r="C669" s="1">
        <v>8.6525639999999999</v>
      </c>
      <c r="D669" s="1"/>
      <c r="E669">
        <f>(A669-m_phot!L$4)/m_phot!L$5-INT((A669-m_phot!L$4)/m_phot!L$5)</f>
        <v>0.42835277403532146</v>
      </c>
      <c r="F669">
        <f t="shared" si="14"/>
        <v>8.6525639999999999</v>
      </c>
      <c r="H669" t="str">
        <f>IF(E669&lt;0.05,INT(($A669-m_phot!$L$4)/m_phot!$L$5),"")</f>
        <v/>
      </c>
      <c r="I669" t="str">
        <f t="shared" si="12"/>
        <v/>
      </c>
      <c r="J669">
        <f t="shared" si="13"/>
        <v>-4.9259000000001052E-2</v>
      </c>
    </row>
    <row r="670" spans="1:10" ht="14.25" customHeight="1" x14ac:dyDescent="0.25">
      <c r="A670" s="1">
        <v>2449181.3135700002</v>
      </c>
      <c r="B670" s="1" t="s">
        <v>1028</v>
      </c>
      <c r="C670" s="1">
        <v>8.5781080000000003</v>
      </c>
      <c r="D670" s="1"/>
      <c r="E670">
        <f>(A670-m_phot!L$4)/m_phot!L$5-INT((A670-m_phot!L$4)/m_phot!L$5)</f>
        <v>0.44925115737934007</v>
      </c>
      <c r="F670">
        <f t="shared" si="14"/>
        <v>8.5781080000000003</v>
      </c>
      <c r="H670" t="str">
        <f>IF(E670&lt;0.05,INT(($A670-m_phot!$L$4)/m_phot!$L$5),"")</f>
        <v/>
      </c>
      <c r="I670" t="str">
        <f t="shared" si="12"/>
        <v/>
      </c>
      <c r="J670">
        <f t="shared" si="13"/>
        <v>-0.12371500000000069</v>
      </c>
    </row>
    <row r="671" spans="1:10" ht="14.25" customHeight="1" x14ac:dyDescent="0.25">
      <c r="A671" s="1">
        <v>2449193.5732399998</v>
      </c>
      <c r="B671" s="1" t="s">
        <v>1029</v>
      </c>
      <c r="C671" s="1">
        <v>8.4885710000000003</v>
      </c>
      <c r="D671" s="1"/>
      <c r="E671">
        <f>(A671-m_phot!L$4)/m_phot!L$5-INT((A671-m_phot!L$4)/m_phot!L$5)</f>
        <v>0.46426606246151181</v>
      </c>
      <c r="F671">
        <f t="shared" si="14"/>
        <v>8.4885710000000003</v>
      </c>
      <c r="H671" t="str">
        <f>IF(E671&lt;0.05,INT(($A671-m_phot!$L$4)/m_phot!$L$5),"")</f>
        <v/>
      </c>
      <c r="I671" t="str">
        <f t="shared" si="12"/>
        <v/>
      </c>
      <c r="J671">
        <f t="shared" si="13"/>
        <v>-0.21325200000000066</v>
      </c>
    </row>
    <row r="672" spans="1:10" ht="14.25" customHeight="1" x14ac:dyDescent="0.25">
      <c r="A672" s="1">
        <v>2449211.2822099999</v>
      </c>
      <c r="B672" s="1" t="s">
        <v>1030</v>
      </c>
      <c r="C672" s="1">
        <v>8.5642859999999992</v>
      </c>
      <c r="D672" s="1"/>
      <c r="E672">
        <f>(A672-m_phot!L$4)/m_phot!L$5-INT((A672-m_phot!L$4)/m_phot!L$5)</f>
        <v>0.48595494182469068</v>
      </c>
      <c r="F672">
        <f t="shared" si="14"/>
        <v>8.5642859999999992</v>
      </c>
      <c r="H672" t="str">
        <f>IF(E672&lt;0.05,INT(($A672-m_phot!$L$4)/m_phot!$L$5),"")</f>
        <v/>
      </c>
      <c r="I672" t="str">
        <f t="shared" si="12"/>
        <v/>
      </c>
      <c r="J672">
        <f t="shared" si="13"/>
        <v>-0.1375370000000018</v>
      </c>
    </row>
    <row r="673" spans="1:10" ht="14.25" customHeight="1" x14ac:dyDescent="0.25">
      <c r="A673" s="1">
        <v>2449223.0043299999</v>
      </c>
      <c r="B673" s="1" t="s">
        <v>1031</v>
      </c>
      <c r="C673" s="1">
        <v>8.5550569999999997</v>
      </c>
      <c r="D673" s="1"/>
      <c r="E673">
        <f>(A673-m_phot!L$4)/m_phot!L$5-INT((A673-m_phot!L$4)/m_phot!L$5)</f>
        <v>0.50031148805867431</v>
      </c>
      <c r="F673">
        <f t="shared" si="14"/>
        <v>8.5550569999999997</v>
      </c>
      <c r="H673" t="str">
        <f>IF(E673&lt;0.05,INT(($A673-m_phot!$L$4)/m_phot!$L$5),"")</f>
        <v/>
      </c>
      <c r="I673" t="str">
        <f t="shared" si="12"/>
        <v/>
      </c>
      <c r="J673">
        <f t="shared" si="13"/>
        <v>-0.14676600000000128</v>
      </c>
    </row>
    <row r="674" spans="1:10" ht="14.25" customHeight="1" x14ac:dyDescent="0.25">
      <c r="A674" s="1">
        <v>2449240.3100800002</v>
      </c>
      <c r="B674" s="1" t="s">
        <v>1032</v>
      </c>
      <c r="C674" s="1">
        <v>8.5525680000000008</v>
      </c>
      <c r="D674" s="1"/>
      <c r="E674">
        <f>(A674-m_phot!L$4)/m_phot!L$5-INT((A674-m_phot!L$4)/m_phot!L$5)</f>
        <v>0.52150652786307461</v>
      </c>
      <c r="F674">
        <f t="shared" si="14"/>
        <v>8.5525680000000008</v>
      </c>
      <c r="H674" t="str">
        <f>IF(E674&lt;0.05,INT(($A674-m_phot!$L$4)/m_phot!$L$5),"")</f>
        <v/>
      </c>
      <c r="I674" t="str">
        <f t="shared" si="12"/>
        <v/>
      </c>
      <c r="J674">
        <f t="shared" si="13"/>
        <v>-0.14925500000000014</v>
      </c>
    </row>
    <row r="675" spans="1:10" ht="14.25" customHeight="1" x14ac:dyDescent="0.25">
      <c r="A675" s="1">
        <v>2449253.2260199999</v>
      </c>
      <c r="B675" s="1" t="s">
        <v>1033</v>
      </c>
      <c r="C675" s="1">
        <v>8.5236710000000002</v>
      </c>
      <c r="D675" s="1"/>
      <c r="E675">
        <f>(A675-m_phot!L$4)/m_phot!L$5-INT((A675-m_phot!L$4)/m_phot!L$5)</f>
        <v>0.53732519289643932</v>
      </c>
      <c r="F675">
        <f t="shared" si="14"/>
        <v>8.5236710000000002</v>
      </c>
      <c r="H675" t="str">
        <f>IF(E675&lt;0.05,INT(($A675-m_phot!$L$4)/m_phot!$L$5),"")</f>
        <v/>
      </c>
      <c r="I675" t="str">
        <f t="shared" si="12"/>
        <v/>
      </c>
      <c r="J675">
        <f t="shared" si="13"/>
        <v>-0.17815200000000075</v>
      </c>
    </row>
    <row r="676" spans="1:10" ht="14.25" customHeight="1" x14ac:dyDescent="0.25">
      <c r="A676" s="1">
        <v>2449271.8362599998</v>
      </c>
      <c r="B676" s="1" t="s">
        <v>1034</v>
      </c>
      <c r="C676" s="1">
        <v>8.5953009999999992</v>
      </c>
      <c r="D676" s="1"/>
      <c r="E676">
        <f>(A676-m_phot!L$4)/m_phot!L$5-INT((A676-m_phot!L$4)/m_phot!L$5)</f>
        <v>0.5601178934473694</v>
      </c>
      <c r="F676">
        <f t="shared" si="14"/>
        <v>8.5953009999999992</v>
      </c>
      <c r="H676" t="str">
        <f>IF(E676&lt;0.05,INT(($A676-m_phot!$L$4)/m_phot!$L$5),"")</f>
        <v/>
      </c>
      <c r="I676" t="str">
        <f t="shared" si="12"/>
        <v/>
      </c>
      <c r="J676">
        <f t="shared" si="13"/>
        <v>-0.10652200000000178</v>
      </c>
    </row>
    <row r="677" spans="1:10" ht="14.25" customHeight="1" x14ac:dyDescent="0.25">
      <c r="A677" s="1">
        <v>2449282.7626700001</v>
      </c>
      <c r="B677" s="1" t="s">
        <v>1035</v>
      </c>
      <c r="C677" s="1">
        <v>8.5693619999999999</v>
      </c>
      <c r="D677" s="1"/>
      <c r="E677">
        <f>(A677-m_phot!L$4)/m_phot!L$5-INT((A677-m_phot!L$4)/m_phot!L$5)</f>
        <v>0.57349990202092371</v>
      </c>
      <c r="F677">
        <f t="shared" si="14"/>
        <v>8.5693619999999999</v>
      </c>
      <c r="H677" t="str">
        <f>IF(E677&lt;0.05,INT(($A677-m_phot!$L$4)/m_phot!$L$5),"")</f>
        <v/>
      </c>
      <c r="I677" t="str">
        <f t="shared" si="12"/>
        <v/>
      </c>
      <c r="J677">
        <f t="shared" si="13"/>
        <v>-0.13246100000000105</v>
      </c>
    </row>
    <row r="678" spans="1:10" ht="14.25" customHeight="1" x14ac:dyDescent="0.25">
      <c r="A678" s="1">
        <v>2449301.7163499999</v>
      </c>
      <c r="B678" s="1" t="s">
        <v>1036</v>
      </c>
      <c r="C678" s="1">
        <v>8.5454720000000002</v>
      </c>
      <c r="D678" s="1"/>
      <c r="E678">
        <f>(A678-m_phot!L$4)/m_phot!L$5-INT((A678-m_phot!L$4)/m_phot!L$5)</f>
        <v>0.59671322718908115</v>
      </c>
      <c r="F678">
        <f t="shared" si="14"/>
        <v>8.5454720000000002</v>
      </c>
      <c r="H678" t="str">
        <f>IF(E678&lt;0.05,INT(($A678-m_phot!$L$4)/m_phot!$L$5),"")</f>
        <v/>
      </c>
      <c r="I678" t="str">
        <f t="shared" si="12"/>
        <v/>
      </c>
      <c r="J678">
        <f t="shared" si="13"/>
        <v>-0.15635100000000079</v>
      </c>
    </row>
    <row r="679" spans="1:10" ht="14.25" customHeight="1" x14ac:dyDescent="0.25">
      <c r="A679" s="1">
        <v>2449314.0712600001</v>
      </c>
      <c r="B679" s="1" t="s">
        <v>1037</v>
      </c>
      <c r="C679" s="1">
        <v>8.6120929999999998</v>
      </c>
      <c r="D679" s="1"/>
      <c r="E679">
        <f>(A679-m_phot!L$4)/m_phot!L$5-INT((A679-m_phot!L$4)/m_phot!L$5)</f>
        <v>0.61184477648513536</v>
      </c>
      <c r="F679">
        <f t="shared" si="14"/>
        <v>8.6120929999999998</v>
      </c>
      <c r="H679" t="str">
        <f>IF(E679&lt;0.05,INT(($A679-m_phot!$L$4)/m_phot!$L$5),"")</f>
        <v/>
      </c>
      <c r="I679" t="str">
        <f t="shared" si="12"/>
        <v/>
      </c>
      <c r="J679">
        <f t="shared" si="13"/>
        <v>-8.9730000000001198E-2</v>
      </c>
    </row>
    <row r="680" spans="1:10" ht="14.25" customHeight="1" x14ac:dyDescent="0.25">
      <c r="A680" s="1">
        <v>2449331.2227500002</v>
      </c>
      <c r="B680" s="1" t="s">
        <v>1038</v>
      </c>
      <c r="C680" s="1">
        <v>8.6002130000000001</v>
      </c>
      <c r="D680" s="1"/>
      <c r="E680">
        <f>(A680-m_phot!L$4)/m_phot!L$5-INT((A680-m_phot!L$4)/m_phot!L$5)</f>
        <v>0.63285088793654509</v>
      </c>
      <c r="F680">
        <f t="shared" si="14"/>
        <v>8.6002130000000001</v>
      </c>
      <c r="H680" t="str">
        <f>IF(E680&lt;0.05,INT(($A680-m_phot!$L$4)/m_phot!$L$5),"")</f>
        <v/>
      </c>
      <c r="I680" t="str">
        <f t="shared" si="12"/>
        <v/>
      </c>
      <c r="J680">
        <f t="shared" si="13"/>
        <v>-0.10161000000000087</v>
      </c>
    </row>
    <row r="681" spans="1:10" ht="14.25" customHeight="1" x14ac:dyDescent="0.25">
      <c r="A681" s="1">
        <v>2449348.7088199998</v>
      </c>
      <c r="B681" s="1" t="s">
        <v>1039</v>
      </c>
      <c r="C681" s="1">
        <v>8.6296149999999994</v>
      </c>
      <c r="D681" s="1"/>
      <c r="E681">
        <f>(A681-m_phot!L$4)/m_phot!L$5-INT((A681-m_phot!L$4)/m_phot!L$5)</f>
        <v>0.654266772810562</v>
      </c>
      <c r="F681">
        <f t="shared" si="14"/>
        <v>8.6296149999999994</v>
      </c>
      <c r="H681" t="str">
        <f>IF(E681&lt;0.05,INT(($A681-m_phot!$L$4)/m_phot!$L$5),"")</f>
        <v/>
      </c>
      <c r="I681" t="str">
        <f t="shared" si="12"/>
        <v/>
      </c>
      <c r="J681">
        <f t="shared" si="13"/>
        <v>-7.2208000000001604E-2</v>
      </c>
    </row>
    <row r="682" spans="1:10" ht="14.25" customHeight="1" x14ac:dyDescent="0.25">
      <c r="A682" s="1">
        <v>2449360.9001799999</v>
      </c>
      <c r="B682" s="1" t="s">
        <v>1040</v>
      </c>
      <c r="C682" s="1">
        <v>8.58</v>
      </c>
      <c r="D682" s="1"/>
      <c r="E682">
        <f>(A682-m_phot!L$4)/m_phot!L$5-INT((A682-m_phot!L$4)/m_phot!L$5)</f>
        <v>0.6691980159214701</v>
      </c>
      <c r="F682">
        <f t="shared" si="14"/>
        <v>8.58</v>
      </c>
      <c r="H682" t="str">
        <f>IF(E682&lt;0.05,INT(($A682-m_phot!$L$4)/m_phot!$L$5),"")</f>
        <v/>
      </c>
      <c r="I682" t="str">
        <f t="shared" ref="I682:I745" si="15">IF(H682&lt;&gt;"",AVERAGE(C682:C683),"")</f>
        <v/>
      </c>
      <c r="J682">
        <f t="shared" si="13"/>
        <v>-0.1218230000000009</v>
      </c>
    </row>
    <row r="683" spans="1:10" ht="14.25" customHeight="1" x14ac:dyDescent="0.25">
      <c r="A683" s="1">
        <v>2449380.9136000001</v>
      </c>
      <c r="B683" s="1" t="s">
        <v>1041</v>
      </c>
      <c r="C683" s="1">
        <v>8.5833329999999997</v>
      </c>
      <c r="D683" s="1"/>
      <c r="E683">
        <f>(A683-m_phot!L$4)/m_phot!L$5-INT((A683-m_phot!L$4)/m_phot!L$5)</f>
        <v>0.69370924678516488</v>
      </c>
      <c r="F683">
        <f t="shared" si="14"/>
        <v>8.5833329999999997</v>
      </c>
      <c r="H683" t="str">
        <f>IF(E683&lt;0.05,INT(($A683-m_phot!$L$4)/m_phot!$L$5),"")</f>
        <v/>
      </c>
      <c r="I683" t="str">
        <f t="shared" si="15"/>
        <v/>
      </c>
      <c r="J683">
        <f t="shared" si="13"/>
        <v>-0.11849000000000132</v>
      </c>
    </row>
    <row r="684" spans="1:10" ht="14.25" customHeight="1" x14ac:dyDescent="0.25">
      <c r="A684" s="1">
        <v>2449428.7026999998</v>
      </c>
      <c r="B684" s="1" t="s">
        <v>1042</v>
      </c>
      <c r="C684" s="1">
        <v>8.8000000000000007</v>
      </c>
      <c r="D684" s="1"/>
      <c r="E684">
        <f>(A684-m_phot!L$4)/m_phot!L$5-INT((A684-m_phot!L$4)/m_phot!L$5)</f>
        <v>0.75223845682766921</v>
      </c>
      <c r="F684">
        <f t="shared" si="14"/>
        <v>8.8000000000000007</v>
      </c>
      <c r="H684" t="str">
        <f>IF(E684&lt;0.05,INT(($A684-m_phot!$L$4)/m_phot!$L$5),"")</f>
        <v/>
      </c>
      <c r="I684" t="str">
        <f t="shared" si="15"/>
        <v/>
      </c>
      <c r="J684">
        <f t="shared" si="13"/>
        <v>9.8176999999999737E-2</v>
      </c>
    </row>
    <row r="685" spans="1:10" ht="14.25" customHeight="1" x14ac:dyDescent="0.25">
      <c r="A685" s="1">
        <v>2449452.11717</v>
      </c>
      <c r="B685" s="1" t="s">
        <v>1043</v>
      </c>
      <c r="C685" s="1">
        <v>8.7324999999999999</v>
      </c>
      <c r="D685" s="1"/>
      <c r="E685">
        <f>(A685-m_phot!L$4)/m_phot!L$5-INT((A685-m_phot!L$4)/m_phot!L$5)</f>
        <v>0.78091508879360916</v>
      </c>
      <c r="F685">
        <f t="shared" si="14"/>
        <v>8.7324999999999999</v>
      </c>
      <c r="H685" t="str">
        <f>IF(E685&lt;0.05,INT(($A685-m_phot!$L$4)/m_phot!$L$5),"")</f>
        <v/>
      </c>
      <c r="I685" t="str">
        <f t="shared" si="15"/>
        <v/>
      </c>
      <c r="J685">
        <f t="shared" si="13"/>
        <v>3.0676999999998955E-2</v>
      </c>
    </row>
    <row r="686" spans="1:10" ht="14.25" customHeight="1" x14ac:dyDescent="0.25">
      <c r="A686" s="1">
        <v>2449467.6007599998</v>
      </c>
      <c r="B686" s="1" t="s">
        <v>1044</v>
      </c>
      <c r="C686" s="1">
        <v>8.7628570000000003</v>
      </c>
      <c r="D686" s="1"/>
      <c r="E686">
        <f>(A686-m_phot!L$4)/m_phot!L$5-INT((A686-m_phot!L$4)/m_phot!L$5)</f>
        <v>0.79987845682771308</v>
      </c>
      <c r="F686">
        <f t="shared" si="14"/>
        <v>8.7628570000000003</v>
      </c>
      <c r="H686" t="str">
        <f>IF(E686&lt;0.05,INT(($A686-m_phot!$L$4)/m_phot!$L$5),"")</f>
        <v/>
      </c>
      <c r="I686" t="str">
        <f t="shared" si="15"/>
        <v/>
      </c>
      <c r="J686">
        <f t="shared" si="13"/>
        <v>6.1033999999999367E-2</v>
      </c>
    </row>
    <row r="687" spans="1:10" ht="14.25" customHeight="1" x14ac:dyDescent="0.25">
      <c r="A687" s="1">
        <v>2449484.0516400002</v>
      </c>
      <c r="B687" s="1" t="s">
        <v>1045</v>
      </c>
      <c r="C687" s="1">
        <v>8.7142859999999995</v>
      </c>
      <c r="D687" s="1"/>
      <c r="E687">
        <f>(A687-m_phot!L$4)/m_phot!L$5-INT((A687-m_phot!L$4)/m_phot!L$5)</f>
        <v>0.82002650336827188</v>
      </c>
      <c r="F687">
        <f t="shared" si="14"/>
        <v>8.7142859999999995</v>
      </c>
      <c r="H687" t="str">
        <f>IF(E687&lt;0.05,INT(($A687-m_phot!$L$4)/m_phot!$L$5),"")</f>
        <v/>
      </c>
      <c r="I687" t="str">
        <f t="shared" si="15"/>
        <v/>
      </c>
      <c r="J687">
        <f t="shared" si="13"/>
        <v>1.2462999999998559E-2</v>
      </c>
    </row>
    <row r="688" spans="1:10" ht="14.25" customHeight="1" x14ac:dyDescent="0.25">
      <c r="A688" s="1">
        <v>2449502.5406399998</v>
      </c>
      <c r="B688" s="1" t="s">
        <v>1046</v>
      </c>
      <c r="C688" s="1">
        <v>8.7277780000000007</v>
      </c>
      <c r="D688" s="1"/>
      <c r="E688">
        <f>(A688-m_phot!L$4)/m_phot!L$5-INT((A688-m_phot!L$4)/m_phot!L$5)</f>
        <v>0.84267071647249026</v>
      </c>
      <c r="F688">
        <f t="shared" si="14"/>
        <v>8.7277780000000007</v>
      </c>
      <c r="H688" t="str">
        <f>IF(E688&lt;0.05,INT(($A688-m_phot!$L$4)/m_phot!$L$5),"")</f>
        <v/>
      </c>
      <c r="I688" t="str">
        <f t="shared" si="15"/>
        <v/>
      </c>
      <c r="J688">
        <f t="shared" si="13"/>
        <v>2.5954999999999728E-2</v>
      </c>
    </row>
    <row r="689" spans="1:10" ht="14.25" customHeight="1" x14ac:dyDescent="0.25">
      <c r="A689" s="1">
        <v>2449514.5802799999</v>
      </c>
      <c r="B689" s="1" t="s">
        <v>1047</v>
      </c>
      <c r="C689" s="1">
        <v>8.6545159999999992</v>
      </c>
      <c r="D689" s="1"/>
      <c r="E689">
        <f>(A689-m_phot!L$4)/m_phot!L$5-INT((A689-m_phot!L$4)/m_phot!L$5)</f>
        <v>0.85741614206965977</v>
      </c>
      <c r="F689">
        <f t="shared" si="14"/>
        <v>8.6545159999999992</v>
      </c>
      <c r="H689" t="str">
        <f>IF(E689&lt;0.05,INT(($A689-m_phot!$L$4)/m_phot!$L$5),"")</f>
        <v/>
      </c>
      <c r="I689" t="str">
        <f t="shared" si="15"/>
        <v/>
      </c>
      <c r="J689">
        <f t="shared" si="13"/>
        <v>-4.7307000000001764E-2</v>
      </c>
    </row>
    <row r="690" spans="1:10" ht="14.25" customHeight="1" x14ac:dyDescent="0.25">
      <c r="A690" s="1">
        <v>2449531.7530899998</v>
      </c>
      <c r="B690" s="1" t="s">
        <v>1048</v>
      </c>
      <c r="C690" s="1">
        <v>8.6119050000000001</v>
      </c>
      <c r="D690" s="1"/>
      <c r="E690">
        <f>(A690-m_phot!L$4)/m_phot!L$5-INT((A690-m_phot!L$4)/m_phot!L$5)</f>
        <v>0.87844836497217571</v>
      </c>
      <c r="F690">
        <f t="shared" si="14"/>
        <v>8.6119050000000001</v>
      </c>
      <c r="H690" t="str">
        <f>IF(E690&lt;0.05,INT(($A690-m_phot!$L$4)/m_phot!$L$5),"")</f>
        <v/>
      </c>
      <c r="I690" t="str">
        <f t="shared" si="15"/>
        <v/>
      </c>
      <c r="J690">
        <f t="shared" si="13"/>
        <v>-8.9918000000000831E-2</v>
      </c>
    </row>
    <row r="691" spans="1:10" ht="14.25" customHeight="1" x14ac:dyDescent="0.25">
      <c r="A691" s="1">
        <v>2449544.8303899998</v>
      </c>
      <c r="B691" s="1" t="s">
        <v>1049</v>
      </c>
      <c r="C691" s="1">
        <v>8.7340979999999995</v>
      </c>
      <c r="D691" s="1"/>
      <c r="E691">
        <f>(A691-m_phot!L$4)/m_phot!L$5-INT((A691-m_phot!L$4)/m_phot!L$5)</f>
        <v>0.8944646540107577</v>
      </c>
      <c r="F691">
        <f t="shared" si="14"/>
        <v>8.7340979999999995</v>
      </c>
      <c r="H691" t="str">
        <f>IF(E691&lt;0.05,INT(($A691-m_phot!$L$4)/m_phot!$L$5),"")</f>
        <v/>
      </c>
      <c r="I691" t="str">
        <f t="shared" si="15"/>
        <v/>
      </c>
      <c r="J691">
        <f t="shared" si="13"/>
        <v>3.2274999999998499E-2</v>
      </c>
    </row>
    <row r="692" spans="1:10" ht="14.25" customHeight="1" x14ac:dyDescent="0.25">
      <c r="A692" s="1">
        <v>2449561.7237200001</v>
      </c>
      <c r="B692" s="1" t="s">
        <v>1050</v>
      </c>
      <c r="C692" s="1">
        <v>8.7338100000000001</v>
      </c>
      <c r="D692" s="1"/>
      <c r="E692">
        <f>(A692-m_phot!L$4)/m_phot!L$5-INT((A692-m_phot!L$4)/m_phot!L$5)</f>
        <v>0.9151545866504911</v>
      </c>
      <c r="F692">
        <f t="shared" si="14"/>
        <v>8.7338100000000001</v>
      </c>
      <c r="H692" t="str">
        <f>IF(E692&lt;0.05,INT(($A692-m_phot!$L$4)/m_phot!$L$5),"")</f>
        <v/>
      </c>
      <c r="I692" t="str">
        <f t="shared" si="15"/>
        <v/>
      </c>
      <c r="J692">
        <f t="shared" si="13"/>
        <v>3.1986999999999099E-2</v>
      </c>
    </row>
    <row r="693" spans="1:10" ht="14.25" customHeight="1" x14ac:dyDescent="0.25">
      <c r="A693" s="1">
        <v>2449574.1924299998</v>
      </c>
      <c r="B693" s="1" t="s">
        <v>1051</v>
      </c>
      <c r="C693" s="1">
        <v>8.6813640000000003</v>
      </c>
      <c r="D693" s="1"/>
      <c r="E693">
        <f>(A693-m_phot!L$4)/m_phot!L$5-INT((A693-m_phot!L$4)/m_phot!L$5)</f>
        <v>0.93042551132862172</v>
      </c>
      <c r="F693">
        <f t="shared" si="14"/>
        <v>8.6813640000000003</v>
      </c>
      <c r="H693" t="str">
        <f>IF(E693&lt;0.05,INT(($A693-m_phot!$L$4)/m_phot!$L$5),"")</f>
        <v/>
      </c>
      <c r="I693" t="str">
        <f t="shared" si="15"/>
        <v/>
      </c>
      <c r="J693">
        <f t="shared" si="13"/>
        <v>-2.0459000000000671E-2</v>
      </c>
    </row>
    <row r="694" spans="1:10" ht="14.25" customHeight="1" x14ac:dyDescent="0.25">
      <c r="A694" s="1">
        <v>2449591.4945499999</v>
      </c>
      <c r="B694" s="1" t="s">
        <v>1052</v>
      </c>
      <c r="C694" s="1">
        <v>8.7445450000000005</v>
      </c>
      <c r="D694" s="1"/>
      <c r="E694">
        <f>(A694-m_phot!L$4)/m_phot!L$5-INT((A694-m_phot!L$4)/m_phot!L$5)</f>
        <v>0.95161610532754892</v>
      </c>
      <c r="F694">
        <f t="shared" si="14"/>
        <v>8.7445450000000005</v>
      </c>
      <c r="H694" t="str">
        <f>IF(E694&lt;0.05,INT(($A694-m_phot!$L$4)/m_phot!$L$5),"")</f>
        <v/>
      </c>
      <c r="I694" t="str">
        <f t="shared" si="15"/>
        <v/>
      </c>
      <c r="J694">
        <f t="shared" si="13"/>
        <v>4.2721999999999483E-2</v>
      </c>
    </row>
    <row r="695" spans="1:10" ht="14.25" customHeight="1" x14ac:dyDescent="0.25">
      <c r="A695" s="1">
        <v>2449603.7953699999</v>
      </c>
      <c r="B695" s="1" t="s">
        <v>1053</v>
      </c>
      <c r="C695" s="1">
        <v>8.7704760000000004</v>
      </c>
      <c r="D695" s="1"/>
      <c r="E695">
        <f>(A695-m_phot!L$4)/m_phot!L$5-INT((A695-m_phot!L$4)/m_phot!L$5)</f>
        <v>0.96668140845063988</v>
      </c>
      <c r="F695">
        <f t="shared" si="14"/>
        <v>8.7704760000000004</v>
      </c>
      <c r="H695" t="str">
        <f>IF(E695&lt;0.05,INT(($A695-m_phot!$L$4)/m_phot!$L$5),"")</f>
        <v/>
      </c>
      <c r="I695" t="str">
        <f t="shared" si="15"/>
        <v/>
      </c>
      <c r="J695">
        <f t="shared" si="13"/>
        <v>6.8652999999999409E-2</v>
      </c>
    </row>
    <row r="696" spans="1:10" ht="14.25" customHeight="1" x14ac:dyDescent="0.25">
      <c r="A696" s="1">
        <v>2449621.0117500001</v>
      </c>
      <c r="B696" s="1" t="s">
        <v>1054</v>
      </c>
      <c r="C696" s="1">
        <v>8.7486049999999995</v>
      </c>
      <c r="D696" s="1"/>
      <c r="E696">
        <f>(A696-m_phot!L$4)/m_phot!L$5-INT((A696-m_phot!L$4)/m_phot!L$5)</f>
        <v>0.9877669932640103</v>
      </c>
      <c r="F696">
        <f t="shared" si="14"/>
        <v>8.7486049999999995</v>
      </c>
      <c r="H696" t="str">
        <f>IF(E696&lt;0.05,INT(($A696-m_phot!$L$4)/m_phot!$L$5),"")</f>
        <v/>
      </c>
      <c r="I696" t="str">
        <f t="shared" si="15"/>
        <v/>
      </c>
      <c r="J696">
        <f t="shared" si="13"/>
        <v>4.6781999999998547E-2</v>
      </c>
    </row>
    <row r="697" spans="1:10" ht="14.25" customHeight="1" x14ac:dyDescent="0.25">
      <c r="A697" s="1">
        <v>2449634.6492400002</v>
      </c>
      <c r="B697" s="1" t="s">
        <v>1055</v>
      </c>
      <c r="C697" s="1">
        <v>8.7566319999999997</v>
      </c>
      <c r="D697" s="1"/>
      <c r="E697">
        <f>(A697-m_phot!L$4)/m_phot!L$5-INT((A697-m_phot!L$4)/m_phot!L$5)</f>
        <v>4.4693692592439049E-3</v>
      </c>
      <c r="F697">
        <f t="shared" si="14"/>
        <v>8.7566319999999997</v>
      </c>
      <c r="H697">
        <f>IF(E697&lt;0.05,INT(($A697-m_phot!$L$4)/m_phot!$L$5),"")</f>
        <v>22</v>
      </c>
      <c r="I697">
        <f t="shared" si="15"/>
        <v>8.7892419999999998</v>
      </c>
      <c r="J697">
        <f>+C697-I$697</f>
        <v>-3.2610000000000028E-2</v>
      </c>
    </row>
    <row r="698" spans="1:10" ht="14.25" customHeight="1" x14ac:dyDescent="0.25">
      <c r="A698" s="1">
        <v>2449652.1917599998</v>
      </c>
      <c r="B698" s="1" t="s">
        <v>1056</v>
      </c>
      <c r="C698" s="1">
        <v>8.8218519999999998</v>
      </c>
      <c r="D698" s="1"/>
      <c r="E698">
        <f>(A698-m_phot!L$4)/m_phot!L$5-INT((A698-m_phot!L$4)/m_phot!L$5)</f>
        <v>2.5954390691783402E-2</v>
      </c>
      <c r="F698">
        <f t="shared" si="14"/>
        <v>8.8218519999999998</v>
      </c>
      <c r="H698">
        <f>IF(E698&lt;0.05,INT(($A698-m_phot!$L$4)/m_phot!$L$5),"")</f>
        <v>22</v>
      </c>
      <c r="I698">
        <f t="shared" si="15"/>
        <v>8.8146294999999988</v>
      </c>
      <c r="J698">
        <f t="shared" ref="J698:J745" si="16">+C698-I$697</f>
        <v>3.2610000000000028E-2</v>
      </c>
    </row>
    <row r="699" spans="1:10" ht="14.25" customHeight="1" x14ac:dyDescent="0.25">
      <c r="A699" s="1">
        <v>2449663.5830899999</v>
      </c>
      <c r="B699" s="1" t="s">
        <v>1057</v>
      </c>
      <c r="C699" s="1">
        <v>8.8074069999999995</v>
      </c>
      <c r="D699" s="1"/>
      <c r="E699">
        <f>(A699-m_phot!L$4)/m_phot!L$5-INT((A699-m_phot!L$4)/m_phot!L$5)</f>
        <v>3.9905805266201355E-2</v>
      </c>
      <c r="F699">
        <f t="shared" si="14"/>
        <v>8.8074069999999995</v>
      </c>
      <c r="H699">
        <f>IF(E699&lt;0.05,INT(($A699-m_phot!$L$4)/m_phot!$L$5),"")</f>
        <v>22</v>
      </c>
      <c r="I699">
        <f t="shared" si="15"/>
        <v>8.8156439999999989</v>
      </c>
      <c r="J699">
        <f t="shared" si="16"/>
        <v>1.8164999999999765E-2</v>
      </c>
    </row>
    <row r="700" spans="1:10" ht="14.25" customHeight="1" x14ac:dyDescent="0.25">
      <c r="A700" s="1">
        <v>2449681.5192399998</v>
      </c>
      <c r="B700" s="1" t="s">
        <v>1058</v>
      </c>
      <c r="C700" s="1">
        <v>8.8238810000000001</v>
      </c>
      <c r="D700" s="1"/>
      <c r="E700">
        <f>(A700-m_phot!L$4)/m_phot!L$5-INT((A700-m_phot!L$4)/m_phot!L$5)</f>
        <v>6.1872921004066939E-2</v>
      </c>
      <c r="F700">
        <f t="shared" si="14"/>
        <v>8.8238810000000001</v>
      </c>
      <c r="H700" t="str">
        <f>IF(E700&lt;0.05,INT(($A700-m_phot!$L$4)/m_phot!$L$5),"")</f>
        <v/>
      </c>
      <c r="I700" t="str">
        <f t="shared" si="15"/>
        <v/>
      </c>
      <c r="J700">
        <f t="shared" si="16"/>
        <v>3.4639000000000308E-2</v>
      </c>
    </row>
    <row r="701" spans="1:10" ht="14.25" customHeight="1" x14ac:dyDescent="0.25">
      <c r="A701" s="1">
        <v>2449694.7448999998</v>
      </c>
      <c r="B701" s="1" t="s">
        <v>1059</v>
      </c>
      <c r="C701" s="1">
        <v>8.7799999999999994</v>
      </c>
      <c r="D701" s="1"/>
      <c r="E701">
        <f>(A701-m_phot!L$4)/m_phot!L$5-INT((A701-m_phot!L$4)/m_phot!L$5)</f>
        <v>7.8070912430881378E-2</v>
      </c>
      <c r="F701">
        <f t="shared" si="14"/>
        <v>8.7799999999999994</v>
      </c>
      <c r="H701" t="str">
        <f>IF(E701&lt;0.05,INT(($A701-m_phot!$L$4)/m_phot!$L$5),"")</f>
        <v/>
      </c>
      <c r="I701" t="str">
        <f t="shared" si="15"/>
        <v/>
      </c>
      <c r="J701">
        <f t="shared" si="16"/>
        <v>-9.2420000000004165E-3</v>
      </c>
    </row>
    <row r="702" spans="1:10" ht="14.25" customHeight="1" x14ac:dyDescent="0.25">
      <c r="A702" s="1">
        <v>2449712.4948999998</v>
      </c>
      <c r="B702" s="1" t="s">
        <v>1060</v>
      </c>
      <c r="C702" s="1">
        <v>8.8138459999999998</v>
      </c>
      <c r="D702" s="1"/>
      <c r="E702">
        <f>(A702-m_phot!L$4)/m_phot!L$5-INT((A702-m_phot!L$4)/m_phot!L$5)</f>
        <v>9.9810042865666304E-2</v>
      </c>
      <c r="F702">
        <f t="shared" si="14"/>
        <v>8.8138459999999998</v>
      </c>
      <c r="H702" t="str">
        <f>IF(E702&lt;0.05,INT(($A702-m_phot!$L$4)/m_phot!$L$5),"")</f>
        <v/>
      </c>
      <c r="I702" t="str">
        <f t="shared" si="15"/>
        <v/>
      </c>
      <c r="J702">
        <f t="shared" si="16"/>
        <v>2.460400000000007E-2</v>
      </c>
    </row>
    <row r="703" spans="1:10" ht="14.25" customHeight="1" x14ac:dyDescent="0.25">
      <c r="A703" s="1">
        <v>2449725.5652100001</v>
      </c>
      <c r="B703" s="1" t="s">
        <v>1061</v>
      </c>
      <c r="C703" s="1">
        <v>8.7617069999999995</v>
      </c>
      <c r="D703" s="1"/>
      <c r="E703">
        <f>(A703-m_phot!L$4)/m_phot!L$5-INT((A703-m_phot!L$4)/m_phot!L$5)</f>
        <v>0.11581777097384816</v>
      </c>
      <c r="F703">
        <f t="shared" si="14"/>
        <v>8.7617069999999995</v>
      </c>
      <c r="H703" t="str">
        <f>IF(E703&lt;0.05,INT(($A703-m_phot!$L$4)/m_phot!$L$5),"")</f>
        <v/>
      </c>
      <c r="I703" t="str">
        <f t="shared" si="15"/>
        <v/>
      </c>
      <c r="J703">
        <f t="shared" si="16"/>
        <v>-2.7535000000000309E-2</v>
      </c>
    </row>
    <row r="704" spans="1:10" ht="14.25" customHeight="1" x14ac:dyDescent="0.25">
      <c r="A704" s="1">
        <v>2449741.4277599999</v>
      </c>
      <c r="B704" s="1" t="s">
        <v>1062</v>
      </c>
      <c r="C704" s="1">
        <v>8.7449999999999992</v>
      </c>
      <c r="D704" s="1"/>
      <c r="E704">
        <f>(A704-m_phot!L$4)/m_phot!L$5-INT((A704-m_phot!L$4)/m_phot!L$5)</f>
        <v>0.13524526638074263</v>
      </c>
      <c r="F704">
        <f t="shared" si="14"/>
        <v>8.7449999999999992</v>
      </c>
      <c r="H704" t="str">
        <f>IF(E704&lt;0.05,INT(($A704-m_phot!$L$4)/m_phot!$L$5),"")</f>
        <v/>
      </c>
      <c r="I704" t="str">
        <f t="shared" si="15"/>
        <v/>
      </c>
      <c r="J704">
        <f t="shared" si="16"/>
        <v>-4.4242000000000559E-2</v>
      </c>
    </row>
    <row r="705" spans="1:10" ht="14.25" customHeight="1" x14ac:dyDescent="0.25">
      <c r="A705" s="1">
        <v>2449759.5366799999</v>
      </c>
      <c r="B705" s="1" t="s">
        <v>1063</v>
      </c>
      <c r="C705" s="1">
        <v>8.76</v>
      </c>
      <c r="D705" s="1"/>
      <c r="E705">
        <f>(A705-m_phot!L$4)/m_phot!L$5-INT((A705-m_phot!L$4)/m_phot!L$5)</f>
        <v>0.15742398040404382</v>
      </c>
      <c r="F705">
        <f t="shared" si="14"/>
        <v>8.76</v>
      </c>
      <c r="H705" t="str">
        <f>IF(E705&lt;0.05,INT(($A705-m_phot!$L$4)/m_phot!$L$5),"")</f>
        <v/>
      </c>
      <c r="I705" t="str">
        <f t="shared" si="15"/>
        <v/>
      </c>
      <c r="J705">
        <f t="shared" si="16"/>
        <v>-2.924199999999999E-2</v>
      </c>
    </row>
    <row r="706" spans="1:10" ht="14.25" customHeight="1" x14ac:dyDescent="0.25">
      <c r="A706" s="1">
        <v>2449791.03987</v>
      </c>
      <c r="B706" s="1" t="s">
        <v>1064</v>
      </c>
      <c r="C706" s="1">
        <v>8.8049999999999997</v>
      </c>
      <c r="D706" s="1"/>
      <c r="E706">
        <f>(A706-m_phot!L$4)/m_phot!L$5-INT((A706-m_phot!L$4)/m_phot!L$5)</f>
        <v>0.19600718922226434</v>
      </c>
      <c r="F706">
        <f t="shared" si="14"/>
        <v>8.8049999999999997</v>
      </c>
      <c r="H706" t="str">
        <f>IF(E706&lt;0.05,INT(($A706-m_phot!$L$4)/m_phot!$L$5),"")</f>
        <v/>
      </c>
      <c r="I706" t="str">
        <f t="shared" si="15"/>
        <v/>
      </c>
      <c r="J706">
        <f t="shared" si="16"/>
        <v>1.5757999999999939E-2</v>
      </c>
    </row>
    <row r="707" spans="1:10" ht="14.25" customHeight="1" x14ac:dyDescent="0.25">
      <c r="A707" s="1">
        <v>2449813.63</v>
      </c>
      <c r="B707" s="1" t="s">
        <v>1065</v>
      </c>
      <c r="C707" s="1">
        <v>8.8849999999999998</v>
      </c>
      <c r="D707" s="1"/>
      <c r="E707">
        <f>(A707-m_phot!L$4)/m_phot!L$5-INT((A707-m_phot!L$4)/m_phot!L$5)</f>
        <v>0.22367421922827546</v>
      </c>
      <c r="F707">
        <f t="shared" si="14"/>
        <v>8.8849999999999998</v>
      </c>
      <c r="H707" t="str">
        <f>IF(E707&lt;0.05,INT(($A707-m_phot!$L$4)/m_phot!$L$5),"")</f>
        <v/>
      </c>
      <c r="I707" t="str">
        <f t="shared" si="15"/>
        <v/>
      </c>
      <c r="J707">
        <f t="shared" si="16"/>
        <v>9.575800000000001E-2</v>
      </c>
    </row>
    <row r="708" spans="1:10" ht="14.25" customHeight="1" x14ac:dyDescent="0.25">
      <c r="A708" s="1">
        <v>2449828.6267599999</v>
      </c>
      <c r="B708" s="1" t="s">
        <v>1066</v>
      </c>
      <c r="C708" s="1">
        <v>8.7457139999999995</v>
      </c>
      <c r="D708" s="1"/>
      <c r="E708">
        <f>(A708-m_phot!L$4)/m_phot!L$5-INT((A708-m_phot!L$4)/m_phot!L$5)</f>
        <v>0.24204134721358983</v>
      </c>
      <c r="F708">
        <f t="shared" si="14"/>
        <v>8.7457139999999995</v>
      </c>
      <c r="H708" t="str">
        <f>IF(E708&lt;0.05,INT(($A708-m_phot!$L$4)/m_phot!$L$5),"")</f>
        <v/>
      </c>
      <c r="I708" t="str">
        <f t="shared" si="15"/>
        <v/>
      </c>
      <c r="J708">
        <f t="shared" si="16"/>
        <v>-4.3528000000000233E-2</v>
      </c>
    </row>
    <row r="709" spans="1:10" ht="14.25" customHeight="1" x14ac:dyDescent="0.25">
      <c r="A709" s="1">
        <v>2449843.42239</v>
      </c>
      <c r="B709" s="1" t="s">
        <v>1067</v>
      </c>
      <c r="C709" s="1">
        <v>8.749091</v>
      </c>
      <c r="D709" s="1"/>
      <c r="E709">
        <f>(A709-m_phot!L$4)/m_phot!L$5-INT((A709-m_phot!L$4)/m_phot!L$5)</f>
        <v>0.26016214329450449</v>
      </c>
      <c r="F709">
        <f t="shared" si="14"/>
        <v>8.749091</v>
      </c>
      <c r="H709" t="str">
        <f>IF(E709&lt;0.05,INT(($A709-m_phot!$L$4)/m_phot!$L$5),"")</f>
        <v/>
      </c>
      <c r="I709" t="str">
        <f t="shared" si="15"/>
        <v/>
      </c>
      <c r="J709">
        <f t="shared" si="16"/>
        <v>-4.0150999999999826E-2</v>
      </c>
    </row>
    <row r="710" spans="1:10" ht="14.25" customHeight="1" x14ac:dyDescent="0.25">
      <c r="A710" s="1">
        <v>2449864.5202500001</v>
      </c>
      <c r="B710" s="1" t="s">
        <v>1068</v>
      </c>
      <c r="C710" s="1">
        <v>8.76</v>
      </c>
      <c r="D710" s="1"/>
      <c r="E710">
        <f>(A710-m_phot!L$4)/m_phot!L$5-INT((A710-m_phot!L$4)/m_phot!L$5)</f>
        <v>0.28600153092475011</v>
      </c>
      <c r="F710">
        <f t="shared" si="14"/>
        <v>8.76</v>
      </c>
      <c r="H710" t="str">
        <f>IF(E710&lt;0.05,INT(($A710-m_phot!$L$4)/m_phot!$L$5),"")</f>
        <v/>
      </c>
      <c r="I710" t="str">
        <f t="shared" si="15"/>
        <v/>
      </c>
      <c r="J710">
        <f t="shared" si="16"/>
        <v>-2.924199999999999E-2</v>
      </c>
    </row>
    <row r="711" spans="1:10" ht="14.25" customHeight="1" x14ac:dyDescent="0.25">
      <c r="A711" s="1">
        <v>2449884.8641400002</v>
      </c>
      <c r="B711" s="1" t="s">
        <v>1069</v>
      </c>
      <c r="C711" s="1">
        <v>8.6785709999999998</v>
      </c>
      <c r="D711" s="1"/>
      <c r="E711">
        <f>(A711-m_phot!L$4)/m_phot!L$5-INT((A711-m_phot!L$4)/m_phot!L$5)</f>
        <v>0.31091750153116138</v>
      </c>
      <c r="F711">
        <f t="shared" si="14"/>
        <v>8.6785709999999998</v>
      </c>
      <c r="H711" t="str">
        <f>IF(E711&lt;0.05,INT(($A711-m_phot!$L$4)/m_phot!$L$5),"")</f>
        <v/>
      </c>
      <c r="I711" t="str">
        <f t="shared" si="15"/>
        <v/>
      </c>
      <c r="J711">
        <f t="shared" si="16"/>
        <v>-0.11067099999999996</v>
      </c>
    </row>
    <row r="712" spans="1:10" ht="14.25" customHeight="1" x14ac:dyDescent="0.25">
      <c r="A712" s="1">
        <v>2449897.7625699998</v>
      </c>
      <c r="B712" s="1" t="s">
        <v>1070</v>
      </c>
      <c r="C712" s="1">
        <v>8.68</v>
      </c>
      <c r="D712" s="1"/>
      <c r="E712">
        <f>(A712-m_phot!L$4)/m_phot!L$5-INT((A712-m_phot!L$4)/m_phot!L$5)</f>
        <v>0.32671472137144875</v>
      </c>
      <c r="F712">
        <f t="shared" si="14"/>
        <v>8.68</v>
      </c>
      <c r="H712" t="str">
        <f>IF(E712&lt;0.05,INT(($A712-m_phot!$L$4)/m_phot!$L$5),"")</f>
        <v/>
      </c>
      <c r="I712" t="str">
        <f t="shared" si="15"/>
        <v/>
      </c>
      <c r="J712">
        <f t="shared" si="16"/>
        <v>-0.10924200000000006</v>
      </c>
    </row>
    <row r="713" spans="1:10" ht="14.25" customHeight="1" x14ac:dyDescent="0.25">
      <c r="A713" s="1">
        <v>2449916.6397799999</v>
      </c>
      <c r="B713" s="1" t="s">
        <v>1071</v>
      </c>
      <c r="C713" s="1">
        <v>8.6552170000000004</v>
      </c>
      <c r="D713" s="1"/>
      <c r="E713">
        <f>(A713-m_phot!L$4)/m_phot!L$5-INT((A713-m_phot!L$4)/m_phot!L$5)</f>
        <v>0.34983439069179667</v>
      </c>
      <c r="F713">
        <f t="shared" si="14"/>
        <v>8.6552170000000004</v>
      </c>
      <c r="H713" t="str">
        <f>IF(E713&lt;0.05,INT(($A713-m_phot!$L$4)/m_phot!$L$5),"")</f>
        <v/>
      </c>
      <c r="I713" t="str">
        <f t="shared" si="15"/>
        <v/>
      </c>
      <c r="J713">
        <f t="shared" si="16"/>
        <v>-0.13402499999999939</v>
      </c>
    </row>
    <row r="714" spans="1:10" ht="14.25" customHeight="1" x14ac:dyDescent="0.25">
      <c r="A714" s="1">
        <v>2449929.0268000001</v>
      </c>
      <c r="B714" s="1" t="s">
        <v>1072</v>
      </c>
      <c r="C714" s="1">
        <v>8.6388890000000007</v>
      </c>
      <c r="D714" s="1"/>
      <c r="E714">
        <f>(A714-m_phot!L$4)/m_phot!L$5-INT((A714-m_phot!L$4)/m_phot!L$5)</f>
        <v>0.36500526638102571</v>
      </c>
      <c r="F714">
        <f t="shared" si="14"/>
        <v>8.6388890000000007</v>
      </c>
      <c r="H714" t="str">
        <f>IF(E714&lt;0.05,INT(($A714-m_phot!$L$4)/m_phot!$L$5),"")</f>
        <v/>
      </c>
      <c r="I714" t="str">
        <f t="shared" si="15"/>
        <v/>
      </c>
      <c r="J714">
        <f t="shared" si="16"/>
        <v>-0.15035299999999907</v>
      </c>
    </row>
    <row r="715" spans="1:10" ht="14.25" customHeight="1" x14ac:dyDescent="0.25">
      <c r="A715" s="1">
        <v>2449944.9491699999</v>
      </c>
      <c r="B715" s="1" t="s">
        <v>1073</v>
      </c>
      <c r="C715" s="1">
        <v>8.6438550000000003</v>
      </c>
      <c r="D715" s="1"/>
      <c r="E715">
        <f>(A715-m_phot!L$4)/m_phot!L$5-INT((A715-m_phot!L$4)/m_phot!L$5)</f>
        <v>0.38450602571943548</v>
      </c>
      <c r="F715">
        <f t="shared" si="14"/>
        <v>8.6438550000000003</v>
      </c>
      <c r="H715" t="str">
        <f>IF(E715&lt;0.05,INT(($A715-m_phot!$L$4)/m_phot!$L$5),"")</f>
        <v/>
      </c>
      <c r="I715" t="str">
        <f t="shared" si="15"/>
        <v/>
      </c>
      <c r="J715">
        <f t="shared" si="16"/>
        <v>-0.14538699999999949</v>
      </c>
    </row>
    <row r="716" spans="1:10" ht="14.25" customHeight="1" x14ac:dyDescent="0.25">
      <c r="A716" s="1">
        <v>2449958.4782599998</v>
      </c>
      <c r="B716" s="1" t="s">
        <v>1074</v>
      </c>
      <c r="C716" s="1">
        <v>8.6265789999999996</v>
      </c>
      <c r="D716" s="1"/>
      <c r="E716">
        <f>(A716-m_phot!L$4)/m_phot!L$5-INT((A716-m_phot!L$4)/m_phot!L$5)</f>
        <v>0.40107563992623341</v>
      </c>
      <c r="F716">
        <f t="shared" si="14"/>
        <v>8.6265789999999996</v>
      </c>
      <c r="H716" t="str">
        <f>IF(E716&lt;0.05,INT(($A716-m_phot!$L$4)/m_phot!$L$5),"")</f>
        <v/>
      </c>
      <c r="I716" t="str">
        <f t="shared" si="15"/>
        <v/>
      </c>
      <c r="J716">
        <f t="shared" si="16"/>
        <v>-0.16266300000000022</v>
      </c>
    </row>
    <row r="717" spans="1:10" ht="14.25" customHeight="1" x14ac:dyDescent="0.25">
      <c r="A717" s="1">
        <v>2449977.1169599998</v>
      </c>
      <c r="B717" s="1" t="s">
        <v>1075</v>
      </c>
      <c r="C717" s="1">
        <v>8.5939999999999994</v>
      </c>
      <c r="D717" s="1"/>
      <c r="E717">
        <f>(A717-m_phot!L$4)/m_phot!L$5-INT((A717-m_phot!L$4)/m_phot!L$5)</f>
        <v>0.42390319657046049</v>
      </c>
      <c r="F717">
        <f t="shared" si="14"/>
        <v>8.5939999999999994</v>
      </c>
      <c r="H717" t="str">
        <f>IF(E717&lt;0.05,INT(($A717-m_phot!$L$4)/m_phot!$L$5),"")</f>
        <v/>
      </c>
      <c r="I717" t="str">
        <f t="shared" si="15"/>
        <v/>
      </c>
      <c r="J717">
        <f t="shared" si="16"/>
        <v>-0.19524200000000036</v>
      </c>
    </row>
    <row r="718" spans="1:10" ht="14.25" customHeight="1" x14ac:dyDescent="0.25">
      <c r="A718" s="1">
        <v>2449989.1471600002</v>
      </c>
      <c r="B718" s="1" t="s">
        <v>1076</v>
      </c>
      <c r="C718" s="1">
        <v>8.5715959999999995</v>
      </c>
      <c r="D718" s="1"/>
      <c r="E718">
        <f>(A718-m_phot!L$4)/m_phot!L$5-INT((A718-m_phot!L$4)/m_phot!L$5)</f>
        <v>0.43863706062482422</v>
      </c>
      <c r="F718">
        <f t="shared" si="14"/>
        <v>8.5715959999999995</v>
      </c>
      <c r="H718" t="str">
        <f>IF(E718&lt;0.05,INT(($A718-m_phot!$L$4)/m_phot!$L$5),"")</f>
        <v/>
      </c>
      <c r="I718" t="str">
        <f t="shared" si="15"/>
        <v/>
      </c>
      <c r="J718">
        <f t="shared" si="16"/>
        <v>-0.21764600000000023</v>
      </c>
    </row>
    <row r="719" spans="1:10" ht="14.25" customHeight="1" x14ac:dyDescent="0.25">
      <c r="A719" s="1">
        <v>2450007.3409099998</v>
      </c>
      <c r="B719" s="1" t="s">
        <v>1077</v>
      </c>
      <c r="C719" s="1">
        <v>8.5396669999999997</v>
      </c>
      <c r="D719" s="1"/>
      <c r="E719">
        <f>(A719-m_phot!L$4)/m_phot!L$5-INT((A719-m_phot!L$4)/m_phot!L$5)</f>
        <v>0.46091966932002038</v>
      </c>
      <c r="F719">
        <f t="shared" si="14"/>
        <v>8.5396669999999997</v>
      </c>
      <c r="H719" t="str">
        <f>IF(E719&lt;0.05,INT(($A719-m_phot!$L$4)/m_phot!$L$5),"")</f>
        <v/>
      </c>
      <c r="I719" t="str">
        <f t="shared" si="15"/>
        <v/>
      </c>
      <c r="J719">
        <f t="shared" si="16"/>
        <v>-0.2495750000000001</v>
      </c>
    </row>
    <row r="720" spans="1:10" ht="14.25" customHeight="1" x14ac:dyDescent="0.25">
      <c r="A720" s="1">
        <v>2450020.6028900002</v>
      </c>
      <c r="B720" s="1" t="s">
        <v>1078</v>
      </c>
      <c r="C720" s="1">
        <v>8.5010940000000002</v>
      </c>
      <c r="D720" s="1"/>
      <c r="E720">
        <f>(A720-m_phot!L$4)/m_phot!L$5-INT((A720-m_phot!L$4)/m_phot!L$5)</f>
        <v>0.47716214329481232</v>
      </c>
      <c r="F720">
        <f t="shared" si="14"/>
        <v>8.5010940000000002</v>
      </c>
      <c r="H720" t="str">
        <f>IF(E720&lt;0.05,INT(($A720-m_phot!$L$4)/m_phot!$L$5),"")</f>
        <v/>
      </c>
      <c r="I720" t="str">
        <f t="shared" si="15"/>
        <v/>
      </c>
      <c r="J720">
        <f t="shared" si="16"/>
        <v>-0.28814799999999963</v>
      </c>
    </row>
    <row r="721" spans="1:10" ht="14.25" customHeight="1" x14ac:dyDescent="0.25">
      <c r="A721" s="1">
        <v>2450038.7437800001</v>
      </c>
      <c r="B721" s="1" t="s">
        <v>1079</v>
      </c>
      <c r="C721" s="1">
        <v>8.4857630000000004</v>
      </c>
      <c r="D721" s="1"/>
      <c r="E721">
        <f>(A721-m_phot!L$4)/m_phot!L$5-INT((A721-m_phot!L$4)/m_phot!L$5)</f>
        <v>0.49938001224756334</v>
      </c>
      <c r="F721">
        <f t="shared" si="14"/>
        <v>8.4857630000000004</v>
      </c>
      <c r="H721" t="str">
        <f>IF(E721&lt;0.05,INT(($A721-m_phot!$L$4)/m_phot!$L$5),"")</f>
        <v/>
      </c>
      <c r="I721" t="str">
        <f t="shared" si="15"/>
        <v/>
      </c>
      <c r="J721">
        <f t="shared" si="16"/>
        <v>-0.30347899999999939</v>
      </c>
    </row>
    <row r="722" spans="1:10" ht="14.25" customHeight="1" x14ac:dyDescent="0.25">
      <c r="A722" s="1">
        <v>2450050.3261600002</v>
      </c>
      <c r="B722" s="1" t="s">
        <v>1080</v>
      </c>
      <c r="C722" s="1">
        <v>8.516</v>
      </c>
      <c r="D722" s="1"/>
      <c r="E722">
        <f>(A722-m_phot!L$4)/m_phot!L$5-INT((A722-m_phot!L$4)/m_phot!L$5)</f>
        <v>0.51356541334987327</v>
      </c>
      <c r="F722">
        <f t="shared" si="14"/>
        <v>8.516</v>
      </c>
      <c r="H722" t="str">
        <f>IF(E722&lt;0.05,INT(($A722-m_phot!$L$4)/m_phot!$L$5),"")</f>
        <v/>
      </c>
      <c r="I722" t="str">
        <f t="shared" si="15"/>
        <v/>
      </c>
      <c r="J722">
        <f t="shared" si="16"/>
        <v>-0.27324199999999976</v>
      </c>
    </row>
    <row r="723" spans="1:10" ht="14.25" customHeight="1" x14ac:dyDescent="0.25">
      <c r="A723" s="1">
        <v>2450065.50134</v>
      </c>
      <c r="B723" s="1" t="s">
        <v>1081</v>
      </c>
      <c r="C723" s="1">
        <v>8.5117139999999996</v>
      </c>
      <c r="D723" s="1"/>
      <c r="E723">
        <f>(A723-m_phot!L$4)/m_phot!L$5-INT((A723-m_phot!L$4)/m_phot!L$5)</f>
        <v>0.53215105939982621</v>
      </c>
      <c r="F723">
        <f t="shared" si="14"/>
        <v>8.5117139999999996</v>
      </c>
      <c r="H723" t="str">
        <f>IF(E723&lt;0.05,INT(($A723-m_phot!$L$4)/m_phot!$L$5),"")</f>
        <v/>
      </c>
      <c r="I723" t="str">
        <f t="shared" si="15"/>
        <v/>
      </c>
      <c r="J723">
        <f t="shared" si="16"/>
        <v>-0.27752800000000022</v>
      </c>
    </row>
    <row r="724" spans="1:10" ht="14.25" customHeight="1" x14ac:dyDescent="0.25">
      <c r="A724" s="1">
        <v>2450080.8643999998</v>
      </c>
      <c r="B724" s="1" t="s">
        <v>1082</v>
      </c>
      <c r="C724" s="1">
        <v>8.5834209999999995</v>
      </c>
      <c r="D724" s="1"/>
      <c r="E724">
        <f>(A724-m_phot!L$4)/m_phot!L$5-INT((A724-m_phot!L$4)/m_phot!L$5)</f>
        <v>0.55096680955278288</v>
      </c>
      <c r="F724">
        <f t="shared" si="14"/>
        <v>8.5834209999999995</v>
      </c>
      <c r="H724" t="str">
        <f>IF(E724&lt;0.05,INT(($A724-m_phot!$L$4)/m_phot!$L$5),"")</f>
        <v/>
      </c>
      <c r="I724" t="str">
        <f t="shared" si="15"/>
        <v/>
      </c>
      <c r="J724">
        <f t="shared" si="16"/>
        <v>-0.20582100000000025</v>
      </c>
    </row>
    <row r="725" spans="1:10" ht="14.25" customHeight="1" x14ac:dyDescent="0.25">
      <c r="A725" s="1">
        <v>2450096.88778</v>
      </c>
      <c r="B725" s="1" t="s">
        <v>1083</v>
      </c>
      <c r="C725" s="1">
        <v>8.5637500000000006</v>
      </c>
      <c r="D725" s="1"/>
      <c r="E725">
        <f>(A725-m_phot!L$4)/m_phot!L$5-INT((A725-m_phot!L$4)/m_phot!L$5)</f>
        <v>0.57059127985301927</v>
      </c>
      <c r="F725">
        <f t="shared" si="14"/>
        <v>8.5637500000000006</v>
      </c>
      <c r="H725" t="str">
        <f>IF(E725&lt;0.05,INT(($A725-m_phot!$L$4)/m_phot!$L$5),"")</f>
        <v/>
      </c>
      <c r="I725" t="str">
        <f t="shared" si="15"/>
        <v/>
      </c>
      <c r="J725">
        <f t="shared" si="16"/>
        <v>-0.22549199999999914</v>
      </c>
    </row>
    <row r="726" spans="1:10" ht="14.25" customHeight="1" x14ac:dyDescent="0.25">
      <c r="A726" s="1">
        <v>2450110.0130599998</v>
      </c>
      <c r="B726" s="1" t="s">
        <v>1084</v>
      </c>
      <c r="C726" s="1">
        <v>8.52</v>
      </c>
      <c r="D726" s="1"/>
      <c r="E726">
        <f>(A726-m_phot!L$4)/m_phot!L$5-INT((A726-m_phot!L$4)/m_phot!L$5)</f>
        <v>0.58666633190421891</v>
      </c>
      <c r="F726">
        <f t="shared" si="14"/>
        <v>8.52</v>
      </c>
      <c r="H726" t="str">
        <f>IF(E726&lt;0.05,INT(($A726-m_phot!$L$4)/m_phot!$L$5),"")</f>
        <v/>
      </c>
      <c r="I726" t="str">
        <f t="shared" si="15"/>
        <v/>
      </c>
      <c r="J726">
        <f t="shared" si="16"/>
        <v>-0.2692420000000002</v>
      </c>
    </row>
    <row r="727" spans="1:10" ht="14.25" customHeight="1" x14ac:dyDescent="0.25">
      <c r="A727" s="1">
        <v>2450122.2999999998</v>
      </c>
      <c r="B727" s="1" t="s">
        <v>1085</v>
      </c>
      <c r="C727" s="1">
        <v>8.5</v>
      </c>
      <c r="D727" s="1"/>
      <c r="E727">
        <f>(A727-m_phot!L$4)/m_phot!L$5-INT((A727-m_phot!L$4)/m_phot!L$5)</f>
        <v>0.60171463563969851</v>
      </c>
      <c r="F727">
        <f t="shared" ref="F727:F790" si="17">+C727</f>
        <v>8.5</v>
      </c>
      <c r="H727" t="str">
        <f>IF(E727&lt;0.05,INT(($A727-m_phot!$L$4)/m_phot!$L$5),"")</f>
        <v/>
      </c>
      <c r="I727" t="str">
        <f t="shared" si="15"/>
        <v/>
      </c>
      <c r="J727">
        <f t="shared" si="16"/>
        <v>-0.28924199999999978</v>
      </c>
    </row>
    <row r="728" spans="1:10" ht="14.25" customHeight="1" x14ac:dyDescent="0.25">
      <c r="A728" s="1">
        <v>2450156.63595</v>
      </c>
      <c r="B728" s="1" t="s">
        <v>1086</v>
      </c>
      <c r="C728" s="1">
        <v>8.6</v>
      </c>
      <c r="D728" s="1"/>
      <c r="E728">
        <f>(A728-m_phot!L$4)/m_phot!L$5-INT((A728-m_phot!L$4)/m_phot!L$5)</f>
        <v>0.64376723821191106</v>
      </c>
      <c r="F728">
        <f t="shared" si="17"/>
        <v>8.6</v>
      </c>
      <c r="H728" t="str">
        <f>IF(E728&lt;0.05,INT(($A728-m_phot!$L$4)/m_phot!$L$5),"")</f>
        <v/>
      </c>
      <c r="I728" t="str">
        <f t="shared" si="15"/>
        <v/>
      </c>
      <c r="J728">
        <f t="shared" si="16"/>
        <v>-0.18924200000000013</v>
      </c>
    </row>
    <row r="729" spans="1:10" ht="14.25" customHeight="1" x14ac:dyDescent="0.25">
      <c r="A729" s="1">
        <v>2450193.0943499999</v>
      </c>
      <c r="B729" s="1" t="s">
        <v>1087</v>
      </c>
      <c r="C729" s="1">
        <v>8.7137499999999992</v>
      </c>
      <c r="D729" s="1"/>
      <c r="E729">
        <f>(A729-m_phot!L$4)/m_phot!L$5-INT((A729-m_phot!L$4)/m_phot!L$5)</f>
        <v>0.68841928965084165</v>
      </c>
      <c r="F729">
        <f t="shared" si="17"/>
        <v>8.7137499999999992</v>
      </c>
      <c r="H729" t="str">
        <f>IF(E729&lt;0.05,INT(($A729-m_phot!$L$4)/m_phot!$L$5),"")</f>
        <v/>
      </c>
      <c r="I729" t="str">
        <f t="shared" si="15"/>
        <v/>
      </c>
      <c r="J729">
        <f t="shared" si="16"/>
        <v>-7.5492000000000559E-2</v>
      </c>
    </row>
    <row r="730" spans="1:10" ht="14.25" customHeight="1" x14ac:dyDescent="0.25">
      <c r="A730" s="1">
        <v>2450204.6036700001</v>
      </c>
      <c r="B730" s="1" t="s">
        <v>1088</v>
      </c>
      <c r="C730" s="1">
        <v>8.766667</v>
      </c>
      <c r="D730" s="1"/>
      <c r="E730">
        <f>(A730-m_phot!L$4)/m_phot!L$5-INT((A730-m_phot!L$4)/m_phot!L$5)</f>
        <v>0.70251521126772687</v>
      </c>
      <c r="F730">
        <f t="shared" si="17"/>
        <v>8.766667</v>
      </c>
      <c r="H730" t="str">
        <f>IF(E730&lt;0.05,INT(($A730-m_phot!$L$4)/m_phot!$L$5),"")</f>
        <v/>
      </c>
      <c r="I730" t="str">
        <f t="shared" si="15"/>
        <v/>
      </c>
      <c r="J730">
        <f t="shared" si="16"/>
        <v>-2.257499999999979E-2</v>
      </c>
    </row>
    <row r="731" spans="1:10" ht="14.25" customHeight="1" x14ac:dyDescent="0.25">
      <c r="A731" s="1">
        <v>2450221.4629700002</v>
      </c>
      <c r="B731" s="1" t="s">
        <v>1089</v>
      </c>
      <c r="C731" s="1">
        <v>8.58</v>
      </c>
      <c r="D731" s="1"/>
      <c r="E731">
        <f>(A731-m_phot!L$4)/m_phot!L$5-INT((A731-m_phot!L$4)/m_phot!L$5)</f>
        <v>0.72316346601374804</v>
      </c>
      <c r="F731">
        <f t="shared" si="17"/>
        <v>8.58</v>
      </c>
      <c r="H731" t="str">
        <f>IF(E731&lt;0.05,INT(($A731-m_phot!$L$4)/m_phot!$L$5),"")</f>
        <v/>
      </c>
      <c r="I731" t="str">
        <f t="shared" si="15"/>
        <v/>
      </c>
      <c r="J731">
        <f t="shared" si="16"/>
        <v>-0.20924199999999971</v>
      </c>
    </row>
    <row r="732" spans="1:10" ht="14.25" customHeight="1" x14ac:dyDescent="0.25">
      <c r="A732" s="1">
        <v>2450240.9291099999</v>
      </c>
      <c r="B732" s="1" t="s">
        <v>1090</v>
      </c>
      <c r="C732" s="1">
        <v>8.7162500000000005</v>
      </c>
      <c r="D732" s="1"/>
      <c r="E732">
        <f>(A732-m_phot!L$4)/m_phot!L$5-INT((A732-m_phot!L$4)/m_phot!L$5)</f>
        <v>0.74700442131036127</v>
      </c>
      <c r="F732">
        <f t="shared" si="17"/>
        <v>8.7162500000000005</v>
      </c>
      <c r="H732" t="str">
        <f>IF(E732&lt;0.05,INT(($A732-m_phot!$L$4)/m_phot!$L$5),"")</f>
        <v/>
      </c>
      <c r="I732" t="str">
        <f t="shared" si="15"/>
        <v/>
      </c>
      <c r="J732">
        <f t="shared" si="16"/>
        <v>-7.299199999999928E-2</v>
      </c>
    </row>
    <row r="733" spans="1:10" ht="14.25" customHeight="1" x14ac:dyDescent="0.25">
      <c r="A733" s="1">
        <v>2450252.6746100001</v>
      </c>
      <c r="B733" s="1" t="s">
        <v>1091</v>
      </c>
      <c r="C733" s="1">
        <v>8.7096769999999992</v>
      </c>
      <c r="D733" s="1"/>
      <c r="E733">
        <f>(A733-m_phot!L$4)/m_phot!L$5-INT((A733-m_phot!L$4)/m_phot!L$5)</f>
        <v>0.76138960195970995</v>
      </c>
      <c r="F733">
        <f t="shared" si="17"/>
        <v>8.7096769999999992</v>
      </c>
      <c r="H733" t="str">
        <f>IF(E733&lt;0.05,INT(($A733-m_phot!$L$4)/m_phot!$L$5),"")</f>
        <v/>
      </c>
      <c r="I733" t="str">
        <f t="shared" si="15"/>
        <v/>
      </c>
      <c r="J733">
        <f t="shared" si="16"/>
        <v>-7.9565000000000552E-2</v>
      </c>
    </row>
    <row r="734" spans="1:10" ht="14.25" customHeight="1" x14ac:dyDescent="0.25">
      <c r="A734" s="1">
        <v>2450276.6458100001</v>
      </c>
      <c r="B734" s="1" t="s">
        <v>1092</v>
      </c>
      <c r="C734" s="1">
        <v>8.7041939999999993</v>
      </c>
      <c r="D734" s="1"/>
      <c r="E734">
        <f>(A734-m_phot!L$4)/m_phot!L$5-INT((A734-m_phot!L$4)/m_phot!L$5)</f>
        <v>0.79074808328246604</v>
      </c>
      <c r="F734">
        <f t="shared" si="17"/>
        <v>8.7041939999999993</v>
      </c>
      <c r="H734" t="str">
        <f>IF(E734&lt;0.05,INT(($A734-m_phot!$L$4)/m_phot!$L$5),"")</f>
        <v/>
      </c>
      <c r="I734" t="str">
        <f t="shared" si="15"/>
        <v/>
      </c>
      <c r="J734">
        <f t="shared" si="16"/>
        <v>-8.5048000000000457E-2</v>
      </c>
    </row>
    <row r="735" spans="1:10" ht="14.25" customHeight="1" x14ac:dyDescent="0.25">
      <c r="A735" s="1">
        <v>2450286.2953400002</v>
      </c>
      <c r="B735" s="1" t="s">
        <v>1093</v>
      </c>
      <c r="C735" s="1">
        <v>8.6524140000000003</v>
      </c>
      <c r="D735" s="1"/>
      <c r="E735">
        <f>(A735-m_phot!L$4)/m_phot!L$5-INT((A735-m_phot!L$4)/m_phot!L$5)</f>
        <v>0.8025662461729155</v>
      </c>
      <c r="F735">
        <f t="shared" si="17"/>
        <v>8.6524140000000003</v>
      </c>
      <c r="H735" t="str">
        <f>IF(E735&lt;0.05,INT(($A735-m_phot!$L$4)/m_phot!$L$5),"")</f>
        <v/>
      </c>
      <c r="I735" t="str">
        <f t="shared" si="15"/>
        <v/>
      </c>
      <c r="J735">
        <f t="shared" si="16"/>
        <v>-0.13682799999999951</v>
      </c>
    </row>
    <row r="736" spans="1:10" ht="14.25" customHeight="1" x14ac:dyDescent="0.25">
      <c r="A736" s="1">
        <v>2450304.3395199999</v>
      </c>
      <c r="B736" s="1" t="s">
        <v>1094</v>
      </c>
      <c r="C736" s="1">
        <v>8.7006759999999996</v>
      </c>
      <c r="D736" s="1"/>
      <c r="E736">
        <f>(A736-m_phot!L$4)/m_phot!L$5-INT((A736-m_phot!L$4)/m_phot!L$5)</f>
        <v>0.82466567054491335</v>
      </c>
      <c r="F736">
        <f t="shared" si="17"/>
        <v>8.7006759999999996</v>
      </c>
      <c r="H736" t="str">
        <f>IF(E736&lt;0.05,INT(($A736-m_phot!$L$4)/m_phot!$L$5),"")</f>
        <v/>
      </c>
      <c r="I736" t="str">
        <f t="shared" si="15"/>
        <v/>
      </c>
      <c r="J736">
        <f t="shared" si="16"/>
        <v>-8.8566000000000145E-2</v>
      </c>
    </row>
    <row r="737" spans="1:10" ht="14.25" customHeight="1" x14ac:dyDescent="0.25">
      <c r="A737" s="1">
        <v>2450317.8942300002</v>
      </c>
      <c r="B737" s="1" t="s">
        <v>1095</v>
      </c>
      <c r="C737" s="1">
        <v>8.7359039999999997</v>
      </c>
      <c r="D737" s="1"/>
      <c r="E737">
        <f>(A737-m_phot!L$4)/m_phot!L$5-INT((A737-m_phot!L$4)/m_phot!L$5)</f>
        <v>0.84126666258445582</v>
      </c>
      <c r="F737">
        <f t="shared" si="17"/>
        <v>8.7359039999999997</v>
      </c>
      <c r="H737" t="str">
        <f>IF(E737&lt;0.05,INT(($A737-m_phot!$L$4)/m_phot!$L$5),"")</f>
        <v/>
      </c>
      <c r="I737" t="str">
        <f t="shared" si="15"/>
        <v/>
      </c>
      <c r="J737">
        <f t="shared" si="16"/>
        <v>-5.3338000000000108E-2</v>
      </c>
    </row>
    <row r="738" spans="1:10" ht="14.25" customHeight="1" x14ac:dyDescent="0.25">
      <c r="A738" s="1">
        <v>2450336.1740999999</v>
      </c>
      <c r="B738" s="1" t="s">
        <v>1096</v>
      </c>
      <c r="C738" s="1">
        <v>8.730556</v>
      </c>
      <c r="D738" s="1"/>
      <c r="E738">
        <f>(A738-m_phot!L$4)/m_phot!L$5-INT((A738-m_phot!L$4)/m_phot!L$5)</f>
        <v>0.86365474586643742</v>
      </c>
      <c r="F738">
        <f t="shared" si="17"/>
        <v>8.730556</v>
      </c>
      <c r="H738" t="str">
        <f>IF(E738&lt;0.05,INT(($A738-m_phot!$L$4)/m_phot!$L$5),"")</f>
        <v/>
      </c>
      <c r="I738" t="str">
        <f t="shared" si="15"/>
        <v/>
      </c>
      <c r="J738">
        <f t="shared" si="16"/>
        <v>-5.8685999999999794E-2</v>
      </c>
    </row>
    <row r="739" spans="1:10" ht="14.25" customHeight="1" x14ac:dyDescent="0.25">
      <c r="A739" s="1">
        <v>2450348.8835300002</v>
      </c>
      <c r="B739" s="1" t="s">
        <v>1097</v>
      </c>
      <c r="C739" s="1">
        <v>8.7712730000000008</v>
      </c>
      <c r="D739" s="1"/>
      <c r="E739">
        <f>(A739-m_phot!L$4)/m_phot!L$5-INT((A739-m_phot!L$4)/m_phot!L$5)</f>
        <v>0.87922048989617352</v>
      </c>
      <c r="F739">
        <f t="shared" si="17"/>
        <v>8.7712730000000008</v>
      </c>
      <c r="H739" t="str">
        <f>IF(E739&lt;0.05,INT(($A739-m_phot!$L$4)/m_phot!$L$5),"")</f>
        <v/>
      </c>
      <c r="I739" t="str">
        <f t="shared" si="15"/>
        <v/>
      </c>
      <c r="J739">
        <f t="shared" si="16"/>
        <v>-1.7968999999999014E-2</v>
      </c>
    </row>
    <row r="740" spans="1:10" ht="14.25" customHeight="1" x14ac:dyDescent="0.25">
      <c r="A740" s="1">
        <v>2450365.5487099998</v>
      </c>
      <c r="B740" s="1" t="s">
        <v>1098</v>
      </c>
      <c r="C740" s="1">
        <v>8.7389770000000002</v>
      </c>
      <c r="D740" s="1"/>
      <c r="E740">
        <f>(A740-m_phot!L$4)/m_phot!L$5-INT((A740-m_phot!L$4)/m_phot!L$5)</f>
        <v>0.89963099816260694</v>
      </c>
      <c r="F740">
        <f t="shared" si="17"/>
        <v>8.7389770000000002</v>
      </c>
      <c r="H740" t="str">
        <f>IF(E740&lt;0.05,INT(($A740-m_phot!$L$4)/m_phot!$L$5),"")</f>
        <v/>
      </c>
      <c r="I740" t="str">
        <f t="shared" si="15"/>
        <v/>
      </c>
      <c r="J740">
        <f t="shared" si="16"/>
        <v>-5.026499999999956E-2</v>
      </c>
    </row>
    <row r="741" spans="1:10" ht="14.25" customHeight="1" x14ac:dyDescent="0.25">
      <c r="A741" s="1">
        <v>2450380.5651500002</v>
      </c>
      <c r="B741" s="1" t="s">
        <v>1099</v>
      </c>
      <c r="C741" s="1">
        <v>8.8168570000000006</v>
      </c>
      <c r="D741" s="1"/>
      <c r="E741">
        <f>(A741-m_phot!L$4)/m_phot!L$5-INT((A741-m_phot!L$4)/m_phot!L$5)</f>
        <v>0.91802222902652275</v>
      </c>
      <c r="F741">
        <f t="shared" si="17"/>
        <v>8.8168570000000006</v>
      </c>
      <c r="H741" t="str">
        <f>IF(E741&lt;0.05,INT(($A741-m_phot!$L$4)/m_phot!$L$5),"")</f>
        <v/>
      </c>
      <c r="I741" t="str">
        <f t="shared" si="15"/>
        <v/>
      </c>
      <c r="J741">
        <f t="shared" si="16"/>
        <v>2.7615000000000833E-2</v>
      </c>
    </row>
    <row r="742" spans="1:10" ht="14.25" customHeight="1" x14ac:dyDescent="0.25">
      <c r="A742" s="1">
        <v>2450395.8313099998</v>
      </c>
      <c r="B742" s="1" t="s">
        <v>1100</v>
      </c>
      <c r="C742" s="1">
        <v>8.7634209999999992</v>
      </c>
      <c r="D742" s="1"/>
      <c r="E742">
        <f>(A742-m_phot!L$4)/m_phot!L$5-INT((A742-m_phot!L$4)/m_phot!L$5)</f>
        <v>0.93671930189810837</v>
      </c>
      <c r="F742">
        <f t="shared" si="17"/>
        <v>8.7634209999999992</v>
      </c>
      <c r="H742" t="str">
        <f>IF(E742&lt;0.05,INT(($A742-m_phot!$L$4)/m_phot!$L$5),"")</f>
        <v/>
      </c>
      <c r="I742" t="str">
        <f t="shared" si="15"/>
        <v/>
      </c>
      <c r="J742">
        <f t="shared" si="16"/>
        <v>-2.5821000000000538E-2</v>
      </c>
    </row>
    <row r="743" spans="1:10" ht="14.25" customHeight="1" x14ac:dyDescent="0.25">
      <c r="A743" s="1">
        <v>2450412.13919</v>
      </c>
      <c r="B743" s="1" t="s">
        <v>1101</v>
      </c>
      <c r="C743" s="1">
        <v>8.7784849999999999</v>
      </c>
      <c r="D743" s="1"/>
      <c r="E743">
        <f>(A743-m_phot!L$4)/m_phot!L$5-INT((A743-m_phot!L$4)/m_phot!L$5)</f>
        <v>0.95669221065525534</v>
      </c>
      <c r="F743">
        <f t="shared" si="17"/>
        <v>8.7784849999999999</v>
      </c>
      <c r="H743" t="str">
        <f>IF(E743&lt;0.05,INT(($A743-m_phot!$L$4)/m_phot!$L$5),"")</f>
        <v/>
      </c>
      <c r="I743" t="str">
        <f t="shared" si="15"/>
        <v/>
      </c>
      <c r="J743">
        <f t="shared" si="16"/>
        <v>-1.0756999999999906E-2</v>
      </c>
    </row>
    <row r="744" spans="1:10" ht="14.25" customHeight="1" x14ac:dyDescent="0.25">
      <c r="A744" s="1">
        <v>2450425.7039899998</v>
      </c>
      <c r="B744" s="1" t="s">
        <v>1102</v>
      </c>
      <c r="C744" s="1">
        <v>8.7815379999999994</v>
      </c>
      <c r="D744" s="1"/>
      <c r="E744">
        <f>(A744-m_phot!L$4)/m_phot!L$5-INT((A744-m_phot!L$4)/m_phot!L$5)</f>
        <v>0.97330556031823079</v>
      </c>
      <c r="F744">
        <f t="shared" si="17"/>
        <v>8.7815379999999994</v>
      </c>
      <c r="H744" t="str">
        <f>IF(E744&lt;0.05,INT(($A744-m_phot!$L$4)/m_phot!$L$5),"")</f>
        <v/>
      </c>
      <c r="I744" t="str">
        <f t="shared" si="15"/>
        <v/>
      </c>
      <c r="J744">
        <f t="shared" si="16"/>
        <v>-7.7040000000003772E-3</v>
      </c>
    </row>
    <row r="745" spans="1:10" ht="14.25" customHeight="1" x14ac:dyDescent="0.25">
      <c r="A745" s="1">
        <v>2450444.65466</v>
      </c>
      <c r="B745" s="1" t="s">
        <v>1103</v>
      </c>
      <c r="C745" s="1">
        <v>8.8073680000000003</v>
      </c>
      <c r="D745" s="1"/>
      <c r="E745">
        <f>(A745-m_phot!L$4)/m_phot!L$5-INT((A745-m_phot!L$4)/m_phot!L$5)</f>
        <v>0.9965151990202088</v>
      </c>
      <c r="F745">
        <f t="shared" si="17"/>
        <v>8.8073680000000003</v>
      </c>
      <c r="H745" t="str">
        <f>IF(E745&lt;0.05,INT(($A745-m_phot!$L$4)/m_phot!$L$5),"")</f>
        <v/>
      </c>
      <c r="I745" t="str">
        <f t="shared" si="15"/>
        <v/>
      </c>
      <c r="J745">
        <f t="shared" si="16"/>
        <v>1.8126000000000531E-2</v>
      </c>
    </row>
    <row r="746" spans="1:10" ht="14.25" customHeight="1" x14ac:dyDescent="0.25">
      <c r="A746" s="1">
        <v>2450462.1777900001</v>
      </c>
      <c r="B746" s="1" t="s">
        <v>1104</v>
      </c>
      <c r="C746" s="1">
        <v>8.7346149999999998</v>
      </c>
      <c r="D746" s="1"/>
      <c r="E746">
        <f>(A746-m_phot!L$4)/m_phot!L$5-INT((A746-m_phot!L$4)/m_phot!L$5)</f>
        <v>1.7976472749666073E-2</v>
      </c>
      <c r="F746">
        <f t="shared" si="17"/>
        <v>8.7346149999999998</v>
      </c>
      <c r="H746">
        <f>IF(E746&lt;0.05,INT(($A746-m_phot!$L$4)/m_phot!$L$5),"")</f>
        <v>23</v>
      </c>
      <c r="I746">
        <f t="shared" ref="I746:I809" si="18">IF(H746&lt;&gt;"",AVERAGE(C746:C747),"")</f>
        <v>8.7760029999999993</v>
      </c>
      <c r="J746">
        <f>+C746-I$746</f>
        <v>-4.1387999999999536E-2</v>
      </c>
    </row>
    <row r="747" spans="1:10" ht="14.25" customHeight="1" x14ac:dyDescent="0.25">
      <c r="A747" s="1">
        <v>2450477.4479</v>
      </c>
      <c r="B747" s="1" t="s">
        <v>1105</v>
      </c>
      <c r="C747" s="1">
        <v>8.8173910000000006</v>
      </c>
      <c r="D747" s="1"/>
      <c r="E747">
        <f>(A747-m_phot!L$4)/m_phot!L$5-INT((A747-m_phot!L$4)/m_phot!L$5)</f>
        <v>3.6678383343573984E-2</v>
      </c>
      <c r="F747">
        <f t="shared" si="17"/>
        <v>8.8173910000000006</v>
      </c>
      <c r="H747">
        <f>IF(E747&lt;0.05,INT(($A747-m_phot!$L$4)/m_phot!$L$5),"")</f>
        <v>23</v>
      </c>
      <c r="I747">
        <f t="shared" si="18"/>
        <v>8.9086955000000003</v>
      </c>
      <c r="J747">
        <f t="shared" ref="J747:J792" si="19">+C747-I$746</f>
        <v>4.1388000000001313E-2</v>
      </c>
    </row>
    <row r="748" spans="1:10" ht="14.25" customHeight="1" x14ac:dyDescent="0.25">
      <c r="A748" s="1">
        <v>2450487.25</v>
      </c>
      <c r="B748" s="1" t="s">
        <v>1106</v>
      </c>
      <c r="C748" s="1">
        <v>9</v>
      </c>
      <c r="D748" s="1"/>
      <c r="E748">
        <f>(A748-m_phot!L$4)/m_phot!L$5-INT((A748-m_phot!L$4)/m_phot!L$5)</f>
        <v>4.8683404776486583E-2</v>
      </c>
      <c r="F748">
        <f t="shared" si="17"/>
        <v>9</v>
      </c>
      <c r="H748">
        <f>IF(E748&lt;0.05,INT(($A748-m_phot!$L$4)/m_phot!$L$5),"")</f>
        <v>23</v>
      </c>
      <c r="I748">
        <f t="shared" si="18"/>
        <v>8.9</v>
      </c>
      <c r="J748">
        <f t="shared" si="19"/>
        <v>0.22399700000000067</v>
      </c>
    </row>
    <row r="749" spans="1:10" ht="14.25" customHeight="1" x14ac:dyDescent="0.25">
      <c r="A749" s="1">
        <v>2450523.3774999999</v>
      </c>
      <c r="B749" s="1" t="s">
        <v>1107</v>
      </c>
      <c r="C749" s="1">
        <v>8.8000000000000007</v>
      </c>
      <c r="D749" s="1"/>
      <c r="E749">
        <f>(A749-m_phot!L$4)/m_phot!L$5-INT((A749-m_phot!L$4)/m_phot!L$5)</f>
        <v>9.2930189834593335E-2</v>
      </c>
      <c r="F749">
        <f t="shared" si="17"/>
        <v>8.8000000000000007</v>
      </c>
      <c r="H749" t="str">
        <f>IF(E749&lt;0.05,INT(($A749-m_phot!$L$4)/m_phot!$L$5),"")</f>
        <v/>
      </c>
      <c r="I749" t="str">
        <f t="shared" si="18"/>
        <v/>
      </c>
      <c r="J749">
        <f t="shared" si="19"/>
        <v>2.3997000000001378E-2</v>
      </c>
    </row>
    <row r="750" spans="1:10" ht="14.25" customHeight="1" x14ac:dyDescent="0.25">
      <c r="A750" s="1">
        <v>2450545.78333</v>
      </c>
      <c r="B750" s="1" t="s">
        <v>1108</v>
      </c>
      <c r="C750" s="1">
        <v>8.6833329999999993</v>
      </c>
      <c r="D750" s="1"/>
      <c r="E750">
        <f>(A750-m_phot!L$4)/m_phot!L$5-INT((A750-m_phot!L$4)/m_phot!L$5)</f>
        <v>0.12037150030619159</v>
      </c>
      <c r="F750">
        <f t="shared" si="17"/>
        <v>8.6833329999999993</v>
      </c>
      <c r="H750" t="str">
        <f>IF(E750&lt;0.05,INT(($A750-m_phot!$L$4)/m_phot!$L$5),"")</f>
        <v/>
      </c>
      <c r="I750" t="str">
        <f t="shared" si="18"/>
        <v/>
      </c>
      <c r="J750">
        <f t="shared" si="19"/>
        <v>-9.267000000000003E-2</v>
      </c>
    </row>
    <row r="751" spans="1:10" ht="14.25" customHeight="1" x14ac:dyDescent="0.25">
      <c r="A751" s="1">
        <v>2450572.50281</v>
      </c>
      <c r="B751" s="1" t="s">
        <v>1109</v>
      </c>
      <c r="C751" s="1">
        <v>8.7428570000000008</v>
      </c>
      <c r="D751" s="1"/>
      <c r="E751">
        <f>(A751-m_phot!L$4)/m_phot!L$5-INT((A751-m_phot!L$4)/m_phot!L$5)</f>
        <v>0.15309590936923101</v>
      </c>
      <c r="F751">
        <f t="shared" si="17"/>
        <v>8.7428570000000008</v>
      </c>
      <c r="H751" t="str">
        <f>IF(E751&lt;0.05,INT(($A751-m_phot!$L$4)/m_phot!$L$5),"")</f>
        <v/>
      </c>
      <c r="I751" t="str">
        <f t="shared" si="18"/>
        <v/>
      </c>
      <c r="J751">
        <f t="shared" si="19"/>
        <v>-3.3145999999998565E-2</v>
      </c>
    </row>
    <row r="752" spans="1:10" ht="14.25" customHeight="1" x14ac:dyDescent="0.25">
      <c r="A752" s="1">
        <v>2450585.7467399999</v>
      </c>
      <c r="B752" s="1" t="s">
        <v>1110</v>
      </c>
      <c r="C752" s="1">
        <v>8.7200000000000006</v>
      </c>
      <c r="D752" s="1"/>
      <c r="E752">
        <f>(A752-m_phot!L$4)/m_phot!L$5-INT((A752-m_phot!L$4)/m_phot!L$5)</f>
        <v>0.16931627679100814</v>
      </c>
      <c r="F752">
        <f t="shared" si="17"/>
        <v>8.7200000000000006</v>
      </c>
      <c r="H752" t="str">
        <f>IF(E752&lt;0.05,INT(($A752-m_phot!$L$4)/m_phot!$L$5),"")</f>
        <v/>
      </c>
      <c r="I752" t="str">
        <f t="shared" si="18"/>
        <v/>
      </c>
      <c r="J752">
        <f t="shared" si="19"/>
        <v>-5.6002999999998693E-2</v>
      </c>
    </row>
    <row r="753" spans="1:10" ht="14.25" customHeight="1" x14ac:dyDescent="0.25">
      <c r="A753" s="1">
        <v>2450602.1998899998</v>
      </c>
      <c r="B753" s="1" t="s">
        <v>1111</v>
      </c>
      <c r="C753" s="1">
        <v>8.6678569999999997</v>
      </c>
      <c r="D753" s="1"/>
      <c r="E753">
        <f>(A753-m_phot!L$4)/m_phot!L$5-INT((A753-m_phot!L$4)/m_phot!L$5)</f>
        <v>0.18946710349027995</v>
      </c>
      <c r="F753">
        <f t="shared" si="17"/>
        <v>8.6678569999999997</v>
      </c>
      <c r="H753" t="str">
        <f>IF(E753&lt;0.05,INT(($A753-m_phot!$L$4)/m_phot!$L$5),"")</f>
        <v/>
      </c>
      <c r="I753" t="str">
        <f t="shared" si="18"/>
        <v/>
      </c>
      <c r="J753">
        <f t="shared" si="19"/>
        <v>-0.10814599999999963</v>
      </c>
    </row>
    <row r="754" spans="1:10" ht="14.25" customHeight="1" x14ac:dyDescent="0.25">
      <c r="A754" s="1">
        <v>2450615.1774599999</v>
      </c>
      <c r="B754" s="1" t="s">
        <v>1112</v>
      </c>
      <c r="C754" s="1">
        <v>8.7562499999999996</v>
      </c>
      <c r="D754" s="1"/>
      <c r="E754">
        <f>(A754-m_phot!L$4)/m_phot!L$5-INT((A754-m_phot!L$4)/m_phot!L$5)</f>
        <v>0.20536124923443921</v>
      </c>
      <c r="F754">
        <f t="shared" si="17"/>
        <v>8.7562499999999996</v>
      </c>
      <c r="H754" t="str">
        <f>IF(E754&lt;0.05,INT(($A754-m_phot!$L$4)/m_phot!$L$5),"")</f>
        <v/>
      </c>
      <c r="I754" t="str">
        <f t="shared" si="18"/>
        <v/>
      </c>
      <c r="J754">
        <f t="shared" si="19"/>
        <v>-1.9752999999999687E-2</v>
      </c>
    </row>
    <row r="755" spans="1:10" ht="14.25" customHeight="1" x14ac:dyDescent="0.25">
      <c r="A755" s="1">
        <v>2450633.6184299998</v>
      </c>
      <c r="B755" s="1" t="s">
        <v>1113</v>
      </c>
      <c r="C755" s="1">
        <v>8.6690480000000001</v>
      </c>
      <c r="D755" s="1"/>
      <c r="E755">
        <f>(A755-m_phot!L$4)/m_phot!L$5-INT((A755-m_phot!L$4)/m_phot!L$5)</f>
        <v>0.22794663808915772</v>
      </c>
      <c r="F755">
        <f t="shared" si="17"/>
        <v>8.6690480000000001</v>
      </c>
      <c r="H755" t="str">
        <f>IF(E755&lt;0.05,INT(($A755-m_phot!$L$4)/m_phot!$L$5),"")</f>
        <v/>
      </c>
      <c r="I755" t="str">
        <f t="shared" si="18"/>
        <v/>
      </c>
      <c r="J755">
        <f t="shared" si="19"/>
        <v>-0.10695499999999925</v>
      </c>
    </row>
    <row r="756" spans="1:10" ht="14.25" customHeight="1" x14ac:dyDescent="0.25">
      <c r="A756" s="1">
        <v>2450645.2044600002</v>
      </c>
      <c r="B756" s="1" t="s">
        <v>1114</v>
      </c>
      <c r="C756" s="1">
        <v>8.6255170000000003</v>
      </c>
      <c r="D756" s="1"/>
      <c r="E756">
        <f>(A756-m_phot!L$4)/m_phot!L$5-INT((A756-m_phot!L$4)/m_phot!L$5)</f>
        <v>0.242136509491921</v>
      </c>
      <c r="F756">
        <f t="shared" si="17"/>
        <v>8.6255170000000003</v>
      </c>
      <c r="H756" t="str">
        <f>IF(E756&lt;0.05,INT(($A756-m_phot!$L$4)/m_phot!$L$5),"")</f>
        <v/>
      </c>
      <c r="I756" t="str">
        <f t="shared" si="18"/>
        <v/>
      </c>
      <c r="J756">
        <f t="shared" si="19"/>
        <v>-0.15048599999999901</v>
      </c>
    </row>
    <row r="757" spans="1:10" ht="14.25" customHeight="1" x14ac:dyDescent="0.25">
      <c r="A757" s="1">
        <v>2450662.4802100002</v>
      </c>
      <c r="B757" s="1" t="s">
        <v>1115</v>
      </c>
      <c r="C757" s="1">
        <v>8.7140509999999995</v>
      </c>
      <c r="D757" s="1"/>
      <c r="E757">
        <f>(A757-m_phot!L$4)/m_phot!L$5-INT((A757-m_phot!L$4)/m_phot!L$5)</f>
        <v>0.26329480710371556</v>
      </c>
      <c r="F757">
        <f t="shared" si="17"/>
        <v>8.7140509999999995</v>
      </c>
      <c r="H757" t="str">
        <f>IF(E757&lt;0.05,INT(($A757-m_phot!$L$4)/m_phot!$L$5),"")</f>
        <v/>
      </c>
      <c r="I757" t="str">
        <f t="shared" si="18"/>
        <v/>
      </c>
      <c r="J757">
        <f t="shared" si="19"/>
        <v>-6.1951999999999785E-2</v>
      </c>
    </row>
    <row r="758" spans="1:10" ht="14.25" customHeight="1" x14ac:dyDescent="0.25">
      <c r="A758" s="1">
        <v>2450677.02734</v>
      </c>
      <c r="B758" s="1" t="s">
        <v>1116</v>
      </c>
      <c r="C758" s="1">
        <v>8.6687499999999993</v>
      </c>
      <c r="D758" s="1"/>
      <c r="E758">
        <f>(A758-m_phot!L$4)/m_phot!L$5-INT((A758-m_phot!L$4)/m_phot!L$5)</f>
        <v>0.28111125535827242</v>
      </c>
      <c r="F758">
        <f t="shared" si="17"/>
        <v>8.6687499999999993</v>
      </c>
      <c r="H758" t="str">
        <f>IF(E758&lt;0.05,INT(($A758-m_phot!$L$4)/m_phot!$L$5),"")</f>
        <v/>
      </c>
      <c r="I758" t="str">
        <f t="shared" si="18"/>
        <v/>
      </c>
      <c r="J758">
        <f t="shared" si="19"/>
        <v>-0.10725300000000004</v>
      </c>
    </row>
    <row r="759" spans="1:10" ht="14.25" customHeight="1" x14ac:dyDescent="0.25">
      <c r="A759" s="1">
        <v>2450693.0587499999</v>
      </c>
      <c r="B759" s="1" t="s">
        <v>1117</v>
      </c>
      <c r="C759" s="1">
        <v>8.6493420000000008</v>
      </c>
      <c r="D759" s="1"/>
      <c r="E759">
        <f>(A759-m_phot!L$4)/m_phot!L$5-INT((A759-m_phot!L$4)/m_phot!L$5)</f>
        <v>0.30074556031825139</v>
      </c>
      <c r="F759">
        <f t="shared" si="17"/>
        <v>8.6493420000000008</v>
      </c>
      <c r="H759" t="str">
        <f>IF(E759&lt;0.05,INT(($A759-m_phot!$L$4)/m_phot!$L$5),"")</f>
        <v/>
      </c>
      <c r="I759" t="str">
        <f t="shared" si="18"/>
        <v/>
      </c>
      <c r="J759">
        <f t="shared" si="19"/>
        <v>-0.12666099999999858</v>
      </c>
    </row>
    <row r="760" spans="1:10" ht="14.25" customHeight="1" x14ac:dyDescent="0.25">
      <c r="A760" s="1">
        <v>2450708.5737600001</v>
      </c>
      <c r="B760" s="1" t="s">
        <v>1118</v>
      </c>
      <c r="C760" s="1">
        <v>8.6798749999999991</v>
      </c>
      <c r="D760" s="1"/>
      <c r="E760">
        <f>(A760-m_phot!L$4)/m_phot!L$5-INT((A760-m_phot!L$4)/m_phot!L$5)</f>
        <v>0.3197474096755144</v>
      </c>
      <c r="F760">
        <f t="shared" si="17"/>
        <v>8.6798749999999991</v>
      </c>
      <c r="H760" t="str">
        <f>IF(E760&lt;0.05,INT(($A760-m_phot!$L$4)/m_phot!$L$5),"")</f>
        <v/>
      </c>
      <c r="I760" t="str">
        <f t="shared" si="18"/>
        <v/>
      </c>
      <c r="J760">
        <f t="shared" si="19"/>
        <v>-9.6128000000000213E-2</v>
      </c>
    </row>
    <row r="761" spans="1:10" ht="14.25" customHeight="1" x14ac:dyDescent="0.25">
      <c r="A761" s="1">
        <v>2450723.0408800002</v>
      </c>
      <c r="B761" s="1" t="s">
        <v>1119</v>
      </c>
      <c r="C761" s="1">
        <v>8.6048100000000005</v>
      </c>
      <c r="D761" s="1"/>
      <c r="E761">
        <f>(A761-m_phot!L$4)/m_phot!L$5-INT((A761-m_phot!L$4)/m_phot!L$5)</f>
        <v>0.33746586650363497</v>
      </c>
      <c r="F761">
        <f t="shared" si="17"/>
        <v>8.6048100000000005</v>
      </c>
      <c r="H761" t="str">
        <f>IF(E761&lt;0.05,INT(($A761-m_phot!$L$4)/m_phot!$L$5),"")</f>
        <v/>
      </c>
      <c r="I761" t="str">
        <f t="shared" si="18"/>
        <v/>
      </c>
      <c r="J761">
        <f t="shared" si="19"/>
        <v>-0.17119299999999882</v>
      </c>
    </row>
    <row r="762" spans="1:10" ht="14.25" customHeight="1" x14ac:dyDescent="0.25">
      <c r="A762" s="1">
        <v>2450740.2794300001</v>
      </c>
      <c r="B762" s="1" t="s">
        <v>1120</v>
      </c>
      <c r="C762" s="1">
        <v>8.6614810000000002</v>
      </c>
      <c r="D762" s="1"/>
      <c r="E762">
        <f>(A762-m_phot!L$4)/m_phot!L$5-INT((A762-m_phot!L$4)/m_phot!L$5)</f>
        <v>0.35857860379682904</v>
      </c>
      <c r="F762">
        <f t="shared" si="17"/>
        <v>8.6614810000000002</v>
      </c>
      <c r="H762" t="str">
        <f>IF(E762&lt;0.05,INT(($A762-m_phot!$L$4)/m_phot!$L$5),"")</f>
        <v/>
      </c>
      <c r="I762" t="str">
        <f t="shared" si="18"/>
        <v/>
      </c>
      <c r="J762">
        <f t="shared" si="19"/>
        <v>-0.11452199999999912</v>
      </c>
    </row>
    <row r="763" spans="1:10" ht="14.25" customHeight="1" x14ac:dyDescent="0.25">
      <c r="A763" s="1">
        <v>2450751.3237100001</v>
      </c>
      <c r="B763" s="1" t="s">
        <v>1121</v>
      </c>
      <c r="C763" s="1">
        <v>8.6537290000000002</v>
      </c>
      <c r="D763" s="1"/>
      <c r="E763">
        <f>(A763-m_phot!L$4)/m_phot!L$5-INT((A763-m_phot!L$4)/m_phot!L$5)</f>
        <v>0.37210497244353036</v>
      </c>
      <c r="F763">
        <f t="shared" si="17"/>
        <v>8.6537290000000002</v>
      </c>
      <c r="H763" t="str">
        <f>IF(E763&lt;0.05,INT(($A763-m_phot!$L$4)/m_phot!$L$5),"")</f>
        <v/>
      </c>
      <c r="I763" t="str">
        <f t="shared" si="18"/>
        <v/>
      </c>
      <c r="J763">
        <f t="shared" si="19"/>
        <v>-0.12227399999999911</v>
      </c>
    </row>
    <row r="764" spans="1:10" ht="14.25" customHeight="1" x14ac:dyDescent="0.25">
      <c r="A764" s="1">
        <v>2450768.9657299998</v>
      </c>
      <c r="B764" s="1" t="s">
        <v>1122</v>
      </c>
      <c r="C764" s="1">
        <v>8.6303029999999996</v>
      </c>
      <c r="D764" s="1"/>
      <c r="E764">
        <f>(A764-m_phot!L$4)/m_phot!L$5-INT((A764-m_phot!L$4)/m_phot!L$5)</f>
        <v>0.39371185548049326</v>
      </c>
      <c r="F764">
        <f t="shared" si="17"/>
        <v>8.6303029999999996</v>
      </c>
      <c r="H764" t="str">
        <f>IF(E764&lt;0.05,INT(($A764-m_phot!$L$4)/m_phot!$L$5),"")</f>
        <v/>
      </c>
      <c r="I764" t="str">
        <f t="shared" si="18"/>
        <v/>
      </c>
      <c r="J764">
        <f t="shared" si="19"/>
        <v>-0.14569999999999972</v>
      </c>
    </row>
    <row r="765" spans="1:10" ht="14.25" customHeight="1" x14ac:dyDescent="0.25">
      <c r="A765" s="1">
        <v>2450784.2323500002</v>
      </c>
      <c r="B765" s="1" t="s">
        <v>1123</v>
      </c>
      <c r="C765" s="1">
        <v>8.6009089999999997</v>
      </c>
      <c r="D765" s="1"/>
      <c r="E765">
        <f>(A765-m_phot!L$4)/m_phot!L$5-INT((A765-m_phot!L$4)/m_phot!L$5)</f>
        <v>0.41240949173322861</v>
      </c>
      <c r="F765">
        <f t="shared" si="17"/>
        <v>8.6009089999999997</v>
      </c>
      <c r="H765" t="str">
        <f>IF(E765&lt;0.05,INT(($A765-m_phot!$L$4)/m_phot!$L$5),"")</f>
        <v/>
      </c>
      <c r="I765" t="str">
        <f t="shared" si="18"/>
        <v/>
      </c>
      <c r="J765">
        <f t="shared" si="19"/>
        <v>-0.17509399999999964</v>
      </c>
    </row>
    <row r="766" spans="1:10" ht="14.25" customHeight="1" x14ac:dyDescent="0.25">
      <c r="A766" s="1">
        <v>2450799.6856999998</v>
      </c>
      <c r="B766" s="1" t="s">
        <v>1124</v>
      </c>
      <c r="C766" s="1">
        <v>8.57</v>
      </c>
      <c r="D766" s="1"/>
      <c r="E766">
        <f>(A766-m_phot!L$4)/m_phot!L$5-INT((A766-m_phot!L$4)/m_phot!L$5)</f>
        <v>0.43133582363723022</v>
      </c>
      <c r="F766">
        <f t="shared" si="17"/>
        <v>8.57</v>
      </c>
      <c r="H766" t="str">
        <f>IF(E766&lt;0.05,INT(($A766-m_phot!$L$4)/m_phot!$L$5),"")</f>
        <v/>
      </c>
      <c r="I766" t="str">
        <f t="shared" si="18"/>
        <v/>
      </c>
      <c r="J766">
        <f t="shared" si="19"/>
        <v>-0.20600299999999905</v>
      </c>
    </row>
    <row r="767" spans="1:10" ht="14.25" customHeight="1" x14ac:dyDescent="0.25">
      <c r="A767" s="1">
        <v>2450815.2694000001</v>
      </c>
      <c r="B767" s="1" t="s">
        <v>1125</v>
      </c>
      <c r="C767" s="1">
        <v>8.5612119999999994</v>
      </c>
      <c r="D767" s="1"/>
      <c r="E767">
        <f>(A767-m_phot!L$4)/m_phot!L$5-INT((A767-m_phot!L$4)/m_phot!L$5)</f>
        <v>0.45042180036755397</v>
      </c>
      <c r="F767">
        <f t="shared" si="17"/>
        <v>8.5612119999999994</v>
      </c>
      <c r="H767" t="str">
        <f>IF(E767&lt;0.05,INT(($A767-m_phot!$L$4)/m_phot!$L$5),"")</f>
        <v/>
      </c>
      <c r="I767" t="str">
        <f t="shared" si="18"/>
        <v/>
      </c>
      <c r="J767">
        <f t="shared" si="19"/>
        <v>-0.21479099999999995</v>
      </c>
    </row>
    <row r="768" spans="1:10" ht="14.25" customHeight="1" x14ac:dyDescent="0.25">
      <c r="A768" s="1">
        <v>2450831.2381899999</v>
      </c>
      <c r="B768" s="1" t="s">
        <v>1126</v>
      </c>
      <c r="C768" s="1">
        <v>8.597391</v>
      </c>
      <c r="D768" s="1"/>
      <c r="E768">
        <f>(A768-m_phot!L$4)/m_phot!L$5-INT((A768-m_phot!L$4)/m_phot!L$5)</f>
        <v>0.46997941212485728</v>
      </c>
      <c r="F768">
        <f t="shared" si="17"/>
        <v>8.597391</v>
      </c>
      <c r="H768" t="str">
        <f>IF(E768&lt;0.05,INT(($A768-m_phot!$L$4)/m_phot!$L$5),"")</f>
        <v/>
      </c>
      <c r="I768" t="str">
        <f t="shared" si="18"/>
        <v/>
      </c>
      <c r="J768">
        <f t="shared" si="19"/>
        <v>-0.17861199999999933</v>
      </c>
    </row>
    <row r="769" spans="1:10" ht="14.25" customHeight="1" x14ac:dyDescent="0.25">
      <c r="A769" s="1">
        <v>2450843.4799000002</v>
      </c>
      <c r="B769" s="1" t="s">
        <v>1127</v>
      </c>
      <c r="C769" s="1">
        <v>8.66</v>
      </c>
      <c r="D769" s="1"/>
      <c r="E769">
        <f>(A769-m_phot!L$4)/m_phot!L$5-INT((A769-m_phot!L$4)/m_phot!L$5)</f>
        <v>0.48497232088199738</v>
      </c>
      <c r="F769">
        <f t="shared" si="17"/>
        <v>8.66</v>
      </c>
      <c r="H769" t="str">
        <f>IF(E769&lt;0.05,INT(($A769-m_phot!$L$4)/m_phot!$L$5),"")</f>
        <v/>
      </c>
      <c r="I769" t="str">
        <f t="shared" si="18"/>
        <v/>
      </c>
      <c r="J769">
        <f t="shared" si="19"/>
        <v>-0.11600299999999919</v>
      </c>
    </row>
    <row r="770" spans="1:10" ht="14.25" customHeight="1" x14ac:dyDescent="0.25">
      <c r="A770" s="1">
        <v>2450876.3665</v>
      </c>
      <c r="B770" s="1" t="s">
        <v>1128</v>
      </c>
      <c r="C770" s="1">
        <v>8.6750000000000007</v>
      </c>
      <c r="D770" s="1"/>
      <c r="E770">
        <f>(A770-m_phot!L$4)/m_phot!L$5-INT((A770-m_phot!L$4)/m_phot!L$5)</f>
        <v>0.5252498469075384</v>
      </c>
      <c r="F770">
        <f t="shared" si="17"/>
        <v>8.6750000000000007</v>
      </c>
      <c r="H770" t="str">
        <f>IF(E770&lt;0.05,INT(($A770-m_phot!$L$4)/m_phot!$L$5),"")</f>
        <v/>
      </c>
      <c r="I770" t="str">
        <f t="shared" si="18"/>
        <v/>
      </c>
      <c r="J770">
        <f t="shared" si="19"/>
        <v>-0.10100299999999862</v>
      </c>
    </row>
    <row r="771" spans="1:10" ht="14.25" customHeight="1" x14ac:dyDescent="0.25">
      <c r="A771" s="1">
        <v>2450898.64114</v>
      </c>
      <c r="B771" s="1" t="s">
        <v>1129</v>
      </c>
      <c r="C771" s="1">
        <v>8.8000000000000007</v>
      </c>
      <c r="D771" s="1"/>
      <c r="E771">
        <f>(A771-m_phot!L$4)/m_phot!L$5-INT((A771-m_phot!L$4)/m_phot!L$5)</f>
        <v>0.55253048377215208</v>
      </c>
      <c r="F771">
        <f t="shared" si="17"/>
        <v>8.8000000000000007</v>
      </c>
      <c r="H771" t="str">
        <f>IF(E771&lt;0.05,INT(($A771-m_phot!$L$4)/m_phot!$L$5),"")</f>
        <v/>
      </c>
      <c r="I771" t="str">
        <f t="shared" si="18"/>
        <v/>
      </c>
      <c r="J771">
        <f t="shared" si="19"/>
        <v>2.3997000000001378E-2</v>
      </c>
    </row>
    <row r="772" spans="1:10" ht="14.25" customHeight="1" x14ac:dyDescent="0.25">
      <c r="A772" s="1">
        <v>2450917.0750000002</v>
      </c>
      <c r="B772" s="1" t="s">
        <v>1130</v>
      </c>
      <c r="C772" s="1">
        <v>8.5500000000000007</v>
      </c>
      <c r="D772" s="1"/>
      <c r="E772">
        <f>(A772-m_phot!L$4)/m_phot!L$5-INT((A772-m_phot!L$4)/m_phot!L$5)</f>
        <v>0.57510716472772216</v>
      </c>
      <c r="F772">
        <f t="shared" si="17"/>
        <v>8.5500000000000007</v>
      </c>
      <c r="H772" t="str">
        <f>IF(E772&lt;0.05,INT(($A772-m_phot!$L$4)/m_phot!$L$5),"")</f>
        <v/>
      </c>
      <c r="I772" t="str">
        <f t="shared" si="18"/>
        <v/>
      </c>
      <c r="J772">
        <f t="shared" si="19"/>
        <v>-0.22600299999999862</v>
      </c>
    </row>
    <row r="773" spans="1:10" ht="14.25" customHeight="1" x14ac:dyDescent="0.25">
      <c r="A773" s="1">
        <v>2450932.16182</v>
      </c>
      <c r="B773" s="1" t="s">
        <v>1131</v>
      </c>
      <c r="C773" s="1">
        <v>8.7010529999999999</v>
      </c>
      <c r="D773" s="1"/>
      <c r="E773">
        <f>(A773-m_phot!L$4)/m_phot!L$5-INT((A773-m_phot!L$4)/m_phot!L$5)</f>
        <v>0.59358459277408215</v>
      </c>
      <c r="F773">
        <f t="shared" si="17"/>
        <v>8.7010529999999999</v>
      </c>
      <c r="H773" t="str">
        <f>IF(E773&lt;0.05,INT(($A773-m_phot!$L$4)/m_phot!$L$5),"")</f>
        <v/>
      </c>
      <c r="I773" t="str">
        <f t="shared" si="18"/>
        <v/>
      </c>
      <c r="J773">
        <f t="shared" si="19"/>
        <v>-7.4949999999999406E-2</v>
      </c>
    </row>
    <row r="774" spans="1:10" ht="14.25" customHeight="1" x14ac:dyDescent="0.25">
      <c r="A774" s="1">
        <v>2450948.0905900002</v>
      </c>
      <c r="B774" s="1" t="s">
        <v>1132</v>
      </c>
      <c r="C774" s="1">
        <v>8.8381819999999998</v>
      </c>
      <c r="D774" s="1"/>
      <c r="E774">
        <f>(A774-m_phot!L$4)/m_phot!L$5-INT((A774-m_phot!L$4)/m_phot!L$5)</f>
        <v>0.61309319044721633</v>
      </c>
      <c r="F774">
        <f t="shared" si="17"/>
        <v>8.8381819999999998</v>
      </c>
      <c r="H774" t="str">
        <f>IF(E774&lt;0.05,INT(($A774-m_phot!$L$4)/m_phot!$L$5),"")</f>
        <v/>
      </c>
      <c r="I774" t="str">
        <f t="shared" si="18"/>
        <v/>
      </c>
      <c r="J774">
        <f t="shared" si="19"/>
        <v>6.2179000000000428E-2</v>
      </c>
    </row>
    <row r="775" spans="1:10" ht="14.25" customHeight="1" x14ac:dyDescent="0.25">
      <c r="A775" s="1">
        <v>2450964.8126099999</v>
      </c>
      <c r="B775" s="1" t="s">
        <v>1133</v>
      </c>
      <c r="C775" s="1">
        <v>8.6747370000000004</v>
      </c>
      <c r="D775" s="1"/>
      <c r="E775">
        <f>(A775-m_phot!L$4)/m_phot!L$5-INT((A775-m_phot!L$4)/m_phot!L$5)</f>
        <v>0.63357331292089114</v>
      </c>
      <c r="F775">
        <f t="shared" si="17"/>
        <v>8.6747370000000004</v>
      </c>
      <c r="H775" t="str">
        <f>IF(E775&lt;0.05,INT(($A775-m_phot!$L$4)/m_phot!$L$5),"")</f>
        <v/>
      </c>
      <c r="I775" t="str">
        <f t="shared" si="18"/>
        <v/>
      </c>
      <c r="J775">
        <f t="shared" si="19"/>
        <v>-0.10126599999999897</v>
      </c>
    </row>
    <row r="776" spans="1:10" ht="14.25" customHeight="1" x14ac:dyDescent="0.25">
      <c r="A776" s="1">
        <v>2450983.0359200002</v>
      </c>
      <c r="B776" s="1" t="s">
        <v>1134</v>
      </c>
      <c r="C776" s="1">
        <v>8.7178260000000005</v>
      </c>
      <c r="D776" s="1"/>
      <c r="E776">
        <f>(A776-m_phot!L$4)/m_phot!L$5-INT((A776-m_phot!L$4)/m_phot!L$5)</f>
        <v>0.65589212492366045</v>
      </c>
      <c r="F776">
        <f t="shared" si="17"/>
        <v>8.7178260000000005</v>
      </c>
      <c r="H776" t="str">
        <f>IF(E776&lt;0.05,INT(($A776-m_phot!$L$4)/m_phot!$L$5),"")</f>
        <v/>
      </c>
      <c r="I776" t="str">
        <f t="shared" si="18"/>
        <v/>
      </c>
      <c r="J776">
        <f t="shared" si="19"/>
        <v>-5.8176999999998813E-2</v>
      </c>
    </row>
    <row r="777" spans="1:10" ht="14.25" customHeight="1" x14ac:dyDescent="0.25">
      <c r="A777" s="1">
        <v>2450994.8017199999</v>
      </c>
      <c r="B777" s="1" t="s">
        <v>1135</v>
      </c>
      <c r="C777" s="1">
        <v>8.7256250000000009</v>
      </c>
      <c r="D777" s="1"/>
      <c r="E777">
        <f>(A777-m_phot!L$4)/m_phot!L$5-INT((A777-m_phot!L$4)/m_phot!L$5)</f>
        <v>0.67030216778918827</v>
      </c>
      <c r="F777">
        <f t="shared" si="17"/>
        <v>8.7256250000000009</v>
      </c>
      <c r="H777" t="str">
        <f>IF(E777&lt;0.05,INT(($A777-m_phot!$L$4)/m_phot!$L$5),"")</f>
        <v/>
      </c>
      <c r="I777" t="str">
        <f t="shared" si="18"/>
        <v/>
      </c>
      <c r="J777">
        <f t="shared" si="19"/>
        <v>-5.037799999999848E-2</v>
      </c>
    </row>
    <row r="778" spans="1:10" ht="14.25" customHeight="1" x14ac:dyDescent="0.25">
      <c r="A778" s="1">
        <v>2451015.5544199999</v>
      </c>
      <c r="B778" s="1" t="s">
        <v>1136</v>
      </c>
      <c r="C778" s="1">
        <v>8.7040260000000007</v>
      </c>
      <c r="D778" s="1"/>
      <c r="E778">
        <f>(A778-m_phot!L$4)/m_phot!L$5-INT((A778-m_phot!L$4)/m_phot!L$5)</f>
        <v>0.69571882424977716</v>
      </c>
      <c r="F778">
        <f t="shared" si="17"/>
        <v>8.7040260000000007</v>
      </c>
      <c r="H778" t="str">
        <f>IF(E778&lt;0.05,INT(($A778-m_phot!$L$4)/m_phot!$L$5),"")</f>
        <v/>
      </c>
      <c r="I778" t="str">
        <f t="shared" si="18"/>
        <v/>
      </c>
      <c r="J778">
        <f t="shared" si="19"/>
        <v>-7.1976999999998625E-2</v>
      </c>
    </row>
    <row r="779" spans="1:10" ht="14.25" customHeight="1" x14ac:dyDescent="0.25">
      <c r="A779" s="1">
        <v>2451029.2175199999</v>
      </c>
      <c r="B779" s="1" t="s">
        <v>1137</v>
      </c>
      <c r="C779" s="1">
        <v>8.6872880000000006</v>
      </c>
      <c r="D779" s="1"/>
      <c r="E779">
        <f>(A779-m_phot!L$4)/m_phot!L$5-INT((A779-m_phot!L$4)/m_phot!L$5)</f>
        <v>0.71245256582969674</v>
      </c>
      <c r="F779">
        <f t="shared" si="17"/>
        <v>8.6872880000000006</v>
      </c>
      <c r="H779" t="str">
        <f>IF(E779&lt;0.05,INT(($A779-m_phot!$L$4)/m_phot!$L$5),"")</f>
        <v/>
      </c>
      <c r="I779" t="str">
        <f t="shared" si="18"/>
        <v/>
      </c>
      <c r="J779">
        <f t="shared" si="19"/>
        <v>-8.8714999999998767E-2</v>
      </c>
    </row>
    <row r="780" spans="1:10" ht="14.25" customHeight="1" x14ac:dyDescent="0.25">
      <c r="A780" s="1">
        <v>2451045.18561</v>
      </c>
      <c r="B780" s="1" t="s">
        <v>1138</v>
      </c>
      <c r="C780" s="1">
        <v>8.7534650000000003</v>
      </c>
      <c r="D780" s="1"/>
      <c r="E780">
        <f>(A780-m_phot!L$4)/m_phot!L$5-INT((A780-m_phot!L$4)/m_phot!L$5)</f>
        <v>0.73200932026949772</v>
      </c>
      <c r="F780">
        <f t="shared" si="17"/>
        <v>8.7534650000000003</v>
      </c>
      <c r="H780" t="str">
        <f>IF(E780&lt;0.05,INT(($A780-m_phot!$L$4)/m_phot!$L$5),"")</f>
        <v/>
      </c>
      <c r="I780" t="str">
        <f t="shared" si="18"/>
        <v/>
      </c>
      <c r="J780">
        <f t="shared" si="19"/>
        <v>-2.2537999999999059E-2</v>
      </c>
    </row>
    <row r="781" spans="1:10" ht="14.25" customHeight="1" x14ac:dyDescent="0.25">
      <c r="A781" s="1">
        <v>2451058.8673999999</v>
      </c>
      <c r="B781" s="1" t="s">
        <v>1139</v>
      </c>
      <c r="C781" s="1">
        <v>8.7753619999999994</v>
      </c>
      <c r="D781" s="1"/>
      <c r="E781">
        <f>(A781-m_phot!L$4)/m_phot!L$5-INT((A781-m_phot!L$4)/m_phot!L$5)</f>
        <v>0.74876595223499365</v>
      </c>
      <c r="F781">
        <f t="shared" si="17"/>
        <v>8.7753619999999994</v>
      </c>
      <c r="H781" t="str">
        <f>IF(E781&lt;0.05,INT(($A781-m_phot!$L$4)/m_phot!$L$5),"")</f>
        <v/>
      </c>
      <c r="I781" t="str">
        <f t="shared" si="18"/>
        <v/>
      </c>
      <c r="J781">
        <f t="shared" si="19"/>
        <v>-6.4099999999989166E-4</v>
      </c>
    </row>
    <row r="782" spans="1:10" ht="14.25" customHeight="1" x14ac:dyDescent="0.25">
      <c r="A782" s="1">
        <v>2451076.1061</v>
      </c>
      <c r="B782" s="1" t="s">
        <v>1140</v>
      </c>
      <c r="C782" s="1">
        <v>8.7581310000000006</v>
      </c>
      <c r="D782" s="1"/>
      <c r="E782">
        <f>(A782-m_phot!L$4)/m_phot!L$5-INT((A782-m_phot!L$4)/m_phot!L$5)</f>
        <v>0.7698788732394064</v>
      </c>
      <c r="F782">
        <f t="shared" si="17"/>
        <v>8.7581310000000006</v>
      </c>
      <c r="H782" t="str">
        <f>IF(E782&lt;0.05,INT(($A782-m_phot!$L$4)/m_phot!$L$5),"")</f>
        <v/>
      </c>
      <c r="I782" t="str">
        <f t="shared" si="18"/>
        <v/>
      </c>
      <c r="J782">
        <f t="shared" si="19"/>
        <v>-1.7871999999998778E-2</v>
      </c>
    </row>
    <row r="783" spans="1:10" ht="14.25" customHeight="1" x14ac:dyDescent="0.25">
      <c r="A783" s="1">
        <v>2451089.80009</v>
      </c>
      <c r="B783" s="1" t="s">
        <v>1141</v>
      </c>
      <c r="C783" s="1">
        <v>8.76</v>
      </c>
      <c r="D783" s="1"/>
      <c r="E783">
        <f>(A783-m_phot!L$4)/m_phot!L$5-INT((A783-m_phot!L$4)/m_phot!L$5)</f>
        <v>0.78665044703004838</v>
      </c>
      <c r="F783">
        <f t="shared" si="17"/>
        <v>8.76</v>
      </c>
      <c r="H783" t="str">
        <f>IF(E783&lt;0.05,INT(($A783-m_phot!$L$4)/m_phot!$L$5),"")</f>
        <v/>
      </c>
      <c r="I783" t="str">
        <f t="shared" si="18"/>
        <v/>
      </c>
      <c r="J783">
        <f t="shared" si="19"/>
        <v>-1.6002999999999545E-2</v>
      </c>
    </row>
    <row r="784" spans="1:10" ht="14.25" customHeight="1" x14ac:dyDescent="0.25">
      <c r="A784" s="1">
        <v>2451105.57595</v>
      </c>
      <c r="B784" s="1" t="s">
        <v>1142</v>
      </c>
      <c r="C784" s="1">
        <v>8.7727170000000001</v>
      </c>
      <c r="D784" s="1"/>
      <c r="E784">
        <f>(A784-m_phot!L$4)/m_phot!L$5-INT((A784-m_phot!L$4)/m_phot!L$5)</f>
        <v>0.80597176974888995</v>
      </c>
      <c r="F784">
        <f t="shared" si="17"/>
        <v>8.7727170000000001</v>
      </c>
      <c r="H784" t="str">
        <f>IF(E784&lt;0.05,INT(($A784-m_phot!$L$4)/m_phot!$L$5),"")</f>
        <v/>
      </c>
      <c r="I784" t="str">
        <f t="shared" si="18"/>
        <v/>
      </c>
      <c r="J784">
        <f t="shared" si="19"/>
        <v>-3.285999999999234E-3</v>
      </c>
    </row>
    <row r="785" spans="1:10" ht="14.25" customHeight="1" x14ac:dyDescent="0.25">
      <c r="A785" s="1">
        <v>2451120.4501399999</v>
      </c>
      <c r="B785" s="1" t="s">
        <v>1143</v>
      </c>
      <c r="C785" s="1">
        <v>8.81</v>
      </c>
      <c r="D785" s="1"/>
      <c r="E785">
        <f>(A785-m_phot!L$4)/m_phot!L$5-INT((A785-m_phot!L$4)/m_phot!L$5)</f>
        <v>0.82418878138377849</v>
      </c>
      <c r="F785">
        <f t="shared" si="17"/>
        <v>8.81</v>
      </c>
      <c r="H785" t="str">
        <f>IF(E785&lt;0.05,INT(($A785-m_phot!$L$4)/m_phot!$L$5),"")</f>
        <v/>
      </c>
      <c r="I785" t="str">
        <f t="shared" si="18"/>
        <v/>
      </c>
      <c r="J785">
        <f t="shared" si="19"/>
        <v>3.3997000000001165E-2</v>
      </c>
    </row>
    <row r="786" spans="1:10" ht="14.25" customHeight="1" x14ac:dyDescent="0.25">
      <c r="A786" s="1">
        <v>2451134.0800700001</v>
      </c>
      <c r="B786" s="1" t="s">
        <v>1144</v>
      </c>
      <c r="C786" s="1">
        <v>8.7771190000000008</v>
      </c>
      <c r="D786" s="1"/>
      <c r="E786">
        <f>(A786-m_phot!L$4)/m_phot!L$5-INT((A786-m_phot!L$4)/m_phot!L$5)</f>
        <v>0.84088189834677607</v>
      </c>
      <c r="F786">
        <f t="shared" si="17"/>
        <v>8.7771190000000008</v>
      </c>
      <c r="H786" t="str">
        <f>IF(E786&lt;0.05,INT(($A786-m_phot!$L$4)/m_phot!$L$5),"")</f>
        <v/>
      </c>
      <c r="I786" t="str">
        <f t="shared" si="18"/>
        <v/>
      </c>
      <c r="J786">
        <f t="shared" si="19"/>
        <v>1.1160000000014492E-3</v>
      </c>
    </row>
    <row r="787" spans="1:10" ht="14.25" customHeight="1" x14ac:dyDescent="0.25">
      <c r="A787" s="1">
        <v>2451150.6875999998</v>
      </c>
      <c r="B787" s="1" t="s">
        <v>1145</v>
      </c>
      <c r="C787" s="1">
        <v>8.7984849999999994</v>
      </c>
      <c r="D787" s="1"/>
      <c r="E787">
        <f>(A787-m_phot!L$4)/m_phot!L$5-INT((A787-m_phot!L$4)/m_phot!L$5)</f>
        <v>0.86122180036721474</v>
      </c>
      <c r="F787">
        <f t="shared" si="17"/>
        <v>8.7984849999999994</v>
      </c>
      <c r="H787" t="str">
        <f>IF(E787&lt;0.05,INT(($A787-m_phot!$L$4)/m_phot!$L$5),"")</f>
        <v/>
      </c>
      <c r="I787" t="str">
        <f t="shared" si="18"/>
        <v/>
      </c>
      <c r="J787">
        <f t="shared" si="19"/>
        <v>2.2482000000000113E-2</v>
      </c>
    </row>
    <row r="788" spans="1:10" ht="14.25" customHeight="1" x14ac:dyDescent="0.25">
      <c r="A788" s="1">
        <v>2451164.9726100001</v>
      </c>
      <c r="B788" s="1" t="s">
        <v>1146</v>
      </c>
      <c r="C788" s="1">
        <v>8.8054050000000004</v>
      </c>
      <c r="D788" s="1"/>
      <c r="E788">
        <f>(A788-m_phot!L$4)/m_phot!L$5-INT((A788-m_phot!L$4)/m_phot!L$5)</f>
        <v>0.87871721984085127</v>
      </c>
      <c r="F788">
        <f t="shared" si="17"/>
        <v>8.8054050000000004</v>
      </c>
      <c r="H788" t="str">
        <f>IF(E788&lt;0.05,INT(($A788-m_phot!$L$4)/m_phot!$L$5),"")</f>
        <v/>
      </c>
      <c r="I788" t="str">
        <f t="shared" si="18"/>
        <v/>
      </c>
      <c r="J788">
        <f t="shared" si="19"/>
        <v>2.9402000000001038E-2</v>
      </c>
    </row>
    <row r="789" spans="1:10" ht="14.25" customHeight="1" x14ac:dyDescent="0.25">
      <c r="A789" s="1">
        <v>2451182.13693</v>
      </c>
      <c r="B789" s="1" t="s">
        <v>1147</v>
      </c>
      <c r="C789" s="1">
        <v>8.7780000000000005</v>
      </c>
      <c r="D789" s="1"/>
      <c r="E789">
        <f>(A789-m_phot!L$4)/m_phot!L$5-INT((A789-m_phot!L$4)/m_phot!L$5)</f>
        <v>0.89973904470304689</v>
      </c>
      <c r="F789">
        <f t="shared" si="17"/>
        <v>8.7780000000000005</v>
      </c>
      <c r="H789" t="str">
        <f>IF(E789&lt;0.05,INT(($A789-m_phot!$L$4)/m_phot!$L$5),"")</f>
        <v/>
      </c>
      <c r="I789" t="str">
        <f t="shared" si="18"/>
        <v/>
      </c>
      <c r="J789">
        <f t="shared" si="19"/>
        <v>1.9970000000011368E-3</v>
      </c>
    </row>
    <row r="790" spans="1:10" ht="14.25" customHeight="1" x14ac:dyDescent="0.25">
      <c r="A790" s="1">
        <v>2451195.1734799999</v>
      </c>
      <c r="B790" s="1" t="s">
        <v>1148</v>
      </c>
      <c r="C790" s="1">
        <v>8.7961539999999996</v>
      </c>
      <c r="D790" s="1"/>
      <c r="E790">
        <f>(A790-m_phot!L$4)/m_phot!L$5-INT((A790-m_phot!L$4)/m_phot!L$5)</f>
        <v>0.91570542559691503</v>
      </c>
      <c r="F790">
        <f t="shared" si="17"/>
        <v>8.7961539999999996</v>
      </c>
      <c r="H790" t="str">
        <f>IF(E790&lt;0.05,INT(($A790-m_phot!$L$4)/m_phot!$L$5),"")</f>
        <v/>
      </c>
      <c r="I790" t="str">
        <f t="shared" si="18"/>
        <v/>
      </c>
      <c r="J790">
        <f t="shared" si="19"/>
        <v>2.0151000000000252E-2</v>
      </c>
    </row>
    <row r="791" spans="1:10" ht="14.25" customHeight="1" x14ac:dyDescent="0.25">
      <c r="A791" s="1">
        <v>2451209.4890000001</v>
      </c>
      <c r="B791" s="1" t="s">
        <v>1149</v>
      </c>
      <c r="C791" s="1">
        <v>8.7539999999999996</v>
      </c>
      <c r="D791" s="1"/>
      <c r="E791">
        <f>(A791-m_phot!L$4)/m_phot!L$5-INT((A791-m_phot!L$4)/m_phot!L$5)</f>
        <v>0.93323821188004885</v>
      </c>
      <c r="F791">
        <f t="shared" ref="F791:F854" si="20">+C791</f>
        <v>8.7539999999999996</v>
      </c>
      <c r="H791" t="str">
        <f>IF(E791&lt;0.05,INT(($A791-m_phot!$L$4)/m_phot!$L$5),"")</f>
        <v/>
      </c>
      <c r="I791" t="str">
        <f t="shared" si="18"/>
        <v/>
      </c>
      <c r="J791">
        <f t="shared" si="19"/>
        <v>-2.2002999999999773E-2</v>
      </c>
    </row>
    <row r="792" spans="1:10" ht="14.25" customHeight="1" x14ac:dyDescent="0.25">
      <c r="A792" s="1">
        <v>2451222.2400000002</v>
      </c>
      <c r="B792" s="1" t="s">
        <v>1150</v>
      </c>
      <c r="C792" s="1">
        <v>9.1</v>
      </c>
      <c r="D792" s="1"/>
      <c r="E792">
        <f>(A792-m_phot!L$4)/m_phot!L$5-INT((A792-m_phot!L$4)/m_phot!L$5)</f>
        <v>0.94885486834075294</v>
      </c>
      <c r="F792">
        <f t="shared" si="20"/>
        <v>9.1</v>
      </c>
      <c r="H792" t="str">
        <f>IF(E792&lt;0.05,INT(($A792-m_phot!$L$4)/m_phot!$L$5),"")</f>
        <v/>
      </c>
      <c r="I792" t="str">
        <f t="shared" si="18"/>
        <v/>
      </c>
      <c r="J792">
        <f t="shared" si="19"/>
        <v>0.32399700000000031</v>
      </c>
    </row>
    <row r="793" spans="1:10" ht="14.25" customHeight="1" x14ac:dyDescent="0.25">
      <c r="A793" s="1">
        <v>2451284.08843</v>
      </c>
      <c r="B793" s="1" t="s">
        <v>1151</v>
      </c>
      <c r="C793" s="1">
        <v>8.84</v>
      </c>
      <c r="D793" s="1"/>
      <c r="E793">
        <f>(A793-m_phot!L$4)/m_phot!L$5-INT((A793-m_phot!L$4)/m_phot!L$5)</f>
        <v>2.4603098591551742E-2</v>
      </c>
      <c r="F793">
        <f t="shared" si="20"/>
        <v>8.84</v>
      </c>
      <c r="H793">
        <f>IF(E793&lt;0.05,INT(($A793-m_phot!$L$4)/m_phot!$L$5),"")</f>
        <v>24</v>
      </c>
      <c r="I793">
        <f t="shared" si="18"/>
        <v>8.932500000000001</v>
      </c>
      <c r="J793">
        <f>+C793-I$793</f>
        <v>-9.2500000000001137E-2</v>
      </c>
    </row>
    <row r="794" spans="1:10" ht="14.25" customHeight="1" x14ac:dyDescent="0.25">
      <c r="A794" s="1">
        <v>2451294.3450000002</v>
      </c>
      <c r="B794" s="1" t="s">
        <v>1152</v>
      </c>
      <c r="C794" s="1">
        <v>9.0250000000000004</v>
      </c>
      <c r="D794" s="1"/>
      <c r="E794">
        <f>(A794-m_phot!L$4)/m_phot!L$5-INT((A794-m_phot!L$4)/m_phot!L$5)</f>
        <v>3.7164727495657246E-2</v>
      </c>
      <c r="F794">
        <f t="shared" si="20"/>
        <v>9.0250000000000004</v>
      </c>
      <c r="H794">
        <f>IF(E794&lt;0.05,INT(($A794-m_phot!$L$4)/m_phot!$L$5),"")</f>
        <v>24</v>
      </c>
      <c r="I794">
        <f t="shared" si="18"/>
        <v>8.958124999999999</v>
      </c>
      <c r="J794">
        <f t="shared" ref="J794:J837" si="21">+C794-I$793</f>
        <v>9.2499999999999361E-2</v>
      </c>
    </row>
    <row r="795" spans="1:10" ht="14.25" customHeight="1" x14ac:dyDescent="0.25">
      <c r="A795" s="1">
        <v>2451317.3414400001</v>
      </c>
      <c r="B795" s="1" t="s">
        <v>1153</v>
      </c>
      <c r="C795" s="1">
        <v>8.8912499999999994</v>
      </c>
      <c r="D795" s="1"/>
      <c r="E795">
        <f>(A795-m_phot!L$4)/m_phot!L$5-INT((A795-m_phot!L$4)/m_phot!L$5)</f>
        <v>6.5329381506558093E-2</v>
      </c>
      <c r="F795">
        <f t="shared" si="20"/>
        <v>8.8912499999999994</v>
      </c>
      <c r="H795" t="str">
        <f>IF(E795&lt;0.05,INT(($A795-m_phot!$L$4)/m_phot!$L$5),"")</f>
        <v/>
      </c>
      <c r="I795" t="str">
        <f t="shared" si="18"/>
        <v/>
      </c>
      <c r="J795">
        <f t="shared" si="21"/>
        <v>-4.1250000000001563E-2</v>
      </c>
    </row>
    <row r="796" spans="1:10" ht="14.25" customHeight="1" x14ac:dyDescent="0.25">
      <c r="A796" s="1">
        <v>2451332.2269299999</v>
      </c>
      <c r="B796" s="1" t="s">
        <v>1154</v>
      </c>
      <c r="C796" s="1">
        <v>8.7959999999999994</v>
      </c>
      <c r="D796" s="1"/>
      <c r="E796">
        <f>(A796-m_phot!L$4)/m_phot!L$5-INT((A796-m_phot!L$4)/m_phot!L$5)</f>
        <v>8.3560232700413906E-2</v>
      </c>
      <c r="F796">
        <f t="shared" si="20"/>
        <v>8.7959999999999994</v>
      </c>
      <c r="H796" t="str">
        <f>IF(E796&lt;0.05,INT(($A796-m_phot!$L$4)/m_phot!$L$5),"")</f>
        <v/>
      </c>
      <c r="I796" t="str">
        <f t="shared" si="18"/>
        <v/>
      </c>
      <c r="J796">
        <f t="shared" si="21"/>
        <v>-0.13650000000000162</v>
      </c>
    </row>
    <row r="797" spans="1:10" ht="14.25" customHeight="1" x14ac:dyDescent="0.25">
      <c r="A797" s="1">
        <v>2451347.02948</v>
      </c>
      <c r="B797" s="1" t="s">
        <v>1155</v>
      </c>
      <c r="C797" s="1">
        <v>8.795833</v>
      </c>
      <c r="D797" s="1"/>
      <c r="E797">
        <f>(A797-m_phot!L$4)/m_phot!L$5-INT((A797-m_phot!L$4)/m_phot!L$5)</f>
        <v>0.10168950398043819</v>
      </c>
      <c r="F797">
        <f t="shared" si="20"/>
        <v>8.795833</v>
      </c>
      <c r="H797" t="str">
        <f>IF(E797&lt;0.05,INT(($A797-m_phot!$L$4)/m_phot!$L$5),"")</f>
        <v/>
      </c>
      <c r="I797" t="str">
        <f t="shared" si="18"/>
        <v/>
      </c>
      <c r="J797">
        <f t="shared" si="21"/>
        <v>-0.13666700000000098</v>
      </c>
    </row>
    <row r="798" spans="1:10" ht="14.25" customHeight="1" x14ac:dyDescent="0.25">
      <c r="A798" s="1">
        <v>2451362.5381399998</v>
      </c>
      <c r="B798" s="1" t="s">
        <v>1156</v>
      </c>
      <c r="C798" s="1">
        <v>8.7636109999999992</v>
      </c>
      <c r="D798" s="1"/>
      <c r="E798">
        <f>(A798-m_phot!L$4)/m_phot!L$5-INT((A798-m_phot!L$4)/m_phot!L$5)</f>
        <v>0.12068357623985904</v>
      </c>
      <c r="F798">
        <f t="shared" si="20"/>
        <v>8.7636109999999992</v>
      </c>
      <c r="H798" t="str">
        <f>IF(E798&lt;0.05,INT(($A798-m_phot!$L$4)/m_phot!$L$5),"")</f>
        <v/>
      </c>
      <c r="I798" t="str">
        <f t="shared" si="18"/>
        <v/>
      </c>
      <c r="J798">
        <f t="shared" si="21"/>
        <v>-0.16888900000000184</v>
      </c>
    </row>
    <row r="799" spans="1:10" ht="14.25" customHeight="1" x14ac:dyDescent="0.25">
      <c r="A799" s="1">
        <v>2451376.6351999999</v>
      </c>
      <c r="B799" s="1" t="s">
        <v>1157</v>
      </c>
      <c r="C799" s="1">
        <v>8.7819719999999997</v>
      </c>
      <c r="D799" s="1"/>
      <c r="E799">
        <f>(A799-m_phot!L$4)/m_phot!L$5-INT((A799-m_phot!L$4)/m_phot!L$5)</f>
        <v>0.1379488058786329</v>
      </c>
      <c r="F799">
        <f t="shared" si="20"/>
        <v>8.7819719999999997</v>
      </c>
      <c r="H799" t="str">
        <f>IF(E799&lt;0.05,INT(($A799-m_phot!$L$4)/m_phot!$L$5),"")</f>
        <v/>
      </c>
      <c r="I799" t="str">
        <f t="shared" si="18"/>
        <v/>
      </c>
      <c r="J799">
        <f t="shared" si="21"/>
        <v>-0.15052800000000133</v>
      </c>
    </row>
    <row r="800" spans="1:10" ht="14.25" customHeight="1" x14ac:dyDescent="0.25">
      <c r="A800" s="1">
        <v>2451393.1164799999</v>
      </c>
      <c r="B800" s="1" t="s">
        <v>1158</v>
      </c>
      <c r="C800" s="1">
        <v>8.7973999999999997</v>
      </c>
      <c r="D800" s="1"/>
      <c r="E800">
        <f>(A800-m_phot!L$4)/m_phot!L$5-INT((A800-m_phot!L$4)/m_phot!L$5)</f>
        <v>0.15813408450685884</v>
      </c>
      <c r="F800">
        <f t="shared" si="20"/>
        <v>8.7973999999999997</v>
      </c>
      <c r="H800" t="str">
        <f>IF(E800&lt;0.05,INT(($A800-m_phot!$L$4)/m_phot!$L$5),"")</f>
        <v/>
      </c>
      <c r="I800" t="str">
        <f t="shared" si="18"/>
        <v/>
      </c>
      <c r="J800">
        <f t="shared" si="21"/>
        <v>-0.13510000000000133</v>
      </c>
    </row>
    <row r="801" spans="1:10" ht="14.25" customHeight="1" x14ac:dyDescent="0.25">
      <c r="A801" s="1">
        <v>2451407.0887699998</v>
      </c>
      <c r="B801" s="1" t="s">
        <v>1159</v>
      </c>
      <c r="C801" s="1">
        <v>8.8301429999999996</v>
      </c>
      <c r="D801" s="1"/>
      <c r="E801">
        <f>(A801-m_phot!L$4)/m_phot!L$5-INT((A801-m_phot!L$4)/m_phot!L$5)</f>
        <v>0.17524650336778791</v>
      </c>
      <c r="F801">
        <f t="shared" si="20"/>
        <v>8.8301429999999996</v>
      </c>
      <c r="H801" t="str">
        <f>IF(E801&lt;0.05,INT(($A801-m_phot!$L$4)/m_phot!$L$5),"")</f>
        <v/>
      </c>
      <c r="I801" t="str">
        <f t="shared" si="18"/>
        <v/>
      </c>
      <c r="J801">
        <f t="shared" si="21"/>
        <v>-0.10235700000000136</v>
      </c>
    </row>
    <row r="802" spans="1:10" ht="14.25" customHeight="1" x14ac:dyDescent="0.25">
      <c r="A802" s="1">
        <v>2451424.94215</v>
      </c>
      <c r="B802" s="1" t="s">
        <v>1160</v>
      </c>
      <c r="C802" s="1">
        <v>8.7391299999999994</v>
      </c>
      <c r="D802" s="1"/>
      <c r="E802">
        <f>(A802-m_phot!L$4)/m_phot!L$5-INT((A802-m_phot!L$4)/m_phot!L$5)</f>
        <v>0.19711224739744893</v>
      </c>
      <c r="F802">
        <f t="shared" si="20"/>
        <v>8.7391299999999994</v>
      </c>
      <c r="H802" t="str">
        <f>IF(E802&lt;0.05,INT(($A802-m_phot!$L$4)/m_phot!$L$5),"")</f>
        <v/>
      </c>
      <c r="I802" t="str">
        <f t="shared" si="18"/>
        <v/>
      </c>
      <c r="J802">
        <f t="shared" si="21"/>
        <v>-0.1933700000000016</v>
      </c>
    </row>
    <row r="803" spans="1:10" ht="14.25" customHeight="1" x14ac:dyDescent="0.25">
      <c r="A803" s="1">
        <v>2451435.7446400002</v>
      </c>
      <c r="B803" s="1" t="s">
        <v>1161</v>
      </c>
      <c r="C803" s="1">
        <v>8.6828570000000003</v>
      </c>
      <c r="D803" s="1"/>
      <c r="E803">
        <f>(A803-m_phot!L$4)/m_phot!L$5-INT((A803-m_phot!L$4)/m_phot!L$5)</f>
        <v>0.21034248622187945</v>
      </c>
      <c r="F803">
        <f t="shared" si="20"/>
        <v>8.6828570000000003</v>
      </c>
      <c r="H803" t="str">
        <f>IF(E803&lt;0.05,INT(($A803-m_phot!$L$4)/m_phot!$L$5),"")</f>
        <v/>
      </c>
      <c r="I803" t="str">
        <f t="shared" si="18"/>
        <v/>
      </c>
      <c r="J803">
        <f t="shared" si="21"/>
        <v>-0.24964300000000073</v>
      </c>
    </row>
    <row r="804" spans="1:10" ht="14.25" customHeight="1" x14ac:dyDescent="0.25">
      <c r="A804" s="1">
        <v>2451454.1960900002</v>
      </c>
      <c r="B804" s="1" t="s">
        <v>1162</v>
      </c>
      <c r="C804" s="1">
        <v>8.6891940000000005</v>
      </c>
      <c r="D804" s="1"/>
      <c r="E804">
        <f>(A804-m_phot!L$4)/m_phot!L$5-INT((A804-m_phot!L$4)/m_phot!L$5)</f>
        <v>0.23294071034931463</v>
      </c>
      <c r="F804">
        <f t="shared" si="20"/>
        <v>8.6891940000000005</v>
      </c>
      <c r="H804" t="str">
        <f>IF(E804&lt;0.05,INT(($A804-m_phot!$L$4)/m_phot!$L$5),"")</f>
        <v/>
      </c>
      <c r="I804" t="str">
        <f t="shared" si="18"/>
        <v/>
      </c>
      <c r="J804">
        <f t="shared" si="21"/>
        <v>-0.24330600000000047</v>
      </c>
    </row>
    <row r="805" spans="1:10" ht="14.25" customHeight="1" x14ac:dyDescent="0.25">
      <c r="A805" s="1">
        <v>2451466.82926</v>
      </c>
      <c r="B805" s="1" t="s">
        <v>1163</v>
      </c>
      <c r="C805" s="1">
        <v>8.7575000000000003</v>
      </c>
      <c r="D805" s="1"/>
      <c r="E805">
        <f>(A805-m_phot!L$4)/m_phot!L$5-INT((A805-m_phot!L$4)/m_phot!L$5)</f>
        <v>0.24841305572569183</v>
      </c>
      <c r="F805">
        <f t="shared" si="20"/>
        <v>8.7575000000000003</v>
      </c>
      <c r="H805" t="str">
        <f>IF(E805&lt;0.05,INT(($A805-m_phot!$L$4)/m_phot!$L$5),"")</f>
        <v/>
      </c>
      <c r="I805" t="str">
        <f t="shared" si="18"/>
        <v/>
      </c>
      <c r="J805">
        <f t="shared" si="21"/>
        <v>-0.17500000000000071</v>
      </c>
    </row>
    <row r="806" spans="1:10" ht="14.25" customHeight="1" x14ac:dyDescent="0.25">
      <c r="A806" s="1">
        <v>2451484.7794300001</v>
      </c>
      <c r="B806" s="1" t="s">
        <v>1164</v>
      </c>
      <c r="C806" s="1">
        <v>8.7386320000000008</v>
      </c>
      <c r="D806" s="1"/>
      <c r="E806">
        <f>(A806-m_phot!L$4)/m_phot!L$5-INT((A806-m_phot!L$4)/m_phot!L$5)</f>
        <v>0.27039734231489376</v>
      </c>
      <c r="F806">
        <f t="shared" si="20"/>
        <v>8.7386320000000008</v>
      </c>
      <c r="H806" t="str">
        <f>IF(E806&lt;0.05,INT(($A806-m_phot!$L$4)/m_phot!$L$5),"")</f>
        <v/>
      </c>
      <c r="I806" t="str">
        <f t="shared" si="18"/>
        <v/>
      </c>
      <c r="J806">
        <f t="shared" si="21"/>
        <v>-0.19386800000000015</v>
      </c>
    </row>
    <row r="807" spans="1:10" ht="14.25" customHeight="1" x14ac:dyDescent="0.25">
      <c r="A807" s="1">
        <v>2451497.8099799999</v>
      </c>
      <c r="B807" s="1" t="s">
        <v>1165</v>
      </c>
      <c r="C807" s="1">
        <v>8.7058140000000002</v>
      </c>
      <c r="D807" s="1"/>
      <c r="E807">
        <f>(A807-m_phot!L$4)/m_phot!L$5-INT((A807-m_phot!L$4)/m_phot!L$5)</f>
        <v>0.28635637477024289</v>
      </c>
      <c r="F807">
        <f t="shared" si="20"/>
        <v>8.7058140000000002</v>
      </c>
      <c r="H807" t="str">
        <f>IF(E807&lt;0.05,INT(($A807-m_phot!$L$4)/m_phot!$L$5),"")</f>
        <v/>
      </c>
      <c r="I807" t="str">
        <f t="shared" si="18"/>
        <v/>
      </c>
      <c r="J807">
        <f t="shared" si="21"/>
        <v>-0.22668600000000083</v>
      </c>
    </row>
    <row r="808" spans="1:10" ht="14.25" customHeight="1" x14ac:dyDescent="0.25">
      <c r="A808" s="1">
        <v>2451515.27783</v>
      </c>
      <c r="B808" s="1" t="s">
        <v>1166</v>
      </c>
      <c r="C808" s="1">
        <v>8.6897260000000003</v>
      </c>
      <c r="D808" s="1"/>
      <c r="E808">
        <f>(A808-m_phot!L$4)/m_phot!L$5-INT((A808-m_phot!L$4)/m_phot!L$5)</f>
        <v>0.30774994488675489</v>
      </c>
      <c r="F808">
        <f t="shared" si="20"/>
        <v>8.6897260000000003</v>
      </c>
      <c r="H808" t="str">
        <f>IF(E808&lt;0.05,INT(($A808-m_phot!$L$4)/m_phot!$L$5),"")</f>
        <v/>
      </c>
      <c r="I808" t="str">
        <f t="shared" si="18"/>
        <v/>
      </c>
      <c r="J808">
        <f t="shared" si="21"/>
        <v>-0.24277400000000071</v>
      </c>
    </row>
    <row r="809" spans="1:10" ht="14.25" customHeight="1" x14ac:dyDescent="0.25">
      <c r="A809" s="1">
        <v>2451529.1712500001</v>
      </c>
      <c r="B809" s="1" t="s">
        <v>1167</v>
      </c>
      <c r="C809" s="1">
        <v>8.7048389999999998</v>
      </c>
      <c r="D809" s="1"/>
      <c r="E809">
        <f>(A809-m_phot!L$4)/m_phot!L$5-INT((A809-m_phot!L$4)/m_phot!L$5)</f>
        <v>0.32476576852434746</v>
      </c>
      <c r="F809">
        <f t="shared" si="20"/>
        <v>8.7048389999999998</v>
      </c>
      <c r="H809" t="str">
        <f>IF(E809&lt;0.05,INT(($A809-m_phot!$L$4)/m_phot!$L$5),"")</f>
        <v/>
      </c>
      <c r="I809" t="str">
        <f t="shared" si="18"/>
        <v/>
      </c>
      <c r="J809">
        <f t="shared" si="21"/>
        <v>-0.22766100000000122</v>
      </c>
    </row>
    <row r="810" spans="1:10" ht="14.25" customHeight="1" x14ac:dyDescent="0.25">
      <c r="A810" s="1">
        <v>2451545.76247</v>
      </c>
      <c r="B810" s="1" t="s">
        <v>1168</v>
      </c>
      <c r="C810" s="1">
        <v>8.6627270000000003</v>
      </c>
      <c r="D810" s="1"/>
      <c r="E810">
        <f>(A810-m_phot!L$4)/m_phot!L$5-INT((A810-m_phot!L$4)/m_phot!L$5)</f>
        <v>0.34508569503975295</v>
      </c>
      <c r="F810">
        <f t="shared" si="20"/>
        <v>8.6627270000000003</v>
      </c>
      <c r="H810" t="str">
        <f>IF(E810&lt;0.05,INT(($A810-m_phot!$L$4)/m_phot!$L$5),"")</f>
        <v/>
      </c>
      <c r="I810" t="str">
        <f t="shared" ref="I810:I873" si="22">IF(H810&lt;&gt;"",AVERAGE(C810:C811),"")</f>
        <v/>
      </c>
      <c r="J810">
        <f t="shared" si="21"/>
        <v>-0.26977300000000071</v>
      </c>
    </row>
    <row r="811" spans="1:10" ht="14.25" customHeight="1" x14ac:dyDescent="0.25">
      <c r="A811" s="1">
        <v>2451556.7877500001</v>
      </c>
      <c r="B811" s="1" t="s">
        <v>1169</v>
      </c>
      <c r="C811" s="1">
        <v>8.6987500000000004</v>
      </c>
      <c r="D811" s="1"/>
      <c r="E811">
        <f>(A811-m_phot!L$4)/m_phot!L$5-INT((A811-m_phot!L$4)/m_phot!L$5)</f>
        <v>0.35858879363151885</v>
      </c>
      <c r="F811">
        <f t="shared" si="20"/>
        <v>8.6987500000000004</v>
      </c>
      <c r="H811" t="str">
        <f>IF(E811&lt;0.05,INT(($A811-m_phot!$L$4)/m_phot!$L$5),"")</f>
        <v/>
      </c>
      <c r="I811" t="str">
        <f t="shared" si="22"/>
        <v/>
      </c>
      <c r="J811">
        <f t="shared" si="21"/>
        <v>-0.23375000000000057</v>
      </c>
    </row>
    <row r="812" spans="1:10" ht="14.25" customHeight="1" x14ac:dyDescent="0.25">
      <c r="A812" s="1">
        <v>2451572.7041099998</v>
      </c>
      <c r="B812" s="1" t="s">
        <v>1170</v>
      </c>
      <c r="C812" s="1">
        <v>8.6722219999999997</v>
      </c>
      <c r="D812" s="1"/>
      <c r="E812">
        <f>(A812-m_phot!L$4)/m_phot!L$5-INT((A812-m_phot!L$4)/m_phot!L$5)</f>
        <v>0.37808219228391593</v>
      </c>
      <c r="F812">
        <f t="shared" si="20"/>
        <v>8.6722219999999997</v>
      </c>
      <c r="H812" t="str">
        <f>IF(E812&lt;0.05,INT(($A812-m_phot!$L$4)/m_phot!$L$5),"")</f>
        <v/>
      </c>
      <c r="I812" t="str">
        <f t="shared" si="22"/>
        <v/>
      </c>
      <c r="J812">
        <f t="shared" si="21"/>
        <v>-0.26027800000000134</v>
      </c>
    </row>
    <row r="813" spans="1:10" ht="14.25" customHeight="1" x14ac:dyDescent="0.25">
      <c r="A813" s="1">
        <v>2451619.5</v>
      </c>
      <c r="B813" s="1" t="s">
        <v>1171</v>
      </c>
      <c r="C813" s="1">
        <v>8.6999999999999993</v>
      </c>
      <c r="D813" s="1"/>
      <c r="E813">
        <f>(A813-m_phot!L$4)/m_phot!L$5-INT((A813-m_phot!L$4)/m_phot!L$5)</f>
        <v>0.43539497856705367</v>
      </c>
      <c r="F813">
        <f t="shared" si="20"/>
        <v>8.6999999999999993</v>
      </c>
      <c r="H813" t="str">
        <f>IF(E813&lt;0.05,INT(($A813-m_phot!$L$4)/m_phot!$L$5),"")</f>
        <v/>
      </c>
      <c r="I813" t="str">
        <f t="shared" si="22"/>
        <v/>
      </c>
      <c r="J813">
        <f t="shared" si="21"/>
        <v>-0.23250000000000171</v>
      </c>
    </row>
    <row r="814" spans="1:10" ht="14.25" customHeight="1" x14ac:dyDescent="0.25">
      <c r="A814" s="1">
        <v>2451645.2267200002</v>
      </c>
      <c r="B814" s="1" t="s">
        <v>1172</v>
      </c>
      <c r="C814" s="1">
        <v>8.6839999999999993</v>
      </c>
      <c r="D814" s="1"/>
      <c r="E814">
        <f>(A814-m_phot!L$4)/m_phot!L$5-INT((A814-m_phot!L$4)/m_phot!L$5)</f>
        <v>0.46690351500324923</v>
      </c>
      <c r="F814">
        <f t="shared" si="20"/>
        <v>8.6839999999999993</v>
      </c>
      <c r="H814" t="str">
        <f>IF(E814&lt;0.05,INT(($A814-m_phot!$L$4)/m_phot!$L$5),"")</f>
        <v/>
      </c>
      <c r="I814" t="str">
        <f t="shared" si="22"/>
        <v/>
      </c>
      <c r="J814">
        <f t="shared" si="21"/>
        <v>-0.24850000000000172</v>
      </c>
    </row>
    <row r="815" spans="1:10" ht="14.25" customHeight="1" x14ac:dyDescent="0.25">
      <c r="A815" s="1">
        <v>2451666.6319900001</v>
      </c>
      <c r="B815" s="1" t="s">
        <v>1173</v>
      </c>
      <c r="C815" s="1">
        <v>8.58</v>
      </c>
      <c r="D815" s="1"/>
      <c r="E815">
        <f>(A815-m_phot!L$4)/m_phot!L$5-INT((A815-m_phot!L$4)/m_phot!L$5)</f>
        <v>0.49311939987769904</v>
      </c>
      <c r="F815">
        <f t="shared" si="20"/>
        <v>8.58</v>
      </c>
      <c r="H815" t="str">
        <f>IF(E815&lt;0.05,INT(($A815-m_phot!$L$4)/m_phot!$L$5),"")</f>
        <v/>
      </c>
      <c r="I815" t="str">
        <f t="shared" si="22"/>
        <v/>
      </c>
      <c r="J815">
        <f t="shared" si="21"/>
        <v>-0.35250000000000092</v>
      </c>
    </row>
    <row r="816" spans="1:10" ht="14.25" customHeight="1" x14ac:dyDescent="0.25">
      <c r="A816" s="1">
        <v>2451680.8210100001</v>
      </c>
      <c r="B816" s="1" t="s">
        <v>1174</v>
      </c>
      <c r="C816" s="1">
        <v>8.5930769999999992</v>
      </c>
      <c r="D816" s="1"/>
      <c r="E816">
        <f>(A816-m_phot!L$4)/m_phot!L$5-INT((A816-m_phot!L$4)/m_phot!L$5)</f>
        <v>0.510497256583065</v>
      </c>
      <c r="F816">
        <f t="shared" si="20"/>
        <v>8.5930769999999992</v>
      </c>
      <c r="H816" t="str">
        <f>IF(E816&lt;0.05,INT(($A816-m_phot!$L$4)/m_phot!$L$5),"")</f>
        <v/>
      </c>
      <c r="I816" t="str">
        <f t="shared" si="22"/>
        <v/>
      </c>
      <c r="J816">
        <f t="shared" si="21"/>
        <v>-0.33942300000000181</v>
      </c>
    </row>
    <row r="817" spans="1:10" ht="14.25" customHeight="1" x14ac:dyDescent="0.25">
      <c r="A817" s="1">
        <v>2451701.7064999999</v>
      </c>
      <c r="B817" s="1" t="s">
        <v>1175</v>
      </c>
      <c r="C817" s="1">
        <v>8.6723809999999997</v>
      </c>
      <c r="D817" s="1"/>
      <c r="E817">
        <f>(A817-m_phot!L$4)/m_phot!L$5-INT((A817-m_phot!L$4)/m_phot!L$5)</f>
        <v>0.53607654623374756</v>
      </c>
      <c r="F817">
        <f t="shared" si="20"/>
        <v>8.6723809999999997</v>
      </c>
      <c r="H817" t="str">
        <f>IF(E817&lt;0.05,INT(($A817-m_phot!$L$4)/m_phot!$L$5),"")</f>
        <v/>
      </c>
      <c r="I817" t="str">
        <f t="shared" si="22"/>
        <v/>
      </c>
      <c r="J817">
        <f t="shared" si="21"/>
        <v>-0.26011900000000132</v>
      </c>
    </row>
    <row r="818" spans="1:10" ht="14.25" customHeight="1" x14ac:dyDescent="0.25">
      <c r="A818" s="1">
        <v>2451717.5078500002</v>
      </c>
      <c r="B818" s="1" t="s">
        <v>1176</v>
      </c>
      <c r="C818" s="1">
        <v>8.6295999999999999</v>
      </c>
      <c r="D818" s="1"/>
      <c r="E818">
        <f>(A818-m_phot!L$4)/m_phot!L$5-INT((A818-m_phot!L$4)/m_phot!L$5)</f>
        <v>0.55542908756909881</v>
      </c>
      <c r="F818">
        <f t="shared" si="20"/>
        <v>8.6295999999999999</v>
      </c>
      <c r="H818" t="str">
        <f>IF(E818&lt;0.05,INT(($A818-m_phot!$L$4)/m_phot!$L$5),"")</f>
        <v/>
      </c>
      <c r="I818" t="str">
        <f t="shared" si="22"/>
        <v/>
      </c>
      <c r="J818">
        <f t="shared" si="21"/>
        <v>-0.30290000000000106</v>
      </c>
    </row>
    <row r="819" spans="1:10" ht="14.25" customHeight="1" x14ac:dyDescent="0.25">
      <c r="A819" s="1">
        <v>2451732.8086199998</v>
      </c>
      <c r="B819" s="1" t="s">
        <v>1177</v>
      </c>
      <c r="C819" s="1">
        <v>8.6208329999999993</v>
      </c>
      <c r="D819" s="1"/>
      <c r="E819">
        <f>(A819-m_phot!L$4)/m_phot!L$5-INT((A819-m_phot!L$4)/m_phot!L$5)</f>
        <v>0.5741685486831507</v>
      </c>
      <c r="F819">
        <f t="shared" si="20"/>
        <v>8.6208329999999993</v>
      </c>
      <c r="H819" t="str">
        <f>IF(E819&lt;0.05,INT(($A819-m_phot!$L$4)/m_phot!$L$5),"")</f>
        <v/>
      </c>
      <c r="I819" t="str">
        <f t="shared" si="22"/>
        <v/>
      </c>
      <c r="J819">
        <f t="shared" si="21"/>
        <v>-0.31166700000000169</v>
      </c>
    </row>
    <row r="820" spans="1:10" ht="14.25" customHeight="1" x14ac:dyDescent="0.25">
      <c r="A820" s="1">
        <v>2451750.1269499999</v>
      </c>
      <c r="B820" s="1" t="s">
        <v>1178</v>
      </c>
      <c r="C820" s="1">
        <v>8.5906120000000001</v>
      </c>
      <c r="D820" s="1"/>
      <c r="E820">
        <f>(A820-m_phot!L$4)/m_phot!L$5-INT((A820-m_phot!L$4)/m_phot!L$5)</f>
        <v>0.59537899571334663</v>
      </c>
      <c r="F820">
        <f t="shared" si="20"/>
        <v>8.5906120000000001</v>
      </c>
      <c r="H820" t="str">
        <f>IF(E820&lt;0.05,INT(($A820-m_phot!$L$4)/m_phot!$L$5),"")</f>
        <v/>
      </c>
      <c r="I820" t="str">
        <f t="shared" si="22"/>
        <v/>
      </c>
      <c r="J820">
        <f t="shared" si="21"/>
        <v>-0.34188800000000086</v>
      </c>
    </row>
    <row r="821" spans="1:10" ht="14.25" customHeight="1" x14ac:dyDescent="0.25">
      <c r="A821" s="1">
        <v>2451764.0883300002</v>
      </c>
      <c r="B821" s="1" t="s">
        <v>1179</v>
      </c>
      <c r="C821" s="1">
        <v>8.6089470000000006</v>
      </c>
      <c r="D821" s="1"/>
      <c r="E821">
        <f>(A821-m_phot!L$4)/m_phot!L$5-INT((A821-m_phot!L$4)/m_phot!L$5)</f>
        <v>0.61247805266402011</v>
      </c>
      <c r="F821">
        <f t="shared" si="20"/>
        <v>8.6089470000000006</v>
      </c>
      <c r="H821" t="str">
        <f>IF(E821&lt;0.05,INT(($A821-m_phot!$L$4)/m_phot!$L$5),"")</f>
        <v/>
      </c>
      <c r="I821" t="str">
        <f t="shared" si="22"/>
        <v/>
      </c>
      <c r="J821">
        <f t="shared" si="21"/>
        <v>-0.32355300000000042</v>
      </c>
    </row>
    <row r="822" spans="1:10" ht="14.25" customHeight="1" x14ac:dyDescent="0.25">
      <c r="A822" s="1">
        <v>2451780.6009399998</v>
      </c>
      <c r="B822" s="1" t="s">
        <v>1180</v>
      </c>
      <c r="C822" s="1">
        <v>8.6491009999999999</v>
      </c>
      <c r="D822" s="1"/>
      <c r="E822">
        <f>(A822-m_phot!L$4)/m_phot!L$5-INT((A822-m_phot!L$4)/m_phot!L$5)</f>
        <v>0.6327017023879975</v>
      </c>
      <c r="F822">
        <f t="shared" si="20"/>
        <v>8.6491009999999999</v>
      </c>
      <c r="H822" t="str">
        <f>IF(E822&lt;0.05,INT(($A822-m_phot!$L$4)/m_phot!$L$5),"")</f>
        <v/>
      </c>
      <c r="I822" t="str">
        <f t="shared" si="22"/>
        <v/>
      </c>
      <c r="J822">
        <f t="shared" si="21"/>
        <v>-0.28339900000000107</v>
      </c>
    </row>
    <row r="823" spans="1:10" ht="14.25" customHeight="1" x14ac:dyDescent="0.25">
      <c r="A823" s="1">
        <v>2451793.9924300001</v>
      </c>
      <c r="B823" s="1" t="s">
        <v>1181</v>
      </c>
      <c r="C823" s="1">
        <v>8.6929409999999994</v>
      </c>
      <c r="D823" s="1"/>
      <c r="E823">
        <f>(A823-m_phot!L$4)/m_phot!L$5-INT((A823-m_phot!L$4)/m_phot!L$5)</f>
        <v>0.64910279240673674</v>
      </c>
      <c r="F823">
        <f t="shared" si="20"/>
        <v>8.6929409999999994</v>
      </c>
      <c r="H823" t="str">
        <f>IF(E823&lt;0.05,INT(($A823-m_phot!$L$4)/m_phot!$L$5),"")</f>
        <v/>
      </c>
      <c r="I823" t="str">
        <f t="shared" si="22"/>
        <v/>
      </c>
      <c r="J823">
        <f t="shared" si="21"/>
        <v>-0.23955900000000163</v>
      </c>
    </row>
    <row r="824" spans="1:10" ht="14.25" customHeight="1" x14ac:dyDescent="0.25">
      <c r="A824" s="1">
        <v>2451812.71894</v>
      </c>
      <c r="B824" s="1" t="s">
        <v>1182</v>
      </c>
      <c r="C824" s="1">
        <v>8.7008969999999994</v>
      </c>
      <c r="D824" s="1"/>
      <c r="E824">
        <f>(A824-m_phot!L$4)/m_phot!L$5-INT((A824-m_phot!L$4)/m_phot!L$5)</f>
        <v>0.6720378934477047</v>
      </c>
      <c r="F824">
        <f t="shared" si="20"/>
        <v>8.7008969999999994</v>
      </c>
      <c r="H824" t="str">
        <f>IF(E824&lt;0.05,INT(($A824-m_phot!$L$4)/m_phot!$L$5),"")</f>
        <v/>
      </c>
      <c r="I824" t="str">
        <f t="shared" si="22"/>
        <v/>
      </c>
      <c r="J824">
        <f t="shared" si="21"/>
        <v>-0.23160300000000156</v>
      </c>
    </row>
    <row r="825" spans="1:10" ht="14.25" customHeight="1" x14ac:dyDescent="0.25">
      <c r="A825" s="1">
        <v>2451826.8459700001</v>
      </c>
      <c r="B825" s="1" t="s">
        <v>1183</v>
      </c>
      <c r="C825" s="1">
        <v>8.6833329999999993</v>
      </c>
      <c r="D825" s="1"/>
      <c r="E825">
        <f>(A825-m_phot!L$4)/m_phot!L$5-INT((A825-m_phot!L$4)/m_phot!L$5)</f>
        <v>0.6893398285366068</v>
      </c>
      <c r="F825">
        <f t="shared" si="20"/>
        <v>8.6833329999999993</v>
      </c>
      <c r="H825" t="str">
        <f>IF(E825&lt;0.05,INT(($A825-m_phot!$L$4)/m_phot!$L$5),"")</f>
        <v/>
      </c>
      <c r="I825" t="str">
        <f t="shared" si="22"/>
        <v/>
      </c>
      <c r="J825">
        <f t="shared" si="21"/>
        <v>-0.24916700000000169</v>
      </c>
    </row>
    <row r="826" spans="1:10" ht="14.25" customHeight="1" x14ac:dyDescent="0.25">
      <c r="A826" s="1">
        <v>2451841.6716800001</v>
      </c>
      <c r="B826" s="1" t="s">
        <v>1184</v>
      </c>
      <c r="C826" s="1">
        <v>8.6970969999999994</v>
      </c>
      <c r="D826" s="1"/>
      <c r="E826">
        <f>(A826-m_phot!L$4)/m_phot!L$5-INT((A826-m_phot!L$4)/m_phot!L$5)</f>
        <v>0.7074974647889114</v>
      </c>
      <c r="F826">
        <f t="shared" si="20"/>
        <v>8.6970969999999994</v>
      </c>
      <c r="H826" t="str">
        <f>IF(E826&lt;0.05,INT(($A826-m_phot!$L$4)/m_phot!$L$5),"")</f>
        <v/>
      </c>
      <c r="I826" t="str">
        <f t="shared" si="22"/>
        <v/>
      </c>
      <c r="J826">
        <f t="shared" si="21"/>
        <v>-0.23540300000000158</v>
      </c>
    </row>
    <row r="827" spans="1:10" ht="14.25" customHeight="1" x14ac:dyDescent="0.25">
      <c r="A827" s="1">
        <v>2451855.9447300001</v>
      </c>
      <c r="B827" s="1" t="s">
        <v>1185</v>
      </c>
      <c r="C827" s="1">
        <v>8.6984910000000006</v>
      </c>
      <c r="D827" s="1"/>
      <c r="E827">
        <f>(A827-m_phot!L$4)/m_phot!L$5-INT((A827-m_phot!L$4)/m_phot!L$5)</f>
        <v>0.72497823637489844</v>
      </c>
      <c r="F827">
        <f t="shared" si="20"/>
        <v>8.6984910000000006</v>
      </c>
      <c r="H827" t="str">
        <f>IF(E827&lt;0.05,INT(($A827-m_phot!$L$4)/m_phot!$L$5),"")</f>
        <v/>
      </c>
      <c r="I827" t="str">
        <f t="shared" si="22"/>
        <v/>
      </c>
      <c r="J827">
        <f t="shared" si="21"/>
        <v>-0.23400900000000036</v>
      </c>
    </row>
    <row r="828" spans="1:10" ht="14.25" customHeight="1" x14ac:dyDescent="0.25">
      <c r="A828" s="1">
        <v>2451872.3424800001</v>
      </c>
      <c r="B828" s="1" t="s">
        <v>1186</v>
      </c>
      <c r="C828" s="1">
        <v>8.7057140000000004</v>
      </c>
      <c r="D828" s="1"/>
      <c r="E828">
        <f>(A828-m_phot!L$4)/m_phot!L$5-INT((A828-m_phot!L$4)/m_phot!L$5)</f>
        <v>0.7450612124924767</v>
      </c>
      <c r="F828">
        <f t="shared" si="20"/>
        <v>8.7057140000000004</v>
      </c>
      <c r="H828" t="str">
        <f>IF(E828&lt;0.05,INT(($A828-m_phot!$L$4)/m_phot!$L$5),"")</f>
        <v/>
      </c>
      <c r="I828" t="str">
        <f t="shared" si="22"/>
        <v/>
      </c>
      <c r="J828">
        <f t="shared" si="21"/>
        <v>-0.2267860000000006</v>
      </c>
    </row>
    <row r="829" spans="1:10" ht="14.25" customHeight="1" x14ac:dyDescent="0.25">
      <c r="A829" s="1">
        <v>2451887.9356900002</v>
      </c>
      <c r="B829" s="1" t="s">
        <v>1187</v>
      </c>
      <c r="C829" s="1">
        <v>8.7447060000000008</v>
      </c>
      <c r="D829" s="1"/>
      <c r="E829">
        <f>(A829-m_phot!L$4)/m_phot!L$5-INT((A829-m_phot!L$4)/m_phot!L$5)</f>
        <v>0.76415883649747585</v>
      </c>
      <c r="F829">
        <f t="shared" si="20"/>
        <v>8.7447060000000008</v>
      </c>
      <c r="H829" t="str">
        <f>IF(E829&lt;0.05,INT(($A829-m_phot!$L$4)/m_phot!$L$5),"")</f>
        <v/>
      </c>
      <c r="I829" t="str">
        <f t="shared" si="22"/>
        <v/>
      </c>
      <c r="J829">
        <f t="shared" si="21"/>
        <v>-0.18779400000000024</v>
      </c>
    </row>
    <row r="830" spans="1:10" ht="14.25" customHeight="1" x14ac:dyDescent="0.25">
      <c r="A830" s="1">
        <v>2451903.77153</v>
      </c>
      <c r="B830" s="1" t="s">
        <v>1188</v>
      </c>
      <c r="C830" s="1">
        <v>8.7617860000000007</v>
      </c>
      <c r="D830" s="1"/>
      <c r="E830">
        <f>(A830-m_phot!L$4)/m_phot!L$5-INT((A830-m_phot!L$4)/m_phot!L$5)</f>
        <v>0.7835536191059731</v>
      </c>
      <c r="F830">
        <f t="shared" si="20"/>
        <v>8.7617860000000007</v>
      </c>
      <c r="H830" t="str">
        <f>IF(E830&lt;0.05,INT(($A830-m_phot!$L$4)/m_phot!$L$5),"")</f>
        <v/>
      </c>
      <c r="I830" t="str">
        <f t="shared" si="22"/>
        <v/>
      </c>
      <c r="J830">
        <f t="shared" si="21"/>
        <v>-0.17071400000000025</v>
      </c>
    </row>
    <row r="831" spans="1:10" ht="14.25" customHeight="1" x14ac:dyDescent="0.25">
      <c r="A831" s="1">
        <v>2451921.2398999999</v>
      </c>
      <c r="B831" s="1" t="s">
        <v>1189</v>
      </c>
      <c r="C831" s="1">
        <v>8.7575000000000003</v>
      </c>
      <c r="D831" s="1"/>
      <c r="E831">
        <f>(A831-m_phot!L$4)/m_phot!L$5-INT((A831-m_phot!L$4)/m_phot!L$5)</f>
        <v>0.80494782608686677</v>
      </c>
      <c r="F831">
        <f t="shared" si="20"/>
        <v>8.7575000000000003</v>
      </c>
      <c r="H831" t="str">
        <f>IF(E831&lt;0.05,INT(($A831-m_phot!$L$4)/m_phot!$L$5),"")</f>
        <v/>
      </c>
      <c r="I831" t="str">
        <f t="shared" si="22"/>
        <v/>
      </c>
      <c r="J831">
        <f t="shared" si="21"/>
        <v>-0.17500000000000071</v>
      </c>
    </row>
    <row r="832" spans="1:10" ht="14.25" customHeight="1" x14ac:dyDescent="0.25">
      <c r="A832" s="1">
        <v>2451932.9816999999</v>
      </c>
      <c r="B832" s="1" t="s">
        <v>1190</v>
      </c>
      <c r="C832" s="1">
        <v>8.6666670000000003</v>
      </c>
      <c r="D832" s="1"/>
      <c r="E832">
        <f>(A832-m_phot!L$4)/m_phot!L$5-INT((A832-m_phot!L$4)/m_phot!L$5)</f>
        <v>0.81932847519888341</v>
      </c>
      <c r="F832">
        <f t="shared" si="20"/>
        <v>8.6666670000000003</v>
      </c>
      <c r="H832" t="str">
        <f>IF(E832&lt;0.05,INT(($A832-m_phot!$L$4)/m_phot!$L$5),"")</f>
        <v/>
      </c>
      <c r="I832" t="str">
        <f t="shared" si="22"/>
        <v/>
      </c>
      <c r="J832">
        <f t="shared" si="21"/>
        <v>-0.26583300000000065</v>
      </c>
    </row>
    <row r="833" spans="1:10" ht="14.25" customHeight="1" x14ac:dyDescent="0.25">
      <c r="A833" s="1">
        <v>2452005.6375000002</v>
      </c>
      <c r="B833" s="1" t="s">
        <v>1191</v>
      </c>
      <c r="C833" s="1">
        <v>9</v>
      </c>
      <c r="D833" s="1"/>
      <c r="E833">
        <f>(A833-m_phot!L$4)/m_phot!L$5-INT((A833-m_phot!L$4)/m_phot!L$5)</f>
        <v>0.90831292100451577</v>
      </c>
      <c r="F833">
        <f t="shared" si="20"/>
        <v>9</v>
      </c>
      <c r="H833" t="str">
        <f>IF(E833&lt;0.05,INT(($A833-m_phot!$L$4)/m_phot!$L$5),"")</f>
        <v/>
      </c>
      <c r="I833" t="str">
        <f t="shared" si="22"/>
        <v/>
      </c>
      <c r="J833">
        <f t="shared" si="21"/>
        <v>6.7499999999999005E-2</v>
      </c>
    </row>
    <row r="834" spans="1:10" ht="14.25" customHeight="1" x14ac:dyDescent="0.25">
      <c r="A834" s="1">
        <v>2452027.3088000002</v>
      </c>
      <c r="B834" s="1" t="s">
        <v>1192</v>
      </c>
      <c r="C834" s="1">
        <v>8.9733330000000002</v>
      </c>
      <c r="D834" s="1"/>
      <c r="E834">
        <f>(A834-m_phot!L$4)/m_phot!L$5-INT((A834-m_phot!L$4)/m_phot!L$5)</f>
        <v>0.93485462339281256</v>
      </c>
      <c r="F834">
        <f t="shared" si="20"/>
        <v>8.9733330000000002</v>
      </c>
      <c r="H834" t="str">
        <f>IF(E834&lt;0.05,INT(($A834-m_phot!$L$4)/m_phot!$L$5),"")</f>
        <v/>
      </c>
      <c r="I834" t="str">
        <f t="shared" si="22"/>
        <v/>
      </c>
      <c r="J834">
        <f t="shared" si="21"/>
        <v>4.0832999999999231E-2</v>
      </c>
    </row>
    <row r="835" spans="1:10" ht="14.25" customHeight="1" x14ac:dyDescent="0.25">
      <c r="A835" s="1">
        <v>2452044.6620299998</v>
      </c>
      <c r="B835" s="1" t="s">
        <v>1193</v>
      </c>
      <c r="C835" s="1">
        <v>8.9124999999999996</v>
      </c>
      <c r="D835" s="1"/>
      <c r="E835">
        <f>(A835-m_phot!L$4)/m_phot!L$5-INT((A835-m_phot!L$4)/m_phot!L$5)</f>
        <v>0.95610781383928156</v>
      </c>
      <c r="F835">
        <f t="shared" si="20"/>
        <v>8.9124999999999996</v>
      </c>
      <c r="H835" t="str">
        <f>IF(E835&lt;0.05,INT(($A835-m_phot!$L$4)/m_phot!$L$5),"")</f>
        <v/>
      </c>
      <c r="I835" t="str">
        <f t="shared" si="22"/>
        <v/>
      </c>
      <c r="J835">
        <f t="shared" si="21"/>
        <v>-2.000000000000135E-2</v>
      </c>
    </row>
    <row r="836" spans="1:10" ht="14.25" customHeight="1" x14ac:dyDescent="0.25">
      <c r="A836" s="1">
        <v>2452055.5617</v>
      </c>
      <c r="B836" s="1" t="s">
        <v>1194</v>
      </c>
      <c r="C836" s="1">
        <v>8.7956520000000005</v>
      </c>
      <c r="D836" s="1"/>
      <c r="E836">
        <f>(A836-m_phot!L$4)/m_phot!L$5-INT((A836-m_phot!L$4)/m_phot!L$5)</f>
        <v>0.96945707287196825</v>
      </c>
      <c r="F836">
        <f t="shared" si="20"/>
        <v>8.7956520000000005</v>
      </c>
      <c r="H836" t="str">
        <f>IF(E836&lt;0.05,INT(($A836-m_phot!$L$4)/m_phot!$L$5),"")</f>
        <v/>
      </c>
      <c r="I836" t="str">
        <f t="shared" si="22"/>
        <v/>
      </c>
      <c r="J836">
        <f t="shared" si="21"/>
        <v>-0.13684800000000052</v>
      </c>
    </row>
    <row r="837" spans="1:10" ht="14.25" customHeight="1" x14ac:dyDescent="0.25">
      <c r="A837" s="1">
        <v>2452077.07675</v>
      </c>
      <c r="B837" s="1" t="s">
        <v>1195</v>
      </c>
      <c r="C837" s="1">
        <v>8.8227270000000004</v>
      </c>
      <c r="D837" s="1"/>
      <c r="E837">
        <f>(A837-m_phot!L$4)/m_phot!L$5-INT((A837-m_phot!L$4)/m_phot!L$5)</f>
        <v>0.99580740967545367</v>
      </c>
      <c r="F837">
        <f t="shared" si="20"/>
        <v>8.8227270000000004</v>
      </c>
      <c r="H837" t="str">
        <f>IF(E837&lt;0.05,INT(($A837-m_phot!$L$4)/m_phot!$L$5),"")</f>
        <v/>
      </c>
      <c r="I837" t="str">
        <f t="shared" si="22"/>
        <v/>
      </c>
      <c r="J837">
        <f t="shared" si="21"/>
        <v>-0.10977300000000056</v>
      </c>
    </row>
    <row r="838" spans="1:10" ht="14.25" customHeight="1" x14ac:dyDescent="0.25">
      <c r="A838" s="1">
        <v>2452090.09919</v>
      </c>
      <c r="B838" s="1" t="s">
        <v>1196</v>
      </c>
      <c r="C838" s="1">
        <v>8.7933330000000005</v>
      </c>
      <c r="D838" s="1"/>
      <c r="E838">
        <f>(A838-m_phot!L$4)/m_phot!L$5-INT((A838-m_phot!L$4)/m_phot!L$5)</f>
        <v>1.175650949170759E-2</v>
      </c>
      <c r="F838">
        <f t="shared" si="20"/>
        <v>8.7933330000000005</v>
      </c>
      <c r="H838">
        <f>IF(E838&lt;0.05,INT(($A838-m_phot!$L$4)/m_phot!$L$5),"")</f>
        <v>25</v>
      </c>
      <c r="I838">
        <f t="shared" si="22"/>
        <v>8.7890395000000012</v>
      </c>
      <c r="J838">
        <f>+C838-I$838</f>
        <v>4.293499999999284E-3</v>
      </c>
    </row>
    <row r="839" spans="1:10" ht="14.25" customHeight="1" x14ac:dyDescent="0.25">
      <c r="A839" s="1">
        <v>2452106.7995500001</v>
      </c>
      <c r="B839" s="1" t="s">
        <v>1197</v>
      </c>
      <c r="C839" s="1">
        <v>8.7847460000000002</v>
      </c>
      <c r="D839" s="1"/>
      <c r="E839">
        <f>(A839-m_phot!L$4)/m_phot!L$5-INT((A839-m_phot!L$4)/m_phot!L$5)</f>
        <v>3.2210104103015169E-2</v>
      </c>
      <c r="F839">
        <f t="shared" si="20"/>
        <v>8.7847460000000002</v>
      </c>
      <c r="H839">
        <f>IF(E839&lt;0.05,INT(($A839-m_phot!$L$4)/m_phot!$L$5),"")</f>
        <v>25</v>
      </c>
      <c r="I839">
        <f t="shared" si="22"/>
        <v>8.8033900000000003</v>
      </c>
      <c r="J839">
        <f t="shared" ref="J839:J883" si="23">+C839-I$838</f>
        <v>-4.2935000000010604E-3</v>
      </c>
    </row>
    <row r="840" spans="1:10" ht="14.25" customHeight="1" x14ac:dyDescent="0.25">
      <c r="A840" s="1">
        <v>2452120.8508899999</v>
      </c>
      <c r="B840" s="1" t="s">
        <v>1198</v>
      </c>
      <c r="C840" s="1">
        <v>8.8220340000000004</v>
      </c>
      <c r="D840" s="1"/>
      <c r="E840">
        <f>(A840-m_phot!L$4)/m_phot!L$5-INT((A840-m_phot!L$4)/m_phot!L$5)</f>
        <v>4.9419338640397825E-2</v>
      </c>
      <c r="F840">
        <f t="shared" si="20"/>
        <v>8.8220340000000004</v>
      </c>
      <c r="H840">
        <f>IF(E840&lt;0.05,INT(($A840-m_phot!$L$4)/m_phot!$L$5),"")</f>
        <v>25</v>
      </c>
      <c r="I840">
        <f t="shared" si="22"/>
        <v>8.8143954999999998</v>
      </c>
      <c r="J840">
        <f t="shared" si="23"/>
        <v>3.299449999999915E-2</v>
      </c>
    </row>
    <row r="841" spans="1:10" ht="14.25" customHeight="1" x14ac:dyDescent="0.25">
      <c r="A841" s="1">
        <v>2452137.4408399998</v>
      </c>
      <c r="B841" s="1" t="s">
        <v>1199</v>
      </c>
      <c r="C841" s="1">
        <v>8.8067569999999993</v>
      </c>
      <c r="D841" s="1"/>
      <c r="E841">
        <f>(A841-m_phot!L$4)/m_phot!L$5-INT((A841-m_phot!L$4)/m_phot!L$5)</f>
        <v>6.9737709736461539E-2</v>
      </c>
      <c r="F841">
        <f t="shared" si="20"/>
        <v>8.8067569999999993</v>
      </c>
      <c r="H841" t="str">
        <f>IF(E841&lt;0.05,INT(($A841-m_phot!$L$4)/m_phot!$L$5),"")</f>
        <v/>
      </c>
      <c r="I841" t="str">
        <f t="shared" si="22"/>
        <v/>
      </c>
      <c r="J841">
        <f t="shared" si="23"/>
        <v>1.7717499999998054E-2</v>
      </c>
    </row>
    <row r="842" spans="1:10" ht="14.25" customHeight="1" x14ac:dyDescent="0.25">
      <c r="A842" s="1">
        <v>2452150.8676</v>
      </c>
      <c r="B842" s="1" t="s">
        <v>1200</v>
      </c>
      <c r="C842" s="1">
        <v>8.7754100000000008</v>
      </c>
      <c r="D842" s="1"/>
      <c r="E842">
        <f>(A842-m_phot!L$4)/m_phot!L$5-INT((A842-m_phot!L$4)/m_phot!L$5)</f>
        <v>8.6181996325777277E-2</v>
      </c>
      <c r="F842">
        <f t="shared" si="20"/>
        <v>8.7754100000000008</v>
      </c>
      <c r="H842" t="str">
        <f>IF(E842&lt;0.05,INT(($A842-m_phot!$L$4)/m_phot!$L$5),"")</f>
        <v/>
      </c>
      <c r="I842" t="str">
        <f t="shared" si="22"/>
        <v/>
      </c>
      <c r="J842">
        <f t="shared" si="23"/>
        <v>-1.3629500000000405E-2</v>
      </c>
    </row>
    <row r="843" spans="1:10" ht="14.25" customHeight="1" x14ac:dyDescent="0.25">
      <c r="A843" s="1">
        <v>2452168.6887699999</v>
      </c>
      <c r="B843" s="1" t="s">
        <v>1201</v>
      </c>
      <c r="C843" s="1">
        <v>8.7462689999999998</v>
      </c>
      <c r="D843" s="1"/>
      <c r="E843">
        <f>(A843-m_phot!L$4)/m_phot!L$5-INT((A843-m_phot!L$4)/m_phot!L$5)</f>
        <v>0.10800829148792701</v>
      </c>
      <c r="F843">
        <f t="shared" si="20"/>
        <v>8.7462689999999998</v>
      </c>
      <c r="H843" t="str">
        <f>IF(E843&lt;0.05,INT(($A843-m_phot!$L$4)/m_phot!$L$5),"")</f>
        <v/>
      </c>
      <c r="I843" t="str">
        <f t="shared" si="22"/>
        <v/>
      </c>
      <c r="J843">
        <f t="shared" si="23"/>
        <v>-4.2770500000001377E-2</v>
      </c>
    </row>
    <row r="844" spans="1:10" ht="14.25" customHeight="1" x14ac:dyDescent="0.25">
      <c r="A844" s="1">
        <v>2452185.6559100002</v>
      </c>
      <c r="B844" s="1" t="s">
        <v>1202</v>
      </c>
      <c r="C844" s="1">
        <v>8.782</v>
      </c>
      <c r="D844" s="1"/>
      <c r="E844">
        <f>(A844-m_phot!L$4)/m_phot!L$5-INT((A844-m_phot!L$4)/m_phot!L$5)</f>
        <v>0.12878862216804166</v>
      </c>
      <c r="F844">
        <f t="shared" si="20"/>
        <v>8.782</v>
      </c>
      <c r="H844" t="str">
        <f>IF(E844&lt;0.05,INT(($A844-m_phot!$L$4)/m_phot!$L$5),"")</f>
        <v/>
      </c>
      <c r="I844" t="str">
        <f t="shared" si="22"/>
        <v/>
      </c>
      <c r="J844">
        <f t="shared" si="23"/>
        <v>-7.0395000000011976E-3</v>
      </c>
    </row>
    <row r="845" spans="1:10" ht="14.25" customHeight="1" x14ac:dyDescent="0.25">
      <c r="A845" s="1">
        <v>2452197.31446</v>
      </c>
      <c r="B845" s="1" t="s">
        <v>1203</v>
      </c>
      <c r="C845" s="1">
        <v>8.7569890000000008</v>
      </c>
      <c r="D845" s="1"/>
      <c r="E845">
        <f>(A845-m_phot!L$4)/m_phot!L$5-INT((A845-m_phot!L$4)/m_phot!L$5)</f>
        <v>0.14306731169629217</v>
      </c>
      <c r="F845">
        <f t="shared" si="20"/>
        <v>8.7569890000000008</v>
      </c>
      <c r="H845" t="str">
        <f>IF(E845&lt;0.05,INT(($A845-m_phot!$L$4)/m_phot!$L$5),"")</f>
        <v/>
      </c>
      <c r="I845" t="str">
        <f t="shared" si="22"/>
        <v/>
      </c>
      <c r="J845">
        <f t="shared" si="23"/>
        <v>-3.2050500000000426E-2</v>
      </c>
    </row>
    <row r="846" spans="1:10" ht="14.25" customHeight="1" x14ac:dyDescent="0.25">
      <c r="A846" s="1">
        <v>2452213.9528399999</v>
      </c>
      <c r="B846" s="1" t="s">
        <v>1204</v>
      </c>
      <c r="C846" s="1">
        <v>8.7160709999999995</v>
      </c>
      <c r="D846" s="1"/>
      <c r="E846">
        <f>(A846-m_phot!L$4)/m_phot!L$5-INT((A846-m_phot!L$4)/m_phot!L$5)</f>
        <v>0.16344499693805759</v>
      </c>
      <c r="F846">
        <f t="shared" si="20"/>
        <v>8.7160709999999995</v>
      </c>
      <c r="H846" t="str">
        <f>IF(E846&lt;0.05,INT(($A846-m_phot!$L$4)/m_phot!$L$5),"")</f>
        <v/>
      </c>
      <c r="I846" t="str">
        <f t="shared" si="22"/>
        <v/>
      </c>
      <c r="J846">
        <f t="shared" si="23"/>
        <v>-7.2968500000001768E-2</v>
      </c>
    </row>
    <row r="847" spans="1:10" ht="14.25" customHeight="1" x14ac:dyDescent="0.25">
      <c r="A847" s="1">
        <v>2452227.9410799998</v>
      </c>
      <c r="B847" s="1" t="s">
        <v>1205</v>
      </c>
      <c r="C847" s="1">
        <v>8.7038460000000004</v>
      </c>
      <c r="D847" s="1"/>
      <c r="E847">
        <f>(A847-m_phot!L$4)/m_phot!L$5-INT((A847-m_phot!L$4)/m_phot!L$5)</f>
        <v>0.18057695039777855</v>
      </c>
      <c r="F847">
        <f t="shared" si="20"/>
        <v>8.7038460000000004</v>
      </c>
      <c r="H847" t="str">
        <f>IF(E847&lt;0.05,INT(($A847-m_phot!$L$4)/m_phot!$L$5),"")</f>
        <v/>
      </c>
      <c r="I847" t="str">
        <f t="shared" si="22"/>
        <v/>
      </c>
      <c r="J847">
        <f t="shared" si="23"/>
        <v>-8.519350000000081E-2</v>
      </c>
    </row>
    <row r="848" spans="1:10" ht="14.25" customHeight="1" x14ac:dyDescent="0.25">
      <c r="A848" s="1">
        <v>2452245.6342799999</v>
      </c>
      <c r="B848" s="1" t="s">
        <v>1206</v>
      </c>
      <c r="C848" s="1">
        <v>8.6702700000000004</v>
      </c>
      <c r="D848" s="1"/>
      <c r="E848">
        <f>(A848-m_phot!L$4)/m_phot!L$5-INT((A848-m_phot!L$4)/m_phot!L$5)</f>
        <v>0.20224651561528617</v>
      </c>
      <c r="F848">
        <f t="shared" si="20"/>
        <v>8.6702700000000004</v>
      </c>
      <c r="H848" t="str">
        <f>IF(E848&lt;0.05,INT(($A848-m_phot!$L$4)/m_phot!$L$5),"")</f>
        <v/>
      </c>
      <c r="I848" t="str">
        <f t="shared" si="22"/>
        <v/>
      </c>
      <c r="J848">
        <f t="shared" si="23"/>
        <v>-0.11876950000000086</v>
      </c>
    </row>
    <row r="849" spans="1:10" ht="14.25" customHeight="1" x14ac:dyDescent="0.25">
      <c r="A849" s="1">
        <v>2452258.07944</v>
      </c>
      <c r="B849" s="1" t="s">
        <v>1207</v>
      </c>
      <c r="C849" s="1">
        <v>8.6566039999999997</v>
      </c>
      <c r="D849" s="1"/>
      <c r="E849">
        <f>(A849-m_phot!L$4)/m_phot!L$5-INT((A849-m_phot!L$4)/m_phot!L$5)</f>
        <v>0.21748859767299678</v>
      </c>
      <c r="F849">
        <f t="shared" si="20"/>
        <v>8.6566039999999997</v>
      </c>
      <c r="H849" t="str">
        <f>IF(E849&lt;0.05,INT(($A849-m_phot!$L$4)/m_phot!$L$5),"")</f>
        <v/>
      </c>
      <c r="I849" t="str">
        <f t="shared" si="22"/>
        <v/>
      </c>
      <c r="J849">
        <f t="shared" si="23"/>
        <v>-0.13243550000000148</v>
      </c>
    </row>
    <row r="850" spans="1:10" ht="14.25" customHeight="1" x14ac:dyDescent="0.25">
      <c r="A850" s="1">
        <v>2452276.0560400002</v>
      </c>
      <c r="B850" s="1" t="s">
        <v>1208</v>
      </c>
      <c r="C850" s="1">
        <v>8.6219999999999999</v>
      </c>
      <c r="D850" s="1"/>
      <c r="E850">
        <f>(A850-m_phot!L$4)/m_phot!L$5-INT((A850-m_phot!L$4)/m_phot!L$5)</f>
        <v>0.23950525413370372</v>
      </c>
      <c r="F850">
        <f t="shared" si="20"/>
        <v>8.6219999999999999</v>
      </c>
      <c r="H850" t="str">
        <f>IF(E850&lt;0.05,INT(($A850-m_phot!$L$4)/m_phot!$L$5),"")</f>
        <v/>
      </c>
      <c r="I850" t="str">
        <f t="shared" si="22"/>
        <v/>
      </c>
      <c r="J850">
        <f t="shared" si="23"/>
        <v>-0.16703950000000134</v>
      </c>
    </row>
    <row r="851" spans="1:10" ht="14.25" customHeight="1" x14ac:dyDescent="0.25">
      <c r="A851" s="1">
        <v>2452289.01627</v>
      </c>
      <c r="B851" s="1" t="s">
        <v>1209</v>
      </c>
      <c r="C851" s="1">
        <v>8.635294</v>
      </c>
      <c r="D851" s="1"/>
      <c r="E851">
        <f>(A851-m_phot!L$4)/m_phot!L$5-INT((A851-m_phot!L$4)/m_phot!L$5)</f>
        <v>0.2553781628904126</v>
      </c>
      <c r="F851">
        <f t="shared" si="20"/>
        <v>8.635294</v>
      </c>
      <c r="H851" t="str">
        <f>IF(E851&lt;0.05,INT(($A851-m_phot!$L$4)/m_phot!$L$5),"")</f>
        <v/>
      </c>
      <c r="I851" t="str">
        <f t="shared" si="22"/>
        <v/>
      </c>
      <c r="J851">
        <f t="shared" si="23"/>
        <v>-0.1537455000000012</v>
      </c>
    </row>
    <row r="852" spans="1:10" ht="14.25" customHeight="1" x14ac:dyDescent="0.25">
      <c r="A852" s="1">
        <v>2452305.9918800001</v>
      </c>
      <c r="B852" s="1" t="s">
        <v>1210</v>
      </c>
      <c r="C852" s="1">
        <v>8.6999999999999993</v>
      </c>
      <c r="D852" s="1"/>
      <c r="E852">
        <f>(A852-m_phot!L$4)/m_phot!L$5-INT((A852-m_phot!L$4)/m_phot!L$5)</f>
        <v>0.27616886711586375</v>
      </c>
      <c r="F852">
        <f t="shared" si="20"/>
        <v>8.6999999999999993</v>
      </c>
      <c r="H852" t="str">
        <f>IF(E852&lt;0.05,INT(($A852-m_phot!$L$4)/m_phot!$L$5),"")</f>
        <v/>
      </c>
      <c r="I852" t="str">
        <f t="shared" si="22"/>
        <v/>
      </c>
      <c r="J852">
        <f t="shared" si="23"/>
        <v>-8.9039500000001937E-2</v>
      </c>
    </row>
    <row r="853" spans="1:10" ht="14.25" customHeight="1" x14ac:dyDescent="0.25">
      <c r="A853" s="1">
        <v>2452343.6812999998</v>
      </c>
      <c r="B853" s="1" t="s">
        <v>1211</v>
      </c>
      <c r="C853" s="1">
        <v>8.6</v>
      </c>
      <c r="D853" s="1"/>
      <c r="E853">
        <f>(A853-m_phot!L$4)/m_phot!L$5-INT((A853-m_phot!L$4)/m_phot!L$5)</f>
        <v>0.32232859767277589</v>
      </c>
      <c r="F853">
        <f t="shared" si="20"/>
        <v>8.6</v>
      </c>
      <c r="H853" t="str">
        <f>IF(E853&lt;0.05,INT(($A853-m_phot!$L$4)/m_phot!$L$5),"")</f>
        <v/>
      </c>
      <c r="I853" t="str">
        <f t="shared" si="22"/>
        <v/>
      </c>
      <c r="J853">
        <f t="shared" si="23"/>
        <v>-0.18903950000000158</v>
      </c>
    </row>
    <row r="854" spans="1:10" ht="14.25" customHeight="1" x14ac:dyDescent="0.25">
      <c r="A854" s="1">
        <v>2452374.6352499998</v>
      </c>
      <c r="B854" s="1" t="s">
        <v>1212</v>
      </c>
      <c r="C854" s="1">
        <v>8.875</v>
      </c>
      <c r="D854" s="1"/>
      <c r="E854">
        <f>(A854-m_phot!L$4)/m_phot!L$5-INT((A854-m_phot!L$4)/m_phot!L$5)</f>
        <v>0.36023913043455735</v>
      </c>
      <c r="F854">
        <f t="shared" si="20"/>
        <v>8.875</v>
      </c>
      <c r="H854" t="str">
        <f>IF(E854&lt;0.05,INT(($A854-m_phot!$L$4)/m_phot!$L$5),"")</f>
        <v/>
      </c>
      <c r="I854" t="str">
        <f t="shared" si="22"/>
        <v/>
      </c>
      <c r="J854">
        <f t="shared" si="23"/>
        <v>8.5960499999998774E-2</v>
      </c>
    </row>
    <row r="855" spans="1:10" ht="14.25" customHeight="1" x14ac:dyDescent="0.25">
      <c r="A855" s="1">
        <v>2452397.5331999999</v>
      </c>
      <c r="B855" s="1" t="s">
        <v>1213</v>
      </c>
      <c r="C855" s="1">
        <v>8.7200000000000006</v>
      </c>
      <c r="D855" s="1"/>
      <c r="E855">
        <f>(A855-m_phot!L$4)/m_phot!L$5-INT((A855-m_phot!L$4)/m_phot!L$5)</f>
        <v>0.38828315982847172</v>
      </c>
      <c r="F855">
        <f t="shared" ref="F855:F918" si="24">+C855</f>
        <v>8.7200000000000006</v>
      </c>
      <c r="H855" t="str">
        <f>IF(E855&lt;0.05,INT(($A855-m_phot!$L$4)/m_phot!$L$5),"")</f>
        <v/>
      </c>
      <c r="I855" t="str">
        <f t="shared" si="22"/>
        <v/>
      </c>
      <c r="J855">
        <f t="shared" si="23"/>
        <v>-6.9039500000000587E-2</v>
      </c>
    </row>
    <row r="856" spans="1:10" ht="14.25" customHeight="1" x14ac:dyDescent="0.25">
      <c r="A856" s="1">
        <v>2452410.04483</v>
      </c>
      <c r="B856" s="1" t="s">
        <v>1214</v>
      </c>
      <c r="C856" s="1">
        <v>8.6999999999999993</v>
      </c>
      <c r="D856" s="1"/>
      <c r="E856">
        <f>(A856-m_phot!L$4)/m_phot!L$5-INT((A856-m_phot!L$4)/m_phot!L$5)</f>
        <v>0.40360665033683674</v>
      </c>
      <c r="F856">
        <f t="shared" si="24"/>
        <v>8.6999999999999993</v>
      </c>
      <c r="H856" t="str">
        <f>IF(E856&lt;0.05,INT(($A856-m_phot!$L$4)/m_phot!$L$5),"")</f>
        <v/>
      </c>
      <c r="I856" t="str">
        <f t="shared" si="22"/>
        <v/>
      </c>
      <c r="J856">
        <f t="shared" si="23"/>
        <v>-8.9039500000001937E-2</v>
      </c>
    </row>
    <row r="857" spans="1:10" ht="14.25" customHeight="1" x14ac:dyDescent="0.25">
      <c r="A857" s="1">
        <v>2452432.5962</v>
      </c>
      <c r="B857" s="1" t="s">
        <v>1215</v>
      </c>
      <c r="C857" s="1">
        <v>8.7349999999999994</v>
      </c>
      <c r="D857" s="1"/>
      <c r="E857">
        <f>(A857-m_phot!L$4)/m_phot!L$5-INT((A857-m_phot!L$4)/m_phot!L$5)</f>
        <v>0.43122620943053036</v>
      </c>
      <c r="F857">
        <f t="shared" si="24"/>
        <v>8.7349999999999994</v>
      </c>
      <c r="H857" t="str">
        <f>IF(E857&lt;0.05,INT(($A857-m_phot!$L$4)/m_phot!$L$5),"")</f>
        <v/>
      </c>
      <c r="I857" t="str">
        <f t="shared" si="22"/>
        <v/>
      </c>
      <c r="J857">
        <f t="shared" si="23"/>
        <v>-5.4039500000001794E-2</v>
      </c>
    </row>
    <row r="858" spans="1:10" ht="14.25" customHeight="1" x14ac:dyDescent="0.25">
      <c r="A858" s="1">
        <v>2452449.5035600001</v>
      </c>
      <c r="B858" s="1" t="s">
        <v>1216</v>
      </c>
      <c r="C858" s="1">
        <v>8.6392860000000002</v>
      </c>
      <c r="D858" s="1"/>
      <c r="E858">
        <f>(A858-m_phot!L$4)/m_phot!L$5-INT((A858-m_phot!L$4)/m_phot!L$5)</f>
        <v>0.4519333251685218</v>
      </c>
      <c r="F858">
        <f t="shared" si="24"/>
        <v>8.6392860000000002</v>
      </c>
      <c r="H858" t="str">
        <f>IF(E858&lt;0.05,INT(($A858-m_phot!$L$4)/m_phot!$L$5),"")</f>
        <v/>
      </c>
      <c r="I858" t="str">
        <f t="shared" si="22"/>
        <v/>
      </c>
      <c r="J858">
        <f t="shared" si="23"/>
        <v>-0.14975350000000098</v>
      </c>
    </row>
    <row r="859" spans="1:10" ht="14.25" customHeight="1" x14ac:dyDescent="0.25">
      <c r="A859" s="1">
        <v>2452465.90814</v>
      </c>
      <c r="B859" s="1" t="s">
        <v>1217</v>
      </c>
      <c r="C859" s="1">
        <v>8.6695650000000004</v>
      </c>
      <c r="D859" s="1"/>
      <c r="E859">
        <f>(A859-m_phot!L$4)/m_phot!L$5-INT((A859-m_phot!L$4)/m_phot!L$5)</f>
        <v>0.47202466625836692</v>
      </c>
      <c r="F859">
        <f t="shared" si="24"/>
        <v>8.6695650000000004</v>
      </c>
      <c r="H859" t="str">
        <f>IF(E859&lt;0.05,INT(($A859-m_phot!$L$4)/m_phot!$L$5),"")</f>
        <v/>
      </c>
      <c r="I859" t="str">
        <f t="shared" si="22"/>
        <v/>
      </c>
      <c r="J859">
        <f t="shared" si="23"/>
        <v>-0.11947450000000082</v>
      </c>
    </row>
    <row r="860" spans="1:10" ht="14.25" customHeight="1" x14ac:dyDescent="0.25">
      <c r="A860" s="1">
        <v>2452480.9405499999</v>
      </c>
      <c r="B860" s="1" t="s">
        <v>1218</v>
      </c>
      <c r="C860" s="1">
        <v>8.6709680000000002</v>
      </c>
      <c r="D860" s="1"/>
      <c r="E860">
        <f>(A860-m_phot!L$4)/m_phot!L$5-INT((A860-m_phot!L$4)/m_phot!L$5)</f>
        <v>0.4904354562154829</v>
      </c>
      <c r="F860">
        <f t="shared" si="24"/>
        <v>8.6709680000000002</v>
      </c>
      <c r="H860" t="str">
        <f>IF(E860&lt;0.05,INT(($A860-m_phot!$L$4)/m_phot!$L$5),"")</f>
        <v/>
      </c>
      <c r="I860" t="str">
        <f t="shared" si="22"/>
        <v/>
      </c>
      <c r="J860">
        <f t="shared" si="23"/>
        <v>-0.118071500000001</v>
      </c>
    </row>
    <row r="861" spans="1:10" ht="14.25" customHeight="1" x14ac:dyDescent="0.25">
      <c r="A861" s="1">
        <v>2452496.39751</v>
      </c>
      <c r="B861" s="1" t="s">
        <v>1219</v>
      </c>
      <c r="C861" s="1">
        <v>8.6552629999999997</v>
      </c>
      <c r="D861" s="1"/>
      <c r="E861">
        <f>(A861-m_phot!L$4)/m_phot!L$5-INT((A861-m_phot!L$4)/m_phot!L$5)</f>
        <v>0.50936620943054223</v>
      </c>
      <c r="F861">
        <f t="shared" si="24"/>
        <v>8.6552629999999997</v>
      </c>
      <c r="H861" t="str">
        <f>IF(E861&lt;0.05,INT(($A861-m_phot!$L$4)/m_phot!$L$5),"")</f>
        <v/>
      </c>
      <c r="I861" t="str">
        <f t="shared" si="22"/>
        <v/>
      </c>
      <c r="J861">
        <f t="shared" si="23"/>
        <v>-0.13377650000000152</v>
      </c>
    </row>
    <row r="862" spans="1:10" ht="14.25" customHeight="1" x14ac:dyDescent="0.25">
      <c r="A862" s="1">
        <v>2452510.7963299998</v>
      </c>
      <c r="B862" s="1" t="s">
        <v>1220</v>
      </c>
      <c r="C862" s="1">
        <v>8.6368419999999997</v>
      </c>
      <c r="D862" s="1"/>
      <c r="E862">
        <f>(A862-m_phot!L$4)/m_phot!L$5-INT((A862-m_phot!L$4)/m_phot!L$5)</f>
        <v>0.52700101653375242</v>
      </c>
      <c r="F862">
        <f t="shared" si="24"/>
        <v>8.6368419999999997</v>
      </c>
      <c r="H862" t="str">
        <f>IF(E862&lt;0.05,INT(($A862-m_phot!$L$4)/m_phot!$L$5),"")</f>
        <v/>
      </c>
      <c r="I862" t="str">
        <f t="shared" si="22"/>
        <v/>
      </c>
      <c r="J862">
        <f t="shared" si="23"/>
        <v>-0.15219750000000154</v>
      </c>
    </row>
    <row r="863" spans="1:10" ht="14.25" customHeight="1" x14ac:dyDescent="0.25">
      <c r="A863" s="1">
        <v>2452525.8389599998</v>
      </c>
      <c r="B863" s="1" t="s">
        <v>1221</v>
      </c>
      <c r="C863" s="1">
        <v>8.6567900000000009</v>
      </c>
      <c r="D863" s="1"/>
      <c r="E863">
        <f>(A863-m_phot!L$4)/m_phot!L$5-INT((A863-m_phot!L$4)/m_phot!L$5)</f>
        <v>0.54542432333110469</v>
      </c>
      <c r="F863">
        <f t="shared" si="24"/>
        <v>8.6567900000000009</v>
      </c>
      <c r="H863" t="str">
        <f>IF(E863&lt;0.05,INT(($A863-m_phot!$L$4)/m_phot!$L$5),"")</f>
        <v/>
      </c>
      <c r="I863" t="str">
        <f t="shared" si="22"/>
        <v/>
      </c>
      <c r="J863">
        <f t="shared" si="23"/>
        <v>-0.13224950000000035</v>
      </c>
    </row>
    <row r="864" spans="1:10" ht="14.25" customHeight="1" x14ac:dyDescent="0.25">
      <c r="A864" s="1">
        <v>2452543.4449300002</v>
      </c>
      <c r="B864" s="1" t="s">
        <v>1222</v>
      </c>
      <c r="C864" s="1">
        <v>8.6125000000000007</v>
      </c>
      <c r="D864" s="1"/>
      <c r="E864">
        <f>(A864-m_phot!L$4)/m_phot!L$5-INT((A864-m_phot!L$4)/m_phot!L$5)</f>
        <v>0.56698705450120102</v>
      </c>
      <c r="F864">
        <f t="shared" si="24"/>
        <v>8.6125000000000007</v>
      </c>
      <c r="H864" t="str">
        <f>IF(E864&lt;0.05,INT(($A864-m_phot!$L$4)/m_phot!$L$5),"")</f>
        <v/>
      </c>
      <c r="I864" t="str">
        <f t="shared" si="22"/>
        <v/>
      </c>
      <c r="J864">
        <f t="shared" si="23"/>
        <v>-0.17653950000000052</v>
      </c>
    </row>
    <row r="865" spans="1:10" ht="14.25" customHeight="1" x14ac:dyDescent="0.25">
      <c r="A865" s="1">
        <v>2452554.2145500001</v>
      </c>
      <c r="B865" s="1" t="s">
        <v>1223</v>
      </c>
      <c r="C865" s="1">
        <v>8.6016670000000008</v>
      </c>
      <c r="D865" s="1"/>
      <c r="E865">
        <f>(A865-m_phot!L$4)/m_phot!L$5-INT((A865-m_phot!L$4)/m_phot!L$5)</f>
        <v>0.58017703613000648</v>
      </c>
      <c r="F865">
        <f t="shared" si="24"/>
        <v>8.6016670000000008</v>
      </c>
      <c r="H865" t="str">
        <f>IF(E865&lt;0.05,INT(($A865-m_phot!$L$4)/m_phot!$L$5),"")</f>
        <v/>
      </c>
      <c r="I865" t="str">
        <f t="shared" si="22"/>
        <v/>
      </c>
      <c r="J865">
        <f t="shared" si="23"/>
        <v>-0.18737250000000039</v>
      </c>
    </row>
    <row r="866" spans="1:10" ht="14.25" customHeight="1" x14ac:dyDescent="0.25">
      <c r="A866" s="1">
        <v>2452573.0427899999</v>
      </c>
      <c r="B866" s="1" t="s">
        <v>1224</v>
      </c>
      <c r="C866" s="1">
        <v>8.6404259999999997</v>
      </c>
      <c r="D866" s="1"/>
      <c r="E866">
        <f>(A866-m_phot!L$4)/m_phot!L$5-INT((A866-m_phot!L$4)/m_phot!L$5)</f>
        <v>0.60323672994471522</v>
      </c>
      <c r="F866">
        <f t="shared" si="24"/>
        <v>8.6404259999999997</v>
      </c>
      <c r="H866" t="str">
        <f>IF(E866&lt;0.05,INT(($A866-m_phot!$L$4)/m_phot!$L$5),"")</f>
        <v/>
      </c>
      <c r="I866" t="str">
        <f t="shared" si="22"/>
        <v/>
      </c>
      <c r="J866">
        <f t="shared" si="23"/>
        <v>-0.14861350000000151</v>
      </c>
    </row>
    <row r="867" spans="1:10" ht="14.25" customHeight="1" x14ac:dyDescent="0.25">
      <c r="A867" s="1">
        <v>2452586.5324900001</v>
      </c>
      <c r="B867" s="1" t="s">
        <v>1225</v>
      </c>
      <c r="C867" s="1">
        <v>8.7472729999999999</v>
      </c>
      <c r="D867" s="1"/>
      <c r="E867">
        <f>(A867-m_phot!L$4)/m_phot!L$5-INT((A867-m_phot!L$4)/m_phot!L$5)</f>
        <v>0.61975810165355583</v>
      </c>
      <c r="F867">
        <f t="shared" si="24"/>
        <v>8.7472729999999999</v>
      </c>
      <c r="H867" t="str">
        <f>IF(E867&lt;0.05,INT(($A867-m_phot!$L$4)/m_phot!$L$5),"")</f>
        <v/>
      </c>
      <c r="I867" t="str">
        <f t="shared" si="22"/>
        <v/>
      </c>
      <c r="J867">
        <f t="shared" si="23"/>
        <v>-4.1766500000001372E-2</v>
      </c>
    </row>
    <row r="868" spans="1:10" ht="14.25" customHeight="1" x14ac:dyDescent="0.25">
      <c r="A868" s="1">
        <v>2452602.8346899999</v>
      </c>
      <c r="B868" s="1" t="s">
        <v>1226</v>
      </c>
      <c r="C868" s="1">
        <v>8.7285710000000005</v>
      </c>
      <c r="D868" s="1"/>
      <c r="E868">
        <f>(A868-m_phot!L$4)/m_phot!L$5-INT((A868-m_phot!L$4)/m_phot!L$5)</f>
        <v>0.63972405388846454</v>
      </c>
      <c r="F868">
        <f t="shared" si="24"/>
        <v>8.7285710000000005</v>
      </c>
      <c r="H868" t="str">
        <f>IF(E868&lt;0.05,INT(($A868-m_phot!$L$4)/m_phot!$L$5),"")</f>
        <v/>
      </c>
      <c r="I868" t="str">
        <f t="shared" si="22"/>
        <v/>
      </c>
      <c r="J868">
        <f t="shared" si="23"/>
        <v>-6.0468500000000702E-2</v>
      </c>
    </row>
    <row r="869" spans="1:10" ht="14.25" customHeight="1" x14ac:dyDescent="0.25">
      <c r="A869" s="1">
        <v>2452616.9956100001</v>
      </c>
      <c r="B869" s="1" t="s">
        <v>1227</v>
      </c>
      <c r="C869" s="1">
        <v>8.7615379999999998</v>
      </c>
      <c r="D869" s="1"/>
      <c r="E869">
        <f>(A869-m_phot!L$4)/m_phot!L$5-INT((A869-m_phot!L$4)/m_phot!L$5)</f>
        <v>0.65706749540734677</v>
      </c>
      <c r="F869">
        <f t="shared" si="24"/>
        <v>8.7615379999999998</v>
      </c>
      <c r="H869" t="str">
        <f>IF(E869&lt;0.05,INT(($A869-m_phot!$L$4)/m_phot!$L$5),"")</f>
        <v/>
      </c>
      <c r="I869" t="str">
        <f t="shared" si="22"/>
        <v/>
      </c>
      <c r="J869">
        <f t="shared" si="23"/>
        <v>-2.75015000000014E-2</v>
      </c>
    </row>
    <row r="870" spans="1:10" ht="14.25" customHeight="1" x14ac:dyDescent="0.25">
      <c r="A870" s="1">
        <v>2452632.0389399999</v>
      </c>
      <c r="B870" s="1" t="s">
        <v>1228</v>
      </c>
      <c r="C870" s="1">
        <v>8.6958330000000004</v>
      </c>
      <c r="D870" s="1"/>
      <c r="E870">
        <f>(A870-m_phot!L$4)/m_phot!L$5-INT((A870-m_phot!L$4)/m_phot!L$5)</f>
        <v>0.67549165952220847</v>
      </c>
      <c r="F870">
        <f t="shared" si="24"/>
        <v>8.6958330000000004</v>
      </c>
      <c r="H870" t="str">
        <f>IF(E870&lt;0.05,INT(($A870-m_phot!$L$4)/m_phot!$L$5),"")</f>
        <v/>
      </c>
      <c r="I870" t="str">
        <f t="shared" si="22"/>
        <v/>
      </c>
      <c r="J870">
        <f t="shared" si="23"/>
        <v>-9.3206500000000858E-2</v>
      </c>
    </row>
    <row r="871" spans="1:10" ht="14.25" customHeight="1" x14ac:dyDescent="0.25">
      <c r="A871" s="1">
        <v>2452647.45352</v>
      </c>
      <c r="B871" s="1" t="s">
        <v>1229</v>
      </c>
      <c r="C871" s="1">
        <v>8.7366670000000006</v>
      </c>
      <c r="D871" s="1"/>
      <c r="E871">
        <f>(A871-m_phot!L$4)/m_phot!L$5-INT((A871-m_phot!L$4)/m_phot!L$5)</f>
        <v>0.69437050826697089</v>
      </c>
      <c r="F871">
        <f t="shared" si="24"/>
        <v>8.7366670000000006</v>
      </c>
      <c r="H871" t="str">
        <f>IF(E871&lt;0.05,INT(($A871-m_phot!$L$4)/m_phot!$L$5),"")</f>
        <v/>
      </c>
      <c r="I871" t="str">
        <f t="shared" si="22"/>
        <v/>
      </c>
      <c r="J871">
        <f t="shared" si="23"/>
        <v>-5.2372500000000599E-2</v>
      </c>
    </row>
    <row r="872" spans="1:10" ht="14.25" customHeight="1" x14ac:dyDescent="0.25">
      <c r="A872" s="1">
        <v>2452663.9074300001</v>
      </c>
      <c r="B872" s="1" t="s">
        <v>1230</v>
      </c>
      <c r="C872" s="1">
        <v>8.8888890000000007</v>
      </c>
      <c r="D872" s="1"/>
      <c r="E872">
        <f>(A872-m_phot!L$4)/m_phot!L$5-INT((A872-m_phot!L$4)/m_phot!L$5)</f>
        <v>0.71452226576869293</v>
      </c>
      <c r="F872">
        <f t="shared" si="24"/>
        <v>8.8888890000000007</v>
      </c>
      <c r="H872" t="str">
        <f>IF(E872&lt;0.05,INT(($A872-m_phot!$L$4)/m_phot!$L$5),"")</f>
        <v/>
      </c>
      <c r="I872" t="str">
        <f t="shared" si="22"/>
        <v/>
      </c>
      <c r="J872">
        <f t="shared" si="23"/>
        <v>9.984949999999948E-2</v>
      </c>
    </row>
    <row r="873" spans="1:10" ht="14.25" customHeight="1" x14ac:dyDescent="0.25">
      <c r="A873" s="1">
        <v>2452672.2679499998</v>
      </c>
      <c r="B873" s="1" t="s">
        <v>1231</v>
      </c>
      <c r="C873" s="1">
        <v>8.6</v>
      </c>
      <c r="D873" s="1"/>
      <c r="E873">
        <f>(A873-m_phot!L$4)/m_phot!L$5-INT((A873-m_phot!L$4)/m_phot!L$5)</f>
        <v>0.72476172688276108</v>
      </c>
      <c r="F873">
        <f t="shared" si="24"/>
        <v>8.6</v>
      </c>
      <c r="H873" t="str">
        <f>IF(E873&lt;0.05,INT(($A873-m_phot!$L$4)/m_phot!$L$5),"")</f>
        <v/>
      </c>
      <c r="I873" t="str">
        <f t="shared" si="22"/>
        <v/>
      </c>
      <c r="J873">
        <f t="shared" si="23"/>
        <v>-0.18903950000000158</v>
      </c>
    </row>
    <row r="874" spans="1:10" ht="14.25" customHeight="1" x14ac:dyDescent="0.25">
      <c r="A874" s="1">
        <v>2452728.7772499998</v>
      </c>
      <c r="B874" s="1" t="s">
        <v>1232</v>
      </c>
      <c r="C874" s="1">
        <v>8.7249999999999996</v>
      </c>
      <c r="D874" s="1"/>
      <c r="E874">
        <f>(A874-m_phot!L$4)/m_phot!L$5-INT((A874-m_phot!L$4)/m_phot!L$5)</f>
        <v>0.79397091243087559</v>
      </c>
      <c r="F874">
        <f t="shared" si="24"/>
        <v>8.7249999999999996</v>
      </c>
      <c r="H874" t="str">
        <f>IF(E874&lt;0.05,INT(($A874-m_phot!$L$4)/m_phot!$L$5),"")</f>
        <v/>
      </c>
      <c r="I874" t="str">
        <f t="shared" ref="I874:I937" si="25">IF(H874&lt;&gt;"",AVERAGE(C874:C875),"")</f>
        <v/>
      </c>
      <c r="J874">
        <f t="shared" si="23"/>
        <v>-6.4039500000001581E-2</v>
      </c>
    </row>
    <row r="875" spans="1:10" ht="14.25" customHeight="1" x14ac:dyDescent="0.25">
      <c r="A875" s="1">
        <v>2452742.3144700001</v>
      </c>
      <c r="B875" s="1" t="s">
        <v>1233</v>
      </c>
      <c r="C875" s="1">
        <v>8.8333329999999997</v>
      </c>
      <c r="D875" s="1"/>
      <c r="E875">
        <f>(A875-m_phot!L$4)/m_phot!L$5-INT((A875-m_phot!L$4)/m_phot!L$5)</f>
        <v>0.81055048377232097</v>
      </c>
      <c r="F875">
        <f t="shared" si="24"/>
        <v>8.8333329999999997</v>
      </c>
      <c r="H875" t="str">
        <f>IF(E875&lt;0.05,INT(($A875-m_phot!$L$4)/m_phot!$L$5),"")</f>
        <v/>
      </c>
      <c r="I875" t="str">
        <f t="shared" si="25"/>
        <v/>
      </c>
      <c r="J875">
        <f t="shared" si="23"/>
        <v>4.4293499999998431E-2</v>
      </c>
    </row>
    <row r="876" spans="1:10" ht="14.25" customHeight="1" x14ac:dyDescent="0.25">
      <c r="A876" s="1">
        <v>2452765.20817</v>
      </c>
      <c r="B876" s="1" t="s">
        <v>1234</v>
      </c>
      <c r="C876" s="1">
        <v>8.8166670000000007</v>
      </c>
      <c r="D876" s="1"/>
      <c r="E876">
        <f>(A876-m_phot!L$4)/m_phot!L$5-INT((A876-m_phot!L$4)/m_phot!L$5)</f>
        <v>0.83858930802204412</v>
      </c>
      <c r="F876">
        <f t="shared" si="24"/>
        <v>8.8166670000000007</v>
      </c>
      <c r="H876" t="str">
        <f>IF(E876&lt;0.05,INT(($A876-m_phot!$L$4)/m_phot!$L$5),"")</f>
        <v/>
      </c>
      <c r="I876" t="str">
        <f t="shared" si="25"/>
        <v/>
      </c>
      <c r="J876">
        <f t="shared" si="23"/>
        <v>2.7627499999999472E-2</v>
      </c>
    </row>
    <row r="877" spans="1:10" ht="14.25" customHeight="1" x14ac:dyDescent="0.25">
      <c r="A877" s="1">
        <v>2452792.6318999999</v>
      </c>
      <c r="B877" s="1" t="s">
        <v>1235</v>
      </c>
      <c r="C877" s="1">
        <v>8.6999999999999993</v>
      </c>
      <c r="D877" s="1"/>
      <c r="E877">
        <f>(A877-m_phot!L$4)/m_phot!L$5-INT((A877-m_phot!L$4)/m_phot!L$5)</f>
        <v>0.87217624004889061</v>
      </c>
      <c r="F877">
        <f t="shared" si="24"/>
        <v>8.6999999999999993</v>
      </c>
      <c r="H877" t="str">
        <f>IF(E877&lt;0.05,INT(($A877-m_phot!$L$4)/m_phot!$L$5),"")</f>
        <v/>
      </c>
      <c r="I877" t="str">
        <f t="shared" si="25"/>
        <v/>
      </c>
      <c r="J877">
        <f t="shared" si="23"/>
        <v>-8.9039500000001937E-2</v>
      </c>
    </row>
    <row r="878" spans="1:10" ht="14.25" customHeight="1" x14ac:dyDescent="0.25">
      <c r="A878" s="1">
        <v>2452809.5942500001</v>
      </c>
      <c r="B878" s="1" t="s">
        <v>1236</v>
      </c>
      <c r="C878" s="1">
        <v>8.6466670000000008</v>
      </c>
      <c r="D878" s="1"/>
      <c r="E878">
        <f>(A878-m_phot!L$4)/m_phot!L$5-INT((A878-m_phot!L$4)/m_phot!L$5)</f>
        <v>0.89295070422545209</v>
      </c>
      <c r="F878">
        <f t="shared" si="24"/>
        <v>8.6466670000000008</v>
      </c>
      <c r="H878" t="str">
        <f>IF(E878&lt;0.05,INT(($A878-m_phot!$L$4)/m_phot!$L$5),"")</f>
        <v/>
      </c>
      <c r="I878" t="str">
        <f t="shared" si="25"/>
        <v/>
      </c>
      <c r="J878">
        <f t="shared" si="23"/>
        <v>-0.14237250000000046</v>
      </c>
    </row>
    <row r="879" spans="1:10" ht="14.25" customHeight="1" x14ac:dyDescent="0.25">
      <c r="A879" s="1">
        <v>2452822.8487</v>
      </c>
      <c r="B879" s="1" t="s">
        <v>1237</v>
      </c>
      <c r="C879" s="1">
        <v>8.8074069999999995</v>
      </c>
      <c r="D879" s="1"/>
      <c r="E879">
        <f>(A879-m_phot!L$4)/m_phot!L$5-INT((A879-m_phot!L$4)/m_phot!L$5)</f>
        <v>0.90918395590933798</v>
      </c>
      <c r="F879">
        <f t="shared" si="24"/>
        <v>8.8074069999999995</v>
      </c>
      <c r="H879" t="str">
        <f>IF(E879&lt;0.05,INT(($A879-m_phot!$L$4)/m_phot!$L$5),"")</f>
        <v/>
      </c>
      <c r="I879" t="str">
        <f t="shared" si="25"/>
        <v/>
      </c>
      <c r="J879">
        <f t="shared" si="23"/>
        <v>1.8367499999998316E-2</v>
      </c>
    </row>
    <row r="880" spans="1:10" ht="14.25" customHeight="1" x14ac:dyDescent="0.25">
      <c r="A880" s="1">
        <v>2452837.8328800001</v>
      </c>
      <c r="B880" s="1" t="s">
        <v>1238</v>
      </c>
      <c r="C880" s="1">
        <v>8.75</v>
      </c>
      <c r="D880" s="1"/>
      <c r="E880">
        <f>(A880-m_phot!L$4)/m_phot!L$5-INT((A880-m_phot!L$4)/m_phot!L$5)</f>
        <v>0.92753567666885317</v>
      </c>
      <c r="F880">
        <f t="shared" si="24"/>
        <v>8.75</v>
      </c>
      <c r="H880" t="str">
        <f>IF(E880&lt;0.05,INT(($A880-m_phot!$L$4)/m_phot!$L$5),"")</f>
        <v/>
      </c>
      <c r="I880" t="str">
        <f t="shared" si="25"/>
        <v/>
      </c>
      <c r="J880">
        <f t="shared" si="23"/>
        <v>-3.9039500000001226E-2</v>
      </c>
    </row>
    <row r="881" spans="1:10" ht="14.25" customHeight="1" x14ac:dyDescent="0.25">
      <c r="A881" s="1">
        <v>2452853.8459800002</v>
      </c>
      <c r="B881" s="1" t="s">
        <v>1239</v>
      </c>
      <c r="C881" s="1">
        <v>8.7253729999999994</v>
      </c>
      <c r="D881" s="1"/>
      <c r="E881">
        <f>(A881-m_phot!L$4)/m_phot!L$5-INT((A881-m_phot!L$4)/m_phot!L$5)</f>
        <v>0.94714755664447736</v>
      </c>
      <c r="F881">
        <f t="shared" si="24"/>
        <v>8.7253729999999994</v>
      </c>
      <c r="H881" t="str">
        <f>IF(E881&lt;0.05,INT(($A881-m_phot!$L$4)/m_phot!$L$5),"")</f>
        <v/>
      </c>
      <c r="I881" t="str">
        <f t="shared" si="25"/>
        <v/>
      </c>
      <c r="J881">
        <f t="shared" si="23"/>
        <v>-6.3666500000001847E-2</v>
      </c>
    </row>
    <row r="882" spans="1:10" ht="14.25" customHeight="1" x14ac:dyDescent="0.25">
      <c r="A882" s="1">
        <v>2452869.7245</v>
      </c>
      <c r="B882" s="1" t="s">
        <v>1240</v>
      </c>
      <c r="C882" s="1">
        <v>8.7451609999999995</v>
      </c>
      <c r="D882" s="1"/>
      <c r="E882">
        <f>(A882-m_phot!L$4)/m_phot!L$5-INT((A882-m_phot!L$4)/m_phot!L$5)</f>
        <v>0.966594611145144</v>
      </c>
      <c r="F882">
        <f t="shared" si="24"/>
        <v>8.7451609999999995</v>
      </c>
      <c r="H882" t="str">
        <f>IF(E882&lt;0.05,INT(($A882-m_phot!$L$4)/m_phot!$L$5),"")</f>
        <v/>
      </c>
      <c r="I882" t="str">
        <f t="shared" si="25"/>
        <v/>
      </c>
      <c r="J882">
        <f t="shared" si="23"/>
        <v>-4.3878500000001708E-2</v>
      </c>
    </row>
    <row r="883" spans="1:10" ht="14.25" customHeight="1" x14ac:dyDescent="0.25">
      <c r="A883" s="1">
        <v>2452883.6196099999</v>
      </c>
      <c r="B883" s="1" t="s">
        <v>1241</v>
      </c>
      <c r="C883" s="1">
        <v>8.7954550000000005</v>
      </c>
      <c r="D883" s="1"/>
      <c r="E883">
        <f>(A883-m_phot!L$4)/m_phot!L$5-INT((A883-m_phot!L$4)/m_phot!L$5)</f>
        <v>0.98361250459269556</v>
      </c>
      <c r="F883">
        <f t="shared" si="24"/>
        <v>8.7954550000000005</v>
      </c>
      <c r="H883" t="str">
        <f>IF(E883&lt;0.05,INT(($A883-m_phot!$L$4)/m_phot!$L$5),"")</f>
        <v/>
      </c>
      <c r="I883" t="str">
        <f t="shared" si="25"/>
        <v/>
      </c>
      <c r="J883">
        <f t="shared" si="23"/>
        <v>6.4154999999992413E-3</v>
      </c>
    </row>
    <row r="884" spans="1:10" ht="14.25" customHeight="1" x14ac:dyDescent="0.25">
      <c r="A884" s="1">
        <v>2452901.4348499998</v>
      </c>
      <c r="B884" s="1" t="s">
        <v>1242</v>
      </c>
      <c r="C884" s="1">
        <v>8.8128569999999993</v>
      </c>
      <c r="D884" s="1"/>
      <c r="E884">
        <f>(A884-m_phot!L$4)/m_phot!L$5-INT((A884-m_phot!L$4)/m_phot!L$5)</f>
        <v>5.4315370481887726E-3</v>
      </c>
      <c r="F884">
        <f t="shared" si="24"/>
        <v>8.8128569999999993</v>
      </c>
      <c r="H884">
        <f>IF(E884&lt;0.05,INT(($A884-m_phot!$L$4)/m_phot!$L$5),"")</f>
        <v>26</v>
      </c>
      <c r="I884">
        <f t="shared" si="25"/>
        <v>8.8330519999999986</v>
      </c>
      <c r="J884">
        <f>+C884-I$884</f>
        <v>-2.0194999999999297E-2</v>
      </c>
    </row>
    <row r="885" spans="1:10" ht="14.25" customHeight="1" x14ac:dyDescent="0.25">
      <c r="A885" s="1">
        <v>2452913.0314000002</v>
      </c>
      <c r="B885" s="1" t="s">
        <v>1243</v>
      </c>
      <c r="C885" s="1">
        <v>8.8532469999999996</v>
      </c>
      <c r="D885" s="1"/>
      <c r="E885">
        <f>(A885-m_phot!L$4)/m_phot!L$5-INT((A885-m_phot!L$4)/m_phot!L$5)</f>
        <v>1.9634292713057278E-2</v>
      </c>
      <c r="F885">
        <f t="shared" si="24"/>
        <v>8.8532469999999996</v>
      </c>
      <c r="H885">
        <f>IF(E885&lt;0.05,INT(($A885-m_phot!$L$4)/m_phot!$L$5),"")</f>
        <v>26</v>
      </c>
      <c r="I885">
        <f t="shared" si="25"/>
        <v>8.8861825000000003</v>
      </c>
      <c r="J885">
        <f t="shared" ref="J885:J930" si="26">+C885-I$884</f>
        <v>2.0195000000001073E-2</v>
      </c>
    </row>
    <row r="886" spans="1:10" ht="14.25" customHeight="1" x14ac:dyDescent="0.25">
      <c r="A886" s="1">
        <v>2452929.6747900001</v>
      </c>
      <c r="B886" s="1" t="s">
        <v>1244</v>
      </c>
      <c r="C886" s="1">
        <v>8.9191179999999992</v>
      </c>
      <c r="D886" s="1"/>
      <c r="E886">
        <f>(A886-m_phot!L$4)/m_phot!L$5-INT((A886-m_phot!L$4)/m_phot!L$5)</f>
        <v>4.001811390089216E-2</v>
      </c>
      <c r="F886">
        <f t="shared" si="24"/>
        <v>8.9191179999999992</v>
      </c>
      <c r="H886">
        <f>IF(E886&lt;0.05,INT(($A886-m_phot!$L$4)/m_phot!$L$5),"")</f>
        <v>26</v>
      </c>
      <c r="I886">
        <f t="shared" si="25"/>
        <v>8.9169665000000009</v>
      </c>
      <c r="J886">
        <f t="shared" si="26"/>
        <v>8.6066000000000642E-2</v>
      </c>
    </row>
    <row r="887" spans="1:10" ht="14.25" customHeight="1" x14ac:dyDescent="0.25">
      <c r="A887" s="1">
        <v>2452943.26743</v>
      </c>
      <c r="B887" s="1" t="s">
        <v>1245</v>
      </c>
      <c r="C887" s="1">
        <v>8.9148150000000008</v>
      </c>
      <c r="D887" s="1"/>
      <c r="E887">
        <f>(A887-m_phot!L$4)/m_phot!L$5-INT((A887-m_phot!L$4)/m_phot!L$5)</f>
        <v>5.666556031843939E-2</v>
      </c>
      <c r="F887">
        <f t="shared" si="24"/>
        <v>8.9148150000000008</v>
      </c>
      <c r="H887" t="str">
        <f>IF(E887&lt;0.05,INT(($A887-m_phot!$L$4)/m_phot!$L$5),"")</f>
        <v/>
      </c>
      <c r="I887" t="str">
        <f t="shared" si="25"/>
        <v/>
      </c>
      <c r="J887">
        <f t="shared" si="26"/>
        <v>8.1763000000002251E-2</v>
      </c>
    </row>
    <row r="888" spans="1:10" ht="14.25" customHeight="1" x14ac:dyDescent="0.25">
      <c r="A888" s="1">
        <v>2452959.2333900002</v>
      </c>
      <c r="B888" s="1" t="s">
        <v>1246</v>
      </c>
      <c r="C888" s="1">
        <v>8.8480000000000008</v>
      </c>
      <c r="D888" s="1"/>
      <c r="E888">
        <f>(A888-m_phot!L$4)/m_phot!L$5-INT((A888-m_phot!L$4)/m_phot!L$5)</f>
        <v>7.6219706062687465E-2</v>
      </c>
      <c r="F888">
        <f t="shared" si="24"/>
        <v>8.8480000000000008</v>
      </c>
      <c r="H888" t="str">
        <f>IF(E888&lt;0.05,INT(($A888-m_phot!$L$4)/m_phot!$L$5),"")</f>
        <v/>
      </c>
      <c r="I888" t="str">
        <f t="shared" si="25"/>
        <v/>
      </c>
      <c r="J888">
        <f t="shared" si="26"/>
        <v>1.4948000000002182E-2</v>
      </c>
    </row>
    <row r="889" spans="1:10" ht="14.25" customHeight="1" x14ac:dyDescent="0.25">
      <c r="A889" s="1">
        <v>2452974.3295499999</v>
      </c>
      <c r="B889" s="1" t="s">
        <v>1247</v>
      </c>
      <c r="C889" s="1">
        <v>8.9585369999999998</v>
      </c>
      <c r="D889" s="1"/>
      <c r="E889">
        <f>(A889-m_phot!L$4)/m_phot!L$5-INT((A889-m_phot!L$4)/m_phot!L$5)</f>
        <v>9.4708573178085231E-2</v>
      </c>
      <c r="F889">
        <f t="shared" si="24"/>
        <v>8.9585369999999998</v>
      </c>
      <c r="H889" t="str">
        <f>IF(E889&lt;0.05,INT(($A889-m_phot!$L$4)/m_phot!$L$5),"")</f>
        <v/>
      </c>
      <c r="I889" t="str">
        <f t="shared" si="25"/>
        <v/>
      </c>
      <c r="J889">
        <f t="shared" si="26"/>
        <v>0.12548500000000118</v>
      </c>
    </row>
    <row r="890" spans="1:10" ht="14.25" customHeight="1" x14ac:dyDescent="0.25">
      <c r="A890" s="1">
        <v>2452989.5917699998</v>
      </c>
      <c r="B890" s="1" t="s">
        <v>1248</v>
      </c>
      <c r="C890" s="1">
        <v>8.9075469999999992</v>
      </c>
      <c r="D890" s="1"/>
      <c r="E890">
        <f>(A890-m_phot!L$4)/m_phot!L$5-INT((A890-m_phot!L$4)/m_phot!L$5)</f>
        <v>0.11340082057541423</v>
      </c>
      <c r="F890">
        <f t="shared" si="24"/>
        <v>8.9075469999999992</v>
      </c>
      <c r="H890" t="str">
        <f>IF(E890&lt;0.05,INT(($A890-m_phot!$L$4)/m_phot!$L$5),"")</f>
        <v/>
      </c>
      <c r="I890" t="str">
        <f t="shared" si="25"/>
        <v/>
      </c>
      <c r="J890">
        <f t="shared" si="26"/>
        <v>7.4495000000000644E-2</v>
      </c>
    </row>
    <row r="891" spans="1:10" ht="14.25" customHeight="1" x14ac:dyDescent="0.25">
      <c r="A891" s="1">
        <v>2453000.9977799999</v>
      </c>
      <c r="B891" s="1" t="s">
        <v>1249</v>
      </c>
      <c r="C891" s="1">
        <v>8.7821429999999996</v>
      </c>
      <c r="D891" s="1"/>
      <c r="E891">
        <f>(A891-m_phot!L$4)/m_phot!L$5-INT((A891-m_phot!L$4)/m_phot!L$5)</f>
        <v>0.12737021432928231</v>
      </c>
      <c r="F891">
        <f t="shared" si="24"/>
        <v>8.7821429999999996</v>
      </c>
      <c r="H891" t="str">
        <f>IF(E891&lt;0.05,INT(($A891-m_phot!$L$4)/m_phot!$L$5),"")</f>
        <v/>
      </c>
      <c r="I891" t="str">
        <f t="shared" si="25"/>
        <v/>
      </c>
      <c r="J891">
        <f t="shared" si="26"/>
        <v>-5.0908999999998983E-2</v>
      </c>
    </row>
    <row r="892" spans="1:10" ht="14.25" customHeight="1" x14ac:dyDescent="0.25">
      <c r="A892" s="1">
        <v>2453020.5856300001</v>
      </c>
      <c r="B892" s="1" t="s">
        <v>1250</v>
      </c>
      <c r="C892" s="1">
        <v>8.8333329999999997</v>
      </c>
      <c r="D892" s="1"/>
      <c r="E892">
        <f>(A892-m_phot!L$4)/m_phot!L$5-INT((A892-m_phot!L$4)/m_phot!L$5)</f>
        <v>0.15136023270067867</v>
      </c>
      <c r="F892">
        <f t="shared" si="24"/>
        <v>8.8333329999999997</v>
      </c>
      <c r="H892" t="str">
        <f>IF(E892&lt;0.05,INT(($A892-m_phot!$L$4)/m_phot!$L$5),"")</f>
        <v/>
      </c>
      <c r="I892" t="str">
        <f t="shared" si="25"/>
        <v/>
      </c>
      <c r="J892">
        <f t="shared" si="26"/>
        <v>2.8100000000108594E-4</v>
      </c>
    </row>
    <row r="893" spans="1:10" ht="14.25" customHeight="1" x14ac:dyDescent="0.25">
      <c r="A893" s="1">
        <v>2453030.7410200001</v>
      </c>
      <c r="B893" s="1" t="s">
        <v>1251</v>
      </c>
      <c r="C893" s="1">
        <v>8.7249999999999996</v>
      </c>
      <c r="D893" s="1"/>
      <c r="E893">
        <f>(A893-m_phot!L$4)/m_phot!L$5-INT((A893-m_phot!L$4)/m_phot!L$5)</f>
        <v>0.16379794243732348</v>
      </c>
      <c r="F893">
        <f t="shared" si="24"/>
        <v>8.7249999999999996</v>
      </c>
      <c r="H893" t="str">
        <f>IF(E893&lt;0.05,INT(($A893-m_phot!$L$4)/m_phot!$L$5),"")</f>
        <v/>
      </c>
      <c r="I893" t="str">
        <f t="shared" si="25"/>
        <v/>
      </c>
      <c r="J893">
        <f t="shared" si="26"/>
        <v>-0.10805199999999893</v>
      </c>
    </row>
    <row r="894" spans="1:10" ht="14.25" customHeight="1" x14ac:dyDescent="0.25">
      <c r="A894" s="1">
        <v>2453054.7000000002</v>
      </c>
      <c r="B894" s="1" t="s">
        <v>1252</v>
      </c>
      <c r="C894" s="1">
        <v>8.5500000000000007</v>
      </c>
      <c r="D894" s="1"/>
      <c r="E894">
        <f>(A894-m_phot!L$4)/m_phot!L$5-INT((A894-m_phot!L$4)/m_phot!L$5)</f>
        <v>0.19314145744052169</v>
      </c>
      <c r="F894">
        <f t="shared" si="24"/>
        <v>8.5500000000000007</v>
      </c>
      <c r="H894" t="str">
        <f>IF(E894&lt;0.05,INT(($A894-m_phot!$L$4)/m_phot!$L$5),"")</f>
        <v/>
      </c>
      <c r="I894" t="str">
        <f t="shared" si="25"/>
        <v/>
      </c>
      <c r="J894">
        <f t="shared" si="26"/>
        <v>-0.28305199999999786</v>
      </c>
    </row>
    <row r="895" spans="1:10" ht="14.25" customHeight="1" x14ac:dyDescent="0.25">
      <c r="A895" s="1">
        <v>2453090.9958700002</v>
      </c>
      <c r="B895" s="1" t="s">
        <v>1253</v>
      </c>
      <c r="C895" s="1">
        <v>9.0666670000000007</v>
      </c>
      <c r="D895" s="1"/>
      <c r="E895">
        <f>(A895-m_phot!L$4)/m_phot!L$5-INT((A895-m_phot!L$4)/m_phot!L$5)</f>
        <v>0.23759445192922968</v>
      </c>
      <c r="F895">
        <f t="shared" si="24"/>
        <v>9.0666670000000007</v>
      </c>
      <c r="H895" t="str">
        <f>IF(E895&lt;0.05,INT(($A895-m_phot!$L$4)/m_phot!$L$5),"")</f>
        <v/>
      </c>
      <c r="I895" t="str">
        <f t="shared" si="25"/>
        <v/>
      </c>
      <c r="J895">
        <f t="shared" si="26"/>
        <v>0.23361500000000213</v>
      </c>
    </row>
    <row r="896" spans="1:10" ht="14.25" customHeight="1" x14ac:dyDescent="0.25">
      <c r="A896" s="1">
        <v>2453112.6058800002</v>
      </c>
      <c r="B896" s="1" t="s">
        <v>1254</v>
      </c>
      <c r="C896" s="1">
        <v>8.7555560000000003</v>
      </c>
      <c r="D896" s="1"/>
      <c r="E896">
        <f>(A896-m_phot!L$4)/m_phot!L$5-INT((A896-m_phot!L$4)/m_phot!L$5)</f>
        <v>0.26406109001857203</v>
      </c>
      <c r="F896">
        <f t="shared" si="24"/>
        <v>8.7555560000000003</v>
      </c>
      <c r="H896" t="str">
        <f>IF(E896&lt;0.05,INT(($A896-m_phot!$L$4)/m_phot!$L$5),"")</f>
        <v/>
      </c>
      <c r="I896" t="str">
        <f t="shared" si="25"/>
        <v/>
      </c>
      <c r="J896">
        <f t="shared" si="26"/>
        <v>-7.7495999999998233E-2</v>
      </c>
    </row>
    <row r="897" spans="1:10" ht="14.25" customHeight="1" x14ac:dyDescent="0.25">
      <c r="A897" s="1">
        <v>2453147.3779500001</v>
      </c>
      <c r="B897" s="1" t="s">
        <v>1255</v>
      </c>
      <c r="C897" s="1">
        <v>8.6833329999999993</v>
      </c>
      <c r="D897" s="1"/>
      <c r="E897">
        <f>(A897-m_phot!L$4)/m_phot!L$5-INT((A897-m_phot!L$4)/m_phot!L$5)</f>
        <v>0.30664782608709373</v>
      </c>
      <c r="F897">
        <f t="shared" si="24"/>
        <v>8.6833329999999993</v>
      </c>
      <c r="H897" t="str">
        <f>IF(E897&lt;0.05,INT(($A897-m_phot!$L$4)/m_phot!$L$5),"")</f>
        <v/>
      </c>
      <c r="I897" t="str">
        <f t="shared" si="25"/>
        <v/>
      </c>
      <c r="J897">
        <f t="shared" si="26"/>
        <v>-0.14971899999999927</v>
      </c>
    </row>
    <row r="898" spans="1:10" ht="14.25" customHeight="1" x14ac:dyDescent="0.25">
      <c r="A898" s="1">
        <v>2453167.18077</v>
      </c>
      <c r="B898" s="1" t="s">
        <v>1256</v>
      </c>
      <c r="C898" s="1">
        <v>8.6545450000000006</v>
      </c>
      <c r="D898" s="1"/>
      <c r="E898">
        <f>(A898-m_phot!L$4)/m_phot!L$5-INT((A898-m_phot!L$4)/m_phot!L$5)</f>
        <v>0.33090112676053707</v>
      </c>
      <c r="F898">
        <f t="shared" si="24"/>
        <v>8.6545450000000006</v>
      </c>
      <c r="H898" t="str">
        <f>IF(E898&lt;0.05,INT(($A898-m_phot!$L$4)/m_phot!$L$5),"")</f>
        <v/>
      </c>
      <c r="I898" t="str">
        <f t="shared" si="25"/>
        <v/>
      </c>
      <c r="J898">
        <f t="shared" si="26"/>
        <v>-0.17850699999999797</v>
      </c>
    </row>
    <row r="899" spans="1:10" ht="14.25" customHeight="1" x14ac:dyDescent="0.25">
      <c r="A899" s="1">
        <v>2453179.57277</v>
      </c>
      <c r="B899" s="1" t="s">
        <v>1257</v>
      </c>
      <c r="C899" s="1">
        <v>8.6315790000000003</v>
      </c>
      <c r="D899" s="1"/>
      <c r="E899">
        <f>(A899-m_phot!L$4)/m_phot!L$5-INT((A899-m_phot!L$4)/m_phot!L$5)</f>
        <v>0.34607810165336161</v>
      </c>
      <c r="F899">
        <f t="shared" si="24"/>
        <v>8.6315790000000003</v>
      </c>
      <c r="H899" t="str">
        <f>IF(E899&lt;0.05,INT(($A899-m_phot!$L$4)/m_phot!$L$5),"")</f>
        <v/>
      </c>
      <c r="I899" t="str">
        <f t="shared" si="25"/>
        <v/>
      </c>
      <c r="J899">
        <f t="shared" si="26"/>
        <v>-0.20147299999999824</v>
      </c>
    </row>
    <row r="900" spans="1:10" ht="14.25" customHeight="1" x14ac:dyDescent="0.25">
      <c r="A900" s="1">
        <v>2453199.4457800002</v>
      </c>
      <c r="B900" s="1" t="s">
        <v>1258</v>
      </c>
      <c r="C900" s="1">
        <v>8.5592590000000008</v>
      </c>
      <c r="D900" s="1"/>
      <c r="E900">
        <f>(A900-m_phot!L$4)/m_phot!L$5-INT((A900-m_phot!L$4)/m_phot!L$5)</f>
        <v>0.37041736680977877</v>
      </c>
      <c r="F900">
        <f t="shared" si="24"/>
        <v>8.5592590000000008</v>
      </c>
      <c r="H900" t="str">
        <f>IF(E900&lt;0.05,INT(($A900-m_phot!$L$4)/m_phot!$L$5),"")</f>
        <v/>
      </c>
      <c r="I900" t="str">
        <f t="shared" si="25"/>
        <v/>
      </c>
      <c r="J900">
        <f t="shared" si="26"/>
        <v>-0.27379299999999773</v>
      </c>
    </row>
    <row r="901" spans="1:10" ht="14.25" customHeight="1" x14ac:dyDescent="0.25">
      <c r="A901" s="1">
        <v>2453210.8311299998</v>
      </c>
      <c r="B901" s="1" t="s">
        <v>1259</v>
      </c>
      <c r="C901" s="1">
        <v>8.5374999999999996</v>
      </c>
      <c r="D901" s="1"/>
      <c r="E901">
        <f>(A901-m_phot!L$4)/m_phot!L$5-INT((A901-m_phot!L$4)/m_phot!L$5)</f>
        <v>0.38436145744008599</v>
      </c>
      <c r="F901">
        <f t="shared" si="24"/>
        <v>8.5374999999999996</v>
      </c>
      <c r="H901" t="str">
        <f>IF(E901&lt;0.05,INT(($A901-m_phot!$L$4)/m_phot!$L$5),"")</f>
        <v/>
      </c>
      <c r="I901" t="str">
        <f t="shared" si="25"/>
        <v/>
      </c>
      <c r="J901">
        <f t="shared" si="26"/>
        <v>-0.29555199999999893</v>
      </c>
    </row>
    <row r="902" spans="1:10" ht="14.25" customHeight="1" x14ac:dyDescent="0.25">
      <c r="A902" s="1">
        <v>2453228.8257200001</v>
      </c>
      <c r="B902" s="1" t="s">
        <v>1260</v>
      </c>
      <c r="C902" s="1">
        <v>8.5830190000000002</v>
      </c>
      <c r="D902" s="1"/>
      <c r="E902">
        <f>(A902-m_phot!L$4)/m_phot!L$5-INT((A902-m_phot!L$4)/m_phot!L$5)</f>
        <v>0.40640014696886695</v>
      </c>
      <c r="F902">
        <f t="shared" si="24"/>
        <v>8.5830190000000002</v>
      </c>
      <c r="H902" t="str">
        <f>IF(E902&lt;0.05,INT(($A902-m_phot!$L$4)/m_phot!$L$5),"")</f>
        <v/>
      </c>
      <c r="I902" t="str">
        <f t="shared" si="25"/>
        <v/>
      </c>
      <c r="J902">
        <f t="shared" si="26"/>
        <v>-0.2500329999999984</v>
      </c>
    </row>
    <row r="903" spans="1:10" ht="14.25" customHeight="1" x14ac:dyDescent="0.25">
      <c r="A903" s="1">
        <v>2453243.0584300002</v>
      </c>
      <c r="B903" s="1" t="s">
        <v>1261</v>
      </c>
      <c r="C903" s="1">
        <v>8.5560609999999997</v>
      </c>
      <c r="D903" s="1"/>
      <c r="E903">
        <f>(A903-m_phot!L$4)/m_phot!L$5-INT((A903-m_phot!L$4)/m_phot!L$5)</f>
        <v>0.42383151255383922</v>
      </c>
      <c r="F903">
        <f t="shared" si="24"/>
        <v>8.5560609999999997</v>
      </c>
      <c r="H903" t="str">
        <f>IF(E903&lt;0.05,INT(($A903-m_phot!$L$4)/m_phot!$L$5),"")</f>
        <v/>
      </c>
      <c r="I903" t="str">
        <f t="shared" si="25"/>
        <v/>
      </c>
      <c r="J903">
        <f t="shared" si="26"/>
        <v>-0.27699099999999888</v>
      </c>
    </row>
    <row r="904" spans="1:10" ht="14.25" customHeight="1" x14ac:dyDescent="0.25">
      <c r="A904" s="1">
        <v>2453258.5862799999</v>
      </c>
      <c r="B904" s="1" t="s">
        <v>1262</v>
      </c>
      <c r="C904" s="1">
        <v>8.5536890000000003</v>
      </c>
      <c r="D904" s="1"/>
      <c r="E904">
        <f>(A904-m_phot!L$4)/m_phot!L$5-INT((A904-m_phot!L$4)/m_phot!L$5)</f>
        <v>0.44284908756880625</v>
      </c>
      <c r="F904">
        <f t="shared" si="24"/>
        <v>8.5536890000000003</v>
      </c>
      <c r="H904" t="str">
        <f>IF(E904&lt;0.05,INT(($A904-m_phot!$L$4)/m_phot!$L$5),"")</f>
        <v/>
      </c>
      <c r="I904" t="str">
        <f t="shared" si="25"/>
        <v/>
      </c>
      <c r="J904">
        <f t="shared" si="26"/>
        <v>-0.27936299999999825</v>
      </c>
    </row>
    <row r="905" spans="1:10" ht="14.25" customHeight="1" x14ac:dyDescent="0.25">
      <c r="A905" s="1">
        <v>2453272.4186300002</v>
      </c>
      <c r="B905" s="1" t="s">
        <v>1263</v>
      </c>
      <c r="C905" s="1">
        <v>8.5653849999999991</v>
      </c>
      <c r="D905" s="1"/>
      <c r="E905">
        <f>(A905-m_phot!L$4)/m_phot!L$5-INT((A905-m_phot!L$4)/m_phot!L$5)</f>
        <v>0.45979011635052558</v>
      </c>
      <c r="F905">
        <f t="shared" si="24"/>
        <v>8.5653849999999991</v>
      </c>
      <c r="H905" t="str">
        <f>IF(E905&lt;0.05,INT(($A905-m_phot!$L$4)/m_phot!$L$5),"")</f>
        <v/>
      </c>
      <c r="I905" t="str">
        <f t="shared" si="25"/>
        <v/>
      </c>
      <c r="J905">
        <f t="shared" si="26"/>
        <v>-0.26766699999999943</v>
      </c>
    </row>
    <row r="906" spans="1:10" ht="14.25" customHeight="1" x14ac:dyDescent="0.25">
      <c r="A906" s="1">
        <v>2453287.5355000002</v>
      </c>
      <c r="B906" s="1" t="s">
        <v>1264</v>
      </c>
      <c r="C906" s="1">
        <v>8.5063490000000002</v>
      </c>
      <c r="D906" s="1"/>
      <c r="E906">
        <f>(A906-m_phot!L$4)/m_phot!L$5-INT((A906-m_phot!L$4)/m_phot!L$5)</f>
        <v>0.47830434782636999</v>
      </c>
      <c r="F906">
        <f t="shared" si="24"/>
        <v>8.5063490000000002</v>
      </c>
      <c r="H906" t="str">
        <f>IF(E906&lt;0.05,INT(($A906-m_phot!$L$4)/m_phot!$L$5),"")</f>
        <v/>
      </c>
      <c r="I906" t="str">
        <f t="shared" si="25"/>
        <v/>
      </c>
      <c r="J906">
        <f t="shared" si="26"/>
        <v>-0.32670299999999841</v>
      </c>
    </row>
    <row r="907" spans="1:10" ht="14.25" customHeight="1" x14ac:dyDescent="0.25">
      <c r="A907" s="1">
        <v>2453302.3535699998</v>
      </c>
      <c r="B907" s="1" t="s">
        <v>1265</v>
      </c>
      <c r="C907" s="1">
        <v>8.5326529999999998</v>
      </c>
      <c r="D907" s="1"/>
      <c r="E907">
        <f>(A907-m_phot!L$4)/m_phot!L$5-INT((A907-m_phot!L$4)/m_phot!L$5)</f>
        <v>0.49645262706650684</v>
      </c>
      <c r="F907">
        <f t="shared" si="24"/>
        <v>8.5326529999999998</v>
      </c>
      <c r="H907" t="str">
        <f>IF(E907&lt;0.05,INT(($A907-m_phot!$L$4)/m_phot!$L$5),"")</f>
        <v/>
      </c>
      <c r="I907" t="str">
        <f t="shared" si="25"/>
        <v/>
      </c>
      <c r="J907">
        <f t="shared" si="26"/>
        <v>-0.30039899999999875</v>
      </c>
    </row>
    <row r="908" spans="1:10" ht="14.25" customHeight="1" x14ac:dyDescent="0.25">
      <c r="A908" s="1">
        <v>2453319.36039</v>
      </c>
      <c r="B908" s="1" t="s">
        <v>1266</v>
      </c>
      <c r="C908" s="1">
        <v>8.5109379999999994</v>
      </c>
      <c r="D908" s="1"/>
      <c r="E908">
        <f>(A908-m_phot!L$4)/m_phot!L$5-INT((A908-m_phot!L$4)/m_phot!L$5)</f>
        <v>0.51728155541952958</v>
      </c>
      <c r="F908">
        <f t="shared" si="24"/>
        <v>8.5109379999999994</v>
      </c>
      <c r="H908" t="str">
        <f>IF(E908&lt;0.05,INT(($A908-m_phot!$L$4)/m_phot!$L$5),"")</f>
        <v/>
      </c>
      <c r="I908" t="str">
        <f t="shared" si="25"/>
        <v/>
      </c>
      <c r="J908">
        <f t="shared" si="26"/>
        <v>-0.32211399999999912</v>
      </c>
    </row>
    <row r="909" spans="1:10" ht="14.25" customHeight="1" x14ac:dyDescent="0.25">
      <c r="A909" s="1">
        <v>2453336.4504900002</v>
      </c>
      <c r="B909" s="1" t="s">
        <v>1267</v>
      </c>
      <c r="C909" s="1">
        <v>8.5187500000000007</v>
      </c>
      <c r="D909" s="1"/>
      <c r="E909">
        <f>(A909-m_phot!L$4)/m_phot!L$5-INT((A909-m_phot!L$4)/m_phot!L$5)</f>
        <v>0.53821248009821332</v>
      </c>
      <c r="F909">
        <f t="shared" si="24"/>
        <v>8.5187500000000007</v>
      </c>
      <c r="H909" t="str">
        <f>IF(E909&lt;0.05,INT(($A909-m_phot!$L$4)/m_phot!$L$5),"")</f>
        <v/>
      </c>
      <c r="I909" t="str">
        <f t="shared" si="25"/>
        <v/>
      </c>
      <c r="J909">
        <f t="shared" si="26"/>
        <v>-0.31430199999999786</v>
      </c>
    </row>
    <row r="910" spans="1:10" ht="14.25" customHeight="1" x14ac:dyDescent="0.25">
      <c r="A910" s="1">
        <v>2453349.4295100002</v>
      </c>
      <c r="B910" s="1" t="s">
        <v>1268</v>
      </c>
      <c r="C910" s="1">
        <v>8.4972220000000007</v>
      </c>
      <c r="D910" s="1"/>
      <c r="E910">
        <f>(A910-m_phot!L$4)/m_phot!L$5-INT((A910-m_phot!L$4)/m_phot!L$5)</f>
        <v>0.554108401714835</v>
      </c>
      <c r="F910">
        <f t="shared" si="24"/>
        <v>8.4972220000000007</v>
      </c>
      <c r="H910" t="str">
        <f>IF(E910&lt;0.05,INT(($A910-m_phot!$L$4)/m_phot!$L$5),"")</f>
        <v/>
      </c>
      <c r="I910" t="str">
        <f t="shared" si="25"/>
        <v/>
      </c>
      <c r="J910">
        <f t="shared" si="26"/>
        <v>-0.33582999999999785</v>
      </c>
    </row>
    <row r="911" spans="1:10" ht="14.25" customHeight="1" x14ac:dyDescent="0.25">
      <c r="A911" s="1">
        <v>2453364.34235</v>
      </c>
      <c r="B911" s="1" t="s">
        <v>1269</v>
      </c>
      <c r="C911" s="1">
        <v>8.4866670000000006</v>
      </c>
      <c r="D911" s="1"/>
      <c r="E911">
        <f>(A911-m_phot!L$4)/m_phot!L$5-INT((A911-m_phot!L$4)/m_phot!L$5)</f>
        <v>0.57237274954078288</v>
      </c>
      <c r="F911">
        <f t="shared" si="24"/>
        <v>8.4866670000000006</v>
      </c>
      <c r="H911" t="str">
        <f>IF(E911&lt;0.05,INT(($A911-m_phot!$L$4)/m_phot!$L$5),"")</f>
        <v/>
      </c>
      <c r="I911" t="str">
        <f t="shared" si="25"/>
        <v/>
      </c>
      <c r="J911">
        <f t="shared" si="26"/>
        <v>-0.34638499999999794</v>
      </c>
    </row>
    <row r="912" spans="1:10" ht="14.25" customHeight="1" x14ac:dyDescent="0.25">
      <c r="A912" s="1">
        <v>2453381.68291</v>
      </c>
      <c r="B912" s="1" t="s">
        <v>1270</v>
      </c>
      <c r="C912" s="1">
        <v>8.53125</v>
      </c>
      <c r="D912" s="1"/>
      <c r="E912">
        <f>(A912-m_phot!L$4)/m_phot!L$5-INT((A912-m_phot!L$4)/m_phot!L$5)</f>
        <v>0.59361042253517837</v>
      </c>
      <c r="F912">
        <f t="shared" si="24"/>
        <v>8.53125</v>
      </c>
      <c r="H912" t="str">
        <f>IF(E912&lt;0.05,INT(($A912-m_phot!$L$4)/m_phot!$L$5),"")</f>
        <v/>
      </c>
      <c r="I912" t="str">
        <f t="shared" si="25"/>
        <v/>
      </c>
      <c r="J912">
        <f t="shared" si="26"/>
        <v>-0.30180199999999857</v>
      </c>
    </row>
    <row r="913" spans="1:10" ht="14.25" customHeight="1" x14ac:dyDescent="0.25">
      <c r="A913" s="1">
        <v>2453393.57583</v>
      </c>
      <c r="B913" s="1" t="s">
        <v>1271</v>
      </c>
      <c r="C913" s="1">
        <v>8.733333</v>
      </c>
      <c r="D913" s="1"/>
      <c r="E913">
        <f>(A913-m_phot!L$4)/m_phot!L$5-INT((A913-m_phot!L$4)/m_phot!L$5)</f>
        <v>0.60817615431719219</v>
      </c>
      <c r="F913">
        <f t="shared" si="24"/>
        <v>8.733333</v>
      </c>
      <c r="H913" t="str">
        <f>IF(E913&lt;0.05,INT(($A913-m_phot!$L$4)/m_phot!$L$5),"")</f>
        <v/>
      </c>
      <c r="I913" t="str">
        <f t="shared" si="25"/>
        <v/>
      </c>
      <c r="J913">
        <f t="shared" si="26"/>
        <v>-9.9718999999998559E-2</v>
      </c>
    </row>
    <row r="914" spans="1:10" ht="14.25" customHeight="1" x14ac:dyDescent="0.25">
      <c r="A914" s="1">
        <v>2453457.1353000002</v>
      </c>
      <c r="B914" s="1" t="s">
        <v>1272</v>
      </c>
      <c r="C914" s="1">
        <v>8.5749999999999993</v>
      </c>
      <c r="D914" s="1"/>
      <c r="E914">
        <f>(A914-m_phot!L$4)/m_phot!L$5-INT((A914-m_phot!L$4)/m_phot!L$5)</f>
        <v>0.68601996325805104</v>
      </c>
      <c r="F914">
        <f t="shared" si="24"/>
        <v>8.5749999999999993</v>
      </c>
      <c r="H914" t="str">
        <f>IF(E914&lt;0.05,INT(($A914-m_phot!$L$4)/m_phot!$L$5),"")</f>
        <v/>
      </c>
      <c r="I914" t="str">
        <f t="shared" si="25"/>
        <v/>
      </c>
      <c r="J914">
        <f t="shared" si="26"/>
        <v>-0.25805199999999928</v>
      </c>
    </row>
    <row r="915" spans="1:10" ht="14.25" customHeight="1" x14ac:dyDescent="0.25">
      <c r="A915" s="1">
        <v>2453476.6196699999</v>
      </c>
      <c r="B915" s="1" t="s">
        <v>1273</v>
      </c>
      <c r="C915" s="1">
        <v>8.8000000000000007</v>
      </c>
      <c r="D915" s="1"/>
      <c r="E915">
        <f>(A915-m_phot!L$4)/m_phot!L$5-INT((A915-m_phot!L$4)/m_phot!L$5)</f>
        <v>0.70988324556022775</v>
      </c>
      <c r="F915">
        <f t="shared" si="24"/>
        <v>8.8000000000000007</v>
      </c>
      <c r="H915" t="str">
        <f>IF(E915&lt;0.05,INT(($A915-m_phot!$L$4)/m_phot!$L$5),"")</f>
        <v/>
      </c>
      <c r="I915" t="str">
        <f t="shared" si="25"/>
        <v/>
      </c>
      <c r="J915">
        <f t="shared" si="26"/>
        <v>-3.3051999999997861E-2</v>
      </c>
    </row>
    <row r="916" spans="1:10" ht="14.25" customHeight="1" x14ac:dyDescent="0.25">
      <c r="A916" s="1">
        <v>2453496.9105699998</v>
      </c>
      <c r="B916" s="1" t="s">
        <v>1274</v>
      </c>
      <c r="C916" s="1">
        <v>8.6999999999999993</v>
      </c>
      <c r="D916" s="1"/>
      <c r="E916">
        <f>(A916-m_phot!L$4)/m_phot!L$5-INT((A916-m_phot!L$4)/m_phot!L$5)</f>
        <v>0.73473431720738702</v>
      </c>
      <c r="F916">
        <f t="shared" si="24"/>
        <v>8.6999999999999993</v>
      </c>
      <c r="H916" t="str">
        <f>IF(E916&lt;0.05,INT(($A916-m_phot!$L$4)/m_phot!$L$5),"")</f>
        <v/>
      </c>
      <c r="I916" t="str">
        <f t="shared" si="25"/>
        <v/>
      </c>
      <c r="J916">
        <f t="shared" si="26"/>
        <v>-0.13305199999999928</v>
      </c>
    </row>
    <row r="917" spans="1:10" ht="14.25" customHeight="1" x14ac:dyDescent="0.25">
      <c r="A917" s="1">
        <v>2453510.4164700001</v>
      </c>
      <c r="B917" s="1" t="s">
        <v>1275</v>
      </c>
      <c r="C917" s="1">
        <v>8.5777780000000003</v>
      </c>
      <c r="D917" s="1"/>
      <c r="E917">
        <f>(A917-m_phot!L$4)/m_phot!L$5-INT((A917-m_phot!L$4)/m_phot!L$5)</f>
        <v>0.75127552970000622</v>
      </c>
      <c r="F917">
        <f t="shared" si="24"/>
        <v>8.5777780000000003</v>
      </c>
      <c r="H917" t="str">
        <f>IF(E917&lt;0.05,INT(($A917-m_phot!$L$4)/m_phot!$L$5),"")</f>
        <v/>
      </c>
      <c r="I917" t="str">
        <f t="shared" si="25"/>
        <v/>
      </c>
      <c r="J917">
        <f t="shared" si="26"/>
        <v>-0.25527399999999822</v>
      </c>
    </row>
    <row r="918" spans="1:10" ht="14.25" customHeight="1" x14ac:dyDescent="0.25">
      <c r="A918" s="1">
        <v>2453526.7296099998</v>
      </c>
      <c r="B918" s="1" t="s">
        <v>1276</v>
      </c>
      <c r="C918" s="1">
        <v>8.6058819999999994</v>
      </c>
      <c r="D918" s="1"/>
      <c r="E918">
        <f>(A918-m_phot!L$4)/m_phot!L$5-INT((A918-m_phot!L$4)/m_phot!L$5)</f>
        <v>0.77125488058763736</v>
      </c>
      <c r="F918">
        <f t="shared" si="24"/>
        <v>8.6058819999999994</v>
      </c>
      <c r="H918" t="str">
        <f>IF(E918&lt;0.05,INT(($A918-m_phot!$L$4)/m_phot!$L$5),"")</f>
        <v/>
      </c>
      <c r="I918" t="str">
        <f t="shared" si="25"/>
        <v/>
      </c>
      <c r="J918">
        <f t="shared" si="26"/>
        <v>-0.22716999999999921</v>
      </c>
    </row>
    <row r="919" spans="1:10" ht="14.25" customHeight="1" x14ac:dyDescent="0.25">
      <c r="A919" s="1">
        <v>2453544.9010000001</v>
      </c>
      <c r="B919" s="1" t="s">
        <v>1277</v>
      </c>
      <c r="C919" s="1">
        <v>8.661111</v>
      </c>
      <c r="D919" s="1"/>
      <c r="E919">
        <f>(A919-m_phot!L$4)/m_phot!L$5-INT((A919-m_phot!L$4)/m_phot!L$5)</f>
        <v>0.79351010410296396</v>
      </c>
      <c r="F919">
        <f t="shared" ref="F919:F982" si="27">+C919</f>
        <v>8.661111</v>
      </c>
      <c r="H919" t="str">
        <f>IF(E919&lt;0.05,INT(($A919-m_phot!$L$4)/m_phot!$L$5),"")</f>
        <v/>
      </c>
      <c r="I919" t="str">
        <f t="shared" si="25"/>
        <v/>
      </c>
      <c r="J919">
        <f t="shared" si="26"/>
        <v>-0.17194099999999857</v>
      </c>
    </row>
    <row r="920" spans="1:10" ht="14.25" customHeight="1" x14ac:dyDescent="0.25">
      <c r="A920" s="1">
        <v>2453559.7316299998</v>
      </c>
      <c r="B920" s="1" t="s">
        <v>1278</v>
      </c>
      <c r="C920" s="1">
        <v>8.713889</v>
      </c>
      <c r="D920" s="1"/>
      <c r="E920">
        <f>(A920-m_phot!L$4)/m_phot!L$5-INT((A920-m_phot!L$4)/m_phot!L$5)</f>
        <v>0.81167376607448816</v>
      </c>
      <c r="F920">
        <f t="shared" si="27"/>
        <v>8.713889</v>
      </c>
      <c r="H920" t="str">
        <f>IF(E920&lt;0.05,INT(($A920-m_phot!$L$4)/m_phot!$L$5),"")</f>
        <v/>
      </c>
      <c r="I920" t="str">
        <f t="shared" si="25"/>
        <v/>
      </c>
      <c r="J920">
        <f t="shared" si="26"/>
        <v>-0.11916299999999858</v>
      </c>
    </row>
    <row r="921" spans="1:10" ht="14.25" customHeight="1" x14ac:dyDescent="0.25">
      <c r="A921" s="1">
        <v>2453575.733</v>
      </c>
      <c r="B921" s="1" t="s">
        <v>1279</v>
      </c>
      <c r="C921" s="1">
        <v>8.6906250000000007</v>
      </c>
      <c r="D921" s="1"/>
      <c r="E921">
        <f>(A921-m_phot!L$4)/m_phot!L$5-INT((A921-m_phot!L$4)/m_phot!L$5)</f>
        <v>0.83127127985304128</v>
      </c>
      <c r="F921">
        <f t="shared" si="27"/>
        <v>8.6906250000000007</v>
      </c>
      <c r="H921" t="str">
        <f>IF(E921&lt;0.05,INT(($A921-m_phot!$L$4)/m_phot!$L$5),"")</f>
        <v/>
      </c>
      <c r="I921" t="str">
        <f t="shared" si="25"/>
        <v/>
      </c>
      <c r="J921">
        <f t="shared" si="26"/>
        <v>-0.14242699999999786</v>
      </c>
    </row>
    <row r="922" spans="1:10" ht="14.25" customHeight="1" x14ac:dyDescent="0.25">
      <c r="A922" s="1">
        <v>2453590.97933</v>
      </c>
      <c r="B922" s="1" t="s">
        <v>1280</v>
      </c>
      <c r="C922" s="1">
        <v>8.7534480000000006</v>
      </c>
      <c r="D922" s="1"/>
      <c r="E922">
        <f>(A922-m_phot!L$4)/m_phot!L$5-INT((A922-m_phot!L$4)/m_phot!L$5)</f>
        <v>0.8499440661359472</v>
      </c>
      <c r="F922">
        <f t="shared" si="27"/>
        <v>8.7534480000000006</v>
      </c>
      <c r="H922" t="str">
        <f>IF(E922&lt;0.05,INT(($A922-m_phot!$L$4)/m_phot!$L$5),"")</f>
        <v/>
      </c>
      <c r="I922" t="str">
        <f t="shared" si="25"/>
        <v/>
      </c>
      <c r="J922">
        <f t="shared" si="26"/>
        <v>-7.960399999999801E-2</v>
      </c>
    </row>
    <row r="923" spans="1:10" ht="14.25" customHeight="1" x14ac:dyDescent="0.25">
      <c r="A923" s="1">
        <v>2453607.29972</v>
      </c>
      <c r="B923" s="1" t="s">
        <v>1281</v>
      </c>
      <c r="C923" s="1">
        <v>8.7455879999999997</v>
      </c>
      <c r="D923" s="1"/>
      <c r="E923">
        <f>(A923-m_phot!L$4)/m_phot!L$5-INT((A923-m_phot!L$4)/m_phot!L$5)</f>
        <v>0.86993229638703085</v>
      </c>
      <c r="F923">
        <f t="shared" si="27"/>
        <v>8.7455879999999997</v>
      </c>
      <c r="H923" t="str">
        <f>IF(E923&lt;0.05,INT(($A923-m_phot!$L$4)/m_phot!$L$5),"")</f>
        <v/>
      </c>
      <c r="I923" t="str">
        <f t="shared" si="25"/>
        <v/>
      </c>
      <c r="J923">
        <f t="shared" si="26"/>
        <v>-8.7463999999998876E-2</v>
      </c>
    </row>
    <row r="924" spans="1:10" ht="14.25" customHeight="1" x14ac:dyDescent="0.25">
      <c r="A924" s="1">
        <v>2453619.5743900002</v>
      </c>
      <c r="B924" s="1" t="s">
        <v>1282</v>
      </c>
      <c r="C924" s="1">
        <v>8.7527469999999994</v>
      </c>
      <c r="D924" s="1"/>
      <c r="E924">
        <f>(A924-m_phot!L$4)/m_phot!L$5-INT((A924-m_phot!L$4)/m_phot!L$5)</f>
        <v>0.88496557256607389</v>
      </c>
      <c r="F924">
        <f t="shared" si="27"/>
        <v>8.7527469999999994</v>
      </c>
      <c r="H924" t="str">
        <f>IF(E924&lt;0.05,INT(($A924-m_phot!$L$4)/m_phot!$L$5),"")</f>
        <v/>
      </c>
      <c r="I924" t="str">
        <f t="shared" si="25"/>
        <v/>
      </c>
      <c r="J924">
        <f t="shared" si="26"/>
        <v>-8.0304999999999183E-2</v>
      </c>
    </row>
    <row r="925" spans="1:10" ht="14.25" customHeight="1" x14ac:dyDescent="0.25">
      <c r="A925" s="1">
        <v>2453637.6137399999</v>
      </c>
      <c r="B925" s="1" t="s">
        <v>1283</v>
      </c>
      <c r="C925" s="1">
        <v>8.7935479999999995</v>
      </c>
      <c r="D925" s="1"/>
      <c r="E925">
        <f>(A925-m_phot!L$4)/m_phot!L$5-INT((A925-m_phot!L$4)/m_phot!L$5)</f>
        <v>0.90705908144512293</v>
      </c>
      <c r="F925">
        <f t="shared" si="27"/>
        <v>8.7935479999999995</v>
      </c>
      <c r="H925" t="str">
        <f>IF(E925&lt;0.05,INT(($A925-m_phot!$L$4)/m_phot!$L$5),"")</f>
        <v/>
      </c>
      <c r="I925" t="str">
        <f t="shared" si="25"/>
        <v/>
      </c>
      <c r="J925">
        <f t="shared" si="26"/>
        <v>-3.9503999999999095E-2</v>
      </c>
    </row>
    <row r="926" spans="1:10" ht="14.25" customHeight="1" x14ac:dyDescent="0.25">
      <c r="A926" s="1">
        <v>2453651.1311599999</v>
      </c>
      <c r="B926" s="1" t="s">
        <v>1284</v>
      </c>
      <c r="C926" s="1">
        <v>8.8029849999999996</v>
      </c>
      <c r="D926" s="1"/>
      <c r="E926">
        <f>(A926-m_phot!L$4)/m_phot!L$5-INT((A926-m_phot!L$4)/m_phot!L$5)</f>
        <v>0.92361440293922215</v>
      </c>
      <c r="F926">
        <f t="shared" si="27"/>
        <v>8.8029849999999996</v>
      </c>
      <c r="H926" t="str">
        <f>IF(E926&lt;0.05,INT(($A926-m_phot!$L$4)/m_phot!$L$5),"")</f>
        <v/>
      </c>
      <c r="I926" t="str">
        <f t="shared" si="25"/>
        <v/>
      </c>
      <c r="J926">
        <f t="shared" si="26"/>
        <v>-3.0066999999998956E-2</v>
      </c>
    </row>
    <row r="927" spans="1:10" ht="14.25" customHeight="1" x14ac:dyDescent="0.25">
      <c r="A927" s="1">
        <v>2453668.5430000001</v>
      </c>
      <c r="B927" s="1" t="s">
        <v>1285</v>
      </c>
      <c r="C927" s="1">
        <v>8.8309090000000001</v>
      </c>
      <c r="D927" s="1"/>
      <c r="E927">
        <f>(A927-m_phot!L$4)/m_phot!L$5-INT((A927-m_phot!L$4)/m_phot!L$5)</f>
        <v>0.94493937538280903</v>
      </c>
      <c r="F927">
        <f t="shared" si="27"/>
        <v>8.8309090000000001</v>
      </c>
      <c r="H927" t="str">
        <f>IF(E927&lt;0.05,INT(($A927-m_phot!$L$4)/m_phot!$L$5),"")</f>
        <v/>
      </c>
      <c r="I927" t="str">
        <f t="shared" si="25"/>
        <v/>
      </c>
      <c r="J927">
        <f t="shared" si="26"/>
        <v>-2.1429999999984517E-3</v>
      </c>
    </row>
    <row r="928" spans="1:10" ht="14.25" customHeight="1" x14ac:dyDescent="0.25">
      <c r="A928" s="1">
        <v>2453680.3961</v>
      </c>
      <c r="B928" s="1" t="s">
        <v>1286</v>
      </c>
      <c r="C928" s="1">
        <v>8.8132350000000006</v>
      </c>
      <c r="D928" s="1"/>
      <c r="E928">
        <f>(A928-m_phot!L$4)/m_phot!L$5-INT((A928-m_phot!L$4)/m_phot!L$5)</f>
        <v>0.9594563380281862</v>
      </c>
      <c r="F928">
        <f t="shared" si="27"/>
        <v>8.8132350000000006</v>
      </c>
      <c r="H928" t="str">
        <f>IF(E928&lt;0.05,INT(($A928-m_phot!$L$4)/m_phot!$L$5),"")</f>
        <v/>
      </c>
      <c r="I928" t="str">
        <f t="shared" si="25"/>
        <v/>
      </c>
      <c r="J928">
        <f t="shared" si="26"/>
        <v>-1.9816999999997975E-2</v>
      </c>
    </row>
    <row r="929" spans="1:10" ht="14.25" customHeight="1" x14ac:dyDescent="0.25">
      <c r="A929" s="1">
        <v>2453698.1928699999</v>
      </c>
      <c r="B929" s="1" t="s">
        <v>1287</v>
      </c>
      <c r="C929" s="1">
        <v>8.8954550000000001</v>
      </c>
      <c r="D929" s="1"/>
      <c r="E929">
        <f>(A929-m_phot!L$4)/m_phot!L$5-INT((A929-m_phot!L$4)/m_phot!L$5)</f>
        <v>0.98125274954061581</v>
      </c>
      <c r="F929">
        <f t="shared" si="27"/>
        <v>8.8954550000000001</v>
      </c>
      <c r="H929" t="str">
        <f>IF(E929&lt;0.05,INT(($A929-m_phot!$L$4)/m_phot!$L$5),"")</f>
        <v/>
      </c>
      <c r="I929" t="str">
        <f t="shared" si="25"/>
        <v/>
      </c>
      <c r="J929">
        <f t="shared" si="26"/>
        <v>6.2403000000001541E-2</v>
      </c>
    </row>
    <row r="930" spans="1:10" ht="14.25" customHeight="1" x14ac:dyDescent="0.25">
      <c r="A930" s="1">
        <v>2453712.0239300001</v>
      </c>
      <c r="B930" s="1" t="s">
        <v>1288</v>
      </c>
      <c r="C930" s="1">
        <v>8.9079999999999995</v>
      </c>
      <c r="D930" s="1"/>
      <c r="E930">
        <f>(A930-m_phot!L$4)/m_phot!L$5-INT((A930-m_phot!L$4)/m_phot!L$5)</f>
        <v>0.9981921984080131</v>
      </c>
      <c r="F930">
        <f t="shared" si="27"/>
        <v>8.9079999999999995</v>
      </c>
      <c r="H930" t="str">
        <f>IF(E930&lt;0.05,INT(($A930-m_phot!$L$4)/m_phot!$L$5),"")</f>
        <v/>
      </c>
      <c r="I930" t="str">
        <f t="shared" si="25"/>
        <v/>
      </c>
      <c r="J930">
        <f t="shared" si="26"/>
        <v>7.4948000000000903E-2</v>
      </c>
    </row>
    <row r="931" spans="1:10" ht="14.25" customHeight="1" x14ac:dyDescent="0.25">
      <c r="A931" s="1">
        <v>2453727.6340700001</v>
      </c>
      <c r="B931" s="1" t="s">
        <v>1289</v>
      </c>
      <c r="C931" s="1">
        <v>8.9222219999999997</v>
      </c>
      <c r="D931" s="1"/>
      <c r="E931">
        <f>(A931-m_phot!L$4)/m_phot!L$5-INT((A931-m_phot!L$4)/m_phot!L$5)</f>
        <v>1.7310557256760006E-2</v>
      </c>
      <c r="F931">
        <f t="shared" si="27"/>
        <v>8.9222219999999997</v>
      </c>
      <c r="H931">
        <f>IF(E931&lt;0.05,INT(($A931-m_phot!$L$4)/m_phot!$L$5),"")</f>
        <v>27</v>
      </c>
      <c r="I931">
        <f t="shared" si="25"/>
        <v>8.8784184999999987</v>
      </c>
      <c r="J931">
        <f>+C931-I$931</f>
        <v>4.3803500000000994E-2</v>
      </c>
    </row>
    <row r="932" spans="1:10" ht="14.25" customHeight="1" x14ac:dyDescent="0.25">
      <c r="A932" s="1">
        <v>2453745.5065700002</v>
      </c>
      <c r="B932" s="1" t="s">
        <v>1290</v>
      </c>
      <c r="C932" s="1">
        <v>8.8346149999999994</v>
      </c>
      <c r="D932" s="1"/>
      <c r="E932">
        <f>(A932-m_phot!L$4)/m_phot!L$5-INT((A932-m_phot!L$4)/m_phot!L$5)</f>
        <v>3.9199718310104714E-2</v>
      </c>
      <c r="F932">
        <f t="shared" si="27"/>
        <v>8.8346149999999994</v>
      </c>
      <c r="H932">
        <f>IF(E932&lt;0.05,INT(($A932-m_phot!$L$4)/m_phot!$L$5),"")</f>
        <v>27</v>
      </c>
      <c r="I932">
        <f t="shared" si="25"/>
        <v>8.7998075</v>
      </c>
      <c r="J932">
        <f t="shared" ref="J932:J975" si="28">+C932-I$931</f>
        <v>-4.3803499999999218E-2</v>
      </c>
    </row>
    <row r="933" spans="1:10" ht="14.25" customHeight="1" x14ac:dyDescent="0.25">
      <c r="A933" s="1">
        <v>2453759.84338</v>
      </c>
      <c r="B933" s="1" t="s">
        <v>1291</v>
      </c>
      <c r="C933" s="1">
        <v>8.7650000000000006</v>
      </c>
      <c r="D933" s="1"/>
      <c r="E933">
        <f>(A933-m_phot!L$4)/m_phot!L$5-INT((A933-m_phot!L$4)/m_phot!L$5)</f>
        <v>5.6758579301870782E-2</v>
      </c>
      <c r="F933">
        <f t="shared" si="27"/>
        <v>8.7650000000000006</v>
      </c>
      <c r="H933" t="str">
        <f>IF(E933&lt;0.05,INT(($A933-m_phot!$L$4)/m_phot!$L$5),"")</f>
        <v/>
      </c>
      <c r="I933" t="str">
        <f t="shared" si="25"/>
        <v/>
      </c>
      <c r="J933">
        <f t="shared" si="28"/>
        <v>-0.11341849999999809</v>
      </c>
    </row>
    <row r="934" spans="1:10" ht="14.25" customHeight="1" x14ac:dyDescent="0.25">
      <c r="A934" s="1">
        <v>2453808.67</v>
      </c>
      <c r="B934" s="1" t="s">
        <v>1292</v>
      </c>
      <c r="C934" s="1">
        <v>9.1</v>
      </c>
      <c r="D934" s="1"/>
      <c r="E934">
        <f>(A934-m_phot!L$4)/m_phot!L$5-INT((A934-m_phot!L$4)/m_phot!L$5)</f>
        <v>0.11655848132262747</v>
      </c>
      <c r="F934">
        <f t="shared" si="27"/>
        <v>9.1</v>
      </c>
      <c r="H934" t="str">
        <f>IF(E934&lt;0.05,INT(($A934-m_phot!$L$4)/m_phot!$L$5),"")</f>
        <v/>
      </c>
      <c r="I934" t="str">
        <f t="shared" si="25"/>
        <v/>
      </c>
      <c r="J934">
        <f t="shared" si="28"/>
        <v>0.22158150000000099</v>
      </c>
    </row>
    <row r="935" spans="1:10" ht="14.25" customHeight="1" x14ac:dyDescent="0.25">
      <c r="A935" s="1">
        <v>2453830.1401999998</v>
      </c>
      <c r="B935" s="1" t="s">
        <v>1293</v>
      </c>
      <c r="C935" s="1">
        <v>8.7750000000000004</v>
      </c>
      <c r="D935" s="1"/>
      <c r="E935">
        <f>(A935-m_phot!L$4)/m_phot!L$5-INT((A935-m_phot!L$4)/m_phot!L$5)</f>
        <v>0.14285388854842651</v>
      </c>
      <c r="F935">
        <f t="shared" si="27"/>
        <v>8.7750000000000004</v>
      </c>
      <c r="H935" t="str">
        <f>IF(E935&lt;0.05,INT(($A935-m_phot!$L$4)/m_phot!$L$5),"")</f>
        <v/>
      </c>
      <c r="I935" t="str">
        <f t="shared" si="25"/>
        <v/>
      </c>
      <c r="J935">
        <f t="shared" si="28"/>
        <v>-0.1034184999999983</v>
      </c>
    </row>
    <row r="936" spans="1:10" ht="14.25" customHeight="1" x14ac:dyDescent="0.25">
      <c r="A936" s="1">
        <v>2453847.9360000002</v>
      </c>
      <c r="B936" s="1" t="s">
        <v>1294</v>
      </c>
      <c r="C936" s="1">
        <v>8.9</v>
      </c>
      <c r="D936" s="1"/>
      <c r="E936">
        <f>(A936-m_phot!L$4)/m_phot!L$5-INT((A936-m_phot!L$4)/m_phot!L$5)</f>
        <v>0.16464911206395527</v>
      </c>
      <c r="F936">
        <f t="shared" si="27"/>
        <v>8.9</v>
      </c>
      <c r="H936" t="str">
        <f>IF(E936&lt;0.05,INT(($A936-m_phot!$L$4)/m_phot!$L$5),"")</f>
        <v/>
      </c>
      <c r="I936" t="str">
        <f t="shared" si="25"/>
        <v/>
      </c>
      <c r="J936">
        <f t="shared" si="28"/>
        <v>2.1581500000001697E-2</v>
      </c>
    </row>
    <row r="937" spans="1:10" ht="14.25" customHeight="1" x14ac:dyDescent="0.25">
      <c r="A937" s="1">
        <v>2453864.2626700001</v>
      </c>
      <c r="B937" s="1" t="s">
        <v>1295</v>
      </c>
      <c r="C937" s="1">
        <v>8.6666670000000003</v>
      </c>
      <c r="D937" s="1"/>
      <c r="E937">
        <f>(A937-m_phot!L$4)/m_phot!L$5-INT((A937-m_phot!L$4)/m_phot!L$5)</f>
        <v>0.1846450336804466</v>
      </c>
      <c r="F937">
        <f t="shared" si="27"/>
        <v>8.6666670000000003</v>
      </c>
      <c r="H937" t="str">
        <f>IF(E937&lt;0.05,INT(($A937-m_phot!$L$4)/m_phot!$L$5),"")</f>
        <v/>
      </c>
      <c r="I937" t="str">
        <f t="shared" si="25"/>
        <v/>
      </c>
      <c r="J937">
        <f t="shared" si="28"/>
        <v>-0.21175149999999832</v>
      </c>
    </row>
    <row r="938" spans="1:10" ht="14.25" customHeight="1" x14ac:dyDescent="0.25">
      <c r="A938" s="1">
        <v>2453885.3737499998</v>
      </c>
      <c r="B938" s="1" t="s">
        <v>1296</v>
      </c>
      <c r="C938" s="1">
        <v>8.7249999999999996</v>
      </c>
      <c r="D938" s="1"/>
      <c r="E938">
        <f>(A938-m_phot!L$4)/m_phot!L$5-INT((A938-m_phot!L$4)/m_phot!L$5)</f>
        <v>0.21050061236962136</v>
      </c>
      <c r="F938">
        <f t="shared" si="27"/>
        <v>8.7249999999999996</v>
      </c>
      <c r="H938" t="str">
        <f>IF(E938&lt;0.05,INT(($A938-m_phot!$L$4)/m_phot!$L$5),"")</f>
        <v/>
      </c>
      <c r="I938" t="str">
        <f t="shared" ref="I938:I1001" si="29">IF(H938&lt;&gt;"",AVERAGE(C938:C939),"")</f>
        <v/>
      </c>
      <c r="J938">
        <f t="shared" si="28"/>
        <v>-0.15341849999999901</v>
      </c>
    </row>
    <row r="939" spans="1:10" ht="14.25" customHeight="1" x14ac:dyDescent="0.25">
      <c r="A939" s="1">
        <v>2453901.3586400002</v>
      </c>
      <c r="B939" s="1" t="s">
        <v>1297</v>
      </c>
      <c r="C939" s="1">
        <v>8.6588239999999992</v>
      </c>
      <c r="D939" s="1"/>
      <c r="E939">
        <f>(A939-m_phot!L$4)/m_phot!L$5-INT((A939-m_phot!L$4)/m_phot!L$5)</f>
        <v>0.23007794243750723</v>
      </c>
      <c r="F939">
        <f t="shared" si="27"/>
        <v>8.6588239999999992</v>
      </c>
      <c r="H939" t="str">
        <f>IF(E939&lt;0.05,INT(($A939-m_phot!$L$4)/m_phot!$L$5),"")</f>
        <v/>
      </c>
      <c r="I939" t="str">
        <f t="shared" si="29"/>
        <v/>
      </c>
      <c r="J939">
        <f t="shared" si="28"/>
        <v>-0.21959449999999947</v>
      </c>
    </row>
    <row r="940" spans="1:10" ht="14.25" customHeight="1" x14ac:dyDescent="0.25">
      <c r="A940" s="1">
        <v>2453918.7728400002</v>
      </c>
      <c r="B940" s="1" t="s">
        <v>1298</v>
      </c>
      <c r="C940" s="1">
        <v>8.6954550000000008</v>
      </c>
      <c r="D940" s="1"/>
      <c r="E940">
        <f>(A940-m_phot!L$4)/m_phot!L$5-INT((A940-m_phot!L$4)/m_phot!L$5)</f>
        <v>0.25140580526665346</v>
      </c>
      <c r="F940">
        <f t="shared" si="27"/>
        <v>8.6954550000000008</v>
      </c>
      <c r="H940" t="str">
        <f>IF(E940&lt;0.05,INT(($A940-m_phot!$L$4)/m_phot!$L$5),"")</f>
        <v/>
      </c>
      <c r="I940" t="str">
        <f t="shared" si="29"/>
        <v/>
      </c>
      <c r="J940">
        <f t="shared" si="28"/>
        <v>-0.18296349999999784</v>
      </c>
    </row>
    <row r="941" spans="1:10" ht="14.25" customHeight="1" x14ac:dyDescent="0.25">
      <c r="A941" s="1">
        <v>2453933.6669200002</v>
      </c>
      <c r="B941" s="1" t="s">
        <v>1299</v>
      </c>
      <c r="C941" s="1">
        <v>8.6866669999999999</v>
      </c>
      <c r="D941" s="1"/>
      <c r="E941">
        <f>(A941-m_phot!L$4)/m_phot!L$5-INT((A941-m_phot!L$4)/m_phot!L$5)</f>
        <v>0.26964717697516249</v>
      </c>
      <c r="F941">
        <f t="shared" si="27"/>
        <v>8.6866669999999999</v>
      </c>
      <c r="H941" t="str">
        <f>IF(E941&lt;0.05,INT(($A941-m_phot!$L$4)/m_phot!$L$5),"")</f>
        <v/>
      </c>
      <c r="I941" t="str">
        <f t="shared" si="29"/>
        <v/>
      </c>
      <c r="J941">
        <f t="shared" si="28"/>
        <v>-0.19175149999999874</v>
      </c>
    </row>
    <row r="942" spans="1:10" ht="14.25" customHeight="1" x14ac:dyDescent="0.25">
      <c r="A942" s="1">
        <v>2453946.7201899998</v>
      </c>
      <c r="B942" s="1" t="s">
        <v>1300</v>
      </c>
      <c r="C942" s="1">
        <v>8.6148150000000001</v>
      </c>
      <c r="D942" s="1"/>
      <c r="E942">
        <f>(A942-m_phot!L$4)/m_phot!L$5-INT((A942-m_phot!L$4)/m_phot!L$5)</f>
        <v>0.28563403551719446</v>
      </c>
      <c r="F942">
        <f t="shared" si="27"/>
        <v>8.6148150000000001</v>
      </c>
      <c r="H942" t="str">
        <f>IF(E942&lt;0.05,INT(($A942-m_phot!$L$4)/m_phot!$L$5),"")</f>
        <v/>
      </c>
      <c r="I942" t="str">
        <f t="shared" si="29"/>
        <v/>
      </c>
      <c r="J942">
        <f t="shared" si="28"/>
        <v>-0.26360349999999855</v>
      </c>
    </row>
    <row r="943" spans="1:10" ht="14.25" customHeight="1" x14ac:dyDescent="0.25">
      <c r="A943" s="1">
        <v>2453964.6482099998</v>
      </c>
      <c r="B943" s="1" t="s">
        <v>1301</v>
      </c>
      <c r="C943" s="1">
        <v>8.5640630000000009</v>
      </c>
      <c r="D943" s="1"/>
      <c r="E943">
        <f>(A943-m_phot!L$4)/m_phot!L$5-INT((A943-m_phot!L$4)/m_phot!L$5)</f>
        <v>0.30759119412098102</v>
      </c>
      <c r="F943">
        <f t="shared" si="27"/>
        <v>8.5640630000000009</v>
      </c>
      <c r="H943" t="str">
        <f>IF(E943&lt;0.05,INT(($A943-m_phot!$L$4)/m_phot!$L$5),"")</f>
        <v/>
      </c>
      <c r="I943" t="str">
        <f t="shared" si="29"/>
        <v/>
      </c>
      <c r="J943">
        <f t="shared" si="28"/>
        <v>-0.31435549999999779</v>
      </c>
    </row>
    <row r="944" spans="1:10" ht="14.25" customHeight="1" x14ac:dyDescent="0.25">
      <c r="A944" s="1">
        <v>2453979.2744999998</v>
      </c>
      <c r="B944" s="1" t="s">
        <v>1302</v>
      </c>
      <c r="C944" s="1">
        <v>8.5584620000000005</v>
      </c>
      <c r="D944" s="1"/>
      <c r="E944">
        <f>(A944-m_phot!L$4)/m_phot!L$5-INT((A944-m_phot!L$4)/m_phot!L$5)</f>
        <v>0.3255045927738216</v>
      </c>
      <c r="F944">
        <f t="shared" si="27"/>
        <v>8.5584620000000005</v>
      </c>
      <c r="H944" t="str">
        <f>IF(E944&lt;0.05,INT(($A944-m_phot!$L$4)/m_phot!$L$5),"")</f>
        <v/>
      </c>
      <c r="I944" t="str">
        <f t="shared" si="29"/>
        <v/>
      </c>
      <c r="J944">
        <f t="shared" si="28"/>
        <v>-0.3199564999999982</v>
      </c>
    </row>
    <row r="945" spans="1:10" ht="14.25" customHeight="1" x14ac:dyDescent="0.25">
      <c r="A945" s="1">
        <v>2453994.2604299998</v>
      </c>
      <c r="B945" s="1" t="s">
        <v>1303</v>
      </c>
      <c r="C945" s="1">
        <v>8.5932289999999991</v>
      </c>
      <c r="D945" s="1"/>
      <c r="E945">
        <f>(A945-m_phot!L$4)/m_phot!L$5-INT((A945-m_phot!L$4)/m_phot!L$5)</f>
        <v>0.34385845682766814</v>
      </c>
      <c r="F945">
        <f t="shared" si="27"/>
        <v>8.5932289999999991</v>
      </c>
      <c r="H945" t="str">
        <f>IF(E945&lt;0.05,INT(($A945-m_phot!$L$4)/m_phot!$L$5),"")</f>
        <v/>
      </c>
      <c r="I945" t="str">
        <f t="shared" si="29"/>
        <v/>
      </c>
      <c r="J945">
        <f t="shared" si="28"/>
        <v>-0.28518949999999954</v>
      </c>
    </row>
    <row r="946" spans="1:10" ht="14.25" customHeight="1" x14ac:dyDescent="0.25">
      <c r="A946" s="1">
        <v>2454008.9790599998</v>
      </c>
      <c r="B946" s="1" t="s">
        <v>1304</v>
      </c>
      <c r="C946" s="1">
        <v>8.5023809999999997</v>
      </c>
      <c r="D946" s="1"/>
      <c r="E946">
        <f>(A946-m_phot!L$4)/m_phot!L$5-INT((A946-m_phot!L$4)/m_phot!L$5)</f>
        <v>0.36188494794832593</v>
      </c>
      <c r="F946">
        <f t="shared" si="27"/>
        <v>8.5023809999999997</v>
      </c>
      <c r="H946" t="str">
        <f>IF(E946&lt;0.05,INT(($A946-m_phot!$L$4)/m_phot!$L$5),"")</f>
        <v/>
      </c>
      <c r="I946" t="str">
        <f t="shared" si="29"/>
        <v/>
      </c>
      <c r="J946">
        <f t="shared" si="28"/>
        <v>-0.37603749999999891</v>
      </c>
    </row>
    <row r="947" spans="1:10" ht="14.25" customHeight="1" x14ac:dyDescent="0.25">
      <c r="A947" s="1">
        <v>2454023.8336800002</v>
      </c>
      <c r="B947" s="1" t="s">
        <v>1305</v>
      </c>
      <c r="C947" s="1">
        <v>8.5446670000000005</v>
      </c>
      <c r="D947" s="1"/>
      <c r="E947">
        <f>(A947-m_phot!L$4)/m_phot!L$5-INT((A947-m_phot!L$4)/m_phot!L$5)</f>
        <v>0.3800779914270116</v>
      </c>
      <c r="F947">
        <f t="shared" si="27"/>
        <v>8.5446670000000005</v>
      </c>
      <c r="H947" t="str">
        <f>IF(E947&lt;0.05,INT(($A947-m_phot!$L$4)/m_phot!$L$5),"")</f>
        <v/>
      </c>
      <c r="I947" t="str">
        <f t="shared" si="29"/>
        <v/>
      </c>
      <c r="J947">
        <f t="shared" si="28"/>
        <v>-0.3337514999999982</v>
      </c>
    </row>
    <row r="948" spans="1:10" ht="14.25" customHeight="1" x14ac:dyDescent="0.25">
      <c r="A948" s="1">
        <v>2454038.54721</v>
      </c>
      <c r="B948" s="1" t="s">
        <v>1306</v>
      </c>
      <c r="C948" s="1">
        <v>8.5394369999999995</v>
      </c>
      <c r="D948" s="1"/>
      <c r="E948">
        <f>(A948-m_phot!L$4)/m_phot!L$5-INT((A948-m_phot!L$4)/m_phot!L$5)</f>
        <v>0.39809823637475716</v>
      </c>
      <c r="F948">
        <f t="shared" si="27"/>
        <v>8.5394369999999995</v>
      </c>
      <c r="H948" t="str">
        <f>IF(E948&lt;0.05,INT(($A948-m_phot!$L$4)/m_phot!$L$5),"")</f>
        <v/>
      </c>
      <c r="I948" t="str">
        <f t="shared" si="29"/>
        <v/>
      </c>
      <c r="J948">
        <f t="shared" si="28"/>
        <v>-0.33898149999999916</v>
      </c>
    </row>
    <row r="949" spans="1:10" ht="14.25" customHeight="1" x14ac:dyDescent="0.25">
      <c r="A949" s="1">
        <v>2454054.30987</v>
      </c>
      <c r="B949" s="1" t="s">
        <v>1307</v>
      </c>
      <c r="C949" s="1">
        <v>8.5537740000000007</v>
      </c>
      <c r="D949" s="1"/>
      <c r="E949">
        <f>(A949-m_phot!L$4)/m_phot!L$5-INT((A949-m_phot!L$4)/m_phot!L$5)</f>
        <v>0.41740339252908498</v>
      </c>
      <c r="F949">
        <f t="shared" si="27"/>
        <v>8.5537740000000007</v>
      </c>
      <c r="H949" t="str">
        <f>IF(E949&lt;0.05,INT(($A949-m_phot!$L$4)/m_phot!$L$5),"")</f>
        <v/>
      </c>
      <c r="I949" t="str">
        <f t="shared" si="29"/>
        <v/>
      </c>
      <c r="J949">
        <f t="shared" si="28"/>
        <v>-0.324644499999998</v>
      </c>
    </row>
    <row r="950" spans="1:10" ht="14.25" customHeight="1" x14ac:dyDescent="0.25">
      <c r="A950" s="1">
        <v>2454069.1826999998</v>
      </c>
      <c r="B950" s="1" t="s">
        <v>1308</v>
      </c>
      <c r="C950" s="1">
        <v>8.508108</v>
      </c>
      <c r="D950" s="1"/>
      <c r="E950">
        <f>(A950-m_phot!L$4)/m_phot!L$5-INT((A950-m_phot!L$4)/m_phot!L$5)</f>
        <v>0.43561873851778543</v>
      </c>
      <c r="F950">
        <f t="shared" si="27"/>
        <v>8.508108</v>
      </c>
      <c r="H950" t="str">
        <f>IF(E950&lt;0.05,INT(($A950-m_phot!$L$4)/m_phot!$L$5),"")</f>
        <v/>
      </c>
      <c r="I950" t="str">
        <f t="shared" si="29"/>
        <v/>
      </c>
      <c r="J950">
        <f t="shared" si="28"/>
        <v>-0.37031049999999865</v>
      </c>
    </row>
    <row r="951" spans="1:10" ht="14.25" customHeight="1" x14ac:dyDescent="0.25">
      <c r="A951" s="1">
        <v>2454084.98489</v>
      </c>
      <c r="B951" s="1" t="s">
        <v>1309</v>
      </c>
      <c r="C951" s="1">
        <v>8.6080000000000005</v>
      </c>
      <c r="D951" s="1"/>
      <c r="E951">
        <f>(A951-m_phot!L$4)/m_phot!L$5-INT((A951-m_phot!L$4)/m_phot!L$5)</f>
        <v>0.4549723086343711</v>
      </c>
      <c r="F951">
        <f t="shared" si="27"/>
        <v>8.6080000000000005</v>
      </c>
      <c r="H951" t="str">
        <f>IF(E951&lt;0.05,INT(($A951-m_phot!$L$4)/m_phot!$L$5),"")</f>
        <v/>
      </c>
      <c r="I951" t="str">
        <f t="shared" si="29"/>
        <v/>
      </c>
      <c r="J951">
        <f t="shared" si="28"/>
        <v>-0.27041849999999812</v>
      </c>
    </row>
    <row r="952" spans="1:10" ht="14.25" customHeight="1" x14ac:dyDescent="0.25">
      <c r="A952" s="1">
        <v>2454100.8051100001</v>
      </c>
      <c r="B952" s="1" t="s">
        <v>1310</v>
      </c>
      <c r="C952" s="1">
        <v>8.5857139999999994</v>
      </c>
      <c r="D952" s="1"/>
      <c r="E952">
        <f>(A952-m_phot!L$4)/m_phot!L$5-INT((A952-m_phot!L$4)/m_phot!L$5)</f>
        <v>0.47434796080841934</v>
      </c>
      <c r="F952">
        <f t="shared" si="27"/>
        <v>8.5857139999999994</v>
      </c>
      <c r="H952" t="str">
        <f>IF(E952&lt;0.05,INT(($A952-m_phot!$L$4)/m_phot!$L$5),"")</f>
        <v/>
      </c>
      <c r="I952" t="str">
        <f t="shared" si="29"/>
        <v/>
      </c>
      <c r="J952">
        <f t="shared" si="28"/>
        <v>-0.29270449999999926</v>
      </c>
    </row>
    <row r="953" spans="1:10" ht="14.25" customHeight="1" x14ac:dyDescent="0.25">
      <c r="A953" s="1">
        <v>2454115.8676700001</v>
      </c>
      <c r="B953" s="1" t="s">
        <v>1311</v>
      </c>
      <c r="C953" s="1">
        <v>8.5827589999999994</v>
      </c>
      <c r="D953" s="1"/>
      <c r="E953">
        <f>(A953-m_phot!L$4)/m_phot!L$5-INT((A953-m_phot!L$4)/m_phot!L$5)</f>
        <v>0.49279567666878776</v>
      </c>
      <c r="F953">
        <f t="shared" si="27"/>
        <v>8.5827589999999994</v>
      </c>
      <c r="H953" t="str">
        <f>IF(E953&lt;0.05,INT(($A953-m_phot!$L$4)/m_phot!$L$5),"")</f>
        <v/>
      </c>
      <c r="I953" t="str">
        <f t="shared" si="29"/>
        <v/>
      </c>
      <c r="J953">
        <f t="shared" si="28"/>
        <v>-0.2956594999999993</v>
      </c>
    </row>
    <row r="954" spans="1:10" ht="14.25" customHeight="1" x14ac:dyDescent="0.25">
      <c r="A954" s="1">
        <v>2454134.3983200002</v>
      </c>
      <c r="B954" s="1" t="s">
        <v>1312</v>
      </c>
      <c r="C954" s="1">
        <v>8.5500000000000007</v>
      </c>
      <c r="D954" s="1"/>
      <c r="E954">
        <f>(A954-m_phot!L$4)/m_phot!L$5-INT((A954-m_phot!L$4)/m_phot!L$5)</f>
        <v>0.51549090018389876</v>
      </c>
      <c r="F954">
        <f t="shared" si="27"/>
        <v>8.5500000000000007</v>
      </c>
      <c r="H954" t="str">
        <f>IF(E954&lt;0.05,INT(($A954-m_phot!$L$4)/m_phot!$L$5),"")</f>
        <v/>
      </c>
      <c r="I954" t="str">
        <f t="shared" si="29"/>
        <v/>
      </c>
      <c r="J954">
        <f t="shared" si="28"/>
        <v>-0.32841849999999795</v>
      </c>
    </row>
    <row r="955" spans="1:10" ht="14.25" customHeight="1" x14ac:dyDescent="0.25">
      <c r="A955" s="1">
        <v>2454183.6537000001</v>
      </c>
      <c r="B955" s="1" t="s">
        <v>1313</v>
      </c>
      <c r="C955" s="1">
        <v>8.8666669999999996</v>
      </c>
      <c r="D955" s="1"/>
      <c r="E955">
        <f>(A955-m_phot!L$4)/m_phot!L$5-INT((A955-m_phot!L$4)/m_phot!L$5)</f>
        <v>0.57581592161682948</v>
      </c>
      <c r="F955">
        <f t="shared" si="27"/>
        <v>8.8666669999999996</v>
      </c>
      <c r="H955" t="str">
        <f>IF(E955&lt;0.05,INT(($A955-m_phot!$L$4)/m_phot!$L$5),"")</f>
        <v/>
      </c>
      <c r="I955" t="str">
        <f t="shared" si="29"/>
        <v/>
      </c>
      <c r="J955">
        <f t="shared" si="28"/>
        <v>-1.1751499999999027E-2</v>
      </c>
    </row>
    <row r="956" spans="1:10" ht="14.25" customHeight="1" x14ac:dyDescent="0.25">
      <c r="A956" s="1">
        <v>2454206.5574099999</v>
      </c>
      <c r="B956" s="1" t="s">
        <v>1314</v>
      </c>
      <c r="C956" s="1">
        <v>8.6538459999999997</v>
      </c>
      <c r="D956" s="1"/>
      <c r="E956">
        <f>(A956-m_phot!L$4)/m_phot!L$5-INT((A956-m_phot!L$4)/m_phot!L$5)</f>
        <v>0.60386700551119787</v>
      </c>
      <c r="F956">
        <f t="shared" si="27"/>
        <v>8.6538459999999997</v>
      </c>
      <c r="H956" t="str">
        <f>IF(E956&lt;0.05,INT(($A956-m_phot!$L$4)/m_phot!$L$5),"")</f>
        <v/>
      </c>
      <c r="I956" t="str">
        <f t="shared" si="29"/>
        <v/>
      </c>
      <c r="J956">
        <f t="shared" si="28"/>
        <v>-0.22457249999999895</v>
      </c>
    </row>
    <row r="957" spans="1:10" ht="14.25" customHeight="1" x14ac:dyDescent="0.25">
      <c r="A957" s="1">
        <v>2454218.7666000002</v>
      </c>
      <c r="B957" s="1" t="s">
        <v>1315</v>
      </c>
      <c r="C957" s="1">
        <v>8.641667</v>
      </c>
      <c r="D957" s="1"/>
      <c r="E957">
        <f>(A957-m_phot!L$4)/m_phot!L$5-INT((A957-m_phot!L$4)/m_phot!L$5)</f>
        <v>0.61882008573203606</v>
      </c>
      <c r="F957">
        <f t="shared" si="27"/>
        <v>8.641667</v>
      </c>
      <c r="H957" t="str">
        <f>IF(E957&lt;0.05,INT(($A957-m_phot!$L$4)/m_phot!$L$5),"")</f>
        <v/>
      </c>
      <c r="I957" t="str">
        <f t="shared" si="29"/>
        <v/>
      </c>
      <c r="J957">
        <f t="shared" si="28"/>
        <v>-0.23675149999999867</v>
      </c>
    </row>
    <row r="958" spans="1:10" ht="14.25" customHeight="1" x14ac:dyDescent="0.25">
      <c r="A958" s="1">
        <v>2454235.4336299999</v>
      </c>
      <c r="B958" s="1" t="s">
        <v>1316</v>
      </c>
      <c r="C958" s="1">
        <v>8.6142859999999999</v>
      </c>
      <c r="D958" s="1"/>
      <c r="E958">
        <f>(A958-m_phot!L$4)/m_phot!L$5-INT((A958-m_phot!L$4)/m_phot!L$5)</f>
        <v>0.63923285976713728</v>
      </c>
      <c r="F958">
        <f t="shared" si="27"/>
        <v>8.6142859999999999</v>
      </c>
      <c r="H958" t="str">
        <f>IF(E958&lt;0.05,INT(($A958-m_phot!$L$4)/m_phot!$L$5),"")</f>
        <v/>
      </c>
      <c r="I958" t="str">
        <f t="shared" si="29"/>
        <v/>
      </c>
      <c r="J958">
        <f t="shared" si="28"/>
        <v>-0.26413249999999877</v>
      </c>
    </row>
    <row r="959" spans="1:10" ht="14.25" customHeight="1" x14ac:dyDescent="0.25">
      <c r="A959" s="1">
        <v>2454255.49168</v>
      </c>
      <c r="B959" s="1" t="s">
        <v>1317</v>
      </c>
      <c r="C959" s="1">
        <v>8.733333</v>
      </c>
      <c r="D959" s="1"/>
      <c r="E959">
        <f>(A959-m_phot!L$4)/m_phot!L$5-INT((A959-m_phot!L$4)/m_phot!L$5)</f>
        <v>0.66379875076543371</v>
      </c>
      <c r="F959">
        <f t="shared" si="27"/>
        <v>8.733333</v>
      </c>
      <c r="H959" t="str">
        <f>IF(E959&lt;0.05,INT(($A959-m_phot!$L$4)/m_phot!$L$5),"")</f>
        <v/>
      </c>
      <c r="I959" t="str">
        <f t="shared" si="29"/>
        <v/>
      </c>
      <c r="J959">
        <f t="shared" si="28"/>
        <v>-0.14508549999999865</v>
      </c>
    </row>
    <row r="960" spans="1:10" ht="14.25" customHeight="1" x14ac:dyDescent="0.25">
      <c r="A960" s="1">
        <v>2454270.96691</v>
      </c>
      <c r="B960" s="1" t="s">
        <v>1318</v>
      </c>
      <c r="C960" s="1">
        <v>8.6071430000000007</v>
      </c>
      <c r="D960" s="1"/>
      <c r="E960">
        <f>(A960-m_phot!L$4)/m_phot!L$5-INT((A960-m_phot!L$4)/m_phot!L$5)</f>
        <v>0.68275187997545572</v>
      </c>
      <c r="F960">
        <f t="shared" si="27"/>
        <v>8.6071430000000007</v>
      </c>
      <c r="H960" t="str">
        <f>IF(E960&lt;0.05,INT(($A960-m_phot!$L$4)/m_phot!$L$5),"")</f>
        <v/>
      </c>
      <c r="I960" t="str">
        <f t="shared" si="29"/>
        <v/>
      </c>
      <c r="J960">
        <f t="shared" si="28"/>
        <v>-0.271275499999998</v>
      </c>
    </row>
    <row r="961" spans="1:10" ht="14.25" customHeight="1" x14ac:dyDescent="0.25">
      <c r="A961" s="1">
        <v>2454289.6163300001</v>
      </c>
      <c r="B961" s="1" t="s">
        <v>1319</v>
      </c>
      <c r="C961" s="1">
        <v>8.5827589999999994</v>
      </c>
      <c r="D961" s="1"/>
      <c r="E961">
        <f>(A961-m_phot!L$4)/m_phot!L$5-INT((A961-m_phot!L$4)/m_phot!L$5)</f>
        <v>0.70559256582989249</v>
      </c>
      <c r="F961">
        <f t="shared" si="27"/>
        <v>8.5827589999999994</v>
      </c>
      <c r="H961" t="str">
        <f>IF(E961&lt;0.05,INT(($A961-m_phot!$L$4)/m_phot!$L$5),"")</f>
        <v/>
      </c>
      <c r="I961" t="str">
        <f t="shared" si="29"/>
        <v/>
      </c>
      <c r="J961">
        <f t="shared" si="28"/>
        <v>-0.2956594999999993</v>
      </c>
    </row>
    <row r="962" spans="1:10" ht="14.25" customHeight="1" x14ac:dyDescent="0.25">
      <c r="A962" s="1">
        <v>2454301.5064300001</v>
      </c>
      <c r="B962" s="1" t="s">
        <v>1320</v>
      </c>
      <c r="C962" s="1">
        <v>8.6339290000000002</v>
      </c>
      <c r="D962" s="1"/>
      <c r="E962">
        <f>(A962-m_phot!L$4)/m_phot!L$5-INT((A962-m_phot!L$4)/m_phot!L$5)</f>
        <v>0.72015484384576567</v>
      </c>
      <c r="F962">
        <f t="shared" si="27"/>
        <v>8.6339290000000002</v>
      </c>
      <c r="H962" t="str">
        <f>IF(E962&lt;0.05,INT(($A962-m_phot!$L$4)/m_phot!$L$5),"")</f>
        <v/>
      </c>
      <c r="I962" t="str">
        <f t="shared" si="29"/>
        <v/>
      </c>
      <c r="J962">
        <f t="shared" si="28"/>
        <v>-0.24448949999999847</v>
      </c>
    </row>
    <row r="963" spans="1:10" ht="14.25" customHeight="1" x14ac:dyDescent="0.25">
      <c r="A963" s="1">
        <v>2454317.7659300002</v>
      </c>
      <c r="B963" s="1" t="s">
        <v>1321</v>
      </c>
      <c r="C963" s="1">
        <v>8.6377050000000004</v>
      </c>
      <c r="D963" s="1"/>
      <c r="E963">
        <f>(A963-m_phot!L$4)/m_phot!L$5-INT((A963-m_phot!L$4)/m_phot!L$5)</f>
        <v>0.74006849969409316</v>
      </c>
      <c r="F963">
        <f t="shared" si="27"/>
        <v>8.6377050000000004</v>
      </c>
      <c r="H963" t="str">
        <f>IF(E963&lt;0.05,INT(($A963-m_phot!$L$4)/m_phot!$L$5),"")</f>
        <v/>
      </c>
      <c r="I963" t="str">
        <f t="shared" si="29"/>
        <v/>
      </c>
      <c r="J963">
        <f t="shared" si="28"/>
        <v>-0.24071349999999825</v>
      </c>
    </row>
    <row r="964" spans="1:10" ht="14.25" customHeight="1" x14ac:dyDescent="0.25">
      <c r="A964" s="1">
        <v>2454332.25379</v>
      </c>
      <c r="B964" s="1" t="s">
        <v>1322</v>
      </c>
      <c r="C964" s="1">
        <v>8.6806450000000002</v>
      </c>
      <c r="D964" s="1"/>
      <c r="E964">
        <f>(A964-m_phot!L$4)/m_phot!L$5-INT((A964-m_phot!L$4)/m_phot!L$5)</f>
        <v>0.75781235762399035</v>
      </c>
      <c r="F964">
        <f t="shared" si="27"/>
        <v>8.6806450000000002</v>
      </c>
      <c r="H964" t="str">
        <f>IF(E964&lt;0.05,INT(($A964-m_phot!$L$4)/m_phot!$L$5),"")</f>
        <v/>
      </c>
      <c r="I964" t="str">
        <f t="shared" si="29"/>
        <v/>
      </c>
      <c r="J964">
        <f t="shared" si="28"/>
        <v>-0.19777349999999849</v>
      </c>
    </row>
    <row r="965" spans="1:10" ht="14.25" customHeight="1" x14ac:dyDescent="0.25">
      <c r="A965" s="1">
        <v>2454349.7198800002</v>
      </c>
      <c r="B965" s="1" t="s">
        <v>1323</v>
      </c>
      <c r="C965" s="1">
        <v>8.7140350000000009</v>
      </c>
      <c r="D965" s="1"/>
      <c r="E965">
        <f>(A965-m_phot!L$4)/m_phot!L$5-INT((A965-m_phot!L$4)/m_phot!L$5)</f>
        <v>0.77920377219868087</v>
      </c>
      <c r="F965">
        <f t="shared" si="27"/>
        <v>8.7140350000000009</v>
      </c>
      <c r="H965" t="str">
        <f>IF(E965&lt;0.05,INT(($A965-m_phot!$L$4)/m_phot!$L$5),"")</f>
        <v/>
      </c>
      <c r="I965" t="str">
        <f t="shared" si="29"/>
        <v/>
      </c>
      <c r="J965">
        <f t="shared" si="28"/>
        <v>-0.1643834999999978</v>
      </c>
    </row>
    <row r="966" spans="1:10" ht="14.25" customHeight="1" x14ac:dyDescent="0.25">
      <c r="A966" s="1">
        <v>2454362.4911699998</v>
      </c>
      <c r="B966" s="1" t="s">
        <v>1324</v>
      </c>
      <c r="C966" s="1">
        <v>8.6877910000000007</v>
      </c>
      <c r="D966" s="1"/>
      <c r="E966">
        <f>(A966-m_phot!L$4)/m_phot!L$5-INT((A966-m_phot!L$4)/m_phot!L$5)</f>
        <v>0.79484527862807042</v>
      </c>
      <c r="F966">
        <f t="shared" si="27"/>
        <v>8.6877910000000007</v>
      </c>
      <c r="H966" t="str">
        <f>IF(E966&lt;0.05,INT(($A966-m_phot!$L$4)/m_phot!$L$5),"")</f>
        <v/>
      </c>
      <c r="I966" t="str">
        <f t="shared" si="29"/>
        <v/>
      </c>
      <c r="J966">
        <f t="shared" si="28"/>
        <v>-0.19062749999999795</v>
      </c>
    </row>
    <row r="967" spans="1:10" ht="14.25" customHeight="1" x14ac:dyDescent="0.25">
      <c r="A967" s="1">
        <v>2454379.4579699999</v>
      </c>
      <c r="B967" s="1" t="s">
        <v>1325</v>
      </c>
      <c r="C967" s="1">
        <v>8.7027029999999996</v>
      </c>
      <c r="D967" s="1"/>
      <c r="E967">
        <f>(A967-m_phot!L$4)/m_phot!L$5-INT((A967-m_phot!L$4)/m_phot!L$5)</f>
        <v>0.81562519289635205</v>
      </c>
      <c r="F967">
        <f t="shared" si="27"/>
        <v>8.7027029999999996</v>
      </c>
      <c r="H967" t="str">
        <f>IF(E967&lt;0.05,INT(($A967-m_phot!$L$4)/m_phot!$L$5),"")</f>
        <v/>
      </c>
      <c r="I967" t="str">
        <f t="shared" si="29"/>
        <v/>
      </c>
      <c r="J967">
        <f t="shared" si="28"/>
        <v>-0.17571549999999903</v>
      </c>
    </row>
    <row r="968" spans="1:10" ht="14.25" customHeight="1" x14ac:dyDescent="0.25">
      <c r="A968" s="1">
        <v>2454393.2370199999</v>
      </c>
      <c r="B968" s="1" t="s">
        <v>1326</v>
      </c>
      <c r="C968" s="1">
        <v>8.6863639999999993</v>
      </c>
      <c r="D968" s="1"/>
      <c r="E968">
        <f>(A968-m_phot!L$4)/m_phot!L$5-INT((A968-m_phot!L$4)/m_phot!L$5)</f>
        <v>0.83250094304946032</v>
      </c>
      <c r="F968">
        <f t="shared" si="27"/>
        <v>8.6863639999999993</v>
      </c>
      <c r="H968" t="str">
        <f>IF(E968&lt;0.05,INT(($A968-m_phot!$L$4)/m_phot!$L$5),"")</f>
        <v/>
      </c>
      <c r="I968" t="str">
        <f t="shared" si="29"/>
        <v/>
      </c>
      <c r="J968">
        <f t="shared" si="28"/>
        <v>-0.19205449999999935</v>
      </c>
    </row>
    <row r="969" spans="1:10" ht="14.25" customHeight="1" x14ac:dyDescent="0.25">
      <c r="A969" s="1">
        <v>2454410.3444599998</v>
      </c>
      <c r="B969" s="1" t="s">
        <v>1327</v>
      </c>
      <c r="C969" s="1">
        <v>8.7785709999999995</v>
      </c>
      <c r="D969" s="1"/>
      <c r="E969">
        <f>(A969-m_phot!L$4)/m_phot!L$5-INT((A969-m_phot!L$4)/m_phot!L$5)</f>
        <v>0.853453104715026</v>
      </c>
      <c r="F969">
        <f t="shared" si="27"/>
        <v>8.7785709999999995</v>
      </c>
      <c r="H969" t="str">
        <f>IF(E969&lt;0.05,INT(($A969-m_phot!$L$4)/m_phot!$L$5),"")</f>
        <v/>
      </c>
      <c r="I969" t="str">
        <f t="shared" si="29"/>
        <v/>
      </c>
      <c r="J969">
        <f t="shared" si="28"/>
        <v>-9.9847499999999201E-2</v>
      </c>
    </row>
    <row r="970" spans="1:10" ht="14.25" customHeight="1" x14ac:dyDescent="0.25">
      <c r="A970" s="1">
        <v>2454426.24125</v>
      </c>
      <c r="B970" s="1" t="s">
        <v>1328</v>
      </c>
      <c r="C970" s="1">
        <v>8.7709679999999999</v>
      </c>
      <c r="D970" s="1"/>
      <c r="E970">
        <f>(A970-m_phot!L$4)/m_phot!L$5-INT((A970-m_phot!L$4)/m_phot!L$5)</f>
        <v>0.87292253521122021</v>
      </c>
      <c r="F970">
        <f t="shared" si="27"/>
        <v>8.7709679999999999</v>
      </c>
      <c r="H970" t="str">
        <f>IF(E970&lt;0.05,INT(($A970-m_phot!$L$4)/m_phot!$L$5),"")</f>
        <v/>
      </c>
      <c r="I970" t="str">
        <f t="shared" si="29"/>
        <v/>
      </c>
      <c r="J970">
        <f t="shared" si="28"/>
        <v>-0.10745049999999878</v>
      </c>
    </row>
    <row r="971" spans="1:10" ht="14.25" customHeight="1" x14ac:dyDescent="0.25">
      <c r="A971" s="1">
        <v>2454441.2605300001</v>
      </c>
      <c r="B971" s="1" t="s">
        <v>1329</v>
      </c>
      <c r="C971" s="1">
        <v>8.8134619999999995</v>
      </c>
      <c r="D971" s="1"/>
      <c r="E971">
        <f>(A971-m_phot!L$4)/m_phot!L$5-INT((A971-m_phot!L$4)/m_phot!L$5)</f>
        <v>0.89131724433568493</v>
      </c>
      <c r="F971">
        <f t="shared" si="27"/>
        <v>8.8134619999999995</v>
      </c>
      <c r="H971" t="str">
        <f>IF(E971&lt;0.05,INT(($A971-m_phot!$L$4)/m_phot!$L$5),"")</f>
        <v/>
      </c>
      <c r="I971" t="str">
        <f t="shared" si="29"/>
        <v/>
      </c>
      <c r="J971">
        <f t="shared" si="28"/>
        <v>-6.4956499999999195E-2</v>
      </c>
    </row>
    <row r="972" spans="1:10" ht="14.25" customHeight="1" x14ac:dyDescent="0.25">
      <c r="A972" s="1">
        <v>2454455.6200799998</v>
      </c>
      <c r="B972" s="1" t="s">
        <v>1330</v>
      </c>
      <c r="C972" s="1">
        <v>8.7787880000000005</v>
      </c>
      <c r="D972" s="1"/>
      <c r="E972">
        <f>(A972-m_phot!L$4)/m_phot!L$5-INT((A972-m_phot!L$4)/m_phot!L$5)</f>
        <v>0.90890395590911055</v>
      </c>
      <c r="F972">
        <f t="shared" si="27"/>
        <v>8.7787880000000005</v>
      </c>
      <c r="H972" t="str">
        <f>IF(E972&lt;0.05,INT(($A972-m_phot!$L$4)/m_phot!$L$5),"")</f>
        <v/>
      </c>
      <c r="I972" t="str">
        <f t="shared" si="29"/>
        <v/>
      </c>
      <c r="J972">
        <f t="shared" si="28"/>
        <v>-9.9630499999998179E-2</v>
      </c>
    </row>
    <row r="973" spans="1:10" ht="14.25" customHeight="1" x14ac:dyDescent="0.25">
      <c r="A973" s="1">
        <v>2454471.7245499999</v>
      </c>
      <c r="B973" s="1" t="s">
        <v>1331</v>
      </c>
      <c r="C973" s="1">
        <v>8.76</v>
      </c>
      <c r="D973" s="1"/>
      <c r="E973">
        <f>(A973-m_phot!L$4)/m_phot!L$5-INT((A973-m_phot!L$4)/m_phot!L$5)</f>
        <v>0.92862774035508266</v>
      </c>
      <c r="F973">
        <f t="shared" si="27"/>
        <v>8.76</v>
      </c>
      <c r="H973" t="str">
        <f>IF(E973&lt;0.05,INT(($A973-m_phot!$L$4)/m_phot!$L$5),"")</f>
        <v/>
      </c>
      <c r="I973" t="str">
        <f t="shared" si="29"/>
        <v/>
      </c>
      <c r="J973">
        <f t="shared" si="28"/>
        <v>-0.11841849999999887</v>
      </c>
    </row>
    <row r="974" spans="1:10" ht="14.25" customHeight="1" x14ac:dyDescent="0.25">
      <c r="A974" s="1">
        <v>2454491.58506</v>
      </c>
      <c r="B974" s="1" t="s">
        <v>1332</v>
      </c>
      <c r="C974" s="1">
        <v>8.7833330000000007</v>
      </c>
      <c r="D974" s="1"/>
      <c r="E974">
        <f>(A974-m_phot!L$4)/m_phot!L$5-INT((A974-m_phot!L$4)/m_phot!L$5)</f>
        <v>0.95295169626448839</v>
      </c>
      <c r="F974">
        <f t="shared" si="27"/>
        <v>8.7833330000000007</v>
      </c>
      <c r="H974" t="str">
        <f>IF(E974&lt;0.05,INT(($A974-m_phot!$L$4)/m_phot!$L$5),"")</f>
        <v/>
      </c>
      <c r="I974" t="str">
        <f t="shared" si="29"/>
        <v/>
      </c>
      <c r="J974">
        <f t="shared" si="28"/>
        <v>-9.5085499999997936E-2</v>
      </c>
    </row>
    <row r="975" spans="1:10" ht="14.25" customHeight="1" x14ac:dyDescent="0.25">
      <c r="A975" s="1">
        <v>2454500.2912599999</v>
      </c>
      <c r="B975" s="1" t="s">
        <v>1333</v>
      </c>
      <c r="C975" s="1">
        <v>8.8000000000000007</v>
      </c>
      <c r="D975" s="1"/>
      <c r="E975">
        <f>(A975-m_phot!L$4)/m_phot!L$5-INT((A975-m_phot!L$4)/m_phot!L$5)</f>
        <v>0.9636145254131705</v>
      </c>
      <c r="F975">
        <f t="shared" si="27"/>
        <v>8.8000000000000007</v>
      </c>
      <c r="H975" t="str">
        <f>IF(E975&lt;0.05,INT(($A975-m_phot!$L$4)/m_phot!$L$5),"")</f>
        <v/>
      </c>
      <c r="I975" t="str">
        <f t="shared" si="29"/>
        <v/>
      </c>
      <c r="J975">
        <f t="shared" si="28"/>
        <v>-7.8418499999997948E-2</v>
      </c>
    </row>
    <row r="976" spans="1:10" ht="14.25" customHeight="1" x14ac:dyDescent="0.25">
      <c r="A976" s="1">
        <v>2454533.6556099998</v>
      </c>
      <c r="B976" s="1" t="s">
        <v>1334</v>
      </c>
      <c r="C976" s="1">
        <v>8.84</v>
      </c>
      <c r="D976" s="1"/>
      <c r="E976">
        <f>(A976-m_phot!L$4)/m_phot!L$5-INT((A976-m_phot!L$4)/m_phot!L$5)</f>
        <v>4.4771708509294683E-3</v>
      </c>
      <c r="F976">
        <f t="shared" si="27"/>
        <v>8.84</v>
      </c>
      <c r="H976">
        <f>IF(E976&lt;0.05,INT(($A976-m_phot!$L$4)/m_phot!$L$5),"")</f>
        <v>28</v>
      </c>
      <c r="I976">
        <f t="shared" si="29"/>
        <v>8.8887499999999999</v>
      </c>
      <c r="J976">
        <f>+C976-I$976</f>
        <v>-4.8750000000000071E-2</v>
      </c>
    </row>
    <row r="977" spans="1:10" ht="14.25" customHeight="1" x14ac:dyDescent="0.25">
      <c r="A977" s="1">
        <v>2454551.31072</v>
      </c>
      <c r="B977" s="1" t="s">
        <v>1335</v>
      </c>
      <c r="C977" s="1">
        <v>8.9375</v>
      </c>
      <c r="D977" s="1"/>
      <c r="E977">
        <f>(A977-m_phot!L$4)/m_phot!L$5-INT((A977-m_phot!L$4)/m_phot!L$5)</f>
        <v>2.6100085731719957E-2</v>
      </c>
      <c r="F977">
        <f t="shared" si="27"/>
        <v>8.9375</v>
      </c>
      <c r="H977">
        <f>IF(E977&lt;0.05,INT(($A977-m_phot!$L$4)/m_phot!$L$5),"")</f>
        <v>28</v>
      </c>
      <c r="I977">
        <f t="shared" si="29"/>
        <v>8.8967500000000008</v>
      </c>
      <c r="J977">
        <f t="shared" ref="J977:J1021" si="30">+C977-I$976</f>
        <v>4.8750000000000071E-2</v>
      </c>
    </row>
    <row r="978" spans="1:10" ht="14.25" customHeight="1" x14ac:dyDescent="0.25">
      <c r="A978" s="1">
        <v>2454565.7779100002</v>
      </c>
      <c r="B978" s="1" t="s">
        <v>1336</v>
      </c>
      <c r="C978" s="1">
        <v>8.8559999999999999</v>
      </c>
      <c r="D978" s="1"/>
      <c r="E978">
        <f>(A978-m_phot!L$4)/m_phot!L$5-INT((A978-m_phot!L$4)/m_phot!L$5)</f>
        <v>4.3818628291706574E-2</v>
      </c>
      <c r="F978">
        <f t="shared" si="27"/>
        <v>8.8559999999999999</v>
      </c>
      <c r="H978">
        <f>IF(E978&lt;0.05,INT(($A978-m_phot!$L$4)/m_phot!$L$5),"")</f>
        <v>28</v>
      </c>
      <c r="I978">
        <f t="shared" si="29"/>
        <v>8.8565715000000012</v>
      </c>
      <c r="J978">
        <f t="shared" si="30"/>
        <v>-3.2750000000000057E-2</v>
      </c>
    </row>
    <row r="979" spans="1:10" ht="14.25" customHeight="1" x14ac:dyDescent="0.25">
      <c r="A979" s="1">
        <v>2454586.4547899999</v>
      </c>
      <c r="B979" s="1" t="s">
        <v>1337</v>
      </c>
      <c r="C979" s="1">
        <v>8.8571430000000007</v>
      </c>
      <c r="D979" s="1"/>
      <c r="E979">
        <f>(A979-m_phot!L$4)/m_phot!L$5-INT((A979-m_phot!L$4)/m_phot!L$5)</f>
        <v>6.9142424984534046E-2</v>
      </c>
      <c r="F979">
        <f t="shared" si="27"/>
        <v>8.8571430000000007</v>
      </c>
      <c r="H979" t="str">
        <f>IF(E979&lt;0.05,INT(($A979-m_phot!$L$4)/m_phot!$L$5),"")</f>
        <v/>
      </c>
      <c r="I979" t="str">
        <f t="shared" si="29"/>
        <v/>
      </c>
      <c r="J979">
        <f t="shared" si="30"/>
        <v>-3.1606999999999275E-2</v>
      </c>
    </row>
    <row r="980" spans="1:10" ht="14.25" customHeight="1" x14ac:dyDescent="0.25">
      <c r="A980" s="1">
        <v>2454597.7192199999</v>
      </c>
      <c r="B980" s="1" t="s">
        <v>1338</v>
      </c>
      <c r="C980" s="1">
        <v>8.7959999999999994</v>
      </c>
      <c r="D980" s="1"/>
      <c r="E980">
        <f>(A980-m_phot!L$4)/m_phot!L$5-INT((A980-m_phot!L$4)/m_phot!L$5)</f>
        <v>8.2938420085550746E-2</v>
      </c>
      <c r="F980">
        <f t="shared" si="27"/>
        <v>8.7959999999999994</v>
      </c>
      <c r="H980" t="str">
        <f>IF(E980&lt;0.05,INT(($A980-m_phot!$L$4)/m_phot!$L$5),"")</f>
        <v/>
      </c>
      <c r="I980" t="str">
        <f t="shared" si="29"/>
        <v/>
      </c>
      <c r="J980">
        <f t="shared" si="30"/>
        <v>-9.2750000000000554E-2</v>
      </c>
    </row>
    <row r="981" spans="1:10" ht="14.25" customHeight="1" x14ac:dyDescent="0.25">
      <c r="A981" s="1">
        <v>2454619.60415</v>
      </c>
      <c r="B981" s="1" t="s">
        <v>1339</v>
      </c>
      <c r="C981" s="1">
        <v>8.8736840000000008</v>
      </c>
      <c r="D981" s="1"/>
      <c r="E981">
        <f>(A981-m_phot!L$4)/m_phot!L$5-INT((A981-m_phot!L$4)/m_phot!L$5)</f>
        <v>0.10974176362526578</v>
      </c>
      <c r="F981">
        <f t="shared" si="27"/>
        <v>8.8736840000000008</v>
      </c>
      <c r="H981" t="str">
        <f>IF(E981&lt;0.05,INT(($A981-m_phot!$L$4)/m_phot!$L$5),"")</f>
        <v/>
      </c>
      <c r="I981" t="str">
        <f t="shared" si="29"/>
        <v/>
      </c>
      <c r="J981">
        <f t="shared" si="30"/>
        <v>-1.5065999999999136E-2</v>
      </c>
    </row>
    <row r="982" spans="1:10" ht="14.25" customHeight="1" x14ac:dyDescent="0.25">
      <c r="A982" s="1">
        <v>2454633.2047999999</v>
      </c>
      <c r="B982" s="1" t="s">
        <v>1340</v>
      </c>
      <c r="C982" s="1">
        <v>8.7650000000000006</v>
      </c>
      <c r="D982" s="1"/>
      <c r="E982">
        <f>(A982-m_phot!L$4)/m_phot!L$5-INT((A982-m_phot!L$4)/m_phot!L$5)</f>
        <v>0.12639902020814375</v>
      </c>
      <c r="F982">
        <f t="shared" si="27"/>
        <v>8.7650000000000006</v>
      </c>
      <c r="H982" t="str">
        <f>IF(E982&lt;0.05,INT(($A982-m_phot!$L$4)/m_phot!$L$5),"")</f>
        <v/>
      </c>
      <c r="I982" t="str">
        <f t="shared" si="29"/>
        <v/>
      </c>
      <c r="J982">
        <f t="shared" si="30"/>
        <v>-0.12374999999999936</v>
      </c>
    </row>
    <row r="983" spans="1:10" ht="14.25" customHeight="1" x14ac:dyDescent="0.25">
      <c r="A983" s="1">
        <v>2454649.8577399999</v>
      </c>
      <c r="B983" s="1" t="s">
        <v>1341</v>
      </c>
      <c r="C983" s="1">
        <v>8.7261900000000008</v>
      </c>
      <c r="D983" s="1"/>
      <c r="E983">
        <f>(A983-m_phot!L$4)/m_phot!L$5-INT((A983-m_phot!L$4)/m_phot!L$5)</f>
        <v>0.14679453766061101</v>
      </c>
      <c r="F983">
        <f t="shared" ref="F983:F1046" si="31">+C983</f>
        <v>8.7261900000000008</v>
      </c>
      <c r="H983" t="str">
        <f>IF(E983&lt;0.05,INT(($A983-m_phot!$L$4)/m_phot!$L$5),"")</f>
        <v/>
      </c>
      <c r="I983" t="str">
        <f t="shared" si="29"/>
        <v/>
      </c>
      <c r="J983">
        <f t="shared" si="30"/>
        <v>-0.16255999999999915</v>
      </c>
    </row>
    <row r="984" spans="1:10" ht="14.25" customHeight="1" x14ac:dyDescent="0.25">
      <c r="A984" s="1">
        <v>2454663.9641300002</v>
      </c>
      <c r="B984" s="1" t="s">
        <v>1342</v>
      </c>
      <c r="C984" s="1">
        <v>8.7714289999999995</v>
      </c>
      <c r="D984" s="1"/>
      <c r="E984">
        <f>(A984-m_phot!L$4)/m_phot!L$5-INT((A984-m_phot!L$4)/m_phot!L$5)</f>
        <v>0.16407119412150806</v>
      </c>
      <c r="F984">
        <f t="shared" si="31"/>
        <v>8.7714289999999995</v>
      </c>
      <c r="H984" t="str">
        <f>IF(E984&lt;0.05,INT(($A984-m_phot!$L$4)/m_phot!$L$5),"")</f>
        <v/>
      </c>
      <c r="I984" t="str">
        <f t="shared" si="29"/>
        <v/>
      </c>
      <c r="J984">
        <f t="shared" si="30"/>
        <v>-0.11732100000000045</v>
      </c>
    </row>
    <row r="985" spans="1:10" ht="14.25" customHeight="1" x14ac:dyDescent="0.25">
      <c r="A985" s="1">
        <v>2454679.87708</v>
      </c>
      <c r="B985" s="1" t="s">
        <v>1343</v>
      </c>
      <c r="C985" s="1">
        <v>8.7803570000000004</v>
      </c>
      <c r="D985" s="1"/>
      <c r="E985">
        <f>(A985-m_phot!L$4)/m_phot!L$5-INT((A985-m_phot!L$4)/m_phot!L$5)</f>
        <v>0.18356041641152032</v>
      </c>
      <c r="F985">
        <f t="shared" si="31"/>
        <v>8.7803570000000004</v>
      </c>
      <c r="H985" t="str">
        <f>IF(E985&lt;0.05,INT(($A985-m_phot!$L$4)/m_phot!$L$5),"")</f>
        <v/>
      </c>
      <c r="I985" t="str">
        <f t="shared" si="29"/>
        <v/>
      </c>
      <c r="J985">
        <f t="shared" si="30"/>
        <v>-0.10839299999999952</v>
      </c>
    </row>
    <row r="986" spans="1:10" ht="14.25" customHeight="1" x14ac:dyDescent="0.25">
      <c r="A986" s="1">
        <v>2454694.4030399998</v>
      </c>
      <c r="B986" s="1" t="s">
        <v>1344</v>
      </c>
      <c r="C986" s="1">
        <v>8.7368419999999993</v>
      </c>
      <c r="D986" s="1"/>
      <c r="E986">
        <f>(A986-m_phot!L$4)/m_phot!L$5-INT((A986-m_phot!L$4)/m_phot!L$5)</f>
        <v>0.20135093692562478</v>
      </c>
      <c r="F986">
        <f t="shared" si="31"/>
        <v>8.7368419999999993</v>
      </c>
      <c r="H986" t="str">
        <f>IF(E986&lt;0.05,INT(($A986-m_phot!$L$4)/m_phot!$L$5),"")</f>
        <v/>
      </c>
      <c r="I986" t="str">
        <f t="shared" si="29"/>
        <v/>
      </c>
      <c r="J986">
        <f t="shared" si="30"/>
        <v>-0.1519080000000006</v>
      </c>
    </row>
    <row r="987" spans="1:10" ht="14.25" customHeight="1" x14ac:dyDescent="0.25">
      <c r="A987" s="1">
        <v>2454711.1498699998</v>
      </c>
      <c r="B987" s="1" t="s">
        <v>1345</v>
      </c>
      <c r="C987" s="1">
        <v>8.6914890000000007</v>
      </c>
      <c r="D987" s="1"/>
      <c r="E987">
        <f>(A987-m_phot!L$4)/m_phot!L$5-INT((A987-m_phot!L$4)/m_phot!L$5)</f>
        <v>0.22186144519271167</v>
      </c>
      <c r="F987">
        <f t="shared" si="31"/>
        <v>8.6914890000000007</v>
      </c>
      <c r="H987" t="str">
        <f>IF(E987&lt;0.05,INT(($A987-m_phot!$L$4)/m_phot!$L$5),"")</f>
        <v/>
      </c>
      <c r="I987" t="str">
        <f t="shared" si="29"/>
        <v/>
      </c>
      <c r="J987">
        <f t="shared" si="30"/>
        <v>-0.19726099999999924</v>
      </c>
    </row>
    <row r="988" spans="1:10" ht="14.25" customHeight="1" x14ac:dyDescent="0.25">
      <c r="A988" s="1">
        <v>2454726.2415999998</v>
      </c>
      <c r="B988" s="1" t="s">
        <v>1346</v>
      </c>
      <c r="C988" s="1">
        <v>8.7142859999999995</v>
      </c>
      <c r="D988" s="1"/>
      <c r="E988">
        <f>(A988-m_phot!L$4)/m_phot!L$5-INT((A988-m_phot!L$4)/m_phot!L$5)</f>
        <v>0.24034488671136955</v>
      </c>
      <c r="F988">
        <f t="shared" si="31"/>
        <v>8.7142859999999995</v>
      </c>
      <c r="H988" t="str">
        <f>IF(E988&lt;0.05,INT(($A988-m_phot!$L$4)/m_phot!$L$5),"")</f>
        <v/>
      </c>
      <c r="I988" t="str">
        <f t="shared" si="29"/>
        <v/>
      </c>
      <c r="J988">
        <f t="shared" si="30"/>
        <v>-0.1744640000000004</v>
      </c>
    </row>
    <row r="989" spans="1:10" ht="14.25" customHeight="1" x14ac:dyDescent="0.25">
      <c r="A989" s="1">
        <v>2454741.9251000001</v>
      </c>
      <c r="B989" s="1" t="s">
        <v>1347</v>
      </c>
      <c r="C989" s="1">
        <v>8.6287230000000008</v>
      </c>
      <c r="D989" s="1"/>
      <c r="E989">
        <f>(A989-m_phot!L$4)/m_phot!L$5-INT((A989-m_phot!L$4)/m_phot!L$5)</f>
        <v>0.25955309246798564</v>
      </c>
      <c r="F989">
        <f t="shared" si="31"/>
        <v>8.6287230000000008</v>
      </c>
      <c r="H989" t="str">
        <f>IF(E989&lt;0.05,INT(($A989-m_phot!$L$4)/m_phot!$L$5),"")</f>
        <v/>
      </c>
      <c r="I989" t="str">
        <f t="shared" si="29"/>
        <v/>
      </c>
      <c r="J989">
        <f t="shared" si="30"/>
        <v>-0.26002699999999912</v>
      </c>
    </row>
    <row r="990" spans="1:10" ht="14.25" customHeight="1" x14ac:dyDescent="0.25">
      <c r="A990" s="1">
        <v>2454759.2608500002</v>
      </c>
      <c r="B990" s="1" t="s">
        <v>1348</v>
      </c>
      <c r="C990" s="1">
        <v>8.6312499999999996</v>
      </c>
      <c r="D990" s="1"/>
      <c r="E990">
        <f>(A990-m_phot!L$4)/m_phot!L$5-INT((A990-m_phot!L$4)/m_phot!L$5)</f>
        <v>0.28078487446441613</v>
      </c>
      <c r="F990">
        <f t="shared" si="31"/>
        <v>8.6312499999999996</v>
      </c>
      <c r="H990" t="str">
        <f>IF(E990&lt;0.05,INT(($A990-m_phot!$L$4)/m_phot!$L$5),"")</f>
        <v/>
      </c>
      <c r="I990" t="str">
        <f t="shared" si="29"/>
        <v/>
      </c>
      <c r="J990">
        <f t="shared" si="30"/>
        <v>-0.25750000000000028</v>
      </c>
    </row>
    <row r="991" spans="1:10" ht="14.25" customHeight="1" x14ac:dyDescent="0.25">
      <c r="A991" s="1">
        <v>2454770.3343799999</v>
      </c>
      <c r="B991" s="1" t="s">
        <v>1349</v>
      </c>
      <c r="C991" s="1">
        <v>8.6488370000000003</v>
      </c>
      <c r="D991" s="1"/>
      <c r="E991">
        <f>(A991-m_phot!L$4)/m_phot!L$5-INT((A991-m_phot!L$4)/m_phot!L$5)</f>
        <v>0.29434706674819111</v>
      </c>
      <c r="F991">
        <f t="shared" si="31"/>
        <v>8.6488370000000003</v>
      </c>
      <c r="H991" t="str">
        <f>IF(E991&lt;0.05,INT(($A991-m_phot!$L$4)/m_phot!$L$5),"")</f>
        <v/>
      </c>
      <c r="I991" t="str">
        <f t="shared" si="29"/>
        <v/>
      </c>
      <c r="J991">
        <f t="shared" si="30"/>
        <v>-0.2399129999999996</v>
      </c>
    </row>
    <row r="992" spans="1:10" ht="14.25" customHeight="1" x14ac:dyDescent="0.25">
      <c r="A992" s="1">
        <v>2454786.9280900001</v>
      </c>
      <c r="B992" s="1" t="s">
        <v>1350</v>
      </c>
      <c r="C992" s="1">
        <v>8.6702700000000004</v>
      </c>
      <c r="D992" s="1"/>
      <c r="E992">
        <f>(A992-m_phot!L$4)/m_phot!L$5-INT((A992-m_phot!L$4)/m_phot!L$5)</f>
        <v>0.31467004286596278</v>
      </c>
      <c r="F992">
        <f t="shared" si="31"/>
        <v>8.6702700000000004</v>
      </c>
      <c r="H992" t="str">
        <f>IF(E992&lt;0.05,INT(($A992-m_phot!$L$4)/m_phot!$L$5),"")</f>
        <v/>
      </c>
      <c r="I992" t="str">
        <f t="shared" si="29"/>
        <v/>
      </c>
      <c r="J992">
        <f t="shared" si="30"/>
        <v>-0.21847999999999956</v>
      </c>
    </row>
    <row r="993" spans="1:10" ht="14.25" customHeight="1" x14ac:dyDescent="0.25">
      <c r="A993" s="1">
        <v>2454801.2764699999</v>
      </c>
      <c r="B993" s="1" t="s">
        <v>1351</v>
      </c>
      <c r="C993" s="1">
        <v>8.6085709999999995</v>
      </c>
      <c r="D993" s="1"/>
      <c r="E993">
        <f>(A993-m_phot!L$4)/m_phot!L$5-INT((A993-m_phot!L$4)/m_phot!L$5)</f>
        <v>0.33224307409666309</v>
      </c>
      <c r="F993">
        <f t="shared" si="31"/>
        <v>8.6085709999999995</v>
      </c>
      <c r="H993" t="str">
        <f>IF(E993&lt;0.05,INT(($A993-m_phot!$L$4)/m_phot!$L$5),"")</f>
        <v/>
      </c>
      <c r="I993" t="str">
        <f t="shared" si="29"/>
        <v/>
      </c>
      <c r="J993">
        <f t="shared" si="30"/>
        <v>-0.2801790000000004</v>
      </c>
    </row>
    <row r="994" spans="1:10" ht="14.25" customHeight="1" x14ac:dyDescent="0.25">
      <c r="A994" s="1">
        <v>2454816.5684799999</v>
      </c>
      <c r="B994" s="1" t="s">
        <v>1352</v>
      </c>
      <c r="C994" s="1">
        <v>8.6684210000000004</v>
      </c>
      <c r="D994" s="1"/>
      <c r="E994">
        <f>(A994-m_phot!L$4)/m_phot!L$5-INT((A994-m_phot!L$4)/m_phot!L$5)</f>
        <v>0.35097180649099968</v>
      </c>
      <c r="F994">
        <f t="shared" si="31"/>
        <v>8.6684210000000004</v>
      </c>
      <c r="H994" t="str">
        <f>IF(E994&lt;0.05,INT(($A994-m_phot!$L$4)/m_phot!$L$5),"")</f>
        <v/>
      </c>
      <c r="I994" t="str">
        <f t="shared" si="29"/>
        <v/>
      </c>
      <c r="J994">
        <f t="shared" si="30"/>
        <v>-0.22032899999999955</v>
      </c>
    </row>
    <row r="995" spans="1:10" ht="14.25" customHeight="1" x14ac:dyDescent="0.25">
      <c r="A995" s="1">
        <v>2454832.40386</v>
      </c>
      <c r="B995" s="1" t="s">
        <v>1353</v>
      </c>
      <c r="C995" s="1">
        <v>8.6769230000000004</v>
      </c>
      <c r="D995" s="1"/>
      <c r="E995">
        <f>(A995-m_phot!L$4)/m_phot!L$5-INT((A995-m_phot!L$4)/m_phot!L$5)</f>
        <v>0.37036602571948762</v>
      </c>
      <c r="F995">
        <f t="shared" si="31"/>
        <v>8.6769230000000004</v>
      </c>
      <c r="H995" t="str">
        <f>IF(E995&lt;0.05,INT(($A995-m_phot!$L$4)/m_phot!$L$5),"")</f>
        <v/>
      </c>
      <c r="I995" t="str">
        <f t="shared" si="29"/>
        <v/>
      </c>
      <c r="J995">
        <f t="shared" si="30"/>
        <v>-0.21182699999999954</v>
      </c>
    </row>
    <row r="996" spans="1:10" ht="14.25" customHeight="1" x14ac:dyDescent="0.25">
      <c r="A996" s="1">
        <v>2454849.1794199999</v>
      </c>
      <c r="B996" s="1" t="s">
        <v>1354</v>
      </c>
      <c r="C996" s="1">
        <v>8.7066669999999995</v>
      </c>
      <c r="D996" s="1"/>
      <c r="E996">
        <f>(A996-m_phot!L$4)/m_phot!L$5-INT((A996-m_phot!L$4)/m_phot!L$5)</f>
        <v>0.3909117207592665</v>
      </c>
      <c r="F996">
        <f t="shared" si="31"/>
        <v>8.7066669999999995</v>
      </c>
      <c r="H996" t="str">
        <f>IF(E996&lt;0.05,INT(($A996-m_phot!$L$4)/m_phot!$L$5),"")</f>
        <v/>
      </c>
      <c r="I996" t="str">
        <f t="shared" si="29"/>
        <v/>
      </c>
      <c r="J996">
        <f t="shared" si="30"/>
        <v>-0.18208300000000044</v>
      </c>
    </row>
    <row r="997" spans="1:10" ht="14.25" customHeight="1" x14ac:dyDescent="0.25">
      <c r="A997" s="1">
        <v>2454858.2812299998</v>
      </c>
      <c r="B997" s="1" t="s">
        <v>1355</v>
      </c>
      <c r="C997" s="1">
        <v>8.65</v>
      </c>
      <c r="D997" s="1"/>
      <c r="E997">
        <f>(A997-m_phot!L$4)/m_phot!L$5-INT((A997-m_phot!L$4)/m_phot!L$5)</f>
        <v>0.40205906919760892</v>
      </c>
      <c r="F997">
        <f t="shared" si="31"/>
        <v>8.65</v>
      </c>
      <c r="H997" t="str">
        <f>IF(E997&lt;0.05,INT(($A997-m_phot!$L$4)/m_phot!$L$5),"")</f>
        <v/>
      </c>
      <c r="I997" t="str">
        <f t="shared" si="29"/>
        <v/>
      </c>
      <c r="J997">
        <f t="shared" si="30"/>
        <v>-0.23874999999999957</v>
      </c>
    </row>
    <row r="998" spans="1:10" ht="14.25" customHeight="1" x14ac:dyDescent="0.25">
      <c r="A998" s="1">
        <v>2454921.4164999998</v>
      </c>
      <c r="B998" s="1" t="s">
        <v>1356</v>
      </c>
      <c r="C998" s="1">
        <v>8.75</v>
      </c>
      <c r="D998" s="1"/>
      <c r="E998">
        <f>(A998-m_phot!L$4)/m_phot!L$5-INT((A998-m_phot!L$4)/m_phot!L$5)</f>
        <v>0.47938334353927559</v>
      </c>
      <c r="F998">
        <f t="shared" si="31"/>
        <v>8.75</v>
      </c>
      <c r="H998" t="str">
        <f>IF(E998&lt;0.05,INT(($A998-m_phot!$L$4)/m_phot!$L$5),"")</f>
        <v/>
      </c>
      <c r="I998" t="str">
        <f t="shared" si="29"/>
        <v/>
      </c>
      <c r="J998">
        <f t="shared" si="30"/>
        <v>-0.13874999999999993</v>
      </c>
    </row>
    <row r="999" spans="1:10" ht="14.25" customHeight="1" x14ac:dyDescent="0.25">
      <c r="A999" s="1">
        <v>2454942.0836900002</v>
      </c>
      <c r="B999" s="1" t="s">
        <v>1357</v>
      </c>
      <c r="C999" s="1">
        <v>8.6285710000000009</v>
      </c>
      <c r="D999" s="1"/>
      <c r="E999">
        <f>(A999-m_phot!L$4)/m_phot!L$5-INT((A999-m_phot!L$4)/m_phot!L$5)</f>
        <v>0.504695272504879</v>
      </c>
      <c r="F999">
        <f t="shared" si="31"/>
        <v>8.6285710000000009</v>
      </c>
      <c r="H999" t="str">
        <f>IF(E999&lt;0.05,INT(($A999-m_phot!$L$4)/m_phot!$L$5),"")</f>
        <v/>
      </c>
      <c r="I999" t="str">
        <f t="shared" si="29"/>
        <v/>
      </c>
      <c r="J999">
        <f t="shared" si="30"/>
        <v>-0.26017899999999905</v>
      </c>
    </row>
    <row r="1000" spans="1:10" ht="14.25" customHeight="1" x14ac:dyDescent="0.25">
      <c r="A1000" s="1">
        <v>2454952.8730700002</v>
      </c>
      <c r="B1000" s="1" t="s">
        <v>1358</v>
      </c>
      <c r="C1000" s="1">
        <v>8.65</v>
      </c>
      <c r="D1000" s="1"/>
      <c r="E1000">
        <f>(A1000-m_phot!L$4)/m_phot!L$5-INT((A1000-m_phot!L$4)/m_phot!L$5)</f>
        <v>0.51790945499106655</v>
      </c>
      <c r="F1000">
        <f t="shared" si="31"/>
        <v>8.65</v>
      </c>
      <c r="H1000" t="str">
        <f>IF(E1000&lt;0.05,INT(($A1000-m_phot!$L$4)/m_phot!$L$5),"")</f>
        <v/>
      </c>
      <c r="I1000" t="str">
        <f t="shared" si="29"/>
        <v/>
      </c>
      <c r="J1000">
        <f t="shared" si="30"/>
        <v>-0.23874999999999957</v>
      </c>
    </row>
    <row r="1001" spans="1:10" ht="14.25" customHeight="1" x14ac:dyDescent="0.25">
      <c r="A1001" s="1">
        <v>2454976.1195</v>
      </c>
      <c r="B1001" s="1" t="s">
        <v>1359</v>
      </c>
      <c r="C1001" s="1">
        <v>8.7047620000000006</v>
      </c>
      <c r="D1001" s="1"/>
      <c r="E1001">
        <f>(A1001-m_phot!L$4)/m_phot!L$5-INT((A1001-m_phot!L$4)/m_phot!L$5)</f>
        <v>0.54638028169017616</v>
      </c>
      <c r="F1001">
        <f t="shared" si="31"/>
        <v>8.7047620000000006</v>
      </c>
      <c r="H1001" t="str">
        <f>IF(E1001&lt;0.05,INT(($A1001-m_phot!$L$4)/m_phot!$L$5),"")</f>
        <v/>
      </c>
      <c r="I1001" t="str">
        <f t="shared" si="29"/>
        <v/>
      </c>
      <c r="J1001">
        <f t="shared" si="30"/>
        <v>-0.18398799999999937</v>
      </c>
    </row>
    <row r="1002" spans="1:10" ht="14.25" customHeight="1" x14ac:dyDescent="0.25">
      <c r="A1002" s="1">
        <v>2454987.0875200001</v>
      </c>
      <c r="B1002" s="1" t="s">
        <v>1360</v>
      </c>
      <c r="C1002" s="1">
        <v>8.7071430000000003</v>
      </c>
      <c r="D1002" s="1"/>
      <c r="E1002">
        <f>(A1002-m_phot!L$4)/m_phot!L$5-INT((A1002-m_phot!L$4)/m_phot!L$5)</f>
        <v>0.55981325168409057</v>
      </c>
      <c r="F1002">
        <f t="shared" si="31"/>
        <v>8.7071430000000003</v>
      </c>
      <c r="H1002" t="str">
        <f>IF(E1002&lt;0.05,INT(($A1002-m_phot!$L$4)/m_phot!$L$5),"")</f>
        <v/>
      </c>
      <c r="I1002" t="str">
        <f t="shared" ref="I1002:I1065" si="32">IF(H1002&lt;&gt;"",AVERAGE(C1002:C1003),"")</f>
        <v/>
      </c>
      <c r="J1002">
        <f t="shared" si="30"/>
        <v>-0.18160699999999963</v>
      </c>
    </row>
    <row r="1003" spans="1:10" ht="14.25" customHeight="1" x14ac:dyDescent="0.25">
      <c r="A1003" s="1">
        <v>2455005.5427299999</v>
      </c>
      <c r="B1003" s="1" t="s">
        <v>1361</v>
      </c>
      <c r="C1003" s="1">
        <v>8.7235289999999992</v>
      </c>
      <c r="D1003" s="1"/>
      <c r="E1003">
        <f>(A1003-m_phot!L$4)/m_phot!L$5-INT((A1003-m_phot!L$4)/m_phot!L$5)</f>
        <v>0.58241608083266527</v>
      </c>
      <c r="F1003">
        <f t="shared" si="31"/>
        <v>8.7235289999999992</v>
      </c>
      <c r="H1003" t="str">
        <f>IF(E1003&lt;0.05,INT(($A1003-m_phot!$L$4)/m_phot!$L$5),"")</f>
        <v/>
      </c>
      <c r="I1003" t="str">
        <f t="shared" si="32"/>
        <v/>
      </c>
      <c r="J1003">
        <f t="shared" si="30"/>
        <v>-0.16522100000000073</v>
      </c>
    </row>
    <row r="1004" spans="1:10" ht="14.25" customHeight="1" x14ac:dyDescent="0.25">
      <c r="A1004" s="1">
        <v>2455024.9216900002</v>
      </c>
      <c r="B1004" s="1" t="s">
        <v>1362</v>
      </c>
      <c r="C1004" s="1">
        <v>8.6307690000000008</v>
      </c>
      <c r="D1004" s="1"/>
      <c r="E1004">
        <f>(A1004-m_phot!L$4)/m_phot!L$5-INT((A1004-m_phot!L$4)/m_phot!L$5)</f>
        <v>0.60615026331931432</v>
      </c>
      <c r="F1004">
        <f t="shared" si="31"/>
        <v>8.6307690000000008</v>
      </c>
      <c r="H1004" t="str">
        <f>IF(E1004&lt;0.05,INT(($A1004-m_phot!$L$4)/m_phot!$L$5),"")</f>
        <v/>
      </c>
      <c r="I1004" t="str">
        <f t="shared" si="32"/>
        <v/>
      </c>
      <c r="J1004">
        <f t="shared" si="30"/>
        <v>-0.25798099999999913</v>
      </c>
    </row>
    <row r="1005" spans="1:10" ht="14.25" customHeight="1" x14ac:dyDescent="0.25">
      <c r="A1005" s="1">
        <v>2455038.6293500001</v>
      </c>
      <c r="B1005" s="1" t="s">
        <v>1363</v>
      </c>
      <c r="C1005" s="1">
        <v>8.6804349999999992</v>
      </c>
      <c r="D1005" s="1"/>
      <c r="E1005">
        <f>(A1005-m_phot!L$4)/m_phot!L$5-INT((A1005-m_phot!L$4)/m_phot!L$5)</f>
        <v>0.62293857930197305</v>
      </c>
      <c r="F1005">
        <f t="shared" si="31"/>
        <v>8.6804349999999992</v>
      </c>
      <c r="H1005" t="str">
        <f>IF(E1005&lt;0.05,INT(($A1005-m_phot!$L$4)/m_phot!$L$5),"")</f>
        <v/>
      </c>
      <c r="I1005" t="str">
        <f t="shared" si="32"/>
        <v/>
      </c>
      <c r="J1005">
        <f t="shared" si="30"/>
        <v>-0.20831500000000069</v>
      </c>
    </row>
    <row r="1006" spans="1:10" ht="14.25" customHeight="1" x14ac:dyDescent="0.25">
      <c r="A1006" s="1">
        <v>2455059.5128199998</v>
      </c>
      <c r="B1006" s="1" t="s">
        <v>1364</v>
      </c>
      <c r="C1006" s="1">
        <v>8.6894740000000006</v>
      </c>
      <c r="D1006" s="1"/>
      <c r="E1006">
        <f>(A1006-m_phot!L$4)/m_phot!L$5-INT((A1006-m_phot!L$4)/m_phot!L$5)</f>
        <v>0.64851539497835731</v>
      </c>
      <c r="F1006">
        <f t="shared" si="31"/>
        <v>8.6894740000000006</v>
      </c>
      <c r="H1006" t="str">
        <f>IF(E1006&lt;0.05,INT(($A1006-m_phot!$L$4)/m_phot!$L$5),"")</f>
        <v/>
      </c>
      <c r="I1006" t="str">
        <f t="shared" si="32"/>
        <v/>
      </c>
      <c r="J1006">
        <f t="shared" si="30"/>
        <v>-0.19927599999999934</v>
      </c>
    </row>
    <row r="1007" spans="1:10" ht="14.25" customHeight="1" x14ac:dyDescent="0.25">
      <c r="A1007" s="1">
        <v>2455070.0996900001</v>
      </c>
      <c r="B1007" s="1" t="s">
        <v>1365</v>
      </c>
      <c r="C1007" s="1">
        <v>8.7028850000000002</v>
      </c>
      <c r="D1007" s="1"/>
      <c r="E1007">
        <f>(A1007-m_phot!L$4)/m_phot!L$5-INT((A1007-m_phot!L$4)/m_phot!L$5)</f>
        <v>0.66148155541954878</v>
      </c>
      <c r="F1007">
        <f t="shared" si="31"/>
        <v>8.7028850000000002</v>
      </c>
      <c r="H1007" t="str">
        <f>IF(E1007&lt;0.05,INT(($A1007-m_phot!$L$4)/m_phot!$L$5),"")</f>
        <v/>
      </c>
      <c r="I1007" t="str">
        <f t="shared" si="32"/>
        <v/>
      </c>
      <c r="J1007">
        <f t="shared" si="30"/>
        <v>-0.18586499999999972</v>
      </c>
    </row>
    <row r="1008" spans="1:10" ht="14.25" customHeight="1" x14ac:dyDescent="0.25">
      <c r="A1008" s="1">
        <v>2455088.2312699999</v>
      </c>
      <c r="B1008" s="1" t="s">
        <v>1366</v>
      </c>
      <c r="C1008" s="1">
        <v>8.6865380000000005</v>
      </c>
      <c r="D1008" s="1"/>
      <c r="E1008">
        <f>(A1008-m_phot!L$4)/m_phot!L$5-INT((A1008-m_phot!L$4)/m_phot!L$5)</f>
        <v>0.68368802204516044</v>
      </c>
      <c r="F1008">
        <f t="shared" si="31"/>
        <v>8.6865380000000005</v>
      </c>
      <c r="H1008" t="str">
        <f>IF(E1008&lt;0.05,INT(($A1008-m_phot!$L$4)/m_phot!$L$5),"")</f>
        <v/>
      </c>
      <c r="I1008" t="str">
        <f t="shared" si="32"/>
        <v/>
      </c>
      <c r="J1008">
        <f t="shared" si="30"/>
        <v>-0.20221199999999939</v>
      </c>
    </row>
    <row r="1009" spans="1:10" ht="14.25" customHeight="1" x14ac:dyDescent="0.25">
      <c r="A1009" s="1">
        <v>2455099.95523</v>
      </c>
      <c r="B1009" s="1" t="s">
        <v>1367</v>
      </c>
      <c r="C1009" s="1">
        <v>8.6911109999999994</v>
      </c>
      <c r="D1009" s="1"/>
      <c r="E1009">
        <f>(A1009-m_phot!L$4)/m_phot!L$5-INT((A1009-m_phot!L$4)/m_phot!L$5)</f>
        <v>0.69804682180032174</v>
      </c>
      <c r="F1009">
        <f t="shared" si="31"/>
        <v>8.6911109999999994</v>
      </c>
      <c r="H1009" t="str">
        <f>IF(E1009&lt;0.05,INT(($A1009-m_phot!$L$4)/m_phot!$L$5),"")</f>
        <v/>
      </c>
      <c r="I1009" t="str">
        <f t="shared" si="32"/>
        <v/>
      </c>
      <c r="J1009">
        <f t="shared" si="30"/>
        <v>-0.19763900000000056</v>
      </c>
    </row>
    <row r="1010" spans="1:10" ht="14.25" customHeight="1" x14ac:dyDescent="0.25">
      <c r="A1010" s="1">
        <v>2455118.0069499998</v>
      </c>
      <c r="B1010" s="1" t="s">
        <v>1368</v>
      </c>
      <c r="C1010" s="1">
        <v>8.6489130000000003</v>
      </c>
      <c r="D1010" s="1"/>
      <c r="E1010">
        <f>(A1010-m_phot!L$4)/m_phot!L$5-INT((A1010-m_phot!L$4)/m_phot!L$5)</f>
        <v>0.72015548071014734</v>
      </c>
      <c r="F1010">
        <f t="shared" si="31"/>
        <v>8.6489130000000003</v>
      </c>
      <c r="H1010" t="str">
        <f>IF(E1010&lt;0.05,INT(($A1010-m_phot!$L$4)/m_phot!$L$5),"")</f>
        <v/>
      </c>
      <c r="I1010" t="str">
        <f t="shared" si="32"/>
        <v/>
      </c>
      <c r="J1010">
        <f t="shared" si="30"/>
        <v>-0.23983699999999963</v>
      </c>
    </row>
    <row r="1011" spans="1:10" ht="14.25" customHeight="1" x14ac:dyDescent="0.25">
      <c r="A1011" s="1">
        <v>2455132.1525400002</v>
      </c>
      <c r="B1011" s="1" t="s">
        <v>1369</v>
      </c>
      <c r="C1011" s="1">
        <v>8.6862069999999996</v>
      </c>
      <c r="D1011" s="1"/>
      <c r="E1011">
        <f>(A1011-m_phot!L$4)/m_phot!L$5-INT((A1011-m_phot!L$4)/m_phot!L$5)</f>
        <v>0.73748014696895936</v>
      </c>
      <c r="F1011">
        <f t="shared" si="31"/>
        <v>8.6862069999999996</v>
      </c>
      <c r="H1011" t="str">
        <f>IF(E1011&lt;0.05,INT(($A1011-m_phot!$L$4)/m_phot!$L$5),"")</f>
        <v/>
      </c>
      <c r="I1011" t="str">
        <f t="shared" si="32"/>
        <v/>
      </c>
      <c r="J1011">
        <f t="shared" si="30"/>
        <v>-0.20254300000000036</v>
      </c>
    </row>
    <row r="1012" spans="1:10" ht="14.25" customHeight="1" x14ac:dyDescent="0.25">
      <c r="A1012" s="1">
        <v>2455149.5773700001</v>
      </c>
      <c r="B1012" s="1" t="s">
        <v>1370</v>
      </c>
      <c r="C1012" s="1">
        <v>8.7550000000000008</v>
      </c>
      <c r="D1012" s="1"/>
      <c r="E1012">
        <f>(A1012-m_phot!L$4)/m_phot!L$5-INT((A1012-m_phot!L$4)/m_phot!L$5)</f>
        <v>0.75882102878147251</v>
      </c>
      <c r="F1012">
        <f t="shared" si="31"/>
        <v>8.7550000000000008</v>
      </c>
      <c r="H1012" t="str">
        <f>IF(E1012&lt;0.05,INT(($A1012-m_phot!$L$4)/m_phot!$L$5),"")</f>
        <v/>
      </c>
      <c r="I1012" t="str">
        <f t="shared" si="32"/>
        <v/>
      </c>
      <c r="J1012">
        <f t="shared" si="30"/>
        <v>-0.13374999999999915</v>
      </c>
    </row>
    <row r="1013" spans="1:10" ht="14.25" customHeight="1" x14ac:dyDescent="0.25">
      <c r="A1013" s="1">
        <v>2455163.0867499998</v>
      </c>
      <c r="B1013" s="1" t="s">
        <v>1371</v>
      </c>
      <c r="C1013" s="1">
        <v>8.7260869999999997</v>
      </c>
      <c r="D1013" s="1"/>
      <c r="E1013">
        <f>(A1013-m_phot!L$4)/m_phot!L$5-INT((A1013-m_phot!L$4)/m_phot!L$5)</f>
        <v>0.77536650336777058</v>
      </c>
      <c r="F1013">
        <f t="shared" si="31"/>
        <v>8.7260869999999997</v>
      </c>
      <c r="H1013" t="str">
        <f>IF(E1013&lt;0.05,INT(($A1013-m_phot!$L$4)/m_phot!$L$5),"")</f>
        <v/>
      </c>
      <c r="I1013" t="str">
        <f t="shared" si="32"/>
        <v/>
      </c>
      <c r="J1013">
        <f t="shared" si="30"/>
        <v>-0.16266300000000022</v>
      </c>
    </row>
    <row r="1014" spans="1:10" ht="14.25" customHeight="1" x14ac:dyDescent="0.25">
      <c r="A1014" s="1">
        <v>2455179.2675899998</v>
      </c>
      <c r="B1014" s="1" t="s">
        <v>1372</v>
      </c>
      <c r="C1014" s="1">
        <v>8.8296299999999999</v>
      </c>
      <c r="D1014" s="1"/>
      <c r="E1014">
        <f>(A1014-m_phot!L$4)/m_phot!L$5-INT((A1014-m_phot!L$4)/m_phot!L$5)</f>
        <v>0.79518382118778774</v>
      </c>
      <c r="F1014">
        <f t="shared" si="31"/>
        <v>8.8296299999999999</v>
      </c>
      <c r="H1014" t="str">
        <f>IF(E1014&lt;0.05,INT(($A1014-m_phot!$L$4)/m_phot!$L$5),"")</f>
        <v/>
      </c>
      <c r="I1014" t="str">
        <f t="shared" si="32"/>
        <v/>
      </c>
      <c r="J1014">
        <f t="shared" si="30"/>
        <v>-5.9120000000000061E-2</v>
      </c>
    </row>
    <row r="1015" spans="1:10" ht="14.25" customHeight="1" x14ac:dyDescent="0.25">
      <c r="A1015" s="1">
        <v>2455195.0367399999</v>
      </c>
      <c r="B1015" s="1" t="s">
        <v>1373</v>
      </c>
      <c r="C1015" s="1">
        <v>8.7750000000000004</v>
      </c>
      <c r="D1015" s="1"/>
      <c r="E1015">
        <f>(A1015-m_phot!L$4)/m_phot!L$5-INT((A1015-m_phot!L$4)/m_phot!L$5)</f>
        <v>0.81449692590311429</v>
      </c>
      <c r="F1015">
        <f t="shared" si="31"/>
        <v>8.7750000000000004</v>
      </c>
      <c r="H1015" t="str">
        <f>IF(E1015&lt;0.05,INT(($A1015-m_phot!$L$4)/m_phot!$L$5),"")</f>
        <v/>
      </c>
      <c r="I1015" t="str">
        <f t="shared" si="32"/>
        <v/>
      </c>
      <c r="J1015">
        <f t="shared" si="30"/>
        <v>-0.11374999999999957</v>
      </c>
    </row>
    <row r="1016" spans="1:10" ht="14.25" customHeight="1" x14ac:dyDescent="0.25">
      <c r="A1016" s="1">
        <v>2455209.5244999998</v>
      </c>
      <c r="B1016" s="1" t="s">
        <v>1374</v>
      </c>
      <c r="C1016" s="1">
        <v>8.7833330000000007</v>
      </c>
      <c r="D1016" s="1"/>
      <c r="E1016">
        <f>(A1016-m_phot!L$4)/m_phot!L$5-INT((A1016-m_phot!L$4)/m_phot!L$5)</f>
        <v>0.83224066135924701</v>
      </c>
      <c r="F1016">
        <f t="shared" si="31"/>
        <v>8.7833330000000007</v>
      </c>
      <c r="H1016" t="str">
        <f>IF(E1016&lt;0.05,INT(($A1016-m_phot!$L$4)/m_phot!$L$5),"")</f>
        <v/>
      </c>
      <c r="I1016" t="str">
        <f t="shared" si="32"/>
        <v/>
      </c>
      <c r="J1016">
        <f t="shared" si="30"/>
        <v>-0.10541699999999921</v>
      </c>
    </row>
    <row r="1017" spans="1:10" ht="14.25" customHeight="1" x14ac:dyDescent="0.25">
      <c r="A1017" s="1">
        <v>2455240.284</v>
      </c>
      <c r="B1017" s="1" t="s">
        <v>1375</v>
      </c>
      <c r="C1017" s="1">
        <v>8.6</v>
      </c>
      <c r="D1017" s="1"/>
      <c r="E1017">
        <f>(A1017-m_phot!L$4)/m_phot!L$5-INT((A1017-m_phot!L$4)/m_phot!L$5)</f>
        <v>0.86991304347824183</v>
      </c>
      <c r="F1017">
        <f t="shared" si="31"/>
        <v>8.6</v>
      </c>
      <c r="H1017" t="str">
        <f>IF(E1017&lt;0.05,INT(($A1017-m_phot!$L$4)/m_phot!$L$5),"")</f>
        <v/>
      </c>
      <c r="I1017" t="str">
        <f t="shared" si="32"/>
        <v/>
      </c>
      <c r="J1017">
        <f t="shared" si="30"/>
        <v>-0.28875000000000028</v>
      </c>
    </row>
    <row r="1018" spans="1:10" ht="14.25" customHeight="1" x14ac:dyDescent="0.25">
      <c r="A1018" s="1">
        <v>2455265.7278</v>
      </c>
      <c r="B1018" s="1" t="s">
        <v>1376</v>
      </c>
      <c r="C1018" s="1">
        <v>8.6</v>
      </c>
      <c r="D1018" s="1"/>
      <c r="E1018">
        <f>(A1018-m_phot!L$4)/m_phot!L$5-INT((A1018-m_phot!L$4)/m_phot!L$5)</f>
        <v>0.9010750765462241</v>
      </c>
      <c r="F1018">
        <f t="shared" si="31"/>
        <v>8.6</v>
      </c>
      <c r="H1018" t="str">
        <f>IF(E1018&lt;0.05,INT(($A1018-m_phot!$L$4)/m_phot!$L$5),"")</f>
        <v/>
      </c>
      <c r="I1018" t="str">
        <f t="shared" si="32"/>
        <v/>
      </c>
      <c r="J1018">
        <f t="shared" si="30"/>
        <v>-0.28875000000000028</v>
      </c>
    </row>
    <row r="1019" spans="1:10" ht="14.25" customHeight="1" x14ac:dyDescent="0.25">
      <c r="A1019" s="1">
        <v>2455302.2208500002</v>
      </c>
      <c r="B1019" s="1" t="s">
        <v>1377</v>
      </c>
      <c r="C1019" s="1">
        <v>8.8666669999999996</v>
      </c>
      <c r="D1019" s="1"/>
      <c r="E1019">
        <f>(A1019-m_phot!L$4)/m_phot!L$5-INT((A1019-m_phot!L$4)/m_phot!L$5)</f>
        <v>0.94576956521758504</v>
      </c>
      <c r="F1019">
        <f t="shared" si="31"/>
        <v>8.8666669999999996</v>
      </c>
      <c r="H1019" t="str">
        <f>IF(E1019&lt;0.05,INT(($A1019-m_phot!$L$4)/m_phot!$L$5),"")</f>
        <v/>
      </c>
      <c r="I1019" t="str">
        <f t="shared" si="32"/>
        <v/>
      </c>
      <c r="J1019">
        <f t="shared" si="30"/>
        <v>-2.2083000000000297E-2</v>
      </c>
    </row>
    <row r="1020" spans="1:10" ht="14.25" customHeight="1" x14ac:dyDescent="0.25">
      <c r="A1020" s="1">
        <v>2455316.8072199998</v>
      </c>
      <c r="B1020" s="1" t="s">
        <v>1378</v>
      </c>
      <c r="C1020" s="1">
        <v>8.9600000000000009</v>
      </c>
      <c r="D1020" s="1"/>
      <c r="E1020">
        <f>(A1020-m_phot!L$4)/m_phot!L$5-INT((A1020-m_phot!L$4)/m_phot!L$5)</f>
        <v>0.96363407225945252</v>
      </c>
      <c r="F1020">
        <f t="shared" si="31"/>
        <v>8.9600000000000009</v>
      </c>
      <c r="H1020" t="str">
        <f>IF(E1020&lt;0.05,INT(($A1020-m_phot!$L$4)/m_phot!$L$5),"")</f>
        <v/>
      </c>
      <c r="I1020" t="str">
        <f t="shared" si="32"/>
        <v/>
      </c>
      <c r="J1020">
        <f t="shared" si="30"/>
        <v>7.1250000000000924E-2</v>
      </c>
    </row>
    <row r="1021" spans="1:10" ht="14.25" customHeight="1" x14ac:dyDescent="0.25">
      <c r="A1021" s="1">
        <v>2455336.5549300001</v>
      </c>
      <c r="B1021" s="1" t="s">
        <v>1379</v>
      </c>
      <c r="C1021" s="1">
        <v>8.9333329999999993</v>
      </c>
      <c r="D1021" s="1"/>
      <c r="E1021">
        <f>(A1021-m_phot!L$4)/m_phot!L$5-INT((A1021-m_phot!L$4)/m_phot!L$5)</f>
        <v>0.98781987752614953</v>
      </c>
      <c r="F1021">
        <f t="shared" si="31"/>
        <v>8.9333329999999993</v>
      </c>
      <c r="H1021" t="str">
        <f>IF(E1021&lt;0.05,INT(($A1021-m_phot!$L$4)/m_phot!$L$5),"")</f>
        <v/>
      </c>
      <c r="I1021" t="str">
        <f t="shared" si="32"/>
        <v/>
      </c>
      <c r="J1021">
        <f t="shared" si="30"/>
        <v>4.4582999999999373E-2</v>
      </c>
    </row>
    <row r="1022" spans="1:10" ht="14.25" customHeight="1" x14ac:dyDescent="0.25">
      <c r="A1022" s="1">
        <v>2455354.2603199999</v>
      </c>
      <c r="B1022" s="1" t="s">
        <v>1380</v>
      </c>
      <c r="C1022" s="1">
        <v>8.9</v>
      </c>
      <c r="D1022" s="1"/>
      <c r="E1022">
        <f>(A1022-m_phot!L$4)/m_phot!L$5-INT((A1022-m_phot!L$4)/m_phot!L$5)</f>
        <v>9.5043723207410835E-3</v>
      </c>
      <c r="F1022">
        <f t="shared" si="31"/>
        <v>8.9</v>
      </c>
      <c r="H1022">
        <f>IF(E1022&lt;0.05,INT(($A1022-m_phot!$L$4)/m_phot!$L$5),"")</f>
        <v>29</v>
      </c>
      <c r="I1022">
        <f t="shared" si="32"/>
        <v>8.9115384999999989</v>
      </c>
      <c r="J1022">
        <f>+C1022-I$1022</f>
        <v>-1.1538499999998564E-2</v>
      </c>
    </row>
    <row r="1023" spans="1:10" ht="14.25" customHeight="1" x14ac:dyDescent="0.25">
      <c r="A1023" s="1">
        <v>2455366.5873400001</v>
      </c>
      <c r="B1023" s="1" t="s">
        <v>1381</v>
      </c>
      <c r="C1023" s="1">
        <v>8.9230769999999993</v>
      </c>
      <c r="D1023" s="1"/>
      <c r="E1023">
        <f>(A1023-m_phot!L$4)/m_phot!L$5-INT((A1023-m_phot!L$4)/m_phot!L$5)</f>
        <v>2.4601763625334172E-2</v>
      </c>
      <c r="F1023">
        <f t="shared" si="31"/>
        <v>8.9230769999999993</v>
      </c>
      <c r="H1023">
        <f>IF(E1023&lt;0.05,INT(($A1023-m_phot!$L$4)/m_phot!$L$5),"")</f>
        <v>29</v>
      </c>
      <c r="I1023">
        <f t="shared" si="32"/>
        <v>8.9234434999999994</v>
      </c>
      <c r="J1023">
        <f t="shared" ref="J1023:J1070" si="33">+C1023-I$1022</f>
        <v>1.153850000000034E-2</v>
      </c>
    </row>
    <row r="1024" spans="1:10" ht="14.25" customHeight="1" x14ac:dyDescent="0.25">
      <c r="A1024" s="1">
        <v>2455384.8004200002</v>
      </c>
      <c r="B1024" s="1" t="s">
        <v>1382</v>
      </c>
      <c r="C1024" s="1">
        <v>8.9238099999999996</v>
      </c>
      <c r="D1024" s="1"/>
      <c r="E1024">
        <f>(A1024-m_phot!L$4)/m_phot!L$5-INT((A1024-m_phot!L$4)/m_phot!L$5)</f>
        <v>4.6908046540377057E-2</v>
      </c>
      <c r="F1024">
        <f t="shared" si="31"/>
        <v>8.9238099999999996</v>
      </c>
      <c r="H1024">
        <f>IF(E1024&lt;0.05,INT(($A1024-m_phot!$L$4)/m_phot!$L$5),"")</f>
        <v>29</v>
      </c>
      <c r="I1024">
        <f t="shared" si="32"/>
        <v>8.8547620000000009</v>
      </c>
      <c r="J1024">
        <f t="shared" si="33"/>
        <v>1.2271500000000657E-2</v>
      </c>
    </row>
    <row r="1025" spans="1:10" ht="14.25" customHeight="1" x14ac:dyDescent="0.25">
      <c r="A1025" s="1">
        <v>2455395.9146799999</v>
      </c>
      <c r="B1025" s="1" t="s">
        <v>1383</v>
      </c>
      <c r="C1025" s="1">
        <v>8.7857140000000005</v>
      </c>
      <c r="D1025" s="1"/>
      <c r="E1025">
        <f>(A1025-m_phot!L$4)/m_phot!L$5-INT((A1025-m_phot!L$4)/m_phot!L$5)</f>
        <v>6.0520122473885607E-2</v>
      </c>
      <c r="F1025">
        <f t="shared" si="31"/>
        <v>8.7857140000000005</v>
      </c>
      <c r="H1025" t="str">
        <f>IF(E1025&lt;0.05,INT(($A1025-m_phot!$L$4)/m_phot!$L$5),"")</f>
        <v/>
      </c>
      <c r="I1025" t="str">
        <f t="shared" si="32"/>
        <v/>
      </c>
      <c r="J1025">
        <f t="shared" si="33"/>
        <v>-0.12582449999999845</v>
      </c>
    </row>
    <row r="1026" spans="1:10" ht="14.25" customHeight="1" x14ac:dyDescent="0.25">
      <c r="A1026" s="1">
        <v>2455415.4624899998</v>
      </c>
      <c r="B1026" s="1" t="s">
        <v>1384</v>
      </c>
      <c r="C1026" s="1">
        <v>8.8000000000000007</v>
      </c>
      <c r="D1026" s="1"/>
      <c r="E1026">
        <f>(A1026-m_phot!L$4)/m_phot!L$5-INT((A1026-m_phot!L$4)/m_phot!L$5)</f>
        <v>8.4461102265560584E-2</v>
      </c>
      <c r="F1026">
        <f t="shared" si="31"/>
        <v>8.8000000000000007</v>
      </c>
      <c r="H1026" t="str">
        <f>IF(E1026&lt;0.05,INT(($A1026-m_phot!$L$4)/m_phot!$L$5),"")</f>
        <v/>
      </c>
      <c r="I1026" t="str">
        <f t="shared" si="32"/>
        <v/>
      </c>
      <c r="J1026">
        <f t="shared" si="33"/>
        <v>-0.11153849999999821</v>
      </c>
    </row>
    <row r="1027" spans="1:10" ht="14.25" customHeight="1" x14ac:dyDescent="0.25">
      <c r="A1027" s="1">
        <v>2455427.27593</v>
      </c>
      <c r="B1027" s="1" t="s">
        <v>1385</v>
      </c>
      <c r="C1027" s="1">
        <v>8.7629629999999992</v>
      </c>
      <c r="D1027" s="1"/>
      <c r="E1027">
        <f>(A1027-m_phot!L$4)/m_phot!L$5-INT((A1027-m_phot!L$4)/m_phot!L$5)</f>
        <v>9.8929491733009911E-2</v>
      </c>
      <c r="F1027">
        <f t="shared" si="31"/>
        <v>8.7629629999999992</v>
      </c>
      <c r="H1027" t="str">
        <f>IF(E1027&lt;0.05,INT(($A1027-m_phot!$L$4)/m_phot!$L$5),"")</f>
        <v/>
      </c>
      <c r="I1027" t="str">
        <f t="shared" si="32"/>
        <v/>
      </c>
      <c r="J1027">
        <f t="shared" si="33"/>
        <v>-0.14857549999999975</v>
      </c>
    </row>
    <row r="1028" spans="1:10" ht="14.25" customHeight="1" x14ac:dyDescent="0.25">
      <c r="A1028" s="1">
        <v>2455442.9400999998</v>
      </c>
      <c r="B1028" s="1" t="s">
        <v>1386</v>
      </c>
      <c r="C1028" s="1">
        <v>8.8051279999999998</v>
      </c>
      <c r="D1028" s="1"/>
      <c r="E1028">
        <f>(A1028-m_phot!L$4)/m_phot!L$5-INT((A1028-m_phot!L$4)/m_phot!L$5)</f>
        <v>0.11811402326977927</v>
      </c>
      <c r="F1028">
        <f t="shared" si="31"/>
        <v>8.8051279999999998</v>
      </c>
      <c r="H1028" t="str">
        <f>IF(E1028&lt;0.05,INT(($A1028-m_phot!$L$4)/m_phot!$L$5),"")</f>
        <v/>
      </c>
      <c r="I1028" t="str">
        <f t="shared" si="32"/>
        <v/>
      </c>
      <c r="J1028">
        <f t="shared" si="33"/>
        <v>-0.10641049999999908</v>
      </c>
    </row>
    <row r="1029" spans="1:10" ht="14.25" customHeight="1" x14ac:dyDescent="0.25">
      <c r="A1029" s="1">
        <v>2455456.4736199998</v>
      </c>
      <c r="B1029" s="1" t="s">
        <v>1387</v>
      </c>
      <c r="C1029" s="1">
        <v>8.7428570000000008</v>
      </c>
      <c r="D1029" s="1"/>
      <c r="E1029">
        <f>(A1029-m_phot!L$4)/m_phot!L$5-INT((A1029-m_phot!L$4)/m_phot!L$5)</f>
        <v>0.13468906307388906</v>
      </c>
      <c r="F1029">
        <f t="shared" si="31"/>
        <v>8.7428570000000008</v>
      </c>
      <c r="H1029" t="str">
        <f>IF(E1029&lt;0.05,INT(($A1029-m_phot!$L$4)/m_phot!$L$5),"")</f>
        <v/>
      </c>
      <c r="I1029" t="str">
        <f t="shared" si="32"/>
        <v/>
      </c>
      <c r="J1029">
        <f t="shared" si="33"/>
        <v>-0.16868149999999815</v>
      </c>
    </row>
    <row r="1030" spans="1:10" ht="14.25" customHeight="1" x14ac:dyDescent="0.25">
      <c r="A1030" s="1">
        <v>2455475.91194</v>
      </c>
      <c r="B1030" s="1" t="s">
        <v>1388</v>
      </c>
      <c r="C1030" s="1">
        <v>8.8264709999999997</v>
      </c>
      <c r="D1030" s="1"/>
      <c r="E1030">
        <f>(A1030-m_phot!L$4)/m_phot!L$5-INT((A1030-m_phot!L$4)/m_phot!L$5)</f>
        <v>0.15849594611147566</v>
      </c>
      <c r="F1030">
        <f t="shared" si="31"/>
        <v>8.8264709999999997</v>
      </c>
      <c r="H1030" t="str">
        <f>IF(E1030&lt;0.05,INT(($A1030-m_phot!$L$4)/m_phot!$L$5),"")</f>
        <v/>
      </c>
      <c r="I1030" t="str">
        <f t="shared" si="32"/>
        <v/>
      </c>
      <c r="J1030">
        <f t="shared" si="33"/>
        <v>-8.5067499999999185E-2</v>
      </c>
    </row>
    <row r="1031" spans="1:10" ht="14.25" customHeight="1" x14ac:dyDescent="0.25">
      <c r="A1031" s="1">
        <v>2455490.32528</v>
      </c>
      <c r="B1031" s="1" t="s">
        <v>1389</v>
      </c>
      <c r="C1031" s="1">
        <v>8.8038460000000001</v>
      </c>
      <c r="D1031" s="1"/>
      <c r="E1031">
        <f>(A1031-m_phot!L$4)/m_phot!L$5-INT((A1031-m_phot!L$4)/m_phot!L$5)</f>
        <v>0.1761485364359956</v>
      </c>
      <c r="F1031">
        <f t="shared" si="31"/>
        <v>8.8038460000000001</v>
      </c>
      <c r="H1031" t="str">
        <f>IF(E1031&lt;0.05,INT(($A1031-m_phot!$L$4)/m_phot!$L$5),"")</f>
        <v/>
      </c>
      <c r="I1031" t="str">
        <f t="shared" si="32"/>
        <v/>
      </c>
      <c r="J1031">
        <f t="shared" si="33"/>
        <v>-0.10769249999999886</v>
      </c>
    </row>
    <row r="1032" spans="1:10" ht="14.25" customHeight="1" x14ac:dyDescent="0.25">
      <c r="A1032" s="1">
        <v>2455504.9169399999</v>
      </c>
      <c r="B1032" s="1" t="s">
        <v>1390</v>
      </c>
      <c r="C1032" s="1">
        <v>8.8088239999999995</v>
      </c>
      <c r="D1032" s="1"/>
      <c r="E1032">
        <f>(A1032-m_phot!L$4)/m_phot!L$5-INT((A1032-m_phot!L$4)/m_phot!L$5)</f>
        <v>0.19401952235138964</v>
      </c>
      <c r="F1032">
        <f t="shared" si="31"/>
        <v>8.8088239999999995</v>
      </c>
      <c r="H1032" t="str">
        <f>IF(E1032&lt;0.05,INT(($A1032-m_phot!$L$4)/m_phot!$L$5),"")</f>
        <v/>
      </c>
      <c r="I1032" t="str">
        <f t="shared" si="32"/>
        <v/>
      </c>
      <c r="J1032">
        <f t="shared" si="33"/>
        <v>-0.10271449999999938</v>
      </c>
    </row>
    <row r="1033" spans="1:10" ht="14.25" customHeight="1" x14ac:dyDescent="0.25">
      <c r="A1033" s="1">
        <v>2455518.6229900001</v>
      </c>
      <c r="B1033" s="1" t="s">
        <v>1391</v>
      </c>
      <c r="C1033" s="1">
        <v>8.8588240000000003</v>
      </c>
      <c r="D1033" s="1"/>
      <c r="E1033">
        <f>(A1033-m_phot!L$4)/m_phot!L$5-INT((A1033-m_phot!L$4)/m_phot!L$5)</f>
        <v>0.21080586650344202</v>
      </c>
      <c r="F1033">
        <f t="shared" si="31"/>
        <v>8.8588240000000003</v>
      </c>
      <c r="H1033" t="str">
        <f>IF(E1033&lt;0.05,INT(($A1033-m_phot!$L$4)/m_phot!$L$5),"")</f>
        <v/>
      </c>
      <c r="I1033" t="str">
        <f t="shared" si="32"/>
        <v/>
      </c>
      <c r="J1033">
        <f t="shared" si="33"/>
        <v>-5.2714499999998665E-2</v>
      </c>
    </row>
    <row r="1034" spans="1:10" ht="14.25" customHeight="1" x14ac:dyDescent="0.25">
      <c r="A1034" s="1">
        <v>2455534.78052</v>
      </c>
      <c r="B1034" s="1" t="s">
        <v>1392</v>
      </c>
      <c r="C1034" s="1">
        <v>8.7764710000000008</v>
      </c>
      <c r="D1034" s="1"/>
      <c r="E1034">
        <f>(A1034-m_phot!L$4)/m_phot!L$5-INT((A1034-m_phot!L$4)/m_phot!L$5)</f>
        <v>0.23059463563996374</v>
      </c>
      <c r="F1034">
        <f t="shared" si="31"/>
        <v>8.7764710000000008</v>
      </c>
      <c r="H1034" t="str">
        <f>IF(E1034&lt;0.05,INT(($A1034-m_phot!$L$4)/m_phot!$L$5),"")</f>
        <v/>
      </c>
      <c r="I1034" t="str">
        <f t="shared" si="32"/>
        <v/>
      </c>
      <c r="J1034">
        <f t="shared" si="33"/>
        <v>-0.13506749999999812</v>
      </c>
    </row>
    <row r="1035" spans="1:10" ht="14.25" customHeight="1" x14ac:dyDescent="0.25">
      <c r="A1035" s="1">
        <v>2455549.9083599998</v>
      </c>
      <c r="B1035" s="1" t="s">
        <v>1393</v>
      </c>
      <c r="C1035" s="1">
        <v>8.8000000000000007</v>
      </c>
      <c r="D1035" s="1"/>
      <c r="E1035">
        <f>(A1035-m_phot!L$4)/m_phot!L$5-INT((A1035-m_phot!L$4)/m_phot!L$5)</f>
        <v>0.24912230251043255</v>
      </c>
      <c r="F1035">
        <f t="shared" si="31"/>
        <v>8.8000000000000007</v>
      </c>
      <c r="H1035" t="str">
        <f>IF(E1035&lt;0.05,INT(($A1035-m_phot!$L$4)/m_phot!$L$5),"")</f>
        <v/>
      </c>
      <c r="I1035" t="str">
        <f t="shared" si="32"/>
        <v/>
      </c>
      <c r="J1035">
        <f t="shared" si="33"/>
        <v>-0.11153849999999821</v>
      </c>
    </row>
    <row r="1036" spans="1:10" ht="14.25" customHeight="1" x14ac:dyDescent="0.25">
      <c r="A1036" s="1">
        <v>2455568.26291</v>
      </c>
      <c r="B1036" s="1" t="s">
        <v>1394</v>
      </c>
      <c r="C1036" s="1">
        <v>8.6555560000000007</v>
      </c>
      <c r="D1036" s="1"/>
      <c r="E1036">
        <f>(A1036-m_phot!L$4)/m_phot!L$5-INT((A1036-m_phot!L$4)/m_phot!L$5)</f>
        <v>0.27160184935707221</v>
      </c>
      <c r="F1036">
        <f t="shared" si="31"/>
        <v>8.6555560000000007</v>
      </c>
      <c r="H1036" t="str">
        <f>IF(E1036&lt;0.05,INT(($A1036-m_phot!$L$4)/m_phot!$L$5),"")</f>
        <v/>
      </c>
      <c r="I1036" t="str">
        <f t="shared" si="32"/>
        <v/>
      </c>
      <c r="J1036">
        <f t="shared" si="33"/>
        <v>-0.25598249999999823</v>
      </c>
    </row>
    <row r="1037" spans="1:10" ht="14.25" customHeight="1" x14ac:dyDescent="0.25">
      <c r="A1037" s="1">
        <v>2455581.24028</v>
      </c>
      <c r="B1037" s="1" t="s">
        <v>1395</v>
      </c>
      <c r="C1037" s="1">
        <v>8.5</v>
      </c>
      <c r="D1037" s="1"/>
      <c r="E1037">
        <f>(A1037-m_phot!L$4)/m_phot!L$5-INT((A1037-m_phot!L$4)/m_phot!L$5)</f>
        <v>0.28749575015312701</v>
      </c>
      <c r="F1037">
        <f t="shared" si="31"/>
        <v>8.5</v>
      </c>
      <c r="H1037" t="str">
        <f>IF(E1037&lt;0.05,INT(($A1037-m_phot!$L$4)/m_phot!$L$5),"")</f>
        <v/>
      </c>
      <c r="I1037" t="str">
        <f t="shared" si="32"/>
        <v/>
      </c>
      <c r="J1037">
        <f t="shared" si="33"/>
        <v>-0.41153849999999892</v>
      </c>
    </row>
    <row r="1038" spans="1:10" ht="14.25" customHeight="1" x14ac:dyDescent="0.25">
      <c r="A1038" s="1">
        <v>2455593.2437499999</v>
      </c>
      <c r="B1038" s="1" t="s">
        <v>1396</v>
      </c>
      <c r="C1038" s="1">
        <v>8.6999999999999993</v>
      </c>
      <c r="D1038" s="1"/>
      <c r="E1038">
        <f>(A1038-m_phot!L$4)/m_phot!L$5-INT((A1038-m_phot!L$4)/m_phot!L$5)</f>
        <v>0.30219687691354125</v>
      </c>
      <c r="F1038">
        <f t="shared" si="31"/>
        <v>8.6999999999999993</v>
      </c>
      <c r="H1038" t="str">
        <f>IF(E1038&lt;0.05,INT(($A1038-m_phot!$L$4)/m_phot!$L$5),"")</f>
        <v/>
      </c>
      <c r="I1038" t="str">
        <f t="shared" si="32"/>
        <v/>
      </c>
      <c r="J1038">
        <f t="shared" si="33"/>
        <v>-0.21153849999999963</v>
      </c>
    </row>
    <row r="1039" spans="1:10" ht="14.25" customHeight="1" x14ac:dyDescent="0.25">
      <c r="A1039" s="1">
        <v>2455635.9232200002</v>
      </c>
      <c r="B1039" s="1" t="s">
        <v>1397</v>
      </c>
      <c r="C1039" s="1">
        <v>8.8800000000000008</v>
      </c>
      <c r="D1039" s="1"/>
      <c r="E1039">
        <f>(A1039-m_phot!L$4)/m_phot!L$5-INT((A1039-m_phot!L$4)/m_phot!L$5)</f>
        <v>0.35446812002477657</v>
      </c>
      <c r="F1039">
        <f t="shared" si="31"/>
        <v>8.8800000000000008</v>
      </c>
      <c r="H1039" t="str">
        <f>IF(E1039&lt;0.05,INT(($A1039-m_phot!$L$4)/m_phot!$L$5),"")</f>
        <v/>
      </c>
      <c r="I1039" t="str">
        <f t="shared" si="32"/>
        <v/>
      </c>
      <c r="J1039">
        <f t="shared" si="33"/>
        <v>-3.1538499999998137E-2</v>
      </c>
    </row>
    <row r="1040" spans="1:10" ht="14.25" customHeight="1" x14ac:dyDescent="0.25">
      <c r="A1040" s="1">
        <v>2455652.2729000002</v>
      </c>
      <c r="B1040" s="1" t="s">
        <v>1398</v>
      </c>
      <c r="C1040" s="1">
        <v>8.8571430000000007</v>
      </c>
      <c r="D1040" s="1"/>
      <c r="E1040">
        <f>(A1040-m_phot!L$4)/m_phot!L$5-INT((A1040-m_phot!L$4)/m_phot!L$5)</f>
        <v>0.37449222290289441</v>
      </c>
      <c r="F1040">
        <f t="shared" si="31"/>
        <v>8.8571430000000007</v>
      </c>
      <c r="H1040" t="str">
        <f>IF(E1040&lt;0.05,INT(($A1040-m_phot!$L$4)/m_phot!$L$5),"")</f>
        <v/>
      </c>
      <c r="I1040" t="str">
        <f t="shared" si="32"/>
        <v/>
      </c>
      <c r="J1040">
        <f t="shared" si="33"/>
        <v>-5.4395499999998265E-2</v>
      </c>
    </row>
    <row r="1041" spans="1:10" ht="14.25" customHeight="1" x14ac:dyDescent="0.25">
      <c r="A1041" s="1">
        <v>2455664.5720000002</v>
      </c>
      <c r="B1041" s="1" t="s">
        <v>1399</v>
      </c>
      <c r="C1041" s="1">
        <v>8.7222220000000004</v>
      </c>
      <c r="D1041" s="1"/>
      <c r="E1041">
        <f>(A1041-m_phot!L$4)/m_phot!L$5-INT((A1041-m_phot!L$4)/m_phot!L$5)</f>
        <v>0.38955541947355954</v>
      </c>
      <c r="F1041">
        <f t="shared" si="31"/>
        <v>8.7222220000000004</v>
      </c>
      <c r="H1041" t="str">
        <f>IF(E1041&lt;0.05,INT(($A1041-m_phot!$L$4)/m_phot!$L$5),"")</f>
        <v/>
      </c>
      <c r="I1041" t="str">
        <f t="shared" si="32"/>
        <v/>
      </c>
      <c r="J1041">
        <f t="shared" si="33"/>
        <v>-0.18931649999999856</v>
      </c>
    </row>
    <row r="1042" spans="1:10" ht="14.25" customHeight="1" x14ac:dyDescent="0.25">
      <c r="A1042" s="1">
        <v>2455682.5551499999</v>
      </c>
      <c r="B1042" s="1" t="s">
        <v>1400</v>
      </c>
      <c r="C1042" s="1">
        <v>8.6933330000000009</v>
      </c>
      <c r="D1042" s="1"/>
      <c r="E1042">
        <f>(A1042-m_phot!L$4)/m_phot!L$5-INT((A1042-m_phot!L$4)/m_phot!L$5)</f>
        <v>0.41158009797907269</v>
      </c>
      <c r="F1042">
        <f t="shared" si="31"/>
        <v>8.6933330000000009</v>
      </c>
      <c r="H1042" t="str">
        <f>IF(E1042&lt;0.05,INT(($A1042-m_phot!$L$4)/m_phot!$L$5),"")</f>
        <v/>
      </c>
      <c r="I1042" t="str">
        <f t="shared" si="32"/>
        <v/>
      </c>
      <c r="J1042">
        <f t="shared" si="33"/>
        <v>-0.21820549999999805</v>
      </c>
    </row>
    <row r="1043" spans="1:10" ht="14.25" customHeight="1" x14ac:dyDescent="0.25">
      <c r="A1043" s="1">
        <v>2455701.2040200001</v>
      </c>
      <c r="B1043" s="1" t="s">
        <v>1401</v>
      </c>
      <c r="C1043" s="1">
        <v>8.6818179999999998</v>
      </c>
      <c r="D1043" s="1"/>
      <c r="E1043">
        <f>(A1043-m_phot!L$4)/m_phot!L$5-INT((A1043-m_phot!L$4)/m_phot!L$5)</f>
        <v>0.43442011022665383</v>
      </c>
      <c r="F1043">
        <f t="shared" si="31"/>
        <v>8.6818179999999998</v>
      </c>
      <c r="H1043" t="str">
        <f>IF(E1043&lt;0.05,INT(($A1043-m_phot!$L$4)/m_phot!$L$5),"")</f>
        <v/>
      </c>
      <c r="I1043" t="str">
        <f t="shared" si="32"/>
        <v/>
      </c>
      <c r="J1043">
        <f t="shared" si="33"/>
        <v>-0.22972049999999911</v>
      </c>
    </row>
    <row r="1044" spans="1:10" ht="14.25" customHeight="1" x14ac:dyDescent="0.25">
      <c r="A1044" s="1">
        <v>2455714.2534699999</v>
      </c>
      <c r="B1044" s="1" t="s">
        <v>1402</v>
      </c>
      <c r="C1044" s="1">
        <v>8.723077</v>
      </c>
      <c r="D1044" s="1"/>
      <c r="E1044">
        <f>(A1044-m_phot!L$4)/m_phot!L$5-INT((A1044-m_phot!L$4)/m_phot!L$5)</f>
        <v>0.45040229026317036</v>
      </c>
      <c r="F1044">
        <f t="shared" si="31"/>
        <v>8.723077</v>
      </c>
      <c r="H1044" t="str">
        <f>IF(E1044&lt;0.05,INT(($A1044-m_phot!$L$4)/m_phot!$L$5),"")</f>
        <v/>
      </c>
      <c r="I1044" t="str">
        <f t="shared" si="32"/>
        <v/>
      </c>
      <c r="J1044">
        <f t="shared" si="33"/>
        <v>-0.18846149999999895</v>
      </c>
    </row>
    <row r="1045" spans="1:10" ht="14.25" customHeight="1" x14ac:dyDescent="0.25">
      <c r="A1045" s="1">
        <v>2455734.7014700002</v>
      </c>
      <c r="B1045" s="1" t="s">
        <v>1403</v>
      </c>
      <c r="C1045" s="1">
        <v>8.6750000000000007</v>
      </c>
      <c r="D1045" s="1"/>
      <c r="E1045">
        <f>(A1045-m_phot!L$4)/m_phot!L$5-INT((A1045-m_phot!L$4)/m_phot!L$5)</f>
        <v>0.47544576852443754</v>
      </c>
      <c r="F1045">
        <f t="shared" si="31"/>
        <v>8.6750000000000007</v>
      </c>
      <c r="H1045" t="str">
        <f>IF(E1045&lt;0.05,INT(($A1045-m_phot!$L$4)/m_phot!$L$5),"")</f>
        <v/>
      </c>
      <c r="I1045" t="str">
        <f t="shared" si="32"/>
        <v/>
      </c>
      <c r="J1045">
        <f t="shared" si="33"/>
        <v>-0.23653849999999821</v>
      </c>
    </row>
    <row r="1046" spans="1:10" ht="14.25" customHeight="1" x14ac:dyDescent="0.25">
      <c r="A1046" s="1">
        <v>2455746.4704399998</v>
      </c>
      <c r="B1046" s="1" t="s">
        <v>1404</v>
      </c>
      <c r="C1046" s="1">
        <v>8.6999999999999993</v>
      </c>
      <c r="D1046" s="1"/>
      <c r="E1046">
        <f>(A1046-m_phot!L$4)/m_phot!L$5-INT((A1046-m_phot!L$4)/m_phot!L$5)</f>
        <v>0.48985969381485717</v>
      </c>
      <c r="F1046">
        <f t="shared" si="31"/>
        <v>8.6999999999999993</v>
      </c>
      <c r="H1046" t="str">
        <f>IF(E1046&lt;0.05,INT(($A1046-m_phot!$L$4)/m_phot!$L$5),"")</f>
        <v/>
      </c>
      <c r="I1046" t="str">
        <f t="shared" si="32"/>
        <v/>
      </c>
      <c r="J1046">
        <f t="shared" si="33"/>
        <v>-0.21153849999999963</v>
      </c>
    </row>
    <row r="1047" spans="1:10" ht="14.25" customHeight="1" x14ac:dyDescent="0.25">
      <c r="A1047" s="1">
        <v>2455764.5451500001</v>
      </c>
      <c r="B1047" s="1" t="s">
        <v>1405</v>
      </c>
      <c r="C1047" s="1">
        <v>8.7521740000000001</v>
      </c>
      <c r="D1047" s="1"/>
      <c r="E1047">
        <f>(A1047-m_phot!L$4)/m_phot!L$5-INT((A1047-m_phot!L$4)/m_phot!L$5)</f>
        <v>0.51199650949190101</v>
      </c>
      <c r="F1047">
        <f t="shared" ref="F1047:F1110" si="34">+C1047</f>
        <v>8.7521740000000001</v>
      </c>
      <c r="H1047" t="str">
        <f>IF(E1047&lt;0.05,INT(($A1047-m_phot!$L$4)/m_phot!$L$5),"")</f>
        <v/>
      </c>
      <c r="I1047" t="str">
        <f t="shared" si="32"/>
        <v/>
      </c>
      <c r="J1047">
        <f t="shared" si="33"/>
        <v>-0.1593644999999988</v>
      </c>
    </row>
    <row r="1048" spans="1:10" ht="14.25" customHeight="1" x14ac:dyDescent="0.25">
      <c r="A1048" s="1">
        <v>2455777.67356</v>
      </c>
      <c r="B1048" s="1" t="s">
        <v>1406</v>
      </c>
      <c r="C1048" s="1">
        <v>8.6428569999999993</v>
      </c>
      <c r="D1048" s="1"/>
      <c r="E1048">
        <f>(A1048-m_phot!L$4)/m_phot!L$5-INT((A1048-m_phot!L$4)/m_phot!L$5)</f>
        <v>0.52807539497859679</v>
      </c>
      <c r="F1048">
        <f t="shared" si="34"/>
        <v>8.6428569999999993</v>
      </c>
      <c r="H1048" t="str">
        <f>IF(E1048&lt;0.05,INT(($A1048-m_phot!$L$4)/m_phot!$L$5),"")</f>
        <v/>
      </c>
      <c r="I1048" t="str">
        <f t="shared" si="32"/>
        <v/>
      </c>
      <c r="J1048">
        <f t="shared" si="33"/>
        <v>-0.26868149999999957</v>
      </c>
    </row>
    <row r="1049" spans="1:10" ht="14.25" customHeight="1" x14ac:dyDescent="0.25">
      <c r="A1049" s="1">
        <v>2455796.6726299999</v>
      </c>
      <c r="B1049" s="1" t="s">
        <v>1407</v>
      </c>
      <c r="C1049" s="1">
        <v>8.64</v>
      </c>
      <c r="D1049" s="1"/>
      <c r="E1049">
        <f>(A1049-m_phot!L$4)/m_phot!L$5-INT((A1049-m_phot!L$4)/m_phot!L$5)</f>
        <v>0.5513443110838061</v>
      </c>
      <c r="F1049">
        <f t="shared" si="34"/>
        <v>8.64</v>
      </c>
      <c r="H1049" t="str">
        <f>IF(E1049&lt;0.05,INT(($A1049-m_phot!$L$4)/m_phot!$L$5),"")</f>
        <v/>
      </c>
      <c r="I1049" t="str">
        <f t="shared" si="32"/>
        <v/>
      </c>
      <c r="J1049">
        <f t="shared" si="33"/>
        <v>-0.27153849999999835</v>
      </c>
    </row>
    <row r="1050" spans="1:10" ht="14.25" customHeight="1" x14ac:dyDescent="0.25">
      <c r="A1050" s="1">
        <v>2455810.8518300001</v>
      </c>
      <c r="B1050" s="1" t="s">
        <v>1408</v>
      </c>
      <c r="C1050" s="1">
        <v>8.7180560000000007</v>
      </c>
      <c r="D1050" s="1"/>
      <c r="E1050">
        <f>(A1050-m_phot!L$4)/m_phot!L$5-INT((A1050-m_phot!L$4)/m_phot!L$5)</f>
        <v>0.56871014084514115</v>
      </c>
      <c r="F1050">
        <f t="shared" si="34"/>
        <v>8.7180560000000007</v>
      </c>
      <c r="H1050" t="str">
        <f>IF(E1050&lt;0.05,INT(($A1050-m_phot!$L$4)/m_phot!$L$5),"")</f>
        <v/>
      </c>
      <c r="I1050" t="str">
        <f t="shared" si="32"/>
        <v/>
      </c>
      <c r="J1050">
        <f t="shared" si="33"/>
        <v>-0.19348249999999823</v>
      </c>
    </row>
    <row r="1051" spans="1:10" ht="14.25" customHeight="1" x14ac:dyDescent="0.25">
      <c r="A1051" s="1">
        <v>2455829.7892</v>
      </c>
      <c r="B1051" s="1" t="s">
        <v>1409</v>
      </c>
      <c r="C1051" s="1">
        <v>8.6274999999999995</v>
      </c>
      <c r="D1051" s="1"/>
      <c r="E1051">
        <f>(A1051-m_phot!L$4)/m_phot!L$5-INT((A1051-m_phot!L$4)/m_phot!L$5)</f>
        <v>0.59190349050826541</v>
      </c>
      <c r="F1051">
        <f t="shared" si="34"/>
        <v>8.6274999999999995</v>
      </c>
      <c r="H1051" t="str">
        <f>IF(E1051&lt;0.05,INT(($A1051-m_phot!$L$4)/m_phot!$L$5),"")</f>
        <v/>
      </c>
      <c r="I1051" t="str">
        <f t="shared" si="32"/>
        <v/>
      </c>
      <c r="J1051">
        <f t="shared" si="33"/>
        <v>-0.28403849999999942</v>
      </c>
    </row>
    <row r="1052" spans="1:10" ht="14.25" customHeight="1" x14ac:dyDescent="0.25">
      <c r="A1052" s="1">
        <v>2455842.10971</v>
      </c>
      <c r="B1052" s="1" t="s">
        <v>1410</v>
      </c>
      <c r="C1052" s="1">
        <v>8.6232559999999996</v>
      </c>
      <c r="D1052" s="1"/>
      <c r="E1052">
        <f>(A1052-m_phot!L$4)/m_phot!L$5-INT((A1052-m_phot!L$4)/m_phot!L$5)</f>
        <v>0.60699290875687595</v>
      </c>
      <c r="F1052">
        <f t="shared" si="34"/>
        <v>8.6232559999999996</v>
      </c>
      <c r="H1052" t="str">
        <f>IF(E1052&lt;0.05,INT(($A1052-m_phot!$L$4)/m_phot!$L$5),"")</f>
        <v/>
      </c>
      <c r="I1052" t="str">
        <f t="shared" si="32"/>
        <v/>
      </c>
      <c r="J1052">
        <f t="shared" si="33"/>
        <v>-0.28828249999999933</v>
      </c>
    </row>
    <row r="1053" spans="1:10" ht="14.25" customHeight="1" x14ac:dyDescent="0.25">
      <c r="A1053" s="1">
        <v>2455858.0301199998</v>
      </c>
      <c r="B1053" s="1" t="s">
        <v>1411</v>
      </c>
      <c r="C1053" s="1">
        <v>8.6755809999999993</v>
      </c>
      <c r="D1053" s="1"/>
      <c r="E1053">
        <f>(A1053-m_phot!L$4)/m_phot!L$5-INT((A1053-m_phot!L$4)/m_phot!L$5)</f>
        <v>0.62649126760535978</v>
      </c>
      <c r="F1053">
        <f t="shared" si="34"/>
        <v>8.6755809999999993</v>
      </c>
      <c r="H1053" t="str">
        <f>IF(E1053&lt;0.05,INT(($A1053-m_phot!$L$4)/m_phot!$L$5),"")</f>
        <v/>
      </c>
      <c r="I1053" t="str">
        <f t="shared" si="32"/>
        <v/>
      </c>
      <c r="J1053">
        <f t="shared" si="33"/>
        <v>-0.2359574999999996</v>
      </c>
    </row>
    <row r="1054" spans="1:10" ht="14.25" customHeight="1" x14ac:dyDescent="0.25">
      <c r="A1054" s="1">
        <v>2455873.7558200001</v>
      </c>
      <c r="B1054" s="1" t="s">
        <v>1412</v>
      </c>
      <c r="C1054" s="1">
        <v>8.6150000000000002</v>
      </c>
      <c r="D1054" s="1"/>
      <c r="E1054">
        <f>(A1054-m_phot!L$4)/m_phot!L$5-INT((A1054-m_phot!L$4)/m_phot!L$5)</f>
        <v>0.64575115737915212</v>
      </c>
      <c r="F1054">
        <f t="shared" si="34"/>
        <v>8.6150000000000002</v>
      </c>
      <c r="H1054" t="str">
        <f>IF(E1054&lt;0.05,INT(($A1054-m_phot!$L$4)/m_phot!$L$5),"")</f>
        <v/>
      </c>
      <c r="I1054" t="str">
        <f t="shared" si="32"/>
        <v/>
      </c>
      <c r="J1054">
        <f t="shared" si="33"/>
        <v>-0.29653849999999871</v>
      </c>
    </row>
    <row r="1055" spans="1:10" ht="14.25" customHeight="1" x14ac:dyDescent="0.25">
      <c r="A1055" s="1">
        <v>2455889.73539</v>
      </c>
      <c r="B1055" s="1" t="s">
        <v>1413</v>
      </c>
      <c r="C1055" s="1">
        <v>8.6936169999999997</v>
      </c>
      <c r="D1055" s="1"/>
      <c r="E1055">
        <f>(A1055-m_phot!L$4)/m_phot!L$5-INT((A1055-m_phot!L$4)/m_phot!L$5)</f>
        <v>0.66532197183104103</v>
      </c>
      <c r="F1055">
        <f t="shared" si="34"/>
        <v>8.6936169999999997</v>
      </c>
      <c r="H1055" t="str">
        <f>IF(E1055&lt;0.05,INT(($A1055-m_phot!$L$4)/m_phot!$L$5),"")</f>
        <v/>
      </c>
      <c r="I1055" t="str">
        <f t="shared" si="32"/>
        <v/>
      </c>
      <c r="J1055">
        <f t="shared" si="33"/>
        <v>-0.21792149999999921</v>
      </c>
    </row>
    <row r="1056" spans="1:10" ht="14.25" customHeight="1" x14ac:dyDescent="0.25">
      <c r="A1056" s="1">
        <v>2455906.5574699999</v>
      </c>
      <c r="B1056" s="1" t="s">
        <v>1414</v>
      </c>
      <c r="C1056" s="1">
        <v>8.6785709999999998</v>
      </c>
      <c r="D1056" s="1"/>
      <c r="E1056">
        <f>(A1056-m_phot!L$4)/m_phot!L$5-INT((A1056-m_phot!L$4)/m_phot!L$5)</f>
        <v>0.68592464176348145</v>
      </c>
      <c r="F1056">
        <f t="shared" si="34"/>
        <v>8.6785709999999998</v>
      </c>
      <c r="H1056" t="str">
        <f>IF(E1056&lt;0.05,INT(($A1056-m_phot!$L$4)/m_phot!$L$5),"")</f>
        <v/>
      </c>
      <c r="I1056" t="str">
        <f t="shared" si="32"/>
        <v/>
      </c>
      <c r="J1056">
        <f t="shared" si="33"/>
        <v>-0.23296749999999911</v>
      </c>
    </row>
    <row r="1057" spans="1:10" ht="14.25" customHeight="1" x14ac:dyDescent="0.25">
      <c r="A1057" s="1">
        <v>2455921.1638199999</v>
      </c>
      <c r="B1057" s="1" t="s">
        <v>1415</v>
      </c>
      <c r="C1057" s="1">
        <v>8.7055559999999996</v>
      </c>
      <c r="D1057" s="1"/>
      <c r="E1057">
        <f>(A1057-m_phot!L$4)/m_phot!L$5-INT((A1057-m_phot!L$4)/m_phot!L$5)</f>
        <v>0.70381361910581575</v>
      </c>
      <c r="F1057">
        <f t="shared" si="34"/>
        <v>8.7055559999999996</v>
      </c>
      <c r="H1057" t="str">
        <f>IF(E1057&lt;0.05,INT(($A1057-m_phot!$L$4)/m_phot!$L$5),"")</f>
        <v/>
      </c>
      <c r="I1057" t="str">
        <f t="shared" si="32"/>
        <v/>
      </c>
      <c r="J1057">
        <f t="shared" si="33"/>
        <v>-0.20598249999999929</v>
      </c>
    </row>
    <row r="1058" spans="1:10" ht="14.25" customHeight="1" x14ac:dyDescent="0.25">
      <c r="A1058" s="1">
        <v>2455939.8982099998</v>
      </c>
      <c r="B1058" s="1" t="s">
        <v>1416</v>
      </c>
      <c r="C1058" s="1">
        <v>8.75</v>
      </c>
      <c r="D1058" s="1"/>
      <c r="E1058">
        <f>(A1058-m_phot!L$4)/m_phot!L$5-INT((A1058-m_phot!L$4)/m_phot!L$5)</f>
        <v>0.72675837109587249</v>
      </c>
      <c r="F1058">
        <f t="shared" si="34"/>
        <v>8.75</v>
      </c>
      <c r="H1058" t="str">
        <f>IF(E1058&lt;0.05,INT(($A1058-m_phot!$L$4)/m_phot!$L$5),"")</f>
        <v/>
      </c>
      <c r="I1058" t="str">
        <f t="shared" si="32"/>
        <v/>
      </c>
      <c r="J1058">
        <f t="shared" si="33"/>
        <v>-0.16153849999999892</v>
      </c>
    </row>
    <row r="1059" spans="1:10" ht="14.25" customHeight="1" x14ac:dyDescent="0.25">
      <c r="A1059" s="1">
        <v>2455956.0202899999</v>
      </c>
      <c r="B1059" s="1" t="s">
        <v>1417</v>
      </c>
      <c r="C1059" s="1">
        <v>8.7375000000000007</v>
      </c>
      <c r="D1059" s="1"/>
      <c r="E1059">
        <f>(A1059-m_phot!L$4)/m_phot!L$5-INT((A1059-m_phot!L$4)/m_phot!L$5)</f>
        <v>0.74650372320869351</v>
      </c>
      <c r="F1059">
        <f t="shared" si="34"/>
        <v>8.7375000000000007</v>
      </c>
      <c r="H1059" t="str">
        <f>IF(E1059&lt;0.05,INT(($A1059-m_phot!$L$4)/m_phot!$L$5),"")</f>
        <v/>
      </c>
      <c r="I1059" t="str">
        <f t="shared" si="32"/>
        <v/>
      </c>
      <c r="J1059">
        <f t="shared" si="33"/>
        <v>-0.17403849999999821</v>
      </c>
    </row>
    <row r="1060" spans="1:10" ht="14.25" customHeight="1" x14ac:dyDescent="0.25">
      <c r="A1060" s="1">
        <v>2455969.2979000001</v>
      </c>
      <c r="B1060" s="1" t="s">
        <v>1418</v>
      </c>
      <c r="C1060" s="1">
        <v>8.6</v>
      </c>
      <c r="D1060" s="1"/>
      <c r="E1060">
        <f>(A1060-m_phot!L$4)/m_phot!L$5-INT((A1060-m_phot!L$4)/m_phot!L$5)</f>
        <v>0.76276533986542816</v>
      </c>
      <c r="F1060">
        <f t="shared" si="34"/>
        <v>8.6</v>
      </c>
      <c r="H1060" t="str">
        <f>IF(E1060&lt;0.05,INT(($A1060-m_phot!$L$4)/m_phot!$L$5),"")</f>
        <v/>
      </c>
      <c r="I1060" t="str">
        <f t="shared" si="32"/>
        <v/>
      </c>
      <c r="J1060">
        <f t="shared" si="33"/>
        <v>-0.31153849999999927</v>
      </c>
    </row>
    <row r="1061" spans="1:10" ht="14.25" customHeight="1" x14ac:dyDescent="0.25">
      <c r="A1061" s="1">
        <v>2456013.17985</v>
      </c>
      <c r="B1061" s="1" t="s">
        <v>1419</v>
      </c>
      <c r="C1061" s="1">
        <v>9</v>
      </c>
      <c r="D1061" s="1"/>
      <c r="E1061">
        <f>(A1061-m_phot!L$4)/m_phot!L$5-INT((A1061-m_phot!L$4)/m_phot!L$5)</f>
        <v>0.81650930802199184</v>
      </c>
      <c r="F1061">
        <f t="shared" si="34"/>
        <v>9</v>
      </c>
      <c r="H1061" t="str">
        <f>IF(E1061&lt;0.05,INT(($A1061-m_phot!$L$4)/m_phot!$L$5),"")</f>
        <v/>
      </c>
      <c r="I1061" t="str">
        <f t="shared" si="32"/>
        <v/>
      </c>
      <c r="J1061">
        <f t="shared" si="33"/>
        <v>8.8461500000001081E-2</v>
      </c>
    </row>
    <row r="1062" spans="1:10" ht="14.25" customHeight="1" x14ac:dyDescent="0.25">
      <c r="A1062" s="1">
        <v>2456032.8842099998</v>
      </c>
      <c r="B1062" s="1" t="s">
        <v>1420</v>
      </c>
      <c r="C1062" s="1">
        <v>8.9749999999999996</v>
      </c>
      <c r="D1062" s="1"/>
      <c r="E1062">
        <f>(A1062-m_phot!L$4)/m_phot!L$5-INT((A1062-m_phot!L$4)/m_phot!L$5)</f>
        <v>0.84064202082034711</v>
      </c>
      <c r="F1062">
        <f t="shared" si="34"/>
        <v>8.9749999999999996</v>
      </c>
      <c r="H1062" t="str">
        <f>IF(E1062&lt;0.05,INT(($A1062-m_phot!$L$4)/m_phot!$L$5),"")</f>
        <v/>
      </c>
      <c r="I1062" t="str">
        <f t="shared" si="32"/>
        <v/>
      </c>
      <c r="J1062">
        <f t="shared" si="33"/>
        <v>6.3461500000000726E-2</v>
      </c>
    </row>
    <row r="1063" spans="1:10" ht="14.25" customHeight="1" x14ac:dyDescent="0.25">
      <c r="A1063" s="1">
        <v>2456047.7934900001</v>
      </c>
      <c r="B1063" s="1" t="s">
        <v>1421</v>
      </c>
      <c r="C1063" s="1">
        <v>8.822222</v>
      </c>
      <c r="D1063" s="1"/>
      <c r="E1063">
        <f>(A1063-m_phot!L$4)/m_phot!L$5-INT((A1063-m_phot!L$4)/m_phot!L$5)</f>
        <v>0.85890200857326349</v>
      </c>
      <c r="F1063">
        <f t="shared" si="34"/>
        <v>8.822222</v>
      </c>
      <c r="H1063" t="str">
        <f>IF(E1063&lt;0.05,INT(($A1063-m_phot!$L$4)/m_phot!$L$5),"")</f>
        <v/>
      </c>
      <c r="I1063" t="str">
        <f t="shared" si="32"/>
        <v/>
      </c>
      <c r="J1063">
        <f t="shared" si="33"/>
        <v>-8.9316499999998911E-2</v>
      </c>
    </row>
    <row r="1064" spans="1:10" ht="14.25" customHeight="1" x14ac:dyDescent="0.25">
      <c r="A1064" s="1">
        <v>2456067.86888</v>
      </c>
      <c r="B1064" s="1" t="s">
        <v>1422</v>
      </c>
      <c r="C1064" s="1">
        <v>8.911111</v>
      </c>
      <c r="D1064" s="1"/>
      <c r="E1064">
        <f>(A1064-m_phot!L$4)/m_phot!L$5-INT((A1064-m_phot!L$4)/m_phot!L$5)</f>
        <v>0.8834891365584383</v>
      </c>
      <c r="F1064">
        <f t="shared" si="34"/>
        <v>8.911111</v>
      </c>
      <c r="H1064" t="str">
        <f>IF(E1064&lt;0.05,INT(($A1064-m_phot!$L$4)/m_phot!$L$5),"")</f>
        <v/>
      </c>
      <c r="I1064" t="str">
        <f t="shared" si="32"/>
        <v/>
      </c>
      <c r="J1064">
        <f t="shared" si="33"/>
        <v>-4.2749999999891486E-4</v>
      </c>
    </row>
    <row r="1065" spans="1:10" ht="14.25" customHeight="1" x14ac:dyDescent="0.25">
      <c r="A1065" s="1">
        <v>2456078.6858000001</v>
      </c>
      <c r="B1065" s="1" t="s">
        <v>1423</v>
      </c>
      <c r="C1065" s="1">
        <v>8.9</v>
      </c>
      <c r="D1065" s="1"/>
      <c r="E1065">
        <f>(A1065-m_phot!L$4)/m_phot!L$5-INT((A1065-m_phot!L$4)/m_phot!L$5)</f>
        <v>0.89673704837733581</v>
      </c>
      <c r="F1065">
        <f t="shared" si="34"/>
        <v>8.9</v>
      </c>
      <c r="H1065" t="str">
        <f>IF(E1065&lt;0.05,INT(($A1065-m_phot!$L$4)/m_phot!$L$5),"")</f>
        <v/>
      </c>
      <c r="I1065" t="str">
        <f t="shared" si="32"/>
        <v/>
      </c>
      <c r="J1065">
        <f t="shared" si="33"/>
        <v>-1.1538499999998564E-2</v>
      </c>
    </row>
    <row r="1066" spans="1:10" ht="14.25" customHeight="1" x14ac:dyDescent="0.25">
      <c r="A1066" s="1">
        <v>2456098.4596699998</v>
      </c>
      <c r="B1066" s="1" t="s">
        <v>1424</v>
      </c>
      <c r="C1066" s="1">
        <v>8.8454549999999994</v>
      </c>
      <c r="D1066" s="1"/>
      <c r="E1066">
        <f>(A1066-m_phot!L$4)/m_phot!L$5-INT((A1066-m_phot!L$4)/m_phot!L$5)</f>
        <v>0.92095489283500243</v>
      </c>
      <c r="F1066">
        <f t="shared" si="34"/>
        <v>8.8454549999999994</v>
      </c>
      <c r="H1066" t="str">
        <f>IF(E1066&lt;0.05,INT(($A1066-m_phot!$L$4)/m_phot!$L$5),"")</f>
        <v/>
      </c>
      <c r="I1066" t="str">
        <f t="shared" ref="I1066:I1129" si="35">IF(H1066&lt;&gt;"",AVERAGE(C1066:C1067),"")</f>
        <v/>
      </c>
      <c r="J1066">
        <f t="shared" si="33"/>
        <v>-6.6083499999999518E-2</v>
      </c>
    </row>
    <row r="1067" spans="1:10" ht="14.25" customHeight="1" x14ac:dyDescent="0.25">
      <c r="A1067" s="1">
        <v>2456115.8358</v>
      </c>
      <c r="B1067" s="1" t="s">
        <v>1425</v>
      </c>
      <c r="C1067" s="1">
        <v>8.7714289999999995</v>
      </c>
      <c r="D1067" s="1"/>
      <c r="E1067">
        <f>(A1067-m_phot!L$4)/m_phot!L$5-INT((A1067-m_phot!L$4)/m_phot!L$5)</f>
        <v>0.94223612982241534</v>
      </c>
      <c r="F1067">
        <f t="shared" si="34"/>
        <v>8.7714289999999995</v>
      </c>
      <c r="H1067" t="str">
        <f>IF(E1067&lt;0.05,INT(($A1067-m_phot!$L$4)/m_phot!$L$5),"")</f>
        <v/>
      </c>
      <c r="I1067" t="str">
        <f t="shared" si="35"/>
        <v/>
      </c>
      <c r="J1067">
        <f t="shared" si="33"/>
        <v>-0.14010949999999944</v>
      </c>
    </row>
    <row r="1068" spans="1:10" ht="14.25" customHeight="1" x14ac:dyDescent="0.25">
      <c r="A1068" s="1">
        <v>2456130.83244</v>
      </c>
      <c r="B1068" s="1" t="s">
        <v>1426</v>
      </c>
      <c r="C1068" s="1">
        <v>8.8631580000000003</v>
      </c>
      <c r="D1068" s="1"/>
      <c r="E1068">
        <f>(A1068-m_phot!L$4)/m_phot!L$5-INT((A1068-m_phot!L$4)/m_phot!L$5)</f>
        <v>0.96060311083898142</v>
      </c>
      <c r="F1068">
        <f t="shared" si="34"/>
        <v>8.8631580000000003</v>
      </c>
      <c r="H1068" t="str">
        <f>IF(E1068&lt;0.05,INT(($A1068-m_phot!$L$4)/m_phot!$L$5),"")</f>
        <v/>
      </c>
      <c r="I1068" t="str">
        <f t="shared" si="35"/>
        <v/>
      </c>
      <c r="J1068">
        <f t="shared" si="33"/>
        <v>-4.8380499999998605E-2</v>
      </c>
    </row>
    <row r="1069" spans="1:10" ht="14.25" customHeight="1" x14ac:dyDescent="0.25">
      <c r="A1069" s="1">
        <v>2456148.5029000002</v>
      </c>
      <c r="B1069" s="1" t="s">
        <v>1427</v>
      </c>
      <c r="C1069" s="1">
        <v>8.9142860000000006</v>
      </c>
      <c r="D1069" s="1"/>
      <c r="E1069">
        <f>(A1069-m_phot!L$4)/m_phot!L$5-INT((A1069-m_phot!L$4)/m_phot!L$5)</f>
        <v>0.98224482547482594</v>
      </c>
      <c r="F1069">
        <f t="shared" si="34"/>
        <v>8.9142860000000006</v>
      </c>
      <c r="H1069" t="str">
        <f>IF(E1069&lt;0.05,INT(($A1069-m_phot!$L$4)/m_phot!$L$5),"")</f>
        <v/>
      </c>
      <c r="I1069" t="str">
        <f t="shared" si="35"/>
        <v/>
      </c>
      <c r="J1069">
        <f t="shared" si="33"/>
        <v>2.7475000000016792E-3</v>
      </c>
    </row>
    <row r="1070" spans="1:10" ht="14.25" customHeight="1" x14ac:dyDescent="0.25">
      <c r="A1070" s="1">
        <v>2456161.13949</v>
      </c>
      <c r="B1070" s="1" t="s">
        <v>1428</v>
      </c>
      <c r="C1070" s="1">
        <v>8.8943180000000002</v>
      </c>
      <c r="D1070" s="1"/>
      <c r="E1070">
        <f>(A1070-m_phot!L$4)/m_phot!L$5-INT((A1070-m_phot!L$4)/m_phot!L$5)</f>
        <v>0.99772135946108165</v>
      </c>
      <c r="F1070">
        <f t="shared" si="34"/>
        <v>8.8943180000000002</v>
      </c>
      <c r="H1070" t="str">
        <f>IF(E1070&lt;0.05,INT(($A1070-m_phot!$L$4)/m_phot!$L$5),"")</f>
        <v/>
      </c>
      <c r="I1070" t="str">
        <f t="shared" si="35"/>
        <v/>
      </c>
      <c r="J1070">
        <f t="shared" si="33"/>
        <v>-1.7220499999998751E-2</v>
      </c>
    </row>
    <row r="1071" spans="1:10" ht="14.25" customHeight="1" x14ac:dyDescent="0.25">
      <c r="A1071" s="1">
        <v>2456179.76119</v>
      </c>
      <c r="B1071" s="1" t="s">
        <v>1429</v>
      </c>
      <c r="C1071" s="1">
        <v>8.8771740000000001</v>
      </c>
      <c r="D1071" s="1"/>
      <c r="E1071">
        <f>(A1071-m_phot!L$4)/m_phot!L$5-INT((A1071-m_phot!L$4)/m_phot!L$5)</f>
        <v>2.0528095529687818E-2</v>
      </c>
      <c r="F1071">
        <f t="shared" si="34"/>
        <v>8.8771740000000001</v>
      </c>
      <c r="H1071">
        <f>IF(E1071&lt;0.05,INT(($A1071-m_phot!$L$4)/m_phot!$L$5),"")</f>
        <v>30</v>
      </c>
      <c r="I1071">
        <f t="shared" si="35"/>
        <v>8.875</v>
      </c>
      <c r="J1071">
        <f>+C1071-I$1071</f>
        <v>2.1740000000001203E-3</v>
      </c>
    </row>
    <row r="1072" spans="1:10" ht="14.25" customHeight="1" x14ac:dyDescent="0.25">
      <c r="A1072" s="1">
        <v>2456192.3337699999</v>
      </c>
      <c r="B1072" s="1" t="s">
        <v>1430</v>
      </c>
      <c r="C1072" s="1">
        <v>8.8728259999999999</v>
      </c>
      <c r="D1072" s="1"/>
      <c r="E1072">
        <f>(A1072-m_phot!L$4)/m_phot!L$5-INT((A1072-m_phot!L$4)/m_phot!L$5)</f>
        <v>3.592623392518135E-2</v>
      </c>
      <c r="F1072">
        <f t="shared" si="34"/>
        <v>8.8728259999999999</v>
      </c>
      <c r="H1072">
        <f>IF(E1072&lt;0.05,INT(($A1072-m_phot!$L$4)/m_phot!$L$5),"")</f>
        <v>30</v>
      </c>
      <c r="I1072">
        <f t="shared" si="35"/>
        <v>8.8527395000000002</v>
      </c>
      <c r="J1072">
        <f t="shared" ref="J1072:J1115" si="36">+C1072-I$1071</f>
        <v>-2.1740000000001203E-3</v>
      </c>
    </row>
    <row r="1073" spans="1:10" ht="14.25" customHeight="1" x14ac:dyDescent="0.25">
      <c r="A1073" s="1">
        <v>2456210.0217900001</v>
      </c>
      <c r="B1073" s="1" t="s">
        <v>1431</v>
      </c>
      <c r="C1073" s="1">
        <v>8.8326530000000005</v>
      </c>
      <c r="D1073" s="1"/>
      <c r="E1073">
        <f>(A1073-m_phot!L$4)/m_phot!L$5-INT((A1073-m_phot!L$4)/m_phot!L$5)</f>
        <v>5.758945499099255E-2</v>
      </c>
      <c r="F1073">
        <f t="shared" si="34"/>
        <v>8.8326530000000005</v>
      </c>
      <c r="H1073" t="str">
        <f>IF(E1073&lt;0.05,INT(($A1073-m_phot!$L$4)/m_phot!$L$5),"")</f>
        <v/>
      </c>
      <c r="I1073" t="str">
        <f t="shared" si="35"/>
        <v/>
      </c>
      <c r="J1073">
        <f t="shared" si="36"/>
        <v>-4.2346999999999468E-2</v>
      </c>
    </row>
    <row r="1074" spans="1:10" ht="14.25" customHeight="1" x14ac:dyDescent="0.25">
      <c r="A1074" s="1">
        <v>2456221.6274999999</v>
      </c>
      <c r="B1074" s="1" t="s">
        <v>1432</v>
      </c>
      <c r="C1074" s="1">
        <v>8.8103449999999999</v>
      </c>
      <c r="D1074" s="1"/>
      <c r="E1074">
        <f>(A1074-m_phot!L$4)/m_phot!L$5-INT((A1074-m_phot!L$4)/m_phot!L$5)</f>
        <v>7.1803429271209751E-2</v>
      </c>
      <c r="F1074">
        <f t="shared" si="34"/>
        <v>8.8103449999999999</v>
      </c>
      <c r="H1074" t="str">
        <f>IF(E1074&lt;0.05,INT(($A1074-m_phot!$L$4)/m_phot!$L$5),"")</f>
        <v/>
      </c>
      <c r="I1074" t="str">
        <f t="shared" si="35"/>
        <v/>
      </c>
      <c r="J1074">
        <f t="shared" si="36"/>
        <v>-6.4655000000000129E-2</v>
      </c>
    </row>
    <row r="1075" spans="1:10" ht="14.25" customHeight="1" x14ac:dyDescent="0.25">
      <c r="A1075" s="1">
        <v>2456240.1998800002</v>
      </c>
      <c r="B1075" s="1" t="s">
        <v>1433</v>
      </c>
      <c r="C1075" s="1">
        <v>8.77</v>
      </c>
      <c r="D1075" s="1"/>
      <c r="E1075">
        <f>(A1075-m_phot!L$4)/m_phot!L$5-INT((A1075-m_phot!L$4)/m_phot!L$5)</f>
        <v>9.4549761176001113E-2</v>
      </c>
      <c r="F1075">
        <f t="shared" si="34"/>
        <v>8.77</v>
      </c>
      <c r="H1075" t="str">
        <f>IF(E1075&lt;0.05,INT(($A1075-m_phot!$L$4)/m_phot!$L$5),"")</f>
        <v/>
      </c>
      <c r="I1075" t="str">
        <f t="shared" si="35"/>
        <v/>
      </c>
      <c r="J1075">
        <f t="shared" si="36"/>
        <v>-0.10500000000000043</v>
      </c>
    </row>
    <row r="1076" spans="1:10" ht="14.25" customHeight="1" x14ac:dyDescent="0.25">
      <c r="A1076" s="1">
        <v>2456256.1232599998</v>
      </c>
      <c r="B1076" s="1" t="s">
        <v>1434</v>
      </c>
      <c r="C1076" s="1">
        <v>8.8379309999999993</v>
      </c>
      <c r="D1076" s="1"/>
      <c r="E1076">
        <f>(A1076-m_phot!L$4)/m_phot!L$5-INT((A1076-m_phot!L$4)/m_phot!L$5)</f>
        <v>0.11405175750127228</v>
      </c>
      <c r="F1076">
        <f t="shared" si="34"/>
        <v>8.8379309999999993</v>
      </c>
      <c r="H1076" t="str">
        <f>IF(E1076&lt;0.05,INT(($A1076-m_phot!$L$4)/m_phot!$L$5),"")</f>
        <v/>
      </c>
      <c r="I1076" t="str">
        <f t="shared" si="35"/>
        <v/>
      </c>
      <c r="J1076">
        <f t="shared" si="36"/>
        <v>-3.7069000000000685E-2</v>
      </c>
    </row>
    <row r="1077" spans="1:10" ht="14.25" customHeight="1" x14ac:dyDescent="0.25">
      <c r="A1077" s="1">
        <v>2456270.8801899999</v>
      </c>
      <c r="B1077" s="1" t="s">
        <v>1435</v>
      </c>
      <c r="C1077" s="1">
        <v>8.8909090000000006</v>
      </c>
      <c r="D1077" s="1"/>
      <c r="E1077">
        <f>(A1077-m_phot!L$4)/m_phot!L$5-INT((A1077-m_phot!L$4)/m_phot!L$5)</f>
        <v>0.13212515615424181</v>
      </c>
      <c r="F1077">
        <f t="shared" si="34"/>
        <v>8.8909090000000006</v>
      </c>
      <c r="H1077" t="str">
        <f>IF(E1077&lt;0.05,INT(($A1077-m_phot!$L$4)/m_phot!$L$5),"")</f>
        <v/>
      </c>
      <c r="I1077" t="str">
        <f t="shared" si="35"/>
        <v/>
      </c>
      <c r="J1077">
        <f t="shared" si="36"/>
        <v>1.5909000000000617E-2</v>
      </c>
    </row>
    <row r="1078" spans="1:10" ht="14.25" customHeight="1" x14ac:dyDescent="0.25">
      <c r="A1078" s="1">
        <v>2456287.3326400002</v>
      </c>
      <c r="B1078" s="1" t="s">
        <v>1436</v>
      </c>
      <c r="C1078" s="1">
        <v>8.9529409999999991</v>
      </c>
      <c r="D1078" s="1"/>
      <c r="E1078">
        <f>(A1078-m_phot!L$4)/m_phot!L$5-INT((A1078-m_phot!L$4)/m_phot!L$5)</f>
        <v>0.1522751255360113</v>
      </c>
      <c r="F1078">
        <f t="shared" si="34"/>
        <v>8.9529409999999991</v>
      </c>
      <c r="H1078" t="str">
        <f>IF(E1078&lt;0.05,INT(($A1078-m_phot!$L$4)/m_phot!$L$5),"")</f>
        <v/>
      </c>
      <c r="I1078" t="str">
        <f t="shared" si="35"/>
        <v/>
      </c>
      <c r="J1078">
        <f t="shared" si="36"/>
        <v>7.794099999999915E-2</v>
      </c>
    </row>
    <row r="1079" spans="1:10" ht="14.25" customHeight="1" x14ac:dyDescent="0.25">
      <c r="A1079" s="1">
        <v>2456300.0699900002</v>
      </c>
      <c r="B1079" s="1" t="s">
        <v>1437</v>
      </c>
      <c r="C1079" s="1">
        <v>8.864706</v>
      </c>
      <c r="D1079" s="1"/>
      <c r="E1079">
        <f>(A1079-m_phot!L$4)/m_phot!L$5-INT((A1079-m_phot!L$4)/m_phot!L$5)</f>
        <v>0.16787506429910692</v>
      </c>
      <c r="F1079">
        <f t="shared" si="34"/>
        <v>8.864706</v>
      </c>
      <c r="H1079" t="str">
        <f>IF(E1079&lt;0.05,INT(($A1079-m_phot!$L$4)/m_phot!$L$5),"")</f>
        <v/>
      </c>
      <c r="I1079" t="str">
        <f t="shared" si="35"/>
        <v/>
      </c>
      <c r="J1079">
        <f t="shared" si="36"/>
        <v>-1.0294000000000025E-2</v>
      </c>
    </row>
    <row r="1080" spans="1:10" ht="14.25" customHeight="1" x14ac:dyDescent="0.25">
      <c r="A1080" s="1">
        <v>2456325.2740000002</v>
      </c>
      <c r="B1080" s="1" t="s">
        <v>1438</v>
      </c>
      <c r="C1080" s="1">
        <v>9.1</v>
      </c>
      <c r="D1080" s="1"/>
      <c r="E1080">
        <f>(A1080-m_phot!L$4)/m_phot!L$5-INT((A1080-m_phot!L$4)/m_phot!L$5)</f>
        <v>0.19874341702413645</v>
      </c>
      <c r="F1080">
        <f t="shared" si="34"/>
        <v>9.1</v>
      </c>
      <c r="H1080" t="str">
        <f>IF(E1080&lt;0.05,INT(($A1080-m_phot!$L$4)/m_phot!$L$5),"")</f>
        <v/>
      </c>
      <c r="I1080" t="str">
        <f t="shared" si="35"/>
        <v/>
      </c>
      <c r="J1080">
        <f t="shared" si="36"/>
        <v>0.22499999999999964</v>
      </c>
    </row>
    <row r="1081" spans="1:10" ht="14.25" customHeight="1" x14ac:dyDescent="0.25">
      <c r="A1081" s="1">
        <v>2456390.45658</v>
      </c>
      <c r="B1081" s="1" t="s">
        <v>1439</v>
      </c>
      <c r="C1081" s="1">
        <v>8.84</v>
      </c>
      <c r="D1081" s="1"/>
      <c r="E1081">
        <f>(A1081-m_phot!L$4)/m_phot!L$5-INT((A1081-m_phot!L$4)/m_phot!L$5)</f>
        <v>0.27857511328842577</v>
      </c>
      <c r="F1081">
        <f t="shared" si="34"/>
        <v>8.84</v>
      </c>
      <c r="H1081" t="str">
        <f>IF(E1081&lt;0.05,INT(($A1081-m_phot!$L$4)/m_phot!$L$5),"")</f>
        <v/>
      </c>
      <c r="I1081" t="str">
        <f t="shared" si="35"/>
        <v/>
      </c>
      <c r="J1081">
        <f t="shared" si="36"/>
        <v>-3.5000000000000142E-2</v>
      </c>
    </row>
    <row r="1082" spans="1:10" ht="14.25" customHeight="1" x14ac:dyDescent="0.25">
      <c r="A1082" s="1">
        <v>2456406.3938000002</v>
      </c>
      <c r="B1082" s="1" t="s">
        <v>1440</v>
      </c>
      <c r="C1082" s="1">
        <v>8.7899999999999991</v>
      </c>
      <c r="D1082" s="1"/>
      <c r="E1082">
        <f>(A1082-m_phot!L$4)/m_phot!L$5-INT((A1082-m_phot!L$4)/m_phot!L$5)</f>
        <v>0.29809406001248462</v>
      </c>
      <c r="F1082">
        <f t="shared" si="34"/>
        <v>8.7899999999999991</v>
      </c>
      <c r="H1082" t="str">
        <f>IF(E1082&lt;0.05,INT(($A1082-m_phot!$L$4)/m_phot!$L$5),"")</f>
        <v/>
      </c>
      <c r="I1082" t="str">
        <f t="shared" si="35"/>
        <v/>
      </c>
      <c r="J1082">
        <f t="shared" si="36"/>
        <v>-8.5000000000000853E-2</v>
      </c>
    </row>
    <row r="1083" spans="1:10" ht="14.25" customHeight="1" x14ac:dyDescent="0.25">
      <c r="A1083" s="1">
        <v>2456426.69093</v>
      </c>
      <c r="B1083" s="1" t="s">
        <v>1441</v>
      </c>
      <c r="C1083" s="1">
        <v>8.7714289999999995</v>
      </c>
      <c r="D1083" s="1"/>
      <c r="E1083">
        <f>(A1083-m_phot!L$4)/m_phot!L$5-INT((A1083-m_phot!L$4)/m_phot!L$5)</f>
        <v>0.32295276178816934</v>
      </c>
      <c r="F1083">
        <f t="shared" si="34"/>
        <v>8.7714289999999995</v>
      </c>
      <c r="H1083" t="str">
        <f>IF(E1083&lt;0.05,INT(($A1083-m_phot!$L$4)/m_phot!$L$5),"")</f>
        <v/>
      </c>
      <c r="I1083" t="str">
        <f t="shared" si="35"/>
        <v/>
      </c>
      <c r="J1083">
        <f t="shared" si="36"/>
        <v>-0.10357100000000052</v>
      </c>
    </row>
    <row r="1084" spans="1:10" ht="14.25" customHeight="1" x14ac:dyDescent="0.25">
      <c r="A1084" s="1">
        <v>2456445.9553100001</v>
      </c>
      <c r="B1084" s="1" t="s">
        <v>1442</v>
      </c>
      <c r="C1084" s="1">
        <v>8.8000000000000007</v>
      </c>
      <c r="D1084" s="1"/>
      <c r="E1084">
        <f>(A1084-m_phot!L$4)/m_phot!L$5-INT((A1084-m_phot!L$4)/m_phot!L$5)</f>
        <v>0.34654661359474304</v>
      </c>
      <c r="F1084">
        <f t="shared" si="34"/>
        <v>8.8000000000000007</v>
      </c>
      <c r="H1084" t="str">
        <f>IF(E1084&lt;0.05,INT(($A1084-m_phot!$L$4)/m_phot!$L$5),"")</f>
        <v/>
      </c>
      <c r="I1084" t="str">
        <f t="shared" si="35"/>
        <v/>
      </c>
      <c r="J1084">
        <f t="shared" si="36"/>
        <v>-7.4999999999999289E-2</v>
      </c>
    </row>
    <row r="1085" spans="1:10" ht="14.25" customHeight="1" x14ac:dyDescent="0.25">
      <c r="A1085" s="1">
        <v>2456458.6862499998</v>
      </c>
      <c r="B1085" s="1" t="s">
        <v>1443</v>
      </c>
      <c r="C1085" s="1">
        <v>8.7071430000000003</v>
      </c>
      <c r="D1085" s="1"/>
      <c r="E1085">
        <f>(A1085-m_phot!L$4)/m_phot!L$5-INT((A1085-m_phot!L$4)/m_phot!L$5)</f>
        <v>0.36213870177562058</v>
      </c>
      <c r="F1085">
        <f t="shared" si="34"/>
        <v>8.7071430000000003</v>
      </c>
      <c r="H1085" t="str">
        <f>IF(E1085&lt;0.05,INT(($A1085-m_phot!$L$4)/m_phot!$L$5),"")</f>
        <v/>
      </c>
      <c r="I1085" t="str">
        <f t="shared" si="35"/>
        <v/>
      </c>
      <c r="J1085">
        <f t="shared" si="36"/>
        <v>-0.1678569999999997</v>
      </c>
    </row>
    <row r="1086" spans="1:10" ht="14.25" customHeight="1" x14ac:dyDescent="0.25">
      <c r="A1086" s="1">
        <v>2456476.96844</v>
      </c>
      <c r="B1086" s="1" t="s">
        <v>1444</v>
      </c>
      <c r="C1086" s="1">
        <v>8.6235289999999996</v>
      </c>
      <c r="D1086" s="1"/>
      <c r="E1086">
        <f>(A1086-m_phot!L$4)/m_phot!L$5-INT((A1086-m_phot!L$4)/m_phot!L$5)</f>
        <v>0.38452962645433786</v>
      </c>
      <c r="F1086">
        <f t="shared" si="34"/>
        <v>8.6235289999999996</v>
      </c>
      <c r="H1086" t="str">
        <f>IF(E1086&lt;0.05,INT(($A1086-m_phot!$L$4)/m_phot!$L$5),"")</f>
        <v/>
      </c>
      <c r="I1086" t="str">
        <f t="shared" si="35"/>
        <v/>
      </c>
      <c r="J1086">
        <f t="shared" si="36"/>
        <v>-0.25147100000000044</v>
      </c>
    </row>
    <row r="1087" spans="1:10" ht="14.25" customHeight="1" x14ac:dyDescent="0.25">
      <c r="A1087" s="1">
        <v>2456489.77788</v>
      </c>
      <c r="B1087" s="1" t="s">
        <v>1445</v>
      </c>
      <c r="C1087" s="1">
        <v>8.6</v>
      </c>
      <c r="D1087" s="1"/>
      <c r="E1087">
        <f>(A1087-m_phot!L$4)/m_phot!L$5-INT((A1087-m_phot!L$4)/m_phot!L$5)</f>
        <v>0.4002178567053889</v>
      </c>
      <c r="F1087">
        <f t="shared" si="34"/>
        <v>8.6</v>
      </c>
      <c r="H1087" t="str">
        <f>IF(E1087&lt;0.05,INT(($A1087-m_phot!$L$4)/m_phot!$L$5),"")</f>
        <v/>
      </c>
      <c r="I1087" t="str">
        <f t="shared" si="35"/>
        <v/>
      </c>
      <c r="J1087">
        <f t="shared" si="36"/>
        <v>-0.27500000000000036</v>
      </c>
    </row>
    <row r="1088" spans="1:10" ht="14.25" customHeight="1" x14ac:dyDescent="0.25">
      <c r="A1088" s="1">
        <v>2456507.4816100001</v>
      </c>
      <c r="B1088" s="1" t="s">
        <v>1446</v>
      </c>
      <c r="C1088" s="1">
        <v>8.5891300000000008</v>
      </c>
      <c r="D1088" s="1"/>
      <c r="E1088">
        <f>(A1088-m_phot!L$4)/m_phot!L$5-INT((A1088-m_phot!L$4)/m_phot!L$5)</f>
        <v>0.42190031843249542</v>
      </c>
      <c r="F1088">
        <f t="shared" si="34"/>
        <v>8.5891300000000008</v>
      </c>
      <c r="H1088" t="str">
        <f>IF(E1088&lt;0.05,INT(($A1088-m_phot!$L$4)/m_phot!$L$5),"")</f>
        <v/>
      </c>
      <c r="I1088" t="str">
        <f t="shared" si="35"/>
        <v/>
      </c>
      <c r="J1088">
        <f t="shared" si="36"/>
        <v>-0.28586999999999918</v>
      </c>
    </row>
    <row r="1089" spans="1:10" ht="14.25" customHeight="1" x14ac:dyDescent="0.25">
      <c r="A1089" s="1">
        <v>2456520.3110799999</v>
      </c>
      <c r="B1089" s="1" t="s">
        <v>1447</v>
      </c>
      <c r="C1089" s="1">
        <v>8.5769230000000007</v>
      </c>
      <c r="D1089" s="1"/>
      <c r="E1089">
        <f>(A1089-m_phot!L$4)/m_phot!L$5-INT((A1089-m_phot!L$4)/m_phot!L$5)</f>
        <v>0.43761308022032708</v>
      </c>
      <c r="F1089">
        <f t="shared" si="34"/>
        <v>8.5769230000000007</v>
      </c>
      <c r="H1089" t="str">
        <f>IF(E1089&lt;0.05,INT(($A1089-m_phot!$L$4)/m_phot!$L$5),"")</f>
        <v/>
      </c>
      <c r="I1089" t="str">
        <f t="shared" si="35"/>
        <v/>
      </c>
      <c r="J1089">
        <f t="shared" si="36"/>
        <v>-0.29807699999999926</v>
      </c>
    </row>
    <row r="1090" spans="1:10" ht="14.25" customHeight="1" x14ac:dyDescent="0.25">
      <c r="A1090" s="1">
        <v>2456538.2492</v>
      </c>
      <c r="B1090" s="1" t="s">
        <v>1448</v>
      </c>
      <c r="C1090" s="1">
        <v>8.5463240000000003</v>
      </c>
      <c r="D1090" s="1"/>
      <c r="E1090">
        <f>(A1090-m_phot!L$4)/m_phot!L$5-INT((A1090-m_phot!L$4)/m_phot!L$5)</f>
        <v>0.45958260869560519</v>
      </c>
      <c r="F1090">
        <f t="shared" si="34"/>
        <v>8.5463240000000003</v>
      </c>
      <c r="H1090" t="str">
        <f>IF(E1090&lt;0.05,INT(($A1090-m_phot!$L$4)/m_phot!$L$5),"")</f>
        <v/>
      </c>
      <c r="I1090" t="str">
        <f t="shared" si="35"/>
        <v/>
      </c>
      <c r="J1090">
        <f t="shared" si="36"/>
        <v>-0.32867599999999975</v>
      </c>
    </row>
    <row r="1091" spans="1:10" ht="14.25" customHeight="1" x14ac:dyDescent="0.25">
      <c r="A1091" s="1">
        <v>2456551.9125999999</v>
      </c>
      <c r="B1091" s="1" t="s">
        <v>1449</v>
      </c>
      <c r="C1091" s="1">
        <v>8.5392860000000006</v>
      </c>
      <c r="D1091" s="1"/>
      <c r="E1091">
        <f>(A1091-m_phot!L$4)/m_phot!L$5-INT((A1091-m_phot!L$4)/m_phot!L$5)</f>
        <v>0.4763167176973937</v>
      </c>
      <c r="F1091">
        <f t="shared" si="34"/>
        <v>8.5392860000000006</v>
      </c>
      <c r="H1091" t="str">
        <f>IF(E1091&lt;0.05,INT(($A1091-m_phot!$L$4)/m_phot!$L$5),"")</f>
        <v/>
      </c>
      <c r="I1091" t="str">
        <f t="shared" si="35"/>
        <v/>
      </c>
      <c r="J1091">
        <f t="shared" si="36"/>
        <v>-0.3357139999999994</v>
      </c>
    </row>
    <row r="1092" spans="1:10" ht="14.25" customHeight="1" x14ac:dyDescent="0.25">
      <c r="A1092" s="1">
        <v>2456568.6569699999</v>
      </c>
      <c r="B1092" s="1" t="s">
        <v>1450</v>
      </c>
      <c r="C1092" s="1">
        <v>8.5349210000000006</v>
      </c>
      <c r="D1092" s="1"/>
      <c r="E1092">
        <f>(A1092-m_phot!L$4)/m_phot!L$5-INT((A1092-m_phot!L$4)/m_phot!L$5)</f>
        <v>0.4968242131045848</v>
      </c>
      <c r="F1092">
        <f t="shared" si="34"/>
        <v>8.5349210000000006</v>
      </c>
      <c r="H1092" t="str">
        <f>IF(E1092&lt;0.05,INT(($A1092-m_phot!$L$4)/m_phot!$L$5),"")</f>
        <v/>
      </c>
      <c r="I1092" t="str">
        <f t="shared" si="35"/>
        <v/>
      </c>
      <c r="J1092">
        <f t="shared" si="36"/>
        <v>-0.34007899999999935</v>
      </c>
    </row>
    <row r="1093" spans="1:10" ht="14.25" customHeight="1" x14ac:dyDescent="0.25">
      <c r="A1093" s="1">
        <v>2456584.21936</v>
      </c>
      <c r="B1093" s="1" t="s">
        <v>1451</v>
      </c>
      <c r="C1093" s="1">
        <v>8.6166669999999996</v>
      </c>
      <c r="D1093" s="1"/>
      <c r="E1093">
        <f>(A1093-m_phot!L$4)/m_phot!L$5-INT((A1093-m_phot!L$4)/m_phot!L$5)</f>
        <v>0.5158840906307276</v>
      </c>
      <c r="F1093">
        <f t="shared" si="34"/>
        <v>8.6166669999999996</v>
      </c>
      <c r="H1093" t="str">
        <f>IF(E1093&lt;0.05,INT(($A1093-m_phot!$L$4)/m_phot!$L$5),"")</f>
        <v/>
      </c>
      <c r="I1093" t="str">
        <f t="shared" si="35"/>
        <v/>
      </c>
      <c r="J1093">
        <f t="shared" si="36"/>
        <v>-0.25833300000000037</v>
      </c>
    </row>
    <row r="1094" spans="1:10" ht="14.25" customHeight="1" x14ac:dyDescent="0.25">
      <c r="A1094" s="1">
        <v>2456597.7198100002</v>
      </c>
      <c r="B1094" s="1" t="s">
        <v>1452</v>
      </c>
      <c r="C1094" s="1">
        <v>8.6634620000000009</v>
      </c>
      <c r="D1094" s="1"/>
      <c r="E1094">
        <f>(A1094-m_phot!L$4)/m_phot!L$5-INT((A1094-m_phot!L$4)/m_phot!L$5)</f>
        <v>0.5324186282916763</v>
      </c>
      <c r="F1094">
        <f t="shared" si="34"/>
        <v>8.6634620000000009</v>
      </c>
      <c r="H1094" t="str">
        <f>IF(E1094&lt;0.05,INT(($A1094-m_phot!$L$4)/m_phot!$L$5),"")</f>
        <v/>
      </c>
      <c r="I1094" t="str">
        <f t="shared" si="35"/>
        <v/>
      </c>
      <c r="J1094">
        <f t="shared" si="36"/>
        <v>-0.21153799999999912</v>
      </c>
    </row>
    <row r="1095" spans="1:10" ht="14.25" customHeight="1" x14ac:dyDescent="0.25">
      <c r="A1095" s="1">
        <v>2456612.6413099999</v>
      </c>
      <c r="B1095" s="1" t="s">
        <v>1453</v>
      </c>
      <c r="C1095" s="1">
        <v>8.5964290000000005</v>
      </c>
      <c r="D1095" s="1"/>
      <c r="E1095">
        <f>(A1095-m_phot!L$4)/m_phot!L$5-INT((A1095-m_phot!L$4)/m_phot!L$5)</f>
        <v>0.55069358236357857</v>
      </c>
      <c r="F1095">
        <f t="shared" si="34"/>
        <v>8.5964290000000005</v>
      </c>
      <c r="H1095" t="str">
        <f>IF(E1095&lt;0.05,INT(($A1095-m_phot!$L$4)/m_phot!$L$5),"")</f>
        <v/>
      </c>
      <c r="I1095" t="str">
        <f t="shared" si="35"/>
        <v/>
      </c>
      <c r="J1095">
        <f t="shared" si="36"/>
        <v>-0.27857099999999946</v>
      </c>
    </row>
    <row r="1096" spans="1:10" ht="14.25" customHeight="1" x14ac:dyDescent="0.25">
      <c r="A1096" s="1">
        <v>2456629.4963199999</v>
      </c>
      <c r="B1096" s="1" t="s">
        <v>1454</v>
      </c>
      <c r="C1096" s="1">
        <v>8.6531909999999996</v>
      </c>
      <c r="D1096" s="1"/>
      <c r="E1096">
        <f>(A1096-m_phot!L$4)/m_phot!L$5-INT((A1096-m_phot!L$4)/m_phot!L$5)</f>
        <v>0.57133658297601642</v>
      </c>
      <c r="F1096">
        <f t="shared" si="34"/>
        <v>8.6531909999999996</v>
      </c>
      <c r="H1096" t="str">
        <f>IF(E1096&lt;0.05,INT(($A1096-m_phot!$L$4)/m_phot!$L$5),"")</f>
        <v/>
      </c>
      <c r="I1096" t="str">
        <f t="shared" si="35"/>
        <v/>
      </c>
      <c r="J1096">
        <f t="shared" si="36"/>
        <v>-0.22180900000000037</v>
      </c>
    </row>
    <row r="1097" spans="1:10" ht="14.25" customHeight="1" x14ac:dyDescent="0.25">
      <c r="A1097" s="1">
        <v>2456644.9756900002</v>
      </c>
      <c r="B1097" s="1" t="s">
        <v>113</v>
      </c>
      <c r="C1097" s="1">
        <v>8.6521740000000005</v>
      </c>
      <c r="D1097" s="1"/>
      <c r="E1097">
        <f>(A1097-m_phot!L$4)/m_phot!L$5-INT((A1097-m_phot!L$4)/m_phot!L$5)</f>
        <v>0.5902947826089715</v>
      </c>
      <c r="F1097">
        <f t="shared" si="34"/>
        <v>8.6521740000000005</v>
      </c>
      <c r="H1097" t="str">
        <f>IF(E1097&lt;0.05,INT(($A1097-m_phot!$L$4)/m_phot!$L$5),"")</f>
        <v/>
      </c>
      <c r="I1097" t="str">
        <f t="shared" si="35"/>
        <v/>
      </c>
      <c r="J1097">
        <f t="shared" si="36"/>
        <v>-0.22282599999999952</v>
      </c>
    </row>
    <row r="1098" spans="1:10" ht="14.25" customHeight="1" x14ac:dyDescent="0.25">
      <c r="A1098" s="1">
        <v>2456657.6157900002</v>
      </c>
      <c r="B1098" s="1" t="s">
        <v>1455</v>
      </c>
      <c r="C1098" s="1">
        <v>8.677778</v>
      </c>
      <c r="D1098" s="1"/>
      <c r="E1098">
        <f>(A1098-m_phot!L$4)/m_phot!L$5-INT((A1098-m_phot!L$4)/m_phot!L$5)</f>
        <v>0.60577561543194847</v>
      </c>
      <c r="F1098">
        <f t="shared" si="34"/>
        <v>8.677778</v>
      </c>
      <c r="H1098" t="str">
        <f>IF(E1098&lt;0.05,INT(($A1098-m_phot!$L$4)/m_phot!$L$5),"")</f>
        <v/>
      </c>
      <c r="I1098" t="str">
        <f t="shared" si="35"/>
        <v/>
      </c>
      <c r="J1098">
        <f t="shared" si="36"/>
        <v>-0.19722200000000001</v>
      </c>
    </row>
    <row r="1099" spans="1:10" ht="14.25" customHeight="1" x14ac:dyDescent="0.25">
      <c r="A1099" s="1">
        <v>2456674.5778800002</v>
      </c>
      <c r="B1099" s="1" t="s">
        <v>1456</v>
      </c>
      <c r="C1099" s="1">
        <v>8.69</v>
      </c>
      <c r="D1099" s="1"/>
      <c r="E1099">
        <f>(A1099-m_phot!L$4)/m_phot!L$5-INT((A1099-m_phot!L$4)/m_phot!L$5)</f>
        <v>0.62654976117603312</v>
      </c>
      <c r="F1099">
        <f t="shared" si="34"/>
        <v>8.69</v>
      </c>
      <c r="H1099" t="str">
        <f>IF(E1099&lt;0.05,INT(($A1099-m_phot!$L$4)/m_phot!$L$5),"")</f>
        <v/>
      </c>
      <c r="I1099" t="str">
        <f t="shared" si="35"/>
        <v/>
      </c>
      <c r="J1099">
        <f t="shared" si="36"/>
        <v>-0.1850000000000005</v>
      </c>
    </row>
    <row r="1100" spans="1:10" ht="14.25" customHeight="1" x14ac:dyDescent="0.25">
      <c r="A1100" s="1">
        <v>2456683.2629999998</v>
      </c>
      <c r="B1100" s="1" t="s">
        <v>1457</v>
      </c>
      <c r="C1100" s="1">
        <v>8.6</v>
      </c>
      <c r="D1100" s="1"/>
      <c r="E1100">
        <f>(A1100-m_phot!L$4)/m_phot!L$5-INT((A1100-m_phot!L$4)/m_phot!L$5)</f>
        <v>0.63718677281053715</v>
      </c>
      <c r="F1100">
        <f t="shared" si="34"/>
        <v>8.6</v>
      </c>
      <c r="H1100" t="str">
        <f>IF(E1100&lt;0.05,INT(($A1100-m_phot!$L$4)/m_phot!$L$5),"")</f>
        <v/>
      </c>
      <c r="I1100" t="str">
        <f t="shared" si="35"/>
        <v/>
      </c>
      <c r="J1100">
        <f t="shared" si="36"/>
        <v>-0.27500000000000036</v>
      </c>
    </row>
    <row r="1101" spans="1:10" ht="14.25" customHeight="1" x14ac:dyDescent="0.25">
      <c r="A1101" s="1">
        <v>2456745.6210599998</v>
      </c>
      <c r="B1101" s="1" t="s">
        <v>1458</v>
      </c>
      <c r="C1101" s="1">
        <v>8.56</v>
      </c>
      <c r="D1101" s="1"/>
      <c r="E1101">
        <f>(A1101-m_phot!L$4)/m_phot!L$5-INT((A1101-m_phot!L$4)/m_phot!L$5)</f>
        <v>0.71355916717673296</v>
      </c>
      <c r="F1101">
        <f t="shared" si="34"/>
        <v>8.56</v>
      </c>
      <c r="H1101" t="str">
        <f>IF(E1101&lt;0.05,INT(($A1101-m_phot!$L$4)/m_phot!$L$5),"")</f>
        <v/>
      </c>
      <c r="I1101" t="str">
        <f t="shared" si="35"/>
        <v/>
      </c>
      <c r="J1101">
        <f t="shared" si="36"/>
        <v>-0.3149999999999995</v>
      </c>
    </row>
    <row r="1102" spans="1:10" ht="14.25" customHeight="1" x14ac:dyDescent="0.25">
      <c r="A1102" s="1">
        <v>2456762.1415200001</v>
      </c>
      <c r="B1102" s="1" t="s">
        <v>1459</v>
      </c>
      <c r="C1102" s="1">
        <v>8.6166669999999996</v>
      </c>
      <c r="D1102" s="1"/>
      <c r="E1102">
        <f>(A1102-m_phot!L$4)/m_phot!L$5-INT((A1102-m_phot!L$4)/m_phot!L$5)</f>
        <v>0.73379243110846559</v>
      </c>
      <c r="F1102">
        <f t="shared" si="34"/>
        <v>8.6166669999999996</v>
      </c>
      <c r="H1102" t="str">
        <f>IF(E1102&lt;0.05,INT(($A1102-m_phot!$L$4)/m_phot!$L$5),"")</f>
        <v/>
      </c>
      <c r="I1102" t="str">
        <f t="shared" si="35"/>
        <v/>
      </c>
      <c r="J1102">
        <f t="shared" si="36"/>
        <v>-0.25833300000000037</v>
      </c>
    </row>
    <row r="1103" spans="1:10" ht="14.25" customHeight="1" x14ac:dyDescent="0.25">
      <c r="A1103" s="1">
        <v>2456778.4550200002</v>
      </c>
      <c r="B1103" s="1" t="s">
        <v>1460</v>
      </c>
      <c r="C1103" s="1">
        <v>8.5571429999999999</v>
      </c>
      <c r="D1103" s="1"/>
      <c r="E1103">
        <f>(A1103-m_phot!L$4)/m_phot!L$5-INT((A1103-m_phot!L$4)/m_phot!L$5)</f>
        <v>0.75377222290291002</v>
      </c>
      <c r="F1103">
        <f t="shared" si="34"/>
        <v>8.5571429999999999</v>
      </c>
      <c r="H1103" t="str">
        <f>IF(E1103&lt;0.05,INT(($A1103-m_phot!$L$4)/m_phot!$L$5),"")</f>
        <v/>
      </c>
      <c r="I1103" t="str">
        <f t="shared" si="35"/>
        <v/>
      </c>
      <c r="J1103">
        <f t="shared" si="36"/>
        <v>-0.31785700000000006</v>
      </c>
    </row>
    <row r="1104" spans="1:10" ht="14.25" customHeight="1" x14ac:dyDescent="0.25">
      <c r="A1104" s="1">
        <v>2456802.62653</v>
      </c>
      <c r="B1104" s="1" t="s">
        <v>1461</v>
      </c>
      <c r="C1104" s="1">
        <v>8.5555559999999993</v>
      </c>
      <c r="D1104" s="1"/>
      <c r="E1104">
        <f>(A1104-m_phot!L$4)/m_phot!L$5-INT((A1104-m_phot!L$4)/m_phot!L$5)</f>
        <v>0.78337603184324323</v>
      </c>
      <c r="F1104">
        <f t="shared" si="34"/>
        <v>8.5555559999999993</v>
      </c>
      <c r="H1104" t="str">
        <f>IF(E1104&lt;0.05,INT(($A1104-m_phot!$L$4)/m_phot!$L$5),"")</f>
        <v/>
      </c>
      <c r="I1104" t="str">
        <f t="shared" si="35"/>
        <v/>
      </c>
      <c r="J1104">
        <f t="shared" si="36"/>
        <v>-0.31944400000000073</v>
      </c>
    </row>
    <row r="1105" spans="1:10" ht="14.25" customHeight="1" x14ac:dyDescent="0.25">
      <c r="A1105" s="1">
        <v>2456822.4935699999</v>
      </c>
      <c r="B1105" s="1" t="s">
        <v>1462</v>
      </c>
      <c r="C1105" s="1">
        <v>8.6</v>
      </c>
      <c r="D1105" s="1"/>
      <c r="E1105">
        <f>(A1105-m_phot!L$4)/m_phot!L$5-INT((A1105-m_phot!L$4)/m_phot!L$5)</f>
        <v>0.80770798530303978</v>
      </c>
      <c r="F1105">
        <f t="shared" si="34"/>
        <v>8.6</v>
      </c>
      <c r="H1105" t="str">
        <f>IF(E1105&lt;0.05,INT(($A1105-m_phot!$L$4)/m_phot!$L$5),"")</f>
        <v/>
      </c>
      <c r="I1105" t="str">
        <f t="shared" si="35"/>
        <v/>
      </c>
      <c r="J1105">
        <f t="shared" si="36"/>
        <v>-0.27500000000000036</v>
      </c>
    </row>
    <row r="1106" spans="1:10" ht="14.25" customHeight="1" x14ac:dyDescent="0.25">
      <c r="A1106" s="1">
        <v>2456839.8313000002</v>
      </c>
      <c r="B1106" s="1" t="s">
        <v>1463</v>
      </c>
      <c r="C1106" s="1">
        <v>8.6653850000000006</v>
      </c>
      <c r="D1106" s="1"/>
      <c r="E1106">
        <f>(A1106-m_phot!L$4)/m_phot!L$5-INT((A1106-m_phot!L$4)/m_phot!L$5)</f>
        <v>0.82894219228437649</v>
      </c>
      <c r="F1106">
        <f t="shared" si="34"/>
        <v>8.6653850000000006</v>
      </c>
      <c r="H1106" t="str">
        <f>IF(E1106&lt;0.05,INT(($A1106-m_phot!$L$4)/m_phot!$L$5),"")</f>
        <v/>
      </c>
      <c r="I1106" t="str">
        <f t="shared" si="35"/>
        <v/>
      </c>
      <c r="J1106">
        <f t="shared" si="36"/>
        <v>-0.20961499999999944</v>
      </c>
    </row>
    <row r="1107" spans="1:10" ht="14.25" customHeight="1" x14ac:dyDescent="0.25">
      <c r="A1107" s="1">
        <v>2456856.9598099999</v>
      </c>
      <c r="B1107" s="1" t="s">
        <v>1464</v>
      </c>
      <c r="C1107" s="1">
        <v>8.7088239999999999</v>
      </c>
      <c r="D1107" s="1"/>
      <c r="E1107">
        <f>(A1107-m_phot!L$4)/m_phot!L$5-INT((A1107-m_phot!L$4)/m_phot!L$5)</f>
        <v>0.84992015921606168</v>
      </c>
      <c r="F1107">
        <f t="shared" si="34"/>
        <v>8.7088239999999999</v>
      </c>
      <c r="H1107" t="str">
        <f>IF(E1107&lt;0.05,INT(($A1107-m_phot!$L$4)/m_phot!$L$5),"")</f>
        <v/>
      </c>
      <c r="I1107" t="str">
        <f t="shared" si="35"/>
        <v/>
      </c>
      <c r="J1107">
        <f t="shared" si="36"/>
        <v>-0.1661760000000001</v>
      </c>
    </row>
    <row r="1108" spans="1:10" ht="14.25" customHeight="1" x14ac:dyDescent="0.25">
      <c r="A1108" s="1">
        <v>2456867.9170400002</v>
      </c>
      <c r="B1108" s="1" t="s">
        <v>1465</v>
      </c>
      <c r="C1108" s="1">
        <v>8.8047620000000002</v>
      </c>
      <c r="D1108" s="1"/>
      <c r="E1108">
        <f>(A1108-m_phot!L$4)/m_phot!L$5-INT((A1108-m_phot!L$4)/m_phot!L$5)</f>
        <v>0.86333991426846879</v>
      </c>
      <c r="F1108">
        <f t="shared" si="34"/>
        <v>8.8047620000000002</v>
      </c>
      <c r="H1108" t="str">
        <f>IF(E1108&lt;0.05,INT(($A1108-m_phot!$L$4)/m_phot!$L$5),"")</f>
        <v/>
      </c>
      <c r="I1108" t="str">
        <f t="shared" si="35"/>
        <v/>
      </c>
      <c r="J1108">
        <f t="shared" si="36"/>
        <v>-7.0237999999999801E-2</v>
      </c>
    </row>
    <row r="1109" spans="1:10" ht="14.25" customHeight="1" x14ac:dyDescent="0.25">
      <c r="A1109" s="1">
        <v>2456887.4349000002</v>
      </c>
      <c r="B1109" s="1" t="s">
        <v>1466</v>
      </c>
      <c r="C1109" s="1">
        <v>8.8703699999999994</v>
      </c>
      <c r="D1109" s="1"/>
      <c r="E1109">
        <f>(A1109-m_phot!L$4)/m_phot!L$5-INT((A1109-m_phot!L$4)/m_phot!L$5)</f>
        <v>0.88724421310499224</v>
      </c>
      <c r="F1109">
        <f t="shared" si="34"/>
        <v>8.8703699999999994</v>
      </c>
      <c r="H1109" t="str">
        <f>IF(E1109&lt;0.05,INT(($A1109-m_phot!$L$4)/m_phot!$L$5),"")</f>
        <v/>
      </c>
      <c r="I1109" t="str">
        <f t="shared" si="35"/>
        <v/>
      </c>
      <c r="J1109">
        <f t="shared" si="36"/>
        <v>-4.6300000000005781E-3</v>
      </c>
    </row>
    <row r="1110" spans="1:10" ht="14.25" customHeight="1" x14ac:dyDescent="0.25">
      <c r="A1110" s="1">
        <v>2456897.4222499998</v>
      </c>
      <c r="B1110" s="1" t="s">
        <v>117</v>
      </c>
      <c r="C1110" s="1">
        <v>8.858333</v>
      </c>
      <c r="D1110" s="1"/>
      <c r="E1110">
        <f>(A1110-m_phot!L$4)/m_phot!L$5-INT((A1110-m_phot!L$4)/m_phot!L$5)</f>
        <v>0.89947611757480672</v>
      </c>
      <c r="F1110">
        <f t="shared" si="34"/>
        <v>8.858333</v>
      </c>
      <c r="H1110" t="str">
        <f>IF(E1110&lt;0.05,INT(($A1110-m_phot!$L$4)/m_phot!$L$5),"")</f>
        <v/>
      </c>
      <c r="I1110" t="str">
        <f t="shared" si="35"/>
        <v/>
      </c>
      <c r="J1110">
        <f t="shared" si="36"/>
        <v>-1.6666999999999987E-2</v>
      </c>
    </row>
    <row r="1111" spans="1:10" ht="14.25" customHeight="1" x14ac:dyDescent="0.25">
      <c r="A1111" s="1">
        <v>2456917.2004</v>
      </c>
      <c r="B1111" s="1" t="s">
        <v>1467</v>
      </c>
      <c r="C1111" s="1">
        <v>8.9145160000000008</v>
      </c>
      <c r="D1111" s="1"/>
      <c r="E1111">
        <f>(A1111-m_phot!L$4)/m_phot!L$5-INT((A1111-m_phot!L$4)/m_phot!L$5)</f>
        <v>0.92369920391913496</v>
      </c>
      <c r="F1111">
        <f t="shared" ref="F1111:F1160" si="37">+C1111</f>
        <v>8.9145160000000008</v>
      </c>
      <c r="H1111" t="str">
        <f>IF(E1111&lt;0.05,INT(($A1111-m_phot!$L$4)/m_phot!$L$5),"")</f>
        <v/>
      </c>
      <c r="I1111" t="str">
        <f t="shared" si="35"/>
        <v/>
      </c>
      <c r="J1111">
        <f t="shared" si="36"/>
        <v>3.9516000000000773E-2</v>
      </c>
    </row>
    <row r="1112" spans="1:10" ht="14.25" customHeight="1" x14ac:dyDescent="0.25">
      <c r="A1112" s="1">
        <v>2456929.88821</v>
      </c>
      <c r="B1112" s="1" t="s">
        <v>131</v>
      </c>
      <c r="C1112" s="1">
        <v>8.9243900000000007</v>
      </c>
      <c r="D1112" s="1"/>
      <c r="E1112">
        <f>(A1112-m_phot!L$4)/m_phot!L$5-INT((A1112-m_phot!L$4)/m_phot!L$5)</f>
        <v>0.93923846907532749</v>
      </c>
      <c r="F1112">
        <f t="shared" si="37"/>
        <v>8.9243900000000007</v>
      </c>
      <c r="H1112" t="str">
        <f>IF(E1112&lt;0.05,INT(($A1112-m_phot!$L$4)/m_phot!$L$5),"")</f>
        <v/>
      </c>
      <c r="I1112" t="str">
        <f t="shared" si="35"/>
        <v/>
      </c>
      <c r="J1112">
        <f t="shared" si="36"/>
        <v>4.9390000000000711E-2</v>
      </c>
    </row>
    <row r="1113" spans="1:10" ht="14.25" customHeight="1" x14ac:dyDescent="0.25">
      <c r="A1113" s="1">
        <v>2456946.3087599999</v>
      </c>
      <c r="B1113" s="1" t="s">
        <v>137</v>
      </c>
      <c r="C1113" s="1">
        <v>8.9818180000000005</v>
      </c>
      <c r="D1113" s="1"/>
      <c r="E1113">
        <f>(A1113-m_phot!L$4)/m_phot!L$5-INT((A1113-m_phot!L$4)/m_phot!L$5)</f>
        <v>0.95934936925894476</v>
      </c>
      <c r="F1113">
        <f t="shared" si="37"/>
        <v>8.9818180000000005</v>
      </c>
      <c r="H1113" t="str">
        <f>IF(E1113&lt;0.05,INT(($A1113-m_phot!$L$4)/m_phot!$L$5),"")</f>
        <v/>
      </c>
      <c r="I1113" t="str">
        <f t="shared" si="35"/>
        <v/>
      </c>
      <c r="J1113">
        <f t="shared" si="36"/>
        <v>0.10681800000000052</v>
      </c>
    </row>
    <row r="1114" spans="1:10" ht="14.25" customHeight="1" x14ac:dyDescent="0.25">
      <c r="A1114" s="1">
        <v>2456958.9229799998</v>
      </c>
      <c r="B1114" s="1" t="s">
        <v>1468</v>
      </c>
      <c r="C1114" s="1">
        <v>8.9542859999999997</v>
      </c>
      <c r="D1114" s="1"/>
      <c r="E1114">
        <f>(A1114-m_phot!L$4)/m_phot!L$5-INT((A1114-m_phot!L$4)/m_phot!L$5)</f>
        <v>0.97479850581726879</v>
      </c>
      <c r="F1114">
        <f t="shared" si="37"/>
        <v>8.9542859999999997</v>
      </c>
      <c r="H1114" t="str">
        <f>IF(E1114&lt;0.05,INT(($A1114-m_phot!$L$4)/m_phot!$L$5),"")</f>
        <v/>
      </c>
      <c r="I1114" t="str">
        <f t="shared" si="35"/>
        <v/>
      </c>
      <c r="J1114">
        <f t="shared" si="36"/>
        <v>7.9285999999999746E-2</v>
      </c>
    </row>
    <row r="1115" spans="1:10" ht="14.25" customHeight="1" x14ac:dyDescent="0.25">
      <c r="A1115" s="1">
        <v>2456976.5606900002</v>
      </c>
      <c r="B1115" s="1" t="s">
        <v>1469</v>
      </c>
      <c r="C1115" s="1">
        <v>8.9542859999999997</v>
      </c>
      <c r="D1115" s="1"/>
      <c r="E1115">
        <f>(A1115-m_phot!L$4)/m_phot!L$5-INT((A1115-m_phot!L$4)/m_phot!L$5)</f>
        <v>0.99640011022680497</v>
      </c>
      <c r="F1115">
        <f t="shared" si="37"/>
        <v>8.9542859999999997</v>
      </c>
      <c r="H1115" t="str">
        <f>IF(E1115&lt;0.05,INT(($A1115-m_phot!$L$4)/m_phot!$L$5),"")</f>
        <v/>
      </c>
      <c r="I1115" t="str">
        <f t="shared" si="35"/>
        <v/>
      </c>
      <c r="J1115">
        <f t="shared" si="36"/>
        <v>7.9285999999999746E-2</v>
      </c>
    </row>
    <row r="1116" spans="1:10" ht="14.25" customHeight="1" x14ac:dyDescent="0.25">
      <c r="A1116" s="1">
        <v>2456991.3765400001</v>
      </c>
      <c r="B1116" s="1" t="s">
        <v>1470</v>
      </c>
      <c r="C1116" s="1">
        <v>8.9920000000000009</v>
      </c>
      <c r="D1116" s="1"/>
      <c r="E1116">
        <f>(A1116-m_phot!L$4)/m_phot!L$5-INT((A1116-m_phot!L$4)/m_phot!L$5)</f>
        <v>1.4545670545114575E-2</v>
      </c>
      <c r="F1116">
        <f t="shared" si="37"/>
        <v>8.9920000000000009</v>
      </c>
      <c r="H1116">
        <f>IF(E1116&lt;0.05,INT(($A1116-m_phot!$L$4)/m_phot!$L$5),"")</f>
        <v>31</v>
      </c>
      <c r="I1116">
        <f t="shared" si="35"/>
        <v>8.9220000000000006</v>
      </c>
      <c r="J1116">
        <f>+C1116-I$1116</f>
        <v>7.0000000000000284E-2</v>
      </c>
    </row>
    <row r="1117" spans="1:10" ht="14.25" customHeight="1" x14ac:dyDescent="0.25">
      <c r="A1117" s="1">
        <v>2457008.9718399998</v>
      </c>
      <c r="B1117" s="1" t="s">
        <v>1471</v>
      </c>
      <c r="C1117" s="1">
        <v>8.8520000000000003</v>
      </c>
      <c r="D1117" s="1"/>
      <c r="E1117">
        <f>(A1117-m_phot!L$4)/m_phot!L$5-INT((A1117-m_phot!L$4)/m_phot!L$5)</f>
        <v>3.6095333741311464E-2</v>
      </c>
      <c r="F1117">
        <f t="shared" si="37"/>
        <v>8.8520000000000003</v>
      </c>
      <c r="H1117">
        <f>IF(E1117&lt;0.05,INT(($A1117-m_phot!$L$4)/m_phot!$L$5),"")</f>
        <v>31</v>
      </c>
      <c r="I1117">
        <f t="shared" si="35"/>
        <v>8.8974285000000002</v>
      </c>
      <c r="J1117">
        <f t="shared" ref="J1117:J1160" si="38">+C1117-I$1116</f>
        <v>-7.0000000000000284E-2</v>
      </c>
    </row>
    <row r="1118" spans="1:10" ht="14.25" customHeight="1" x14ac:dyDescent="0.25">
      <c r="A1118" s="1">
        <v>2457022.5688900002</v>
      </c>
      <c r="B1118" s="1" t="s">
        <v>9</v>
      </c>
      <c r="C1118" s="1">
        <v>8.9428570000000001</v>
      </c>
      <c r="D1118" s="1"/>
      <c r="E1118">
        <f>(A1118-m_phot!L$4)/m_phot!L$5-INT((A1118-m_phot!L$4)/m_phot!L$5)</f>
        <v>5.2748181261762284E-2</v>
      </c>
      <c r="F1118">
        <f t="shared" si="37"/>
        <v>8.9428570000000001</v>
      </c>
      <c r="H1118" t="str">
        <f>IF(E1118&lt;0.05,INT(($A1118-m_phot!$L$4)/m_phot!$L$5),"")</f>
        <v/>
      </c>
      <c r="I1118" t="str">
        <f t="shared" si="35"/>
        <v/>
      </c>
      <c r="J1118">
        <f t="shared" si="38"/>
        <v>2.0856999999999459E-2</v>
      </c>
    </row>
    <row r="1119" spans="1:10" ht="14.25" customHeight="1" x14ac:dyDescent="0.25">
      <c r="A1119" s="1">
        <v>2457036.4076399999</v>
      </c>
      <c r="B1119" s="1" t="s">
        <v>1472</v>
      </c>
      <c r="C1119" s="1">
        <v>8.8923079999999999</v>
      </c>
      <c r="D1119" s="1"/>
      <c r="E1119">
        <f>(A1119-m_phot!L$4)/m_phot!L$5-INT((A1119-m_phot!L$4)/m_phot!L$5)</f>
        <v>6.9697048377065585E-2</v>
      </c>
      <c r="F1119">
        <f t="shared" si="37"/>
        <v>8.8923079999999999</v>
      </c>
      <c r="H1119" t="str">
        <f>IF(E1119&lt;0.05,INT(($A1119-m_phot!$L$4)/m_phot!$L$5),"")</f>
        <v/>
      </c>
      <c r="I1119" t="str">
        <f t="shared" si="35"/>
        <v/>
      </c>
      <c r="J1119">
        <f t="shared" si="38"/>
        <v>-2.9692000000000718E-2</v>
      </c>
    </row>
    <row r="1120" spans="1:10" ht="14.25" customHeight="1" x14ac:dyDescent="0.25">
      <c r="A1120" s="1">
        <v>2457052.2650000001</v>
      </c>
      <c r="B1120" s="1" t="s">
        <v>1473</v>
      </c>
      <c r="C1120" s="1">
        <v>9</v>
      </c>
      <c r="D1120" s="1"/>
      <c r="E1120">
        <f>(A1120-m_phot!L$4)/m_phot!L$5-INT((A1120-m_phot!L$4)/m_phot!L$5)</f>
        <v>8.911818738534194E-2</v>
      </c>
      <c r="F1120">
        <f t="shared" si="37"/>
        <v>9</v>
      </c>
      <c r="H1120" t="str">
        <f>IF(E1120&lt;0.05,INT(($A1120-m_phot!$L$4)/m_phot!$L$5),"")</f>
        <v/>
      </c>
      <c r="I1120" t="str">
        <f t="shared" si="35"/>
        <v/>
      </c>
      <c r="J1120">
        <f t="shared" si="38"/>
        <v>7.7999999999999403E-2</v>
      </c>
    </row>
    <row r="1121" spans="1:10" ht="14.25" customHeight="1" x14ac:dyDescent="0.25">
      <c r="A1121" s="1">
        <v>2457109.6749999998</v>
      </c>
      <c r="B1121" s="1" t="s">
        <v>1474</v>
      </c>
      <c r="C1121" s="1">
        <v>8.9</v>
      </c>
      <c r="D1121" s="1"/>
      <c r="E1121">
        <f>(A1121-m_phot!L$4)/m_phot!L$5-INT((A1121-m_phot!L$4)/m_phot!L$5)</f>
        <v>0.15943049601936821</v>
      </c>
      <c r="F1121">
        <f t="shared" si="37"/>
        <v>8.9</v>
      </c>
      <c r="H1121" t="str">
        <f>IF(E1121&lt;0.05,INT(($A1121-m_phot!$L$4)/m_phot!$L$5),"")</f>
        <v/>
      </c>
      <c r="I1121" t="str">
        <f t="shared" si="35"/>
        <v/>
      </c>
      <c r="J1121">
        <f t="shared" si="38"/>
        <v>-2.2000000000000242E-2</v>
      </c>
    </row>
    <row r="1122" spans="1:10" ht="14.25" customHeight="1" x14ac:dyDescent="0.25">
      <c r="A1122" s="1">
        <v>2457132.0185199999</v>
      </c>
      <c r="B1122" s="1" t="s">
        <v>1475</v>
      </c>
      <c r="C1122" s="1">
        <v>8.75</v>
      </c>
      <c r="D1122" s="1"/>
      <c r="E1122">
        <f>(A1122-m_phot!L$4)/m_phot!L$5-INT((A1122-m_phot!L$4)/m_phot!L$5)</f>
        <v>0.18679549295765341</v>
      </c>
      <c r="F1122">
        <f t="shared" si="37"/>
        <v>8.75</v>
      </c>
      <c r="H1122" t="str">
        <f>IF(E1122&lt;0.05,INT(($A1122-m_phot!$L$4)/m_phot!$L$5),"")</f>
        <v/>
      </c>
      <c r="I1122" t="str">
        <f t="shared" si="35"/>
        <v/>
      </c>
      <c r="J1122">
        <f t="shared" si="38"/>
        <v>-0.1720000000000006</v>
      </c>
    </row>
    <row r="1123" spans="1:10" ht="14.25" customHeight="1" x14ac:dyDescent="0.25">
      <c r="A1123" s="1">
        <v>2457147.5497499998</v>
      </c>
      <c r="B1123" s="1" t="s">
        <v>1476</v>
      </c>
      <c r="C1123" s="1">
        <v>8.6999999999999993</v>
      </c>
      <c r="D1123" s="1"/>
      <c r="E1123">
        <f>(A1123-m_phot!L$4)/m_phot!L$5-INT((A1123-m_phot!L$4)/m_phot!L$5)</f>
        <v>0.20581720759310684</v>
      </c>
      <c r="F1123">
        <f t="shared" si="37"/>
        <v>8.6999999999999993</v>
      </c>
      <c r="H1123" t="str">
        <f>IF(E1123&lt;0.05,INT(($A1123-m_phot!$L$4)/m_phot!$L$5),"")</f>
        <v/>
      </c>
      <c r="I1123" t="str">
        <f t="shared" si="35"/>
        <v/>
      </c>
      <c r="J1123">
        <f t="shared" si="38"/>
        <v>-0.22200000000000131</v>
      </c>
    </row>
    <row r="1124" spans="1:10" ht="14.25" customHeight="1" x14ac:dyDescent="0.25">
      <c r="A1124" s="1">
        <v>2457165.9536600001</v>
      </c>
      <c r="B1124" s="1" t="s">
        <v>21</v>
      </c>
      <c r="C1124" s="1">
        <v>8.66</v>
      </c>
      <c r="D1124" s="1"/>
      <c r="E1124">
        <f>(A1124-m_phot!L$4)/m_phot!L$5-INT((A1124-m_phot!L$4)/m_phot!L$5)</f>
        <v>0.22835720759352895</v>
      </c>
      <c r="F1124">
        <f t="shared" si="37"/>
        <v>8.66</v>
      </c>
      <c r="H1124" t="str">
        <f>IF(E1124&lt;0.05,INT(($A1124-m_phot!$L$4)/m_phot!$L$5),"")</f>
        <v/>
      </c>
      <c r="I1124" t="str">
        <f t="shared" si="35"/>
        <v/>
      </c>
      <c r="J1124">
        <f t="shared" si="38"/>
        <v>-0.26200000000000045</v>
      </c>
    </row>
    <row r="1125" spans="1:10" ht="14.25" customHeight="1" x14ac:dyDescent="0.25">
      <c r="A1125" s="1">
        <v>2457185.9492600001</v>
      </c>
      <c r="B1125" s="1" t="s">
        <v>1477</v>
      </c>
      <c r="C1125" s="1">
        <v>8.0500000000000007</v>
      </c>
      <c r="D1125" s="1"/>
      <c r="E1125">
        <f>(A1125-m_phot!L$4)/m_phot!L$5-INT((A1125-m_phot!L$4)/m_phot!L$5)</f>
        <v>0.25284661359478022</v>
      </c>
      <c r="F1125">
        <f t="shared" si="37"/>
        <v>8.0500000000000007</v>
      </c>
      <c r="H1125" t="str">
        <f>IF(E1125&lt;0.05,INT(($A1125-m_phot!$L$4)/m_phot!$L$5),"")</f>
        <v/>
      </c>
      <c r="I1125" t="str">
        <f t="shared" si="35"/>
        <v/>
      </c>
      <c r="J1125">
        <f t="shared" si="38"/>
        <v>-0.87199999999999989</v>
      </c>
    </row>
    <row r="1126" spans="1:10" ht="14.25" customHeight="1" x14ac:dyDescent="0.25">
      <c r="A1126" s="1">
        <v>2457201.8391399998</v>
      </c>
      <c r="B1126" s="1" t="s">
        <v>31</v>
      </c>
      <c r="C1126" s="1">
        <v>7.2750000000000004</v>
      </c>
      <c r="D1126" s="1"/>
      <c r="E1126">
        <f>(A1126-m_phot!L$4)/m_phot!L$5-INT((A1126-m_phot!L$4)/m_phot!L$5)</f>
        <v>0.27230758113879006</v>
      </c>
      <c r="F1126">
        <f t="shared" si="37"/>
        <v>7.2750000000000004</v>
      </c>
      <c r="H1126" t="str">
        <f>IF(E1126&lt;0.05,INT(($A1126-m_phot!$L$4)/m_phot!$L$5),"")</f>
        <v/>
      </c>
      <c r="I1126" t="str">
        <f t="shared" si="35"/>
        <v/>
      </c>
      <c r="J1126">
        <f t="shared" si="38"/>
        <v>-1.6470000000000002</v>
      </c>
    </row>
    <row r="1127" spans="1:10" ht="14.25" customHeight="1" x14ac:dyDescent="0.25">
      <c r="A1127" s="1">
        <v>2457218.1162</v>
      </c>
      <c r="B1127" s="1" t="s">
        <v>46</v>
      </c>
      <c r="C1127" s="1">
        <v>7.27461</v>
      </c>
      <c r="D1127" s="1"/>
      <c r="E1127">
        <f>(A1127-m_phot!L$4)/m_phot!L$5-INT((A1127-m_phot!L$4)/m_phot!L$5)</f>
        <v>0.29224274341708067</v>
      </c>
      <c r="F1127">
        <f t="shared" si="37"/>
        <v>7.27461</v>
      </c>
      <c r="H1127" t="str">
        <f>IF(E1127&lt;0.05,INT(($A1127-m_phot!$L$4)/m_phot!$L$5),"")</f>
        <v/>
      </c>
      <c r="I1127" t="str">
        <f t="shared" si="35"/>
        <v/>
      </c>
      <c r="J1127">
        <f t="shared" si="38"/>
        <v>-1.6473900000000006</v>
      </c>
    </row>
    <row r="1128" spans="1:10" ht="14.25" customHeight="1" x14ac:dyDescent="0.25">
      <c r="A1128" s="1">
        <v>2457231.9826099998</v>
      </c>
      <c r="B1128" s="1" t="s">
        <v>55</v>
      </c>
      <c r="C1128" s="1">
        <v>7.515104</v>
      </c>
      <c r="D1128" s="1"/>
      <c r="E1128">
        <f>(A1128-m_phot!L$4)/m_phot!L$5-INT((A1128-m_phot!L$4)/m_phot!L$5)</f>
        <v>0.30922548683384221</v>
      </c>
      <c r="F1128">
        <f t="shared" si="37"/>
        <v>7.515104</v>
      </c>
      <c r="H1128" t="str">
        <f>IF(E1128&lt;0.05,INT(($A1128-m_phot!$L$4)/m_phot!$L$5),"")</f>
        <v/>
      </c>
      <c r="I1128" t="str">
        <f t="shared" si="35"/>
        <v/>
      </c>
      <c r="J1128">
        <f t="shared" si="38"/>
        <v>-1.4068960000000006</v>
      </c>
    </row>
    <row r="1129" spans="1:10" ht="14.25" customHeight="1" x14ac:dyDescent="0.25">
      <c r="A1129" s="1">
        <v>2457246.0192399998</v>
      </c>
      <c r="B1129" s="1" t="s">
        <v>66</v>
      </c>
      <c r="C1129" s="1">
        <v>7.8228759999999999</v>
      </c>
      <c r="D1129" s="1"/>
      <c r="E1129">
        <f>(A1129-m_phot!L$4)/m_phot!L$5-INT((A1129-m_phot!L$4)/m_phot!L$5)</f>
        <v>0.32641670544986923</v>
      </c>
      <c r="F1129">
        <f t="shared" si="37"/>
        <v>7.8228759999999999</v>
      </c>
      <c r="H1129" t="str">
        <f>IF(E1129&lt;0.05,INT(($A1129-m_phot!$L$4)/m_phot!$L$5),"")</f>
        <v/>
      </c>
      <c r="I1129" t="str">
        <f t="shared" si="35"/>
        <v/>
      </c>
      <c r="J1129">
        <f t="shared" si="38"/>
        <v>-1.0991240000000007</v>
      </c>
    </row>
    <row r="1130" spans="1:10" ht="14.25" customHeight="1" x14ac:dyDescent="0.25">
      <c r="A1130" s="1">
        <v>2457261.4323</v>
      </c>
      <c r="B1130" s="1" t="s">
        <v>77</v>
      </c>
      <c r="C1130" s="1">
        <v>7.903238</v>
      </c>
      <c r="D1130" s="1"/>
      <c r="E1130">
        <f>(A1130-m_phot!L$4)/m_phot!L$5-INT((A1130-m_phot!L$4)/m_phot!L$5)</f>
        <v>0.34529369259030673</v>
      </c>
      <c r="F1130">
        <f t="shared" si="37"/>
        <v>7.903238</v>
      </c>
      <c r="H1130" t="str">
        <f>IF(E1130&lt;0.05,INT(($A1130-m_phot!$L$4)/m_phot!$L$5),"")</f>
        <v/>
      </c>
      <c r="I1130" t="str">
        <f t="shared" ref="I1130:I1160" si="39">IF(H1130&lt;&gt;"",AVERAGE(C1130:C1131),"")</f>
        <v/>
      </c>
      <c r="J1130">
        <f t="shared" si="38"/>
        <v>-1.0187620000000006</v>
      </c>
    </row>
    <row r="1131" spans="1:10" ht="14.25" customHeight="1" x14ac:dyDescent="0.25">
      <c r="A1131" s="1">
        <v>2457277.1677100002</v>
      </c>
      <c r="B1131" s="1" t="s">
        <v>1478</v>
      </c>
      <c r="C1131" s="1">
        <v>7.9956120000000004</v>
      </c>
      <c r="D1131" s="1"/>
      <c r="E1131">
        <f>(A1131-m_phot!L$4)/m_phot!L$5-INT((A1131-m_phot!L$4)/m_phot!L$5)</f>
        <v>0.36456547458687538</v>
      </c>
      <c r="F1131">
        <f t="shared" si="37"/>
        <v>7.9956120000000004</v>
      </c>
      <c r="H1131" t="str">
        <f>IF(E1131&lt;0.05,INT(($A1131-m_phot!$L$4)/m_phot!$L$5),"")</f>
        <v/>
      </c>
      <c r="I1131" t="str">
        <f t="shared" si="39"/>
        <v/>
      </c>
      <c r="J1131">
        <f t="shared" si="38"/>
        <v>-0.92638800000000021</v>
      </c>
    </row>
    <row r="1132" spans="1:10" ht="14.25" customHeight="1" x14ac:dyDescent="0.25">
      <c r="A1132" s="1">
        <v>2457293.6599099999</v>
      </c>
      <c r="B1132" s="1" t="s">
        <v>164</v>
      </c>
      <c r="C1132" s="1">
        <v>8.0373079999999995</v>
      </c>
      <c r="D1132" s="1"/>
      <c r="E1132">
        <f>(A1132-m_phot!L$4)/m_phot!L$5-INT((A1132-m_phot!L$4)/m_phot!L$5)</f>
        <v>0.38476412737284704</v>
      </c>
      <c r="F1132">
        <f t="shared" si="37"/>
        <v>8.0373079999999995</v>
      </c>
      <c r="H1132" t="str">
        <f>IF(E1132&lt;0.05,INT(($A1132-m_phot!$L$4)/m_phot!$L$5),"")</f>
        <v/>
      </c>
      <c r="I1132" t="str">
        <f t="shared" si="39"/>
        <v/>
      </c>
      <c r="J1132">
        <f t="shared" si="38"/>
        <v>-0.88469200000000114</v>
      </c>
    </row>
    <row r="1133" spans="1:10" ht="14.25" customHeight="1" x14ac:dyDescent="0.25">
      <c r="A1133" s="1">
        <v>2457307.36882</v>
      </c>
      <c r="B1133" s="1" t="s">
        <v>103</v>
      </c>
      <c r="C1133" s="1">
        <v>7.7095880000000001</v>
      </c>
      <c r="D1133" s="1"/>
      <c r="E1133">
        <f>(A1133-m_phot!L$4)/m_phot!L$5-INT((A1133-m_phot!L$4)/m_phot!L$5)</f>
        <v>0.40155397428043216</v>
      </c>
      <c r="F1133">
        <f t="shared" si="37"/>
        <v>7.7095880000000001</v>
      </c>
      <c r="H1133" t="str">
        <f>IF(E1133&lt;0.05,INT(($A1133-m_phot!$L$4)/m_phot!$L$5),"")</f>
        <v/>
      </c>
      <c r="I1133" t="str">
        <f t="shared" si="39"/>
        <v/>
      </c>
      <c r="J1133">
        <f t="shared" si="38"/>
        <v>-1.2124120000000005</v>
      </c>
    </row>
    <row r="1134" spans="1:10" ht="14.25" customHeight="1" x14ac:dyDescent="0.25">
      <c r="A1134" s="1">
        <v>2457324.56464</v>
      </c>
      <c r="B1134" s="1" t="s">
        <v>165</v>
      </c>
      <c r="C1134" s="1">
        <v>7.5721569999999998</v>
      </c>
      <c r="D1134" s="1"/>
      <c r="E1134">
        <f>(A1134-m_phot!L$4)/m_phot!L$5-INT((A1134-m_phot!L$4)/m_phot!L$5)</f>
        <v>0.42261437844457816</v>
      </c>
      <c r="F1134">
        <f t="shared" si="37"/>
        <v>7.5721569999999998</v>
      </c>
      <c r="H1134" t="str">
        <f>IF(E1134&lt;0.05,INT(($A1134-m_phot!$L$4)/m_phot!$L$5),"")</f>
        <v/>
      </c>
      <c r="I1134" t="str">
        <f t="shared" si="39"/>
        <v/>
      </c>
      <c r="J1134">
        <f t="shared" si="38"/>
        <v>-1.3498430000000008</v>
      </c>
    </row>
    <row r="1135" spans="1:10" ht="14.25" customHeight="1" x14ac:dyDescent="0.25">
      <c r="A1135" s="1">
        <v>2457338.2966800001</v>
      </c>
      <c r="B1135" s="1" t="s">
        <v>1479</v>
      </c>
      <c r="C1135" s="1">
        <v>7.703519</v>
      </c>
      <c r="D1135" s="1"/>
      <c r="E1135">
        <f>(A1135-m_phot!L$4)/m_phot!L$5-INT((A1135-m_phot!L$4)/m_phot!L$5)</f>
        <v>0.43943255358254163</v>
      </c>
      <c r="F1135">
        <f t="shared" si="37"/>
        <v>7.703519</v>
      </c>
      <c r="H1135" t="str">
        <f>IF(E1135&lt;0.05,INT(($A1135-m_phot!$L$4)/m_phot!$L$5),"")</f>
        <v/>
      </c>
      <c r="I1135" t="str">
        <f t="shared" si="39"/>
        <v/>
      </c>
      <c r="J1135">
        <f t="shared" si="38"/>
        <v>-1.2184810000000006</v>
      </c>
    </row>
    <row r="1136" spans="1:10" ht="14.25" customHeight="1" x14ac:dyDescent="0.25">
      <c r="A1136" s="1">
        <v>2457355.5690100002</v>
      </c>
      <c r="B1136" s="1" t="s">
        <v>184</v>
      </c>
      <c r="C1136" s="1">
        <v>7.722836</v>
      </c>
      <c r="D1136" s="1"/>
      <c r="E1136">
        <f>(A1136-m_phot!L$4)/m_phot!L$5-INT((A1136-m_phot!L$4)/m_phot!L$5)</f>
        <v>0.46058666258445768</v>
      </c>
      <c r="F1136">
        <f t="shared" si="37"/>
        <v>7.722836</v>
      </c>
      <c r="H1136" t="str">
        <f>IF(E1136&lt;0.05,INT(($A1136-m_phot!$L$4)/m_phot!$L$5),"")</f>
        <v/>
      </c>
      <c r="I1136" t="str">
        <f t="shared" si="39"/>
        <v/>
      </c>
      <c r="J1136">
        <f t="shared" si="38"/>
        <v>-1.1991640000000006</v>
      </c>
    </row>
    <row r="1137" spans="1:10" ht="14.25" customHeight="1" x14ac:dyDescent="0.25">
      <c r="A1137" s="1">
        <v>2457367.6752499999</v>
      </c>
      <c r="B1137" s="1" t="s">
        <v>191</v>
      </c>
      <c r="C1137" s="1">
        <v>7.8378329999999998</v>
      </c>
      <c r="D1137" s="1"/>
      <c r="E1137">
        <f>(A1137-m_phot!L$4)/m_phot!L$5-INT((A1137-m_phot!L$4)/m_phot!L$5)</f>
        <v>0.47541365584795514</v>
      </c>
      <c r="F1137">
        <f t="shared" si="37"/>
        <v>7.8378329999999998</v>
      </c>
      <c r="H1137" t="str">
        <f>IF(E1137&lt;0.05,INT(($A1137-m_phot!$L$4)/m_phot!$L$5),"")</f>
        <v/>
      </c>
      <c r="I1137" t="str">
        <f t="shared" si="39"/>
        <v/>
      </c>
      <c r="J1137">
        <f t="shared" si="38"/>
        <v>-1.0841670000000008</v>
      </c>
    </row>
    <row r="1138" spans="1:10" ht="14.25" customHeight="1" x14ac:dyDescent="0.25">
      <c r="A1138" s="1">
        <v>2457385.3852200001</v>
      </c>
      <c r="B1138" s="1" t="s">
        <v>1480</v>
      </c>
      <c r="C1138" s="1">
        <v>8.0625400000000003</v>
      </c>
      <c r="D1138" s="1"/>
      <c r="E1138">
        <f>(A1138-m_phot!L$4)/m_phot!L$5-INT((A1138-m_phot!L$4)/m_phot!L$5)</f>
        <v>0.49710375995107725</v>
      </c>
      <c r="F1138">
        <f t="shared" si="37"/>
        <v>8.0625400000000003</v>
      </c>
      <c r="H1138" t="str">
        <f>IF(E1138&lt;0.05,INT(($A1138-m_phot!$L$4)/m_phot!$L$5),"")</f>
        <v/>
      </c>
      <c r="I1138" t="str">
        <f t="shared" si="39"/>
        <v/>
      </c>
      <c r="J1138">
        <f t="shared" si="38"/>
        <v>-0.85946000000000033</v>
      </c>
    </row>
    <row r="1139" spans="1:10" ht="14.25" customHeight="1" x14ac:dyDescent="0.25">
      <c r="A1139" s="1">
        <v>2457399.3761800001</v>
      </c>
      <c r="B1139" s="1" t="s">
        <v>1481</v>
      </c>
      <c r="C1139" s="1">
        <v>8.0720589999999994</v>
      </c>
      <c r="D1139" s="1"/>
      <c r="E1139">
        <f>(A1139-m_phot!L$4)/m_phot!L$5-INT((A1139-m_phot!L$4)/m_phot!L$5)</f>
        <v>0.51423904470317083</v>
      </c>
      <c r="F1139">
        <f t="shared" si="37"/>
        <v>8.0720589999999994</v>
      </c>
      <c r="H1139" t="str">
        <f>IF(E1139&lt;0.05,INT(($A1139-m_phot!$L$4)/m_phot!$L$5),"")</f>
        <v/>
      </c>
      <c r="I1139" t="str">
        <f t="shared" si="39"/>
        <v/>
      </c>
      <c r="J1139">
        <f t="shared" si="38"/>
        <v>-0.84994100000000117</v>
      </c>
    </row>
    <row r="1140" spans="1:10" ht="14.25" customHeight="1" x14ac:dyDescent="0.25">
      <c r="A1140" s="1">
        <v>2457411.9216800001</v>
      </c>
      <c r="B1140" s="1" t="s">
        <v>1482</v>
      </c>
      <c r="C1140" s="1">
        <v>8.2176469999999995</v>
      </c>
      <c r="D1140" s="1"/>
      <c r="E1140">
        <f>(A1140-m_phot!L$4)/m_phot!L$5-INT((A1140-m_phot!L$4)/m_phot!L$5)</f>
        <v>0.52960401714653571</v>
      </c>
      <c r="F1140">
        <f t="shared" si="37"/>
        <v>8.2176469999999995</v>
      </c>
      <c r="H1140" t="str">
        <f>IF(E1140&lt;0.05,INT(($A1140-m_phot!$L$4)/m_phot!$L$5),"")</f>
        <v/>
      </c>
      <c r="I1140" t="str">
        <f t="shared" si="39"/>
        <v/>
      </c>
      <c r="J1140">
        <f t="shared" si="38"/>
        <v>-0.70435300000000112</v>
      </c>
    </row>
    <row r="1141" spans="1:10" ht="14.25" customHeight="1" x14ac:dyDescent="0.25">
      <c r="A1141" s="1">
        <v>2457427.0208399999</v>
      </c>
      <c r="B1141" s="1" t="s">
        <v>1483</v>
      </c>
      <c r="C1141" s="1">
        <v>8</v>
      </c>
      <c r="D1141" s="1"/>
      <c r="E1141">
        <f>(A1141-m_phot!L$4)/m_phot!L$5-INT((A1141-m_phot!L$4)/m_phot!L$5)</f>
        <v>0.54809655848119476</v>
      </c>
      <c r="F1141">
        <f t="shared" si="37"/>
        <v>8</v>
      </c>
      <c r="H1141" t="str">
        <f>IF(E1141&lt;0.05,INT(($A1141-m_phot!$L$4)/m_phot!$L$5),"")</f>
        <v/>
      </c>
      <c r="I1141" t="str">
        <f t="shared" si="39"/>
        <v/>
      </c>
      <c r="J1141">
        <f t="shared" si="38"/>
        <v>-0.9220000000000006</v>
      </c>
    </row>
    <row r="1142" spans="1:10" ht="14.25" customHeight="1" x14ac:dyDescent="0.25">
      <c r="A1142" s="1">
        <v>2457475.6848499998</v>
      </c>
      <c r="B1142" s="1" t="s">
        <v>1484</v>
      </c>
      <c r="C1142" s="1">
        <v>8.3000000000000007</v>
      </c>
      <c r="D1142" s="1"/>
      <c r="E1142">
        <f>(A1142-m_phot!L$4)/m_phot!L$5-INT((A1142-m_phot!L$4)/m_phot!L$5)</f>
        <v>0.60769730557237622</v>
      </c>
      <c r="F1142">
        <f t="shared" si="37"/>
        <v>8.3000000000000007</v>
      </c>
      <c r="H1142" t="str">
        <f>IF(E1142&lt;0.05,INT(($A1142-m_phot!$L$4)/m_phot!$L$5),"")</f>
        <v/>
      </c>
      <c r="I1142" t="str">
        <f t="shared" si="39"/>
        <v/>
      </c>
      <c r="J1142">
        <f t="shared" si="38"/>
        <v>-0.62199999999999989</v>
      </c>
    </row>
    <row r="1143" spans="1:10" ht="14.25" customHeight="1" x14ac:dyDescent="0.25">
      <c r="A1143" s="1">
        <v>2457492.4295899998</v>
      </c>
      <c r="B1143" s="1" t="s">
        <v>1485</v>
      </c>
      <c r="C1143" s="1">
        <v>8.4263159999999999</v>
      </c>
      <c r="D1143" s="1"/>
      <c r="E1143">
        <f>(A1143-m_phot!L$4)/m_phot!L$5-INT((A1143-m_phot!L$4)/m_phot!L$5)</f>
        <v>0.62820525413329875</v>
      </c>
      <c r="F1143">
        <f t="shared" si="37"/>
        <v>8.4263159999999999</v>
      </c>
      <c r="H1143" t="str">
        <f>IF(E1143&lt;0.05,INT(($A1143-m_phot!$L$4)/m_phot!$L$5),"")</f>
        <v/>
      </c>
      <c r="I1143" t="str">
        <f t="shared" si="39"/>
        <v/>
      </c>
      <c r="J1143">
        <f t="shared" si="38"/>
        <v>-0.49568400000000068</v>
      </c>
    </row>
    <row r="1144" spans="1:10" ht="14.25" customHeight="1" x14ac:dyDescent="0.25">
      <c r="A1144" s="1">
        <v>2457504.6553500001</v>
      </c>
      <c r="B1144" s="1" t="s">
        <v>1486</v>
      </c>
      <c r="C1144" s="1">
        <v>8.4695649999999993</v>
      </c>
      <c r="D1144" s="1"/>
      <c r="E1144">
        <f>(A1144-m_phot!L$4)/m_phot!L$5-INT((A1144-m_phot!L$4)/m_phot!L$5)</f>
        <v>0.64317862829165051</v>
      </c>
      <c r="F1144">
        <f t="shared" si="37"/>
        <v>8.4695649999999993</v>
      </c>
      <c r="H1144" t="str">
        <f>IF(E1144&lt;0.05,INT(($A1144-m_phot!$L$4)/m_phot!$L$5),"")</f>
        <v/>
      </c>
      <c r="I1144" t="str">
        <f t="shared" si="39"/>
        <v/>
      </c>
      <c r="J1144">
        <f t="shared" si="38"/>
        <v>-0.45243500000000125</v>
      </c>
    </row>
    <row r="1145" spans="1:10" ht="14.25" customHeight="1" x14ac:dyDescent="0.25">
      <c r="A1145" s="1">
        <v>2457519.3531200001</v>
      </c>
      <c r="B1145" s="1" t="s">
        <v>1487</v>
      </c>
      <c r="C1145" s="1">
        <v>8.5409089999999992</v>
      </c>
      <c r="D1145" s="1"/>
      <c r="E1145">
        <f>(A1145-m_phot!L$4)/m_phot!L$5-INT((A1145-m_phot!L$4)/m_phot!L$5)</f>
        <v>0.66117957134121497</v>
      </c>
      <c r="F1145">
        <f t="shared" si="37"/>
        <v>8.5409089999999992</v>
      </c>
      <c r="H1145" t="str">
        <f>IF(E1145&lt;0.05,INT(($A1145-m_phot!$L$4)/m_phot!$L$5),"")</f>
        <v/>
      </c>
      <c r="I1145" t="str">
        <f t="shared" si="39"/>
        <v/>
      </c>
      <c r="J1145">
        <f t="shared" si="38"/>
        <v>-0.3810910000000014</v>
      </c>
    </row>
    <row r="1146" spans="1:10" ht="14.25" customHeight="1" x14ac:dyDescent="0.25">
      <c r="A1146" s="1">
        <v>2457537.89164</v>
      </c>
      <c r="B1146" s="1" t="s">
        <v>1488</v>
      </c>
      <c r="C1146" s="1">
        <v>8.5289470000000005</v>
      </c>
      <c r="D1146" s="1"/>
      <c r="E1146">
        <f>(A1146-m_phot!L$4)/m_phot!L$5-INT((A1146-m_phot!L$4)/m_phot!L$5)</f>
        <v>0.68388443355792461</v>
      </c>
      <c r="F1146">
        <f t="shared" si="37"/>
        <v>8.5289470000000005</v>
      </c>
      <c r="H1146" t="str">
        <f>IF(E1146&lt;0.05,INT(($A1146-m_phot!$L$4)/m_phot!$L$5),"")</f>
        <v/>
      </c>
      <c r="I1146" t="str">
        <f t="shared" si="39"/>
        <v/>
      </c>
      <c r="J1146">
        <f t="shared" si="38"/>
        <v>-0.3930530000000001</v>
      </c>
    </row>
    <row r="1147" spans="1:10" ht="14.25" customHeight="1" x14ac:dyDescent="0.25">
      <c r="A1147" s="1">
        <v>2457550.6131000002</v>
      </c>
      <c r="B1147" s="1" t="s">
        <v>1489</v>
      </c>
      <c r="C1147" s="1">
        <v>8.5062499999999996</v>
      </c>
      <c r="D1147" s="1"/>
      <c r="E1147">
        <f>(A1147-m_phot!L$4)/m_phot!L$5-INT((A1147-m_phot!L$4)/m_phot!L$5)</f>
        <v>0.69946491120660426</v>
      </c>
      <c r="F1147">
        <f t="shared" si="37"/>
        <v>8.5062499999999996</v>
      </c>
      <c r="H1147" t="str">
        <f>IF(E1147&lt;0.05,INT(($A1147-m_phot!$L$4)/m_phot!$L$5),"")</f>
        <v/>
      </c>
      <c r="I1147" t="str">
        <f t="shared" si="39"/>
        <v/>
      </c>
      <c r="J1147">
        <f t="shared" si="38"/>
        <v>-0.41575000000000095</v>
      </c>
    </row>
    <row r="1148" spans="1:10" ht="14.25" customHeight="1" x14ac:dyDescent="0.25">
      <c r="A1148" s="1">
        <v>2457570.5597600001</v>
      </c>
      <c r="B1148" s="1" t="s">
        <v>230</v>
      </c>
      <c r="C1148" s="1">
        <v>8.5154899999999998</v>
      </c>
      <c r="D1148" s="1"/>
      <c r="E1148">
        <f>(A1148-m_phot!L$4)/m_phot!L$5-INT((A1148-m_phot!L$4)/m_phot!L$5)</f>
        <v>0.72389437844469029</v>
      </c>
      <c r="F1148">
        <f t="shared" si="37"/>
        <v>8.5154899999999998</v>
      </c>
      <c r="H1148" t="str">
        <f>IF(E1148&lt;0.05,INT(($A1148-m_phot!$L$4)/m_phot!$L$5),"")</f>
        <v/>
      </c>
      <c r="I1148" t="str">
        <f t="shared" si="39"/>
        <v/>
      </c>
      <c r="J1148">
        <f t="shared" si="38"/>
        <v>-0.40651000000000082</v>
      </c>
    </row>
    <row r="1149" spans="1:10" ht="14.25" customHeight="1" x14ac:dyDescent="0.25">
      <c r="A1149" s="1">
        <v>2457583.8144499999</v>
      </c>
      <c r="B1149" s="1" t="s">
        <v>1490</v>
      </c>
      <c r="C1149" s="1">
        <v>8.5065310000000007</v>
      </c>
      <c r="D1149" s="1"/>
      <c r="E1149">
        <f>(A1149-m_phot!L$4)/m_phot!L$5-INT((A1149-m_phot!L$4)/m_phot!L$5)</f>
        <v>0.74012792406607275</v>
      </c>
      <c r="F1149">
        <f t="shared" si="37"/>
        <v>8.5065310000000007</v>
      </c>
      <c r="H1149" t="str">
        <f>IF(E1149&lt;0.05,INT(($A1149-m_phot!$L$4)/m_phot!$L$5),"")</f>
        <v/>
      </c>
      <c r="I1149" t="str">
        <f t="shared" si="39"/>
        <v/>
      </c>
      <c r="J1149">
        <f t="shared" si="38"/>
        <v>-0.41546899999999987</v>
      </c>
    </row>
    <row r="1150" spans="1:10" ht="14.25" customHeight="1" x14ac:dyDescent="0.25">
      <c r="A1150" s="1">
        <v>2457600.4475699998</v>
      </c>
      <c r="B1150" s="1" t="s">
        <v>248</v>
      </c>
      <c r="C1150" s="1">
        <v>8.5657499999999995</v>
      </c>
      <c r="D1150" s="1"/>
      <c r="E1150">
        <f>(A1150-m_phot!L$4)/m_phot!L$5-INT((A1150-m_phot!L$4)/m_phot!L$5)</f>
        <v>0.76049916717678201</v>
      </c>
      <c r="F1150">
        <f t="shared" si="37"/>
        <v>8.5657499999999995</v>
      </c>
      <c r="H1150" t="str">
        <f>IF(E1150&lt;0.05,INT(($A1150-m_phot!$L$4)/m_phot!$L$5),"")</f>
        <v/>
      </c>
      <c r="I1150" t="str">
        <f t="shared" si="39"/>
        <v/>
      </c>
      <c r="J1150">
        <f t="shared" si="38"/>
        <v>-0.35625000000000107</v>
      </c>
    </row>
    <row r="1151" spans="1:10" ht="14.25" customHeight="1" x14ac:dyDescent="0.25">
      <c r="A1151" s="1">
        <v>2457613.1729299999</v>
      </c>
      <c r="B1151" s="1" t="s">
        <v>253</v>
      </c>
      <c r="C1151" s="1">
        <v>8.6109380000000009</v>
      </c>
      <c r="D1151" s="1"/>
      <c r="E1151">
        <f>(A1151-m_phot!L$4)/m_phot!L$5-INT((A1151-m_phot!L$4)/m_phot!L$5)</f>
        <v>0.77608442131032973</v>
      </c>
      <c r="F1151">
        <f t="shared" si="37"/>
        <v>8.6109380000000009</v>
      </c>
      <c r="H1151" t="str">
        <f>IF(E1151&lt;0.05,INT(($A1151-m_phot!$L$4)/m_phot!$L$5),"")</f>
        <v/>
      </c>
      <c r="I1151" t="str">
        <f t="shared" si="39"/>
        <v/>
      </c>
      <c r="J1151">
        <f t="shared" si="38"/>
        <v>-0.31106199999999973</v>
      </c>
    </row>
    <row r="1152" spans="1:10" ht="14.25" customHeight="1" x14ac:dyDescent="0.25">
      <c r="A1152" s="1">
        <v>2457629.1461399999</v>
      </c>
      <c r="B1152" s="1" t="s">
        <v>1491</v>
      </c>
      <c r="C1152" s="1">
        <v>8.6682570000000005</v>
      </c>
      <c r="D1152" s="1"/>
      <c r="E1152">
        <f>(A1152-m_phot!L$4)/m_phot!L$5-INT((A1152-m_phot!L$4)/m_phot!L$5)</f>
        <v>0.79564744641745477</v>
      </c>
      <c r="F1152">
        <f t="shared" si="37"/>
        <v>8.6682570000000005</v>
      </c>
      <c r="H1152" t="str">
        <f>IF(E1152&lt;0.05,INT(($A1152-m_phot!$L$4)/m_phot!$L$5),"")</f>
        <v/>
      </c>
      <c r="I1152" t="str">
        <f t="shared" si="39"/>
        <v/>
      </c>
      <c r="J1152">
        <f t="shared" si="38"/>
        <v>-0.25374300000000005</v>
      </c>
    </row>
    <row r="1153" spans="1:10" ht="14.25" customHeight="1" x14ac:dyDescent="0.25">
      <c r="A1153" s="1">
        <v>2457642.5937899998</v>
      </c>
      <c r="B1153" s="1" t="s">
        <v>1492</v>
      </c>
      <c r="C1153" s="1">
        <v>8.7186269999999997</v>
      </c>
      <c r="D1153" s="1"/>
      <c r="E1153">
        <f>(A1153-m_phot!L$4)/m_phot!L$5-INT((A1153-m_phot!L$4)/m_phot!L$5)</f>
        <v>0.81211731781976582</v>
      </c>
      <c r="F1153">
        <f t="shared" si="37"/>
        <v>8.7186269999999997</v>
      </c>
      <c r="H1153" t="str">
        <f>IF(E1153&lt;0.05,INT(($A1153-m_phot!$L$4)/m_phot!$L$5),"")</f>
        <v/>
      </c>
      <c r="I1153" t="str">
        <f t="shared" si="39"/>
        <v/>
      </c>
      <c r="J1153">
        <f t="shared" si="38"/>
        <v>-0.20337300000000091</v>
      </c>
    </row>
    <row r="1154" spans="1:10" ht="14.25" customHeight="1" x14ac:dyDescent="0.25">
      <c r="A1154" s="1">
        <v>2457660.66946</v>
      </c>
      <c r="B1154" s="1" t="s">
        <v>1493</v>
      </c>
      <c r="C1154" s="1">
        <v>8.7495159999999998</v>
      </c>
      <c r="D1154" s="1"/>
      <c r="E1154">
        <f>(A1154-m_phot!L$4)/m_phot!L$5-INT((A1154-m_phot!L$4)/m_phot!L$5)</f>
        <v>0.83425530924679236</v>
      </c>
      <c r="F1154">
        <f t="shared" si="37"/>
        <v>8.7495159999999998</v>
      </c>
      <c r="H1154" t="str">
        <f>IF(E1154&lt;0.05,INT(($A1154-m_phot!$L$4)/m_phot!$L$5),"")</f>
        <v/>
      </c>
      <c r="I1154" t="str">
        <f t="shared" si="39"/>
        <v/>
      </c>
      <c r="J1154">
        <f t="shared" si="38"/>
        <v>-0.17248400000000075</v>
      </c>
    </row>
    <row r="1155" spans="1:10" ht="14.25" customHeight="1" x14ac:dyDescent="0.25">
      <c r="A1155" s="1">
        <v>2457675.0156700001</v>
      </c>
      <c r="B1155" s="1" t="s">
        <v>1494</v>
      </c>
      <c r="C1155" s="1">
        <v>8.8403700000000001</v>
      </c>
      <c r="D1155" s="1"/>
      <c r="E1155">
        <f>(A1155-m_phot!L$4)/m_phot!L$5-INT((A1155-m_phot!L$4)/m_phot!L$5)</f>
        <v>0.85182568279254056</v>
      </c>
      <c r="F1155">
        <f t="shared" si="37"/>
        <v>8.8403700000000001</v>
      </c>
      <c r="H1155" t="str">
        <f>IF(E1155&lt;0.05,INT(($A1155-m_phot!$L$4)/m_phot!$L$5),"")</f>
        <v/>
      </c>
      <c r="I1155" t="str">
        <f t="shared" si="39"/>
        <v/>
      </c>
      <c r="J1155">
        <f t="shared" si="38"/>
        <v>-8.1630000000000535E-2</v>
      </c>
    </row>
    <row r="1156" spans="1:10" ht="14.25" customHeight="1" x14ac:dyDescent="0.25">
      <c r="A1156" s="1">
        <v>2457690.0577400001</v>
      </c>
      <c r="B1156" s="1" t="s">
        <v>1495</v>
      </c>
      <c r="C1156" s="1">
        <v>8.8079409999999996</v>
      </c>
      <c r="D1156" s="1"/>
      <c r="E1156">
        <f>(A1156-m_phot!L$4)/m_phot!L$5-INT((A1156-m_phot!L$4)/m_phot!L$5)</f>
        <v>0.87024830373555062</v>
      </c>
      <c r="F1156">
        <f t="shared" si="37"/>
        <v>8.8079409999999996</v>
      </c>
      <c r="H1156" t="str">
        <f>IF(E1156&lt;0.05,INT(($A1156-m_phot!$L$4)/m_phot!$L$5),"")</f>
        <v/>
      </c>
      <c r="I1156" t="str">
        <f t="shared" si="39"/>
        <v/>
      </c>
      <c r="J1156">
        <f t="shared" si="38"/>
        <v>-0.11405900000000102</v>
      </c>
    </row>
    <row r="1157" spans="1:10" ht="14.25" customHeight="1" x14ac:dyDescent="0.25">
      <c r="A1157" s="1">
        <v>2457705.53204</v>
      </c>
      <c r="B1157" s="1" t="s">
        <v>1496</v>
      </c>
      <c r="C1157" s="1">
        <v>8.8037039999999998</v>
      </c>
      <c r="D1157" s="1"/>
      <c r="E1157">
        <f>(A1157-m_phot!L$4)/m_phot!L$5-INT((A1157-m_phot!L$4)/m_phot!L$5)</f>
        <v>0.88920029393749189</v>
      </c>
      <c r="F1157">
        <f t="shared" si="37"/>
        <v>8.8037039999999998</v>
      </c>
      <c r="H1157" t="str">
        <f>IF(E1157&lt;0.05,INT(($A1157-m_phot!$L$4)/m_phot!$L$5),"")</f>
        <v/>
      </c>
      <c r="I1157" t="str">
        <f t="shared" si="39"/>
        <v/>
      </c>
      <c r="J1157">
        <f t="shared" si="38"/>
        <v>-0.11829600000000084</v>
      </c>
    </row>
    <row r="1158" spans="1:10" ht="14.25" customHeight="1" x14ac:dyDescent="0.25">
      <c r="A1158" s="1">
        <v>2457721.70138</v>
      </c>
      <c r="B1158" s="1" t="s">
        <v>1497</v>
      </c>
      <c r="C1158" s="1">
        <v>8.7956819999999993</v>
      </c>
      <c r="D1158" s="1"/>
      <c r="E1158">
        <f>(A1158-m_phot!L$4)/m_phot!L$5-INT((A1158-m_phot!L$4)/m_phot!L$5)</f>
        <v>0.90900352725044087</v>
      </c>
      <c r="F1158">
        <f t="shared" si="37"/>
        <v>8.7956819999999993</v>
      </c>
      <c r="H1158" t="str">
        <f>IF(E1158&lt;0.05,INT(($A1158-m_phot!$L$4)/m_phot!$L$5),"")</f>
        <v/>
      </c>
      <c r="I1158" t="str">
        <f t="shared" si="39"/>
        <v/>
      </c>
      <c r="J1158">
        <f t="shared" si="38"/>
        <v>-0.12631800000000126</v>
      </c>
    </row>
    <row r="1159" spans="1:10" ht="14.25" customHeight="1" x14ac:dyDescent="0.25">
      <c r="A1159" s="1">
        <v>2457736.6461</v>
      </c>
      <c r="B1159" s="1" t="s">
        <v>1498</v>
      </c>
      <c r="C1159" s="1">
        <v>8.83</v>
      </c>
      <c r="D1159" s="1"/>
      <c r="E1159">
        <f>(A1159-m_phot!L$4)/m_phot!L$5-INT((A1159-m_phot!L$4)/m_phot!L$5)</f>
        <v>0.9273069197795607</v>
      </c>
      <c r="F1159">
        <f t="shared" si="37"/>
        <v>8.83</v>
      </c>
      <c r="H1159" t="str">
        <f>IF(E1159&lt;0.05,INT(($A1159-m_phot!$L$4)/m_phot!$L$5),"")</f>
        <v/>
      </c>
      <c r="I1159" t="str">
        <f t="shared" si="39"/>
        <v/>
      </c>
      <c r="J1159">
        <f t="shared" si="38"/>
        <v>-9.2000000000000526E-2</v>
      </c>
    </row>
    <row r="1160" spans="1:10" ht="14.25" customHeight="1" x14ac:dyDescent="0.25">
      <c r="A1160" s="1">
        <v>2457750.1357800001</v>
      </c>
      <c r="B1160" s="1" t="s">
        <v>1499</v>
      </c>
      <c r="C1160" s="1">
        <v>8.8611109999999993</v>
      </c>
      <c r="D1160" s="1"/>
      <c r="E1160">
        <f>(A1160-m_phot!L$4)/m_phot!L$5-INT((A1160-m_phot!L$4)/m_phot!L$5)</f>
        <v>0.94382826699342104</v>
      </c>
      <c r="F1160">
        <f t="shared" si="37"/>
        <v>8.8611109999999993</v>
      </c>
      <c r="H1160" t="str">
        <f>IF(E1160&lt;0.05,INT(($A1160-m_phot!$L$4)/m_phot!$L$5),"")</f>
        <v/>
      </c>
      <c r="I1160" t="str">
        <f t="shared" si="39"/>
        <v/>
      </c>
      <c r="J1160">
        <f t="shared" si="38"/>
        <v>-6.0889000000001303E-2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8"/>
  <dimension ref="A1"/>
  <sheetViews>
    <sheetView workbookViewId="0">
      <selection activeCell="G27" sqref="G27"/>
    </sheetView>
  </sheetViews>
  <sheetFormatPr baseColWidth="10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9"/>
  <dimension ref="A1:R380"/>
  <sheetViews>
    <sheetView workbookViewId="0">
      <selection activeCell="F9" sqref="F9"/>
    </sheetView>
  </sheetViews>
  <sheetFormatPr baseColWidth="10" defaultRowHeight="15" x14ac:dyDescent="0.25"/>
  <cols>
    <col min="1" max="3" width="23.140625" customWidth="1"/>
  </cols>
  <sheetData>
    <row r="1" spans="1:18" x14ac:dyDescent="0.25">
      <c r="A1" s="1">
        <v>2455779.4236099999</v>
      </c>
      <c r="B1" s="1" t="s">
        <v>1518</v>
      </c>
      <c r="C1" s="1">
        <v>1.23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spans="1:18" x14ac:dyDescent="0.25">
      <c r="A2" s="1">
        <v>2455792.3715300001</v>
      </c>
      <c r="B2" s="1" t="s">
        <v>1519</v>
      </c>
      <c r="C2" s="1">
        <v>1.208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</row>
    <row r="3" spans="1:18" x14ac:dyDescent="0.25">
      <c r="A3" s="1">
        <v>2455794.3680599998</v>
      </c>
      <c r="B3" s="1" t="s">
        <v>1520</v>
      </c>
      <c r="C3" s="1">
        <v>1.244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</row>
    <row r="4" spans="1:18" x14ac:dyDescent="0.25">
      <c r="A4" s="1">
        <v>2455797.3562500002</v>
      </c>
      <c r="B4" s="1" t="s">
        <v>1407</v>
      </c>
      <c r="C4" s="1">
        <v>1.202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1:18" x14ac:dyDescent="0.25">
      <c r="A5" s="1">
        <v>2455799.3888900001</v>
      </c>
      <c r="B5" s="1" t="s">
        <v>1521</v>
      </c>
      <c r="C5" s="1">
        <v>1.19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</row>
    <row r="6" spans="1:18" x14ac:dyDescent="0.25">
      <c r="A6" s="1">
        <v>2455802.4131900002</v>
      </c>
      <c r="B6" s="1" t="s">
        <v>1584</v>
      </c>
      <c r="C6" s="1">
        <v>1.1499999999999999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</row>
    <row r="7" spans="1:18" x14ac:dyDescent="0.25">
      <c r="A7" s="1">
        <v>2455803.3895800002</v>
      </c>
      <c r="B7" s="1" t="s">
        <v>1522</v>
      </c>
      <c r="C7" s="1">
        <v>1.19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</row>
    <row r="8" spans="1:18" x14ac:dyDescent="0.25">
      <c r="A8" s="1">
        <v>2455820.8142400002</v>
      </c>
      <c r="B8" s="1" t="s">
        <v>1585</v>
      </c>
      <c r="C8" s="1">
        <v>1.33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</row>
    <row r="9" spans="1:18" x14ac:dyDescent="0.25">
      <c r="A9" s="1">
        <v>2455821.7968799998</v>
      </c>
      <c r="B9" s="1" t="s">
        <v>1525</v>
      </c>
      <c r="C9" s="1">
        <v>1.2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</row>
    <row r="10" spans="1:18" x14ac:dyDescent="0.25">
      <c r="A10" s="1">
        <v>2456106.4319000002</v>
      </c>
      <c r="B10" s="1" t="s">
        <v>1542</v>
      </c>
      <c r="C10" s="1">
        <v>1.24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</row>
    <row r="11" spans="1:18" x14ac:dyDescent="0.25">
      <c r="A11" s="1">
        <v>2456109.4451000001</v>
      </c>
      <c r="B11" s="1" t="s">
        <v>1543</v>
      </c>
      <c r="C11" s="1">
        <v>1.24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</row>
    <row r="12" spans="1:18" x14ac:dyDescent="0.25">
      <c r="A12" s="1">
        <v>2456124.4042000002</v>
      </c>
      <c r="B12" s="1" t="s">
        <v>1544</v>
      </c>
      <c r="C12" s="1">
        <v>1.31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</row>
    <row r="13" spans="1:18" x14ac:dyDescent="0.25">
      <c r="A13" s="1">
        <v>2456127.4201000002</v>
      </c>
      <c r="B13" s="1" t="s">
        <v>1545</v>
      </c>
      <c r="C13" s="1">
        <v>1.3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</row>
    <row r="14" spans="1:18" x14ac:dyDescent="0.25">
      <c r="A14" s="1">
        <v>2456137.4103999999</v>
      </c>
      <c r="B14" s="1" t="s">
        <v>1586</v>
      </c>
      <c r="C14" s="1">
        <v>1.31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</row>
    <row r="15" spans="1:18" x14ac:dyDescent="0.25">
      <c r="A15" s="1">
        <v>2456138.4021000001</v>
      </c>
      <c r="B15" s="1" t="s">
        <v>1546</v>
      </c>
      <c r="C15" s="1">
        <v>1.31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spans="1:18" x14ac:dyDescent="0.25">
      <c r="A16" s="1">
        <v>2456139.4056000002</v>
      </c>
      <c r="B16" s="1" t="s">
        <v>1547</v>
      </c>
      <c r="C16" s="1">
        <v>1.28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spans="1:18" x14ac:dyDescent="0.25">
      <c r="A17" s="1">
        <v>2456147.3604000001</v>
      </c>
      <c r="B17" s="1" t="s">
        <v>1548</v>
      </c>
      <c r="C17" s="1">
        <v>1.26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spans="1:18" x14ac:dyDescent="0.25">
      <c r="A18" s="1">
        <v>2456148.4312999998</v>
      </c>
      <c r="B18" s="1" t="s">
        <v>1587</v>
      </c>
      <c r="C18" s="1">
        <v>1.31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spans="1:18" x14ac:dyDescent="0.25">
      <c r="A19" s="1">
        <v>2456149.375</v>
      </c>
      <c r="B19" s="1" t="s">
        <v>1427</v>
      </c>
      <c r="C19" s="1">
        <v>1.26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spans="1:18" x14ac:dyDescent="0.25">
      <c r="A20" s="1">
        <v>2456150.4097000002</v>
      </c>
      <c r="B20" s="1" t="s">
        <v>1588</v>
      </c>
      <c r="C20" s="1">
        <v>1.29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spans="1:18" x14ac:dyDescent="0.25">
      <c r="A21" s="1">
        <v>2456151.3923999998</v>
      </c>
      <c r="B21" s="1" t="s">
        <v>1549</v>
      </c>
      <c r="C21" s="1">
        <v>1.28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spans="1:18" x14ac:dyDescent="0.25">
      <c r="A22" s="1">
        <v>2456154.3854</v>
      </c>
      <c r="B22" s="1" t="s">
        <v>1550</v>
      </c>
      <c r="C22" s="1">
        <v>1.32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spans="1:18" x14ac:dyDescent="0.25">
      <c r="A23" s="1">
        <v>2456157.3639000002</v>
      </c>
      <c r="B23" s="1" t="s">
        <v>1551</v>
      </c>
      <c r="C23" s="1">
        <v>1.31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spans="1:18" x14ac:dyDescent="0.25">
      <c r="A24" s="1">
        <v>2456163.3541999999</v>
      </c>
      <c r="B24" s="1" t="s">
        <v>1552</v>
      </c>
      <c r="C24" s="1">
        <v>1.21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spans="1:18" x14ac:dyDescent="0.25">
      <c r="A25" s="1">
        <v>2456167.3958000001</v>
      </c>
      <c r="B25" s="1" t="s">
        <v>1553</v>
      </c>
      <c r="C25" s="1">
        <v>1.22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spans="1:18" x14ac:dyDescent="0.25">
      <c r="A26" s="1">
        <v>2456179.3478999999</v>
      </c>
      <c r="B26" s="1" t="s">
        <v>1556</v>
      </c>
      <c r="C26" s="1">
        <v>1.33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spans="1:18" x14ac:dyDescent="0.25">
      <c r="A27" s="1">
        <v>2456185.3424</v>
      </c>
      <c r="B27" s="1" t="s">
        <v>1558</v>
      </c>
      <c r="C27" s="1">
        <v>1.27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spans="1:18" x14ac:dyDescent="0.25">
      <c r="A28" s="1">
        <v>2456224.3221999998</v>
      </c>
      <c r="B28" s="1" t="s">
        <v>1559</v>
      </c>
      <c r="C28" s="1">
        <v>1.4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spans="1:18" x14ac:dyDescent="0.25">
      <c r="A29" s="1">
        <v>2456239.2020999999</v>
      </c>
      <c r="B29" s="1" t="s">
        <v>1560</v>
      </c>
      <c r="C29" s="1">
        <v>1.37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spans="1:18" x14ac:dyDescent="0.25">
      <c r="A30" s="1">
        <v>2456247.1985999998</v>
      </c>
      <c r="B30" s="1" t="s">
        <v>1561</v>
      </c>
      <c r="C30" s="1">
        <v>1.34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spans="1:18" x14ac:dyDescent="0.25">
      <c r="A31" s="1">
        <v>2456248.2256999998</v>
      </c>
      <c r="B31" s="1" t="s">
        <v>1562</v>
      </c>
      <c r="C31" s="1">
        <v>1.35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spans="1:18" x14ac:dyDescent="0.25">
      <c r="A32" s="1">
        <v>2456463.4583000001</v>
      </c>
      <c r="B32" s="1" t="s">
        <v>1563</v>
      </c>
      <c r="C32" s="1">
        <v>1.22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spans="1:18" x14ac:dyDescent="0.25">
      <c r="A33" s="1">
        <v>2456476.4333000001</v>
      </c>
      <c r="B33" s="1" t="s">
        <v>1564</v>
      </c>
      <c r="C33" s="1">
        <v>1.2270000000000001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spans="1:18" x14ac:dyDescent="0.25">
      <c r="A34" s="1">
        <v>2456488.4312999998</v>
      </c>
      <c r="B34" s="1" t="s">
        <v>1565</v>
      </c>
      <c r="C34" s="1">
        <v>1.2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spans="1:18" x14ac:dyDescent="0.25">
      <c r="A35" s="1">
        <v>2456500.3958000001</v>
      </c>
      <c r="B35" s="1" t="s">
        <v>1566</v>
      </c>
      <c r="C35" s="1">
        <v>1.22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spans="1:18" x14ac:dyDescent="0.25">
      <c r="A36" s="1">
        <v>2456505.3958000001</v>
      </c>
      <c r="B36" s="1" t="s">
        <v>1567</v>
      </c>
      <c r="C36" s="1">
        <v>1.18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spans="1:18" x14ac:dyDescent="0.25">
      <c r="A37" s="1">
        <v>2456516.3958000001</v>
      </c>
      <c r="B37" s="1" t="s">
        <v>1570</v>
      </c>
      <c r="C37" s="1">
        <v>1.1299999999999999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spans="1:18" x14ac:dyDescent="0.25">
      <c r="A38" s="1">
        <v>2456521.3958000001</v>
      </c>
      <c r="B38" s="1" t="s">
        <v>1571</v>
      </c>
      <c r="C38" s="1">
        <v>1.091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spans="1:18" x14ac:dyDescent="0.25">
      <c r="A39" s="1">
        <v>2456536.3958000001</v>
      </c>
      <c r="B39" s="1" t="s">
        <v>1573</v>
      </c>
      <c r="C39" s="1">
        <v>1.22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</row>
    <row r="40" spans="1:18" x14ac:dyDescent="0.25">
      <c r="A40" s="1">
        <v>2456538.3958000001</v>
      </c>
      <c r="B40" s="1" t="s">
        <v>1448</v>
      </c>
      <c r="C40" s="1">
        <v>1.1890000000000001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spans="1:18" x14ac:dyDescent="0.25">
      <c r="A41" s="1">
        <v>2456559.3368000002</v>
      </c>
      <c r="B41" s="1" t="s">
        <v>1576</v>
      </c>
      <c r="C41" s="1">
        <v>1.1299999999999999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spans="1:18" x14ac:dyDescent="0.25">
      <c r="A42" s="1">
        <v>2456605.2083000001</v>
      </c>
      <c r="B42" s="1" t="s">
        <v>105</v>
      </c>
      <c r="C42" s="1">
        <v>1.0329999999999999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spans="1:18" x14ac:dyDescent="0.25">
      <c r="A43" s="1">
        <v>2456611.6142199999</v>
      </c>
      <c r="B43" s="1" t="s">
        <v>107</v>
      </c>
      <c r="C43" s="1">
        <v>1.0740000000000001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spans="1:18" x14ac:dyDescent="0.25">
      <c r="A44" s="1">
        <v>2456613.6151000001</v>
      </c>
      <c r="B44" s="1" t="s">
        <v>108</v>
      </c>
      <c r="C44" s="1">
        <v>1.046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spans="1:18" x14ac:dyDescent="0.25">
      <c r="A45" s="1">
        <v>2456615.6011800002</v>
      </c>
      <c r="B45" s="1" t="s">
        <v>109</v>
      </c>
      <c r="C45" s="1">
        <v>1.077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spans="1:18" x14ac:dyDescent="0.25">
      <c r="A46" s="1">
        <v>2456616.5986700002</v>
      </c>
      <c r="B46" s="1" t="s">
        <v>110</v>
      </c>
      <c r="C46" s="1">
        <v>1.07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spans="1:18" x14ac:dyDescent="0.25">
      <c r="A47" s="1">
        <v>2456617.5966599998</v>
      </c>
      <c r="B47" s="1" t="s">
        <v>111</v>
      </c>
      <c r="C47" s="1">
        <v>1.036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spans="1:18" x14ac:dyDescent="0.25">
      <c r="A48" s="1">
        <v>2456687.75177</v>
      </c>
      <c r="B48" s="1" t="s">
        <v>114</v>
      </c>
      <c r="C48" s="1">
        <v>1.022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spans="1:18" x14ac:dyDescent="0.25">
      <c r="A49" s="1">
        <v>2456764.87953</v>
      </c>
      <c r="B49" s="1" t="s">
        <v>115</v>
      </c>
      <c r="C49" s="1">
        <v>0.96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spans="1:18" x14ac:dyDescent="0.25">
      <c r="A50" s="1">
        <v>2456896.7162700002</v>
      </c>
      <c r="B50" s="1" t="s">
        <v>117</v>
      </c>
      <c r="C50" s="1">
        <v>1.117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spans="1:18" x14ac:dyDescent="0.25">
      <c r="A51" s="1">
        <v>2456898.3333000001</v>
      </c>
      <c r="B51" s="1" t="s">
        <v>118</v>
      </c>
      <c r="C51" s="1">
        <v>1.1000000000000001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spans="1:18" x14ac:dyDescent="0.25">
      <c r="A52" s="1">
        <v>2456898.7217700002</v>
      </c>
      <c r="B52" s="1" t="s">
        <v>119</v>
      </c>
      <c r="C52" s="1">
        <v>1.153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spans="1:18" x14ac:dyDescent="0.25">
      <c r="A53" s="1">
        <v>2456902.7019000002</v>
      </c>
      <c r="B53" s="1" t="s">
        <v>120</v>
      </c>
      <c r="C53" s="1">
        <v>1.1299999999999999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spans="1:18" x14ac:dyDescent="0.25">
      <c r="A54" s="1">
        <v>2456904.6678200001</v>
      </c>
      <c r="B54" s="1" t="s">
        <v>121</v>
      </c>
      <c r="C54" s="1">
        <v>1.115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spans="1:18" x14ac:dyDescent="0.25">
      <c r="A55" s="1">
        <v>2456913.66928</v>
      </c>
      <c r="B55" s="1" t="s">
        <v>123</v>
      </c>
      <c r="C55" s="1">
        <v>1.105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spans="1:18" x14ac:dyDescent="0.25">
      <c r="A56" s="1">
        <v>2456915.3333000001</v>
      </c>
      <c r="B56" s="1" t="s">
        <v>124</v>
      </c>
      <c r="C56" s="1">
        <v>0.97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</row>
    <row r="57" spans="1:18" x14ac:dyDescent="0.25">
      <c r="A57" s="1">
        <v>2456918.6744300001</v>
      </c>
      <c r="B57" s="1" t="s">
        <v>125</v>
      </c>
      <c r="C57" s="1">
        <v>1.0649999999999999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</row>
    <row r="58" spans="1:18" x14ac:dyDescent="0.25">
      <c r="A58" s="1">
        <v>2456920.6946999999</v>
      </c>
      <c r="B58" s="1" t="s">
        <v>126</v>
      </c>
      <c r="C58" s="1">
        <v>1.0369999999999999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</row>
    <row r="59" spans="1:18" x14ac:dyDescent="0.25">
      <c r="A59" s="1">
        <v>2456923.6792100002</v>
      </c>
      <c r="B59" s="1" t="s">
        <v>127</v>
      </c>
      <c r="C59" s="1">
        <v>1.0940000000000001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</row>
    <row r="60" spans="1:18" x14ac:dyDescent="0.25">
      <c r="A60" s="1">
        <v>2456924.6627500001</v>
      </c>
      <c r="B60" s="1" t="s">
        <v>128</v>
      </c>
      <c r="C60" s="1">
        <v>1.085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</row>
    <row r="61" spans="1:18" x14ac:dyDescent="0.25">
      <c r="A61" s="1">
        <v>2456927.6010799999</v>
      </c>
      <c r="B61" s="1" t="s">
        <v>129</v>
      </c>
      <c r="C61" s="1">
        <v>1.095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</row>
    <row r="62" spans="1:18" x14ac:dyDescent="0.25">
      <c r="A62" s="1">
        <v>2456928.3541999999</v>
      </c>
      <c r="B62" s="1" t="s">
        <v>129</v>
      </c>
      <c r="C62" s="1">
        <v>1.06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spans="1:18" x14ac:dyDescent="0.25">
      <c r="A63" s="1">
        <v>2456928.5967199998</v>
      </c>
      <c r="B63" s="1" t="s">
        <v>130</v>
      </c>
      <c r="C63" s="1">
        <v>1.089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spans="1:18" x14ac:dyDescent="0.25">
      <c r="A64" s="1">
        <v>2456929.6037699999</v>
      </c>
      <c r="B64" s="1" t="s">
        <v>131</v>
      </c>
      <c r="C64" s="1">
        <v>1.08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spans="1:18" x14ac:dyDescent="0.25">
      <c r="A65" s="1">
        <v>2456936.5840400001</v>
      </c>
      <c r="B65" s="1" t="s">
        <v>132</v>
      </c>
      <c r="C65" s="1">
        <v>1.1319999999999999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spans="1:18" x14ac:dyDescent="0.25">
      <c r="A66" s="1">
        <v>2456937.5819999999</v>
      </c>
      <c r="B66" s="1" t="s">
        <v>133</v>
      </c>
      <c r="C66" s="1">
        <v>1.127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spans="1:18" x14ac:dyDescent="0.25">
      <c r="A67" s="1">
        <v>2456939.5918100001</v>
      </c>
      <c r="B67" s="1" t="s">
        <v>134</v>
      </c>
      <c r="C67" s="1">
        <v>1.107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spans="1:18" x14ac:dyDescent="0.25">
      <c r="A68" s="1">
        <v>2456940.6616799999</v>
      </c>
      <c r="B68" s="1" t="s">
        <v>135</v>
      </c>
      <c r="C68" s="1">
        <v>1.107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</row>
    <row r="69" spans="1:18" x14ac:dyDescent="0.25">
      <c r="A69" s="1">
        <v>2456943.58727</v>
      </c>
      <c r="B69" s="1" t="s">
        <v>136</v>
      </c>
      <c r="C69" s="1">
        <v>1.077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</row>
    <row r="70" spans="1:18" x14ac:dyDescent="0.25">
      <c r="A70" s="1">
        <v>2456945.5534999999</v>
      </c>
      <c r="B70" s="1" t="s">
        <v>137</v>
      </c>
      <c r="C70" s="1">
        <v>1.089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</row>
    <row r="71" spans="1:18" x14ac:dyDescent="0.25">
      <c r="A71" s="1">
        <v>2456948.5451000002</v>
      </c>
      <c r="B71" s="1" t="s">
        <v>138</v>
      </c>
      <c r="C71" s="1">
        <v>1.0840000000000001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spans="1:18" x14ac:dyDescent="0.25">
      <c r="A72" s="1">
        <v>2456957.5213700002</v>
      </c>
      <c r="B72" s="1" t="s">
        <v>139</v>
      </c>
      <c r="C72" s="1">
        <v>1.075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</row>
    <row r="73" spans="1:18" x14ac:dyDescent="0.25">
      <c r="A73" s="1">
        <v>2457006.4569999999</v>
      </c>
      <c r="B73" s="1" t="s">
        <v>140</v>
      </c>
      <c r="C73" s="1">
        <v>1.159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</row>
    <row r="74" spans="1:18" x14ac:dyDescent="0.25">
      <c r="A74" s="1">
        <v>2457007.4951900002</v>
      </c>
      <c r="B74" s="1" t="s">
        <v>141</v>
      </c>
      <c r="C74" s="1">
        <v>1.105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</row>
    <row r="75" spans="1:18" x14ac:dyDescent="0.25">
      <c r="A75" s="1">
        <v>2457018.4552099998</v>
      </c>
      <c r="B75" s="1" t="s">
        <v>4</v>
      </c>
      <c r="C75" s="1">
        <v>1.119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</row>
    <row r="76" spans="1:18" x14ac:dyDescent="0.25">
      <c r="A76" s="1">
        <v>2457019.4591899998</v>
      </c>
      <c r="B76" s="1" t="s">
        <v>6</v>
      </c>
      <c r="C76" s="1">
        <v>1.137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spans="1:18" x14ac:dyDescent="0.25">
      <c r="A77" s="1">
        <v>2457021.4564499999</v>
      </c>
      <c r="B77" s="1" t="s">
        <v>7</v>
      </c>
      <c r="C77" s="1">
        <v>1.1080000000000001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spans="1:18" x14ac:dyDescent="0.25">
      <c r="A78" s="1">
        <v>2457022.4508199999</v>
      </c>
      <c r="B78" s="1" t="s">
        <v>8</v>
      </c>
      <c r="C78" s="1">
        <v>1.1220000000000001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</row>
    <row r="79" spans="1:18" x14ac:dyDescent="0.25">
      <c r="A79" s="1">
        <v>2457023.4454000001</v>
      </c>
      <c r="B79" s="1" t="s">
        <v>9</v>
      </c>
      <c r="C79" s="1">
        <v>1.1970000000000001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spans="1:18" x14ac:dyDescent="0.25">
      <c r="A80" s="1">
        <v>2457024.45077</v>
      </c>
      <c r="B80" s="1" t="s">
        <v>10</v>
      </c>
      <c r="C80" s="1">
        <v>1.083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</row>
    <row r="81" spans="1:18" x14ac:dyDescent="0.25">
      <c r="A81" s="1">
        <v>2457025.4514500001</v>
      </c>
      <c r="B81" s="1" t="s">
        <v>11</v>
      </c>
      <c r="C81" s="1">
        <v>1.119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spans="1:18" x14ac:dyDescent="0.25">
      <c r="A82" s="1">
        <v>2457028.4524599998</v>
      </c>
      <c r="B82" s="1" t="s">
        <v>12</v>
      </c>
      <c r="C82" s="1">
        <v>1.056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</row>
    <row r="83" spans="1:18" x14ac:dyDescent="0.25">
      <c r="A83" s="1">
        <v>2457124.8841900001</v>
      </c>
      <c r="B83" s="1" t="s">
        <v>14</v>
      </c>
      <c r="C83" s="1">
        <v>1.0389999999999999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spans="1:18" x14ac:dyDescent="0.25">
      <c r="A84" s="1">
        <v>2457128.87892</v>
      </c>
      <c r="B84" s="1" t="s">
        <v>20</v>
      </c>
      <c r="C84" s="1">
        <v>1.0640000000000001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</row>
    <row r="85" spans="1:18" x14ac:dyDescent="0.25">
      <c r="A85" s="1">
        <v>2457130.8763799998</v>
      </c>
      <c r="B85" s="1" t="s">
        <v>0</v>
      </c>
      <c r="C85" s="1">
        <v>1.0489999999999999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</row>
    <row r="86" spans="1:18" x14ac:dyDescent="0.25">
      <c r="A86" s="1">
        <v>2457156.8368799998</v>
      </c>
      <c r="B86" s="1" t="s">
        <v>25</v>
      </c>
      <c r="C86" s="1">
        <v>1.1719999999999999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</row>
    <row r="87" spans="1:18" x14ac:dyDescent="0.25">
      <c r="A87" s="1">
        <v>2457157.8372900002</v>
      </c>
      <c r="B87" s="1" t="s">
        <v>26</v>
      </c>
      <c r="C87" s="1">
        <v>1.143</v>
      </c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</row>
    <row r="88" spans="1:18" x14ac:dyDescent="0.25">
      <c r="A88" s="1">
        <v>2457163.8278600001</v>
      </c>
      <c r="B88" s="1" t="s">
        <v>15</v>
      </c>
      <c r="C88" s="1">
        <v>1.1559999999999999</v>
      </c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</row>
    <row r="89" spans="1:18" x14ac:dyDescent="0.25">
      <c r="A89" s="1">
        <v>2457165.8193799998</v>
      </c>
      <c r="B89" s="1" t="s">
        <v>21</v>
      </c>
      <c r="C89" s="1">
        <v>1.222</v>
      </c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</row>
    <row r="90" spans="1:18" x14ac:dyDescent="0.25">
      <c r="A90" s="1">
        <v>2457166.8284900002</v>
      </c>
      <c r="B90" s="1" t="s">
        <v>17</v>
      </c>
      <c r="C90" s="1">
        <v>1.129</v>
      </c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</row>
    <row r="91" spans="1:18" x14ac:dyDescent="0.25">
      <c r="A91" s="1">
        <v>2457180.8183400002</v>
      </c>
      <c r="B91" s="1" t="s">
        <v>22</v>
      </c>
      <c r="C91" s="1">
        <v>1.109</v>
      </c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</row>
    <row r="92" spans="1:18" x14ac:dyDescent="0.25">
      <c r="A92" s="1">
        <v>2457187.8084399998</v>
      </c>
      <c r="B92" s="1" t="s">
        <v>18</v>
      </c>
      <c r="C92" s="1">
        <v>0.77800000000000002</v>
      </c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</row>
    <row r="93" spans="1:18" x14ac:dyDescent="0.25">
      <c r="A93" s="1">
        <v>2457195.7113999999</v>
      </c>
      <c r="B93" s="1" t="s">
        <v>19</v>
      </c>
      <c r="C93" s="1">
        <v>0.59099999999999997</v>
      </c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spans="1:18" x14ac:dyDescent="0.25">
      <c r="A94" s="1">
        <v>2457195.7245</v>
      </c>
      <c r="B94" s="1" t="s">
        <v>19</v>
      </c>
      <c r="C94" s="1">
        <v>0.57499999999999996</v>
      </c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</row>
    <row r="95" spans="1:18" x14ac:dyDescent="0.25">
      <c r="A95" s="1">
        <v>2457197.7144300002</v>
      </c>
      <c r="B95" s="1" t="s">
        <v>27</v>
      </c>
      <c r="C95" s="1">
        <v>0.60099999999999998</v>
      </c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</row>
    <row r="96" spans="1:18" x14ac:dyDescent="0.25">
      <c r="A96" s="1">
        <v>2457197.7182999998</v>
      </c>
      <c r="B96" s="1" t="s">
        <v>27</v>
      </c>
      <c r="C96" s="1">
        <v>0.58899999999999997</v>
      </c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</row>
    <row r="97" spans="1:18" x14ac:dyDescent="0.25">
      <c r="A97" s="1">
        <v>2457197.7278</v>
      </c>
      <c r="B97" s="1" t="s">
        <v>27</v>
      </c>
      <c r="C97" s="1">
        <v>0.59299999999999997</v>
      </c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</row>
    <row r="98" spans="1:18" x14ac:dyDescent="0.25">
      <c r="A98" s="1">
        <v>2457198.5463</v>
      </c>
      <c r="B98" s="1" t="s">
        <v>28</v>
      </c>
      <c r="C98" s="1">
        <v>0.73</v>
      </c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</row>
    <row r="99" spans="1:18" x14ac:dyDescent="0.25">
      <c r="A99" s="1">
        <v>2457198.6181899998</v>
      </c>
      <c r="B99" s="1" t="s">
        <v>28</v>
      </c>
      <c r="C99" s="1">
        <v>0.56899999999999995</v>
      </c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</row>
    <row r="100" spans="1:18" x14ac:dyDescent="0.25">
      <c r="A100" s="1">
        <v>2457198.6196599999</v>
      </c>
      <c r="B100" s="1" t="s">
        <v>28</v>
      </c>
      <c r="C100" s="1">
        <v>0.54600000000000004</v>
      </c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</row>
    <row r="101" spans="1:18" x14ac:dyDescent="0.25">
      <c r="A101" s="1">
        <v>2457198.6205199999</v>
      </c>
      <c r="B101" s="1" t="s">
        <v>28</v>
      </c>
      <c r="C101" s="1">
        <v>0.56000000000000005</v>
      </c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</row>
    <row r="102" spans="1:18" x14ac:dyDescent="0.25">
      <c r="A102" s="1">
        <v>2457198.6213799999</v>
      </c>
      <c r="B102" s="1" t="s">
        <v>28</v>
      </c>
      <c r="C102" s="1">
        <v>0.57899999999999996</v>
      </c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</row>
    <row r="103" spans="1:18" x14ac:dyDescent="0.25">
      <c r="A103" s="1">
        <v>2457198.6226599999</v>
      </c>
      <c r="B103" s="1" t="s">
        <v>28</v>
      </c>
      <c r="C103" s="1">
        <v>0.55900000000000005</v>
      </c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</row>
    <row r="104" spans="1:18" x14ac:dyDescent="0.25">
      <c r="A104" s="1">
        <v>2457198.6235099998</v>
      </c>
      <c r="B104" s="1" t="s">
        <v>28</v>
      </c>
      <c r="C104" s="1">
        <v>0.64600000000000002</v>
      </c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</row>
    <row r="105" spans="1:18" x14ac:dyDescent="0.25">
      <c r="A105" s="1">
        <v>2457198.6247899998</v>
      </c>
      <c r="B105" s="1" t="s">
        <v>28</v>
      </c>
      <c r="C105" s="1">
        <v>0.60599999999999998</v>
      </c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</row>
    <row r="106" spans="1:18" x14ac:dyDescent="0.25">
      <c r="A106" s="1">
        <v>2457198.6256499998</v>
      </c>
      <c r="B106" s="1" t="s">
        <v>28</v>
      </c>
      <c r="C106" s="1">
        <v>0.63800000000000001</v>
      </c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</row>
    <row r="107" spans="1:18" x14ac:dyDescent="0.25">
      <c r="A107" s="1">
        <v>2457198.6265199999</v>
      </c>
      <c r="B107" s="1" t="s">
        <v>28</v>
      </c>
      <c r="C107" s="1">
        <v>0.60799999999999998</v>
      </c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</row>
    <row r="108" spans="1:18" x14ac:dyDescent="0.25">
      <c r="A108" s="1">
        <v>2457198.6951799998</v>
      </c>
      <c r="B108" s="1" t="s">
        <v>28</v>
      </c>
      <c r="C108" s="1">
        <v>0.61899999999999999</v>
      </c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</row>
    <row r="109" spans="1:18" x14ac:dyDescent="0.25">
      <c r="A109" s="1">
        <v>2457199.6315600001</v>
      </c>
      <c r="B109" s="1" t="s">
        <v>29</v>
      </c>
      <c r="C109" s="1">
        <v>0.74570000000000003</v>
      </c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</row>
    <row r="110" spans="1:18" x14ac:dyDescent="0.25">
      <c r="A110" s="1">
        <v>2457200.68928</v>
      </c>
      <c r="B110" s="1" t="s">
        <v>30</v>
      </c>
      <c r="C110" s="1">
        <v>0.60099999999999998</v>
      </c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</row>
    <row r="111" spans="1:18" x14ac:dyDescent="0.25">
      <c r="A111" s="1">
        <v>2457201.6310299998</v>
      </c>
      <c r="B111" s="1" t="s">
        <v>31</v>
      </c>
      <c r="C111" s="1">
        <v>0.85899999999999999</v>
      </c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</row>
    <row r="112" spans="1:18" x14ac:dyDescent="0.25">
      <c r="A112" s="1">
        <v>2457202.75654</v>
      </c>
      <c r="B112" s="1" t="s">
        <v>32</v>
      </c>
      <c r="C112" s="1">
        <v>0.63400000000000001</v>
      </c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</row>
    <row r="113" spans="1:18" x14ac:dyDescent="0.25">
      <c r="A113" s="1">
        <v>2457203.6447600001</v>
      </c>
      <c r="B113" s="1" t="s">
        <v>33</v>
      </c>
      <c r="C113" s="1">
        <v>0.78269999999999995</v>
      </c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</row>
    <row r="114" spans="1:18" x14ac:dyDescent="0.25">
      <c r="A114" s="1">
        <v>2457204.6444199998</v>
      </c>
      <c r="B114" s="1" t="s">
        <v>34</v>
      </c>
      <c r="C114" s="1">
        <v>0.85060000000000002</v>
      </c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</row>
    <row r="115" spans="1:18" x14ac:dyDescent="0.25">
      <c r="A115" s="1">
        <v>2457205.7671699999</v>
      </c>
      <c r="B115" s="1" t="s">
        <v>35</v>
      </c>
      <c r="C115" s="1">
        <v>0.67600000000000005</v>
      </c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</row>
    <row r="116" spans="1:18" x14ac:dyDescent="0.25">
      <c r="A116" s="1">
        <v>2457206.7122</v>
      </c>
      <c r="B116" s="1" t="s">
        <v>36</v>
      </c>
      <c r="C116" s="1">
        <v>0.622</v>
      </c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</row>
    <row r="117" spans="1:18" x14ac:dyDescent="0.25">
      <c r="A117" s="1">
        <v>2457208.6739500002</v>
      </c>
      <c r="B117" s="1" t="s">
        <v>38</v>
      </c>
      <c r="C117" s="1">
        <v>0.624</v>
      </c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</row>
    <row r="118" spans="1:18" x14ac:dyDescent="0.25">
      <c r="A118" s="1">
        <v>2457210.82045</v>
      </c>
      <c r="B118" s="1" t="s">
        <v>39</v>
      </c>
      <c r="C118" s="1">
        <v>0.63400000000000001</v>
      </c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</row>
    <row r="119" spans="1:18" x14ac:dyDescent="0.25">
      <c r="A119" s="1">
        <v>2457211.64524</v>
      </c>
      <c r="B119" s="1" t="s">
        <v>40</v>
      </c>
      <c r="C119" s="1">
        <v>0.92100000000000004</v>
      </c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</row>
    <row r="120" spans="1:18" x14ac:dyDescent="0.25">
      <c r="A120" s="1">
        <v>2457211.7182999998</v>
      </c>
      <c r="B120" s="1" t="s">
        <v>40</v>
      </c>
      <c r="C120" s="1">
        <v>0.67200000000000004</v>
      </c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</row>
    <row r="121" spans="1:18" x14ac:dyDescent="0.25">
      <c r="A121" s="1">
        <v>2457212.6439700001</v>
      </c>
      <c r="B121" s="1" t="s">
        <v>41</v>
      </c>
      <c r="C121" s="1">
        <v>0.85360000000000003</v>
      </c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</row>
    <row r="122" spans="1:18" x14ac:dyDescent="0.25">
      <c r="A122" s="1">
        <v>2457214.65943</v>
      </c>
      <c r="B122" s="1" t="s">
        <v>43</v>
      </c>
      <c r="C122" s="1">
        <v>0.66</v>
      </c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</row>
    <row r="123" spans="1:18" x14ac:dyDescent="0.25">
      <c r="A123" s="1">
        <v>2457214.7234999998</v>
      </c>
      <c r="B123" s="1" t="s">
        <v>43</v>
      </c>
      <c r="C123" s="1">
        <v>0.64100000000000001</v>
      </c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</row>
    <row r="124" spans="1:18" x14ac:dyDescent="0.25">
      <c r="A124" s="1">
        <v>2457215.6834499999</v>
      </c>
      <c r="B124" s="1" t="s">
        <v>44</v>
      </c>
      <c r="C124" s="1">
        <v>0.66200000000000003</v>
      </c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</row>
    <row r="125" spans="1:18" x14ac:dyDescent="0.25">
      <c r="A125" s="1">
        <v>2457217.8062999998</v>
      </c>
      <c r="B125" s="1" t="s">
        <v>46</v>
      </c>
      <c r="C125" s="1">
        <v>0.70899999999999996</v>
      </c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</row>
    <row r="126" spans="1:18" x14ac:dyDescent="0.25">
      <c r="A126" s="1">
        <v>2457219.43407</v>
      </c>
      <c r="B126" s="1" t="s">
        <v>47</v>
      </c>
      <c r="C126" s="1">
        <v>0.69899999999999995</v>
      </c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</row>
    <row r="127" spans="1:18" x14ac:dyDescent="0.25">
      <c r="A127" s="1">
        <v>2457220.66762</v>
      </c>
      <c r="B127" s="1" t="s">
        <v>48</v>
      </c>
      <c r="C127" s="1">
        <v>0.65900000000000003</v>
      </c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</row>
    <row r="128" spans="1:18" x14ac:dyDescent="0.25">
      <c r="A128" s="1">
        <v>2457220.6949300002</v>
      </c>
      <c r="B128" s="1" t="s">
        <v>48</v>
      </c>
      <c r="C128" s="1">
        <v>0.83299999999999996</v>
      </c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</row>
    <row r="129" spans="1:18" x14ac:dyDescent="0.25">
      <c r="A129" s="1">
        <v>2457223.7204</v>
      </c>
      <c r="B129" s="1" t="s">
        <v>50</v>
      </c>
      <c r="C129" s="1">
        <v>0.67700000000000005</v>
      </c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</row>
    <row r="130" spans="1:18" x14ac:dyDescent="0.25">
      <c r="A130" s="1">
        <v>2457225.7080000001</v>
      </c>
      <c r="B130" s="1" t="s">
        <v>23</v>
      </c>
      <c r="C130" s="1">
        <v>0.69</v>
      </c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</row>
    <row r="131" spans="1:18" x14ac:dyDescent="0.25">
      <c r="A131" s="1">
        <v>2457226.51138</v>
      </c>
      <c r="B131" s="1" t="s">
        <v>52</v>
      </c>
      <c r="C131" s="1">
        <v>0.71499999999999997</v>
      </c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</row>
    <row r="132" spans="1:18" x14ac:dyDescent="0.25">
      <c r="A132" s="1">
        <v>2457229.95205</v>
      </c>
      <c r="B132" s="1" t="s">
        <v>54</v>
      </c>
      <c r="C132" s="1">
        <v>0.76200000000000001</v>
      </c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</row>
    <row r="133" spans="1:18" x14ac:dyDescent="0.25">
      <c r="A133" s="1">
        <v>2457231.6853</v>
      </c>
      <c r="B133" s="1" t="s">
        <v>55</v>
      </c>
      <c r="C133" s="1">
        <v>0.69799999999999995</v>
      </c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</row>
    <row r="134" spans="1:18" x14ac:dyDescent="0.25">
      <c r="A134" s="1">
        <v>2457233.6145700002</v>
      </c>
      <c r="B134" s="1" t="s">
        <v>56</v>
      </c>
      <c r="C134" s="1">
        <v>0.69199999999999995</v>
      </c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</row>
    <row r="135" spans="1:18" x14ac:dyDescent="0.25">
      <c r="A135" s="1">
        <v>2457234.6749</v>
      </c>
      <c r="B135" s="1" t="s">
        <v>57</v>
      </c>
      <c r="C135" s="1">
        <v>0.72499999999999998</v>
      </c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</row>
    <row r="136" spans="1:18" x14ac:dyDescent="0.25">
      <c r="A136" s="1">
        <v>2457236.6762000001</v>
      </c>
      <c r="B136" s="1" t="s">
        <v>58</v>
      </c>
      <c r="C136" s="1">
        <v>0.71599999999999997</v>
      </c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</row>
    <row r="137" spans="1:18" x14ac:dyDescent="0.25">
      <c r="A137" s="1">
        <v>2457237.6322499998</v>
      </c>
      <c r="B137" s="1" t="s">
        <v>59</v>
      </c>
      <c r="C137" s="1">
        <v>0.752</v>
      </c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</row>
    <row r="138" spans="1:18" x14ac:dyDescent="0.25">
      <c r="A138" s="1">
        <v>2457238.65674</v>
      </c>
      <c r="B138" s="1" t="s">
        <v>60</v>
      </c>
      <c r="C138" s="1">
        <v>0.77300000000000002</v>
      </c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</row>
    <row r="139" spans="1:18" x14ac:dyDescent="0.25">
      <c r="A139" s="1">
        <v>2457239.6798</v>
      </c>
      <c r="B139" s="1" t="s">
        <v>61</v>
      </c>
      <c r="C139" s="1">
        <v>0.71799999999999997</v>
      </c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</row>
    <row r="140" spans="1:18" x14ac:dyDescent="0.25">
      <c r="A140" s="1">
        <v>2457239.9368400001</v>
      </c>
      <c r="B140" s="1" t="s">
        <v>61</v>
      </c>
      <c r="C140" s="1">
        <v>0.80400000000000005</v>
      </c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</row>
    <row r="141" spans="1:18" x14ac:dyDescent="0.25">
      <c r="A141" s="1">
        <v>2457241.4500699998</v>
      </c>
      <c r="B141" s="1" t="s">
        <v>62</v>
      </c>
      <c r="C141" s="1">
        <v>0.77100000000000002</v>
      </c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</row>
    <row r="142" spans="1:18" x14ac:dyDescent="0.25">
      <c r="A142" s="1">
        <v>2457244.6523600002</v>
      </c>
      <c r="B142" s="1" t="s">
        <v>65</v>
      </c>
      <c r="C142" s="1">
        <v>0.79</v>
      </c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</row>
    <row r="143" spans="1:18" x14ac:dyDescent="0.25">
      <c r="A143" s="1">
        <v>2457244.7354799998</v>
      </c>
      <c r="B143" s="1" t="s">
        <v>65</v>
      </c>
      <c r="C143" s="1">
        <v>0.73099999999999998</v>
      </c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</row>
    <row r="144" spans="1:18" x14ac:dyDescent="0.25">
      <c r="A144" s="1">
        <v>2457246.6626900001</v>
      </c>
      <c r="B144" s="1" t="s">
        <v>67</v>
      </c>
      <c r="C144" s="1">
        <v>0.76500000000000001</v>
      </c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</row>
    <row r="145" spans="1:18" x14ac:dyDescent="0.25">
      <c r="A145" s="1">
        <v>2457246.6889</v>
      </c>
      <c r="B145" s="1" t="s">
        <v>67</v>
      </c>
      <c r="C145" s="1">
        <v>0.73499999999999999</v>
      </c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</row>
    <row r="146" spans="1:18" x14ac:dyDescent="0.25">
      <c r="A146" s="1">
        <v>2457247.9073399999</v>
      </c>
      <c r="B146" s="1" t="s">
        <v>68</v>
      </c>
      <c r="C146" s="1">
        <v>0.77800000000000002</v>
      </c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</row>
    <row r="147" spans="1:18" x14ac:dyDescent="0.25">
      <c r="A147" s="1">
        <v>2457248.9087100001</v>
      </c>
      <c r="B147" s="1" t="s">
        <v>69</v>
      </c>
      <c r="C147" s="1">
        <v>0.79900000000000004</v>
      </c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</row>
    <row r="148" spans="1:18" x14ac:dyDescent="0.25">
      <c r="A148" s="1">
        <v>2457249.71679</v>
      </c>
      <c r="B148" s="1" t="s">
        <v>70</v>
      </c>
      <c r="C148" s="1">
        <v>0.77400000000000002</v>
      </c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</row>
    <row r="149" spans="1:18" x14ac:dyDescent="0.25">
      <c r="A149" s="1">
        <v>2457250.6935999999</v>
      </c>
      <c r="B149" s="1" t="s">
        <v>71</v>
      </c>
      <c r="C149" s="1">
        <v>0.72799999999999998</v>
      </c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</row>
    <row r="150" spans="1:18" x14ac:dyDescent="0.25">
      <c r="A150" s="1">
        <v>2457251.6422100002</v>
      </c>
      <c r="B150" s="1" t="s">
        <v>72</v>
      </c>
      <c r="C150" s="1">
        <v>0.72099999999999997</v>
      </c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</row>
    <row r="151" spans="1:18" x14ac:dyDescent="0.25">
      <c r="A151" s="1">
        <v>2457251.7123400001</v>
      </c>
      <c r="B151" s="1" t="s">
        <v>72</v>
      </c>
      <c r="C151" s="1">
        <v>0.73599999999999999</v>
      </c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</row>
    <row r="152" spans="1:18" x14ac:dyDescent="0.25">
      <c r="A152" s="1">
        <v>2457252.7103900001</v>
      </c>
      <c r="B152" s="1" t="s">
        <v>73</v>
      </c>
      <c r="C152" s="1">
        <v>0.66</v>
      </c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</row>
    <row r="153" spans="1:18" x14ac:dyDescent="0.25">
      <c r="A153" s="1">
        <v>2457254.6326000001</v>
      </c>
      <c r="B153" s="1" t="s">
        <v>74</v>
      </c>
      <c r="C153" s="1">
        <v>0.82899999999999996</v>
      </c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</row>
    <row r="154" spans="1:18" x14ac:dyDescent="0.25">
      <c r="A154" s="1">
        <v>2457262.6406</v>
      </c>
      <c r="B154" s="1" t="s">
        <v>78</v>
      </c>
      <c r="C154" s="1">
        <v>0.72799999999999998</v>
      </c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</row>
    <row r="155" spans="1:18" x14ac:dyDescent="0.25">
      <c r="A155" s="1">
        <v>2457264.5781999999</v>
      </c>
      <c r="B155" s="1" t="s">
        <v>79</v>
      </c>
      <c r="C155" s="1">
        <v>0.85099999999999998</v>
      </c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</row>
    <row r="156" spans="1:18" x14ac:dyDescent="0.25">
      <c r="A156" s="1">
        <v>2457265.6403000001</v>
      </c>
      <c r="B156" s="1" t="s">
        <v>80</v>
      </c>
      <c r="C156" s="1">
        <v>0.79100000000000004</v>
      </c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</row>
    <row r="157" spans="1:18" x14ac:dyDescent="0.25">
      <c r="A157" s="1">
        <v>2457270.5815599998</v>
      </c>
      <c r="B157" s="1" t="s">
        <v>83</v>
      </c>
      <c r="C157" s="1">
        <v>0.80400000000000005</v>
      </c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</row>
    <row r="158" spans="1:18" x14ac:dyDescent="0.25">
      <c r="A158" s="1">
        <v>2457271.55094</v>
      </c>
      <c r="B158" s="1" t="s">
        <v>84</v>
      </c>
      <c r="C158" s="1">
        <v>0.78400000000000003</v>
      </c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</row>
    <row r="159" spans="1:18" x14ac:dyDescent="0.25">
      <c r="A159" s="1">
        <v>2457272.5557200001</v>
      </c>
      <c r="B159" s="1" t="s">
        <v>85</v>
      </c>
      <c r="C159" s="1">
        <v>0.84299999999999997</v>
      </c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</row>
    <row r="160" spans="1:18" x14ac:dyDescent="0.25">
      <c r="A160" s="1">
        <v>2457275.6343</v>
      </c>
      <c r="B160" s="1" t="s">
        <v>86</v>
      </c>
      <c r="C160" s="1">
        <v>0.78200000000000003</v>
      </c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</row>
    <row r="161" spans="1:18" x14ac:dyDescent="0.25">
      <c r="A161" s="1">
        <v>2457277.7723500002</v>
      </c>
      <c r="B161" s="1" t="s">
        <v>149</v>
      </c>
      <c r="C161" s="1">
        <v>0.878</v>
      </c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</row>
    <row r="162" spans="1:18" x14ac:dyDescent="0.25">
      <c r="A162" s="1">
        <v>2457279.6910999999</v>
      </c>
      <c r="B162" s="1" t="s">
        <v>87</v>
      </c>
      <c r="C162" s="1">
        <v>0.77300000000000002</v>
      </c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</row>
    <row r="163" spans="1:18" x14ac:dyDescent="0.25">
      <c r="A163" s="1">
        <v>2457280.6653399998</v>
      </c>
      <c r="B163" s="1" t="s">
        <v>88</v>
      </c>
      <c r="C163" s="1">
        <v>0.84699999999999998</v>
      </c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</row>
    <row r="164" spans="1:18" x14ac:dyDescent="0.25">
      <c r="A164" s="1">
        <v>2457281.5186000001</v>
      </c>
      <c r="B164" s="1" t="s">
        <v>89</v>
      </c>
      <c r="C164" s="1">
        <v>0.79600000000000004</v>
      </c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</row>
    <row r="165" spans="1:18" x14ac:dyDescent="0.25">
      <c r="A165" s="1">
        <v>2457282.6314900001</v>
      </c>
      <c r="B165" s="1" t="s">
        <v>90</v>
      </c>
      <c r="C165" s="1">
        <v>0.84799999999999998</v>
      </c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</row>
    <row r="166" spans="1:18" x14ac:dyDescent="0.25">
      <c r="A166" s="1">
        <v>2457282.6398999998</v>
      </c>
      <c r="B166" s="1" t="s">
        <v>90</v>
      </c>
      <c r="C166" s="1">
        <v>0.76600000000000001</v>
      </c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</row>
    <row r="167" spans="1:18" x14ac:dyDescent="0.25">
      <c r="A167" s="1">
        <v>2457284.6251500002</v>
      </c>
      <c r="B167" s="1" t="s">
        <v>91</v>
      </c>
      <c r="C167" s="1">
        <v>0.85199999999999998</v>
      </c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</row>
    <row r="168" spans="1:18" x14ac:dyDescent="0.25">
      <c r="A168" s="1">
        <v>2457285.6206999999</v>
      </c>
      <c r="B168" s="1" t="s">
        <v>92</v>
      </c>
      <c r="C168" s="1">
        <v>0.77400000000000002</v>
      </c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</row>
    <row r="169" spans="1:18" x14ac:dyDescent="0.25">
      <c r="A169" s="1">
        <v>2457286.5189499999</v>
      </c>
      <c r="B169" s="1" t="s">
        <v>93</v>
      </c>
      <c r="C169" s="1">
        <v>0.78100000000000003</v>
      </c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</row>
    <row r="170" spans="1:18" x14ac:dyDescent="0.25">
      <c r="A170" s="1">
        <v>2457287.6192999999</v>
      </c>
      <c r="B170" s="1" t="s">
        <v>94</v>
      </c>
      <c r="C170" s="1">
        <v>0.76100000000000001</v>
      </c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</row>
    <row r="171" spans="1:18" x14ac:dyDescent="0.25">
      <c r="A171" s="1">
        <v>2457289.60824</v>
      </c>
      <c r="B171" s="1" t="s">
        <v>150</v>
      </c>
      <c r="C171" s="1">
        <v>0.85</v>
      </c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</row>
    <row r="172" spans="1:18" x14ac:dyDescent="0.25">
      <c r="A172" s="1">
        <v>2457290.50728</v>
      </c>
      <c r="B172" s="1" t="s">
        <v>24</v>
      </c>
      <c r="C172" s="1">
        <v>0.83199999999999996</v>
      </c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</row>
    <row r="173" spans="1:18" x14ac:dyDescent="0.25">
      <c r="A173" s="1">
        <v>2457291.3141100002</v>
      </c>
      <c r="B173" s="1" t="s">
        <v>24</v>
      </c>
      <c r="C173" s="1">
        <v>0.78300000000000003</v>
      </c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</row>
    <row r="174" spans="1:18" x14ac:dyDescent="0.25">
      <c r="A174" s="1">
        <v>2457291.62231</v>
      </c>
      <c r="B174" s="1" t="s">
        <v>151</v>
      </c>
      <c r="C174" s="1">
        <v>0.78700000000000003</v>
      </c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</row>
    <row r="175" spans="1:18" x14ac:dyDescent="0.25">
      <c r="A175" s="1">
        <v>2457292.5315700001</v>
      </c>
      <c r="B175" s="1" t="s">
        <v>152</v>
      </c>
      <c r="C175" s="1">
        <v>0.91100000000000003</v>
      </c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</row>
    <row r="176" spans="1:18" x14ac:dyDescent="0.25">
      <c r="A176" s="1">
        <v>2457296.6102</v>
      </c>
      <c r="B176" s="1" t="s">
        <v>96</v>
      </c>
      <c r="C176" s="1">
        <v>0.72499999999999998</v>
      </c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</row>
    <row r="177" spans="1:18" x14ac:dyDescent="0.25">
      <c r="A177" s="1">
        <v>2457302.4732599999</v>
      </c>
      <c r="B177" s="1" t="s">
        <v>98</v>
      </c>
      <c r="C177" s="1">
        <v>0.70699999999999996</v>
      </c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</row>
    <row r="178" spans="1:18" x14ac:dyDescent="0.25">
      <c r="A178" s="1">
        <v>2457302.5770100001</v>
      </c>
      <c r="B178" s="1" t="s">
        <v>99</v>
      </c>
      <c r="C178" s="1">
        <v>0.74399999999999999</v>
      </c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</row>
    <row r="179" spans="1:18" x14ac:dyDescent="0.25">
      <c r="A179" s="1">
        <v>2457303.5721399998</v>
      </c>
      <c r="B179" s="1" t="s">
        <v>100</v>
      </c>
      <c r="C179" s="1">
        <v>0.72199999999999998</v>
      </c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</row>
    <row r="180" spans="1:18" x14ac:dyDescent="0.25">
      <c r="A180" s="1">
        <v>2457304.5642200001</v>
      </c>
      <c r="B180" s="1" t="s">
        <v>101</v>
      </c>
      <c r="C180" s="1">
        <v>0.57499999999999996</v>
      </c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</row>
    <row r="181" spans="1:18" x14ac:dyDescent="0.25">
      <c r="A181" s="1">
        <v>2457305.6036999999</v>
      </c>
      <c r="B181" s="1" t="s">
        <v>102</v>
      </c>
      <c r="C181" s="1">
        <v>0.52900000000000003</v>
      </c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</row>
    <row r="182" spans="1:18" x14ac:dyDescent="0.25">
      <c r="A182" s="1">
        <v>2457306.4625499998</v>
      </c>
      <c r="B182" s="1" t="s">
        <v>102</v>
      </c>
      <c r="C182" s="1">
        <v>0.621</v>
      </c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</row>
    <row r="183" spans="1:18" x14ac:dyDescent="0.25">
      <c r="A183" s="1">
        <v>2457306.5122000002</v>
      </c>
      <c r="B183" s="1" t="s">
        <v>103</v>
      </c>
      <c r="C183" s="1">
        <v>0.55700000000000005</v>
      </c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</row>
    <row r="184" spans="1:18" x14ac:dyDescent="0.25">
      <c r="A184" s="1">
        <v>2457306.5578000001</v>
      </c>
      <c r="B184" s="1" t="s">
        <v>103</v>
      </c>
      <c r="C184" s="1">
        <v>0.56799999999999995</v>
      </c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</row>
    <row r="185" spans="1:18" x14ac:dyDescent="0.25">
      <c r="A185" s="1">
        <v>2457307.4750299999</v>
      </c>
      <c r="B185" s="1" t="s">
        <v>103</v>
      </c>
      <c r="C185" s="1">
        <v>0.53400000000000003</v>
      </c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</row>
    <row r="186" spans="1:18" x14ac:dyDescent="0.25">
      <c r="A186" s="1">
        <v>2457307.5036599999</v>
      </c>
      <c r="B186" s="1" t="s">
        <v>153</v>
      </c>
      <c r="C186" s="1">
        <v>0.60499999999999998</v>
      </c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</row>
    <row r="187" spans="1:18" x14ac:dyDescent="0.25">
      <c r="A187" s="1">
        <v>2457307.52574</v>
      </c>
      <c r="B187" s="1" t="s">
        <v>153</v>
      </c>
      <c r="C187" s="1">
        <v>0.61299999999999999</v>
      </c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</row>
    <row r="188" spans="1:18" x14ac:dyDescent="0.25">
      <c r="A188" s="1">
        <v>2457307.5314799999</v>
      </c>
      <c r="B188" s="1" t="s">
        <v>153</v>
      </c>
      <c r="C188" s="1">
        <v>0.60099999999999998</v>
      </c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</row>
    <row r="189" spans="1:18" x14ac:dyDescent="0.25">
      <c r="A189" s="1">
        <v>2457307.5319099999</v>
      </c>
      <c r="B189" s="1" t="s">
        <v>153</v>
      </c>
      <c r="C189" s="1">
        <v>0.61899999999999999</v>
      </c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</row>
    <row r="190" spans="1:18" x14ac:dyDescent="0.25">
      <c r="A190" s="1">
        <v>2457307.5323600001</v>
      </c>
      <c r="B190" s="1" t="s">
        <v>153</v>
      </c>
      <c r="C190" s="1">
        <v>0.63400000000000001</v>
      </c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</row>
    <row r="191" spans="1:18" x14ac:dyDescent="0.25">
      <c r="A191" s="1">
        <v>2457307.5327900001</v>
      </c>
      <c r="B191" s="1" t="s">
        <v>153</v>
      </c>
      <c r="C191" s="1">
        <v>0.628</v>
      </c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</row>
    <row r="192" spans="1:18" x14ac:dyDescent="0.25">
      <c r="A192" s="1">
        <v>2457307.5332300002</v>
      </c>
      <c r="B192" s="1" t="s">
        <v>153</v>
      </c>
      <c r="C192" s="1">
        <v>0.622</v>
      </c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</row>
    <row r="193" spans="1:18" x14ac:dyDescent="0.25">
      <c r="A193" s="1">
        <v>2457307.5336699998</v>
      </c>
      <c r="B193" s="1" t="s">
        <v>153</v>
      </c>
      <c r="C193" s="1">
        <v>0.63500000000000001</v>
      </c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</row>
    <row r="194" spans="1:18" x14ac:dyDescent="0.25">
      <c r="A194" s="1">
        <v>2457307.5341099999</v>
      </c>
      <c r="B194" s="1" t="s">
        <v>153</v>
      </c>
      <c r="C194" s="1">
        <v>0.63</v>
      </c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</row>
    <row r="195" spans="1:18" x14ac:dyDescent="0.25">
      <c r="A195" s="1">
        <v>2457307.5345399999</v>
      </c>
      <c r="B195" s="1" t="s">
        <v>153</v>
      </c>
      <c r="C195" s="1">
        <v>0.65</v>
      </c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</row>
    <row r="196" spans="1:18" x14ac:dyDescent="0.25">
      <c r="A196" s="1">
        <v>2457307.5349699999</v>
      </c>
      <c r="B196" s="1" t="s">
        <v>153</v>
      </c>
      <c r="C196" s="1">
        <v>0.65600000000000003</v>
      </c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</row>
    <row r="197" spans="1:18" x14ac:dyDescent="0.25">
      <c r="A197" s="1">
        <v>2457307.53541</v>
      </c>
      <c r="B197" s="1" t="s">
        <v>153</v>
      </c>
      <c r="C197" s="1">
        <v>0.61799999999999999</v>
      </c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</row>
    <row r="198" spans="1:18" x14ac:dyDescent="0.25">
      <c r="A198" s="1">
        <v>2457307.5358600002</v>
      </c>
      <c r="B198" s="1" t="s">
        <v>153</v>
      </c>
      <c r="C198" s="1">
        <v>0.62</v>
      </c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</row>
    <row r="199" spans="1:18" x14ac:dyDescent="0.25">
      <c r="A199" s="1">
        <v>2457307.5362999998</v>
      </c>
      <c r="B199" s="1" t="s">
        <v>153</v>
      </c>
      <c r="C199" s="1">
        <v>0.63800000000000001</v>
      </c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</row>
    <row r="200" spans="1:18" x14ac:dyDescent="0.25">
      <c r="A200" s="1">
        <v>2457307.5367399999</v>
      </c>
      <c r="B200" s="1" t="s">
        <v>153</v>
      </c>
      <c r="C200" s="1">
        <v>0.62</v>
      </c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</row>
    <row r="201" spans="1:18" x14ac:dyDescent="0.25">
      <c r="A201" s="1">
        <v>2457307.5371699999</v>
      </c>
      <c r="B201" s="1" t="s">
        <v>153</v>
      </c>
      <c r="C201" s="1">
        <v>0.63500000000000001</v>
      </c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</row>
    <row r="202" spans="1:18" x14ac:dyDescent="0.25">
      <c r="A202" s="1">
        <v>2457307.53761</v>
      </c>
      <c r="B202" s="1" t="s">
        <v>153</v>
      </c>
      <c r="C202" s="1">
        <v>0.624</v>
      </c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</row>
    <row r="203" spans="1:18" x14ac:dyDescent="0.25">
      <c r="A203" s="1">
        <v>2457307.5380500001</v>
      </c>
      <c r="B203" s="1" t="s">
        <v>153</v>
      </c>
      <c r="C203" s="1">
        <v>0.64500000000000002</v>
      </c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</row>
    <row r="204" spans="1:18" x14ac:dyDescent="0.25">
      <c r="A204" s="1">
        <v>2457307.5384800001</v>
      </c>
      <c r="B204" s="1" t="s">
        <v>153</v>
      </c>
      <c r="C204" s="1">
        <v>0.64200000000000002</v>
      </c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</row>
    <row r="205" spans="1:18" x14ac:dyDescent="0.25">
      <c r="A205" s="1">
        <v>2457307.5389200002</v>
      </c>
      <c r="B205" s="1" t="s">
        <v>153</v>
      </c>
      <c r="C205" s="1">
        <v>0.61</v>
      </c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</row>
    <row r="206" spans="1:18" x14ac:dyDescent="0.25">
      <c r="A206" s="1">
        <v>2457307.5393599998</v>
      </c>
      <c r="B206" s="1" t="s">
        <v>153</v>
      </c>
      <c r="C206" s="1">
        <v>0.61</v>
      </c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</row>
    <row r="207" spans="1:18" x14ac:dyDescent="0.25">
      <c r="A207" s="1">
        <v>2457307.5397999999</v>
      </c>
      <c r="B207" s="1" t="s">
        <v>153</v>
      </c>
      <c r="C207" s="1">
        <v>0.629</v>
      </c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</row>
    <row r="208" spans="1:18" x14ac:dyDescent="0.25">
      <c r="A208" s="1">
        <v>2457307.5402299999</v>
      </c>
      <c r="B208" s="1" t="s">
        <v>153</v>
      </c>
      <c r="C208" s="1">
        <v>0.61799999999999999</v>
      </c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</row>
    <row r="209" spans="1:18" x14ac:dyDescent="0.25">
      <c r="A209" s="1">
        <v>2457307.5406599999</v>
      </c>
      <c r="B209" s="1" t="s">
        <v>153</v>
      </c>
      <c r="C209" s="1">
        <v>0.65200000000000002</v>
      </c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</row>
    <row r="210" spans="1:18" x14ac:dyDescent="0.25">
      <c r="A210" s="1">
        <v>2457307.5411100001</v>
      </c>
      <c r="B210" s="1" t="s">
        <v>153</v>
      </c>
      <c r="C210" s="1">
        <v>0.61699999999999999</v>
      </c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</row>
    <row r="211" spans="1:18" x14ac:dyDescent="0.25">
      <c r="A211" s="1">
        <v>2457307.5415400001</v>
      </c>
      <c r="B211" s="1" t="s">
        <v>153</v>
      </c>
      <c r="C211" s="1">
        <v>0.63600000000000001</v>
      </c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</row>
    <row r="212" spans="1:18" x14ac:dyDescent="0.25">
      <c r="A212" s="1">
        <v>2457307.5419899998</v>
      </c>
      <c r="B212" s="1" t="s">
        <v>153</v>
      </c>
      <c r="C212" s="1">
        <v>0.61199999999999999</v>
      </c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</row>
    <row r="213" spans="1:18" x14ac:dyDescent="0.25">
      <c r="A213" s="1">
        <v>2457307.5424299999</v>
      </c>
      <c r="B213" s="1" t="s">
        <v>153</v>
      </c>
      <c r="C213" s="1">
        <v>0.63600000000000001</v>
      </c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</row>
    <row r="214" spans="1:18" x14ac:dyDescent="0.25">
      <c r="A214" s="1">
        <v>2457307.5428599999</v>
      </c>
      <c r="B214" s="1" t="s">
        <v>153</v>
      </c>
      <c r="C214" s="1">
        <v>0.63700000000000001</v>
      </c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</row>
    <row r="215" spans="1:18" x14ac:dyDescent="0.25">
      <c r="A215" s="1">
        <v>2457307.5432899999</v>
      </c>
      <c r="B215" s="1" t="s">
        <v>153</v>
      </c>
      <c r="C215" s="1">
        <v>0.62</v>
      </c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</row>
    <row r="216" spans="1:18" x14ac:dyDescent="0.25">
      <c r="A216" s="1">
        <v>2457307.54373</v>
      </c>
      <c r="B216" s="1" t="s">
        <v>153</v>
      </c>
      <c r="C216" s="1">
        <v>0.61</v>
      </c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</row>
    <row r="217" spans="1:18" x14ac:dyDescent="0.25">
      <c r="A217" s="1">
        <v>2457307.5441700001</v>
      </c>
      <c r="B217" s="1" t="s">
        <v>153</v>
      </c>
      <c r="C217" s="1">
        <v>0.60799999999999998</v>
      </c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</row>
    <row r="218" spans="1:18" x14ac:dyDescent="0.25">
      <c r="A218" s="1">
        <v>2457307.5446100002</v>
      </c>
      <c r="B218" s="1" t="s">
        <v>153</v>
      </c>
      <c r="C218" s="1">
        <v>0.61199999999999999</v>
      </c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</row>
    <row r="219" spans="1:18" x14ac:dyDescent="0.25">
      <c r="A219" s="1">
        <v>2457307.5450400002</v>
      </c>
      <c r="B219" s="1" t="s">
        <v>153</v>
      </c>
      <c r="C219" s="1">
        <v>0.63700000000000001</v>
      </c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</row>
    <row r="220" spans="1:18" x14ac:dyDescent="0.25">
      <c r="A220" s="1">
        <v>2457307.5454899999</v>
      </c>
      <c r="B220" s="1" t="s">
        <v>153</v>
      </c>
      <c r="C220" s="1">
        <v>0.628</v>
      </c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</row>
    <row r="221" spans="1:18" x14ac:dyDescent="0.25">
      <c r="A221" s="1">
        <v>2457307.5459199999</v>
      </c>
      <c r="B221" s="1" t="s">
        <v>153</v>
      </c>
      <c r="C221" s="1">
        <v>0.629</v>
      </c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</row>
    <row r="222" spans="1:18" x14ac:dyDescent="0.25">
      <c r="A222" s="1">
        <v>2457307.54636</v>
      </c>
      <c r="B222" s="1" t="s">
        <v>153</v>
      </c>
      <c r="C222" s="1">
        <v>0.60899999999999999</v>
      </c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</row>
    <row r="223" spans="1:18" x14ac:dyDescent="0.25">
      <c r="A223" s="1">
        <v>2457307.5468000001</v>
      </c>
      <c r="B223" s="1" t="s">
        <v>153</v>
      </c>
      <c r="C223" s="1">
        <v>0.624</v>
      </c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</row>
    <row r="224" spans="1:18" x14ac:dyDescent="0.25">
      <c r="A224" s="1">
        <v>2457307.5472400002</v>
      </c>
      <c r="B224" s="1" t="s">
        <v>153</v>
      </c>
      <c r="C224" s="1">
        <v>0.61399999999999999</v>
      </c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</row>
    <row r="225" spans="1:18" x14ac:dyDescent="0.25">
      <c r="A225" s="1">
        <v>2457307.5476799998</v>
      </c>
      <c r="B225" s="1" t="s">
        <v>153</v>
      </c>
      <c r="C225" s="1">
        <v>0.626</v>
      </c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</row>
    <row r="226" spans="1:18" x14ac:dyDescent="0.25">
      <c r="A226" s="1">
        <v>2457307.5481199999</v>
      </c>
      <c r="B226" s="1" t="s">
        <v>153</v>
      </c>
      <c r="C226" s="1">
        <v>0.61799999999999999</v>
      </c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</row>
    <row r="227" spans="1:18" x14ac:dyDescent="0.25">
      <c r="A227" s="1">
        <v>2457307.54856</v>
      </c>
      <c r="B227" s="1" t="s">
        <v>153</v>
      </c>
      <c r="C227" s="1">
        <v>0.64600000000000002</v>
      </c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</row>
    <row r="228" spans="1:18" x14ac:dyDescent="0.25">
      <c r="A228" s="1">
        <v>2457307.5490000001</v>
      </c>
      <c r="B228" s="1" t="s">
        <v>153</v>
      </c>
      <c r="C228" s="1">
        <v>0.626</v>
      </c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</row>
    <row r="229" spans="1:18" x14ac:dyDescent="0.25">
      <c r="A229" s="1">
        <v>2457307.5494300001</v>
      </c>
      <c r="B229" s="1" t="s">
        <v>153</v>
      </c>
      <c r="C229" s="1">
        <v>0.621</v>
      </c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</row>
    <row r="230" spans="1:18" x14ac:dyDescent="0.25">
      <c r="A230" s="1">
        <v>2457307.5498799998</v>
      </c>
      <c r="B230" s="1" t="s">
        <v>153</v>
      </c>
      <c r="C230" s="1">
        <v>0.626</v>
      </c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</row>
    <row r="231" spans="1:18" x14ac:dyDescent="0.25">
      <c r="A231" s="1">
        <v>2457307.5503199999</v>
      </c>
      <c r="B231" s="1" t="s">
        <v>153</v>
      </c>
      <c r="C231" s="1">
        <v>0.60799999999999998</v>
      </c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</row>
    <row r="232" spans="1:18" x14ac:dyDescent="0.25">
      <c r="A232" s="1">
        <v>2457307.5507499999</v>
      </c>
      <c r="B232" s="1" t="s">
        <v>153</v>
      </c>
      <c r="C232" s="1">
        <v>0.624</v>
      </c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</row>
    <row r="233" spans="1:18" x14ac:dyDescent="0.25">
      <c r="A233" s="1">
        <v>2457307.55118</v>
      </c>
      <c r="B233" s="1" t="s">
        <v>153</v>
      </c>
      <c r="C233" s="1">
        <v>0.61299999999999999</v>
      </c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</row>
    <row r="234" spans="1:18" x14ac:dyDescent="0.25">
      <c r="A234" s="1">
        <v>2457307.5516300001</v>
      </c>
      <c r="B234" s="1" t="s">
        <v>153</v>
      </c>
      <c r="C234" s="1">
        <v>0.61899999999999999</v>
      </c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</row>
    <row r="235" spans="1:18" x14ac:dyDescent="0.25">
      <c r="A235" s="1">
        <v>2457307.5520600001</v>
      </c>
      <c r="B235" s="1" t="s">
        <v>153</v>
      </c>
      <c r="C235" s="1">
        <v>0.626</v>
      </c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</row>
    <row r="236" spans="1:18" x14ac:dyDescent="0.25">
      <c r="A236" s="1">
        <v>2457307.5525000002</v>
      </c>
      <c r="B236" s="1" t="s">
        <v>153</v>
      </c>
      <c r="C236" s="1">
        <v>0.58599999999999997</v>
      </c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</row>
    <row r="237" spans="1:18" x14ac:dyDescent="0.25">
      <c r="A237" s="1">
        <v>2457307.5529399998</v>
      </c>
      <c r="B237" s="1" t="s">
        <v>153</v>
      </c>
      <c r="C237" s="1">
        <v>0.61599999999999999</v>
      </c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</row>
    <row r="238" spans="1:18" x14ac:dyDescent="0.25">
      <c r="A238" s="1">
        <v>2457307.5533799999</v>
      </c>
      <c r="B238" s="1" t="s">
        <v>153</v>
      </c>
      <c r="C238" s="1">
        <v>0.63</v>
      </c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</row>
    <row r="239" spans="1:18" x14ac:dyDescent="0.25">
      <c r="A239" s="1">
        <v>2457307.55381</v>
      </c>
      <c r="B239" s="1" t="s">
        <v>153</v>
      </c>
      <c r="C239" s="1">
        <v>0.63800000000000001</v>
      </c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</row>
    <row r="240" spans="1:18" x14ac:dyDescent="0.25">
      <c r="A240" s="1">
        <v>2457307.5542600001</v>
      </c>
      <c r="B240" s="1" t="s">
        <v>153</v>
      </c>
      <c r="C240" s="1">
        <v>0.64700000000000002</v>
      </c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</row>
    <row r="241" spans="1:18" x14ac:dyDescent="0.25">
      <c r="A241" s="1">
        <v>2457307.5546900001</v>
      </c>
      <c r="B241" s="1" t="s">
        <v>153</v>
      </c>
      <c r="C241" s="1">
        <v>0.61399999999999999</v>
      </c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</row>
    <row r="242" spans="1:18" x14ac:dyDescent="0.25">
      <c r="A242" s="1">
        <v>2457307.5551200002</v>
      </c>
      <c r="B242" s="1" t="s">
        <v>153</v>
      </c>
      <c r="C242" s="1">
        <v>0.61499999999999999</v>
      </c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</row>
    <row r="243" spans="1:18" x14ac:dyDescent="0.25">
      <c r="A243" s="1">
        <v>2457307.5555599998</v>
      </c>
      <c r="B243" s="1" t="s">
        <v>153</v>
      </c>
      <c r="C243" s="1">
        <v>0.61899999999999999</v>
      </c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</row>
    <row r="244" spans="1:18" x14ac:dyDescent="0.25">
      <c r="A244" s="1">
        <v>2457307.5559999999</v>
      </c>
      <c r="B244" s="1" t="s">
        <v>153</v>
      </c>
      <c r="C244" s="1">
        <v>0.61299999999999999</v>
      </c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</row>
    <row r="245" spans="1:18" x14ac:dyDescent="0.25">
      <c r="A245" s="1">
        <v>2457307.55644</v>
      </c>
      <c r="B245" s="1" t="s">
        <v>153</v>
      </c>
      <c r="C245" s="1">
        <v>0.61499999999999999</v>
      </c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</row>
    <row r="246" spans="1:18" x14ac:dyDescent="0.25">
      <c r="A246" s="1">
        <v>2457307.55688</v>
      </c>
      <c r="B246" s="1" t="s">
        <v>153</v>
      </c>
      <c r="C246" s="1">
        <v>0.66</v>
      </c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</row>
    <row r="247" spans="1:18" x14ac:dyDescent="0.25">
      <c r="A247" s="1">
        <v>2457307.5573200001</v>
      </c>
      <c r="B247" s="1" t="s">
        <v>153</v>
      </c>
      <c r="C247" s="1">
        <v>0.60399999999999998</v>
      </c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</row>
    <row r="248" spans="1:18" x14ac:dyDescent="0.25">
      <c r="A248" s="1">
        <v>2457307.5577600002</v>
      </c>
      <c r="B248" s="1" t="s">
        <v>153</v>
      </c>
      <c r="C248" s="1">
        <v>0.63500000000000001</v>
      </c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</row>
    <row r="249" spans="1:18" x14ac:dyDescent="0.25">
      <c r="A249" s="1">
        <v>2457307.5581899998</v>
      </c>
      <c r="B249" s="1" t="s">
        <v>153</v>
      </c>
      <c r="C249" s="1">
        <v>0.66500000000000004</v>
      </c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</row>
    <row r="250" spans="1:18" x14ac:dyDescent="0.25">
      <c r="A250" s="1">
        <v>2457307.6027000002</v>
      </c>
      <c r="B250" s="1" t="s">
        <v>153</v>
      </c>
      <c r="C250" s="1">
        <v>0.52800000000000002</v>
      </c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</row>
    <row r="251" spans="1:18" x14ac:dyDescent="0.25">
      <c r="A251" s="1">
        <v>2457309.4278000002</v>
      </c>
      <c r="B251" s="1" t="s">
        <v>154</v>
      </c>
      <c r="C251" s="1">
        <v>0.56200000000000006</v>
      </c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</row>
    <row r="252" spans="1:18" x14ac:dyDescent="0.25">
      <c r="A252" s="1">
        <v>2457309.5479899999</v>
      </c>
      <c r="B252" s="1" t="s">
        <v>155</v>
      </c>
      <c r="C252" s="1">
        <v>0.59699999999999998</v>
      </c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</row>
    <row r="253" spans="1:18" x14ac:dyDescent="0.25">
      <c r="A253" s="1">
        <v>2457309.5483800001</v>
      </c>
      <c r="B253" s="1" t="s">
        <v>155</v>
      </c>
      <c r="C253" s="1">
        <v>0.64</v>
      </c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</row>
    <row r="254" spans="1:18" x14ac:dyDescent="0.25">
      <c r="A254" s="1">
        <v>2457309.5487500001</v>
      </c>
      <c r="B254" s="1" t="s">
        <v>155</v>
      </c>
      <c r="C254" s="1">
        <v>0.60699999999999998</v>
      </c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</row>
    <row r="255" spans="1:18" x14ac:dyDescent="0.25">
      <c r="A255" s="1">
        <v>2457309.5491300002</v>
      </c>
      <c r="B255" s="1" t="s">
        <v>155</v>
      </c>
      <c r="C255" s="1">
        <v>0.61599999999999999</v>
      </c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</row>
    <row r="256" spans="1:18" x14ac:dyDescent="0.25">
      <c r="A256" s="1">
        <v>2457309.5495099998</v>
      </c>
      <c r="B256" s="1" t="s">
        <v>155</v>
      </c>
      <c r="C256" s="1">
        <v>0.61699999999999999</v>
      </c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</row>
    <row r="257" spans="1:18" x14ac:dyDescent="0.25">
      <c r="A257" s="1">
        <v>2457310.5232899999</v>
      </c>
      <c r="B257" s="1" t="s">
        <v>156</v>
      </c>
      <c r="C257" s="1">
        <v>0.59199999999999997</v>
      </c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</row>
    <row r="258" spans="1:18" x14ac:dyDescent="0.25">
      <c r="A258" s="1">
        <v>2457310.52367</v>
      </c>
      <c r="B258" s="1" t="s">
        <v>156</v>
      </c>
      <c r="C258" s="1">
        <v>0.58699999999999997</v>
      </c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</row>
    <row r="259" spans="1:18" x14ac:dyDescent="0.25">
      <c r="A259" s="1">
        <v>2457310.5240500001</v>
      </c>
      <c r="B259" s="1" t="s">
        <v>156</v>
      </c>
      <c r="C259" s="1">
        <v>0.57799999999999996</v>
      </c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</row>
    <row r="260" spans="1:18" x14ac:dyDescent="0.25">
      <c r="A260" s="1">
        <v>2457310.5244200001</v>
      </c>
      <c r="B260" s="1" t="s">
        <v>156</v>
      </c>
      <c r="C260" s="1">
        <v>0.59599999999999997</v>
      </c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</row>
    <row r="261" spans="1:18" x14ac:dyDescent="0.25">
      <c r="A261" s="1">
        <v>2457310.5248099999</v>
      </c>
      <c r="B261" s="1" t="s">
        <v>156</v>
      </c>
      <c r="C261" s="1">
        <v>0.60699999999999998</v>
      </c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</row>
    <row r="262" spans="1:18" x14ac:dyDescent="0.25">
      <c r="A262" s="1">
        <v>2457310.52519</v>
      </c>
      <c r="B262" s="1" t="s">
        <v>156</v>
      </c>
      <c r="C262" s="1">
        <v>0.60699999999999998</v>
      </c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</row>
    <row r="263" spans="1:18" x14ac:dyDescent="0.25">
      <c r="A263" s="1">
        <v>2457310.5255800001</v>
      </c>
      <c r="B263" s="1" t="s">
        <v>156</v>
      </c>
      <c r="C263" s="1">
        <v>0.60199999999999998</v>
      </c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</row>
    <row r="264" spans="1:18" x14ac:dyDescent="0.25">
      <c r="A264" s="1">
        <v>2457310.5259600002</v>
      </c>
      <c r="B264" s="1" t="s">
        <v>156</v>
      </c>
      <c r="C264" s="1">
        <v>0.59499999999999997</v>
      </c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</row>
    <row r="265" spans="1:18" x14ac:dyDescent="0.25">
      <c r="A265" s="1">
        <v>2457310.5263399999</v>
      </c>
      <c r="B265" s="1" t="s">
        <v>156</v>
      </c>
      <c r="C265" s="1">
        <v>0.58099999999999996</v>
      </c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</row>
    <row r="266" spans="1:18" x14ac:dyDescent="0.25">
      <c r="A266" s="1">
        <v>2457310.52672</v>
      </c>
      <c r="B266" s="1" t="s">
        <v>156</v>
      </c>
      <c r="C266" s="1">
        <v>0.58799999999999997</v>
      </c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</row>
    <row r="267" spans="1:18" x14ac:dyDescent="0.25">
      <c r="A267" s="1">
        <v>2457310.6024000002</v>
      </c>
      <c r="B267" s="1" t="s">
        <v>156</v>
      </c>
      <c r="C267" s="1">
        <v>0.497</v>
      </c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</row>
    <row r="268" spans="1:18" x14ac:dyDescent="0.25">
      <c r="A268" s="1">
        <v>2457311.4643399999</v>
      </c>
      <c r="B268" s="1" t="s">
        <v>156</v>
      </c>
      <c r="C268" s="1">
        <v>0.56899999999999995</v>
      </c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</row>
    <row r="269" spans="1:18" x14ac:dyDescent="0.25">
      <c r="A269" s="1">
        <v>2457312.5419600001</v>
      </c>
      <c r="B269" s="1" t="s">
        <v>157</v>
      </c>
      <c r="C269" s="1">
        <v>0.625</v>
      </c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</row>
    <row r="270" spans="1:18" x14ac:dyDescent="0.25">
      <c r="A270" s="1">
        <v>2457312.5431499998</v>
      </c>
      <c r="B270" s="1" t="s">
        <v>157</v>
      </c>
      <c r="C270" s="1">
        <v>0.60099999999999998</v>
      </c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</row>
    <row r="271" spans="1:18" x14ac:dyDescent="0.25">
      <c r="A271" s="1">
        <v>2457312.5435299999</v>
      </c>
      <c r="B271" s="1" t="s">
        <v>157</v>
      </c>
      <c r="C271" s="1">
        <v>0.60699999999999998</v>
      </c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</row>
    <row r="272" spans="1:18" x14ac:dyDescent="0.25">
      <c r="A272" s="1">
        <v>2457312.54391</v>
      </c>
      <c r="B272" s="1" t="s">
        <v>157</v>
      </c>
      <c r="C272" s="1">
        <v>0.61399999999999999</v>
      </c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</row>
    <row r="273" spans="1:18" x14ac:dyDescent="0.25">
      <c r="A273" s="1">
        <v>2457312.5442900001</v>
      </c>
      <c r="B273" s="1" t="s">
        <v>157</v>
      </c>
      <c r="C273" s="1">
        <v>0.60599999999999998</v>
      </c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</row>
    <row r="274" spans="1:18" x14ac:dyDescent="0.25">
      <c r="A274" s="1">
        <v>2457312.5446700002</v>
      </c>
      <c r="B274" s="1" t="s">
        <v>157</v>
      </c>
      <c r="C274" s="1">
        <v>0.60299999999999998</v>
      </c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</row>
    <row r="275" spans="1:18" x14ac:dyDescent="0.25">
      <c r="A275" s="1">
        <v>2457313.5131999999</v>
      </c>
      <c r="B275" s="1" t="s">
        <v>158</v>
      </c>
      <c r="C275" s="1">
        <v>0.6</v>
      </c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</row>
    <row r="276" spans="1:18" x14ac:dyDescent="0.25">
      <c r="A276" s="1">
        <v>2457313.5143900001</v>
      </c>
      <c r="B276" s="1" t="s">
        <v>158</v>
      </c>
      <c r="C276" s="1">
        <v>0.64800000000000002</v>
      </c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</row>
    <row r="277" spans="1:18" x14ac:dyDescent="0.25">
      <c r="A277" s="1">
        <v>2457313.5147699998</v>
      </c>
      <c r="B277" s="1" t="s">
        <v>158</v>
      </c>
      <c r="C277" s="1">
        <v>0.60399999999999998</v>
      </c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</row>
    <row r="278" spans="1:18" x14ac:dyDescent="0.25">
      <c r="A278" s="1">
        <v>2457313.5151499999</v>
      </c>
      <c r="B278" s="1" t="s">
        <v>158</v>
      </c>
      <c r="C278" s="1">
        <v>0.61099999999999999</v>
      </c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</row>
    <row r="279" spans="1:18" x14ac:dyDescent="0.25">
      <c r="A279" s="1">
        <v>2457313.51553</v>
      </c>
      <c r="B279" s="1" t="s">
        <v>158</v>
      </c>
      <c r="C279" s="1">
        <v>0.624</v>
      </c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</row>
    <row r="280" spans="1:18" x14ac:dyDescent="0.25">
      <c r="A280" s="1">
        <v>2457314.5855</v>
      </c>
      <c r="B280" s="1" t="s">
        <v>159</v>
      </c>
      <c r="C280" s="1">
        <v>0.53200000000000003</v>
      </c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</row>
    <row r="281" spans="1:18" x14ac:dyDescent="0.25">
      <c r="A281" s="1">
        <v>2457315.8233400001</v>
      </c>
      <c r="B281" s="1" t="s">
        <v>160</v>
      </c>
      <c r="C281" s="1">
        <v>0.60899999999999999</v>
      </c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</row>
    <row r="282" spans="1:18" x14ac:dyDescent="0.25">
      <c r="A282" s="1">
        <v>2457321.4686400001</v>
      </c>
      <c r="B282" s="1" t="s">
        <v>161</v>
      </c>
      <c r="C282" s="1">
        <v>0.60199999999999998</v>
      </c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</row>
    <row r="283" spans="1:18" x14ac:dyDescent="0.25">
      <c r="A283" s="1">
        <v>2457321.4793799999</v>
      </c>
      <c r="B283" s="1" t="s">
        <v>161</v>
      </c>
      <c r="C283" s="1">
        <v>0.64600000000000002</v>
      </c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</row>
    <row r="284" spans="1:18" x14ac:dyDescent="0.25">
      <c r="A284" s="1">
        <v>2457321.47976</v>
      </c>
      <c r="B284" s="1" t="s">
        <v>161</v>
      </c>
      <c r="C284" s="1">
        <v>0.64100000000000001</v>
      </c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</row>
    <row r="285" spans="1:18" x14ac:dyDescent="0.25">
      <c r="A285" s="1">
        <v>2457321.4801400001</v>
      </c>
      <c r="B285" s="1" t="s">
        <v>161</v>
      </c>
      <c r="C285" s="1">
        <v>0.66700000000000004</v>
      </c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</row>
    <row r="286" spans="1:18" x14ac:dyDescent="0.25">
      <c r="A286" s="1">
        <v>2457321.4805200002</v>
      </c>
      <c r="B286" s="1" t="s">
        <v>161</v>
      </c>
      <c r="C286" s="1">
        <v>0.65900000000000003</v>
      </c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</row>
    <row r="287" spans="1:18" x14ac:dyDescent="0.25">
      <c r="A287" s="1">
        <v>2457321.4809099999</v>
      </c>
      <c r="B287" s="1" t="s">
        <v>161</v>
      </c>
      <c r="C287" s="1">
        <v>0.66400000000000003</v>
      </c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</row>
    <row r="288" spans="1:18" x14ac:dyDescent="0.25">
      <c r="A288" s="1">
        <v>2457321.5814</v>
      </c>
      <c r="B288" s="1" t="s">
        <v>162</v>
      </c>
      <c r="C288" s="1">
        <v>0.56499999999999995</v>
      </c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</row>
    <row r="289" spans="1:18" x14ac:dyDescent="0.25">
      <c r="A289" s="1">
        <v>2457321.7966100001</v>
      </c>
      <c r="B289" s="1" t="s">
        <v>162</v>
      </c>
      <c r="C289" s="1">
        <v>0.64500000000000002</v>
      </c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</row>
    <row r="290" spans="1:18" x14ac:dyDescent="0.25">
      <c r="A290" s="1">
        <v>2457324.8045299998</v>
      </c>
      <c r="B290" s="1" t="s">
        <v>165</v>
      </c>
      <c r="C290" s="1">
        <v>0.627</v>
      </c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</row>
    <row r="291" spans="1:18" x14ac:dyDescent="0.25">
      <c r="A291" s="1">
        <v>2457325.8520599999</v>
      </c>
      <c r="B291" s="1" t="s">
        <v>166</v>
      </c>
      <c r="C291" s="1">
        <v>0.68</v>
      </c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</row>
    <row r="292" spans="1:18" x14ac:dyDescent="0.25">
      <c r="A292" s="1">
        <v>2457326.45151</v>
      </c>
      <c r="B292" s="1" t="s">
        <v>166</v>
      </c>
      <c r="C292" s="1">
        <v>0.65700000000000003</v>
      </c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</row>
    <row r="293" spans="1:18" x14ac:dyDescent="0.25">
      <c r="A293" s="1">
        <v>2457327.8194499998</v>
      </c>
      <c r="B293" s="1" t="s">
        <v>167</v>
      </c>
      <c r="C293" s="1">
        <v>0.61699999999999999</v>
      </c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</row>
    <row r="294" spans="1:18" x14ac:dyDescent="0.25">
      <c r="A294" s="1">
        <v>2457328.43615</v>
      </c>
      <c r="B294" s="1" t="s">
        <v>167</v>
      </c>
      <c r="C294" s="1">
        <v>0.624</v>
      </c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</row>
    <row r="295" spans="1:18" x14ac:dyDescent="0.25">
      <c r="A295" s="1">
        <v>2457328.6091999998</v>
      </c>
      <c r="B295" s="1" t="s">
        <v>168</v>
      </c>
      <c r="C295" s="1">
        <v>0.56399999999999995</v>
      </c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</row>
    <row r="296" spans="1:18" x14ac:dyDescent="0.25">
      <c r="A296" s="1">
        <v>2457329.43444</v>
      </c>
      <c r="B296" s="1" t="s">
        <v>168</v>
      </c>
      <c r="C296" s="1">
        <v>0.67300000000000004</v>
      </c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</row>
    <row r="297" spans="1:18" x14ac:dyDescent="0.25">
      <c r="A297" s="1">
        <v>2457330.25208</v>
      </c>
      <c r="B297" s="1" t="s">
        <v>169</v>
      </c>
      <c r="C297" s="1">
        <v>0.56999999999999995</v>
      </c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</row>
    <row r="298" spans="1:18" x14ac:dyDescent="0.25">
      <c r="A298" s="1">
        <v>2457330.4655800001</v>
      </c>
      <c r="B298" s="1" t="s">
        <v>169</v>
      </c>
      <c r="C298" s="1">
        <v>0.61899999999999999</v>
      </c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</row>
    <row r="299" spans="1:18" x14ac:dyDescent="0.25">
      <c r="A299" s="1">
        <v>2457330.5745999999</v>
      </c>
      <c r="B299" s="1" t="s">
        <v>170</v>
      </c>
      <c r="C299" s="1">
        <v>0.56999999999999995</v>
      </c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</row>
    <row r="300" spans="1:18" x14ac:dyDescent="0.25">
      <c r="A300" s="1">
        <v>2457330.7909200001</v>
      </c>
      <c r="B300" s="1" t="s">
        <v>170</v>
      </c>
      <c r="C300" s="1">
        <v>0.67</v>
      </c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</row>
    <row r="301" spans="1:18" x14ac:dyDescent="0.25">
      <c r="A301" s="1">
        <v>2457331.1137399999</v>
      </c>
      <c r="B301" s="1" t="s">
        <v>170</v>
      </c>
      <c r="C301" s="1">
        <v>0.77200000000000002</v>
      </c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</row>
    <row r="302" spans="1:18" x14ac:dyDescent="0.25">
      <c r="A302" s="1">
        <v>2457331.4665799998</v>
      </c>
      <c r="B302" s="1" t="s">
        <v>170</v>
      </c>
      <c r="C302" s="1">
        <v>0.61299999999999999</v>
      </c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</row>
    <row r="303" spans="1:18" x14ac:dyDescent="0.25">
      <c r="A303" s="1">
        <v>2457331.6096000001</v>
      </c>
      <c r="B303" s="1" t="s">
        <v>171</v>
      </c>
      <c r="C303" s="1">
        <v>0.58499999999999996</v>
      </c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</row>
    <row r="304" spans="1:18" x14ac:dyDescent="0.25">
      <c r="A304" s="1">
        <v>2457334.5457000001</v>
      </c>
      <c r="B304" s="1" t="s">
        <v>173</v>
      </c>
      <c r="C304" s="1">
        <v>0.57999999999999996</v>
      </c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</row>
    <row r="305" spans="1:18" x14ac:dyDescent="0.25">
      <c r="A305" s="1">
        <v>2457335.43102</v>
      </c>
      <c r="B305" s="1" t="s">
        <v>173</v>
      </c>
      <c r="C305" s="1">
        <v>0.63</v>
      </c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</row>
    <row r="306" spans="1:18" x14ac:dyDescent="0.25">
      <c r="A306" s="1">
        <v>2457335.5098000001</v>
      </c>
      <c r="B306" s="1" t="s">
        <v>174</v>
      </c>
      <c r="C306" s="1">
        <v>0.56499999999999995</v>
      </c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</row>
    <row r="307" spans="1:18" x14ac:dyDescent="0.25">
      <c r="A307" s="1">
        <v>2457339.2465300001</v>
      </c>
      <c r="B307" s="1" t="s">
        <v>175</v>
      </c>
      <c r="C307" s="1">
        <v>0.65</v>
      </c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</row>
    <row r="308" spans="1:18" x14ac:dyDescent="0.25">
      <c r="A308" s="1">
        <v>2457339.2798600001</v>
      </c>
      <c r="B308" s="1" t="s">
        <v>175</v>
      </c>
      <c r="C308" s="1">
        <v>0.61</v>
      </c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</row>
    <row r="309" spans="1:18" x14ac:dyDescent="0.25">
      <c r="A309" s="1">
        <v>2457341.4714199998</v>
      </c>
      <c r="B309" s="1" t="s">
        <v>176</v>
      </c>
      <c r="C309" s="1">
        <v>0.65400000000000003</v>
      </c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</row>
    <row r="310" spans="1:18" x14ac:dyDescent="0.25">
      <c r="A310" s="1">
        <v>2457343.4373699999</v>
      </c>
      <c r="B310" s="1" t="s">
        <v>177</v>
      </c>
      <c r="C310" s="1">
        <v>0.61</v>
      </c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</row>
    <row r="311" spans="1:18" x14ac:dyDescent="0.25">
      <c r="A311" s="1">
        <v>2457343.8257800001</v>
      </c>
      <c r="B311" s="1" t="s">
        <v>180</v>
      </c>
      <c r="C311" s="1">
        <v>0.71399999999999997</v>
      </c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</row>
    <row r="312" spans="1:18" x14ac:dyDescent="0.25">
      <c r="A312" s="1">
        <v>2457344.5582400002</v>
      </c>
      <c r="B312" s="1" t="s">
        <v>178</v>
      </c>
      <c r="C312" s="1">
        <v>0.621</v>
      </c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</row>
    <row r="313" spans="1:18" x14ac:dyDescent="0.25">
      <c r="A313" s="1">
        <v>2457345.2638900001</v>
      </c>
      <c r="B313" s="1" t="s">
        <v>178</v>
      </c>
      <c r="C313" s="1">
        <v>0.66</v>
      </c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</row>
    <row r="314" spans="1:18" x14ac:dyDescent="0.25">
      <c r="A314" s="1">
        <v>2457347.5316900001</v>
      </c>
      <c r="B314" s="1" t="s">
        <v>181</v>
      </c>
      <c r="C314" s="1">
        <v>0.69699999999999995</v>
      </c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</row>
    <row r="315" spans="1:18" x14ac:dyDescent="0.25">
      <c r="A315" s="1">
        <v>2457349.5535599999</v>
      </c>
      <c r="B315" s="1" t="s">
        <v>179</v>
      </c>
      <c r="C315" s="1">
        <v>0.62</v>
      </c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</row>
    <row r="316" spans="1:18" x14ac:dyDescent="0.25">
      <c r="A316" s="1">
        <v>2457350.43805</v>
      </c>
      <c r="B316" s="1" t="s">
        <v>179</v>
      </c>
      <c r="C316" s="1">
        <v>0.65500000000000003</v>
      </c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</row>
    <row r="317" spans="1:18" x14ac:dyDescent="0.25">
      <c r="A317" s="1">
        <v>2457350.53045</v>
      </c>
      <c r="B317" s="1" t="s">
        <v>182</v>
      </c>
      <c r="C317" s="1">
        <v>0.68100000000000005</v>
      </c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</row>
    <row r="318" spans="1:18" x14ac:dyDescent="0.25">
      <c r="A318" s="1">
        <v>2457351.5295899999</v>
      </c>
      <c r="B318" s="1" t="s">
        <v>183</v>
      </c>
      <c r="C318" s="1">
        <v>0.60099999999999998</v>
      </c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</row>
    <row r="319" spans="1:18" x14ac:dyDescent="0.25">
      <c r="A319" s="1">
        <v>2457356.42539</v>
      </c>
      <c r="B319" s="1" t="s">
        <v>184</v>
      </c>
      <c r="C319" s="1">
        <v>0.67300000000000004</v>
      </c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</row>
    <row r="320" spans="1:18" x14ac:dyDescent="0.25">
      <c r="A320" s="1">
        <v>2457358.53229</v>
      </c>
      <c r="B320" s="1" t="s">
        <v>185</v>
      </c>
      <c r="C320" s="1">
        <v>0.65500000000000003</v>
      </c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</row>
    <row r="321" spans="1:18" x14ac:dyDescent="0.25">
      <c r="A321" s="1">
        <v>2457359.6856999998</v>
      </c>
      <c r="B321" s="1" t="s">
        <v>186</v>
      </c>
      <c r="C321" s="1">
        <v>0.70599999999999996</v>
      </c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</row>
    <row r="322" spans="1:18" x14ac:dyDescent="0.25">
      <c r="A322" s="1">
        <v>2457360.5895099998</v>
      </c>
      <c r="B322" s="1" t="s">
        <v>187</v>
      </c>
      <c r="C322" s="1">
        <v>0.70199999999999996</v>
      </c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</row>
    <row r="323" spans="1:18" x14ac:dyDescent="0.25">
      <c r="A323" s="1">
        <v>2457361.5200700001</v>
      </c>
      <c r="B323" s="1" t="s">
        <v>188</v>
      </c>
      <c r="C323" s="1">
        <v>0.64400000000000002</v>
      </c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</row>
    <row r="324" spans="1:18" x14ac:dyDescent="0.25">
      <c r="A324" s="1">
        <v>2457361.6814899999</v>
      </c>
      <c r="B324" s="1" t="s">
        <v>188</v>
      </c>
      <c r="C324" s="1">
        <v>0.754</v>
      </c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</row>
    <row r="325" spans="1:18" x14ac:dyDescent="0.25">
      <c r="A325" s="1">
        <v>2457362.4219499999</v>
      </c>
      <c r="B325" s="1" t="s">
        <v>188</v>
      </c>
      <c r="C325" s="1">
        <v>0.67900000000000005</v>
      </c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</row>
    <row r="326" spans="1:18" x14ac:dyDescent="0.25">
      <c r="A326" s="1">
        <v>2457368.2422400001</v>
      </c>
      <c r="B326" s="1" t="s">
        <v>191</v>
      </c>
      <c r="C326" s="1">
        <v>0.69799999999999995</v>
      </c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</row>
    <row r="327" spans="1:18" x14ac:dyDescent="0.25">
      <c r="A327" s="1">
        <v>2457368.54482</v>
      </c>
      <c r="B327" s="1" t="s">
        <v>192</v>
      </c>
      <c r="C327" s="1">
        <v>0.64900000000000002</v>
      </c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</row>
    <row r="328" spans="1:18" x14ac:dyDescent="0.25">
      <c r="A328" s="1">
        <v>2457372.4415099998</v>
      </c>
      <c r="B328" s="1" t="s">
        <v>194</v>
      </c>
      <c r="C328" s="1">
        <v>0.623</v>
      </c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</row>
    <row r="329" spans="1:18" x14ac:dyDescent="0.25">
      <c r="A329" s="1">
        <v>2457374.6489300001</v>
      </c>
      <c r="B329" s="1" t="s">
        <v>197</v>
      </c>
      <c r="C329" s="1">
        <v>0.68100000000000005</v>
      </c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</row>
    <row r="330" spans="1:18" x14ac:dyDescent="0.25">
      <c r="A330" s="1">
        <v>2457376.4328999999</v>
      </c>
      <c r="B330" s="1" t="s">
        <v>198</v>
      </c>
      <c r="C330" s="1">
        <v>0.68100000000000005</v>
      </c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</row>
    <row r="331" spans="1:18" x14ac:dyDescent="0.25">
      <c r="A331" s="1">
        <v>2457377.64115</v>
      </c>
      <c r="B331" s="1" t="s">
        <v>199</v>
      </c>
      <c r="C331" s="1">
        <v>0.76300000000000001</v>
      </c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</row>
    <row r="332" spans="1:18" x14ac:dyDescent="0.25">
      <c r="A332" s="1">
        <v>2457381.3393399999</v>
      </c>
      <c r="B332" s="1" t="s">
        <v>200</v>
      </c>
      <c r="C332" s="1">
        <v>0.72</v>
      </c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</row>
    <row r="333" spans="1:18" x14ac:dyDescent="0.25">
      <c r="A333" s="1">
        <v>2457386.1909699999</v>
      </c>
      <c r="B333" s="1" t="s">
        <v>201</v>
      </c>
      <c r="C333" s="1">
        <v>0.7</v>
      </c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</row>
    <row r="334" spans="1:18" x14ac:dyDescent="0.25">
      <c r="A334" s="1">
        <v>2457484.8844699999</v>
      </c>
      <c r="B334" s="1" t="s">
        <v>209</v>
      </c>
      <c r="C334" s="1">
        <v>0.91900000000000004</v>
      </c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</row>
    <row r="335" spans="1:18" x14ac:dyDescent="0.25">
      <c r="A335" s="1">
        <v>2457502.85549</v>
      </c>
      <c r="B335" s="1" t="s">
        <v>212</v>
      </c>
      <c r="C335" s="1">
        <v>0.94699999999999995</v>
      </c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</row>
    <row r="336" spans="1:18" x14ac:dyDescent="0.25">
      <c r="A336" s="1">
        <v>2457506.8360600001</v>
      </c>
      <c r="B336" s="1" t="s">
        <v>213</v>
      </c>
      <c r="C336" s="1">
        <v>0.80300000000000005</v>
      </c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</row>
    <row r="337" spans="1:18" x14ac:dyDescent="0.25">
      <c r="A337" s="1">
        <v>2457561.7854200001</v>
      </c>
      <c r="B337" s="1" t="s">
        <v>225</v>
      </c>
      <c r="C337" s="1">
        <v>0.97099999999999997</v>
      </c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</row>
    <row r="338" spans="1:18" x14ac:dyDescent="0.25">
      <c r="A338" s="1">
        <v>2457565.6662300001</v>
      </c>
      <c r="B338" s="1" t="s">
        <v>226</v>
      </c>
      <c r="C338" s="1">
        <v>0.95299999999999996</v>
      </c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</row>
    <row r="339" spans="1:18" x14ac:dyDescent="0.25">
      <c r="A339" s="1">
        <v>2457569.6523199999</v>
      </c>
      <c r="B339" s="1" t="s">
        <v>229</v>
      </c>
      <c r="C339" s="1">
        <v>0.95699999999999996</v>
      </c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</row>
    <row r="340" spans="1:18" x14ac:dyDescent="0.25">
      <c r="A340" s="1">
        <v>2457572.6515600001</v>
      </c>
      <c r="B340" s="1" t="s">
        <v>231</v>
      </c>
      <c r="C340" s="1">
        <v>0.92500000000000004</v>
      </c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</row>
    <row r="341" spans="1:18" x14ac:dyDescent="0.25">
      <c r="A341" s="1">
        <v>2457575.6428999999</v>
      </c>
      <c r="B341" s="1" t="s">
        <v>234</v>
      </c>
      <c r="C341" s="1">
        <v>0.92700000000000005</v>
      </c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</row>
    <row r="342" spans="1:18" x14ac:dyDescent="0.25">
      <c r="A342" s="1">
        <v>2457576.6341800001</v>
      </c>
      <c r="B342" s="1" t="s">
        <v>235</v>
      </c>
      <c r="C342" s="1">
        <v>1.0640000000000001</v>
      </c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</row>
    <row r="343" spans="1:18" x14ac:dyDescent="0.25">
      <c r="A343" s="1">
        <v>2457576.7321500001</v>
      </c>
      <c r="B343" s="1" t="s">
        <v>235</v>
      </c>
      <c r="C343" s="1">
        <v>1.1759999999999999</v>
      </c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</row>
    <row r="344" spans="1:18" x14ac:dyDescent="0.25">
      <c r="A344" s="1">
        <v>2457583.4586200002</v>
      </c>
      <c r="B344" s="1" t="s">
        <v>238</v>
      </c>
      <c r="C344" s="1">
        <v>1.095</v>
      </c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</row>
    <row r="345" spans="1:18" x14ac:dyDescent="0.25">
      <c r="A345" s="1">
        <v>2457584.7033600002</v>
      </c>
      <c r="B345" s="1" t="s">
        <v>239</v>
      </c>
      <c r="C345" s="1">
        <v>1.1950000000000001</v>
      </c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</row>
    <row r="346" spans="1:18" x14ac:dyDescent="0.25">
      <c r="A346" s="1">
        <v>2457590.61882</v>
      </c>
      <c r="B346" s="1" t="s">
        <v>243</v>
      </c>
      <c r="C346" s="1">
        <v>1.028</v>
      </c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</row>
    <row r="347" spans="1:18" x14ac:dyDescent="0.25">
      <c r="A347" s="1">
        <v>2457591.6097499998</v>
      </c>
      <c r="B347" s="1" t="s">
        <v>244</v>
      </c>
      <c r="C347" s="1">
        <v>0.99399999999999999</v>
      </c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</row>
    <row r="348" spans="1:18" x14ac:dyDescent="0.25">
      <c r="A348" s="1">
        <v>2457592.6979999999</v>
      </c>
      <c r="B348" s="1" t="s">
        <v>245</v>
      </c>
      <c r="C348" s="1">
        <v>1.097</v>
      </c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</row>
    <row r="349" spans="1:18" x14ac:dyDescent="0.25">
      <c r="A349" s="1">
        <v>2457599.6053800001</v>
      </c>
      <c r="B349" s="1" t="s">
        <v>248</v>
      </c>
      <c r="C349" s="1">
        <v>0.96</v>
      </c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</row>
    <row r="350" spans="1:18" x14ac:dyDescent="0.25">
      <c r="A350" s="1">
        <v>2457603.6727999998</v>
      </c>
      <c r="B350" s="1" t="s">
        <v>249</v>
      </c>
      <c r="C350" s="1">
        <v>1.0680000000000001</v>
      </c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</row>
    <row r="351" spans="1:18" x14ac:dyDescent="0.25">
      <c r="A351" s="1">
        <v>2457604.5900699999</v>
      </c>
      <c r="B351" s="1" t="s">
        <v>250</v>
      </c>
      <c r="C351" s="1">
        <v>1.0249999999999999</v>
      </c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</row>
    <row r="352" spans="1:18" x14ac:dyDescent="0.25">
      <c r="A352" s="1">
        <v>2457605.4820400001</v>
      </c>
      <c r="B352" s="1" t="s">
        <v>250</v>
      </c>
      <c r="C352" s="1">
        <v>1.1060000000000001</v>
      </c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</row>
    <row r="353" spans="1:18" x14ac:dyDescent="0.25">
      <c r="A353" s="1">
        <v>2457605.6036</v>
      </c>
      <c r="B353" s="1" t="s">
        <v>251</v>
      </c>
      <c r="C353" s="1">
        <v>1.0840000000000001</v>
      </c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</row>
    <row r="354" spans="1:18" x14ac:dyDescent="0.25">
      <c r="A354" s="1">
        <v>2457610.6886999998</v>
      </c>
      <c r="B354" s="1" t="s">
        <v>252</v>
      </c>
      <c r="C354" s="1">
        <v>1.0760000000000001</v>
      </c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</row>
    <row r="355" spans="1:18" x14ac:dyDescent="0.25">
      <c r="A355" s="1">
        <v>2457612.5293700001</v>
      </c>
      <c r="B355" s="1" t="s">
        <v>253</v>
      </c>
      <c r="C355" s="1">
        <v>1.135</v>
      </c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</row>
    <row r="356" spans="1:18" x14ac:dyDescent="0.25">
      <c r="A356" s="1">
        <v>2457630.6392600001</v>
      </c>
      <c r="B356" s="1" t="s">
        <v>259</v>
      </c>
      <c r="C356" s="1">
        <v>0.94099999999999995</v>
      </c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</row>
    <row r="357" spans="1:18" x14ac:dyDescent="0.25">
      <c r="A357" s="1">
        <v>2457631.4599600001</v>
      </c>
      <c r="B357" s="1" t="s">
        <v>259</v>
      </c>
      <c r="C357" s="1">
        <v>1.1020000000000001</v>
      </c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</row>
    <row r="358" spans="1:18" x14ac:dyDescent="0.25">
      <c r="A358" s="1">
        <v>2457631.59852</v>
      </c>
      <c r="B358" s="1" t="s">
        <v>260</v>
      </c>
      <c r="C358" s="1">
        <v>1.0149999999999999</v>
      </c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</row>
    <row r="359" spans="1:18" x14ac:dyDescent="0.25">
      <c r="A359" s="1">
        <v>2457636.7231899998</v>
      </c>
      <c r="B359" s="1" t="s">
        <v>261</v>
      </c>
      <c r="C359" s="1">
        <v>1.0620000000000001</v>
      </c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</row>
    <row r="360" spans="1:18" x14ac:dyDescent="0.25">
      <c r="A360" s="1">
        <v>2457643.6433999999</v>
      </c>
      <c r="B360" s="1" t="s">
        <v>263</v>
      </c>
      <c r="C360" s="1">
        <v>1.0780000000000001</v>
      </c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</row>
    <row r="361" spans="1:18" x14ac:dyDescent="0.25">
      <c r="A361" s="1">
        <v>2457645.4357699999</v>
      </c>
      <c r="B361" s="1" t="s">
        <v>264</v>
      </c>
      <c r="C361" s="1">
        <v>1.113</v>
      </c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</row>
    <row r="362" spans="1:18" x14ac:dyDescent="0.25">
      <c r="A362" s="1">
        <v>2457647.55272</v>
      </c>
      <c r="B362" s="1" t="s">
        <v>265</v>
      </c>
      <c r="C362" s="1">
        <v>1.0649999999999999</v>
      </c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</row>
    <row r="363" spans="1:18" x14ac:dyDescent="0.25">
      <c r="A363" s="1">
        <v>2457647.5556000001</v>
      </c>
      <c r="B363" s="1" t="s">
        <v>265</v>
      </c>
      <c r="C363" s="1">
        <v>1.0429999999999999</v>
      </c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</row>
    <row r="364" spans="1:18" x14ac:dyDescent="0.25">
      <c r="A364" s="1">
        <v>2457648.5183600001</v>
      </c>
      <c r="B364" s="1" t="s">
        <v>266</v>
      </c>
      <c r="C364" s="1">
        <v>1.0109999999999999</v>
      </c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</row>
    <row r="365" spans="1:18" x14ac:dyDescent="0.25">
      <c r="A365" s="1">
        <v>2457667.6879699999</v>
      </c>
      <c r="B365" s="1" t="s">
        <v>273</v>
      </c>
      <c r="C365" s="1">
        <v>1.02</v>
      </c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</row>
    <row r="366" spans="1:18" x14ac:dyDescent="0.25">
      <c r="A366" s="1">
        <v>2457672.50073</v>
      </c>
      <c r="B366" s="1" t="s">
        <v>274</v>
      </c>
      <c r="C366" s="1">
        <v>0.95699999999999996</v>
      </c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</row>
    <row r="367" spans="1:18" x14ac:dyDescent="0.25">
      <c r="A367" s="1">
        <v>2457675.65289</v>
      </c>
      <c r="B367" s="1" t="s">
        <v>275</v>
      </c>
      <c r="C367" s="1">
        <v>1.073</v>
      </c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</row>
    <row r="368" spans="1:18" x14ac:dyDescent="0.25">
      <c r="A368" s="1">
        <v>2457676.5356899998</v>
      </c>
      <c r="B368" s="1" t="s">
        <v>276</v>
      </c>
      <c r="C368" s="1">
        <v>0.94799999999999995</v>
      </c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</row>
    <row r="369" spans="1:18" x14ac:dyDescent="0.25">
      <c r="A369" s="1">
        <v>2457677.5336099998</v>
      </c>
      <c r="B369" s="1" t="s">
        <v>277</v>
      </c>
      <c r="C369" s="1">
        <v>1.08</v>
      </c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</row>
    <row r="370" spans="1:18" x14ac:dyDescent="0.25">
      <c r="A370" s="1">
        <v>2457680.55797</v>
      </c>
      <c r="B370" s="1" t="s">
        <v>278</v>
      </c>
      <c r="C370" s="1">
        <v>1.022</v>
      </c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</row>
    <row r="371" spans="1:18" x14ac:dyDescent="0.25">
      <c r="A371" s="1">
        <v>2457681.5510399998</v>
      </c>
      <c r="B371" s="1" t="s">
        <v>279</v>
      </c>
      <c r="C371" s="1">
        <v>0.94</v>
      </c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</row>
    <row r="372" spans="1:18" x14ac:dyDescent="0.25">
      <c r="A372" s="1">
        <v>2457685.5110900002</v>
      </c>
      <c r="B372" s="1" t="s">
        <v>280</v>
      </c>
      <c r="C372" s="1">
        <v>0.98599999999999999</v>
      </c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</row>
    <row r="373" spans="1:18" x14ac:dyDescent="0.25">
      <c r="A373" s="1">
        <v>2457686.6693000002</v>
      </c>
      <c r="B373" s="1" t="s">
        <v>281</v>
      </c>
      <c r="C373" s="1">
        <v>1.0629999999999999</v>
      </c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</row>
    <row r="374" spans="1:18" x14ac:dyDescent="0.25">
      <c r="A374" s="1">
        <v>2457687.5377500001</v>
      </c>
      <c r="B374" s="1" t="s">
        <v>282</v>
      </c>
      <c r="C374" s="1">
        <v>1.042</v>
      </c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</row>
    <row r="375" spans="1:18" x14ac:dyDescent="0.25">
      <c r="A375" s="1">
        <v>2457693.50312</v>
      </c>
      <c r="B375" s="1" t="s">
        <v>283</v>
      </c>
      <c r="C375" s="1">
        <v>0.94899999999999995</v>
      </c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</row>
    <row r="376" spans="1:18" x14ac:dyDescent="0.25">
      <c r="A376" s="1">
        <v>2457701.5743200001</v>
      </c>
      <c r="B376" s="1" t="s">
        <v>285</v>
      </c>
      <c r="C376" s="1">
        <v>1.0169999999999999</v>
      </c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</row>
    <row r="377" spans="1:18" x14ac:dyDescent="0.25">
      <c r="A377" s="1">
        <v>2457706.56629</v>
      </c>
      <c r="B377" s="1" t="s">
        <v>287</v>
      </c>
      <c r="C377" s="1">
        <v>1.0940000000000001</v>
      </c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</row>
    <row r="378" spans="1:18" x14ac:dyDescent="0.25">
      <c r="A378" s="1">
        <v>2457708.6790200002</v>
      </c>
      <c r="B378" s="1" t="s">
        <v>288</v>
      </c>
      <c r="C378" s="1">
        <v>1.0149999999999999</v>
      </c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</row>
    <row r="379" spans="1:18" x14ac:dyDescent="0.25">
      <c r="A379" s="1">
        <v>2457722.5460700002</v>
      </c>
      <c r="B379" s="1" t="s">
        <v>290</v>
      </c>
      <c r="C379" s="1">
        <v>1.0980000000000001</v>
      </c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</row>
    <row r="380" spans="1:18" x14ac:dyDescent="0.25">
      <c r="A380" s="1">
        <v>2457723.30174</v>
      </c>
      <c r="B380" s="1" t="s">
        <v>290</v>
      </c>
      <c r="C380" s="1">
        <v>1.0860000000000001</v>
      </c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4"/>
  <dimension ref="A1:AA489"/>
  <sheetViews>
    <sheetView workbookViewId="0">
      <selection sqref="A1:XFD265"/>
    </sheetView>
  </sheetViews>
  <sheetFormatPr baseColWidth="10" defaultRowHeight="15" x14ac:dyDescent="0.25"/>
  <sheetData>
    <row r="1" spans="1:27" x14ac:dyDescent="0.25">
      <c r="A1" s="1">
        <v>2456605.2083000001</v>
      </c>
      <c r="B1" s="1" t="s">
        <v>105</v>
      </c>
      <c r="C1" s="1">
        <v>9.75</v>
      </c>
      <c r="D1" s="1">
        <v>0.04</v>
      </c>
      <c r="E1" s="1" t="s">
        <v>2</v>
      </c>
      <c r="F1" s="1" t="s">
        <v>106</v>
      </c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x14ac:dyDescent="0.25">
      <c r="A2" s="1">
        <v>2456611.6142199999</v>
      </c>
      <c r="B2" s="1" t="s">
        <v>107</v>
      </c>
      <c r="C2" s="1">
        <v>9.6940000000000008</v>
      </c>
      <c r="D2" s="1">
        <v>1.0999999999999999E-2</v>
      </c>
      <c r="E2" s="1" t="s">
        <v>2</v>
      </c>
      <c r="F2" s="1" t="s">
        <v>5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x14ac:dyDescent="0.25">
      <c r="A3" s="1">
        <v>2456613.6151000001</v>
      </c>
      <c r="B3" s="1" t="s">
        <v>108</v>
      </c>
      <c r="C3" s="1">
        <v>9.6769999999999996</v>
      </c>
      <c r="D3" s="1">
        <v>1.2999999999999999E-2</v>
      </c>
      <c r="E3" s="1" t="s">
        <v>2</v>
      </c>
      <c r="F3" s="1" t="s">
        <v>5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x14ac:dyDescent="0.25">
      <c r="A4" s="1">
        <v>2456615.6011800002</v>
      </c>
      <c r="B4" s="1" t="s">
        <v>109</v>
      </c>
      <c r="C4" s="1">
        <v>9.7149999999999999</v>
      </c>
      <c r="D4" s="1">
        <v>1.2999999999999999E-2</v>
      </c>
      <c r="E4" s="1" t="s">
        <v>2</v>
      </c>
      <c r="F4" s="1" t="s">
        <v>5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x14ac:dyDescent="0.25">
      <c r="A5" s="1">
        <v>2456616.5986700002</v>
      </c>
      <c r="B5" s="1" t="s">
        <v>110</v>
      </c>
      <c r="C5" s="1">
        <v>9.7279999999999998</v>
      </c>
      <c r="D5" s="1">
        <v>0.01</v>
      </c>
      <c r="E5" s="1" t="s">
        <v>2</v>
      </c>
      <c r="F5" s="1" t="s">
        <v>5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x14ac:dyDescent="0.25">
      <c r="A6" s="1">
        <v>2456617.5966599998</v>
      </c>
      <c r="B6" s="1" t="s">
        <v>111</v>
      </c>
      <c r="C6" s="1">
        <v>9.6489999999999991</v>
      </c>
      <c r="D6" s="1">
        <v>1.2999999999999999E-2</v>
      </c>
      <c r="E6" s="1" t="s">
        <v>2</v>
      </c>
      <c r="F6" s="1" t="s">
        <v>5</v>
      </c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x14ac:dyDescent="0.25">
      <c r="A7" s="1">
        <v>2456687.75177</v>
      </c>
      <c r="B7" s="1" t="s">
        <v>114</v>
      </c>
      <c r="C7" s="1">
        <v>9.4629999999999992</v>
      </c>
      <c r="D7" s="1">
        <v>0.27</v>
      </c>
      <c r="E7" s="1" t="s">
        <v>2</v>
      </c>
      <c r="F7" s="1" t="s">
        <v>5</v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x14ac:dyDescent="0.25">
      <c r="A8" s="1">
        <v>2456764.87953</v>
      </c>
      <c r="B8" s="1" t="s">
        <v>115</v>
      </c>
      <c r="C8" s="1">
        <v>9.2210000000000001</v>
      </c>
      <c r="D8" s="1">
        <v>1.7000000000000001E-2</v>
      </c>
      <c r="E8" s="1" t="s">
        <v>2</v>
      </c>
      <c r="F8" s="1" t="s">
        <v>5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x14ac:dyDescent="0.25">
      <c r="A9" s="1">
        <v>2456896.7162700002</v>
      </c>
      <c r="B9" s="1" t="s">
        <v>117</v>
      </c>
      <c r="C9" s="1">
        <v>9.9830000000000005</v>
      </c>
      <c r="D9" s="1">
        <v>1.2999999999999999E-2</v>
      </c>
      <c r="E9" s="1" t="s">
        <v>2</v>
      </c>
      <c r="F9" s="1" t="s">
        <v>5</v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x14ac:dyDescent="0.25">
      <c r="A10" s="1">
        <v>2456898.3333000001</v>
      </c>
      <c r="B10" s="1" t="s">
        <v>118</v>
      </c>
      <c r="C10" s="1">
        <v>10.02</v>
      </c>
      <c r="D10" s="1">
        <v>0.04</v>
      </c>
      <c r="E10" s="1" t="s">
        <v>2</v>
      </c>
      <c r="F10" s="1" t="s">
        <v>106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25">
      <c r="A11" s="1">
        <v>2456898.7217700002</v>
      </c>
      <c r="B11" s="1" t="s">
        <v>119</v>
      </c>
      <c r="C11" s="1">
        <v>10.013999999999999</v>
      </c>
      <c r="D11" s="1">
        <v>8.9999999999999993E-3</v>
      </c>
      <c r="E11" s="1" t="s">
        <v>2</v>
      </c>
      <c r="F11" s="1" t="s">
        <v>5</v>
      </c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25">
      <c r="A12" s="1">
        <v>2456902.7019000002</v>
      </c>
      <c r="B12" s="1" t="s">
        <v>120</v>
      </c>
      <c r="C12" s="1">
        <v>10.055</v>
      </c>
      <c r="D12" s="1">
        <v>1.0999999999999999E-2</v>
      </c>
      <c r="E12" s="1" t="s">
        <v>2</v>
      </c>
      <c r="F12" s="1" t="s">
        <v>5</v>
      </c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25">
      <c r="A13" s="1">
        <v>2456904.6678200001</v>
      </c>
      <c r="B13" s="1" t="s">
        <v>121</v>
      </c>
      <c r="C13" s="1">
        <v>10.076000000000001</v>
      </c>
      <c r="D13" s="1">
        <v>8.9999999999999993E-3</v>
      </c>
      <c r="E13" s="1" t="s">
        <v>2</v>
      </c>
      <c r="F13" s="1" t="s">
        <v>5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25">
      <c r="A14" s="1">
        <v>2456913.66928</v>
      </c>
      <c r="B14" s="1" t="s">
        <v>123</v>
      </c>
      <c r="C14" s="1">
        <v>10.16</v>
      </c>
      <c r="D14" s="1">
        <v>1.0999999999999999E-2</v>
      </c>
      <c r="E14" s="1" t="s">
        <v>2</v>
      </c>
      <c r="F14" s="1" t="s">
        <v>5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25">
      <c r="A15" s="1">
        <v>2456915.3333000001</v>
      </c>
      <c r="B15" s="1" t="s">
        <v>124</v>
      </c>
      <c r="C15" s="1">
        <v>10.1</v>
      </c>
      <c r="D15" s="1">
        <v>0.08</v>
      </c>
      <c r="E15" s="1" t="s">
        <v>2</v>
      </c>
      <c r="F15" s="1" t="s">
        <v>106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25">
      <c r="A16" s="1">
        <v>2456918.6744300001</v>
      </c>
      <c r="B16" s="1" t="s">
        <v>125</v>
      </c>
      <c r="C16" s="1">
        <v>10.141999999999999</v>
      </c>
      <c r="D16" s="1">
        <v>0.01</v>
      </c>
      <c r="E16" s="1" t="s">
        <v>2</v>
      </c>
      <c r="F16" s="1" t="s">
        <v>5</v>
      </c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x14ac:dyDescent="0.25">
      <c r="A17" s="1">
        <v>2456920.6946999999</v>
      </c>
      <c r="B17" s="1" t="s">
        <v>126</v>
      </c>
      <c r="C17" s="1">
        <v>10.135999999999999</v>
      </c>
      <c r="D17" s="1">
        <v>8.9999999999999993E-3</v>
      </c>
      <c r="E17" s="1" t="s">
        <v>2</v>
      </c>
      <c r="F17" s="1" t="s">
        <v>5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x14ac:dyDescent="0.25">
      <c r="A18" s="1">
        <v>2456923.6792100002</v>
      </c>
      <c r="B18" s="1" t="s">
        <v>127</v>
      </c>
      <c r="C18" s="1">
        <v>10.157</v>
      </c>
      <c r="D18" s="1">
        <v>0.01</v>
      </c>
      <c r="E18" s="1" t="s">
        <v>2</v>
      </c>
      <c r="F18" s="1" t="s">
        <v>5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x14ac:dyDescent="0.25">
      <c r="A19" s="1">
        <v>2456924.6627500001</v>
      </c>
      <c r="B19" s="1" t="s">
        <v>128</v>
      </c>
      <c r="C19" s="1">
        <v>10.146000000000001</v>
      </c>
      <c r="D19" s="1">
        <v>0.01</v>
      </c>
      <c r="E19" s="1" t="s">
        <v>2</v>
      </c>
      <c r="F19" s="1" t="s">
        <v>5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x14ac:dyDescent="0.25">
      <c r="A20" s="1">
        <v>2456927.6010799999</v>
      </c>
      <c r="B20" s="1" t="s">
        <v>129</v>
      </c>
      <c r="C20" s="1">
        <v>10.128</v>
      </c>
      <c r="D20" s="1">
        <v>0.01</v>
      </c>
      <c r="E20" s="1" t="s">
        <v>2</v>
      </c>
      <c r="F20" s="1" t="s">
        <v>5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x14ac:dyDescent="0.25">
      <c r="A21" s="1">
        <v>2456928.3541999999</v>
      </c>
      <c r="B21" s="1" t="s">
        <v>129</v>
      </c>
      <c r="C21" s="1">
        <v>10.17</v>
      </c>
      <c r="D21" s="1">
        <v>0.03</v>
      </c>
      <c r="E21" s="1" t="s">
        <v>2</v>
      </c>
      <c r="F21" s="1" t="s">
        <v>106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x14ac:dyDescent="0.25">
      <c r="A22" s="1">
        <v>2456928.5967199998</v>
      </c>
      <c r="B22" s="1" t="s">
        <v>130</v>
      </c>
      <c r="C22" s="1">
        <v>10.127000000000001</v>
      </c>
      <c r="D22" s="1">
        <v>0.01</v>
      </c>
      <c r="E22" s="1" t="s">
        <v>2</v>
      </c>
      <c r="F22" s="1" t="s">
        <v>5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x14ac:dyDescent="0.25">
      <c r="A23" s="1">
        <v>2456929.6037699999</v>
      </c>
      <c r="B23" s="1" t="s">
        <v>131</v>
      </c>
      <c r="C23" s="1">
        <v>10.125</v>
      </c>
      <c r="D23" s="1">
        <v>1.0999999999999999E-2</v>
      </c>
      <c r="E23" s="1" t="s">
        <v>2</v>
      </c>
      <c r="F23" s="1" t="s">
        <v>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25">
      <c r="A24" s="1">
        <v>2456936.5840400001</v>
      </c>
      <c r="B24" s="1" t="s">
        <v>132</v>
      </c>
      <c r="C24" s="1">
        <v>10.162000000000001</v>
      </c>
      <c r="D24" s="1">
        <v>1.0999999999999999E-2</v>
      </c>
      <c r="E24" s="1" t="s">
        <v>2</v>
      </c>
      <c r="F24" s="1" t="s">
        <v>5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25">
      <c r="A25" s="1">
        <v>2456937.5819999999</v>
      </c>
      <c r="B25" s="1" t="s">
        <v>133</v>
      </c>
      <c r="C25" s="1">
        <v>10.153</v>
      </c>
      <c r="D25" s="1">
        <v>1.2E-2</v>
      </c>
      <c r="E25" s="1" t="s">
        <v>2</v>
      </c>
      <c r="F25" s="1" t="s">
        <v>5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x14ac:dyDescent="0.25">
      <c r="A26" s="1">
        <v>2456939.5918100001</v>
      </c>
      <c r="B26" s="1" t="s">
        <v>134</v>
      </c>
      <c r="C26" s="1">
        <v>10.132</v>
      </c>
      <c r="D26" s="1">
        <v>1.0999999999999999E-2</v>
      </c>
      <c r="E26" s="1" t="s">
        <v>2</v>
      </c>
      <c r="F26" s="1" t="s">
        <v>5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25">
      <c r="A27" s="1">
        <v>2456940.6616799999</v>
      </c>
      <c r="B27" s="1" t="s">
        <v>135</v>
      </c>
      <c r="C27" s="1">
        <v>10.146000000000001</v>
      </c>
      <c r="D27" s="1">
        <v>1.0999999999999999E-2</v>
      </c>
      <c r="E27" s="1" t="s">
        <v>2</v>
      </c>
      <c r="F27" s="1" t="s">
        <v>5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25">
      <c r="A28" s="1">
        <v>2456943.58727</v>
      </c>
      <c r="B28" s="1" t="s">
        <v>136</v>
      </c>
      <c r="C28" s="1">
        <v>10.125999999999999</v>
      </c>
      <c r="D28" s="1">
        <v>8.9999999999999993E-3</v>
      </c>
      <c r="E28" s="1" t="s">
        <v>2</v>
      </c>
      <c r="F28" s="1" t="s">
        <v>5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25">
      <c r="A29" s="1">
        <v>2456945.5534999999</v>
      </c>
      <c r="B29" s="1" t="s">
        <v>137</v>
      </c>
      <c r="C29" s="1">
        <v>10.141999999999999</v>
      </c>
      <c r="D29" s="1">
        <v>1.2E-2</v>
      </c>
      <c r="E29" s="1" t="s">
        <v>2</v>
      </c>
      <c r="F29" s="1" t="s">
        <v>5</v>
      </c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25">
      <c r="A30" s="1">
        <v>2456948.5451000002</v>
      </c>
      <c r="B30" s="1" t="s">
        <v>138</v>
      </c>
      <c r="C30" s="1">
        <v>10.132999999999999</v>
      </c>
      <c r="D30" s="1">
        <v>0.01</v>
      </c>
      <c r="E30" s="1" t="s">
        <v>2</v>
      </c>
      <c r="F30" s="1" t="s">
        <v>5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25">
      <c r="A31" s="1">
        <v>2456957.5213700002</v>
      </c>
      <c r="B31" s="1" t="s">
        <v>139</v>
      </c>
      <c r="C31" s="1">
        <v>10.129</v>
      </c>
      <c r="D31" s="1">
        <v>0.01</v>
      </c>
      <c r="E31" s="1" t="s">
        <v>2</v>
      </c>
      <c r="F31" s="1" t="s">
        <v>5</v>
      </c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25">
      <c r="A32" s="1">
        <v>2457006.4569999999</v>
      </c>
      <c r="B32" s="1" t="s">
        <v>140</v>
      </c>
      <c r="C32" s="1">
        <v>10.036</v>
      </c>
      <c r="D32" s="1">
        <v>2.4E-2</v>
      </c>
      <c r="E32" s="1" t="s">
        <v>2</v>
      </c>
      <c r="F32" s="1" t="s">
        <v>5</v>
      </c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25">
      <c r="A33" s="1">
        <v>2457007.4951900002</v>
      </c>
      <c r="B33" s="1" t="s">
        <v>141</v>
      </c>
      <c r="C33" s="1">
        <v>10.023999999999999</v>
      </c>
      <c r="D33" s="1">
        <v>1.4E-2</v>
      </c>
      <c r="E33" s="1" t="s">
        <v>2</v>
      </c>
      <c r="F33" s="1" t="s">
        <v>5</v>
      </c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25">
      <c r="A34" s="1">
        <v>2457018.4552099998</v>
      </c>
      <c r="B34" s="1" t="s">
        <v>4</v>
      </c>
      <c r="C34" s="1">
        <v>10.015000000000001</v>
      </c>
      <c r="D34" s="1">
        <v>1.7999999999999999E-2</v>
      </c>
      <c r="E34" s="1" t="s">
        <v>2</v>
      </c>
      <c r="F34" s="1" t="s">
        <v>5</v>
      </c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25">
      <c r="A35" s="1">
        <v>2457019.4591899998</v>
      </c>
      <c r="B35" s="1" t="s">
        <v>6</v>
      </c>
      <c r="C35" s="1">
        <v>10.02</v>
      </c>
      <c r="D35" s="1">
        <v>1.4999999999999999E-2</v>
      </c>
      <c r="E35" s="1" t="s">
        <v>2</v>
      </c>
      <c r="F35" s="1" t="s">
        <v>5</v>
      </c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25">
      <c r="A36" s="1">
        <v>2457021.4564499999</v>
      </c>
      <c r="B36" s="1" t="s">
        <v>7</v>
      </c>
      <c r="C36" s="1">
        <v>10.002000000000001</v>
      </c>
      <c r="D36" s="1">
        <v>1.7999999999999999E-2</v>
      </c>
      <c r="E36" s="1" t="s">
        <v>2</v>
      </c>
      <c r="F36" s="1" t="s">
        <v>5</v>
      </c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25">
      <c r="A37" s="1">
        <v>2457022.4508199999</v>
      </c>
      <c r="B37" s="1" t="s">
        <v>8</v>
      </c>
      <c r="C37" s="1">
        <v>10.029</v>
      </c>
      <c r="D37" s="1">
        <v>1.4E-2</v>
      </c>
      <c r="E37" s="1" t="s">
        <v>2</v>
      </c>
      <c r="F37" s="1" t="s">
        <v>5</v>
      </c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25">
      <c r="A38" s="1">
        <v>2457023.4454000001</v>
      </c>
      <c r="B38" s="1" t="s">
        <v>9</v>
      </c>
      <c r="C38" s="1">
        <v>10.074</v>
      </c>
      <c r="D38" s="1">
        <v>2.5000000000000001E-2</v>
      </c>
      <c r="E38" s="1" t="s">
        <v>2</v>
      </c>
      <c r="F38" s="1" t="s">
        <v>5</v>
      </c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25">
      <c r="A39" s="1">
        <v>2457024.45077</v>
      </c>
      <c r="B39" s="1" t="s">
        <v>10</v>
      </c>
      <c r="C39" s="1">
        <v>10.015000000000001</v>
      </c>
      <c r="D39" s="1">
        <v>1.2999999999999999E-2</v>
      </c>
      <c r="E39" s="1" t="s">
        <v>2</v>
      </c>
      <c r="F39" s="1" t="s">
        <v>5</v>
      </c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25">
      <c r="A40" s="1">
        <v>2457025.4514500001</v>
      </c>
      <c r="B40" s="1" t="s">
        <v>11</v>
      </c>
      <c r="C40" s="1">
        <v>10.029999999999999</v>
      </c>
      <c r="D40" s="1">
        <v>1.2E-2</v>
      </c>
      <c r="E40" s="1" t="s">
        <v>2</v>
      </c>
      <c r="F40" s="1" t="s">
        <v>5</v>
      </c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25">
      <c r="A41" s="1">
        <v>2457028.4524599998</v>
      </c>
      <c r="B41" s="1" t="s">
        <v>12</v>
      </c>
      <c r="C41" s="1">
        <v>9.9760000000000009</v>
      </c>
      <c r="D41" s="1">
        <v>1.0999999999999999E-2</v>
      </c>
      <c r="E41" s="1" t="s">
        <v>2</v>
      </c>
      <c r="F41" s="1" t="s">
        <v>5</v>
      </c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25">
      <c r="A42" s="1">
        <v>2457124.8841900001</v>
      </c>
      <c r="B42" s="1" t="s">
        <v>14</v>
      </c>
      <c r="C42" s="1">
        <v>9.59</v>
      </c>
      <c r="D42" s="1">
        <v>1.6E-2</v>
      </c>
      <c r="E42" s="1" t="s">
        <v>2</v>
      </c>
      <c r="F42" s="1" t="s">
        <v>5</v>
      </c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25">
      <c r="A43" s="1">
        <v>2457128.87892</v>
      </c>
      <c r="B43" s="1" t="s">
        <v>20</v>
      </c>
      <c r="C43" s="1">
        <v>9.5879999999999992</v>
      </c>
      <c r="D43" s="1">
        <v>1.9E-2</v>
      </c>
      <c r="E43" s="1" t="s">
        <v>2</v>
      </c>
      <c r="F43" s="1" t="s">
        <v>5</v>
      </c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25">
      <c r="A44" s="1">
        <v>2457130.8763799998</v>
      </c>
      <c r="B44" s="1" t="s">
        <v>0</v>
      </c>
      <c r="C44" s="1">
        <v>9.58</v>
      </c>
      <c r="D44" s="1">
        <v>1.7000000000000001E-2</v>
      </c>
      <c r="E44" s="1" t="s">
        <v>2</v>
      </c>
      <c r="F44" s="1" t="s">
        <v>5</v>
      </c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ht="30" x14ac:dyDescent="0.25">
      <c r="A45" s="1">
        <v>2457156.8368799998</v>
      </c>
      <c r="B45" s="1" t="s">
        <v>25</v>
      </c>
      <c r="C45" s="1">
        <v>9.6349999999999998</v>
      </c>
      <c r="D45" s="1">
        <v>1.2999999999999999E-2</v>
      </c>
      <c r="E45" s="1" t="s">
        <v>2</v>
      </c>
      <c r="F45" s="1" t="s">
        <v>5</v>
      </c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ht="30" x14ac:dyDescent="0.25">
      <c r="A46" s="1">
        <v>2457157.8372900002</v>
      </c>
      <c r="B46" s="1" t="s">
        <v>26</v>
      </c>
      <c r="C46" s="1">
        <v>9.6020000000000003</v>
      </c>
      <c r="D46" s="1">
        <v>1.7000000000000001E-2</v>
      </c>
      <c r="E46" s="1" t="s">
        <v>2</v>
      </c>
      <c r="F46" s="1" t="s">
        <v>5</v>
      </c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 ht="30" x14ac:dyDescent="0.25">
      <c r="A47" s="1">
        <v>2457163.8278600001</v>
      </c>
      <c r="B47" s="1" t="s">
        <v>15</v>
      </c>
      <c r="C47" s="1">
        <v>9.5869999999999997</v>
      </c>
      <c r="D47" s="1">
        <v>1.7000000000000001E-2</v>
      </c>
      <c r="E47" s="1" t="s">
        <v>2</v>
      </c>
      <c r="F47" s="1" t="s">
        <v>5</v>
      </c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 ht="30" x14ac:dyDescent="0.25">
      <c r="A48" s="1">
        <v>2457165.8193799998</v>
      </c>
      <c r="B48" s="1" t="s">
        <v>21</v>
      </c>
      <c r="C48" s="1">
        <v>9.6460000000000008</v>
      </c>
      <c r="D48" s="1">
        <v>0.03</v>
      </c>
      <c r="E48" s="1" t="s">
        <v>2</v>
      </c>
      <c r="F48" s="1" t="s">
        <v>5</v>
      </c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 ht="30" x14ac:dyDescent="0.25">
      <c r="A49" s="1">
        <v>2457166.8284900002</v>
      </c>
      <c r="B49" s="1" t="s">
        <v>17</v>
      </c>
      <c r="C49" s="1">
        <v>9.5630000000000006</v>
      </c>
      <c r="D49" s="1">
        <v>1.6E-2</v>
      </c>
      <c r="E49" s="1" t="s">
        <v>2</v>
      </c>
      <c r="F49" s="1" t="s">
        <v>5</v>
      </c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 x14ac:dyDescent="0.25">
      <c r="A50" s="1">
        <v>2457180.8183400002</v>
      </c>
      <c r="B50" s="1" t="s">
        <v>22</v>
      </c>
      <c r="C50" s="1">
        <v>9.5009999999999994</v>
      </c>
      <c r="D50" s="1">
        <v>1.2999999999999999E-2</v>
      </c>
      <c r="E50" s="1" t="s">
        <v>2</v>
      </c>
      <c r="F50" s="1" t="s">
        <v>5</v>
      </c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 x14ac:dyDescent="0.25">
      <c r="A51" s="1">
        <v>2457187.8084399998</v>
      </c>
      <c r="B51" s="1" t="s">
        <v>18</v>
      </c>
      <c r="C51" s="1">
        <v>8.5809999999999995</v>
      </c>
      <c r="D51" s="1">
        <v>8.9999999999999993E-3</v>
      </c>
      <c r="E51" s="1" t="s">
        <v>2</v>
      </c>
      <c r="F51" s="1" t="s">
        <v>5</v>
      </c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 x14ac:dyDescent="0.25">
      <c r="A52" s="1">
        <v>2457195.7113999999</v>
      </c>
      <c r="B52" s="1" t="s">
        <v>19</v>
      </c>
      <c r="C52" s="1">
        <v>7.8550000000000004</v>
      </c>
      <c r="D52" s="1">
        <v>2.3E-2</v>
      </c>
      <c r="E52" s="1" t="s">
        <v>2</v>
      </c>
      <c r="F52" s="1" t="s">
        <v>143</v>
      </c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 x14ac:dyDescent="0.25">
      <c r="A53" s="1">
        <v>2457195.7245</v>
      </c>
      <c r="B53" s="1" t="s">
        <v>19</v>
      </c>
      <c r="C53" s="1">
        <v>7.86</v>
      </c>
      <c r="D53" s="1">
        <v>1.4999999999999999E-2</v>
      </c>
      <c r="E53" s="1" t="s">
        <v>2</v>
      </c>
      <c r="F53" s="1" t="s">
        <v>143</v>
      </c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 x14ac:dyDescent="0.25">
      <c r="A54" s="1">
        <v>2457197.7145099998</v>
      </c>
      <c r="B54" s="1" t="s">
        <v>27</v>
      </c>
      <c r="C54" s="1">
        <v>7.8540000000000001</v>
      </c>
      <c r="D54" s="1">
        <v>7.0000000000000001E-3</v>
      </c>
      <c r="E54" s="1" t="s">
        <v>2</v>
      </c>
      <c r="F54" s="1" t="s">
        <v>144</v>
      </c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 x14ac:dyDescent="0.25">
      <c r="A55" s="1">
        <v>2457197.7182999998</v>
      </c>
      <c r="B55" s="1" t="s">
        <v>27</v>
      </c>
      <c r="C55" s="1">
        <v>7.8840000000000003</v>
      </c>
      <c r="D55" s="1">
        <v>1.7000000000000001E-2</v>
      </c>
      <c r="E55" s="1" t="s">
        <v>2</v>
      </c>
      <c r="F55" s="1" t="s">
        <v>143</v>
      </c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 x14ac:dyDescent="0.25">
      <c r="A56" s="1">
        <v>2457197.7278</v>
      </c>
      <c r="B56" s="1" t="s">
        <v>27</v>
      </c>
      <c r="C56" s="1">
        <v>7.867</v>
      </c>
      <c r="D56" s="1">
        <v>1.7999999999999999E-2</v>
      </c>
      <c r="E56" s="1" t="s">
        <v>2</v>
      </c>
      <c r="F56" s="1" t="s">
        <v>143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 x14ac:dyDescent="0.25">
      <c r="A57" s="1">
        <v>2457198.5454000002</v>
      </c>
      <c r="B57" s="1" t="s">
        <v>28</v>
      </c>
      <c r="C57" s="1">
        <v>7.89</v>
      </c>
      <c r="D57" s="1">
        <v>0.06</v>
      </c>
      <c r="E57" s="1" t="s">
        <v>2</v>
      </c>
      <c r="F57" s="1" t="s">
        <v>142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 x14ac:dyDescent="0.25">
      <c r="A58" s="1">
        <v>2457198.6184399999</v>
      </c>
      <c r="B58" s="1" t="s">
        <v>28</v>
      </c>
      <c r="C58" s="1">
        <v>7.71</v>
      </c>
      <c r="D58" s="1">
        <v>1.0999999999999999E-2</v>
      </c>
      <c r="E58" s="1" t="s">
        <v>2</v>
      </c>
      <c r="F58" s="1" t="s">
        <v>3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 x14ac:dyDescent="0.25">
      <c r="A59" s="1">
        <v>2457198.6198700001</v>
      </c>
      <c r="B59" s="1" t="s">
        <v>28</v>
      </c>
      <c r="C59" s="1">
        <v>7.6909999999999998</v>
      </c>
      <c r="D59" s="1">
        <v>1.7000000000000001E-2</v>
      </c>
      <c r="E59" s="1" t="s">
        <v>2</v>
      </c>
      <c r="F59" s="1" t="s">
        <v>3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 x14ac:dyDescent="0.25">
      <c r="A60" s="1">
        <v>2457198.6207300001</v>
      </c>
      <c r="B60" s="1" t="s">
        <v>28</v>
      </c>
      <c r="C60" s="1">
        <v>7.7190000000000003</v>
      </c>
      <c r="D60" s="1">
        <v>1.6E-2</v>
      </c>
      <c r="E60" s="1" t="s">
        <v>2</v>
      </c>
      <c r="F60" s="1" t="s">
        <v>3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 x14ac:dyDescent="0.25">
      <c r="A61" s="1">
        <v>2457198.6216000002</v>
      </c>
      <c r="B61" s="1" t="s">
        <v>28</v>
      </c>
      <c r="C61" s="1">
        <v>7.718</v>
      </c>
      <c r="D61" s="1">
        <v>1.7999999999999999E-2</v>
      </c>
      <c r="E61" s="1" t="s">
        <v>2</v>
      </c>
      <c r="F61" s="1" t="s">
        <v>3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 x14ac:dyDescent="0.25">
      <c r="A62" s="1">
        <v>2457198.6228700001</v>
      </c>
      <c r="B62" s="1" t="s">
        <v>28</v>
      </c>
      <c r="C62" s="1">
        <v>7.72</v>
      </c>
      <c r="D62" s="1">
        <v>1.9E-2</v>
      </c>
      <c r="E62" s="1" t="s">
        <v>2</v>
      </c>
      <c r="F62" s="1" t="s">
        <v>3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 x14ac:dyDescent="0.25">
      <c r="A63" s="1">
        <v>2457198.6237300001</v>
      </c>
      <c r="B63" s="1" t="s">
        <v>28</v>
      </c>
      <c r="C63" s="1">
        <v>7.7690000000000001</v>
      </c>
      <c r="D63" s="1">
        <v>1.9E-2</v>
      </c>
      <c r="E63" s="1" t="s">
        <v>2</v>
      </c>
      <c r="F63" s="1" t="s">
        <v>3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 x14ac:dyDescent="0.25">
      <c r="A64" s="1">
        <v>2457198.625</v>
      </c>
      <c r="B64" s="1" t="s">
        <v>28</v>
      </c>
      <c r="C64" s="1">
        <v>7.7830000000000004</v>
      </c>
      <c r="D64" s="1">
        <v>0.02</v>
      </c>
      <c r="E64" s="1" t="s">
        <v>2</v>
      </c>
      <c r="F64" s="1" t="s">
        <v>3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x14ac:dyDescent="0.25">
      <c r="A65" s="1">
        <v>2457198.6258700001</v>
      </c>
      <c r="B65" s="1" t="s">
        <v>28</v>
      </c>
      <c r="C65" s="1">
        <v>7.7949999999999999</v>
      </c>
      <c r="D65" s="1">
        <v>2.1000000000000001E-2</v>
      </c>
      <c r="E65" s="1" t="s">
        <v>2</v>
      </c>
      <c r="F65" s="1" t="s">
        <v>3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 x14ac:dyDescent="0.25">
      <c r="A66" s="1">
        <v>2457198.6267499998</v>
      </c>
      <c r="B66" s="1" t="s">
        <v>28</v>
      </c>
      <c r="C66" s="1">
        <v>7.7519999999999998</v>
      </c>
      <c r="D66" s="1">
        <v>2.3E-2</v>
      </c>
      <c r="E66" s="1" t="s">
        <v>2</v>
      </c>
      <c r="F66" s="1" t="s">
        <v>3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x14ac:dyDescent="0.25">
      <c r="A67" s="1">
        <v>2457198.69416</v>
      </c>
      <c r="B67" s="1" t="s">
        <v>28</v>
      </c>
      <c r="C67" s="1">
        <v>7.8159999999999998</v>
      </c>
      <c r="D67" s="1">
        <v>6.0000000000000001E-3</v>
      </c>
      <c r="E67" s="1" t="s">
        <v>2</v>
      </c>
      <c r="F67" s="1" t="s">
        <v>145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 x14ac:dyDescent="0.25">
      <c r="A68" s="1">
        <v>2457199.63</v>
      </c>
      <c r="B68" s="1" t="s">
        <v>29</v>
      </c>
      <c r="C68" s="1">
        <v>7.7</v>
      </c>
      <c r="D68" s="1">
        <v>1.24E-2</v>
      </c>
      <c r="E68" s="1" t="s">
        <v>2</v>
      </c>
      <c r="F68" s="1" t="s">
        <v>146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 x14ac:dyDescent="0.25">
      <c r="A69" s="1">
        <v>2457200.6884300001</v>
      </c>
      <c r="B69" s="1" t="s">
        <v>30</v>
      </c>
      <c r="C69" s="1">
        <v>7.84</v>
      </c>
      <c r="D69" s="1">
        <v>6.0000000000000001E-3</v>
      </c>
      <c r="E69" s="1" t="s">
        <v>2</v>
      </c>
      <c r="F69" s="1" t="s">
        <v>145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 x14ac:dyDescent="0.25">
      <c r="A70" s="1">
        <v>2457201.6296299999</v>
      </c>
      <c r="B70" s="1" t="s">
        <v>31</v>
      </c>
      <c r="C70" s="1">
        <v>7.7430000000000003</v>
      </c>
      <c r="D70" s="1">
        <v>1.04E-2</v>
      </c>
      <c r="E70" s="1" t="s">
        <v>2</v>
      </c>
      <c r="F70" s="1" t="s">
        <v>146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 x14ac:dyDescent="0.25">
      <c r="A71" s="1">
        <v>2457202.75661</v>
      </c>
      <c r="B71" s="1" t="s">
        <v>32</v>
      </c>
      <c r="C71" s="1">
        <v>7.8049999999999997</v>
      </c>
      <c r="D71" s="1">
        <v>2E-3</v>
      </c>
      <c r="E71" s="1" t="s">
        <v>2</v>
      </c>
      <c r="F71" s="1" t="s">
        <v>144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 x14ac:dyDescent="0.25">
      <c r="A72" s="1">
        <v>2457203.64445</v>
      </c>
      <c r="B72" s="1" t="s">
        <v>33</v>
      </c>
      <c r="C72" s="1">
        <v>7.7080000000000002</v>
      </c>
      <c r="D72" s="1">
        <v>2.75E-2</v>
      </c>
      <c r="E72" s="1" t="s">
        <v>2</v>
      </c>
      <c r="F72" s="1" t="s">
        <v>146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 x14ac:dyDescent="0.25">
      <c r="A73" s="1">
        <v>2457204.6441000002</v>
      </c>
      <c r="B73" s="1" t="s">
        <v>34</v>
      </c>
      <c r="C73" s="1">
        <v>7.6856</v>
      </c>
      <c r="D73" s="1">
        <v>4.3E-3</v>
      </c>
      <c r="E73" s="1" t="s">
        <v>2</v>
      </c>
      <c r="F73" s="1" t="s">
        <v>146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 x14ac:dyDescent="0.25">
      <c r="A74" s="1">
        <v>2457205.7666199999</v>
      </c>
      <c r="B74" s="1" t="s">
        <v>35</v>
      </c>
      <c r="C74" s="1">
        <v>7.71</v>
      </c>
      <c r="D74" s="1">
        <v>3.0000000000000001E-3</v>
      </c>
      <c r="E74" s="1" t="s">
        <v>2</v>
      </c>
      <c r="F74" s="1" t="s">
        <v>13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 x14ac:dyDescent="0.25">
      <c r="A75" s="1">
        <v>2457206.7122</v>
      </c>
      <c r="B75" s="1" t="s">
        <v>36</v>
      </c>
      <c r="C75" s="1">
        <v>7.6920000000000002</v>
      </c>
      <c r="D75" s="1">
        <v>2.8000000000000001E-2</v>
      </c>
      <c r="E75" s="1" t="s">
        <v>2</v>
      </c>
      <c r="F75" s="1" t="s">
        <v>143</v>
      </c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 x14ac:dyDescent="0.25">
      <c r="A76" s="1">
        <v>2457208.6730900002</v>
      </c>
      <c r="B76" s="1" t="s">
        <v>38</v>
      </c>
      <c r="C76" s="1">
        <v>7.665</v>
      </c>
      <c r="D76" s="1">
        <v>8.0000000000000002E-3</v>
      </c>
      <c r="E76" s="1" t="s">
        <v>2</v>
      </c>
      <c r="F76" s="1" t="s">
        <v>145</v>
      </c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x14ac:dyDescent="0.25">
      <c r="A77" s="1">
        <v>2457210.82045</v>
      </c>
      <c r="B77" s="1" t="s">
        <v>39</v>
      </c>
      <c r="C77" s="1">
        <v>7.7610000000000001</v>
      </c>
      <c r="D77" s="1">
        <v>1.2E-2</v>
      </c>
      <c r="E77" s="1" t="s">
        <v>2</v>
      </c>
      <c r="F77" s="1" t="s">
        <v>5</v>
      </c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 x14ac:dyDescent="0.25">
      <c r="A78" s="1">
        <v>2457211.64493</v>
      </c>
      <c r="B78" s="1" t="s">
        <v>40</v>
      </c>
      <c r="C78" s="1">
        <v>7.7229000000000001</v>
      </c>
      <c r="D78" s="1">
        <v>9.4000000000000004E-3</v>
      </c>
      <c r="E78" s="1" t="s">
        <v>2</v>
      </c>
      <c r="F78" s="1" t="s">
        <v>146</v>
      </c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 x14ac:dyDescent="0.25">
      <c r="A79" s="1">
        <v>2457211.7182999998</v>
      </c>
      <c r="B79" s="1" t="s">
        <v>40</v>
      </c>
      <c r="C79" s="1">
        <v>7.78</v>
      </c>
      <c r="D79" s="1">
        <v>7.0000000000000001E-3</v>
      </c>
      <c r="E79" s="1" t="s">
        <v>2</v>
      </c>
      <c r="F79" s="1" t="s">
        <v>143</v>
      </c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 x14ac:dyDescent="0.25">
      <c r="A80" s="1">
        <v>2457212.6436700001</v>
      </c>
      <c r="B80" s="1" t="s">
        <v>41</v>
      </c>
      <c r="C80" s="1">
        <v>7.601</v>
      </c>
      <c r="D80" s="1">
        <v>4.0000000000000001E-3</v>
      </c>
      <c r="E80" s="1" t="s">
        <v>2</v>
      </c>
      <c r="F80" s="1" t="s">
        <v>146</v>
      </c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 x14ac:dyDescent="0.25">
      <c r="A81" s="1">
        <v>2457214.6585499998</v>
      </c>
      <c r="B81" s="1" t="s">
        <v>43</v>
      </c>
      <c r="C81" s="1">
        <v>7.6589999999999998</v>
      </c>
      <c r="D81" s="1">
        <v>7.0000000000000001E-3</v>
      </c>
      <c r="E81" s="1" t="s">
        <v>2</v>
      </c>
      <c r="F81" s="1" t="s">
        <v>145</v>
      </c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 x14ac:dyDescent="0.25">
      <c r="A82" s="1">
        <v>2457214.7234999998</v>
      </c>
      <c r="B82" s="1" t="s">
        <v>43</v>
      </c>
      <c r="C82" s="1">
        <v>7.6950000000000003</v>
      </c>
      <c r="D82" s="1">
        <v>1.6E-2</v>
      </c>
      <c r="E82" s="1" t="s">
        <v>2</v>
      </c>
      <c r="F82" s="1" t="s">
        <v>143</v>
      </c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 x14ac:dyDescent="0.25">
      <c r="A83" s="1">
        <v>2457215.6825999999</v>
      </c>
      <c r="B83" s="1" t="s">
        <v>44</v>
      </c>
      <c r="C83" s="1">
        <v>7.6829999999999998</v>
      </c>
      <c r="D83" s="1">
        <v>7.0000000000000001E-3</v>
      </c>
      <c r="E83" s="1" t="s">
        <v>2</v>
      </c>
      <c r="F83" s="1" t="s">
        <v>145</v>
      </c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 x14ac:dyDescent="0.25">
      <c r="A84" s="1">
        <v>2457217.8062999998</v>
      </c>
      <c r="B84" s="1" t="s">
        <v>46</v>
      </c>
      <c r="C84" s="1">
        <v>7.9089999999999998</v>
      </c>
      <c r="D84" s="1">
        <v>2.5000000000000001E-2</v>
      </c>
      <c r="E84" s="1" t="s">
        <v>2</v>
      </c>
      <c r="F84" s="1" t="s">
        <v>5</v>
      </c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 x14ac:dyDescent="0.25">
      <c r="A85" s="1">
        <v>2457219.4340400002</v>
      </c>
      <c r="B85" s="1" t="s">
        <v>47</v>
      </c>
      <c r="C85" s="1">
        <v>7.9450000000000003</v>
      </c>
      <c r="D85" s="1">
        <v>2.1000000000000001E-2</v>
      </c>
      <c r="E85" s="1" t="s">
        <v>2</v>
      </c>
      <c r="F85" s="1" t="s">
        <v>16</v>
      </c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 x14ac:dyDescent="0.25">
      <c r="A86" s="1">
        <v>2457220.66677</v>
      </c>
      <c r="B86" s="1" t="s">
        <v>48</v>
      </c>
      <c r="C86" s="1">
        <v>7.9329999999999998</v>
      </c>
      <c r="D86" s="1">
        <v>5.0000000000000001E-3</v>
      </c>
      <c r="E86" s="1" t="s">
        <v>2</v>
      </c>
      <c r="F86" s="1" t="s">
        <v>145</v>
      </c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 x14ac:dyDescent="0.25">
      <c r="A87" s="1">
        <v>2457220.6950500002</v>
      </c>
      <c r="B87" s="1" t="s">
        <v>48</v>
      </c>
      <c r="C87" s="1">
        <v>8.0719999999999992</v>
      </c>
      <c r="D87" s="1">
        <v>2.1999999999999999E-2</v>
      </c>
      <c r="E87" s="1" t="s">
        <v>2</v>
      </c>
      <c r="F87" s="1" t="s">
        <v>147</v>
      </c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 x14ac:dyDescent="0.25">
      <c r="A88" s="1">
        <v>2457220.6952399998</v>
      </c>
      <c r="B88" s="1" t="s">
        <v>48</v>
      </c>
      <c r="C88" s="1">
        <v>8.0419999999999998</v>
      </c>
      <c r="D88" s="1">
        <v>2.3E-2</v>
      </c>
      <c r="E88" s="1" t="s">
        <v>2</v>
      </c>
      <c r="F88" s="1" t="s">
        <v>147</v>
      </c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 x14ac:dyDescent="0.25">
      <c r="A89" s="1">
        <v>2457220.6953500002</v>
      </c>
      <c r="B89" s="1" t="s">
        <v>48</v>
      </c>
      <c r="C89" s="1">
        <v>8.0039999999999996</v>
      </c>
      <c r="D89" s="1">
        <v>2.3E-2</v>
      </c>
      <c r="E89" s="1" t="s">
        <v>2</v>
      </c>
      <c r="F89" s="1" t="s">
        <v>147</v>
      </c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 x14ac:dyDescent="0.25">
      <c r="A90" s="1">
        <v>2457220.6955499998</v>
      </c>
      <c r="B90" s="1" t="s">
        <v>48</v>
      </c>
      <c r="C90" s="1">
        <v>8.0259999999999998</v>
      </c>
      <c r="D90" s="1">
        <v>2.3E-2</v>
      </c>
      <c r="E90" s="1" t="s">
        <v>2</v>
      </c>
      <c r="F90" s="1" t="s">
        <v>147</v>
      </c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 x14ac:dyDescent="0.25">
      <c r="A91" s="1">
        <v>2457220.6957899998</v>
      </c>
      <c r="B91" s="1" t="s">
        <v>48</v>
      </c>
      <c r="C91" s="1">
        <v>7.9989999999999997</v>
      </c>
      <c r="D91" s="1">
        <v>2.3E-2</v>
      </c>
      <c r="E91" s="1" t="s">
        <v>2</v>
      </c>
      <c r="F91" s="1" t="s">
        <v>147</v>
      </c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 x14ac:dyDescent="0.25">
      <c r="A92" s="1">
        <v>2457220.6958400002</v>
      </c>
      <c r="B92" s="1" t="s">
        <v>48</v>
      </c>
      <c r="C92" s="1">
        <v>8.0329999999999995</v>
      </c>
      <c r="D92" s="1">
        <v>2.3E-2</v>
      </c>
      <c r="E92" s="1" t="s">
        <v>2</v>
      </c>
      <c r="F92" s="1" t="s">
        <v>147</v>
      </c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 x14ac:dyDescent="0.25">
      <c r="A93" s="1">
        <v>2457220.6960399998</v>
      </c>
      <c r="B93" s="1" t="s">
        <v>48</v>
      </c>
      <c r="C93" s="1">
        <v>7.9429999999999996</v>
      </c>
      <c r="D93" s="1">
        <v>2.5000000000000001E-2</v>
      </c>
      <c r="E93" s="1" t="s">
        <v>2</v>
      </c>
      <c r="F93" s="1" t="s">
        <v>147</v>
      </c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 x14ac:dyDescent="0.25">
      <c r="A94" s="1">
        <v>2457220.6963200001</v>
      </c>
      <c r="B94" s="1" t="s">
        <v>48</v>
      </c>
      <c r="C94" s="1">
        <v>7.9809999999999999</v>
      </c>
      <c r="D94" s="1">
        <v>2.4E-2</v>
      </c>
      <c r="E94" s="1" t="s">
        <v>2</v>
      </c>
      <c r="F94" s="1" t="s">
        <v>147</v>
      </c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 x14ac:dyDescent="0.25">
      <c r="A95" s="1">
        <v>2457221.5423599998</v>
      </c>
      <c r="B95" s="1" t="s">
        <v>49</v>
      </c>
      <c r="C95" s="1">
        <v>7.97</v>
      </c>
      <c r="D95" s="1">
        <v>0.02</v>
      </c>
      <c r="E95" s="1" t="s">
        <v>2</v>
      </c>
      <c r="F95" s="1" t="s">
        <v>148</v>
      </c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 x14ac:dyDescent="0.25">
      <c r="A96" s="1">
        <v>2457223.7204</v>
      </c>
      <c r="B96" s="1" t="s">
        <v>50</v>
      </c>
      <c r="C96" s="1">
        <v>7.9770000000000003</v>
      </c>
      <c r="D96" s="1">
        <v>1.2999999999999999E-2</v>
      </c>
      <c r="E96" s="1" t="s">
        <v>2</v>
      </c>
      <c r="F96" s="1" t="s">
        <v>143</v>
      </c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 x14ac:dyDescent="0.25">
      <c r="A97" s="1">
        <v>2457225.7080000001</v>
      </c>
      <c r="B97" s="1" t="s">
        <v>23</v>
      </c>
      <c r="C97" s="1">
        <v>8.0250000000000004</v>
      </c>
      <c r="D97" s="1">
        <v>5.0000000000000001E-3</v>
      </c>
      <c r="E97" s="1" t="s">
        <v>2</v>
      </c>
      <c r="F97" s="1" t="s">
        <v>143</v>
      </c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 x14ac:dyDescent="0.25">
      <c r="A98" s="1">
        <v>2457226.5113499998</v>
      </c>
      <c r="B98" s="1" t="s">
        <v>52</v>
      </c>
      <c r="C98" s="1">
        <v>8.0589999999999993</v>
      </c>
      <c r="D98" s="1">
        <v>0.04</v>
      </c>
      <c r="E98" s="1" t="s">
        <v>2</v>
      </c>
      <c r="F98" s="1" t="s">
        <v>16</v>
      </c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 x14ac:dyDescent="0.25">
      <c r="A99" s="1">
        <v>2457229.9514500001</v>
      </c>
      <c r="B99" s="1" t="s">
        <v>54</v>
      </c>
      <c r="C99" s="1">
        <v>8.1750000000000007</v>
      </c>
      <c r="D99" s="1">
        <v>3.0000000000000001E-3</v>
      </c>
      <c r="E99" s="1" t="s">
        <v>2</v>
      </c>
      <c r="F99" s="1" t="s">
        <v>13</v>
      </c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 x14ac:dyDescent="0.25">
      <c r="A100" s="1">
        <v>2457231.6853</v>
      </c>
      <c r="B100" s="1" t="s">
        <v>55</v>
      </c>
      <c r="C100" s="1">
        <v>8.1890000000000001</v>
      </c>
      <c r="D100" s="1">
        <v>6.0000000000000001E-3</v>
      </c>
      <c r="E100" s="1" t="s">
        <v>2</v>
      </c>
      <c r="F100" s="1" t="s">
        <v>143</v>
      </c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 x14ac:dyDescent="0.25">
      <c r="A101" s="1">
        <v>2457233.61368</v>
      </c>
      <c r="B101" s="1" t="s">
        <v>56</v>
      </c>
      <c r="C101" s="1">
        <v>8.1760000000000002</v>
      </c>
      <c r="D101" s="1">
        <v>8.0000000000000002E-3</v>
      </c>
      <c r="E101" s="1" t="s">
        <v>2</v>
      </c>
      <c r="F101" s="1" t="s">
        <v>145</v>
      </c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 x14ac:dyDescent="0.25">
      <c r="A102" s="1">
        <v>2457234.6749</v>
      </c>
      <c r="B102" s="1" t="s">
        <v>57</v>
      </c>
      <c r="C102" s="1">
        <v>8.27</v>
      </c>
      <c r="D102" s="1">
        <v>7.0000000000000001E-3</v>
      </c>
      <c r="E102" s="1" t="s">
        <v>2</v>
      </c>
      <c r="F102" s="1" t="s">
        <v>143</v>
      </c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 x14ac:dyDescent="0.25">
      <c r="A103" s="1">
        <v>2457236.6762000001</v>
      </c>
      <c r="B103" s="1" t="s">
        <v>58</v>
      </c>
      <c r="C103" s="1">
        <v>8.3059999999999992</v>
      </c>
      <c r="D103" s="1">
        <v>0.01</v>
      </c>
      <c r="E103" s="1" t="s">
        <v>2</v>
      </c>
      <c r="F103" s="1" t="s">
        <v>143</v>
      </c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 x14ac:dyDescent="0.25">
      <c r="A104" s="1">
        <v>2457237.6313999998</v>
      </c>
      <c r="B104" s="1" t="s">
        <v>59</v>
      </c>
      <c r="C104" s="1">
        <v>8.2789999999999999</v>
      </c>
      <c r="D104" s="1">
        <v>6.0000000000000001E-3</v>
      </c>
      <c r="E104" s="1" t="s">
        <v>2</v>
      </c>
      <c r="F104" s="1" t="s">
        <v>145</v>
      </c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 x14ac:dyDescent="0.25">
      <c r="A105" s="1">
        <v>2457238.6567899999</v>
      </c>
      <c r="B105" s="1" t="s">
        <v>60</v>
      </c>
      <c r="C105" s="1">
        <v>8.343</v>
      </c>
      <c r="D105" s="1">
        <v>4.0000000000000001E-3</v>
      </c>
      <c r="E105" s="1" t="s">
        <v>2</v>
      </c>
      <c r="F105" s="1" t="s">
        <v>144</v>
      </c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 x14ac:dyDescent="0.25">
      <c r="A106" s="1">
        <v>2457239.6798</v>
      </c>
      <c r="B106" s="1" t="s">
        <v>61</v>
      </c>
      <c r="C106" s="1">
        <v>8.3529999999999998</v>
      </c>
      <c r="D106" s="1">
        <v>6.0000000000000001E-3</v>
      </c>
      <c r="E106" s="1" t="s">
        <v>2</v>
      </c>
      <c r="F106" s="1" t="s">
        <v>143</v>
      </c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 x14ac:dyDescent="0.25">
      <c r="A107" s="1">
        <v>2457239.9362699999</v>
      </c>
      <c r="B107" s="1" t="s">
        <v>61</v>
      </c>
      <c r="C107" s="1">
        <v>8.359</v>
      </c>
      <c r="D107" s="1">
        <v>3.0000000000000001E-3</v>
      </c>
      <c r="E107" s="1" t="s">
        <v>2</v>
      </c>
      <c r="F107" s="1" t="s">
        <v>13</v>
      </c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 x14ac:dyDescent="0.25">
      <c r="A108" s="1">
        <v>2457241.45004</v>
      </c>
      <c r="B108" s="1" t="s">
        <v>62</v>
      </c>
      <c r="C108" s="1">
        <v>8.3949999999999996</v>
      </c>
      <c r="D108" s="1">
        <v>1.9E-2</v>
      </c>
      <c r="E108" s="1" t="s">
        <v>2</v>
      </c>
      <c r="F108" s="1" t="s">
        <v>16</v>
      </c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 ht="30" x14ac:dyDescent="0.25">
      <c r="A109" s="1">
        <v>2457244.6514900001</v>
      </c>
      <c r="B109" s="1" t="s">
        <v>65</v>
      </c>
      <c r="C109" s="1">
        <v>8.391</v>
      </c>
      <c r="D109" s="1">
        <v>5.0000000000000001E-3</v>
      </c>
      <c r="E109" s="1" t="s">
        <v>2</v>
      </c>
      <c r="F109" s="1" t="s">
        <v>145</v>
      </c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 ht="30" x14ac:dyDescent="0.25">
      <c r="A110" s="1">
        <v>2457244.7349200002</v>
      </c>
      <c r="B110" s="1" t="s">
        <v>65</v>
      </c>
      <c r="C110" s="1">
        <v>8.3979999999999997</v>
      </c>
      <c r="D110" s="1">
        <v>4.0000000000000001E-3</v>
      </c>
      <c r="E110" s="1" t="s">
        <v>2</v>
      </c>
      <c r="F110" s="1" t="s">
        <v>13</v>
      </c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 ht="30" x14ac:dyDescent="0.25">
      <c r="A111" s="1">
        <v>2457246.66212</v>
      </c>
      <c r="B111" s="1" t="s">
        <v>67</v>
      </c>
      <c r="C111" s="1">
        <v>8.4510000000000005</v>
      </c>
      <c r="D111" s="1">
        <v>3.0000000000000001E-3</v>
      </c>
      <c r="E111" s="1" t="s">
        <v>2</v>
      </c>
      <c r="F111" s="1" t="s">
        <v>13</v>
      </c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 ht="30" x14ac:dyDescent="0.25">
      <c r="A112" s="1">
        <v>2457246.6889</v>
      </c>
      <c r="B112" s="1" t="s">
        <v>67</v>
      </c>
      <c r="C112" s="1">
        <v>8.4740000000000002</v>
      </c>
      <c r="D112" s="1">
        <v>4.0000000000000001E-3</v>
      </c>
      <c r="E112" s="1" t="s">
        <v>2</v>
      </c>
      <c r="F112" s="1" t="s">
        <v>143</v>
      </c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1:27" ht="30" x14ac:dyDescent="0.25">
      <c r="A113" s="1">
        <v>2457247.9067799998</v>
      </c>
      <c r="B113" s="1" t="s">
        <v>68</v>
      </c>
      <c r="C113" s="1">
        <v>8.4570000000000007</v>
      </c>
      <c r="D113" s="1">
        <v>4.0000000000000001E-3</v>
      </c>
      <c r="E113" s="1" t="s">
        <v>2</v>
      </c>
      <c r="F113" s="1" t="s">
        <v>13</v>
      </c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1:27" ht="30" x14ac:dyDescent="0.25">
      <c r="A114" s="1">
        <v>2457248.90814</v>
      </c>
      <c r="B114" s="1" t="s">
        <v>69</v>
      </c>
      <c r="C114" s="1">
        <v>8.4789999999999992</v>
      </c>
      <c r="D114" s="1">
        <v>4.0000000000000001E-3</v>
      </c>
      <c r="E114" s="1" t="s">
        <v>2</v>
      </c>
      <c r="F114" s="1" t="s">
        <v>13</v>
      </c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1:27" ht="30" x14ac:dyDescent="0.25">
      <c r="A115" s="1">
        <v>2457249.7162799998</v>
      </c>
      <c r="B115" s="1" t="s">
        <v>70</v>
      </c>
      <c r="C115" s="1">
        <v>8.4979999999999993</v>
      </c>
      <c r="D115" s="1">
        <v>4.0000000000000001E-3</v>
      </c>
      <c r="E115" s="1" t="s">
        <v>2</v>
      </c>
      <c r="F115" s="1" t="s">
        <v>13</v>
      </c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1:27" ht="30" x14ac:dyDescent="0.25">
      <c r="A116" s="1">
        <v>2457250.6935999999</v>
      </c>
      <c r="B116" s="1" t="s">
        <v>71</v>
      </c>
      <c r="C116" s="1">
        <v>8.49</v>
      </c>
      <c r="D116" s="1">
        <v>0.01</v>
      </c>
      <c r="E116" s="1" t="s">
        <v>2</v>
      </c>
      <c r="F116" s="1" t="s">
        <v>143</v>
      </c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1:27" ht="30" x14ac:dyDescent="0.25">
      <c r="A117" s="1">
        <v>2457251.6413500002</v>
      </c>
      <c r="B117" s="1" t="s">
        <v>72</v>
      </c>
      <c r="C117" s="1">
        <v>8.468</v>
      </c>
      <c r="D117" s="1">
        <v>5.0000000000000001E-3</v>
      </c>
      <c r="E117" s="1" t="s">
        <v>2</v>
      </c>
      <c r="F117" s="1" t="s">
        <v>145</v>
      </c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1:27" ht="30" x14ac:dyDescent="0.25">
      <c r="A118" s="1">
        <v>2457251.7117599999</v>
      </c>
      <c r="B118" s="1" t="s">
        <v>72</v>
      </c>
      <c r="C118" s="1">
        <v>8.4649999999999999</v>
      </c>
      <c r="D118" s="1">
        <v>4.0000000000000001E-3</v>
      </c>
      <c r="E118" s="1" t="s">
        <v>2</v>
      </c>
      <c r="F118" s="1" t="s">
        <v>13</v>
      </c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1:27" ht="30" x14ac:dyDescent="0.25">
      <c r="A119" s="1">
        <v>2457252.7099000001</v>
      </c>
      <c r="B119" s="1" t="s">
        <v>73</v>
      </c>
      <c r="C119" s="1">
        <v>8.44</v>
      </c>
      <c r="D119" s="1">
        <v>5.0000000000000001E-3</v>
      </c>
      <c r="E119" s="1" t="s">
        <v>2</v>
      </c>
      <c r="F119" s="1" t="s">
        <v>13</v>
      </c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1:27" ht="30" x14ac:dyDescent="0.25">
      <c r="A120" s="1">
        <v>2457254.6317400001</v>
      </c>
      <c r="B120" s="1" t="s">
        <v>74</v>
      </c>
      <c r="C120" s="1">
        <v>8.5030000000000001</v>
      </c>
      <c r="D120" s="1">
        <v>6.0000000000000001E-3</v>
      </c>
      <c r="E120" s="1" t="s">
        <v>2</v>
      </c>
      <c r="F120" s="1" t="s">
        <v>145</v>
      </c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1:27" ht="30" x14ac:dyDescent="0.25">
      <c r="A121" s="1">
        <v>2457262.6406</v>
      </c>
      <c r="B121" s="1" t="s">
        <v>78</v>
      </c>
      <c r="C121" s="1">
        <v>8.5730000000000004</v>
      </c>
      <c r="D121" s="1">
        <v>1.7000000000000001E-2</v>
      </c>
      <c r="E121" s="1" t="s">
        <v>2</v>
      </c>
      <c r="F121" s="1" t="s">
        <v>143</v>
      </c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1:27" ht="30" x14ac:dyDescent="0.25">
      <c r="A122" s="1">
        <v>2457264.5772699998</v>
      </c>
      <c r="B122" s="1" t="s">
        <v>79</v>
      </c>
      <c r="C122" s="1">
        <v>8.5860000000000003</v>
      </c>
      <c r="D122" s="1">
        <v>0.01</v>
      </c>
      <c r="E122" s="1" t="s">
        <v>2</v>
      </c>
      <c r="F122" s="1" t="s">
        <v>145</v>
      </c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1:27" ht="30" x14ac:dyDescent="0.25">
      <c r="A123" s="1">
        <v>2457265.6403000001</v>
      </c>
      <c r="B123" s="1" t="s">
        <v>80</v>
      </c>
      <c r="C123" s="1">
        <v>8.7550000000000008</v>
      </c>
      <c r="D123" s="1">
        <v>1.4E-2</v>
      </c>
      <c r="E123" s="1" t="s">
        <v>2</v>
      </c>
      <c r="F123" s="1" t="s">
        <v>143</v>
      </c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1:27" x14ac:dyDescent="0.25">
      <c r="A124" s="1">
        <v>2457270.5804499998</v>
      </c>
      <c r="B124" s="1" t="s">
        <v>83</v>
      </c>
      <c r="C124" s="1">
        <v>8.5960000000000001</v>
      </c>
      <c r="D124" s="1">
        <v>5.0000000000000001E-3</v>
      </c>
      <c r="E124" s="1" t="s">
        <v>2</v>
      </c>
      <c r="F124" s="1" t="s">
        <v>145</v>
      </c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x14ac:dyDescent="0.25">
      <c r="A125" s="1">
        <v>2457271.5499999998</v>
      </c>
      <c r="B125" s="1" t="s">
        <v>84</v>
      </c>
      <c r="C125" s="1">
        <v>8.6170000000000009</v>
      </c>
      <c r="D125" s="1">
        <v>5.0000000000000001E-3</v>
      </c>
      <c r="E125" s="1" t="s">
        <v>2</v>
      </c>
      <c r="F125" s="1" t="s">
        <v>145</v>
      </c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1:27" x14ac:dyDescent="0.25">
      <c r="A126" s="1">
        <v>2457272.55486</v>
      </c>
      <c r="B126" s="1" t="s">
        <v>85</v>
      </c>
      <c r="C126" s="1">
        <v>8.6340000000000003</v>
      </c>
      <c r="D126" s="1">
        <v>6.0000000000000001E-3</v>
      </c>
      <c r="E126" s="1" t="s">
        <v>2</v>
      </c>
      <c r="F126" s="1" t="s">
        <v>145</v>
      </c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7" x14ac:dyDescent="0.25">
      <c r="A127" s="1">
        <v>2457275.6343</v>
      </c>
      <c r="B127" s="1" t="s">
        <v>86</v>
      </c>
      <c r="C127" s="1">
        <v>8.6660000000000004</v>
      </c>
      <c r="D127" s="1">
        <v>6.0000000000000001E-3</v>
      </c>
      <c r="E127" s="1" t="s">
        <v>2</v>
      </c>
      <c r="F127" s="1" t="s">
        <v>143</v>
      </c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1:27" x14ac:dyDescent="0.25">
      <c r="A128" s="1">
        <v>2457277.7717800001</v>
      </c>
      <c r="B128" s="1" t="s">
        <v>149</v>
      </c>
      <c r="C128" s="1">
        <v>8.68</v>
      </c>
      <c r="D128" s="1">
        <v>4.0000000000000001E-3</v>
      </c>
      <c r="E128" s="1" t="s">
        <v>2</v>
      </c>
      <c r="F128" s="1" t="s">
        <v>13</v>
      </c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1:27" x14ac:dyDescent="0.25">
      <c r="A129" s="1">
        <v>2457279.6910999999</v>
      </c>
      <c r="B129" s="1" t="s">
        <v>87</v>
      </c>
      <c r="C129" s="1">
        <v>8.6809999999999992</v>
      </c>
      <c r="D129" s="1">
        <v>2E-3</v>
      </c>
      <c r="E129" s="1" t="s">
        <v>2</v>
      </c>
      <c r="F129" s="1" t="s">
        <v>143</v>
      </c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1:27" x14ac:dyDescent="0.25">
      <c r="A130" s="1">
        <v>2457280.6647700001</v>
      </c>
      <c r="B130" s="1" t="s">
        <v>88</v>
      </c>
      <c r="C130" s="1">
        <v>8.6959999999999997</v>
      </c>
      <c r="D130" s="1">
        <v>3.0000000000000001E-3</v>
      </c>
      <c r="E130" s="1" t="s">
        <v>2</v>
      </c>
      <c r="F130" s="1" t="s">
        <v>13</v>
      </c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1:27" x14ac:dyDescent="0.25">
      <c r="A131" s="1">
        <v>2457281.5176200001</v>
      </c>
      <c r="B131" s="1" t="s">
        <v>89</v>
      </c>
      <c r="C131" s="1">
        <v>8.6519999999999992</v>
      </c>
      <c r="D131" s="1">
        <v>5.0000000000000001E-3</v>
      </c>
      <c r="E131" s="1" t="s">
        <v>2</v>
      </c>
      <c r="F131" s="1" t="s">
        <v>145</v>
      </c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1:27" x14ac:dyDescent="0.25">
      <c r="A132" s="1">
        <v>2457282.6314900001</v>
      </c>
      <c r="B132" s="1" t="s">
        <v>90</v>
      </c>
      <c r="C132" s="1">
        <v>8.7479999999999993</v>
      </c>
      <c r="D132" s="1">
        <v>1.4E-2</v>
      </c>
      <c r="E132" s="1" t="s">
        <v>2</v>
      </c>
      <c r="F132" s="1" t="s">
        <v>5</v>
      </c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1:27" x14ac:dyDescent="0.25">
      <c r="A133" s="1">
        <v>2457282.6398999998</v>
      </c>
      <c r="B133" s="1" t="s">
        <v>90</v>
      </c>
      <c r="C133" s="1">
        <v>8.6950000000000003</v>
      </c>
      <c r="D133" s="1">
        <v>8.0000000000000002E-3</v>
      </c>
      <c r="E133" s="1" t="s">
        <v>2</v>
      </c>
      <c r="F133" s="1" t="s">
        <v>143</v>
      </c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1:27" x14ac:dyDescent="0.25">
      <c r="A134" s="1">
        <v>2457284.6251500002</v>
      </c>
      <c r="B134" s="1" t="s">
        <v>91</v>
      </c>
      <c r="C134" s="1">
        <v>8.7460000000000004</v>
      </c>
      <c r="D134" s="1">
        <v>1.2E-2</v>
      </c>
      <c r="E134" s="1" t="s">
        <v>2</v>
      </c>
      <c r="F134" s="1" t="s">
        <v>5</v>
      </c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1:27" x14ac:dyDescent="0.25">
      <c r="A135" s="1">
        <v>2457285.6206999999</v>
      </c>
      <c r="B135" s="1" t="s">
        <v>92</v>
      </c>
      <c r="C135" s="1">
        <v>8.7189999999999994</v>
      </c>
      <c r="D135" s="1">
        <v>0.01</v>
      </c>
      <c r="E135" s="1" t="s">
        <v>2</v>
      </c>
      <c r="F135" s="1" t="s">
        <v>143</v>
      </c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1:27" x14ac:dyDescent="0.25">
      <c r="A136" s="1">
        <v>2457286.5181</v>
      </c>
      <c r="B136" s="1" t="s">
        <v>93</v>
      </c>
      <c r="C136" s="1">
        <v>8.6720000000000006</v>
      </c>
      <c r="D136" s="1">
        <v>5.0000000000000001E-3</v>
      </c>
      <c r="E136" s="1" t="s">
        <v>2</v>
      </c>
      <c r="F136" s="1" t="s">
        <v>145</v>
      </c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1:27" x14ac:dyDescent="0.25">
      <c r="A137" s="1">
        <v>2457287.6192999999</v>
      </c>
      <c r="B137" s="1" t="s">
        <v>94</v>
      </c>
      <c r="C137" s="1">
        <v>8.7270000000000003</v>
      </c>
      <c r="D137" s="1">
        <v>2.1999999999999999E-2</v>
      </c>
      <c r="E137" s="1" t="s">
        <v>2</v>
      </c>
      <c r="F137" s="1" t="s">
        <v>143</v>
      </c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1:27" x14ac:dyDescent="0.25">
      <c r="A138" s="1">
        <v>2457289.60824</v>
      </c>
      <c r="B138" s="1" t="s">
        <v>150</v>
      </c>
      <c r="C138" s="1">
        <v>8.8010000000000002</v>
      </c>
      <c r="D138" s="1">
        <v>1.2999999999999999E-2</v>
      </c>
      <c r="E138" s="1" t="s">
        <v>2</v>
      </c>
      <c r="F138" s="1" t="s">
        <v>5</v>
      </c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1:27" x14ac:dyDescent="0.25">
      <c r="A139" s="1">
        <v>2457290.5064099999</v>
      </c>
      <c r="B139" s="1" t="s">
        <v>24</v>
      </c>
      <c r="C139" s="1">
        <v>8.7309999999999999</v>
      </c>
      <c r="D139" s="1">
        <v>6.0000000000000001E-3</v>
      </c>
      <c r="E139" s="1" t="s">
        <v>2</v>
      </c>
      <c r="F139" s="1" t="s">
        <v>145</v>
      </c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1:27" x14ac:dyDescent="0.25">
      <c r="A140" s="1">
        <v>2457291.3140799999</v>
      </c>
      <c r="B140" s="1" t="s">
        <v>24</v>
      </c>
      <c r="C140" s="1">
        <v>8.7370000000000001</v>
      </c>
      <c r="D140" s="1">
        <v>2.5000000000000001E-2</v>
      </c>
      <c r="E140" s="1" t="s">
        <v>2</v>
      </c>
      <c r="F140" s="1" t="s">
        <v>16</v>
      </c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1:27" x14ac:dyDescent="0.25">
      <c r="A141" s="1">
        <v>2457291.6217700001</v>
      </c>
      <c r="B141" s="1" t="s">
        <v>151</v>
      </c>
      <c r="C141" s="1">
        <v>8.7240000000000002</v>
      </c>
      <c r="D141" s="1">
        <v>8.9999999999999993E-3</v>
      </c>
      <c r="E141" s="1" t="s">
        <v>2</v>
      </c>
      <c r="F141" s="1" t="s">
        <v>13</v>
      </c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1:27" x14ac:dyDescent="0.25">
      <c r="A142" s="1">
        <v>2457292.5305300001</v>
      </c>
      <c r="B142" s="1" t="s">
        <v>152</v>
      </c>
      <c r="C142" s="1">
        <v>8.8469999999999995</v>
      </c>
      <c r="D142" s="1">
        <v>1.2E-2</v>
      </c>
      <c r="E142" s="1" t="s">
        <v>2</v>
      </c>
      <c r="F142" s="1" t="s">
        <v>145</v>
      </c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1:27" x14ac:dyDescent="0.25">
      <c r="A143" s="1">
        <v>2457293.59925</v>
      </c>
      <c r="B143" s="1" t="s">
        <v>164</v>
      </c>
      <c r="C143" s="1">
        <v>8.7560000000000002</v>
      </c>
      <c r="D143" s="1">
        <v>5.0000000000000001E-3</v>
      </c>
      <c r="E143" s="1" t="s">
        <v>2</v>
      </c>
      <c r="F143" s="1" t="s">
        <v>13</v>
      </c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1:27" x14ac:dyDescent="0.25">
      <c r="A144" s="1">
        <v>2457296.6102</v>
      </c>
      <c r="B144" s="1" t="s">
        <v>96</v>
      </c>
      <c r="C144" s="1">
        <v>8.7469999999999999</v>
      </c>
      <c r="D144" s="1">
        <v>6.0000000000000001E-3</v>
      </c>
      <c r="E144" s="1" t="s">
        <v>2</v>
      </c>
      <c r="F144" s="1" t="s">
        <v>143</v>
      </c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1:27" x14ac:dyDescent="0.25">
      <c r="A145" s="1">
        <v>2457302.4724099999</v>
      </c>
      <c r="B145" s="1" t="s">
        <v>98</v>
      </c>
      <c r="C145" s="1">
        <v>8.5960000000000001</v>
      </c>
      <c r="D145" s="1">
        <v>6.0000000000000001E-3</v>
      </c>
      <c r="E145" s="1" t="s">
        <v>2</v>
      </c>
      <c r="F145" s="1" t="s">
        <v>145</v>
      </c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1:27" x14ac:dyDescent="0.25">
      <c r="A146" s="1">
        <v>2457302.5764899999</v>
      </c>
      <c r="B146" s="1" t="s">
        <v>99</v>
      </c>
      <c r="C146" s="1">
        <v>8.6449999999999996</v>
      </c>
      <c r="D146" s="1">
        <v>5.0000000000000001E-3</v>
      </c>
      <c r="E146" s="1" t="s">
        <v>2</v>
      </c>
      <c r="F146" s="1" t="s">
        <v>13</v>
      </c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1:27" x14ac:dyDescent="0.25">
      <c r="A147" s="1">
        <v>2457303.5717000002</v>
      </c>
      <c r="B147" s="1" t="s">
        <v>100</v>
      </c>
      <c r="C147" s="1">
        <v>8.5709999999999997</v>
      </c>
      <c r="D147" s="1">
        <v>4.0000000000000001E-3</v>
      </c>
      <c r="E147" s="1" t="s">
        <v>2</v>
      </c>
      <c r="F147" s="1" t="s">
        <v>13</v>
      </c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1:27" x14ac:dyDescent="0.25">
      <c r="A148" s="1">
        <v>2457304.56378</v>
      </c>
      <c r="B148" s="1" t="s">
        <v>101</v>
      </c>
      <c r="C148" s="1">
        <v>7.9530000000000003</v>
      </c>
      <c r="D148" s="1">
        <v>4.0000000000000001E-3</v>
      </c>
      <c r="E148" s="1" t="s">
        <v>2</v>
      </c>
      <c r="F148" s="1" t="s">
        <v>13</v>
      </c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1:27" x14ac:dyDescent="0.25">
      <c r="A149" s="1">
        <v>2457305.6036999999</v>
      </c>
      <c r="B149" s="1" t="s">
        <v>102</v>
      </c>
      <c r="C149" s="1">
        <v>7.9809999999999999</v>
      </c>
      <c r="D149" s="1">
        <v>0.01</v>
      </c>
      <c r="E149" s="1" t="s">
        <v>2</v>
      </c>
      <c r="F149" s="1" t="s">
        <v>143</v>
      </c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1:27" x14ac:dyDescent="0.25">
      <c r="A150" s="1">
        <v>2457306.46159</v>
      </c>
      <c r="B150" s="1" t="s">
        <v>102</v>
      </c>
      <c r="C150" s="1">
        <v>8.0220000000000002</v>
      </c>
      <c r="D150" s="1">
        <v>7.0000000000000001E-3</v>
      </c>
      <c r="E150" s="1" t="s">
        <v>2</v>
      </c>
      <c r="F150" s="1" t="s">
        <v>145</v>
      </c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1:27" x14ac:dyDescent="0.25">
      <c r="A151" s="1">
        <v>2457306.5122000002</v>
      </c>
      <c r="B151" s="1" t="s">
        <v>103</v>
      </c>
      <c r="C151" s="1">
        <v>7.9909999999999997</v>
      </c>
      <c r="D151" s="1">
        <v>2.3E-2</v>
      </c>
      <c r="E151" s="1" t="s">
        <v>2</v>
      </c>
      <c r="F151" s="1" t="s">
        <v>143</v>
      </c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1:27" x14ac:dyDescent="0.25">
      <c r="A152" s="1">
        <v>2457306.5578000001</v>
      </c>
      <c r="B152" s="1" t="s">
        <v>103</v>
      </c>
      <c r="C152" s="1">
        <v>8.0250000000000004</v>
      </c>
      <c r="D152" s="1">
        <v>4.1000000000000002E-2</v>
      </c>
      <c r="E152" s="1" t="s">
        <v>2</v>
      </c>
      <c r="F152" s="1" t="s">
        <v>143</v>
      </c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1:27" x14ac:dyDescent="0.25">
      <c r="A153" s="1">
        <v>2457307.4741799999</v>
      </c>
      <c r="B153" s="1" t="s">
        <v>103</v>
      </c>
      <c r="C153" s="1">
        <v>7.9690000000000003</v>
      </c>
      <c r="D153" s="1">
        <v>5.0000000000000001E-3</v>
      </c>
      <c r="E153" s="1" t="s">
        <v>2</v>
      </c>
      <c r="F153" s="1" t="s">
        <v>145</v>
      </c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1:27" x14ac:dyDescent="0.25">
      <c r="A154" s="1">
        <v>2457307.50281</v>
      </c>
      <c r="B154" s="1" t="s">
        <v>153</v>
      </c>
      <c r="C154" s="1">
        <v>8.0120000000000005</v>
      </c>
      <c r="D154" s="1">
        <v>6.0000000000000001E-3</v>
      </c>
      <c r="E154" s="1" t="s">
        <v>2</v>
      </c>
      <c r="F154" s="1" t="s">
        <v>145</v>
      </c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1:27" x14ac:dyDescent="0.25">
      <c r="A155" s="1">
        <v>2457307.52568</v>
      </c>
      <c r="B155" s="1" t="s">
        <v>153</v>
      </c>
      <c r="C155" s="1">
        <v>8.0180000000000007</v>
      </c>
      <c r="D155" s="1">
        <v>1.0999999999999999E-2</v>
      </c>
      <c r="E155" s="1" t="s">
        <v>2</v>
      </c>
      <c r="F155" s="1" t="s">
        <v>104</v>
      </c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1:27" x14ac:dyDescent="0.25">
      <c r="A156" s="1">
        <v>2457307.52611</v>
      </c>
      <c r="B156" s="1" t="s">
        <v>153</v>
      </c>
      <c r="C156" s="1">
        <v>8.0259999999999998</v>
      </c>
      <c r="D156" s="1">
        <v>1.0999999999999999E-2</v>
      </c>
      <c r="E156" s="1" t="s">
        <v>2</v>
      </c>
      <c r="F156" s="1" t="s">
        <v>104</v>
      </c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1:27" x14ac:dyDescent="0.25">
      <c r="A157" s="1">
        <v>2457307.5264400002</v>
      </c>
      <c r="B157" s="1" t="s">
        <v>153</v>
      </c>
      <c r="C157" s="1">
        <v>8.0150000000000006</v>
      </c>
      <c r="D157" s="1">
        <v>1.0999999999999999E-2</v>
      </c>
      <c r="E157" s="1" t="s">
        <v>2</v>
      </c>
      <c r="F157" s="1" t="s">
        <v>104</v>
      </c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7" x14ac:dyDescent="0.25">
      <c r="A158" s="1">
        <v>2457307.5267699999</v>
      </c>
      <c r="B158" s="1" t="s">
        <v>153</v>
      </c>
      <c r="C158" s="1">
        <v>8.0129999999999999</v>
      </c>
      <c r="D158" s="1">
        <v>1.0999999999999999E-2</v>
      </c>
      <c r="E158" s="1" t="s">
        <v>2</v>
      </c>
      <c r="F158" s="1" t="s">
        <v>104</v>
      </c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7" x14ac:dyDescent="0.25">
      <c r="A159" s="1">
        <v>2457307.5271000001</v>
      </c>
      <c r="B159" s="1" t="s">
        <v>153</v>
      </c>
      <c r="C159" s="1">
        <v>8.016</v>
      </c>
      <c r="D159" s="1">
        <v>1.0999999999999999E-2</v>
      </c>
      <c r="E159" s="1" t="s">
        <v>2</v>
      </c>
      <c r="F159" s="1" t="s">
        <v>104</v>
      </c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7" x14ac:dyDescent="0.25">
      <c r="A160" s="1">
        <v>2457307.5274200002</v>
      </c>
      <c r="B160" s="1" t="s">
        <v>153</v>
      </c>
      <c r="C160" s="1">
        <v>8.0120000000000005</v>
      </c>
      <c r="D160" s="1">
        <v>1.0999999999999999E-2</v>
      </c>
      <c r="E160" s="1" t="s">
        <v>2</v>
      </c>
      <c r="F160" s="1" t="s">
        <v>104</v>
      </c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 x14ac:dyDescent="0.25">
      <c r="A161" s="1">
        <v>2457307.52776</v>
      </c>
      <c r="B161" s="1" t="s">
        <v>153</v>
      </c>
      <c r="C161" s="1">
        <v>8.0350000000000001</v>
      </c>
      <c r="D161" s="1">
        <v>1.0999999999999999E-2</v>
      </c>
      <c r="E161" s="1" t="s">
        <v>2</v>
      </c>
      <c r="F161" s="1" t="s">
        <v>104</v>
      </c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 x14ac:dyDescent="0.25">
      <c r="A162" s="1">
        <v>2457307.5280800001</v>
      </c>
      <c r="B162" s="1" t="s">
        <v>153</v>
      </c>
      <c r="C162" s="1">
        <v>8.032</v>
      </c>
      <c r="D162" s="1">
        <v>1.0999999999999999E-2</v>
      </c>
      <c r="E162" s="1" t="s">
        <v>2</v>
      </c>
      <c r="F162" s="1" t="s">
        <v>104</v>
      </c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 x14ac:dyDescent="0.25">
      <c r="A163" s="1">
        <v>2457307.5314199999</v>
      </c>
      <c r="B163" s="1" t="s">
        <v>153</v>
      </c>
      <c r="C163" s="1">
        <v>8.0129999999999999</v>
      </c>
      <c r="D163" s="1">
        <v>1.0999999999999999E-2</v>
      </c>
      <c r="E163" s="1" t="s">
        <v>2</v>
      </c>
      <c r="F163" s="1" t="s">
        <v>104</v>
      </c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 x14ac:dyDescent="0.25">
      <c r="A164" s="1">
        <v>2457307.53186</v>
      </c>
      <c r="B164" s="1" t="s">
        <v>153</v>
      </c>
      <c r="C164" s="1">
        <v>8.0280000000000005</v>
      </c>
      <c r="D164" s="1">
        <v>1.0999999999999999E-2</v>
      </c>
      <c r="E164" s="1" t="s">
        <v>2</v>
      </c>
      <c r="F164" s="1" t="s">
        <v>104</v>
      </c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 x14ac:dyDescent="0.25">
      <c r="A165" s="1">
        <v>2457307.5323000001</v>
      </c>
      <c r="B165" s="1" t="s">
        <v>153</v>
      </c>
      <c r="C165" s="1">
        <v>8.0269999999999992</v>
      </c>
      <c r="D165" s="1">
        <v>1.0999999999999999E-2</v>
      </c>
      <c r="E165" s="1" t="s">
        <v>2</v>
      </c>
      <c r="F165" s="1" t="s">
        <v>104</v>
      </c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 x14ac:dyDescent="0.25">
      <c r="A166" s="1">
        <v>2457307.5327400002</v>
      </c>
      <c r="B166" s="1" t="s">
        <v>153</v>
      </c>
      <c r="C166" s="1">
        <v>8.0329999999999995</v>
      </c>
      <c r="D166" s="1">
        <v>0.01</v>
      </c>
      <c r="E166" s="1" t="s">
        <v>2</v>
      </c>
      <c r="F166" s="1" t="s">
        <v>104</v>
      </c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 x14ac:dyDescent="0.25">
      <c r="A167" s="1">
        <v>2457307.5331700002</v>
      </c>
      <c r="B167" s="1" t="s">
        <v>153</v>
      </c>
      <c r="C167" s="1">
        <v>8.0340000000000007</v>
      </c>
      <c r="D167" s="1">
        <v>0.01</v>
      </c>
      <c r="E167" s="1" t="s">
        <v>2</v>
      </c>
      <c r="F167" s="1" t="s">
        <v>104</v>
      </c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 x14ac:dyDescent="0.25">
      <c r="A168" s="1">
        <v>2457307.5336099998</v>
      </c>
      <c r="B168" s="1" t="s">
        <v>153</v>
      </c>
      <c r="C168" s="1">
        <v>8.0410000000000004</v>
      </c>
      <c r="D168" s="1">
        <v>0.01</v>
      </c>
      <c r="E168" s="1" t="s">
        <v>2</v>
      </c>
      <c r="F168" s="1" t="s">
        <v>104</v>
      </c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 x14ac:dyDescent="0.25">
      <c r="A169" s="1">
        <v>2457307.5340499999</v>
      </c>
      <c r="B169" s="1" t="s">
        <v>153</v>
      </c>
      <c r="C169" s="1">
        <v>8.0310000000000006</v>
      </c>
      <c r="D169" s="1">
        <v>1.0999999999999999E-2</v>
      </c>
      <c r="E169" s="1" t="s">
        <v>2</v>
      </c>
      <c r="F169" s="1" t="s">
        <v>104</v>
      </c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 x14ac:dyDescent="0.25">
      <c r="A170" s="1">
        <v>2457307.5344799999</v>
      </c>
      <c r="B170" s="1" t="s">
        <v>153</v>
      </c>
      <c r="C170" s="1">
        <v>8.0419999999999998</v>
      </c>
      <c r="D170" s="1">
        <v>0.01</v>
      </c>
      <c r="E170" s="1" t="s">
        <v>2</v>
      </c>
      <c r="F170" s="1" t="s">
        <v>104</v>
      </c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 x14ac:dyDescent="0.25">
      <c r="A171" s="1">
        <v>2457307.5349099999</v>
      </c>
      <c r="B171" s="1" t="s">
        <v>153</v>
      </c>
      <c r="C171" s="1">
        <v>8.0519999999999996</v>
      </c>
      <c r="D171" s="1">
        <v>0.01</v>
      </c>
      <c r="E171" s="1" t="s">
        <v>2</v>
      </c>
      <c r="F171" s="1" t="s">
        <v>104</v>
      </c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1:27" x14ac:dyDescent="0.25">
      <c r="A172" s="1">
        <v>2457307.53535</v>
      </c>
      <c r="B172" s="1" t="s">
        <v>153</v>
      </c>
      <c r="C172" s="1">
        <v>8.0310000000000006</v>
      </c>
      <c r="D172" s="1">
        <v>0.01</v>
      </c>
      <c r="E172" s="1" t="s">
        <v>2</v>
      </c>
      <c r="F172" s="1" t="s">
        <v>104</v>
      </c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x14ac:dyDescent="0.25">
      <c r="A173" s="1">
        <v>2457307.5358000002</v>
      </c>
      <c r="B173" s="1" t="s">
        <v>153</v>
      </c>
      <c r="C173" s="1">
        <v>8.0259999999999998</v>
      </c>
      <c r="D173" s="1">
        <v>1.0999999999999999E-2</v>
      </c>
      <c r="E173" s="1" t="s">
        <v>2</v>
      </c>
      <c r="F173" s="1" t="s">
        <v>104</v>
      </c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 x14ac:dyDescent="0.25">
      <c r="A174" s="1">
        <v>2457307.5362399998</v>
      </c>
      <c r="B174" s="1" t="s">
        <v>153</v>
      </c>
      <c r="C174" s="1">
        <v>8.0510000000000002</v>
      </c>
      <c r="D174" s="1">
        <v>0.01</v>
      </c>
      <c r="E174" s="1" t="s">
        <v>2</v>
      </c>
      <c r="F174" s="1" t="s">
        <v>104</v>
      </c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 x14ac:dyDescent="0.25">
      <c r="A175" s="1">
        <v>2457307.5366699998</v>
      </c>
      <c r="B175" s="1" t="s">
        <v>153</v>
      </c>
      <c r="C175" s="1">
        <v>8.0370000000000008</v>
      </c>
      <c r="D175" s="1">
        <v>0.01</v>
      </c>
      <c r="E175" s="1" t="s">
        <v>2</v>
      </c>
      <c r="F175" s="1" t="s">
        <v>104</v>
      </c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 x14ac:dyDescent="0.25">
      <c r="A176" s="1">
        <v>2457307.5371099999</v>
      </c>
      <c r="B176" s="1" t="s">
        <v>153</v>
      </c>
      <c r="C176" s="1">
        <v>8.0220000000000002</v>
      </c>
      <c r="D176" s="1">
        <v>1.0999999999999999E-2</v>
      </c>
      <c r="E176" s="1" t="s">
        <v>2</v>
      </c>
      <c r="F176" s="1" t="s">
        <v>104</v>
      </c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 x14ac:dyDescent="0.25">
      <c r="A177" s="1">
        <v>2457307.53755</v>
      </c>
      <c r="B177" s="1" t="s">
        <v>153</v>
      </c>
      <c r="C177" s="1">
        <v>8.0280000000000005</v>
      </c>
      <c r="D177" s="1">
        <v>1.0999999999999999E-2</v>
      </c>
      <c r="E177" s="1" t="s">
        <v>2</v>
      </c>
      <c r="F177" s="1" t="s">
        <v>104</v>
      </c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 x14ac:dyDescent="0.25">
      <c r="A178" s="1">
        <v>2457307.53798</v>
      </c>
      <c r="B178" s="1" t="s">
        <v>153</v>
      </c>
      <c r="C178" s="1">
        <v>8.0389999999999997</v>
      </c>
      <c r="D178" s="1">
        <v>0.01</v>
      </c>
      <c r="E178" s="1" t="s">
        <v>2</v>
      </c>
      <c r="F178" s="1" t="s">
        <v>104</v>
      </c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 x14ac:dyDescent="0.25">
      <c r="A179" s="1">
        <v>2457307.5384200001</v>
      </c>
      <c r="B179" s="1" t="s">
        <v>153</v>
      </c>
      <c r="C179" s="1">
        <v>8.0310000000000006</v>
      </c>
      <c r="D179" s="1">
        <v>0.01</v>
      </c>
      <c r="E179" s="1" t="s">
        <v>2</v>
      </c>
      <c r="F179" s="1" t="s">
        <v>104</v>
      </c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 x14ac:dyDescent="0.25">
      <c r="A180" s="1">
        <v>2457307.5388600002</v>
      </c>
      <c r="B180" s="1" t="s">
        <v>153</v>
      </c>
      <c r="C180" s="1">
        <v>8.0150000000000006</v>
      </c>
      <c r="D180" s="1">
        <v>0.01</v>
      </c>
      <c r="E180" s="1" t="s">
        <v>2</v>
      </c>
      <c r="F180" s="1" t="s">
        <v>104</v>
      </c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 x14ac:dyDescent="0.25">
      <c r="A181" s="1">
        <v>2457307.5392900002</v>
      </c>
      <c r="B181" s="1" t="s">
        <v>153</v>
      </c>
      <c r="C181" s="1">
        <v>8.0289999999999999</v>
      </c>
      <c r="D181" s="1">
        <v>1.0999999999999999E-2</v>
      </c>
      <c r="E181" s="1" t="s">
        <v>2</v>
      </c>
      <c r="F181" s="1" t="s">
        <v>104</v>
      </c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 x14ac:dyDescent="0.25">
      <c r="A182" s="1">
        <v>2457307.5397299998</v>
      </c>
      <c r="B182" s="1" t="s">
        <v>153</v>
      </c>
      <c r="C182" s="1">
        <v>8.0470000000000006</v>
      </c>
      <c r="D182" s="1">
        <v>0.01</v>
      </c>
      <c r="E182" s="1" t="s">
        <v>2</v>
      </c>
      <c r="F182" s="1" t="s">
        <v>104</v>
      </c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 x14ac:dyDescent="0.25">
      <c r="A183" s="1">
        <v>2457307.5401699999</v>
      </c>
      <c r="B183" s="1" t="s">
        <v>153</v>
      </c>
      <c r="C183" s="1">
        <v>8.0120000000000005</v>
      </c>
      <c r="D183" s="1">
        <v>0.01</v>
      </c>
      <c r="E183" s="1" t="s">
        <v>2</v>
      </c>
      <c r="F183" s="1" t="s">
        <v>104</v>
      </c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 x14ac:dyDescent="0.25">
      <c r="A184" s="1">
        <v>2457307.54061</v>
      </c>
      <c r="B184" s="1" t="s">
        <v>153</v>
      </c>
      <c r="C184" s="1">
        <v>8.0549999999999997</v>
      </c>
      <c r="D184" s="1">
        <v>0.01</v>
      </c>
      <c r="E184" s="1" t="s">
        <v>2</v>
      </c>
      <c r="F184" s="1" t="s">
        <v>104</v>
      </c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 x14ac:dyDescent="0.25">
      <c r="A185" s="1">
        <v>2457307.5410500001</v>
      </c>
      <c r="B185" s="1" t="s">
        <v>153</v>
      </c>
      <c r="C185" s="1">
        <v>8.0410000000000004</v>
      </c>
      <c r="D185" s="1">
        <v>0.01</v>
      </c>
      <c r="E185" s="1" t="s">
        <v>2</v>
      </c>
      <c r="F185" s="1" t="s">
        <v>104</v>
      </c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 x14ac:dyDescent="0.25">
      <c r="A186" s="1">
        <v>2457307.5414900002</v>
      </c>
      <c r="B186" s="1" t="s">
        <v>153</v>
      </c>
      <c r="C186" s="1">
        <v>8.0129999999999999</v>
      </c>
      <c r="D186" s="1">
        <v>1.0999999999999999E-2</v>
      </c>
      <c r="E186" s="1" t="s">
        <v>2</v>
      </c>
      <c r="F186" s="1" t="s">
        <v>104</v>
      </c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 x14ac:dyDescent="0.25">
      <c r="A187" s="1">
        <v>2457307.5419299998</v>
      </c>
      <c r="B187" s="1" t="s">
        <v>153</v>
      </c>
      <c r="C187" s="1">
        <v>8.032</v>
      </c>
      <c r="D187" s="1">
        <v>0.01</v>
      </c>
      <c r="E187" s="1" t="s">
        <v>2</v>
      </c>
      <c r="F187" s="1" t="s">
        <v>104</v>
      </c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 x14ac:dyDescent="0.25">
      <c r="A188" s="1">
        <v>2457307.5423699999</v>
      </c>
      <c r="B188" s="1" t="s">
        <v>153</v>
      </c>
      <c r="C188" s="1">
        <v>8.02</v>
      </c>
      <c r="D188" s="1">
        <v>1.0999999999999999E-2</v>
      </c>
      <c r="E188" s="1" t="s">
        <v>2</v>
      </c>
      <c r="F188" s="1" t="s">
        <v>104</v>
      </c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 x14ac:dyDescent="0.25">
      <c r="A189" s="1">
        <v>2457307.5427999999</v>
      </c>
      <c r="B189" s="1" t="s">
        <v>153</v>
      </c>
      <c r="C189" s="1">
        <v>8.0449999999999999</v>
      </c>
      <c r="D189" s="1">
        <v>0.01</v>
      </c>
      <c r="E189" s="1" t="s">
        <v>2</v>
      </c>
      <c r="F189" s="1" t="s">
        <v>104</v>
      </c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 x14ac:dyDescent="0.25">
      <c r="A190" s="1">
        <v>2457307.54323</v>
      </c>
      <c r="B190" s="1" t="s">
        <v>153</v>
      </c>
      <c r="C190" s="1">
        <v>8.0289999999999999</v>
      </c>
      <c r="D190" s="1">
        <v>0.01</v>
      </c>
      <c r="E190" s="1" t="s">
        <v>2</v>
      </c>
      <c r="F190" s="1" t="s">
        <v>104</v>
      </c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 x14ac:dyDescent="0.25">
      <c r="A191" s="1">
        <v>2457307.54367</v>
      </c>
      <c r="B191" s="1" t="s">
        <v>153</v>
      </c>
      <c r="C191" s="1">
        <v>8.0299999999999994</v>
      </c>
      <c r="D191" s="1">
        <v>0.01</v>
      </c>
      <c r="E191" s="1" t="s">
        <v>2</v>
      </c>
      <c r="F191" s="1" t="s">
        <v>104</v>
      </c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 x14ac:dyDescent="0.25">
      <c r="A192" s="1">
        <v>2457307.5441100001</v>
      </c>
      <c r="B192" s="1" t="s">
        <v>153</v>
      </c>
      <c r="C192" s="1">
        <v>8.02</v>
      </c>
      <c r="D192" s="1">
        <v>0.01</v>
      </c>
      <c r="E192" s="1" t="s">
        <v>2</v>
      </c>
      <c r="F192" s="1" t="s">
        <v>104</v>
      </c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 x14ac:dyDescent="0.25">
      <c r="A193" s="1">
        <v>2457307.5445500002</v>
      </c>
      <c r="B193" s="1" t="s">
        <v>153</v>
      </c>
      <c r="C193" s="1">
        <v>8.0139999999999993</v>
      </c>
      <c r="D193" s="1">
        <v>0.01</v>
      </c>
      <c r="E193" s="1" t="s">
        <v>2</v>
      </c>
      <c r="F193" s="1" t="s">
        <v>104</v>
      </c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 x14ac:dyDescent="0.25">
      <c r="A194" s="1">
        <v>2457307.5449799998</v>
      </c>
      <c r="B194" s="1" t="s">
        <v>153</v>
      </c>
      <c r="C194" s="1">
        <v>8.0370000000000008</v>
      </c>
      <c r="D194" s="1">
        <v>0.01</v>
      </c>
      <c r="E194" s="1" t="s">
        <v>2</v>
      </c>
      <c r="F194" s="1" t="s">
        <v>104</v>
      </c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 x14ac:dyDescent="0.25">
      <c r="A195" s="1">
        <v>2457307.5454199999</v>
      </c>
      <c r="B195" s="1" t="s">
        <v>153</v>
      </c>
      <c r="C195" s="1">
        <v>8.0370000000000008</v>
      </c>
      <c r="D195" s="1">
        <v>0.01</v>
      </c>
      <c r="E195" s="1" t="s">
        <v>2</v>
      </c>
      <c r="F195" s="1" t="s">
        <v>104</v>
      </c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 x14ac:dyDescent="0.25">
      <c r="A196" s="1">
        <v>2457307.54586</v>
      </c>
      <c r="B196" s="1" t="s">
        <v>153</v>
      </c>
      <c r="C196" s="1">
        <v>8.0419999999999998</v>
      </c>
      <c r="D196" s="1">
        <v>0.01</v>
      </c>
      <c r="E196" s="1" t="s">
        <v>2</v>
      </c>
      <c r="F196" s="1" t="s">
        <v>104</v>
      </c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 x14ac:dyDescent="0.25">
      <c r="A197" s="1">
        <v>2457307.5463</v>
      </c>
      <c r="B197" s="1" t="s">
        <v>153</v>
      </c>
      <c r="C197" s="1">
        <v>8.0090000000000003</v>
      </c>
      <c r="D197" s="1">
        <v>0.01</v>
      </c>
      <c r="E197" s="1" t="s">
        <v>2</v>
      </c>
      <c r="F197" s="1" t="s">
        <v>104</v>
      </c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 x14ac:dyDescent="0.25">
      <c r="A198" s="1">
        <v>2457307.5467400001</v>
      </c>
      <c r="B198" s="1" t="s">
        <v>153</v>
      </c>
      <c r="C198" s="1">
        <v>8.016</v>
      </c>
      <c r="D198" s="1">
        <v>0.01</v>
      </c>
      <c r="E198" s="1" t="s">
        <v>2</v>
      </c>
      <c r="F198" s="1" t="s">
        <v>104</v>
      </c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 x14ac:dyDescent="0.25">
      <c r="A199" s="1">
        <v>2457307.5471800002</v>
      </c>
      <c r="B199" s="1" t="s">
        <v>153</v>
      </c>
      <c r="C199" s="1">
        <v>8.0340000000000007</v>
      </c>
      <c r="D199" s="1">
        <v>0.01</v>
      </c>
      <c r="E199" s="1" t="s">
        <v>2</v>
      </c>
      <c r="F199" s="1" t="s">
        <v>104</v>
      </c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 x14ac:dyDescent="0.25">
      <c r="A200" s="1">
        <v>2457307.5476199999</v>
      </c>
      <c r="B200" s="1" t="s">
        <v>153</v>
      </c>
      <c r="C200" s="1">
        <v>8.0259999999999998</v>
      </c>
      <c r="D200" s="1">
        <v>0.01</v>
      </c>
      <c r="E200" s="1" t="s">
        <v>2</v>
      </c>
      <c r="F200" s="1" t="s">
        <v>104</v>
      </c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 x14ac:dyDescent="0.25">
      <c r="A201" s="1">
        <v>2457307.5480599999</v>
      </c>
      <c r="B201" s="1" t="s">
        <v>153</v>
      </c>
      <c r="C201" s="1">
        <v>8.0250000000000004</v>
      </c>
      <c r="D201" s="1">
        <v>0.01</v>
      </c>
      <c r="E201" s="1" t="s">
        <v>2</v>
      </c>
      <c r="F201" s="1" t="s">
        <v>104</v>
      </c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 x14ac:dyDescent="0.25">
      <c r="A202" s="1">
        <v>2457307.5485</v>
      </c>
      <c r="B202" s="1" t="s">
        <v>153</v>
      </c>
      <c r="C202" s="1">
        <v>8.0350000000000001</v>
      </c>
      <c r="D202" s="1">
        <v>0.01</v>
      </c>
      <c r="E202" s="1" t="s">
        <v>2</v>
      </c>
      <c r="F202" s="1" t="s">
        <v>104</v>
      </c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 x14ac:dyDescent="0.25">
      <c r="A203" s="1">
        <v>2457307.54893</v>
      </c>
      <c r="B203" s="1" t="s">
        <v>153</v>
      </c>
      <c r="C203" s="1">
        <v>8.0359999999999996</v>
      </c>
      <c r="D203" s="1">
        <v>0.01</v>
      </c>
      <c r="E203" s="1" t="s">
        <v>2</v>
      </c>
      <c r="F203" s="1" t="s">
        <v>104</v>
      </c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 x14ac:dyDescent="0.25">
      <c r="A204" s="1">
        <v>2457307.5493700001</v>
      </c>
      <c r="B204" s="1" t="s">
        <v>153</v>
      </c>
      <c r="C204" s="1">
        <v>8.0410000000000004</v>
      </c>
      <c r="D204" s="1">
        <v>0.01</v>
      </c>
      <c r="E204" s="1" t="s">
        <v>2</v>
      </c>
      <c r="F204" s="1" t="s">
        <v>104</v>
      </c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 x14ac:dyDescent="0.25">
      <c r="A205" s="1">
        <v>2457307.5498100002</v>
      </c>
      <c r="B205" s="1" t="s">
        <v>153</v>
      </c>
      <c r="C205" s="1">
        <v>8.0250000000000004</v>
      </c>
      <c r="D205" s="1">
        <v>0.01</v>
      </c>
      <c r="E205" s="1" t="s">
        <v>2</v>
      </c>
      <c r="F205" s="1" t="s">
        <v>104</v>
      </c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 x14ac:dyDescent="0.25">
      <c r="A206" s="1">
        <v>2457307.5502499999</v>
      </c>
      <c r="B206" s="1" t="s">
        <v>153</v>
      </c>
      <c r="C206" s="1">
        <v>8.0079999999999991</v>
      </c>
      <c r="D206" s="1">
        <v>0.01</v>
      </c>
      <c r="E206" s="1" t="s">
        <v>2</v>
      </c>
      <c r="F206" s="1" t="s">
        <v>104</v>
      </c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 x14ac:dyDescent="0.25">
      <c r="A207" s="1">
        <v>2457307.5506899999</v>
      </c>
      <c r="B207" s="1" t="s">
        <v>153</v>
      </c>
      <c r="C207" s="1">
        <v>8.0280000000000005</v>
      </c>
      <c r="D207" s="1">
        <v>0.01</v>
      </c>
      <c r="E207" s="1" t="s">
        <v>2</v>
      </c>
      <c r="F207" s="1" t="s">
        <v>104</v>
      </c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 x14ac:dyDescent="0.25">
      <c r="A208" s="1">
        <v>2457307.55113</v>
      </c>
      <c r="B208" s="1" t="s">
        <v>153</v>
      </c>
      <c r="C208" s="1">
        <v>8.0180000000000007</v>
      </c>
      <c r="D208" s="1">
        <v>0.01</v>
      </c>
      <c r="E208" s="1" t="s">
        <v>2</v>
      </c>
      <c r="F208" s="1" t="s">
        <v>104</v>
      </c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 x14ac:dyDescent="0.25">
      <c r="A209" s="1">
        <v>2457307.5515700001</v>
      </c>
      <c r="B209" s="1" t="s">
        <v>153</v>
      </c>
      <c r="C209" s="1">
        <v>8.0109999999999992</v>
      </c>
      <c r="D209" s="1">
        <v>0.01</v>
      </c>
      <c r="E209" s="1" t="s">
        <v>2</v>
      </c>
      <c r="F209" s="1" t="s">
        <v>104</v>
      </c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 x14ac:dyDescent="0.25">
      <c r="A210" s="1">
        <v>2457307.5520100002</v>
      </c>
      <c r="B210" s="1" t="s">
        <v>153</v>
      </c>
      <c r="C210" s="1">
        <v>8.0280000000000005</v>
      </c>
      <c r="D210" s="1">
        <v>0.01</v>
      </c>
      <c r="E210" s="1" t="s">
        <v>2</v>
      </c>
      <c r="F210" s="1" t="s">
        <v>104</v>
      </c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 x14ac:dyDescent="0.25">
      <c r="A211" s="1">
        <v>2457307.5524400002</v>
      </c>
      <c r="B211" s="1" t="s">
        <v>153</v>
      </c>
      <c r="C211" s="1">
        <v>8.01</v>
      </c>
      <c r="D211" s="1">
        <v>0.01</v>
      </c>
      <c r="E211" s="1" t="s">
        <v>2</v>
      </c>
      <c r="F211" s="1" t="s">
        <v>104</v>
      </c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 x14ac:dyDescent="0.25">
      <c r="A212" s="1">
        <v>2457307.5528799999</v>
      </c>
      <c r="B212" s="1" t="s">
        <v>153</v>
      </c>
      <c r="C212" s="1">
        <v>8.0250000000000004</v>
      </c>
      <c r="D212" s="1">
        <v>0.01</v>
      </c>
      <c r="E212" s="1" t="s">
        <v>2</v>
      </c>
      <c r="F212" s="1" t="s">
        <v>104</v>
      </c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 x14ac:dyDescent="0.25">
      <c r="A213" s="1">
        <v>2457307.5533199999</v>
      </c>
      <c r="B213" s="1" t="s">
        <v>153</v>
      </c>
      <c r="C213" s="1">
        <v>8.032</v>
      </c>
      <c r="D213" s="1">
        <v>0.01</v>
      </c>
      <c r="E213" s="1" t="s">
        <v>2</v>
      </c>
      <c r="F213" s="1" t="s">
        <v>104</v>
      </c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 x14ac:dyDescent="0.25">
      <c r="A214" s="1">
        <v>2457307.55376</v>
      </c>
      <c r="B214" s="1" t="s">
        <v>153</v>
      </c>
      <c r="C214" s="1">
        <v>8.0380000000000003</v>
      </c>
      <c r="D214" s="1">
        <v>0.01</v>
      </c>
      <c r="E214" s="1" t="s">
        <v>2</v>
      </c>
      <c r="F214" s="1" t="s">
        <v>104</v>
      </c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 x14ac:dyDescent="0.25">
      <c r="A215" s="1">
        <v>2457307.5542000001</v>
      </c>
      <c r="B215" s="1" t="s">
        <v>153</v>
      </c>
      <c r="C215" s="1">
        <v>8.0399999999999991</v>
      </c>
      <c r="D215" s="1">
        <v>0.01</v>
      </c>
      <c r="E215" s="1" t="s">
        <v>2</v>
      </c>
      <c r="F215" s="1" t="s">
        <v>104</v>
      </c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 x14ac:dyDescent="0.25">
      <c r="A216" s="1">
        <v>2457307.5546400002</v>
      </c>
      <c r="B216" s="1" t="s">
        <v>153</v>
      </c>
      <c r="C216" s="1">
        <v>8.0180000000000007</v>
      </c>
      <c r="D216" s="1">
        <v>0.01</v>
      </c>
      <c r="E216" s="1" t="s">
        <v>2</v>
      </c>
      <c r="F216" s="1" t="s">
        <v>104</v>
      </c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 x14ac:dyDescent="0.25">
      <c r="A217" s="1">
        <v>2457307.5550600002</v>
      </c>
      <c r="B217" s="1" t="s">
        <v>153</v>
      </c>
      <c r="C217" s="1">
        <v>8.0220000000000002</v>
      </c>
      <c r="D217" s="1">
        <v>0.01</v>
      </c>
      <c r="E217" s="1" t="s">
        <v>2</v>
      </c>
      <c r="F217" s="1" t="s">
        <v>104</v>
      </c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 x14ac:dyDescent="0.25">
      <c r="A218" s="1">
        <v>2457307.5554999998</v>
      </c>
      <c r="B218" s="1" t="s">
        <v>153</v>
      </c>
      <c r="C218" s="1">
        <v>8.0220000000000002</v>
      </c>
      <c r="D218" s="1">
        <v>0.01</v>
      </c>
      <c r="E218" s="1" t="s">
        <v>2</v>
      </c>
      <c r="F218" s="1" t="s">
        <v>104</v>
      </c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 x14ac:dyDescent="0.25">
      <c r="A219" s="1">
        <v>2457307.5559399999</v>
      </c>
      <c r="B219" s="1" t="s">
        <v>153</v>
      </c>
      <c r="C219" s="1">
        <v>8.0259999999999998</v>
      </c>
      <c r="D219" s="1">
        <v>0.01</v>
      </c>
      <c r="E219" s="1" t="s">
        <v>2</v>
      </c>
      <c r="F219" s="1" t="s">
        <v>104</v>
      </c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 x14ac:dyDescent="0.25">
      <c r="A220" s="1">
        <v>2457307.55638</v>
      </c>
      <c r="B220" s="1" t="s">
        <v>153</v>
      </c>
      <c r="C220" s="1">
        <v>8.0129999999999999</v>
      </c>
      <c r="D220" s="1">
        <v>0.01</v>
      </c>
      <c r="E220" s="1" t="s">
        <v>2</v>
      </c>
      <c r="F220" s="1" t="s">
        <v>104</v>
      </c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x14ac:dyDescent="0.25">
      <c r="A221" s="1">
        <v>2457307.5568200001</v>
      </c>
      <c r="B221" s="1" t="s">
        <v>153</v>
      </c>
      <c r="C221" s="1">
        <v>8.0530000000000008</v>
      </c>
      <c r="D221" s="1">
        <v>0.01</v>
      </c>
      <c r="E221" s="1" t="s">
        <v>2</v>
      </c>
      <c r="F221" s="1" t="s">
        <v>104</v>
      </c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 x14ac:dyDescent="0.25">
      <c r="A222" s="1">
        <v>2457307.5572600001</v>
      </c>
      <c r="B222" s="1" t="s">
        <v>153</v>
      </c>
      <c r="C222" s="1">
        <v>8.0069999999999997</v>
      </c>
      <c r="D222" s="1">
        <v>0.01</v>
      </c>
      <c r="E222" s="1" t="s">
        <v>2</v>
      </c>
      <c r="F222" s="1" t="s">
        <v>104</v>
      </c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 x14ac:dyDescent="0.25">
      <c r="A223" s="1">
        <v>2457307.5576999998</v>
      </c>
      <c r="B223" s="1" t="s">
        <v>153</v>
      </c>
      <c r="C223" s="1">
        <v>8.0449999999999999</v>
      </c>
      <c r="D223" s="1">
        <v>0.01</v>
      </c>
      <c r="E223" s="1" t="s">
        <v>2</v>
      </c>
      <c r="F223" s="1" t="s">
        <v>104</v>
      </c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 x14ac:dyDescent="0.25">
      <c r="A224" s="1">
        <v>2457307.5581299998</v>
      </c>
      <c r="B224" s="1" t="s">
        <v>153</v>
      </c>
      <c r="C224" s="1">
        <v>8.0530000000000008</v>
      </c>
      <c r="D224" s="1">
        <v>0.01</v>
      </c>
      <c r="E224" s="1" t="s">
        <v>2</v>
      </c>
      <c r="F224" s="1" t="s">
        <v>104</v>
      </c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 x14ac:dyDescent="0.25">
      <c r="A225" s="1">
        <v>2457307.6027000002</v>
      </c>
      <c r="B225" s="1" t="s">
        <v>153</v>
      </c>
      <c r="C225" s="1">
        <v>7.9950000000000001</v>
      </c>
      <c r="D225" s="1">
        <v>8.0000000000000002E-3</v>
      </c>
      <c r="E225" s="1" t="s">
        <v>2</v>
      </c>
      <c r="F225" s="1" t="s">
        <v>143</v>
      </c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 x14ac:dyDescent="0.25">
      <c r="A226" s="1">
        <v>2457309.42778</v>
      </c>
      <c r="B226" s="1" t="s">
        <v>154</v>
      </c>
      <c r="C226" s="1">
        <v>8.0790000000000006</v>
      </c>
      <c r="D226" s="1">
        <v>2.4E-2</v>
      </c>
      <c r="E226" s="1" t="s">
        <v>2</v>
      </c>
      <c r="F226" s="1" t="s">
        <v>16</v>
      </c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 x14ac:dyDescent="0.25">
      <c r="A227" s="1">
        <v>2457309.5479299999</v>
      </c>
      <c r="B227" s="1" t="s">
        <v>155</v>
      </c>
      <c r="C227" s="1">
        <v>8.157</v>
      </c>
      <c r="D227" s="1">
        <v>7.0000000000000001E-3</v>
      </c>
      <c r="E227" s="1" t="s">
        <v>2</v>
      </c>
      <c r="F227" s="1" t="s">
        <v>104</v>
      </c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 x14ac:dyDescent="0.25">
      <c r="A228" s="1">
        <v>2457309.5483200001</v>
      </c>
      <c r="B228" s="1" t="s">
        <v>155</v>
      </c>
      <c r="C228" s="1">
        <v>8.16</v>
      </c>
      <c r="D228" s="1">
        <v>7.0000000000000001E-3</v>
      </c>
      <c r="E228" s="1" t="s">
        <v>2</v>
      </c>
      <c r="F228" s="1" t="s">
        <v>104</v>
      </c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 x14ac:dyDescent="0.25">
      <c r="A229" s="1">
        <v>2457309.5486900001</v>
      </c>
      <c r="B229" s="1" t="s">
        <v>155</v>
      </c>
      <c r="C229" s="1">
        <v>8.1519999999999992</v>
      </c>
      <c r="D229" s="1">
        <v>7.0000000000000001E-3</v>
      </c>
      <c r="E229" s="1" t="s">
        <v>2</v>
      </c>
      <c r="F229" s="1" t="s">
        <v>104</v>
      </c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 x14ac:dyDescent="0.25">
      <c r="A230" s="1">
        <v>2457309.5490700002</v>
      </c>
      <c r="B230" s="1" t="s">
        <v>155</v>
      </c>
      <c r="C230" s="1">
        <v>8.1470000000000002</v>
      </c>
      <c r="D230" s="1">
        <v>7.0000000000000001E-3</v>
      </c>
      <c r="E230" s="1" t="s">
        <v>2</v>
      </c>
      <c r="F230" s="1" t="s">
        <v>104</v>
      </c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 x14ac:dyDescent="0.25">
      <c r="A231" s="1">
        <v>2457309.5494499998</v>
      </c>
      <c r="B231" s="1" t="s">
        <v>155</v>
      </c>
      <c r="C231" s="1">
        <v>8.1479999999999997</v>
      </c>
      <c r="D231" s="1">
        <v>7.0000000000000001E-3</v>
      </c>
      <c r="E231" s="1" t="s">
        <v>2</v>
      </c>
      <c r="F231" s="1" t="s">
        <v>104</v>
      </c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 x14ac:dyDescent="0.25">
      <c r="A232" s="1">
        <v>2457310.5232299999</v>
      </c>
      <c r="B232" s="1" t="s">
        <v>156</v>
      </c>
      <c r="C232" s="1">
        <v>8.0589999999999993</v>
      </c>
      <c r="D232" s="1">
        <v>7.0000000000000001E-3</v>
      </c>
      <c r="E232" s="1" t="s">
        <v>2</v>
      </c>
      <c r="F232" s="1" t="s">
        <v>104</v>
      </c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 x14ac:dyDescent="0.25">
      <c r="A233" s="1">
        <v>2457310.52361</v>
      </c>
      <c r="B233" s="1" t="s">
        <v>156</v>
      </c>
      <c r="C233" s="1">
        <v>8.06</v>
      </c>
      <c r="D233" s="1">
        <v>7.0000000000000001E-3</v>
      </c>
      <c r="E233" s="1" t="s">
        <v>2</v>
      </c>
      <c r="F233" s="1" t="s">
        <v>104</v>
      </c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 x14ac:dyDescent="0.25">
      <c r="A234" s="1">
        <v>2457310.5239900001</v>
      </c>
      <c r="B234" s="1" t="s">
        <v>156</v>
      </c>
      <c r="C234" s="1">
        <v>8.0440000000000005</v>
      </c>
      <c r="D234" s="1">
        <v>7.0000000000000001E-3</v>
      </c>
      <c r="E234" s="1" t="s">
        <v>2</v>
      </c>
      <c r="F234" s="1" t="s">
        <v>104</v>
      </c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 x14ac:dyDescent="0.25">
      <c r="A235" s="1">
        <v>2457310.5243700002</v>
      </c>
      <c r="B235" s="1" t="s">
        <v>156</v>
      </c>
      <c r="C235" s="1">
        <v>8.048</v>
      </c>
      <c r="D235" s="1">
        <v>7.0000000000000001E-3</v>
      </c>
      <c r="E235" s="1" t="s">
        <v>2</v>
      </c>
      <c r="F235" s="1" t="s">
        <v>104</v>
      </c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 x14ac:dyDescent="0.25">
      <c r="A236" s="1">
        <v>2457310.5247499999</v>
      </c>
      <c r="B236" s="1" t="s">
        <v>156</v>
      </c>
      <c r="C236" s="1">
        <v>8.0609999999999999</v>
      </c>
      <c r="D236" s="1">
        <v>7.0000000000000001E-3</v>
      </c>
      <c r="E236" s="1" t="s">
        <v>2</v>
      </c>
      <c r="F236" s="1" t="s">
        <v>104</v>
      </c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 x14ac:dyDescent="0.25">
      <c r="A237" s="1">
        <v>2457310.52513</v>
      </c>
      <c r="B237" s="1" t="s">
        <v>156</v>
      </c>
      <c r="C237" s="1">
        <v>8.0619999999999994</v>
      </c>
      <c r="D237" s="1">
        <v>7.0000000000000001E-3</v>
      </c>
      <c r="E237" s="1" t="s">
        <v>2</v>
      </c>
      <c r="F237" s="1" t="s">
        <v>104</v>
      </c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 x14ac:dyDescent="0.25">
      <c r="A238" s="1">
        <v>2457310.5255200001</v>
      </c>
      <c r="B238" s="1" t="s">
        <v>156</v>
      </c>
      <c r="C238" s="1">
        <v>8.0570000000000004</v>
      </c>
      <c r="D238" s="1">
        <v>7.0000000000000001E-3</v>
      </c>
      <c r="E238" s="1" t="s">
        <v>2</v>
      </c>
      <c r="F238" s="1" t="s">
        <v>104</v>
      </c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 x14ac:dyDescent="0.25">
      <c r="A239" s="1">
        <v>2457310.5258999998</v>
      </c>
      <c r="B239" s="1" t="s">
        <v>156</v>
      </c>
      <c r="C239" s="1">
        <v>8.06</v>
      </c>
      <c r="D239" s="1">
        <v>7.0000000000000001E-3</v>
      </c>
      <c r="E239" s="1" t="s">
        <v>2</v>
      </c>
      <c r="F239" s="1" t="s">
        <v>104</v>
      </c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 x14ac:dyDescent="0.25">
      <c r="A240" s="1">
        <v>2457310.5262799999</v>
      </c>
      <c r="B240" s="1" t="s">
        <v>156</v>
      </c>
      <c r="C240" s="1">
        <v>8.0549999999999997</v>
      </c>
      <c r="D240" s="1">
        <v>7.0000000000000001E-3</v>
      </c>
      <c r="E240" s="1" t="s">
        <v>2</v>
      </c>
      <c r="F240" s="1" t="s">
        <v>104</v>
      </c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 x14ac:dyDescent="0.25">
      <c r="A241" s="1">
        <v>2457310.52666</v>
      </c>
      <c r="B241" s="1" t="s">
        <v>156</v>
      </c>
      <c r="C241" s="1">
        <v>8.0470000000000006</v>
      </c>
      <c r="D241" s="1">
        <v>7.0000000000000001E-3</v>
      </c>
      <c r="E241" s="1" t="s">
        <v>2</v>
      </c>
      <c r="F241" s="1" t="s">
        <v>104</v>
      </c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1:27" x14ac:dyDescent="0.25">
      <c r="A242" s="1">
        <v>2457310.6024000002</v>
      </c>
      <c r="B242" s="1" t="s">
        <v>156</v>
      </c>
      <c r="C242" s="1">
        <v>8.0340000000000007</v>
      </c>
      <c r="D242" s="1">
        <v>6.0000000000000001E-3</v>
      </c>
      <c r="E242" s="1" t="s">
        <v>2</v>
      </c>
      <c r="F242" s="1" t="s">
        <v>143</v>
      </c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1:27" x14ac:dyDescent="0.25">
      <c r="A243" s="1">
        <v>2457311.4634699998</v>
      </c>
      <c r="B243" s="1" t="s">
        <v>156</v>
      </c>
      <c r="C243" s="1">
        <v>8.0259999999999998</v>
      </c>
      <c r="D243" s="1">
        <v>5.0000000000000001E-3</v>
      </c>
      <c r="E243" s="1" t="s">
        <v>2</v>
      </c>
      <c r="F243" s="1" t="s">
        <v>145</v>
      </c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1:27" x14ac:dyDescent="0.25">
      <c r="A244" s="1">
        <v>2457312.5419000001</v>
      </c>
      <c r="B244" s="1" t="s">
        <v>157</v>
      </c>
      <c r="C244" s="1">
        <v>8.1120000000000001</v>
      </c>
      <c r="D244" s="1">
        <v>7.0000000000000001E-3</v>
      </c>
      <c r="E244" s="1" t="s">
        <v>2</v>
      </c>
      <c r="F244" s="1" t="s">
        <v>104</v>
      </c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1:27" x14ac:dyDescent="0.25">
      <c r="A245" s="1">
        <v>2457312.5430999999</v>
      </c>
      <c r="B245" s="1" t="s">
        <v>157</v>
      </c>
      <c r="C245" s="1">
        <v>8.0920000000000005</v>
      </c>
      <c r="D245" s="1">
        <v>7.0000000000000001E-3</v>
      </c>
      <c r="E245" s="1" t="s">
        <v>2</v>
      </c>
      <c r="F245" s="1" t="s">
        <v>104</v>
      </c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1:27" x14ac:dyDescent="0.25">
      <c r="A246" s="1">
        <v>2457312.5434699999</v>
      </c>
      <c r="B246" s="1" t="s">
        <v>157</v>
      </c>
      <c r="C246" s="1">
        <v>8.0879999999999992</v>
      </c>
      <c r="D246" s="1">
        <v>7.0000000000000001E-3</v>
      </c>
      <c r="E246" s="1" t="s">
        <v>2</v>
      </c>
      <c r="F246" s="1" t="s">
        <v>104</v>
      </c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1:27" x14ac:dyDescent="0.25">
      <c r="A247" s="1">
        <v>2457312.54385</v>
      </c>
      <c r="B247" s="1" t="s">
        <v>157</v>
      </c>
      <c r="C247" s="1">
        <v>8.0990000000000002</v>
      </c>
      <c r="D247" s="1">
        <v>7.0000000000000001E-3</v>
      </c>
      <c r="E247" s="1" t="s">
        <v>2</v>
      </c>
      <c r="F247" s="1" t="s">
        <v>104</v>
      </c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1:27" x14ac:dyDescent="0.25">
      <c r="A248" s="1">
        <v>2457312.5442300001</v>
      </c>
      <c r="B248" s="1" t="s">
        <v>157</v>
      </c>
      <c r="C248" s="1">
        <v>8.093</v>
      </c>
      <c r="D248" s="1">
        <v>7.0000000000000001E-3</v>
      </c>
      <c r="E248" s="1" t="s">
        <v>2</v>
      </c>
      <c r="F248" s="1" t="s">
        <v>104</v>
      </c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1:27" x14ac:dyDescent="0.25">
      <c r="A249" s="1">
        <v>2457312.5446100002</v>
      </c>
      <c r="B249" s="1" t="s">
        <v>157</v>
      </c>
      <c r="C249" s="1">
        <v>8.0879999999999992</v>
      </c>
      <c r="D249" s="1">
        <v>7.0000000000000001E-3</v>
      </c>
      <c r="E249" s="1" t="s">
        <v>2</v>
      </c>
      <c r="F249" s="1" t="s">
        <v>104</v>
      </c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1:27" x14ac:dyDescent="0.25">
      <c r="A250" s="1">
        <v>2457313.5123200002</v>
      </c>
      <c r="B250" s="1" t="s">
        <v>158</v>
      </c>
      <c r="C250" s="1">
        <v>8.0280000000000005</v>
      </c>
      <c r="D250" s="1">
        <v>8.0000000000000002E-3</v>
      </c>
      <c r="E250" s="1" t="s">
        <v>2</v>
      </c>
      <c r="F250" s="1" t="s">
        <v>104</v>
      </c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1:27" x14ac:dyDescent="0.25">
      <c r="A251" s="1">
        <v>2457313.5143300002</v>
      </c>
      <c r="B251" s="1" t="s">
        <v>158</v>
      </c>
      <c r="C251" s="1">
        <v>8.0519999999999996</v>
      </c>
      <c r="D251" s="1">
        <v>8.0000000000000002E-3</v>
      </c>
      <c r="E251" s="1" t="s">
        <v>2</v>
      </c>
      <c r="F251" s="1" t="s">
        <v>104</v>
      </c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1:27" x14ac:dyDescent="0.25">
      <c r="A252" s="1">
        <v>2457313.5147199999</v>
      </c>
      <c r="B252" s="1" t="s">
        <v>158</v>
      </c>
      <c r="C252" s="1">
        <v>8.0190000000000001</v>
      </c>
      <c r="D252" s="1">
        <v>8.0000000000000002E-3</v>
      </c>
      <c r="E252" s="1" t="s">
        <v>2</v>
      </c>
      <c r="F252" s="1" t="s">
        <v>104</v>
      </c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1:27" x14ac:dyDescent="0.25">
      <c r="A253" s="1">
        <v>2457313.5150899999</v>
      </c>
      <c r="B253" s="1" t="s">
        <v>158</v>
      </c>
      <c r="C253" s="1">
        <v>8.0289999999999999</v>
      </c>
      <c r="D253" s="1">
        <v>8.0000000000000002E-3</v>
      </c>
      <c r="E253" s="1" t="s">
        <v>2</v>
      </c>
      <c r="F253" s="1" t="s">
        <v>104</v>
      </c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1:27" x14ac:dyDescent="0.25">
      <c r="A254" s="1">
        <v>2457313.51547</v>
      </c>
      <c r="B254" s="1" t="s">
        <v>158</v>
      </c>
      <c r="C254" s="1">
        <v>8.0359999999999996</v>
      </c>
      <c r="D254" s="1">
        <v>8.0000000000000002E-3</v>
      </c>
      <c r="E254" s="1" t="s">
        <v>2</v>
      </c>
      <c r="F254" s="1" t="s">
        <v>104</v>
      </c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1:27" x14ac:dyDescent="0.25">
      <c r="A255" s="1">
        <v>2457314.5855</v>
      </c>
      <c r="B255" s="1" t="s">
        <v>159</v>
      </c>
      <c r="C255" s="1">
        <v>7.94</v>
      </c>
      <c r="D255" s="1">
        <v>7.0000000000000001E-3</v>
      </c>
      <c r="E255" s="1" t="s">
        <v>2</v>
      </c>
      <c r="F255" s="1" t="s">
        <v>143</v>
      </c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1:27" x14ac:dyDescent="0.25">
      <c r="A256" s="1">
        <v>2457315.8209299999</v>
      </c>
      <c r="B256" s="1" t="s">
        <v>160</v>
      </c>
      <c r="C256" s="1">
        <v>7.9550000000000001</v>
      </c>
      <c r="D256" s="1">
        <v>3.0000000000000001E-3</v>
      </c>
      <c r="E256" s="1" t="s">
        <v>2</v>
      </c>
      <c r="F256" s="1" t="s">
        <v>13</v>
      </c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1:27" x14ac:dyDescent="0.25">
      <c r="A257" s="1">
        <v>2457315.8218200002</v>
      </c>
      <c r="B257" s="1" t="s">
        <v>160</v>
      </c>
      <c r="C257" s="1">
        <v>7.9950000000000001</v>
      </c>
      <c r="D257" s="1">
        <v>3.0000000000000001E-3</v>
      </c>
      <c r="E257" s="1" t="s">
        <v>2</v>
      </c>
      <c r="F257" s="1" t="s">
        <v>13</v>
      </c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1:27" x14ac:dyDescent="0.25">
      <c r="A258" s="1">
        <v>2457315.8226999999</v>
      </c>
      <c r="B258" s="1" t="s">
        <v>160</v>
      </c>
      <c r="C258" s="1">
        <v>7.984</v>
      </c>
      <c r="D258" s="1">
        <v>3.0000000000000001E-3</v>
      </c>
      <c r="E258" s="1" t="s">
        <v>2</v>
      </c>
      <c r="F258" s="1" t="s">
        <v>13</v>
      </c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1:27" x14ac:dyDescent="0.25">
      <c r="A259" s="1">
        <v>2457321.46777</v>
      </c>
      <c r="B259" s="1" t="s">
        <v>161</v>
      </c>
      <c r="C259" s="1">
        <v>8.1389999999999993</v>
      </c>
      <c r="D259" s="1">
        <v>5.0000000000000001E-3</v>
      </c>
      <c r="E259" s="1" t="s">
        <v>2</v>
      </c>
      <c r="F259" s="1" t="s">
        <v>145</v>
      </c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1:27" x14ac:dyDescent="0.25">
      <c r="A260" s="1">
        <v>2457321.4793199999</v>
      </c>
      <c r="B260" s="1" t="s">
        <v>161</v>
      </c>
      <c r="C260" s="1">
        <v>8.1839999999999993</v>
      </c>
      <c r="D260" s="1">
        <v>1.7999999999999999E-2</v>
      </c>
      <c r="E260" s="1" t="s">
        <v>2</v>
      </c>
      <c r="F260" s="1" t="s">
        <v>104</v>
      </c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1:27" x14ac:dyDescent="0.25">
      <c r="A261" s="1">
        <v>2457321.4796899999</v>
      </c>
      <c r="B261" s="1" t="s">
        <v>161</v>
      </c>
      <c r="C261" s="1">
        <v>8.1579999999999995</v>
      </c>
      <c r="D261" s="1">
        <v>1.7999999999999999E-2</v>
      </c>
      <c r="E261" s="1" t="s">
        <v>2</v>
      </c>
      <c r="F261" s="1" t="s">
        <v>104</v>
      </c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1:27" x14ac:dyDescent="0.25">
      <c r="A262" s="1">
        <v>2457321.4800800001</v>
      </c>
      <c r="B262" s="1" t="s">
        <v>161</v>
      </c>
      <c r="C262" s="1">
        <v>8.1940000000000008</v>
      </c>
      <c r="D262" s="1">
        <v>1.7000000000000001E-2</v>
      </c>
      <c r="E262" s="1" t="s">
        <v>2</v>
      </c>
      <c r="F262" s="1" t="s">
        <v>104</v>
      </c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1:27" x14ac:dyDescent="0.25">
      <c r="A263" s="1">
        <v>2457321.4804600002</v>
      </c>
      <c r="B263" s="1" t="s">
        <v>161</v>
      </c>
      <c r="C263" s="1">
        <v>8.1850000000000005</v>
      </c>
      <c r="D263" s="1">
        <v>1.7000000000000001E-2</v>
      </c>
      <c r="E263" s="1" t="s">
        <v>2</v>
      </c>
      <c r="F263" s="1" t="s">
        <v>104</v>
      </c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1:27" x14ac:dyDescent="0.25">
      <c r="A264" s="1">
        <v>2457321.4808399999</v>
      </c>
      <c r="B264" s="1" t="s">
        <v>161</v>
      </c>
      <c r="C264" s="1">
        <v>8.1760000000000002</v>
      </c>
      <c r="D264" s="1">
        <v>1.7000000000000001E-2</v>
      </c>
      <c r="E264" s="1" t="s">
        <v>2</v>
      </c>
      <c r="F264" s="1" t="s">
        <v>104</v>
      </c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1:27" x14ac:dyDescent="0.25">
      <c r="A265" s="1">
        <v>2457321.5814</v>
      </c>
      <c r="B265" s="1" t="s">
        <v>162</v>
      </c>
      <c r="C265" s="1">
        <v>8.1639999999999997</v>
      </c>
      <c r="D265" s="1">
        <v>1.2999999999999999E-2</v>
      </c>
      <c r="E265" s="1" t="s">
        <v>2</v>
      </c>
      <c r="F265" s="1" t="s">
        <v>143</v>
      </c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1:27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7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7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7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7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7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7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6"/>
  <dimension ref="B1:P38"/>
  <sheetViews>
    <sheetView showGridLines="0" topLeftCell="B1" workbookViewId="0">
      <selection activeCell="J14" sqref="J14"/>
    </sheetView>
  </sheetViews>
  <sheetFormatPr baseColWidth="10" defaultRowHeight="15" x14ac:dyDescent="0.25"/>
  <cols>
    <col min="3" max="3" width="11.85546875" bestFit="1" customWidth="1"/>
    <col min="5" max="5" width="7" bestFit="1" customWidth="1"/>
    <col min="7" max="7" width="14" customWidth="1"/>
  </cols>
  <sheetData>
    <row r="1" spans="2:16" x14ac:dyDescent="0.25">
      <c r="P1" t="s">
        <v>291</v>
      </c>
    </row>
    <row r="2" spans="2:16" x14ac:dyDescent="0.25">
      <c r="P2" t="s">
        <v>292</v>
      </c>
    </row>
    <row r="3" spans="2:16" x14ac:dyDescent="0.25">
      <c r="C3" s="10"/>
      <c r="D3" s="10" t="s">
        <v>293</v>
      </c>
      <c r="E3" s="10" t="s">
        <v>242</v>
      </c>
      <c r="F3" s="10" t="s">
        <v>357</v>
      </c>
      <c r="G3" s="10"/>
      <c r="H3" s="10"/>
      <c r="I3" s="10"/>
      <c r="J3" s="10"/>
      <c r="K3" s="10"/>
      <c r="L3" s="10"/>
      <c r="P3" t="s">
        <v>294</v>
      </c>
    </row>
    <row r="4" spans="2:16" x14ac:dyDescent="0.25">
      <c r="C4" s="10"/>
      <c r="D4" s="10" t="s">
        <v>295</v>
      </c>
      <c r="E4" s="10" t="str">
        <f>CONCATENATE("D:\SymbioticStudies\" &amp; E5&amp;F3)</f>
        <v>D:\SymbioticStudies\AGPeg\2016</v>
      </c>
      <c r="F4" s="10"/>
      <c r="G4" s="10"/>
      <c r="H4" s="10" t="str">
        <f>+CONCATENATE("D:\SITEWEB\SymbioticStars\Studies\" &amp; E5)</f>
        <v>D:\SITEWEB\SymbioticStars\Studies\AGPeg</v>
      </c>
      <c r="I4" s="10"/>
      <c r="J4" s="10"/>
      <c r="K4" s="10"/>
      <c r="L4" s="10"/>
      <c r="P4" t="s">
        <v>296</v>
      </c>
    </row>
    <row r="5" spans="2:16" x14ac:dyDescent="0.25">
      <c r="C5" s="10"/>
      <c r="D5" s="10" t="s">
        <v>297</v>
      </c>
      <c r="E5" s="10" t="str">
        <f>+SUBSTITUTE(E3," ","")</f>
        <v>AGPeg</v>
      </c>
      <c r="F5" s="10"/>
      <c r="G5" s="10"/>
      <c r="H5" s="10"/>
      <c r="I5" s="10"/>
      <c r="J5" s="10"/>
      <c r="K5" s="10"/>
      <c r="L5" s="10"/>
      <c r="P5" t="s">
        <v>298</v>
      </c>
    </row>
    <row r="6" spans="2:16" x14ac:dyDescent="0.25">
      <c r="P6" t="s">
        <v>299</v>
      </c>
    </row>
    <row r="7" spans="2:16" x14ac:dyDescent="0.25">
      <c r="C7" s="11" t="s">
        <v>300</v>
      </c>
      <c r="D7" s="11">
        <v>818.2</v>
      </c>
      <c r="F7" s="10" t="s">
        <v>301</v>
      </c>
      <c r="G7" s="10">
        <f>+VLOOKUP($J$9,$B$16:$G$37,5)</f>
        <v>2</v>
      </c>
      <c r="H7" s="10"/>
      <c r="P7" t="s">
        <v>302</v>
      </c>
    </row>
    <row r="8" spans="2:16" x14ac:dyDescent="0.25">
      <c r="C8" s="11" t="s">
        <v>303</v>
      </c>
      <c r="D8" s="11">
        <v>2450804</v>
      </c>
      <c r="F8" s="10" t="s">
        <v>304</v>
      </c>
      <c r="G8" s="10">
        <v>2000</v>
      </c>
      <c r="H8" s="10" t="s">
        <v>305</v>
      </c>
      <c r="P8" t="s">
        <v>306</v>
      </c>
    </row>
    <row r="9" spans="2:16" x14ac:dyDescent="0.25">
      <c r="C9" s="11" t="s">
        <v>307</v>
      </c>
      <c r="D9" s="11">
        <v>-15.9</v>
      </c>
      <c r="F9" s="10" t="s">
        <v>308</v>
      </c>
      <c r="G9" s="10">
        <f>+G8/2</f>
        <v>1000</v>
      </c>
      <c r="H9" s="10"/>
      <c r="J9">
        <v>21</v>
      </c>
      <c r="P9" t="s">
        <v>309</v>
      </c>
    </row>
    <row r="10" spans="2:16" x14ac:dyDescent="0.25">
      <c r="F10" s="10" t="s">
        <v>310</v>
      </c>
      <c r="G10" s="10">
        <f>+VLOOKUP($J$9,$B$16:$G$37,6)</f>
        <v>1</v>
      </c>
      <c r="H10" s="10"/>
      <c r="P10" t="s">
        <v>311</v>
      </c>
    </row>
    <row r="11" spans="2:16" x14ac:dyDescent="0.25">
      <c r="C11" s="10" t="s">
        <v>312</v>
      </c>
      <c r="D11" s="10">
        <v>250</v>
      </c>
      <c r="F11" s="10" t="s">
        <v>313</v>
      </c>
      <c r="G11" s="10"/>
      <c r="H11" s="10"/>
      <c r="P11" t="s">
        <v>314</v>
      </c>
    </row>
    <row r="12" spans="2:16" x14ac:dyDescent="0.25">
      <c r="C12" s="10" t="s">
        <v>315</v>
      </c>
      <c r="D12" s="10">
        <v>450</v>
      </c>
      <c r="F12" s="10" t="s">
        <v>316</v>
      </c>
      <c r="G12" s="10">
        <f>+VLOOKUP($J$9,$B$16:$H$37,7)</f>
        <v>20</v>
      </c>
      <c r="H12" s="10"/>
      <c r="P12" t="s">
        <v>317</v>
      </c>
    </row>
    <row r="13" spans="2:16" x14ac:dyDescent="0.25">
      <c r="C13" s="10" t="s">
        <v>318</v>
      </c>
      <c r="D13" s="12" t="str">
        <f>+VLOOKUP([4]Feuil1!A1,[4]Feuil1!A3:B6,2)</f>
        <v>b</v>
      </c>
      <c r="F13" s="10" t="s">
        <v>319</v>
      </c>
      <c r="G13" s="13">
        <f>+VLOOKUP($J$9,$B$16:$H$37,4)</f>
        <v>6830</v>
      </c>
      <c r="H13" s="10"/>
      <c r="P13" t="s">
        <v>320</v>
      </c>
    </row>
    <row r="14" spans="2:16" x14ac:dyDescent="0.25">
      <c r="F14" s="10" t="s">
        <v>321</v>
      </c>
      <c r="G14" s="14" t="str">
        <f>+VLOOKUP($J$9,$B$16:$H$37,2)</f>
        <v>Raman OVI</v>
      </c>
      <c r="H14" s="10"/>
      <c r="P14" t="s">
        <v>322</v>
      </c>
    </row>
    <row r="15" spans="2:16" x14ac:dyDescent="0.25">
      <c r="F15" s="15" t="s">
        <v>301</v>
      </c>
      <c r="G15" s="15" t="s">
        <v>310</v>
      </c>
      <c r="H15" s="15"/>
      <c r="P15" t="s">
        <v>323</v>
      </c>
    </row>
    <row r="16" spans="2:16" x14ac:dyDescent="0.25">
      <c r="B16" s="16">
        <v>1</v>
      </c>
      <c r="C16" s="16" t="str">
        <f>+CONCATENATE(D16 &amp; " " &amp; ROUND( E16,0))</f>
        <v>Ha 6563</v>
      </c>
      <c r="D16" t="s">
        <v>324</v>
      </c>
      <c r="E16">
        <v>6562.82</v>
      </c>
      <c r="F16" s="15">
        <v>10</v>
      </c>
      <c r="G16" s="15">
        <v>2</v>
      </c>
      <c r="H16" s="15">
        <v>130</v>
      </c>
      <c r="P16" t="s">
        <v>325</v>
      </c>
    </row>
    <row r="17" spans="2:16" x14ac:dyDescent="0.25">
      <c r="B17" s="16">
        <v>2</v>
      </c>
      <c r="C17" s="16" t="str">
        <f t="shared" ref="C17:C34" si="0">+CONCATENATE(D17 &amp; " " &amp; ROUND( E17,0))</f>
        <v>Hb 4861</v>
      </c>
      <c r="D17" t="s">
        <v>326</v>
      </c>
      <c r="E17">
        <v>4861.34</v>
      </c>
      <c r="F17" s="15">
        <v>10</v>
      </c>
      <c r="G17" s="15">
        <v>3</v>
      </c>
      <c r="H17" s="15">
        <v>140</v>
      </c>
      <c r="P17" t="s">
        <v>327</v>
      </c>
    </row>
    <row r="18" spans="2:16" x14ac:dyDescent="0.25">
      <c r="B18">
        <v>3</v>
      </c>
      <c r="C18" t="str">
        <f t="shared" si="0"/>
        <v>Hg 4340</v>
      </c>
      <c r="D18" t="s">
        <v>328</v>
      </c>
      <c r="E18">
        <v>4340</v>
      </c>
      <c r="F18" s="15">
        <v>1</v>
      </c>
      <c r="G18" s="15">
        <v>3</v>
      </c>
      <c r="H18" s="15">
        <v>25</v>
      </c>
      <c r="P18" t="s">
        <v>329</v>
      </c>
    </row>
    <row r="19" spans="2:16" x14ac:dyDescent="0.25">
      <c r="B19">
        <v>4</v>
      </c>
      <c r="C19" t="str">
        <f t="shared" si="0"/>
        <v>[OI] 6300</v>
      </c>
      <c r="D19" t="s">
        <v>330</v>
      </c>
      <c r="E19">
        <v>6300.32</v>
      </c>
      <c r="F19" s="15">
        <v>1</v>
      </c>
      <c r="G19" s="15">
        <v>0.5</v>
      </c>
      <c r="H19" s="15">
        <v>22</v>
      </c>
      <c r="P19" t="s">
        <v>331</v>
      </c>
    </row>
    <row r="20" spans="2:16" x14ac:dyDescent="0.25">
      <c r="B20">
        <v>5</v>
      </c>
      <c r="C20" t="str">
        <f t="shared" si="0"/>
        <v>[OI] 6363</v>
      </c>
      <c r="D20" t="s">
        <v>330</v>
      </c>
      <c r="E20">
        <v>6363</v>
      </c>
      <c r="F20" s="15"/>
      <c r="G20" s="15"/>
      <c r="H20" s="15"/>
      <c r="P20" t="s">
        <v>332</v>
      </c>
    </row>
    <row r="21" spans="2:16" x14ac:dyDescent="0.25">
      <c r="B21">
        <v>6</v>
      </c>
      <c r="C21" t="str">
        <f>+CONCATENATE(D21 &amp; " " &amp; ROUND( E21,0))</f>
        <v>He I 5016</v>
      </c>
      <c r="D21" t="s">
        <v>333</v>
      </c>
      <c r="E21">
        <v>5015.68</v>
      </c>
      <c r="F21" s="15">
        <v>1</v>
      </c>
      <c r="G21" s="15">
        <v>0.5</v>
      </c>
      <c r="H21" s="15">
        <v>25</v>
      </c>
      <c r="P21" t="s">
        <v>334</v>
      </c>
    </row>
    <row r="22" spans="2:16" x14ac:dyDescent="0.25">
      <c r="B22" s="16">
        <v>7</v>
      </c>
      <c r="C22" s="16" t="str">
        <f t="shared" si="0"/>
        <v>He I 5876</v>
      </c>
      <c r="D22" t="s">
        <v>333</v>
      </c>
      <c r="E22">
        <v>5875.65</v>
      </c>
      <c r="F22" s="15">
        <v>2</v>
      </c>
      <c r="G22" s="15">
        <v>0.5</v>
      </c>
      <c r="H22" s="15">
        <v>30</v>
      </c>
      <c r="P22" t="s">
        <v>335</v>
      </c>
    </row>
    <row r="23" spans="2:16" x14ac:dyDescent="0.25">
      <c r="B23">
        <v>8</v>
      </c>
      <c r="C23" t="str">
        <f t="shared" si="0"/>
        <v>He I 6678</v>
      </c>
      <c r="D23" t="s">
        <v>333</v>
      </c>
      <c r="E23">
        <v>6678.15</v>
      </c>
      <c r="F23" s="15">
        <v>1</v>
      </c>
      <c r="G23" s="15">
        <v>0.5</v>
      </c>
      <c r="H23" s="15">
        <v>15</v>
      </c>
      <c r="P23" t="s">
        <v>336</v>
      </c>
    </row>
    <row r="24" spans="2:16" x14ac:dyDescent="0.25">
      <c r="B24">
        <v>9</v>
      </c>
      <c r="C24" t="str">
        <f t="shared" si="0"/>
        <v>He I 7065</v>
      </c>
      <c r="D24" t="s">
        <v>333</v>
      </c>
      <c r="E24">
        <v>7065</v>
      </c>
      <c r="F24" s="15"/>
      <c r="G24" s="15"/>
      <c r="H24" s="15"/>
      <c r="P24" t="s">
        <v>337</v>
      </c>
    </row>
    <row r="25" spans="2:16" x14ac:dyDescent="0.25">
      <c r="B25">
        <v>10</v>
      </c>
      <c r="C25" t="str">
        <f t="shared" si="0"/>
        <v>He II 4686</v>
      </c>
      <c r="D25" t="s">
        <v>338</v>
      </c>
      <c r="E25">
        <v>4685.68</v>
      </c>
      <c r="F25" s="15">
        <v>10</v>
      </c>
      <c r="G25" s="15">
        <v>3</v>
      </c>
      <c r="H25" s="15">
        <v>150</v>
      </c>
      <c r="P25" t="s">
        <v>339</v>
      </c>
    </row>
    <row r="26" spans="2:16" x14ac:dyDescent="0.25">
      <c r="B26">
        <v>11</v>
      </c>
      <c r="C26" t="str">
        <f t="shared" si="0"/>
        <v>[O III] 5007</v>
      </c>
      <c r="D26" t="s">
        <v>340</v>
      </c>
      <c r="E26">
        <v>5006.84</v>
      </c>
      <c r="F26" s="15">
        <v>1</v>
      </c>
      <c r="G26" s="15">
        <v>0.5</v>
      </c>
      <c r="H26" s="15">
        <v>25</v>
      </c>
      <c r="P26" t="s">
        <v>341</v>
      </c>
    </row>
    <row r="27" spans="2:16" x14ac:dyDescent="0.25">
      <c r="B27">
        <v>12</v>
      </c>
      <c r="C27" t="str">
        <f t="shared" si="0"/>
        <v>[O III] 4959</v>
      </c>
      <c r="D27" t="s">
        <v>340</v>
      </c>
      <c r="E27">
        <v>4959</v>
      </c>
      <c r="F27" s="15"/>
      <c r="G27" s="15"/>
      <c r="H27" s="15"/>
      <c r="P27" t="s">
        <v>342</v>
      </c>
    </row>
    <row r="28" spans="2:16" x14ac:dyDescent="0.25">
      <c r="B28">
        <v>13</v>
      </c>
      <c r="C28" t="str">
        <f t="shared" si="0"/>
        <v>[O III] 4363</v>
      </c>
      <c r="D28" t="s">
        <v>340</v>
      </c>
      <c r="E28">
        <v>4363</v>
      </c>
      <c r="F28" s="15">
        <v>1</v>
      </c>
      <c r="G28" s="15">
        <v>0.5</v>
      </c>
      <c r="H28" s="15">
        <v>20</v>
      </c>
      <c r="P28" t="s">
        <v>343</v>
      </c>
    </row>
    <row r="29" spans="2:16" x14ac:dyDescent="0.25">
      <c r="B29">
        <v>14</v>
      </c>
      <c r="C29" t="str">
        <f t="shared" si="0"/>
        <v>Fe II 4924</v>
      </c>
      <c r="D29" t="s">
        <v>344</v>
      </c>
      <c r="E29">
        <v>4923.92</v>
      </c>
      <c r="F29" s="15">
        <v>1</v>
      </c>
      <c r="G29" s="15">
        <v>1</v>
      </c>
      <c r="H29" s="15">
        <v>25</v>
      </c>
      <c r="P29" t="s">
        <v>345</v>
      </c>
    </row>
    <row r="30" spans="2:16" x14ac:dyDescent="0.25">
      <c r="B30">
        <v>15</v>
      </c>
      <c r="C30" t="str">
        <f t="shared" si="0"/>
        <v>Fe II 5018</v>
      </c>
      <c r="D30" t="s">
        <v>344</v>
      </c>
      <c r="E30">
        <v>5018.43</v>
      </c>
      <c r="F30" s="15">
        <v>2</v>
      </c>
      <c r="G30" s="15">
        <v>1</v>
      </c>
      <c r="H30" s="15">
        <v>40</v>
      </c>
      <c r="P30" t="s">
        <v>346</v>
      </c>
    </row>
    <row r="31" spans="2:16" x14ac:dyDescent="0.25">
      <c r="B31">
        <v>16</v>
      </c>
      <c r="C31" t="str">
        <f t="shared" si="0"/>
        <v>NaI D 5890</v>
      </c>
      <c r="D31" t="s">
        <v>358</v>
      </c>
      <c r="E31">
        <v>5889.95</v>
      </c>
      <c r="F31" s="15">
        <v>0.01</v>
      </c>
      <c r="G31" s="15">
        <v>1</v>
      </c>
      <c r="H31" s="15">
        <v>2</v>
      </c>
      <c r="P31" t="s">
        <v>347</v>
      </c>
    </row>
    <row r="32" spans="2:16" x14ac:dyDescent="0.25">
      <c r="B32">
        <v>17</v>
      </c>
      <c r="C32" t="s">
        <v>270</v>
      </c>
      <c r="E32">
        <v>5018.43</v>
      </c>
      <c r="F32" s="15"/>
      <c r="G32" s="15"/>
      <c r="H32" s="15"/>
      <c r="P32" t="s">
        <v>348</v>
      </c>
    </row>
    <row r="33" spans="2:16" x14ac:dyDescent="0.25">
      <c r="B33">
        <v>18</v>
      </c>
      <c r="C33" t="str">
        <f t="shared" si="0"/>
        <v>[Fe VII] 6087</v>
      </c>
      <c r="D33" t="s">
        <v>349</v>
      </c>
      <c r="E33">
        <v>6087</v>
      </c>
      <c r="F33" s="15">
        <v>1</v>
      </c>
      <c r="G33" s="15">
        <v>0.5</v>
      </c>
      <c r="H33" s="15">
        <v>15</v>
      </c>
      <c r="P33" t="s">
        <v>350</v>
      </c>
    </row>
    <row r="34" spans="2:16" x14ac:dyDescent="0.25">
      <c r="B34">
        <v>19</v>
      </c>
      <c r="C34" t="str">
        <f t="shared" si="0"/>
        <v>[Fe VII] 5721</v>
      </c>
      <c r="D34" t="s">
        <v>349</v>
      </c>
      <c r="E34">
        <v>5721</v>
      </c>
      <c r="F34" s="15">
        <v>2</v>
      </c>
      <c r="G34" s="15">
        <v>1</v>
      </c>
      <c r="H34" s="15">
        <v>40</v>
      </c>
      <c r="P34" t="s">
        <v>351</v>
      </c>
    </row>
    <row r="35" spans="2:16" x14ac:dyDescent="0.25">
      <c r="B35">
        <v>20</v>
      </c>
      <c r="C35" t="s">
        <v>270</v>
      </c>
      <c r="D35" t="s">
        <v>349</v>
      </c>
      <c r="P35" t="s">
        <v>352</v>
      </c>
    </row>
    <row r="36" spans="2:16" x14ac:dyDescent="0.25">
      <c r="B36">
        <v>21</v>
      </c>
      <c r="C36" t="s">
        <v>353</v>
      </c>
      <c r="D36" t="s">
        <v>353</v>
      </c>
      <c r="E36">
        <v>6830</v>
      </c>
      <c r="F36" s="15">
        <v>2</v>
      </c>
      <c r="G36" s="15">
        <v>1</v>
      </c>
      <c r="H36" s="15">
        <v>20</v>
      </c>
      <c r="P36" t="s">
        <v>354</v>
      </c>
    </row>
    <row r="37" spans="2:16" x14ac:dyDescent="0.25">
      <c r="B37">
        <v>22</v>
      </c>
      <c r="C37" t="s">
        <v>270</v>
      </c>
      <c r="D37" t="s">
        <v>353</v>
      </c>
      <c r="P37" t="s">
        <v>355</v>
      </c>
    </row>
    <row r="38" spans="2:16" x14ac:dyDescent="0.25">
      <c r="P38" t="s">
        <v>356</v>
      </c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Drop Down 1">
              <controlPr defaultSize="0" autoLine="0" autoPict="0" macro="[5]!m">
                <anchor moveWithCells="1">
                  <from>
                    <xdr:col>9</xdr:col>
                    <xdr:colOff>0</xdr:colOff>
                    <xdr:row>6</xdr:row>
                    <xdr:rowOff>0</xdr:rowOff>
                  </from>
                  <to>
                    <xdr:col>10</xdr:col>
                    <xdr:colOff>457200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5]!m">
                <anchor moveWithCells="1" sizeWithCells="1">
                  <from>
                    <xdr:col>10</xdr:col>
                    <xdr:colOff>552450</xdr:colOff>
                    <xdr:row>5</xdr:row>
                    <xdr:rowOff>180975</xdr:rowOff>
                  </from>
                  <to>
                    <xdr:col>11</xdr:col>
                    <xdr:colOff>476250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Drop Down 3">
              <controlPr defaultSize="0" autoLine="0" autoPict="0">
                <anchor moveWithCells="1">
                  <from>
                    <xdr:col>3</xdr:col>
                    <xdr:colOff>104775</xdr:colOff>
                    <xdr:row>12</xdr:row>
                    <xdr:rowOff>9525</xdr:rowOff>
                  </from>
                  <to>
                    <xdr:col>3</xdr:col>
                    <xdr:colOff>638175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Index</vt:lpstr>
      <vt:lpstr>Feuil1</vt:lpstr>
      <vt:lpstr>Feuil2</vt:lpstr>
      <vt:lpstr>m_phot</vt:lpstr>
      <vt:lpstr>V</vt:lpstr>
      <vt:lpstr>Vis</vt:lpstr>
      <vt:lpstr>Perenso</vt:lpstr>
      <vt:lpstr>B-V</vt:lpstr>
      <vt:lpstr>B</vt:lpstr>
      <vt:lpstr>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francois teyssier</dc:creator>
  <cp:lastModifiedBy>francois teyssier</cp:lastModifiedBy>
  <dcterms:created xsi:type="dcterms:W3CDTF">2015-04-04T15:31:14Z</dcterms:created>
  <dcterms:modified xsi:type="dcterms:W3CDTF">2021-04-29T19:24:08Z</dcterms:modified>
</cp:coreProperties>
</file>